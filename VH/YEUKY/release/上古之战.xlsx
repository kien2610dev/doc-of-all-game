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80"/>
  </bookViews>
  <sheets>
    <sheet name="上古之战战场表" sheetId="2" r:id="rId1"/>
    <sheet name="上古之战怪物" sheetId="3" r:id="rId2"/>
    <sheet name="上古之战怪物展示" sheetId="9" r:id="rId3"/>
    <sheet name="上古之战怪物血量" sheetId="4" r:id="rId4"/>
    <sheet name="上古之战排行榜" sheetId="5" r:id="rId5"/>
    <sheet name="上古之战抽奖" sheetId="6" r:id="rId6"/>
    <sheet name="上古之战抽奖次数" sheetId="8" r:id="rId7"/>
    <sheet name="上古之战战斗扣血" sheetId="7" r:id="rId8"/>
    <sheet name="上古之战战斗奖励" sheetId="10" r:id="rId9"/>
    <sheet name="上古之战怪物名称" sheetId="11" r:id="rId10"/>
    <sheet name="sheet1" sheetId="1" r:id="rId11"/>
  </sheets>
  <calcPr calcId="144525"/>
</workbook>
</file>

<file path=xl/sharedStrings.xml><?xml version="1.0" encoding="utf-8"?>
<sst xmlns="http://schemas.openxmlformats.org/spreadsheetml/2006/main" count="194" uniqueCount="150">
  <si>
    <t>ID</t>
  </si>
  <si>
    <t>难度</t>
  </si>
  <si>
    <t>战场名</t>
  </si>
  <si>
    <t>所需活跃度</t>
  </si>
  <si>
    <t>开放条件</t>
  </si>
  <si>
    <t>战力推荐</t>
  </si>
  <si>
    <t>奖励预览</t>
  </si>
  <si>
    <t>每日挑战次数</t>
  </si>
  <si>
    <r>
      <rPr>
        <sz val="10.5"/>
        <color rgb="FF000000"/>
        <rFont val="Helvetica"/>
        <charset val="134"/>
      </rPr>
      <t>Thanh đồng chiến trường</t>
    </r>
  </si>
  <si>
    <t>3:100252:1#3:100338:1#3:100336:1#0:12:1</t>
  </si>
  <si>
    <r>
      <rPr>
        <sz val="10.5"/>
        <color rgb="FF000000"/>
        <rFont val="Helvetica"/>
        <charset val="134"/>
      </rPr>
      <t>Bạch ngân chiến trường</t>
    </r>
  </si>
  <si>
    <r>
      <rPr>
        <sz val="10.5"/>
        <color rgb="FF000000"/>
        <rFont val="Helvetica"/>
        <charset val="134"/>
      </rPr>
      <t>Hoàng kim chiến trường</t>
    </r>
  </si>
  <si>
    <t>怪物难度</t>
  </si>
  <si>
    <t>怪物分组1到3</t>
  </si>
  <si>
    <t>怪物分组4到6</t>
  </si>
  <si>
    <t>怪物分组7到9</t>
  </si>
  <si>
    <t>怪物分组10到12</t>
  </si>
  <si>
    <t>怪物分组13到15</t>
  </si>
  <si>
    <t>怪物分组16到18</t>
  </si>
  <si>
    <t>怪物分组19到21</t>
  </si>
  <si>
    <t>怪物分组22到24</t>
  </si>
  <si>
    <t>怪物分组25到27</t>
  </si>
  <si>
    <t>怪物分组28到30</t>
  </si>
  <si>
    <t>怪物分组31到33</t>
  </si>
  <si>
    <t>战场守护1</t>
  </si>
  <si>
    <t>战场守护2</t>
  </si>
  <si>
    <t>战场守护3</t>
  </si>
  <si>
    <t>战场怨魂</t>
  </si>
  <si>
    <t>无尽怨魂</t>
  </si>
  <si>
    <t>小怪血量</t>
  </si>
  <si>
    <t>战场护卫血量</t>
  </si>
  <si>
    <t>战场怨魂血量</t>
  </si>
  <si>
    <t>无尽怨魂血量</t>
  </si>
  <si>
    <t>排行起始</t>
  </si>
  <si>
    <t>排行结束</t>
  </si>
  <si>
    <t>奖励</t>
  </si>
  <si>
    <r>
      <rPr>
        <sz val="11"/>
        <color theme="1"/>
        <rFont val="Calibri"/>
        <charset val="134"/>
        <scheme val="minor"/>
      </rPr>
      <t>0:1:500#</t>
    </r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100005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20</t>
    </r>
    <r>
      <rPr>
        <sz val="11"/>
        <color theme="1"/>
        <rFont val="Calibri"/>
        <charset val="134"/>
        <scheme val="minor"/>
      </rPr>
      <t>#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:5</t>
    </r>
    <r>
      <rPr>
        <sz val="11"/>
        <color theme="1"/>
        <rFont val="Calibri"/>
        <charset val="134"/>
        <scheme val="minor"/>
      </rPr>
      <t>000000</t>
    </r>
  </si>
  <si>
    <t>元宝*500普通寻宝券*20金币*5000000</t>
  </si>
  <si>
    <t>0:1:400#3:100005:15#0:0:4000000</t>
  </si>
  <si>
    <t>元宝*400普通寻宝券*15金币*4000000</t>
  </si>
  <si>
    <t>0:1:200#3:100005:10#0:0:3500000</t>
  </si>
  <si>
    <t>元宝*200普通寻宝券*10金币*3500000</t>
  </si>
  <si>
    <t>0:1:200#3:100005:5#0:0:3000000</t>
  </si>
  <si>
    <t>元宝*200普通寻宝券*5金币*3000000</t>
  </si>
  <si>
    <t>0:1:100#3:100005:5#0:0:2000000</t>
  </si>
  <si>
    <t>元宝*100普通寻宝券*5金币*2000000</t>
  </si>
  <si>
    <t>奖品ID</t>
  </si>
  <si>
    <t>权重</t>
  </si>
  <si>
    <t>是否限制</t>
  </si>
  <si>
    <r>
      <rPr>
        <sz val="11"/>
        <color theme="1"/>
        <rFont val="Calibri"/>
        <charset val="134"/>
        <scheme val="minor"/>
      </rPr>
      <t>4:</t>
    </r>
    <r>
      <rPr>
        <sz val="11"/>
        <color theme="1"/>
        <rFont val="Calibri"/>
        <charset val="134"/>
        <scheme val="minor"/>
      </rPr>
      <t>606002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50</t>
    </r>
  </si>
  <si>
    <t>英雄碎片</t>
  </si>
  <si>
    <r>
      <rPr>
        <sz val="11"/>
        <color theme="1"/>
        <rFont val="Calibri"/>
        <charset val="134"/>
        <scheme val="minor"/>
      </rPr>
      <t>4:606002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25</t>
    </r>
  </si>
  <si>
    <r>
      <rPr>
        <sz val="11"/>
        <color theme="1"/>
        <rFont val="Calibri"/>
        <charset val="134"/>
        <scheme val="minor"/>
      </rPr>
      <t>4:606002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15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</si>
  <si>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100022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</t>
    </r>
  </si>
  <si>
    <t>高抽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</si>
  <si>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100022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3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</si>
  <si>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100022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</t>
    </r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</si>
  <si>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400036</t>
    </r>
    <r>
      <rPr>
        <sz val="11"/>
        <color theme="1"/>
        <rFont val="Calibri"/>
        <charset val="134"/>
        <scheme val="minor"/>
      </rPr>
      <t>:1</t>
    </r>
  </si>
  <si>
    <t>低级附魔卷轴</t>
  </si>
  <si>
    <r>
      <rPr>
        <sz val="11"/>
        <color theme="1"/>
        <rFont val="Calibri"/>
        <charset val="134"/>
        <scheme val="minor"/>
      </rPr>
      <t>3:100004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500</t>
    </r>
  </si>
  <si>
    <t>鎏金粉</t>
  </si>
  <si>
    <r>
      <rPr>
        <sz val="11"/>
        <color theme="1"/>
        <rFont val="Calibri"/>
        <charset val="134"/>
        <scheme val="minor"/>
      </rPr>
      <t>3:100212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</t>
    </r>
  </si>
  <si>
    <t>玄铁</t>
  </si>
  <si>
    <r>
      <rPr>
        <sz val="11"/>
        <color theme="1"/>
        <rFont val="Calibri"/>
        <charset val="134"/>
        <scheme val="minor"/>
      </rPr>
      <t>3:100212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</si>
  <si>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>3:100253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</t>
    </r>
  </si>
  <si>
    <t>布偶</t>
  </si>
  <si>
    <t>微概率</t>
  </si>
  <si>
    <r>
      <rPr>
        <sz val="11"/>
        <color theme="1"/>
        <rFont val="Calibri"/>
        <charset val="134"/>
        <scheme val="minor"/>
      </rPr>
      <t>3:100253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3</t>
    </r>
  </si>
  <si>
    <t>小概率</t>
  </si>
  <si>
    <r>
      <rPr>
        <sz val="11"/>
        <color theme="1"/>
        <rFont val="Calibri"/>
        <charset val="134"/>
        <scheme val="minor"/>
      </rPr>
      <t>3:200101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3</t>
    </r>
  </si>
  <si>
    <t>龙鳞</t>
  </si>
  <si>
    <r>
      <rPr>
        <sz val="11"/>
        <color theme="1"/>
        <rFont val="Calibri"/>
        <charset val="134"/>
        <scheme val="minor"/>
      </rPr>
      <t>3:200101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</t>
    </r>
  </si>
  <si>
    <r>
      <rPr>
        <sz val="11"/>
        <color theme="1"/>
        <rFont val="Calibri"/>
        <charset val="134"/>
        <scheme val="minor"/>
      </rPr>
      <t>3:100252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</t>
    </r>
  </si>
  <si>
    <t>兽灵技能书</t>
  </si>
  <si>
    <r>
      <rPr>
        <sz val="11"/>
        <color theme="1"/>
        <rFont val="Calibri"/>
        <charset val="134"/>
        <scheme val="minor"/>
      </rPr>
      <t>3:100252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</t>
    </r>
  </si>
  <si>
    <t>击杀战场护卫</t>
  </si>
  <si>
    <t>击杀战场怨魂</t>
  </si>
  <si>
    <t>3天内通关次数</t>
  </si>
  <si>
    <t>4天内通关次数</t>
  </si>
  <si>
    <t>5天内通关次数</t>
  </si>
  <si>
    <t>6天内通关次数</t>
  </si>
  <si>
    <t>7天内通关次数</t>
  </si>
  <si>
    <t>战场ID</t>
  </si>
  <si>
    <t>小怪扣除血量</t>
  </si>
  <si>
    <t>战场护卫扣除血量</t>
  </si>
  <si>
    <t>战场怨魂扣除血量</t>
  </si>
  <si>
    <t>小怪推荐战力</t>
  </si>
  <si>
    <t>战场护卫推荐战力</t>
  </si>
  <si>
    <t>战场怨魂推荐战力</t>
  </si>
  <si>
    <t>小怪胜奖励</t>
  </si>
  <si>
    <t>战场护卫奖励</t>
  </si>
  <si>
    <t>战场怨魂奖励</t>
  </si>
  <si>
    <t>无尽怨魂胜利奖励</t>
  </si>
  <si>
    <t>无尽怨魂失败奖励</t>
  </si>
  <si>
    <t>3:100336:1#0:12:5#3:100338:1</t>
  </si>
  <si>
    <t>3:100336:2#0:12:8#3:100338:1</t>
  </si>
  <si>
    <t>3:100336:50#0:12:30#3:100338:1</t>
  </si>
  <si>
    <t>3:100336:10#0:12:10#3:100338:1</t>
  </si>
  <si>
    <t>3:100336:2#0:12:8</t>
  </si>
  <si>
    <t>3:100336:5#0:12:10#3:100338:1</t>
  </si>
  <si>
    <t>3:100336:80#0:12:40#3:100338:1</t>
  </si>
  <si>
    <t>3:100336:15#0:12:20#3:100338:1</t>
  </si>
  <si>
    <t>3:100336:5#0:12:10</t>
  </si>
  <si>
    <t>3:100336:3#0:12:10#3:100338:1</t>
  </si>
  <si>
    <t>3:100336:10#0:12:15#3:100338:1</t>
  </si>
  <si>
    <t>3:100336:100#0:12:50#3:100338:1</t>
  </si>
  <si>
    <t>3:100336:20#0:12:30#3:100338:1</t>
  </si>
  <si>
    <t>3:100336:10#0:12:15</t>
  </si>
  <si>
    <t>3:100336:4#0:12:10#3:100338:1</t>
  </si>
  <si>
    <t>3:100336:5#0:12:12#3:100338:1</t>
  </si>
  <si>
    <t>3:100336:200#0:12:80#3:100338:1</t>
  </si>
  <si>
    <t>3:100336:30#0:12:40#3:100338:1</t>
  </si>
  <si>
    <t>3:100336:15#0:12:20</t>
  </si>
  <si>
    <t>3:100336:6#0:12:15#3:100338:1</t>
  </si>
  <si>
    <t>3:100336:25#0:12:30#3:100338:1</t>
  </si>
  <si>
    <t>3:100336:250#0:12:100#3:100338:1</t>
  </si>
  <si>
    <t>3:100336:50#0:12:50#3:100338:1</t>
  </si>
  <si>
    <t>3:100336:25#0:12:30</t>
  </si>
  <si>
    <t>3:100336:7#0:12:15#3:100338:1</t>
  </si>
  <si>
    <t>3:100336:30#0:12:30#3:100338:1</t>
  </si>
  <si>
    <t>3:100336:200#0:12:100#3:100338:1</t>
  </si>
  <si>
    <t>3:100336:20#0:12:30</t>
  </si>
  <si>
    <t>3:100336:8#0:12:18#3:100338:1</t>
  </si>
  <si>
    <t>3:100336:40#0:12:40#3:100338:1</t>
  </si>
  <si>
    <t>3:100336:300#0:12:120#3:100338:1</t>
  </si>
  <si>
    <t>3:100336:80#0:12:75#3:100338:1</t>
  </si>
  <si>
    <t>3:100336:30#0:12:40</t>
  </si>
  <si>
    <t>3:100336:9#0:12:20#3:100338:1</t>
  </si>
  <si>
    <t>3:100336:500#0:12:150#3:100338:1</t>
  </si>
  <si>
    <t>3:100336:100#0:12:80#3:100338:1</t>
  </si>
  <si>
    <t>3:100336:50#0:12:50</t>
  </si>
  <si>
    <t>怪物名称</t>
  </si>
  <si>
    <t>战场先锋</t>
  </si>
  <si>
    <t>战场护卫</t>
  </si>
  <si>
    <t>战场守将</t>
  </si>
  <si>
    <t>无尽守将</t>
  </si>
  <si>
    <t>公会人数</t>
  </si>
  <si>
    <t>最大</t>
  </si>
  <si>
    <t>最小</t>
  </si>
  <si>
    <t>每天挑战次数</t>
  </si>
  <si>
    <t>最少天数</t>
  </si>
  <si>
    <t>最多天数</t>
  </si>
  <si>
    <t>小怪</t>
  </si>
  <si>
    <t>护卫</t>
  </si>
  <si>
    <t>BOSS</t>
  </si>
  <si>
    <t>怪物数量</t>
  </si>
  <si>
    <t>总血量</t>
  </si>
  <si>
    <t>10人会血量下限，都打最简单难度，打7天</t>
  </si>
  <si>
    <t>10人会血量上限，都打最难难度，打5天</t>
  </si>
  <si>
    <t>2天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</si>
</sst>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10" fontId="0" fillId="0" borderId="0" xfId="3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"/>
  <sheetViews>
    <sheetView tabSelected="1" topLeftCell="C1" workbookViewId="0">
      <selection activeCell="C2" sqref="C2:C4"/>
    </sheetView>
  </sheetViews>
  <sheetFormatPr defaultColWidth="9" defaultRowHeight="15" outlineLevelRow="3" outlineLevelCol="7"/>
  <cols>
    <col min="3" max="3" width="31.4285714285714" customWidth="1"/>
    <col min="4" max="4" width="10.8761904761905" customWidth="1"/>
    <col min="6" max="6" width="9.5047619047619" customWidth="1"/>
    <col min="7" max="7" width="43.752380952381" customWidth="1"/>
    <col min="8" max="8" width="12.876190476190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4" spans="1:8">
      <c r="A2">
        <v>1</v>
      </c>
      <c r="B2">
        <v>1</v>
      </c>
      <c r="C2" s="10" t="s">
        <v>8</v>
      </c>
      <c r="D2">
        <v>1</v>
      </c>
      <c r="F2">
        <v>3000000</v>
      </c>
      <c r="G2" s="5" t="s">
        <v>9</v>
      </c>
      <c r="H2">
        <v>9999</v>
      </c>
    </row>
    <row r="3" ht="54" spans="1:8">
      <c r="A3">
        <v>2</v>
      </c>
      <c r="B3">
        <v>2</v>
      </c>
      <c r="C3" s="10" t="s">
        <v>10</v>
      </c>
      <c r="D3">
        <v>1</v>
      </c>
      <c r="E3">
        <v>1</v>
      </c>
      <c r="F3">
        <v>12000000</v>
      </c>
      <c r="G3" s="5" t="s">
        <v>9</v>
      </c>
      <c r="H3">
        <v>9999</v>
      </c>
    </row>
    <row r="4" ht="54" spans="1:8">
      <c r="A4">
        <v>3</v>
      </c>
      <c r="B4">
        <v>3</v>
      </c>
      <c r="C4" s="10" t="s">
        <v>11</v>
      </c>
      <c r="D4">
        <v>1</v>
      </c>
      <c r="E4">
        <v>2</v>
      </c>
      <c r="F4">
        <v>20000000</v>
      </c>
      <c r="G4" s="5" t="s">
        <v>9</v>
      </c>
      <c r="H4">
        <v>9999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0"/>
  <sheetViews>
    <sheetView topLeftCell="E1" workbookViewId="0">
      <selection activeCell="Q7" sqref="Q7"/>
    </sheetView>
  </sheetViews>
  <sheetFormatPr defaultColWidth="9" defaultRowHeight="15"/>
  <cols>
    <col min="1" max="1" width="3.37142857142857" customWidth="1"/>
    <col min="2" max="2" width="8.87619047619048" customWidth="1"/>
    <col min="3" max="5" width="13.1238095238095" customWidth="1"/>
    <col min="6" max="13" width="15.247619047619" customWidth="1"/>
    <col min="14" max="16" width="9.87619047619048" customWidth="1"/>
    <col min="17" max="18" width="8.87619047619048" customWidth="1"/>
  </cols>
  <sheetData>
    <row r="1" spans="1:18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 spans="1:18">
      <c r="A2">
        <v>1</v>
      </c>
      <c r="B2">
        <v>1</v>
      </c>
      <c r="C2">
        <v>802000</v>
      </c>
      <c r="D2">
        <v>802000</v>
      </c>
      <c r="E2">
        <v>802000</v>
      </c>
      <c r="F2">
        <v>802000</v>
      </c>
      <c r="G2">
        <v>802000</v>
      </c>
      <c r="H2">
        <v>802000</v>
      </c>
      <c r="I2">
        <v>802000</v>
      </c>
      <c r="J2">
        <v>802000</v>
      </c>
      <c r="K2">
        <v>802000</v>
      </c>
      <c r="L2">
        <v>802000</v>
      </c>
      <c r="M2">
        <v>802000</v>
      </c>
      <c r="N2">
        <v>802003</v>
      </c>
      <c r="O2">
        <v>802003</v>
      </c>
      <c r="P2">
        <v>802003</v>
      </c>
      <c r="Q2">
        <v>802006</v>
      </c>
      <c r="R2">
        <v>802009</v>
      </c>
    </row>
    <row r="3" spans="1:18">
      <c r="A3">
        <v>1</v>
      </c>
      <c r="B3">
        <v>2</v>
      </c>
      <c r="C3">
        <v>802001</v>
      </c>
      <c r="D3">
        <v>802001</v>
      </c>
      <c r="E3">
        <v>802001</v>
      </c>
      <c r="F3">
        <v>802001</v>
      </c>
      <c r="G3">
        <v>802001</v>
      </c>
      <c r="H3">
        <v>802001</v>
      </c>
      <c r="I3">
        <v>802001</v>
      </c>
      <c r="J3">
        <v>802001</v>
      </c>
      <c r="K3">
        <v>802001</v>
      </c>
      <c r="L3">
        <v>802001</v>
      </c>
      <c r="M3">
        <v>802001</v>
      </c>
      <c r="N3">
        <v>802004</v>
      </c>
      <c r="O3">
        <v>802004</v>
      </c>
      <c r="P3">
        <v>802004</v>
      </c>
      <c r="Q3">
        <v>802007</v>
      </c>
      <c r="R3">
        <v>802009</v>
      </c>
    </row>
    <row r="4" spans="1:18">
      <c r="A4">
        <v>1</v>
      </c>
      <c r="B4">
        <v>3</v>
      </c>
      <c r="C4">
        <v>802002</v>
      </c>
      <c r="D4">
        <v>802002</v>
      </c>
      <c r="E4">
        <v>802002</v>
      </c>
      <c r="F4">
        <v>802002</v>
      </c>
      <c r="G4">
        <v>802002</v>
      </c>
      <c r="H4">
        <v>802002</v>
      </c>
      <c r="I4">
        <v>802002</v>
      </c>
      <c r="J4">
        <v>802002</v>
      </c>
      <c r="K4">
        <v>802002</v>
      </c>
      <c r="L4">
        <v>802002</v>
      </c>
      <c r="M4">
        <v>802002</v>
      </c>
      <c r="N4">
        <v>802005</v>
      </c>
      <c r="O4">
        <v>802005</v>
      </c>
      <c r="P4">
        <v>802005</v>
      </c>
      <c r="Q4">
        <v>802008</v>
      </c>
      <c r="R4">
        <v>802009</v>
      </c>
    </row>
    <row r="5" spans="1:18">
      <c r="A5">
        <v>2</v>
      </c>
      <c r="B5">
        <v>1</v>
      </c>
      <c r="C5">
        <v>802010</v>
      </c>
      <c r="D5">
        <v>802010</v>
      </c>
      <c r="E5">
        <v>802010</v>
      </c>
      <c r="F5">
        <v>802010</v>
      </c>
      <c r="G5">
        <v>802010</v>
      </c>
      <c r="H5">
        <v>802010</v>
      </c>
      <c r="I5">
        <v>802010</v>
      </c>
      <c r="J5">
        <v>802010</v>
      </c>
      <c r="K5">
        <v>802010</v>
      </c>
      <c r="L5">
        <v>802010</v>
      </c>
      <c r="M5">
        <v>802010</v>
      </c>
      <c r="N5">
        <v>802013</v>
      </c>
      <c r="O5">
        <v>802013</v>
      </c>
      <c r="P5">
        <v>802013</v>
      </c>
      <c r="Q5">
        <v>802016</v>
      </c>
      <c r="R5">
        <v>802009</v>
      </c>
    </row>
    <row r="6" spans="1:18">
      <c r="A6">
        <v>2</v>
      </c>
      <c r="B6">
        <v>2</v>
      </c>
      <c r="C6">
        <v>802011</v>
      </c>
      <c r="D6">
        <v>802011</v>
      </c>
      <c r="E6">
        <v>802011</v>
      </c>
      <c r="F6">
        <v>802011</v>
      </c>
      <c r="G6">
        <v>802011</v>
      </c>
      <c r="H6">
        <v>802011</v>
      </c>
      <c r="I6">
        <v>802011</v>
      </c>
      <c r="J6">
        <v>802011</v>
      </c>
      <c r="K6">
        <v>802011</v>
      </c>
      <c r="L6">
        <v>802011</v>
      </c>
      <c r="M6">
        <v>802011</v>
      </c>
      <c r="N6">
        <v>802014</v>
      </c>
      <c r="O6">
        <v>802014</v>
      </c>
      <c r="P6">
        <v>802014</v>
      </c>
      <c r="Q6">
        <v>802017</v>
      </c>
      <c r="R6">
        <v>802009</v>
      </c>
    </row>
    <row r="7" spans="1:18">
      <c r="A7">
        <v>2</v>
      </c>
      <c r="B7">
        <v>3</v>
      </c>
      <c r="C7">
        <v>802012</v>
      </c>
      <c r="D7">
        <v>802012</v>
      </c>
      <c r="E7">
        <v>802012</v>
      </c>
      <c r="F7">
        <v>802012</v>
      </c>
      <c r="G7">
        <v>802012</v>
      </c>
      <c r="H7">
        <v>802012</v>
      </c>
      <c r="I7">
        <v>802012</v>
      </c>
      <c r="J7">
        <v>802012</v>
      </c>
      <c r="K7">
        <v>802012</v>
      </c>
      <c r="L7">
        <v>802012</v>
      </c>
      <c r="M7">
        <v>802012</v>
      </c>
      <c r="N7">
        <v>802015</v>
      </c>
      <c r="O7">
        <v>802015</v>
      </c>
      <c r="P7">
        <v>802015</v>
      </c>
      <c r="Q7">
        <v>802018</v>
      </c>
      <c r="R7">
        <v>802009</v>
      </c>
    </row>
    <row r="8" spans="1:18">
      <c r="A8">
        <v>3</v>
      </c>
      <c r="B8">
        <v>1</v>
      </c>
      <c r="C8">
        <v>802020</v>
      </c>
      <c r="D8">
        <v>802020</v>
      </c>
      <c r="E8">
        <v>802020</v>
      </c>
      <c r="F8">
        <v>802020</v>
      </c>
      <c r="G8">
        <v>802020</v>
      </c>
      <c r="H8">
        <v>802020</v>
      </c>
      <c r="I8">
        <v>802020</v>
      </c>
      <c r="J8">
        <v>802020</v>
      </c>
      <c r="K8">
        <v>802020</v>
      </c>
      <c r="L8">
        <v>802020</v>
      </c>
      <c r="M8">
        <v>802020</v>
      </c>
      <c r="N8">
        <v>802023</v>
      </c>
      <c r="O8">
        <v>802023</v>
      </c>
      <c r="P8">
        <v>802023</v>
      </c>
      <c r="Q8">
        <v>802026</v>
      </c>
      <c r="R8">
        <v>802009</v>
      </c>
    </row>
    <row r="9" spans="1:18">
      <c r="A9">
        <v>3</v>
      </c>
      <c r="B9">
        <v>2</v>
      </c>
      <c r="C9">
        <v>802021</v>
      </c>
      <c r="D9">
        <v>802021</v>
      </c>
      <c r="E9">
        <v>802021</v>
      </c>
      <c r="F9">
        <v>802021</v>
      </c>
      <c r="G9">
        <v>802021</v>
      </c>
      <c r="H9">
        <v>802021</v>
      </c>
      <c r="I9">
        <v>802021</v>
      </c>
      <c r="J9">
        <v>802021</v>
      </c>
      <c r="K9">
        <v>802021</v>
      </c>
      <c r="L9">
        <v>802021</v>
      </c>
      <c r="M9">
        <v>802021</v>
      </c>
      <c r="N9">
        <v>802024</v>
      </c>
      <c r="O9">
        <v>802024</v>
      </c>
      <c r="P9">
        <v>802024</v>
      </c>
      <c r="Q9">
        <v>802027</v>
      </c>
      <c r="R9">
        <v>802009</v>
      </c>
    </row>
    <row r="10" spans="1:18">
      <c r="A10">
        <v>3</v>
      </c>
      <c r="B10">
        <v>3</v>
      </c>
      <c r="C10">
        <v>802022</v>
      </c>
      <c r="D10">
        <v>802022</v>
      </c>
      <c r="E10">
        <v>802022</v>
      </c>
      <c r="F10">
        <v>802022</v>
      </c>
      <c r="G10">
        <v>802022</v>
      </c>
      <c r="H10">
        <v>802022</v>
      </c>
      <c r="I10">
        <v>802022</v>
      </c>
      <c r="J10">
        <v>802022</v>
      </c>
      <c r="K10">
        <v>802022</v>
      </c>
      <c r="L10">
        <v>802022</v>
      </c>
      <c r="M10">
        <v>802022</v>
      </c>
      <c r="N10">
        <v>802025</v>
      </c>
      <c r="O10">
        <v>802025</v>
      </c>
      <c r="P10">
        <v>802025</v>
      </c>
      <c r="Q10">
        <v>802028</v>
      </c>
      <c r="R10">
        <v>802009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4"/>
  <sheetViews>
    <sheetView workbookViewId="0">
      <selection activeCell="B2" sqref="B2:Q4"/>
    </sheetView>
  </sheetViews>
  <sheetFormatPr defaultColWidth="9" defaultRowHeight="15" outlineLevelRow="3"/>
  <cols>
    <col min="1" max="1" width="11" customWidth="1"/>
    <col min="2" max="4" width="13.1238095238095" customWidth="1"/>
    <col min="5" max="12" width="15.247619047619" customWidth="1"/>
    <col min="13" max="15" width="9.87619047619048" customWidth="1"/>
    <col min="16" max="17" width="8.87619047619048" customWidth="1"/>
  </cols>
  <sheetData>
    <row r="1" spans="1:17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>
      <c r="A2">
        <v>1</v>
      </c>
      <c r="B2" s="9">
        <v>400700</v>
      </c>
      <c r="C2" s="9">
        <v>400700</v>
      </c>
      <c r="D2" s="9">
        <v>400700</v>
      </c>
      <c r="E2" s="9">
        <v>400700</v>
      </c>
      <c r="F2" s="9">
        <v>400700</v>
      </c>
      <c r="G2" s="9">
        <v>400700</v>
      </c>
      <c r="H2" s="9">
        <v>400700</v>
      </c>
      <c r="I2" s="9">
        <v>400700</v>
      </c>
      <c r="J2" s="9">
        <v>400700</v>
      </c>
      <c r="K2" s="9">
        <v>400700</v>
      </c>
      <c r="L2" s="9">
        <v>400700</v>
      </c>
      <c r="M2" s="9">
        <v>101600</v>
      </c>
      <c r="N2" s="9">
        <v>101600</v>
      </c>
      <c r="O2" s="9">
        <v>101600</v>
      </c>
      <c r="P2" s="9">
        <v>301400</v>
      </c>
      <c r="Q2" s="9">
        <v>400700</v>
      </c>
    </row>
    <row r="3" spans="1:17">
      <c r="A3">
        <v>2</v>
      </c>
      <c r="B3" s="9">
        <v>400700</v>
      </c>
      <c r="C3" s="9">
        <v>400700</v>
      </c>
      <c r="D3" s="9">
        <v>400700</v>
      </c>
      <c r="E3" s="9">
        <v>400700</v>
      </c>
      <c r="F3" s="9">
        <v>400700</v>
      </c>
      <c r="G3" s="9">
        <v>400700</v>
      </c>
      <c r="H3" s="9">
        <v>400700</v>
      </c>
      <c r="I3" s="9">
        <v>400700</v>
      </c>
      <c r="J3" s="9">
        <v>400700</v>
      </c>
      <c r="K3" s="9">
        <v>400700</v>
      </c>
      <c r="L3" s="9">
        <v>400700</v>
      </c>
      <c r="M3" s="9">
        <v>201400</v>
      </c>
      <c r="N3" s="9">
        <v>201400</v>
      </c>
      <c r="O3" s="9">
        <v>201400</v>
      </c>
      <c r="P3" s="9">
        <v>102000</v>
      </c>
      <c r="Q3" s="9">
        <v>201500</v>
      </c>
    </row>
    <row r="4" spans="1:17">
      <c r="A4">
        <v>3</v>
      </c>
      <c r="B4" s="9">
        <v>400700</v>
      </c>
      <c r="C4" s="9">
        <v>400700</v>
      </c>
      <c r="D4" s="9">
        <v>400700</v>
      </c>
      <c r="E4" s="9">
        <v>400700</v>
      </c>
      <c r="F4" s="9">
        <v>400700</v>
      </c>
      <c r="G4" s="9">
        <v>400700</v>
      </c>
      <c r="H4" s="9">
        <v>400700</v>
      </c>
      <c r="I4" s="9">
        <v>400700</v>
      </c>
      <c r="J4" s="9">
        <v>400700</v>
      </c>
      <c r="K4" s="9">
        <v>400700</v>
      </c>
      <c r="L4" s="9">
        <v>400700</v>
      </c>
      <c r="M4" s="9">
        <v>102000</v>
      </c>
      <c r="N4" s="9">
        <v>102000</v>
      </c>
      <c r="O4" s="9">
        <v>102000</v>
      </c>
      <c r="P4" s="9">
        <v>500600</v>
      </c>
      <c r="Q4" s="9">
        <v>102000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4"/>
  <sheetViews>
    <sheetView workbookViewId="0">
      <selection activeCell="E44" sqref="E44"/>
    </sheetView>
  </sheetViews>
  <sheetFormatPr defaultColWidth="9" defaultRowHeight="15" outlineLevelRow="3" outlineLevelCol="4"/>
  <cols>
    <col min="3" max="5" width="12.8761904761905" customWidth="1"/>
    <col min="6" max="15" width="26" customWidth="1"/>
  </cols>
  <sheetData>
    <row r="1" spans="1:5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 spans="1:5">
      <c r="A2">
        <v>1</v>
      </c>
      <c r="B2">
        <v>80</v>
      </c>
      <c r="C2">
        <v>400</v>
      </c>
      <c r="D2">
        <v>1000</v>
      </c>
      <c r="E2">
        <v>-1</v>
      </c>
    </row>
    <row r="3" spans="1:5">
      <c r="A3">
        <v>2</v>
      </c>
      <c r="B3">
        <v>80</v>
      </c>
      <c r="C3">
        <v>400</v>
      </c>
      <c r="D3">
        <v>1000</v>
      </c>
      <c r="E3">
        <v>-1</v>
      </c>
    </row>
    <row r="4" spans="1:5">
      <c r="A4">
        <v>3</v>
      </c>
      <c r="B4">
        <v>80</v>
      </c>
      <c r="C4">
        <v>400</v>
      </c>
      <c r="D4">
        <v>1000</v>
      </c>
      <c r="E4">
        <v>-1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6"/>
  <sheetViews>
    <sheetView workbookViewId="0">
      <selection activeCell="D24" sqref="D24"/>
    </sheetView>
  </sheetViews>
  <sheetFormatPr defaultColWidth="9" defaultRowHeight="15" outlineLevelRow="5" outlineLevelCol="3"/>
  <cols>
    <col min="3" max="3" width="59.752380952381" customWidth="1"/>
    <col min="4" max="6" width="22.6285714285714" customWidth="1"/>
  </cols>
  <sheetData>
    <row r="1" spans="1:3">
      <c r="A1" t="s">
        <v>33</v>
      </c>
      <c r="B1" t="s">
        <v>34</v>
      </c>
      <c r="C1" t="s">
        <v>35</v>
      </c>
    </row>
    <row r="2" spans="1:4">
      <c r="A2">
        <v>1</v>
      </c>
      <c r="B2">
        <v>1</v>
      </c>
      <c r="C2" s="5" t="s">
        <v>36</v>
      </c>
      <c r="D2" t="s">
        <v>37</v>
      </c>
    </row>
    <row r="3" spans="1:4">
      <c r="A3">
        <v>2</v>
      </c>
      <c r="B3">
        <v>2</v>
      </c>
      <c r="C3" s="5" t="s">
        <v>38</v>
      </c>
      <c r="D3" t="s">
        <v>39</v>
      </c>
    </row>
    <row r="4" spans="1:4">
      <c r="A4">
        <v>3</v>
      </c>
      <c r="B4">
        <v>3</v>
      </c>
      <c r="C4" s="5" t="s">
        <v>40</v>
      </c>
      <c r="D4" t="s">
        <v>41</v>
      </c>
    </row>
    <row r="5" spans="1:4">
      <c r="A5">
        <v>4</v>
      </c>
      <c r="B5">
        <v>5</v>
      </c>
      <c r="C5" s="5" t="s">
        <v>42</v>
      </c>
      <c r="D5" t="s">
        <v>43</v>
      </c>
    </row>
    <row r="6" spans="1:4">
      <c r="A6">
        <v>6</v>
      </c>
      <c r="B6">
        <v>10</v>
      </c>
      <c r="C6" s="5" t="s">
        <v>44</v>
      </c>
      <c r="D6" t="s">
        <v>45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62"/>
  <sheetViews>
    <sheetView workbookViewId="0">
      <selection activeCell="I17" sqref="I17"/>
    </sheetView>
  </sheetViews>
  <sheetFormatPr defaultColWidth="9" defaultRowHeight="15" outlineLevelCol="6"/>
  <cols>
    <col min="1" max="1" width="9" style="1"/>
    <col min="2" max="2" width="8.5047619047619" style="1" customWidth="1"/>
    <col min="3" max="3" width="23.3714285714286" style="1" customWidth="1"/>
    <col min="4" max="4" width="12.8761904761905" customWidth="1"/>
    <col min="12" max="12" width="13.8761904761905" customWidth="1"/>
    <col min="13" max="13" width="15" customWidth="1"/>
    <col min="14" max="14" width="17" customWidth="1"/>
  </cols>
  <sheetData>
    <row r="1" spans="1:6">
      <c r="A1" s="1" t="s">
        <v>46</v>
      </c>
      <c r="B1" s="1" t="s">
        <v>47</v>
      </c>
      <c r="C1" s="1" t="s">
        <v>35</v>
      </c>
      <c r="F1" t="s">
        <v>48</v>
      </c>
    </row>
    <row r="2" spans="1:7">
      <c r="A2" s="1">
        <v>10004</v>
      </c>
      <c r="B2" s="1">
        <v>100</v>
      </c>
      <c r="C2" s="4" t="s">
        <v>49</v>
      </c>
      <c r="D2" s="5" t="s">
        <v>50</v>
      </c>
      <c r="E2" s="5">
        <v>50</v>
      </c>
      <c r="G2" s="6">
        <f t="shared" ref="G2:G17" si="0">B2/$G$19</f>
        <v>0.00548847420417124</v>
      </c>
    </row>
    <row r="3" spans="1:7">
      <c r="A3" s="1">
        <v>10008</v>
      </c>
      <c r="B3" s="1">
        <v>500</v>
      </c>
      <c r="C3" s="4" t="s">
        <v>51</v>
      </c>
      <c r="D3" s="5" t="s">
        <v>50</v>
      </c>
      <c r="E3">
        <v>25</v>
      </c>
      <c r="G3" s="6">
        <f t="shared" si="0"/>
        <v>0.0274423710208562</v>
      </c>
    </row>
    <row r="4" spans="1:7">
      <c r="A4" s="1">
        <v>10011</v>
      </c>
      <c r="B4" s="1">
        <v>3000</v>
      </c>
      <c r="C4" s="4" t="s">
        <v>52</v>
      </c>
      <c r="D4" s="5" t="s">
        <v>50</v>
      </c>
      <c r="E4">
        <v>15</v>
      </c>
      <c r="G4" s="6">
        <f t="shared" si="0"/>
        <v>0.164654226125137</v>
      </c>
    </row>
    <row r="5" spans="1:7">
      <c r="A5" s="1">
        <v>10013</v>
      </c>
      <c r="B5" s="1">
        <v>500</v>
      </c>
      <c r="C5" s="4" t="s">
        <v>53</v>
      </c>
      <c r="D5" s="5" t="s">
        <v>54</v>
      </c>
      <c r="E5" s="5">
        <v>5</v>
      </c>
      <c r="G5" s="6">
        <f t="shared" si="0"/>
        <v>0.0274423710208562</v>
      </c>
    </row>
    <row r="6" spans="1:7">
      <c r="A6" s="1">
        <v>10019</v>
      </c>
      <c r="B6" s="1">
        <v>1500</v>
      </c>
      <c r="C6" s="4" t="s">
        <v>55</v>
      </c>
      <c r="D6" s="5" t="s">
        <v>54</v>
      </c>
      <c r="E6" s="5">
        <v>3</v>
      </c>
      <c r="G6" s="6">
        <f t="shared" si="0"/>
        <v>0.0823271130625686</v>
      </c>
    </row>
    <row r="7" spans="1:7">
      <c r="A7" s="1">
        <v>10020</v>
      </c>
      <c r="B7" s="1">
        <v>2500</v>
      </c>
      <c r="C7" s="4" t="s">
        <v>56</v>
      </c>
      <c r="D7" s="5" t="s">
        <v>54</v>
      </c>
      <c r="E7" s="5">
        <v>1</v>
      </c>
      <c r="G7" s="6">
        <f t="shared" si="0"/>
        <v>0.137211855104281</v>
      </c>
    </row>
    <row r="8" spans="1:7">
      <c r="A8" s="1">
        <v>10021</v>
      </c>
      <c r="B8" s="1">
        <v>2000</v>
      </c>
      <c r="C8" s="4" t="s">
        <v>57</v>
      </c>
      <c r="D8" s="5" t="s">
        <v>58</v>
      </c>
      <c r="E8" s="5">
        <v>1</v>
      </c>
      <c r="G8" s="6">
        <f t="shared" si="0"/>
        <v>0.109769484083425</v>
      </c>
    </row>
    <row r="9" spans="1:7">
      <c r="A9" s="1">
        <v>10022</v>
      </c>
      <c r="B9" s="1">
        <v>5000</v>
      </c>
      <c r="C9" s="4" t="s">
        <v>59</v>
      </c>
      <c r="D9" s="5" t="s">
        <v>60</v>
      </c>
      <c r="E9" s="5">
        <v>500</v>
      </c>
      <c r="G9" s="6">
        <f t="shared" si="0"/>
        <v>0.274423710208562</v>
      </c>
    </row>
    <row r="10" spans="1:7">
      <c r="A10" s="1">
        <v>10023</v>
      </c>
      <c r="B10" s="1">
        <v>200</v>
      </c>
      <c r="C10" s="4" t="s">
        <v>61</v>
      </c>
      <c r="D10" s="5" t="s">
        <v>62</v>
      </c>
      <c r="E10" s="5">
        <v>5</v>
      </c>
      <c r="G10" s="6">
        <f t="shared" si="0"/>
        <v>0.0109769484083425</v>
      </c>
    </row>
    <row r="11" spans="1:7">
      <c r="A11" s="1">
        <v>10024</v>
      </c>
      <c r="B11" s="1">
        <v>1000</v>
      </c>
      <c r="C11" s="4" t="s">
        <v>63</v>
      </c>
      <c r="D11" s="5" t="s">
        <v>62</v>
      </c>
      <c r="E11" s="5">
        <v>2</v>
      </c>
      <c r="G11" s="6">
        <f t="shared" si="0"/>
        <v>0.0548847420417124</v>
      </c>
    </row>
    <row r="12" spans="1:7">
      <c r="A12" s="1">
        <v>10025</v>
      </c>
      <c r="B12" s="1">
        <v>150</v>
      </c>
      <c r="C12" s="4" t="s">
        <v>64</v>
      </c>
      <c r="D12" s="7" t="s">
        <v>65</v>
      </c>
      <c r="E12" s="7">
        <v>5</v>
      </c>
      <c r="F12" s="7" t="s">
        <v>66</v>
      </c>
      <c r="G12" s="6">
        <f t="shared" si="0"/>
        <v>0.00823271130625686</v>
      </c>
    </row>
    <row r="13" spans="1:7">
      <c r="A13" s="1">
        <v>10026</v>
      </c>
      <c r="B13" s="1">
        <v>300</v>
      </c>
      <c r="C13" s="4" t="s">
        <v>67</v>
      </c>
      <c r="D13" s="7" t="s">
        <v>65</v>
      </c>
      <c r="E13" s="7">
        <v>3</v>
      </c>
      <c r="F13" s="7" t="s">
        <v>68</v>
      </c>
      <c r="G13" s="6">
        <f t="shared" si="0"/>
        <v>0.0164654226125137</v>
      </c>
    </row>
    <row r="14" spans="1:7">
      <c r="A14" s="1">
        <v>10027</v>
      </c>
      <c r="B14" s="1">
        <v>300</v>
      </c>
      <c r="C14" s="4" t="s">
        <v>69</v>
      </c>
      <c r="D14" s="5" t="s">
        <v>70</v>
      </c>
      <c r="E14" s="5">
        <v>3</v>
      </c>
      <c r="G14" s="6">
        <f t="shared" si="0"/>
        <v>0.0164654226125137</v>
      </c>
    </row>
    <row r="15" spans="1:7">
      <c r="A15" s="1">
        <v>10028</v>
      </c>
      <c r="B15" s="1">
        <v>1000</v>
      </c>
      <c r="C15" s="4" t="s">
        <v>71</v>
      </c>
      <c r="D15" s="5" t="s">
        <v>70</v>
      </c>
      <c r="E15" s="5">
        <v>1</v>
      </c>
      <c r="G15" s="6">
        <f t="shared" si="0"/>
        <v>0.0548847420417124</v>
      </c>
    </row>
    <row r="16" spans="1:7">
      <c r="A16" s="1">
        <v>10029</v>
      </c>
      <c r="B16" s="1">
        <v>150</v>
      </c>
      <c r="C16" s="4" t="s">
        <v>72</v>
      </c>
      <c r="D16" s="7" t="s">
        <v>73</v>
      </c>
      <c r="E16" s="7">
        <v>1</v>
      </c>
      <c r="F16" s="7" t="s">
        <v>68</v>
      </c>
      <c r="G16" s="6">
        <f t="shared" si="0"/>
        <v>0.00823271130625686</v>
      </c>
    </row>
    <row r="17" spans="1:7">
      <c r="A17" s="1">
        <v>10030</v>
      </c>
      <c r="B17" s="1">
        <v>20</v>
      </c>
      <c r="C17" s="4" t="s">
        <v>74</v>
      </c>
      <c r="D17" s="7" t="s">
        <v>73</v>
      </c>
      <c r="E17" s="7">
        <v>2</v>
      </c>
      <c r="F17" s="7" t="s">
        <v>66</v>
      </c>
      <c r="G17" s="6">
        <f t="shared" si="0"/>
        <v>0.00109769484083425</v>
      </c>
    </row>
    <row r="18" spans="1:3">
      <c r="A18"/>
      <c r="B18"/>
      <c r="C18"/>
    </row>
    <row r="19" spans="1:7">
      <c r="A19"/>
      <c r="B19"/>
      <c r="C19"/>
      <c r="G19">
        <f>SUM(B2:B17)</f>
        <v>18220</v>
      </c>
    </row>
    <row r="20" spans="1:3">
      <c r="A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2"/>
  <sheetViews>
    <sheetView workbookViewId="0">
      <selection activeCell="G2" sqref="G2"/>
    </sheetView>
  </sheetViews>
  <sheetFormatPr defaultColWidth="9" defaultRowHeight="15" outlineLevelRow="1" outlineLevelCol="6"/>
  <cols>
    <col min="1" max="2" width="12.8761904761905" customWidth="1"/>
    <col min="3" max="7" width="14" customWidth="1"/>
  </cols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>
        <v>1</v>
      </c>
      <c r="B2">
        <v>1</v>
      </c>
      <c r="C2">
        <v>7</v>
      </c>
      <c r="D2">
        <v>6</v>
      </c>
      <c r="E2">
        <v>5</v>
      </c>
      <c r="F2">
        <v>4</v>
      </c>
      <c r="G2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10"/>
  <sheetViews>
    <sheetView workbookViewId="0">
      <selection activeCell="G18" sqref="G18"/>
    </sheetView>
  </sheetViews>
  <sheetFormatPr defaultColWidth="9" defaultRowHeight="15" outlineLevelCol="7"/>
  <cols>
    <col min="3" max="3" width="12.8761904761905" customWidth="1"/>
    <col min="4" max="5" width="17.1238095238095" customWidth="1"/>
    <col min="6" max="6" width="12.8761904761905" customWidth="1"/>
    <col min="7" max="8" width="17.1238095238095" customWidth="1"/>
  </cols>
  <sheetData>
    <row r="1" spans="1:8">
      <c r="A1" t="s">
        <v>82</v>
      </c>
      <c r="B1" t="s">
        <v>1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 spans="1:8">
      <c r="A2">
        <v>1</v>
      </c>
      <c r="B2">
        <v>1</v>
      </c>
      <c r="C2">
        <v>20</v>
      </c>
      <c r="D2">
        <v>20</v>
      </c>
      <c r="E2">
        <v>20</v>
      </c>
      <c r="F2">
        <v>2400000</v>
      </c>
      <c r="G2">
        <v>3150000</v>
      </c>
      <c r="H2">
        <v>3600000</v>
      </c>
    </row>
    <row r="3" spans="1:8">
      <c r="A3">
        <v>1</v>
      </c>
      <c r="B3">
        <v>2</v>
      </c>
      <c r="C3">
        <v>30</v>
      </c>
      <c r="D3">
        <v>50</v>
      </c>
      <c r="E3">
        <v>60</v>
      </c>
      <c r="F3">
        <v>2700000</v>
      </c>
      <c r="G3">
        <v>3300000</v>
      </c>
      <c r="H3">
        <v>3750000</v>
      </c>
    </row>
    <row r="4" spans="1:8">
      <c r="A4">
        <v>1</v>
      </c>
      <c r="B4">
        <v>3</v>
      </c>
      <c r="C4">
        <v>40</v>
      </c>
      <c r="D4">
        <v>80</v>
      </c>
      <c r="E4">
        <v>100</v>
      </c>
      <c r="F4">
        <v>3000000</v>
      </c>
      <c r="G4">
        <v>3450000</v>
      </c>
      <c r="H4">
        <v>3900000</v>
      </c>
    </row>
    <row r="5" spans="1:8">
      <c r="A5">
        <v>2</v>
      </c>
      <c r="B5">
        <v>1</v>
      </c>
      <c r="C5">
        <v>20</v>
      </c>
      <c r="D5">
        <v>20</v>
      </c>
      <c r="E5">
        <v>20</v>
      </c>
      <c r="F5">
        <v>9600000</v>
      </c>
      <c r="G5">
        <v>12600000</v>
      </c>
      <c r="H5">
        <v>14400000</v>
      </c>
    </row>
    <row r="6" spans="1:8">
      <c r="A6">
        <v>2</v>
      </c>
      <c r="B6">
        <v>2</v>
      </c>
      <c r="C6">
        <v>30</v>
      </c>
      <c r="D6">
        <v>50</v>
      </c>
      <c r="E6">
        <v>60</v>
      </c>
      <c r="F6">
        <v>10800000</v>
      </c>
      <c r="G6">
        <v>13200000</v>
      </c>
      <c r="H6">
        <v>15000000</v>
      </c>
    </row>
    <row r="7" spans="1:8">
      <c r="A7">
        <v>2</v>
      </c>
      <c r="B7">
        <v>3</v>
      </c>
      <c r="C7">
        <v>40</v>
      </c>
      <c r="D7">
        <v>80</v>
      </c>
      <c r="E7">
        <v>100</v>
      </c>
      <c r="F7">
        <v>12000000</v>
      </c>
      <c r="G7">
        <v>13800000</v>
      </c>
      <c r="H7">
        <v>15600000</v>
      </c>
    </row>
    <row r="8" spans="1:8">
      <c r="A8">
        <v>3</v>
      </c>
      <c r="B8">
        <v>1</v>
      </c>
      <c r="C8">
        <v>20</v>
      </c>
      <c r="D8">
        <v>20</v>
      </c>
      <c r="E8">
        <v>20</v>
      </c>
      <c r="F8">
        <v>16000000</v>
      </c>
      <c r="G8">
        <v>21000000</v>
      </c>
      <c r="H8">
        <v>24000000</v>
      </c>
    </row>
    <row r="9" spans="1:8">
      <c r="A9">
        <v>3</v>
      </c>
      <c r="B9">
        <v>2</v>
      </c>
      <c r="C9">
        <v>30</v>
      </c>
      <c r="D9">
        <v>50</v>
      </c>
      <c r="E9">
        <v>60</v>
      </c>
      <c r="F9">
        <v>18000000</v>
      </c>
      <c r="G9">
        <v>22000000</v>
      </c>
      <c r="H9">
        <v>25000000</v>
      </c>
    </row>
    <row r="10" spans="1:8">
      <c r="A10">
        <v>3</v>
      </c>
      <c r="B10">
        <v>3</v>
      </c>
      <c r="C10">
        <v>40</v>
      </c>
      <c r="D10">
        <v>80</v>
      </c>
      <c r="E10">
        <v>100</v>
      </c>
      <c r="F10">
        <v>20000000</v>
      </c>
      <c r="G10">
        <v>23000000</v>
      </c>
      <c r="H10">
        <v>26000000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G10"/>
  <sheetViews>
    <sheetView workbookViewId="0">
      <selection activeCell="F12" sqref="F12"/>
    </sheetView>
  </sheetViews>
  <sheetFormatPr defaultColWidth="9" defaultRowHeight="15" outlineLevelCol="6"/>
  <cols>
    <col min="2" max="2" width="8.87619047619048" customWidth="1"/>
    <col min="3" max="3" width="32.752380952381" customWidth="1"/>
    <col min="4" max="4" width="33.8761904761905" customWidth="1"/>
    <col min="5" max="5" width="36.1238095238095" customWidth="1"/>
    <col min="6" max="6" width="35" customWidth="1"/>
    <col min="7" max="7" width="33.8761904761905" customWidth="1"/>
    <col min="8" max="12" width="26" customWidth="1"/>
  </cols>
  <sheetData>
    <row r="1" spans="1:7">
      <c r="A1" s="1" t="s">
        <v>0</v>
      </c>
      <c r="B1" s="1" t="s">
        <v>12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>
      <c r="A2" s="3">
        <v>1</v>
      </c>
      <c r="B2" s="3">
        <v>1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</row>
    <row r="3" spans="1:7">
      <c r="A3" s="3">
        <v>1</v>
      </c>
      <c r="B3" s="3">
        <v>2</v>
      </c>
      <c r="C3" t="s">
        <v>95</v>
      </c>
      <c r="D3" t="s">
        <v>99</v>
      </c>
      <c r="E3" t="s">
        <v>100</v>
      </c>
      <c r="F3" t="s">
        <v>101</v>
      </c>
      <c r="G3" t="s">
        <v>102</v>
      </c>
    </row>
    <row r="4" spans="1:7">
      <c r="A4" s="3">
        <v>1</v>
      </c>
      <c r="B4" s="3">
        <v>3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>
      <c r="A5" s="3">
        <v>2</v>
      </c>
      <c r="B5" s="3">
        <v>1</v>
      </c>
      <c r="C5" t="s">
        <v>108</v>
      </c>
      <c r="D5" t="s">
        <v>104</v>
      </c>
      <c r="E5" t="s">
        <v>105</v>
      </c>
      <c r="F5" t="s">
        <v>106</v>
      </c>
      <c r="G5" t="s">
        <v>107</v>
      </c>
    </row>
    <row r="6" spans="1:7">
      <c r="A6" s="3">
        <v>2</v>
      </c>
      <c r="B6" s="3">
        <v>2</v>
      </c>
      <c r="C6" t="s">
        <v>109</v>
      </c>
      <c r="D6" t="s">
        <v>101</v>
      </c>
      <c r="E6" t="s">
        <v>110</v>
      </c>
      <c r="F6" t="s">
        <v>111</v>
      </c>
      <c r="G6" t="s">
        <v>112</v>
      </c>
    </row>
    <row r="7" spans="1:7">
      <c r="A7" s="3">
        <v>2</v>
      </c>
      <c r="B7" s="3">
        <v>3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</row>
    <row r="8" spans="1:7">
      <c r="A8" s="3">
        <v>3</v>
      </c>
      <c r="B8" s="3">
        <v>1</v>
      </c>
      <c r="C8" t="s">
        <v>118</v>
      </c>
      <c r="D8" t="s">
        <v>119</v>
      </c>
      <c r="E8" t="s">
        <v>120</v>
      </c>
      <c r="F8" t="s">
        <v>116</v>
      </c>
      <c r="G8" t="s">
        <v>121</v>
      </c>
    </row>
    <row r="9" spans="1:7">
      <c r="A9" s="3">
        <v>3</v>
      </c>
      <c r="B9" s="3">
        <v>2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</row>
    <row r="10" spans="1:7">
      <c r="A10" s="3">
        <v>3</v>
      </c>
      <c r="B10" s="3">
        <v>3</v>
      </c>
      <c r="C10" t="s">
        <v>127</v>
      </c>
      <c r="D10" t="s">
        <v>116</v>
      </c>
      <c r="E10" t="s">
        <v>128</v>
      </c>
      <c r="F10" t="s">
        <v>129</v>
      </c>
      <c r="G10" t="s">
        <v>130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5"/>
  <sheetViews>
    <sheetView workbookViewId="0">
      <selection activeCell="C1" sqref="C1"/>
    </sheetView>
  </sheetViews>
  <sheetFormatPr defaultColWidth="9" defaultRowHeight="15" outlineLevelRow="4" outlineLevelCol="1"/>
  <sheetData>
    <row r="1" spans="1:2">
      <c r="A1" s="1" t="s">
        <v>0</v>
      </c>
      <c r="B1" s="1" t="s">
        <v>131</v>
      </c>
    </row>
    <row r="2" spans="1:2">
      <c r="A2" s="1">
        <v>1</v>
      </c>
      <c r="B2" s="1" t="s">
        <v>132</v>
      </c>
    </row>
    <row r="3" spans="1:2">
      <c r="A3" s="1">
        <v>2</v>
      </c>
      <c r="B3" s="1" t="s">
        <v>133</v>
      </c>
    </row>
    <row r="4" spans="1:2">
      <c r="A4" s="1">
        <v>3</v>
      </c>
      <c r="B4" s="1" t="s">
        <v>134</v>
      </c>
    </row>
    <row r="5" spans="1:2">
      <c r="A5" s="1">
        <v>4</v>
      </c>
      <c r="B5" s="1" t="s">
        <v>135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24"/>
  <sheetViews>
    <sheetView workbookViewId="0">
      <selection activeCell="I31" sqref="I31"/>
    </sheetView>
  </sheetViews>
  <sheetFormatPr defaultColWidth="9" defaultRowHeight="15"/>
  <cols>
    <col min="1" max="1" width="23.6285714285714" style="1" customWidth="1"/>
    <col min="2" max="3" width="9" style="1"/>
    <col min="4" max="6" width="12.8761904761905" style="1" customWidth="1"/>
    <col min="7" max="16384" width="9" style="1"/>
  </cols>
  <sheetData>
    <row r="1" spans="1:1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K1" s="1" t="s">
        <v>145</v>
      </c>
    </row>
    <row r="2" spans="1:9">
      <c r="A2" s="1">
        <v>10</v>
      </c>
      <c r="B2" s="1">
        <v>40</v>
      </c>
      <c r="C2" s="1">
        <v>10</v>
      </c>
      <c r="D2" s="1">
        <v>3</v>
      </c>
      <c r="E2" s="1">
        <v>5</v>
      </c>
      <c r="F2" s="1">
        <v>7</v>
      </c>
      <c r="G2" s="1">
        <v>20</v>
      </c>
      <c r="H2" s="1">
        <v>20</v>
      </c>
      <c r="I2" s="1">
        <v>20</v>
      </c>
    </row>
    <row r="3" spans="7:9">
      <c r="G3" s="1">
        <v>30</v>
      </c>
      <c r="H3" s="1">
        <v>50</v>
      </c>
      <c r="I3" s="1">
        <v>60</v>
      </c>
    </row>
    <row r="4" spans="3:9">
      <c r="C4" s="1">
        <v>20</v>
      </c>
      <c r="G4" s="1">
        <v>40</v>
      </c>
      <c r="H4" s="1">
        <v>80</v>
      </c>
      <c r="I4" s="1">
        <v>100</v>
      </c>
    </row>
    <row r="7" spans="2:2">
      <c r="B7" s="1" t="s">
        <v>146</v>
      </c>
    </row>
    <row r="8" ht="30" spans="1:11">
      <c r="A8" s="2" t="s">
        <v>147</v>
      </c>
      <c r="B8" s="1">
        <f>A2*F2*D2*G2</f>
        <v>4200</v>
      </c>
      <c r="G8" s="1">
        <v>80</v>
      </c>
      <c r="H8" s="1">
        <v>400</v>
      </c>
      <c r="I8" s="1">
        <v>1000</v>
      </c>
      <c r="K8" s="1">
        <f>I8*I9+H8*H9+G8*G9</f>
        <v>4840</v>
      </c>
    </row>
    <row r="9" ht="30" spans="1:9">
      <c r="A9" s="2" t="s">
        <v>148</v>
      </c>
      <c r="B9" s="1">
        <f>A2*E2*D2*G4</f>
        <v>6000</v>
      </c>
      <c r="G9" s="1">
        <v>33</v>
      </c>
      <c r="H9" s="1">
        <v>3</v>
      </c>
      <c r="I9" s="1">
        <v>1</v>
      </c>
    </row>
    <row r="10" spans="7:9">
      <c r="G10" s="1">
        <f t="shared" ref="G10:I10" si="0">G9*G8</f>
        <v>2640</v>
      </c>
      <c r="H10" s="1">
        <f t="shared" si="0"/>
        <v>1200</v>
      </c>
      <c r="I10" s="1">
        <f t="shared" si="0"/>
        <v>1000</v>
      </c>
    </row>
    <row r="13" spans="7:7">
      <c r="G13" s="1" t="s">
        <v>149</v>
      </c>
    </row>
    <row r="21" spans="5:5">
      <c r="E21" s="1">
        <f>85*80</f>
        <v>6800</v>
      </c>
    </row>
    <row r="22" spans="5:5">
      <c r="E22" s="1">
        <f>720*5</f>
        <v>3600</v>
      </c>
    </row>
    <row r="23" spans="5:5">
      <c r="E23" s="1">
        <v>1500</v>
      </c>
    </row>
    <row r="24" spans="5:5">
      <c r="E24" s="1">
        <f>SUM(E21:E23)</f>
        <v>11900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上古之战战场表</vt:lpstr>
      <vt:lpstr>上古之战怪物</vt:lpstr>
      <vt:lpstr>上古之战怪物展示</vt:lpstr>
      <vt:lpstr>上古之战怪物血量</vt:lpstr>
      <vt:lpstr>上古之战排行榜</vt:lpstr>
      <vt:lpstr>上古之战抽奖</vt:lpstr>
      <vt:lpstr>上古之战抽奖次数</vt:lpstr>
      <vt:lpstr>上古之战战斗扣血</vt:lpstr>
      <vt:lpstr>上古之战战斗奖励</vt:lpstr>
      <vt:lpstr>上古之战怪物名称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2021-09-01T06:17:00Z</dcterms:created>
  <dcterms:modified xsi:type="dcterms:W3CDTF">2024-01-06T04:33:43Z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83879BB8220B42069C090C4B54A6878B</vt:lpwstr>
  </property>
  <property fmtid="{D5CDD505-2E9C-101B-9397-08002B2CF9AE}" pid="3" name="KSOProductBuildVer">
    <vt:lpwstr>1033-12.2.0.13410</vt:lpwstr>
  </property>
</Properties>
</file>