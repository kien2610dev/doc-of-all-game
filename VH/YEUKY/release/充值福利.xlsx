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ToolAFK\release\"/>
    </mc:Choice>
  </mc:AlternateContent>
  <xr:revisionPtr revIDLastSave="0" documentId="13_ncr:1_{E77571DF-7AD8-4AD1-B70B-2BBFAD0AE34B}" xr6:coauthVersionLast="47" xr6:coauthVersionMax="47" xr10:uidLastSave="{00000000-0000-0000-0000-000000000000}"/>
  <bookViews>
    <workbookView xWindow="-120" yWindow="-120" windowWidth="29040" windowHeight="15840" tabRatio="1000" activeTab="5" xr2:uid="{00000000-000D-0000-FFFF-FFFF00000000}"/>
  </bookViews>
  <sheets>
    <sheet name="付费充值" sheetId="7" r:id="rId1"/>
    <sheet name="特权商城" sheetId="8" r:id="rId2"/>
    <sheet name="每日礼包" sheetId="1" r:id="rId3"/>
    <sheet name="每日礼奖品池" sheetId="2" r:id="rId4"/>
    <sheet name="周限购商城" sheetId="13" r:id="rId5"/>
    <sheet name="月限购商城" sheetId="14" r:id="rId6"/>
    <sheet name="月卡" sheetId="10" r:id="rId7"/>
    <sheet name="成长基金" sheetId="4" r:id="rId8"/>
    <sheet name="爬塔基金" sheetId="11" r:id="rId9"/>
    <sheet name="种族塔基金" sheetId="25" r:id="rId10"/>
    <sheet name="快速作战基金" sheetId="12" r:id="rId11"/>
    <sheet name="月基金" sheetId="6" r:id="rId12"/>
    <sheet name="月基金奖励分组" sheetId="26" r:id="rId13"/>
    <sheet name="月基金奖励" sheetId="9" r:id="rId14"/>
    <sheet name="钜惠礼包" sheetId="15" r:id="rId15"/>
    <sheet name="Sheet1" sheetId="27" r:id="rId16"/>
    <sheet name="每日累充" sheetId="16" r:id="rId17"/>
    <sheet name="积天豪礼" sheetId="17" r:id="rId18"/>
    <sheet name="每日首充" sheetId="19" r:id="rId19"/>
    <sheet name="全服限购商品" sheetId="20" r:id="rId20"/>
    <sheet name="全服限购次数奖励" sheetId="21" r:id="rId21"/>
    <sheet name="超级特权" sheetId="22" r:id="rId22"/>
    <sheet name="周末限购商城" sheetId="24" r:id="rId23"/>
  </sheets>
  <calcPr calcId="181029"/>
</workbook>
</file>

<file path=xl/calcChain.xml><?xml version="1.0" encoding="utf-8"?>
<calcChain xmlns="http://schemas.openxmlformats.org/spreadsheetml/2006/main">
  <c r="G32" i="27" l="1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9" i="27"/>
  <c r="G8" i="27"/>
  <c r="G7" i="27"/>
  <c r="G6" i="27"/>
  <c r="G5" i="27"/>
  <c r="G4" i="27"/>
  <c r="G3" i="27"/>
  <c r="G2" i="27"/>
  <c r="G1" i="27"/>
  <c r="D40" i="26"/>
  <c r="D41" i="26" s="1"/>
  <c r="D42" i="26" s="1"/>
  <c r="D43" i="26" s="1"/>
  <c r="D44" i="26" s="1"/>
  <c r="D45" i="26" s="1"/>
  <c r="D46" i="26" s="1"/>
  <c r="D47" i="26" s="1"/>
  <c r="D48" i="26" s="1"/>
  <c r="D49" i="26" s="1"/>
  <c r="D50" i="26" s="1"/>
  <c r="D51" i="26" s="1"/>
  <c r="D52" i="26" s="1"/>
  <c r="D53" i="26" s="1"/>
  <c r="D54" i="26" s="1"/>
  <c r="D55" i="26" s="1"/>
  <c r="D56" i="26" s="1"/>
  <c r="D57" i="26" s="1"/>
  <c r="D58" i="26" s="1"/>
  <c r="D59" i="26" s="1"/>
  <c r="D60" i="26" s="1"/>
  <c r="D61" i="26" s="1"/>
  <c r="D62" i="26" s="1"/>
  <c r="D63" i="26" s="1"/>
  <c r="D64" i="26" s="1"/>
  <c r="D65" i="26" s="1"/>
  <c r="D66" i="26" s="1"/>
  <c r="D67" i="26" s="1"/>
  <c r="D68" i="26" s="1"/>
  <c r="D69" i="26" s="1"/>
  <c r="D70" i="26" s="1"/>
  <c r="D71" i="26" s="1"/>
  <c r="D72" i="26" s="1"/>
  <c r="D73" i="26" s="1"/>
  <c r="D74" i="26" s="1"/>
  <c r="D75" i="26" s="1"/>
  <c r="D76" i="26" s="1"/>
  <c r="D77" i="26" s="1"/>
  <c r="D78" i="26" s="1"/>
  <c r="D79" i="26" s="1"/>
  <c r="D80" i="26" s="1"/>
  <c r="C40" i="26"/>
  <c r="C41" i="26" s="1"/>
  <c r="C42" i="26" s="1"/>
  <c r="C43" i="26" s="1"/>
  <c r="C44" i="26" s="1"/>
  <c r="C45" i="26" s="1"/>
  <c r="C46" i="26" s="1"/>
  <c r="C47" i="26" s="1"/>
  <c r="C48" i="26" s="1"/>
  <c r="C49" i="26" s="1"/>
  <c r="C50" i="26" s="1"/>
  <c r="C51" i="26" s="1"/>
  <c r="C52" i="26" s="1"/>
  <c r="C53" i="26" s="1"/>
  <c r="C54" i="26" s="1"/>
  <c r="C55" i="26" s="1"/>
  <c r="C56" i="26" s="1"/>
  <c r="C57" i="26" s="1"/>
  <c r="C58" i="26" s="1"/>
  <c r="C59" i="26" s="1"/>
  <c r="C60" i="26" s="1"/>
  <c r="C61" i="26" s="1"/>
  <c r="C62" i="26" s="1"/>
  <c r="C63" i="26" s="1"/>
  <c r="C64" i="26" s="1"/>
  <c r="C65" i="26" s="1"/>
  <c r="C66" i="26" s="1"/>
  <c r="C67" i="26" s="1"/>
  <c r="C68" i="26" s="1"/>
  <c r="C69" i="26" s="1"/>
  <c r="C70" i="26" s="1"/>
  <c r="C71" i="26" s="1"/>
  <c r="C72" i="26" s="1"/>
  <c r="C73" i="26" s="1"/>
  <c r="C74" i="26" s="1"/>
  <c r="C75" i="26" s="1"/>
  <c r="C76" i="26" s="1"/>
  <c r="C77" i="26" s="1"/>
  <c r="C78" i="26" s="1"/>
  <c r="C79" i="26" s="1"/>
  <c r="C80" i="26" s="1"/>
  <c r="D39" i="26"/>
  <c r="C39" i="26"/>
  <c r="C15" i="26"/>
  <c r="C16" i="26" s="1"/>
  <c r="C17" i="26" s="1"/>
  <c r="C18" i="26" s="1"/>
  <c r="C19" i="26" s="1"/>
  <c r="C20" i="26" s="1"/>
  <c r="C21" i="26" s="1"/>
  <c r="C22" i="26" s="1"/>
  <c r="C23" i="26" s="1"/>
  <c r="C24" i="26" s="1"/>
  <c r="C25" i="26" s="1"/>
  <c r="C26" i="26" s="1"/>
  <c r="D14" i="26"/>
  <c r="D15" i="26" s="1"/>
  <c r="D16" i="26" s="1"/>
  <c r="D17" i="26" s="1"/>
  <c r="D18" i="26" s="1"/>
  <c r="D19" i="26" s="1"/>
  <c r="D20" i="26" s="1"/>
  <c r="D21" i="26" s="1"/>
  <c r="D22" i="26" s="1"/>
  <c r="D23" i="26" s="1"/>
  <c r="D24" i="26" s="1"/>
  <c r="D25" i="26" s="1"/>
  <c r="D26" i="26" s="1"/>
  <c r="C14" i="26"/>
  <c r="R37" i="14"/>
  <c r="R32" i="14"/>
  <c r="R31" i="14"/>
  <c r="R30" i="14"/>
  <c r="R29" i="14"/>
  <c r="R28" i="14"/>
  <c r="K26" i="14"/>
  <c r="K25" i="14"/>
  <c r="K24" i="14"/>
  <c r="K21" i="14"/>
  <c r="K20" i="14"/>
  <c r="K19" i="14"/>
  <c r="K18" i="14"/>
  <c r="K16" i="14"/>
  <c r="R37" i="13"/>
  <c r="R36" i="13"/>
  <c r="R30" i="13"/>
  <c r="R29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用户</author>
  </authors>
  <commentList>
    <comment ref="C1" authorId="0" shapeId="0" xr:uid="{00000000-0006-0000-0900-000001000000}">
      <text>
        <r>
          <rPr>
            <b/>
            <sz val="9"/>
            <rFont val="SimSun"/>
            <charset val="134"/>
          </rPr>
          <t>Windows 用户:</t>
        </r>
        <r>
          <rPr>
            <sz val="9"/>
            <rFont val="SimSun"/>
            <charset val="134"/>
          </rPr>
          <t xml:space="preserve">
1.人族塔
2.仙族塔
3.妖族塔
4.神族塔
5.魔族塔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E1" authorId="0" shapeId="0" xr:uid="{00000000-0006-0000-0B00-000001000000}">
      <text>
        <r>
          <rPr>
            <b/>
            <sz val="9"/>
            <rFont val="SimSun"/>
            <charset val="134"/>
          </rPr>
          <t>作者:</t>
        </r>
        <r>
          <rPr>
            <sz val="9"/>
            <rFont val="SimSun"/>
            <charset val="134"/>
          </rPr>
          <t xml:space="preserve">
只是前端用于展示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H1" authorId="0" shapeId="0" xr:uid="{00000000-0006-0000-0E00-000001000000}">
      <text>
        <r>
          <rPr>
            <b/>
            <sz val="9"/>
            <rFont val="SimSun"/>
            <charset val="134"/>
          </rPr>
          <t>作者:</t>
        </r>
        <r>
          <rPr>
            <sz val="9"/>
            <rFont val="SimSun"/>
            <charset val="134"/>
          </rPr>
          <t xml:space="preserve">
冷却时间</t>
        </r>
      </text>
    </comment>
    <comment ref="S1" authorId="0" shapeId="0" xr:uid="{00000000-0006-0000-0E00-000002000000}">
      <text>
        <r>
          <rPr>
            <b/>
            <sz val="9"/>
            <rFont val="SimSun"/>
            <charset val="134"/>
          </rPr>
          <t>作者:</t>
        </r>
        <r>
          <rPr>
            <sz val="9"/>
            <rFont val="SimSun"/>
            <charset val="134"/>
          </rPr>
          <t xml:space="preserve">
不超过三位数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1600-000001000000}">
      <text>
        <r>
          <rPr>
            <b/>
            <sz val="9"/>
            <rFont val="SimSun"/>
            <charset val="134"/>
          </rPr>
          <t>作者:</t>
        </r>
        <r>
          <rPr>
            <sz val="9"/>
            <rFont val="SimSun"/>
            <charset val="134"/>
          </rPr>
          <t xml:space="preserve">
物品不要超过4种</t>
        </r>
      </text>
    </comment>
    <comment ref="E1" authorId="0" shapeId="0" xr:uid="{00000000-0006-0000-1600-000002000000}">
      <text>
        <r>
          <rPr>
            <b/>
            <sz val="9"/>
            <rFont val="SimSun"/>
            <charset val="134"/>
          </rPr>
          <t>作者:</t>
        </r>
        <r>
          <rPr>
            <sz val="9"/>
            <rFont val="SimSun"/>
            <charset val="134"/>
          </rPr>
          <t xml:space="preserve">
面板排序</t>
        </r>
      </text>
    </comment>
  </commentList>
</comments>
</file>

<file path=xl/sharedStrings.xml><?xml version="1.0" encoding="utf-8"?>
<sst xmlns="http://schemas.openxmlformats.org/spreadsheetml/2006/main" count="3278" uniqueCount="1205">
  <si>
    <t>ID</t>
  </si>
  <si>
    <t>名称</t>
  </si>
  <si>
    <t>icon</t>
  </si>
  <si>
    <t>价格</t>
  </si>
  <si>
    <t>基础元宝</t>
  </si>
  <si>
    <t>首冲赠送元宝</t>
  </si>
  <si>
    <t>充值项ID</t>
  </si>
  <si>
    <t>6元档充值</t>
  </si>
  <si>
    <t>pay1</t>
  </si>
  <si>
    <t>30元档充值</t>
  </si>
  <si>
    <t>pay2</t>
  </si>
  <si>
    <t>68元档充值</t>
  </si>
  <si>
    <t>pay3</t>
  </si>
  <si>
    <t>128元档充值</t>
  </si>
  <si>
    <t>198元档充值</t>
  </si>
  <si>
    <t>pay4</t>
  </si>
  <si>
    <t>328元档充值</t>
  </si>
  <si>
    <t>648元档充值</t>
  </si>
  <si>
    <t>pay5</t>
  </si>
  <si>
    <t>99999元档充值</t>
  </si>
  <si>
    <t>pay6</t>
  </si>
  <si>
    <t>特权名称</t>
  </si>
  <si>
    <t>品质</t>
  </si>
  <si>
    <t>描述</t>
  </si>
  <si>
    <t>特权商品</t>
  </si>
  <si>
    <t>额外商品</t>
  </si>
  <si>
    <t>元宝价格</t>
  </si>
  <si>
    <t>人民币价格</t>
  </si>
  <si>
    <t>限购周期</t>
  </si>
  <si>
    <t>功能ID</t>
  </si>
  <si>
    <t>排序</t>
  </si>
  <si>
    <t>邮件ID</t>
  </si>
  <si>
    <t>Mệnh ký gói quà</t>
  </si>
  <si>
    <t>icon2</t>
  </si>
  <si>
    <t>Triệu hoán cường lực anh hùng thiết yếu gói quà! Siêu giá trị ưu đãi, mỗi tuần hạn mua một lần!</t>
  </si>
  <si>
    <t>3:100025:3#3:100001:1000#0:0:100000</t>
  </si>
  <si>
    <t>Nhanh chóng tác chiến đặc quyền</t>
  </si>
  <si>
    <t>Thu thập tài nguyên đặc quyền, mỗi ngày 3 Lần miễn phí nhanh chóng tác chiến, lại cho triệu hoán phúc lợi!</t>
  </si>
  <si>
    <t>3:100040:1</t>
  </si>
  <si>
    <t>3:100022:10#3:100001:1000</t>
  </si>
  <si>
    <t>Đồ đằng Thánh Điện đặc quyền</t>
  </si>
  <si>
    <t>icon1</t>
  </si>
  <si>
    <t>Đồ đằng Thánh Điện đặc quyền, mỗi ngày hai lần ngoài định mức miễn phí số lần, 6 Lần ngoài định mức mua số lần!</t>
  </si>
  <si>
    <t>3:100041:1</t>
  </si>
  <si>
    <t>3:100025:2#3:100001:1000</t>
  </si>
  <si>
    <t>Treo thưởng cao cấp đặc quyền</t>
  </si>
  <si>
    <t>icon3</t>
  </si>
  <si>
    <t>Treo thưởng cao cấp đặc quyền, mỗi ngày lần đầu Nguyên bảo, đổi mới quyển đổi mới tất ra tử sắc nhiệm vụ!</t>
  </si>
  <si>
    <t>3:100042:1</t>
  </si>
  <si>
    <t>3:100022:5#3:100001:1000</t>
  </si>
  <si>
    <t>Treo thưởng hào Ward quyền</t>
  </si>
  <si>
    <t>Treo thưởng hào Ward quyền, mỗi ngày thứ 3 nguyên bảo, đổi mới quyển đổi mới tất ra màu cam nhiệm vụ!</t>
  </si>
  <si>
    <t>3:100043:1</t>
  </si>
  <si>
    <t>3:100025:1#3:100022:10</t>
  </si>
  <si>
    <t>礼包名称</t>
  </si>
  <si>
    <t>名称背景</t>
  </si>
  <si>
    <t>翻倍奖励</t>
  </si>
  <si>
    <t>翻倍系数</t>
  </si>
  <si>
    <t>赠送价值</t>
  </si>
  <si>
    <t>一般奖励</t>
  </si>
  <si>
    <t>每日限购</t>
  </si>
  <si>
    <t>VIP要求</t>
  </si>
  <si>
    <t>一键购买</t>
  </si>
  <si>
    <t>开服天数下限</t>
  </si>
  <si>
    <t>开服天数上限</t>
  </si>
  <si>
    <t>Mỗi ngày gói quà</t>
  </si>
  <si>
    <t>3:100022:2#3:100001:100#0:0:500000#0:4:500000</t>
  </si>
  <si>
    <t>0</t>
  </si>
  <si>
    <t>Quý 1 Gói quà</t>
  </si>
  <si>
    <t>3:100022:4#3:400041:1#3:100005:8#0:4:800000</t>
  </si>
  <si>
    <t>1</t>
  </si>
  <si>
    <t>Quý 2 Gói quà</t>
  </si>
  <si>
    <t>3:100022:10#3:400041:3#3:100005:12#0:4:1500000</t>
  </si>
  <si>
    <t>2</t>
  </si>
  <si>
    <t>Mua nhanh</t>
  </si>
  <si>
    <t>3:100005:3#3:100027:3#0:4:200000#3:100022:1#3:100027:4#0:4:500000#3:100022:2#3:100005:8#0:4:800000</t>
  </si>
  <si>
    <t>3:100059:10#3:100031:30#0:0:500000#0:4:500000</t>
  </si>
  <si>
    <t>3:100059:20#3:400041:1#3:100031:50#0:4:800000</t>
  </si>
  <si>
    <t>3:100059:40#3:400041:3#3:100031:80#0:4:1500000</t>
  </si>
  <si>
    <t>3:400040:2#3:100217:5#3:100216:300</t>
  </si>
  <si>
    <t>3:400040:3#3:400041:1#3:100217:9#3:100216:500</t>
  </si>
  <si>
    <t>3:400040:6#3:400041:3#3:100217:15#3:100216:700</t>
  </si>
  <si>
    <t>奖品</t>
  </si>
  <si>
    <t>权重</t>
  </si>
  <si>
    <t>3:100005:1</t>
  </si>
  <si>
    <t>普通寻宝卷</t>
  </si>
  <si>
    <t>0:1:100</t>
  </si>
  <si>
    <t>元宝</t>
  </si>
  <si>
    <t>3:100027:1</t>
  </si>
  <si>
    <t>悬赏刷新卷</t>
  </si>
  <si>
    <t>3:100022:1</t>
  </si>
  <si>
    <t>高级点将卷</t>
  </si>
  <si>
    <t>3:100021:1</t>
  </si>
  <si>
    <t>普通点将卷</t>
  </si>
  <si>
    <t>商品</t>
  </si>
  <si>
    <t>限购数量</t>
  </si>
  <si>
    <t>周期</t>
  </si>
  <si>
    <t>*备注（道具名称）</t>
  </si>
  <si>
    <t>*备注（道具数量）</t>
  </si>
  <si>
    <t>0:1:30#3:100005:1#4:606002:2</t>
  </si>
  <si>
    <t>元宝*30,普通寻宝券*1,5星随机碎片*2</t>
  </si>
  <si>
    <t>元宝*120,悬赏刷新券*6,高级点将券*3,金币*100000</t>
  </si>
  <si>
    <t>悬赏任务刷新券</t>
  </si>
  <si>
    <t>高抽</t>
  </si>
  <si>
    <t>金币</t>
  </si>
  <si>
    <t>10W</t>
  </si>
  <si>
    <t>元宝*300,幸运点将礼包*1,高级寻宝券*3,金币*500000</t>
  </si>
  <si>
    <t>随机高级点将卷礼包</t>
  </si>
  <si>
    <t>50W</t>
  </si>
  <si>
    <t>高级寻宝券</t>
  </si>
  <si>
    <t>元宝*300,金币*3000000,英雄经验*3000000,进阶石*500</t>
  </si>
  <si>
    <t>200W</t>
  </si>
  <si>
    <t>经验</t>
  </si>
  <si>
    <t>进阶石</t>
  </si>
  <si>
    <t>元宝*680,碎片礼包*1,鎏金粉*1500,高级点将券*10</t>
  </si>
  <si>
    <t>五星随机碎片礼包</t>
  </si>
  <si>
    <t>鎏金粉</t>
  </si>
  <si>
    <t>元宝*1280,玄级兽魂礼包*1,金币*2000000,高级点将券*15</t>
  </si>
  <si>
    <t>玄兽魂随机礼包</t>
  </si>
  <si>
    <t>元宝*1280,随机篆印礼包*1,金币*5000000,高级点将券*15</t>
  </si>
  <si>
    <t>随机篆印礼包</t>
  </si>
  <si>
    <t>500W</t>
  </si>
  <si>
    <t>元宝*3280,血缨石*300000,金币*8000000,高级点将券*22</t>
  </si>
  <si>
    <t>血印石</t>
  </si>
  <si>
    <t>30W</t>
  </si>
  <si>
    <t>800W</t>
  </si>
  <si>
    <t>元宝*3280,5星人族碎片*50,金币*8000000,英雄经验*8000000</t>
  </si>
  <si>
    <t>元宝*3280,5星仙族碎片*50,金币*8000000,英雄经验*8000000</t>
  </si>
  <si>
    <t>元宝*3280,5星妖族碎片*50,金币*8000000,英雄经验*8000000</t>
  </si>
  <si>
    <t>元宝*6480,橙色玺印礼包*1,5星随机碎片*50,高级点将券*42</t>
  </si>
  <si>
    <t>符文</t>
  </si>
  <si>
    <t>五星随机</t>
  </si>
  <si>
    <t>元宝*3280,灌魔之瓶礼包*10,金币*20000000,英雄经验*20000000</t>
  </si>
  <si>
    <t>元宝*6480,灌魔之瓶礼包*20,金币*40000000,英雄经验*40000000</t>
  </si>
  <si>
    <t>元宝*1280,时光沙漏*5,金币*5000000,英雄经验*5000000</t>
  </si>
  <si>
    <t>元宝*6480,兽灵自选礼包*1,兽灵精华*100,金币*20000000</t>
  </si>
  <si>
    <t>元宝*30,普通点将券*5,4星随机碎片*5</t>
  </si>
  <si>
    <t>普抽</t>
  </si>
  <si>
    <t>4星随机碎片</t>
  </si>
  <si>
    <t>0:1:120#3:100021:5#4:606001:5</t>
  </si>
  <si>
    <t>元宝*120,幸运点将礼包*1,金币*100000,金币*100000</t>
  </si>
  <si>
    <t>0:1:300#3:400010:1#0:0:100000#3:100027:10</t>
  </si>
  <si>
    <t>0:1:300#3:100022:5#3:100006:3#0:0:500000</t>
  </si>
  <si>
    <t>元宝*300,高级点将券*5,高级寻宝券*3,金币*500000</t>
  </si>
  <si>
    <t>高寻</t>
  </si>
  <si>
    <t>0:1:680#3:100022:12#4:606002:50#3:100004:1000</t>
  </si>
  <si>
    <t>元宝*680,高级点将券*12,5星随机碎片*50,鎏金粉*1000</t>
  </si>
  <si>
    <t>5星随机碎片</t>
  </si>
  <si>
    <t>0:1:1280#3:100022:25#0:0:3000000#0:4:3000000</t>
  </si>
  <si>
    <t>元宝*1280,高级点将券*25,金币*3000000,英雄经验*3000000</t>
  </si>
  <si>
    <t>英雄经验</t>
  </si>
  <si>
    <t>0:1:1280#3:100022:25#3:400017:2#3:100210:5</t>
  </si>
  <si>
    <t>元宝*1280,高级点将券*25,随机篆印礼包*2,时光沙漏*5</t>
  </si>
  <si>
    <t>时光沙漏</t>
  </si>
  <si>
    <t>0:1:3280#3:100022:65#3:100030:350000#3:500015:12</t>
  </si>
  <si>
    <t>元宝*3280,高级点将券*65,血缨石*350000,灌魔之瓶礼包*12</t>
  </si>
  <si>
    <t>血缨石</t>
  </si>
  <si>
    <t>灌魔之瓶礼包</t>
  </si>
  <si>
    <t>0:1:3280#3:100022:65#0:0:10000000#0:4:10000000</t>
  </si>
  <si>
    <t>元宝*3280,高级点将券*65,金币*10000000,英雄经验*10000000</t>
  </si>
  <si>
    <t>元宝*6480,命签*25,鎏金粉*15000,橙色玺印礼包*1</t>
  </si>
  <si>
    <t>命签</t>
  </si>
  <si>
    <t>橙色玺印礼包</t>
  </si>
  <si>
    <t>0:1:6480#3:100025:25#3:100004:15000#5:5:1</t>
  </si>
  <si>
    <t>0:1:6480#3:100022:130#0:0:20000000#0:4:20000000</t>
  </si>
  <si>
    <t>元宝*6480,高级点将券*130,金币*20000000,英雄经验*20000000</t>
  </si>
  <si>
    <t>元宝*3280,专属仙器随机*1,麒麟仙玉*15000,金币*10000000</t>
  </si>
  <si>
    <t>元宝*3280,龙珠*2200,金币*10000000,英雄经验*10000000</t>
  </si>
  <si>
    <t>3:100022</t>
  </si>
  <si>
    <t>3:100030</t>
  </si>
  <si>
    <r>
      <rPr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>:500015</t>
    </r>
  </si>
  <si>
    <t>元宝*6480,龙珠*4400,金币*20000000,英雄经验*20000000</t>
  </si>
  <si>
    <r>
      <rPr>
        <sz val="11"/>
        <color theme="1"/>
        <rFont val="Calibri"/>
        <charset val="134"/>
        <scheme val="minor"/>
      </rPr>
      <t>0</t>
    </r>
    <r>
      <rPr>
        <sz val="11"/>
        <color theme="1"/>
        <rFont val="Calibri"/>
        <charset val="134"/>
        <scheme val="minor"/>
      </rPr>
      <t>:0</t>
    </r>
  </si>
  <si>
    <t>0:4</t>
  </si>
  <si>
    <t>元宝*300,破境丹*80,高级点将券*10   </t>
  </si>
  <si>
    <t>元宝*680,破境丹*180,进阶石*1000,命签*1 </t>
  </si>
  <si>
    <r>
      <rPr>
        <sz val="10.5"/>
        <color rgb="FF3C4353"/>
        <rFont val="宋体"/>
        <charset val="134"/>
      </rPr>
      <t>元宝</t>
    </r>
    <r>
      <rPr>
        <sz val="10.5"/>
        <color rgb="FF3C4353"/>
        <rFont val="Helvetica"/>
        <charset val="134"/>
      </rPr>
      <t>*1280,</t>
    </r>
    <r>
      <rPr>
        <sz val="10.5"/>
        <color rgb="FF3C4353"/>
        <rFont val="宋体"/>
        <charset val="134"/>
      </rPr>
      <t>破境丹</t>
    </r>
    <r>
      <rPr>
        <sz val="10.5"/>
        <color rgb="FF3C4353"/>
        <rFont val="Helvetica"/>
        <charset val="134"/>
      </rPr>
      <t>*345,5</t>
    </r>
    <r>
      <rPr>
        <sz val="10.5"/>
        <color rgb="FF3C4353"/>
        <rFont val="宋体"/>
        <charset val="134"/>
      </rPr>
      <t>星通用英魂</t>
    </r>
    <r>
      <rPr>
        <sz val="10.5"/>
        <color rgb="FF3C4353"/>
        <rFont val="Helvetica"/>
        <charset val="134"/>
      </rPr>
      <t>*1   </t>
    </r>
  </si>
  <si>
    <r>
      <rPr>
        <sz val="10.5"/>
        <color rgb="FF3C4353"/>
        <rFont val="宋体"/>
        <charset val="134"/>
      </rPr>
      <t>元宝</t>
    </r>
    <r>
      <rPr>
        <sz val="10.5"/>
        <color rgb="FF3C4353"/>
        <rFont val="Helvetica"/>
        <charset val="134"/>
      </rPr>
      <t>*6480,</t>
    </r>
    <r>
      <rPr>
        <sz val="10.5"/>
        <color rgb="FF3C4353"/>
        <rFont val="宋体"/>
        <charset val="134"/>
      </rPr>
      <t>破境丹</t>
    </r>
    <r>
      <rPr>
        <sz val="10.5"/>
        <color rgb="FF3C4353"/>
        <rFont val="Helvetica"/>
        <charset val="134"/>
      </rPr>
      <t>*1750,5</t>
    </r>
    <r>
      <rPr>
        <sz val="10.5"/>
        <color rgb="FF3C4353"/>
        <rFont val="宋体"/>
        <charset val="134"/>
      </rPr>
      <t>星通用英魂</t>
    </r>
    <r>
      <rPr>
        <sz val="10.5"/>
        <color rgb="FF3C4353"/>
        <rFont val="Helvetica"/>
        <charset val="134"/>
      </rPr>
      <t>*2,</t>
    </r>
    <r>
      <rPr>
        <sz val="10.5"/>
        <color rgb="FF3C4353"/>
        <rFont val="宋体"/>
        <charset val="134"/>
      </rPr>
      <t>命签</t>
    </r>
    <r>
      <rPr>
        <sz val="10.5"/>
        <color rgb="FF3C4353"/>
        <rFont val="Helvetica"/>
        <charset val="134"/>
      </rPr>
      <t>*20</t>
    </r>
  </si>
  <si>
    <t>3:100025</t>
  </si>
  <si>
    <r>
      <rPr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>:100004</t>
    </r>
  </si>
  <si>
    <t>5:5</t>
  </si>
  <si>
    <t>0:1:3280#3:100224:630#0:12:10500#0:0:16000000</t>
  </si>
  <si>
    <t>元宝*3280,修为丹*630,仙盟贡献*10500,金币*16000000</t>
  </si>
  <si>
    <t>0:1:3280#3:100225:320#0:12:10500#0:0:16000000</t>
  </si>
  <si>
    <t>元宝*3280,秘笈*320,仙盟贡献*10500,金币*16000000</t>
  </si>
  <si>
    <t>元宝*6480,破境丹*1750,5星通用英魂*2,命签*20</t>
  </si>
  <si>
    <t>0:1:50#3:100022:1#4:606002:5</t>
  </si>
  <si>
    <t>元宝*50,高级点将券*1,5星随机碎片*5</t>
  </si>
  <si>
    <t>元宝*120,黄级兽魂礼包*1,幸运点将礼包*1,金币*100000</t>
  </si>
  <si>
    <t>随机黄级兽魂礼包</t>
  </si>
  <si>
    <t>元宝*300,碎片礼包*1,高级点将券*10,普通寻宝券*5</t>
  </si>
  <si>
    <t>寻宝卷</t>
  </si>
  <si>
    <t>元宝*680,玄级兽魂礼包*1,高级点将券*12,鎏金粉大礼包*1</t>
  </si>
  <si>
    <t>随机玄级兽魂礼包</t>
  </si>
  <si>
    <t>鎏金粉大礼包</t>
  </si>
  <si>
    <t>元宝*1280,命签*3,高级点将券*15,鎏金粉大礼包*2</t>
  </si>
  <si>
    <t>元宝*1980,5星人族碎片*50,进阶石*1000,高级点将券*10</t>
  </si>
  <si>
    <t>元宝*1980,5星仙族碎片*50,进阶石*1000,高级点将券*10</t>
  </si>
  <si>
    <t>元宝*1980,5星妖族碎片*50,进阶石*1000,高级点将券*10</t>
  </si>
  <si>
    <t>元宝*3280,命签*7,高级点将券*24,金币*20000000</t>
  </si>
  <si>
    <t>元宝*6480,命签*13,高级点将券*42,5星神族碎片*50</t>
  </si>
  <si>
    <t>神族随机5星</t>
  </si>
  <si>
    <t>元宝*6480,命签*13,高级点将券*42,5星魔族碎片*50</t>
  </si>
  <si>
    <t>魔族随机五星</t>
  </si>
  <si>
    <t>0:1:120#3:400010:2#3:100059:10#0:0:100000</t>
  </si>
  <si>
    <t>元宝*120,幸运点将礼包*2,魂丹*10,金币*100000</t>
  </si>
  <si>
    <t>幸运点将礼包</t>
  </si>
  <si>
    <t>魂丹</t>
  </si>
  <si>
    <t>0:1:300#3:100022:10#4:606002:50#3:100005:10</t>
  </si>
  <si>
    <t>元宝*300,高级点将券*10,5星随机碎片*50,普通寻宝券*10</t>
  </si>
  <si>
    <t>普通寻宝券</t>
  </si>
  <si>
    <t>0:1:680#3:100022:20#3:400016:2#3:100059:100</t>
  </si>
  <si>
    <t>元宝*680,高级点将券*20,鎏金粉大礼包*2,魂丹*100</t>
  </si>
  <si>
    <t>元宝*1280,命签*8,鎏金粉大礼包*4,金币*5000000</t>
  </si>
  <si>
    <t>0:1:1980#3:100022:25#3:1000010:2#3:100001:3000</t>
  </si>
  <si>
    <t>元宝*1980,高级点将券*25,5星通用英魂*2,进阶石*3000</t>
  </si>
  <si>
    <t>5星通用英魂</t>
  </si>
  <si>
    <t>元宝*3280,命签*18,鎏金粉大礼包*10,金币*30000000</t>
  </si>
  <si>
    <t>0:1:3280#3:100224:670#0:12:11000#0:0:17000000</t>
  </si>
  <si>
    <t>元宝*3280,修为丹*670,仙盟贡献*11000,金币*17000000</t>
  </si>
  <si>
    <t>元宝*6480,命签*35,金币*50000000,英雄经验*50000000</t>
  </si>
  <si>
    <t>0:1:3280#3:100225:340#0:12:11000#0:0:17000000</t>
  </si>
  <si>
    <t>元宝*3280,秘笈*340,仙盟贡献*11000,金币*17000000</t>
  </si>
  <si>
    <t>元宝*6480,高级点将券*80,5星神族碎片*100,灌魔之瓶礼包*30</t>
  </si>
  <si>
    <t>5星神族碎片</t>
  </si>
  <si>
    <t>灌魔之瓶</t>
  </si>
  <si>
    <t>元宝*3280,高级点将券*50,灌魔之瓶礼包*15,英雄经验*30000000</t>
  </si>
  <si>
    <t>元宝*6480,高级点将券*80,5星魔族碎片*100,灌魔之瓶礼包*30</t>
  </si>
  <si>
    <t>5星魔族碎片</t>
  </si>
  <si>
    <t>0:1:3280#3:100098:2300#0:0:10000000#0:4:10000000</t>
  </si>
  <si>
    <t>元宝*3280,龙珠*2300,金币*10000000,英雄经验*10000000</t>
  </si>
  <si>
    <t>0:1:6480#3:100098:4600#0:0:20000000#0:4:20000000</t>
  </si>
  <si>
    <t>元宝*6480,龙珠*4600,金币*20000000,英雄经验*20000000</t>
  </si>
  <si>
    <t>3:400010</t>
  </si>
  <si>
    <t>3:100059</t>
  </si>
  <si>
    <r>
      <rPr>
        <sz val="11"/>
        <color theme="1"/>
        <rFont val="Calibri"/>
        <charset val="134"/>
        <scheme val="minor"/>
      </rPr>
      <t>4</t>
    </r>
    <r>
      <rPr>
        <sz val="11"/>
        <color theme="1"/>
        <rFont val="Calibri"/>
        <charset val="134"/>
        <scheme val="minor"/>
      </rPr>
      <t>:606002</t>
    </r>
  </si>
  <si>
    <t>3:100005</t>
  </si>
  <si>
    <t>3:400016</t>
  </si>
  <si>
    <r>
      <rPr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>:</t>
    </r>
    <r>
      <rPr>
        <sz val="11"/>
        <color theme="1"/>
        <rFont val="Calibri"/>
        <charset val="134"/>
        <scheme val="minor"/>
      </rPr>
      <t>1000010</t>
    </r>
  </si>
  <si>
    <r>
      <rPr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>:100001</t>
    </r>
  </si>
  <si>
    <r>
      <rPr>
        <sz val="11"/>
        <color theme="1"/>
        <rFont val="Calibri"/>
        <charset val="134"/>
        <scheme val="minor"/>
      </rPr>
      <t>4</t>
    </r>
    <r>
      <rPr>
        <sz val="11"/>
        <color theme="1"/>
        <rFont val="Calibri"/>
        <charset val="134"/>
        <scheme val="minor"/>
      </rPr>
      <t>:</t>
    </r>
    <r>
      <rPr>
        <sz val="11"/>
        <color theme="1"/>
        <rFont val="Calibri"/>
        <charset val="134"/>
        <scheme val="minor"/>
      </rPr>
      <t>606012</t>
    </r>
  </si>
  <si>
    <t>3:500015</t>
  </si>
  <si>
    <t>3:100210</t>
  </si>
  <si>
    <t>达成金额</t>
  </si>
  <si>
    <t>每日元宝数</t>
  </si>
  <si>
    <t>持续天数</t>
  </si>
  <si>
    <r>
      <rPr>
        <sz val="10.5"/>
        <color rgb="FF000000"/>
        <rFont val="Helvetica"/>
        <charset val="134"/>
      </rPr>
      <t>Vinh Diệu Nguyệt thẻ</t>
    </r>
  </si>
  <si>
    <r>
      <rPr>
        <sz val="10.5"/>
        <color rgb="FF000000"/>
        <rFont val="Helvetica"/>
        <charset val="134"/>
      </rPr>
      <t>Chí tôn nguyệt thẻ</t>
    </r>
  </si>
  <si>
    <t>65000</t>
  </si>
  <si>
    <t>成长等级</t>
  </si>
  <si>
    <t>基础奖励</t>
  </si>
  <si>
    <t>额外奖励</t>
  </si>
  <si>
    <t>0:1:168</t>
  </si>
  <si>
    <t>0:1:888</t>
  </si>
  <si>
    <t>0:1:1288</t>
  </si>
  <si>
    <t>0:1:2288</t>
  </si>
  <si>
    <t>3:100022:10</t>
  </si>
  <si>
    <t>3:100001:500</t>
  </si>
  <si>
    <t>玲珑塔通关数</t>
  </si>
  <si>
    <t>备注（道具名称）</t>
  </si>
  <si>
    <t>备注（道具数量）</t>
  </si>
  <si>
    <t>3:100001:300</t>
  </si>
  <si>
    <t>0:1:1000</t>
  </si>
  <si>
    <t>4:606002:50</t>
  </si>
  <si>
    <t>0:4:5000000</t>
  </si>
  <si>
    <t>0:1:500</t>
  </si>
  <si>
    <t>0:0:5000000</t>
  </si>
  <si>
    <t>3:100005:12</t>
  </si>
  <si>
    <t>4:606001:30</t>
  </si>
  <si>
    <t>四星随机</t>
  </si>
  <si>
    <t>2:19000109:1</t>
  </si>
  <si>
    <t>金色3星鞋</t>
  </si>
  <si>
    <t>2:19000309:1</t>
  </si>
  <si>
    <t>金色3星帽</t>
  </si>
  <si>
    <t>2:19000209:1</t>
  </si>
  <si>
    <t>金色3星衣</t>
  </si>
  <si>
    <t>金色3星武器</t>
  </si>
  <si>
    <t>层数</t>
  </si>
  <si>
    <t>种族塔类型</t>
  </si>
  <si>
    <t>3:100212:5</t>
  </si>
  <si>
    <t>4:606002:20</t>
  </si>
  <si>
    <t>0:4:2000000</t>
  </si>
  <si>
    <t>0:1:200</t>
  </si>
  <si>
    <t>0:0:2000000</t>
  </si>
  <si>
    <t>3:100005:6</t>
  </si>
  <si>
    <t>4:606001:10</t>
  </si>
  <si>
    <t>2:19000108:1</t>
  </si>
  <si>
    <t>金色2星鞋</t>
  </si>
  <si>
    <t>2:19000308:1</t>
  </si>
  <si>
    <t>金色2星帽</t>
  </si>
  <si>
    <t>2:19000208:1</t>
  </si>
  <si>
    <t>金色2星衣</t>
  </si>
  <si>
    <t>金色2星武器</t>
  </si>
  <si>
    <t>快速作战次数</t>
  </si>
  <si>
    <t>3:100027:10</t>
  </si>
  <si>
    <t>高抽10连</t>
  </si>
  <si>
    <t>3:100006:3</t>
  </si>
  <si>
    <t>高级寻宝卷</t>
  </si>
  <si>
    <t>3:100025:2</t>
  </si>
  <si>
    <t>打折价格</t>
  </si>
  <si>
    <t>折扣</t>
  </si>
  <si>
    <t>开服打折天数</t>
  </si>
  <si>
    <t>续费打折天数</t>
  </si>
  <si>
    <t>购买送元宝</t>
  </si>
  <si>
    <t>补偿邮件ID</t>
  </si>
  <si>
    <t>续费邮件ID</t>
  </si>
  <si>
    <t>总价值</t>
  </si>
  <si>
    <t>优惠价格充值项ID</t>
  </si>
  <si>
    <r>
      <rPr>
        <sz val="10.5"/>
        <color rgb="FF000000"/>
        <rFont val="Helvetica"/>
        <charset val="134"/>
      </rPr>
      <t>Đặc biệt ưu đãi quỹ ngân sách</t>
    </r>
  </si>
  <si>
    <t>45000</t>
  </si>
  <si>
    <t>35000</t>
  </si>
  <si>
    <t>7.5</t>
  </si>
  <si>
    <t>7</t>
  </si>
  <si>
    <t>3</t>
  </si>
  <si>
    <t>26880</t>
  </si>
  <si>
    <r>
      <rPr>
        <sz val="10.5"/>
        <color rgb="FF000000"/>
        <rFont val="Helvetica"/>
        <charset val="134"/>
      </rPr>
      <t>Xa hoa quỹ ngân sách</t>
    </r>
  </si>
  <si>
    <t>115000</t>
  </si>
  <si>
    <t>6</t>
  </si>
  <si>
    <t>66880</t>
  </si>
  <si>
    <t>月基金类型</t>
  </si>
  <si>
    <t>奖励分组</t>
  </si>
  <si>
    <t>登录天数</t>
  </si>
  <si>
    <t>奖励</t>
  </si>
  <si>
    <t>是否展示</t>
  </si>
  <si>
    <t>高级召唤卷</t>
  </si>
  <si>
    <t>3:100025:3</t>
  </si>
  <si>
    <t>先祖水晶</t>
  </si>
  <si>
    <t>3:100002:100</t>
  </si>
  <si>
    <t>炼神石</t>
  </si>
  <si>
    <t>3:100008:60</t>
  </si>
  <si>
    <t>神器符石</t>
  </si>
  <si>
    <t>0:1:400</t>
  </si>
  <si>
    <t>3:100025:6</t>
  </si>
  <si>
    <t>3:100002:300</t>
  </si>
  <si>
    <t>3:100006:8</t>
  </si>
  <si>
    <t>0:1:2000</t>
  </si>
  <si>
    <t>3:100008:100</t>
  </si>
  <si>
    <t>4:606002:100</t>
  </si>
  <si>
    <t>5:4:1</t>
  </si>
  <si>
    <t>金色玺印</t>
  </si>
  <si>
    <t>3:100046:1</t>
  </si>
  <si>
    <t>重铸丹</t>
  </si>
  <si>
    <t>3:100004:1500</t>
  </si>
  <si>
    <t>3:500011:1</t>
  </si>
  <si>
    <t>篆印自选</t>
  </si>
  <si>
    <t>3:500012:1</t>
  </si>
  <si>
    <t>地兽魂自选</t>
  </si>
  <si>
    <t>3:100059:25</t>
  </si>
  <si>
    <t>3:100031:100</t>
  </si>
  <si>
    <t>洗练石</t>
  </si>
  <si>
    <t>6:30002:2</t>
  </si>
  <si>
    <t>兽魂经验（大）</t>
  </si>
  <si>
    <t>3:500025:1</t>
  </si>
  <si>
    <t>通用仙器自选</t>
  </si>
  <si>
    <t>3:100216:1000</t>
  </si>
  <si>
    <t>麒麟仙玉</t>
  </si>
  <si>
    <t>3:100216:2000</t>
  </si>
  <si>
    <r>
      <rPr>
        <sz val="11"/>
        <color theme="1"/>
        <rFont val="Calibri"/>
        <charset val="134"/>
        <scheme val="minor"/>
      </rPr>
      <t>5</t>
    </r>
    <r>
      <rPr>
        <sz val="11"/>
        <color theme="1"/>
        <rFont val="Calibri"/>
        <charset val="134"/>
        <scheme val="minor"/>
      </rPr>
      <t>:5:1</t>
    </r>
  </si>
  <si>
    <t>红色玺印</t>
  </si>
  <si>
    <t>3:100046:2</t>
  </si>
  <si>
    <t>3:100004:3000</t>
  </si>
  <si>
    <r>
      <rPr>
        <sz val="11"/>
        <color theme="1"/>
        <rFont val="Calibri"/>
        <charset val="134"/>
        <scheme val="minor"/>
      </rPr>
      <t>3:</t>
    </r>
    <r>
      <rPr>
        <sz val="11"/>
        <color theme="1"/>
        <rFont val="Calibri"/>
        <charset val="134"/>
        <scheme val="minor"/>
      </rPr>
      <t>500013</t>
    </r>
    <r>
      <rPr>
        <sz val="11"/>
        <color theme="1"/>
        <rFont val="Calibri"/>
        <charset val="134"/>
        <scheme val="minor"/>
      </rPr>
      <t>:1</t>
    </r>
  </si>
  <si>
    <t>天级兽魂随机</t>
  </si>
  <si>
    <r>
      <rPr>
        <sz val="11"/>
        <color theme="1"/>
        <rFont val="Calibri"/>
        <charset val="134"/>
        <scheme val="minor"/>
      </rPr>
      <t>3:100059:</t>
    </r>
    <r>
      <rPr>
        <sz val="11"/>
        <color theme="1"/>
        <rFont val="Calibri"/>
        <charset val="134"/>
        <scheme val="minor"/>
      </rPr>
      <t>50</t>
    </r>
  </si>
  <si>
    <t>3:100031:200</t>
  </si>
  <si>
    <r>
      <rPr>
        <sz val="11"/>
        <color theme="1"/>
        <rFont val="Calibri"/>
        <charset val="134"/>
        <scheme val="minor"/>
      </rPr>
      <t>6:30002:</t>
    </r>
    <r>
      <rPr>
        <sz val="11"/>
        <color theme="1"/>
        <rFont val="Calibri"/>
        <charset val="134"/>
        <scheme val="minor"/>
      </rPr>
      <t>4</t>
    </r>
  </si>
  <si>
    <r>
      <rPr>
        <sz val="11"/>
        <color theme="1"/>
        <rFont val="Calibri"/>
        <charset val="134"/>
        <scheme val="minor"/>
      </rPr>
      <t>3:</t>
    </r>
    <r>
      <rPr>
        <sz val="11"/>
        <color theme="1"/>
        <rFont val="Calibri"/>
        <charset val="134"/>
        <scheme val="minor"/>
      </rPr>
      <t>500043</t>
    </r>
    <r>
      <rPr>
        <sz val="11"/>
        <color theme="1"/>
        <rFont val="Calibri"/>
        <charset val="134"/>
        <scheme val="minor"/>
      </rPr>
      <t>:1</t>
    </r>
  </si>
  <si>
    <t>专属仙器自选</t>
  </si>
  <si>
    <r>
      <rPr>
        <sz val="11"/>
        <color theme="1"/>
        <rFont val="Calibri"/>
        <charset val="134"/>
        <scheme val="minor"/>
      </rPr>
      <t>3:100216:</t>
    </r>
    <r>
      <rPr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>000</t>
    </r>
  </si>
  <si>
    <r>
      <rPr>
        <sz val="11"/>
        <color theme="1"/>
        <rFont val="Calibri"/>
        <charset val="134"/>
        <scheme val="minor"/>
      </rPr>
      <t>3:100216:</t>
    </r>
    <r>
      <rPr>
        <sz val="11"/>
        <color theme="1"/>
        <rFont val="Calibri"/>
        <charset val="134"/>
        <scheme val="minor"/>
      </rPr>
      <t>4</t>
    </r>
    <r>
      <rPr>
        <sz val="11"/>
        <color theme="1"/>
        <rFont val="Calibri"/>
        <charset val="134"/>
        <scheme val="minor"/>
      </rPr>
      <t>000</t>
    </r>
  </si>
  <si>
    <t>*备注</t>
  </si>
  <si>
    <t>展示小时数</t>
  </si>
  <si>
    <t>持续小时数</t>
  </si>
  <si>
    <t>*事件类型</t>
  </si>
  <si>
    <t>*参数</t>
  </si>
  <si>
    <t>*检测操作</t>
  </si>
  <si>
    <t>*目标值</t>
  </si>
  <si>
    <t>*任务持续时间类型</t>
  </si>
  <si>
    <t>*推送等级下限</t>
  </si>
  <si>
    <t>*推送等级上限</t>
  </si>
  <si>
    <t>*vip等级下限</t>
  </si>
  <si>
    <t>*vip等级上限</t>
  </si>
  <si>
    <t>超值展示</t>
  </si>
  <si>
    <t>广告语</t>
  </si>
  <si>
    <t>6星礼包</t>
  </si>
  <si>
    <t>0:1:500#3:100001:1000#0:0:5000000#0:4:5000000</t>
  </si>
  <si>
    <t>500元宝，1000进阶石，500w金币，500w经验</t>
  </si>
  <si>
    <t>Chúc mừng bạn thu được 6 sao anh hùng, mở gói quà siêu giá trị</t>
  </si>
  <si>
    <t>9星礼包</t>
  </si>
  <si>
    <t>0:1:680#5:3:1#0:0:10000000#0:4:10000000</t>
  </si>
  <si>
    <t>680元宝，紫色符文，1000w金币，1000w经验</t>
  </si>
  <si>
    <t>Chúc mừng bạn thu được 9 sao anh hùng, mở gói quà siêu giá trị</t>
  </si>
  <si>
    <t>10星礼包</t>
  </si>
  <si>
    <t>0:1:1280#3:400017:2#5:3:1#3:100004:5000</t>
  </si>
  <si>
    <t>1280元宝，2随机篆印礼包，紫色符文，5000鎏金粉</t>
  </si>
  <si>
    <t>Chúc mừng bạn thu được 10 sao anh hùng, mở gói quà siêu giá trị</t>
  </si>
  <si>
    <t>5星礼包</t>
  </si>
  <si>
    <t>0:1:300#3:100001:1000#0:0:3000000#0:4:3000000</t>
  </si>
  <si>
    <t>300元宝，1000进阶石，300w金币，300w经验</t>
  </si>
  <si>
    <t>Chúc mừng bạn thu được 5 sao anh hùng, mở gói quà siêu giá trị</t>
  </si>
  <si>
    <t>11星礼包</t>
  </si>
  <si>
    <t>0:1:3280#5:4:1#3:100004:10000#0:0:20000000</t>
  </si>
  <si>
    <t>3280元宝，金色符文，1w鎏金粉，2000w金币</t>
  </si>
  <si>
    <t>Chúc mừng bạn thu được 11 sao anh hùng, mở gói quà siêu giá trị</t>
  </si>
  <si>
    <t>0:1:3280#5:4:2#3:100004:20000#0:0:30000000</t>
  </si>
  <si>
    <t>3280元宝，金色符文*2，2w鎏金粉，3000w金币</t>
  </si>
  <si>
    <t>12星礼包</t>
  </si>
  <si>
    <t>0:1:6480#3:500015:30#0:0:50000000#0:4:50000000</t>
  </si>
  <si>
    <t>元宝*6480，灌魔之瓶*30，金币*5000w，经验*5000w</t>
  </si>
  <si>
    <t>Chúc mừng bạn thu được 12 sao anh hùng, mở gói quà siêu giá trị</t>
  </si>
  <si>
    <t>0:1:6480#3:500015:50#0:0:50000000#0:4:50000000</t>
  </si>
  <si>
    <t>元宝*6480，灌魔之瓶*50，金币*5000w，经验*5000w</t>
  </si>
  <si>
    <t>13星礼包</t>
  </si>
  <si>
    <t>0:1:6480#5:5:1#3:100004:10000#5:20001:4</t>
  </si>
  <si>
    <t>元宝*6480，红色玺印*1，1w鎏金粉，龙魂*4</t>
  </si>
  <si>
    <t>Chúc mừng bạn thu được 13 sao anh hùng, mở gói quà siêu giá trị</t>
  </si>
  <si>
    <t>0:1:6480#5:5:1#3:100004:20000#5:20001:6</t>
  </si>
  <si>
    <t>元宝*6480，红色玺印*1，2w鎏金粉，龙魂*6</t>
  </si>
  <si>
    <t>0:1:6480#3:100098:5000#0:0:50000000#0:4:50000000</t>
  </si>
  <si>
    <t>元宝*6480,藏品币*50，金币*5000w，经验*5000w</t>
  </si>
  <si>
    <t>14星礼包</t>
  </si>
  <si>
    <t>0:1:6480#3:100098:6000#0:0:50000000#0:4:50000000</t>
  </si>
  <si>
    <t>元宝*6480,藏品币*60，金币*5000w，经验*5000w</t>
  </si>
  <si>
    <t>Chúc mừng bạn thu được 14 sao anh hùng, mở gói quà siêu giá trị</t>
  </si>
  <si>
    <t>14星突破礼包</t>
  </si>
  <si>
    <t>0:1:6480#3:100342:1700#0:0:50000000#0:4:50000000</t>
  </si>
  <si>
    <t>元宝*6480,破境丹*1700，金币*5000w，经验*5000w</t>
  </si>
  <si>
    <t xml:space="preserve">Chúc mừng bạn thu được 14 sao anh hùng, mở gói quà siêu giá trị có thể đột phá cảnh giới anh hùng </t>
  </si>
  <si>
    <t>玲珑塔礼包1</t>
  </si>
  <si>
    <t>0:1:680#4:606002:50#0:0:2000000#0:4:2000000</t>
  </si>
  <si>
    <t>680元宝，50五星随机碎片，200w金币，200w经验</t>
  </si>
  <si>
    <t>Chúc mừng bạn thành công khiêu chiến Linh Lung Tháp, mở gói quà siêu giá trị</t>
  </si>
  <si>
    <t>玲珑塔礼包2</t>
  </si>
  <si>
    <t>0:1:680#4:606002:50#0:0:3000000#0:4:3000000</t>
  </si>
  <si>
    <t>680元宝，50五星随机碎片，300w金币，300w经验</t>
  </si>
  <si>
    <t>玲珑塔礼包3</t>
  </si>
  <si>
    <t>0:1:680#4:606002:50#0:0:4000000#0:4:4000000</t>
  </si>
  <si>
    <t>680元宝，50五星随机碎片，400w金币，400w经验</t>
  </si>
  <si>
    <t>玲珑塔礼包4</t>
  </si>
  <si>
    <t>0:1:680#4:606002:50#0:0:5000000#0:4:5000000</t>
  </si>
  <si>
    <t>680元宝，50五星随机碎片，500w金币，500w经验</t>
  </si>
  <si>
    <t>玲珑塔礼包5</t>
  </si>
  <si>
    <t>0:1:680#4:606002:50#0:0:6000000#0:4:6000000</t>
  </si>
  <si>
    <t>680元宝，50五星随机碎片，600w金币，600w经验</t>
  </si>
  <si>
    <t>玲珑塔礼包6</t>
  </si>
  <si>
    <t>0:1:680#4:606002:50#0:0:7000000#0:4:7000000</t>
  </si>
  <si>
    <t>680元宝，50五星随机碎片，700w金币，700w经验</t>
  </si>
  <si>
    <t>玲珑塔礼包7</t>
  </si>
  <si>
    <t>0:1:3280#3:400030:1#3:100059:250#0:0:20000000</t>
  </si>
  <si>
    <t>元宝*3280，兽魂礼包（随机开出天地兽魂），魂丹*250，金币*2000w</t>
  </si>
  <si>
    <t>玲珑塔礼包8</t>
  </si>
  <si>
    <t>0:1:3280#3:400030:2#3:100059:300#0:0:20000000</t>
  </si>
  <si>
    <t>元宝*3280，兽魂礼包（随机开出天地兽魂）*2，魂丹*300，金币*2000w</t>
  </si>
  <si>
    <t>玲珑塔礼包9</t>
  </si>
  <si>
    <t>0:1:6480#3:500026:1#3:100216:40000#0:0:30000000</t>
  </si>
  <si>
    <t>元宝*6480，兽魂礼包（随机开出天地兽魂），魂丹*250，金币*2000w</t>
  </si>
  <si>
    <t>玲珑塔礼包12</t>
  </si>
  <si>
    <t>0:1:3280#3:1000010:3#3:100025:8#3:100022:30</t>
  </si>
  <si>
    <t>元宝*3280，通用英魂*3，高抽*30，命签*8</t>
  </si>
  <si>
    <t>玲珑塔礼包13</t>
  </si>
  <si>
    <t>0:1:3280#3:1000010:3#3:100025:8#3:100022:40</t>
  </si>
  <si>
    <t>元宝*3280，通用英魂*3，高抽*40，命签*8</t>
  </si>
  <si>
    <t>玲珑塔礼包14</t>
  </si>
  <si>
    <t>玲珑塔礼包15</t>
  </si>
  <si>
    <t>0:1:6480#3:500026:1#3:100216:30000#0:0:20000000</t>
  </si>
  <si>
    <t>元宝*6480，专属仙器自选，金币*2000w，仙玉*3w</t>
  </si>
  <si>
    <t>玲珑塔礼包16</t>
  </si>
  <si>
    <t>元宝*6480，专属仙器自选，仙玉*4w，金币*3000w</t>
  </si>
  <si>
    <t>玲珑塔礼包17</t>
  </si>
  <si>
    <t>0:1:6480#3:560002:1#0:0:50000000#0:4:50000000</t>
  </si>
  <si>
    <t>元宝*6480，龙雀之姿，金币*5000w，经验*5000w</t>
  </si>
  <si>
    <t>玲珑塔礼包18</t>
  </si>
  <si>
    <t>玲珑塔礼包19</t>
  </si>
  <si>
    <t>元宝*6480，藏品币*50，金币*5000w，经验*5000w</t>
  </si>
  <si>
    <t>玲珑塔礼包20</t>
  </si>
  <si>
    <t>元宝*6480，藏品币*60，金币*5000w，经验*5000w</t>
  </si>
  <si>
    <t>玲珑塔礼包21</t>
  </si>
  <si>
    <t>0:1:6480#3:100098:7000#0:0:50000000#0:4:50000000</t>
  </si>
  <si>
    <t>元宝*6480，藏品币*70，金币*5000w，经验*5000w</t>
  </si>
  <si>
    <t>玲珑塔礼包22</t>
  </si>
  <si>
    <t>0:1:6480#3:100234:1#0:0:50000000#0:4:50000000</t>
  </si>
  <si>
    <t>元宝*6480，小型典藏宝盒，金币*5000w，经验*5000w</t>
  </si>
  <si>
    <t>玲珑塔礼包23</t>
  </si>
  <si>
    <t>玲珑塔礼包24</t>
  </si>
  <si>
    <t>玲珑塔礼包25</t>
  </si>
  <si>
    <t>玲珑塔礼包26</t>
  </si>
  <si>
    <t>玲珑塔礼包27</t>
  </si>
  <si>
    <t>玲珑塔礼包28</t>
  </si>
  <si>
    <t>玲珑塔礼包29</t>
  </si>
  <si>
    <t>玲珑塔礼包30</t>
  </si>
  <si>
    <t>玲珑塔礼包31</t>
  </si>
  <si>
    <t>玲珑塔礼包32</t>
  </si>
  <si>
    <t>玲珑塔礼包33</t>
  </si>
  <si>
    <t>玲珑塔礼包34</t>
  </si>
  <si>
    <t>玲珑塔礼包35</t>
  </si>
  <si>
    <t>玲珑塔礼包36</t>
  </si>
  <si>
    <t>山海经礼包</t>
  </si>
  <si>
    <t>0:1:680#3:400015:1#3:100031:80#0:0:5000000</t>
  </si>
  <si>
    <t>680元宝，地级兽魂礼包，80洗练石，500w金币</t>
  </si>
  <si>
    <t>Chúc mừng bạn thành công khiêu chiến Sơn Hải kinh, mở gói quà siêu giá trị</t>
  </si>
  <si>
    <t>悬赏礼包</t>
  </si>
  <si>
    <t>0:1:300#3:100027:60#0:0:5000000#0:4:5000000</t>
  </si>
  <si>
    <t>300元宝，60悬赏刷新券，500w金币，500w经验</t>
  </si>
  <si>
    <t>Chúc mừng bạn thành công xác nhận 50 lần nhiệm vụ, mở gói quà siêu giá trị</t>
  </si>
  <si>
    <t>演武场礼包</t>
  </si>
  <si>
    <t>0:1:680#3:100023:50#0:0:5000000#0:4:5000000</t>
  </si>
  <si>
    <t>680元宝，50挑战券，500w金币，500w经验</t>
  </si>
  <si>
    <t>Chúc mừng bạn thành công khiêu chiến 50 lần diễn võ trường, mở gói quà siêu giá trị</t>
  </si>
  <si>
    <t>高级召唤礼包</t>
  </si>
  <si>
    <t>3:100022:20#3:100001:500#0:0:3000000#0:4:3000000</t>
  </si>
  <si>
    <t>500进阶石，20高级点将券，300w金币，300w经验</t>
  </si>
  <si>
    <t>Chúc mừng bạn cao cấp điểm tướng 30 lần nha, mở gói quà siêu giá trị</t>
  </si>
  <si>
    <t>3:100022:40#3:100001:1000#0:0:5000000#0:4:5000000</t>
  </si>
  <si>
    <t>1000进阶石，40高级点将券，500w金币，500w经验</t>
  </si>
  <si>
    <t>Chúc mừng bạn cao cấp điểm tướng 50 lần nha, mở gói quà siêu giá trị</t>
  </si>
  <si>
    <t>3:100022:70#3:100001:2000#0:0:10000000#0:4:10000000</t>
  </si>
  <si>
    <t>2000进阶石，70高级点将券，1000w金币，1000w经验</t>
  </si>
  <si>
    <t>Chúc mừng bạn cao cấp điểm tướng 100 lần nha, mở gói quà siêu giá trị</t>
  </si>
  <si>
    <t>3:100022:150#3:100001:4000#0:0:30000000#0:4:30000000</t>
  </si>
  <si>
    <t>4000进阶石，150高级点将券，3000w金币，3000w经验</t>
  </si>
  <si>
    <t>Chúc mừng bạn cao cấp điểm tướng 200 lần nha, mở gói quà siêu giá trị</t>
  </si>
  <si>
    <t>精英召唤礼包</t>
  </si>
  <si>
    <t>3:100044:20#3:100001:500#0:0:3000000#0:4:3000000</t>
  </si>
  <si>
    <t>500进阶石，20精英点将券，300w金币，300w经验</t>
  </si>
  <si>
    <t>Chúc mừng bạn sao anh điểm tướng 30 lần nha, mở gói quà siêu giá trị</t>
  </si>
  <si>
    <t>3:100044:40#3:100001:1000#0:0:5000000#0:4:5000000</t>
  </si>
  <si>
    <t>1000进阶石，40精英点将券，500w金币，500w经验</t>
  </si>
  <si>
    <t>Chúc mừng bạn sao anh điểm tướng 50 lần nha, mở gói quà siêu giá trị</t>
  </si>
  <si>
    <t>3:100044:70#3:100001:2000#0:0:10000000#0:4:10000000</t>
  </si>
  <si>
    <t>2000进阶石，70精英点将券，1000w金币，1000w经验</t>
  </si>
  <si>
    <t>Chúc mừng bạn sao anh điểm tướng 100 lần nha, mở gói quà siêu giá trị</t>
  </si>
  <si>
    <t>3:100044:150#3:100001:4000#0:0:30000000#0:4:30000000</t>
  </si>
  <si>
    <t>4000进阶石，150精英点将券，3000w金币，3000w经验</t>
  </si>
  <si>
    <t>Chúc mừng bạn sao anh điểm tướng 200 lần nha, mở gói quà siêu giá trị</t>
  </si>
  <si>
    <t>战力礼包1</t>
  </si>
  <si>
    <t>Chúc mừng bạn chiến lực đạt tới 10 Vạn, mở gói quà siêu giá trị</t>
  </si>
  <si>
    <t>战力礼包2</t>
  </si>
  <si>
    <t>0:1:1280#4:606002:100#0:0:10000000#0:4:10000000</t>
  </si>
  <si>
    <t>1280元宝，100五星随机，1000w金币，1000w经验</t>
  </si>
  <si>
    <t>Chúc mừng bạn chiến lực đạt tới 20 Vạn, mở gói quà siêu giá trị</t>
  </si>
  <si>
    <t>战力礼包3</t>
  </si>
  <si>
    <t>0:1:1280#4:606015:50#0:0:10000000#0:4:10000000</t>
  </si>
  <si>
    <t>1280元宝，神魔随机，1000w金币，1000w经验</t>
  </si>
  <si>
    <t>Chúc mừng bạn chiến lực đạt tới 40 Vạn, mở gói quà siêu giá trị</t>
  </si>
  <si>
    <t>战力礼包4</t>
  </si>
  <si>
    <t>Chúc mừng bạn chiến lực đạt tới 50 Vạn, mở gói quà siêu giá trị</t>
  </si>
  <si>
    <t>搜神纪礼包1</t>
  </si>
  <si>
    <t>0:1:500#3:500005:1#3:100001:1000#0:4:5000000</t>
  </si>
  <si>
    <t>500元宝，仙族自选，1000进阶石，500w经验</t>
  </si>
  <si>
    <t>Chúc mừng bạn thành công khiêu chiến lục soát thần kỷ, mở gói quà siêu giá trị</t>
  </si>
  <si>
    <t>搜神纪礼包2</t>
  </si>
  <si>
    <t>0:1:980#3:100004:10000#3:100001:1000#0:0:10000000</t>
  </si>
  <si>
    <t>980元宝，1w鎏金粉，1000进阶石，1000w金币</t>
  </si>
  <si>
    <t>搜神纪礼包3</t>
  </si>
  <si>
    <t>0:1:1280#3:500006:1#3:100031:500#0:4:10000000</t>
  </si>
  <si>
    <t>1280元宝，妖族自选，500洗练石，1000w经验</t>
  </si>
  <si>
    <t>搜神纪礼包4</t>
  </si>
  <si>
    <t>0:1:1280#3:500004:1#3:100001:2000#0:4:10000000</t>
  </si>
  <si>
    <t>1280元宝，人族自选，2000进阶石，1000w经验</t>
  </si>
  <si>
    <t>搜神纪礼包5</t>
  </si>
  <si>
    <t>0:1:1280#3:500004:1#3:100001:2000#0:0:10000000</t>
  </si>
  <si>
    <t>1280元宝，人族自选，2000进阶石，1000w金币</t>
  </si>
  <si>
    <t>搜神纪礼包6</t>
  </si>
  <si>
    <t>0:1:1280#4:606002:100#0:4:10000000#0:0:10000000</t>
  </si>
  <si>
    <t>搜神纪礼包7</t>
  </si>
  <si>
    <t>0:1:1280#4:606015:50#3:100004:10000#0:4:10000000</t>
  </si>
  <si>
    <t>1280元宝，神魔随机，1w鎏金粉，1000w经验</t>
  </si>
  <si>
    <t>蛮荒记礼包1</t>
  </si>
  <si>
    <t>0:1:980#4:606002:100#0:0:5000000#0:4:5000000</t>
  </si>
  <si>
    <t>980元宝，100五星随机碎片，500w金币，500w经验</t>
  </si>
  <si>
    <t>Chúc mừng bạn thành công khiêu chiến Man Hoang kỷ, mở gói quà siêu giá trị</t>
  </si>
  <si>
    <t>蛮荒记礼包2</t>
  </si>
  <si>
    <t>蛮荒记礼包3</t>
  </si>
  <si>
    <t>蛮荒记礼包4</t>
  </si>
  <si>
    <t>0:1:1280#4:606015:50#0:0:20000000#0:4:20000000</t>
  </si>
  <si>
    <t>1280元宝，神魔随机，2000w金币，2000w经验</t>
  </si>
  <si>
    <t>蛮荒记礼包5</t>
  </si>
  <si>
    <t>蛮荒记礼包6</t>
  </si>
  <si>
    <t>蛮荒记礼包7</t>
  </si>
  <si>
    <t>玺印重铸礼包1</t>
  </si>
  <si>
    <t>0:1:1280#5:4:1#3:100004:10000#0:0:10000000</t>
  </si>
  <si>
    <t>1280元宝，1金色符文，1w鎏金粉，1000w金币</t>
  </si>
  <si>
    <t>Chúc mừng bạn tỉ ấn đúc lại thành công, mở gói quà siêu giá trị</t>
  </si>
  <si>
    <t>玺印重铸礼包2</t>
  </si>
  <si>
    <t>0:1:3280#5:4:2#3:100004:20000#0:0:20000000</t>
  </si>
  <si>
    <t>3280元宝，2金色符文，2w鎏金粉，2000w金币</t>
  </si>
  <si>
    <t>玺印重铸礼包3</t>
  </si>
  <si>
    <t>0:1:6480#5:5:1#3:100004:40000#0:0:40000000</t>
  </si>
  <si>
    <t>6280元宝，1红色符文，4w鎏金粉，4000w金币</t>
  </si>
  <si>
    <t>玺印重铸礼包4</t>
  </si>
  <si>
    <t>0:1:6480#5:5:1#3:100046:1#5:20001:3</t>
  </si>
  <si>
    <t>元宝*6480，红色玺印*1，重铸丹*1，龙魂*3</t>
  </si>
  <si>
    <t>兽魂祈祷礼包1</t>
  </si>
  <si>
    <t>0:1:680#3:100036:200#6:30002:2#0:0:4000000</t>
  </si>
  <si>
    <t>680元宝，200兽魂碎片，2兽魂经验大，400w金币</t>
  </si>
  <si>
    <t>Chúc mừng bạn thú hồn cầu nguyện 100 lần, mở gói quà siêu giá trị</t>
  </si>
  <si>
    <t>兽魂祈祷礼包2</t>
  </si>
  <si>
    <t>0:1:1280#3:100036:400#6:30002:4#0:0:9000000</t>
  </si>
  <si>
    <t>1280元宝，400兽魂碎片，4兽魂经验大，900w金币</t>
  </si>
  <si>
    <t>Chúc mừng bạn thú hồn cầu nguyện 50 lần, mở gói quà siêu giá trị</t>
  </si>
  <si>
    <t>兽魂祈祷礼包3</t>
  </si>
  <si>
    <t>0:1:3280#3:100036:600#6:30002:8#0:0:16000000</t>
  </si>
  <si>
    <t>3280元宝，600兽魂碎片，8兽魂经验大，1600w金币</t>
  </si>
  <si>
    <t>Chúc mừng bạn thú hồn cầu nguyện 20 lần, mở gói quà siêu giá trị</t>
  </si>
  <si>
    <t>兽魂祈祷礼包4</t>
  </si>
  <si>
    <t>0:1:6480#3:100036:1500#6:30002:16#0:0:25000000</t>
  </si>
  <si>
    <t>6480元宝，1500兽魂碎片，16兽魂经验大，2500w金币</t>
  </si>
  <si>
    <t>Chúc mừng bạn thú hồn cầu nguyện 10 lần, mở gói quà siêu giá trị</t>
  </si>
  <si>
    <t>兽魂洗练礼包</t>
  </si>
  <si>
    <t>0:1:1280#3:400015:1#3:100031:200#0:0:10000000</t>
  </si>
  <si>
    <t>1280元宝，地级兽魂礼包，200洗练石，1000w金币</t>
  </si>
  <si>
    <t>Chúc mừng bạn thú hồn tẩy luyện 50 lần, mở gói quà siêu giá trị</t>
  </si>
  <si>
    <t>等级礼包1</t>
  </si>
  <si>
    <t>0:1:3280#3:500015:10#3:100025:5#0:0:20000000</t>
  </si>
  <si>
    <t>元宝*3280，灌魔之瓶*10，金币2000w，命签*5</t>
  </si>
  <si>
    <t>24</t>
  </si>
  <si>
    <t>201</t>
  </si>
  <si>
    <t>90</t>
  </si>
  <si>
    <t>95</t>
  </si>
  <si>
    <t>888</t>
  </si>
  <si>
    <t>Chúc mừng bạn đẳng cấp đạt tới 90 Cấp, mở gói quà siêu giá trị</t>
  </si>
  <si>
    <t>等级礼包2</t>
  </si>
  <si>
    <t>215000</t>
  </si>
  <si>
    <t>0:1:6480#3:500015:20#3:100025:10#0:0:30000000</t>
  </si>
  <si>
    <t>元宝*6480，灌魔之瓶*20，金币3000w，命签*10</t>
  </si>
  <si>
    <t>100</t>
  </si>
  <si>
    <t>104</t>
  </si>
  <si>
    <t>Chúc mừng bạn đẳng cấp đạt tới 100 Cấp, mở gói quà siêu giá trị</t>
  </si>
  <si>
    <t>等级礼包3</t>
  </si>
  <si>
    <t>105</t>
  </si>
  <si>
    <t>109</t>
  </si>
  <si>
    <t>Chúc mừng bạn đẳng cấp đạt tới 105 Cấp, mở gói quà siêu giá trị</t>
  </si>
  <si>
    <t>等级礼包4</t>
  </si>
  <si>
    <t>110</t>
  </si>
  <si>
    <t>114</t>
  </si>
  <si>
    <t>Chúc mừng bạn đẳng cấp đạt tới 110 Cấp, mở gói quà siêu giá trị</t>
  </si>
  <si>
    <t>等级礼包5</t>
  </si>
  <si>
    <t>0:1:6480#3:400029:1#3:100059:350#0:0:30000000</t>
  </si>
  <si>
    <t>元宝*6480，兽魂礼包（随机开出天兽魂），魂丹*350，金币*3000w</t>
  </si>
  <si>
    <t>115</t>
  </si>
  <si>
    <t>119</t>
  </si>
  <si>
    <t>Chúc mừng bạn đẳng cấp đạt tới 115 Cấp, mở gói quà siêu giá trị</t>
  </si>
  <si>
    <t>等级礼包6</t>
  </si>
  <si>
    <t>0:1:6480#3:500013:1#3:100059:400#0:0:30000000</t>
  </si>
  <si>
    <t>元宝*6480，兽魂礼包（随机开出天兽魂），魂丹*400，金币*3000w</t>
  </si>
  <si>
    <t>120</t>
  </si>
  <si>
    <t>124</t>
  </si>
  <si>
    <t>Chúc mừng bạn đẳng cấp đạt tới 120 Cấp, mở gói quà siêu giá trị</t>
  </si>
  <si>
    <t>等级礼包7</t>
  </si>
  <si>
    <t>元宝*6480，专属仙器自选，仙玉*3w，金币*2000w</t>
  </si>
  <si>
    <t>125</t>
  </si>
  <si>
    <t>129</t>
  </si>
  <si>
    <t>Chúc mừng bạn đẳng cấp đạt tới 125 Cấp, mở gói quà siêu giá trị</t>
  </si>
  <si>
    <t>等级礼包8</t>
  </si>
  <si>
    <t>130</t>
  </si>
  <si>
    <t>Chúc mừng bạn đẳng cấp đạt tới 130 Cấp, mở gói quà siêu giá trị</t>
  </si>
  <si>
    <t>220001</t>
  </si>
  <si>
    <t>挂机奖励礼包</t>
  </si>
  <si>
    <t>1007</t>
  </si>
  <si>
    <t>Chúc mừng bạn nhận lấy treo máy ban thưởng, mở gói quà siêu giá trị</t>
  </si>
  <si>
    <t>230001</t>
  </si>
  <si>
    <t>专属仙器礼包</t>
  </si>
  <si>
    <t>0:1:6480#7:1000101:1#3:100216:40000#0:0:30000000</t>
  </si>
  <si>
    <t>元宝*6480，龙王篓，仙玉*4w，金币*3000w</t>
  </si>
  <si>
    <t>仅姜子牙佩带才可生效技能</t>
  </si>
  <si>
    <t>418</t>
  </si>
  <si>
    <t>Chúc mừng thăng sao anh hùng đạt tới 10 sao, mở gói quà siêu giá trị</t>
  </si>
  <si>
    <t>230002</t>
  </si>
  <si>
    <t>0:1:6480#7:2000101:1#3:100216:40000#0:0:30000000</t>
  </si>
  <si>
    <t>元宝*6480，精金铜钱，仙玉*4w，金币*3000w</t>
  </si>
  <si>
    <t>仅禄缘上仙佩带才可生效技能</t>
  </si>
  <si>
    <t>230003</t>
  </si>
  <si>
    <t>0:1:6480#7:3000101:1#3:100216:40000#0:0:30000000</t>
  </si>
  <si>
    <t>元宝*6480，火缨枪，仙玉*4w，金币*3000w</t>
  </si>
  <si>
    <t>仅红孩儿佩带才可生效技能</t>
  </si>
  <si>
    <t>230004</t>
  </si>
  <si>
    <t>0:1:6480#7:4000101:1#3:100216:40000#0:0:30000000</t>
  </si>
  <si>
    <t>元宝*6480，太虚神甲，仙玉*4w，金币*3000w</t>
  </si>
  <si>
    <t>仅盘古佩带才可生效技能</t>
  </si>
  <si>
    <t>230005</t>
  </si>
  <si>
    <t>0:1:6480#7:5000101:1#3:100216:40000#0:0:30000000</t>
  </si>
  <si>
    <t>元宝*6480，东皇钟，仙玉*4w，金币*3000w</t>
  </si>
  <si>
    <t>仅东皇太一佩带才可生效技能</t>
  </si>
  <si>
    <t>230006</t>
  </si>
  <si>
    <t>0:1:6480#7:6000101:1#3:100216:40000#0:0:30000000</t>
  </si>
  <si>
    <t>元宝*6480，落日弓，仙玉*4w，金币*3000w</t>
  </si>
  <si>
    <t>仅后羿佩带才可生效技能</t>
  </si>
  <si>
    <t>230007</t>
  </si>
  <si>
    <t>0:1:6480#7:7000101:1#3:100216:40000#0:0:30000000</t>
  </si>
  <si>
    <t>元宝*6480，上宝沁金耙，仙玉*4w，金币*3000w</t>
  </si>
  <si>
    <t>仅天蓬元帅佩带才可生效技能</t>
  </si>
  <si>
    <t>230008</t>
  </si>
  <si>
    <t>0:1:6480#7:8000101:1#3:100216:40000#0:0:30000000</t>
  </si>
  <si>
    <t>元宝*6480，彩云飘，仙玉*4w，金币*3000w</t>
  </si>
  <si>
    <t>仅石矶佩带才可生效技能</t>
  </si>
  <si>
    <t>230009</t>
  </si>
  <si>
    <t>0:1:6480#7:9000101:1#3:100216:40000#0:0:30000000</t>
  </si>
  <si>
    <t>元宝*6480，神农鼎，仙玉*4w，金币*3000w</t>
  </si>
  <si>
    <t>仅神农佩带才可生效技能</t>
  </si>
  <si>
    <t>230010</t>
  </si>
  <si>
    <t>0:1:6480#7:10000101:1#3:100216:40000#0:0:30000000</t>
  </si>
  <si>
    <t>元宝*6480，忘忧，仙玉*4w，金币*3000w</t>
  </si>
  <si>
    <t>仅孟婆佩带才可生效技能</t>
  </si>
  <si>
    <t>230011</t>
  </si>
  <si>
    <t>0:1:6480#7:11000101:1#3:100216:40000#0:0:30000000</t>
  </si>
  <si>
    <t>元宝*6480，月华，仙玉*4w，金币*3000w</t>
  </si>
  <si>
    <t>仅嫦娥佩带才可生效技能</t>
  </si>
  <si>
    <t>230012</t>
  </si>
  <si>
    <t>0:1:6480#7:12000101:1#3:100216:40000#0:0:30000000</t>
  </si>
  <si>
    <t>元宝*6480，老龙布雨，仙玉*4w，金币*3000w</t>
  </si>
  <si>
    <t>仅共工佩带才可生效技能</t>
  </si>
  <si>
    <t>230013</t>
  </si>
  <si>
    <t>0:1:6480#7:13000101:1#3:100216:40000#0:0:30000000</t>
  </si>
  <si>
    <t>元宝*6480，混天绫，仙玉*4w，金币*3000w</t>
  </si>
  <si>
    <t>仅哪吒佩带才可生效技能</t>
  </si>
  <si>
    <t>230014</t>
  </si>
  <si>
    <t>0:1:6480#7:14000101:1#3:100216:40000#0:0:30000000</t>
  </si>
  <si>
    <t>元宝*6480，虎魄刀，仙玉*4w，金币*3000w</t>
  </si>
  <si>
    <t>仅蚩尤佩带才可生效技能</t>
  </si>
  <si>
    <t>230015</t>
  </si>
  <si>
    <t>0:1:6480#7:15000101:1#3:100216:40000#0:0:30000000</t>
  </si>
  <si>
    <t>元宝*6480，梦境遗珠，仙玉*4w，金币*3000w</t>
  </si>
  <si>
    <t>仅鲲佩带才可生效技能</t>
  </si>
  <si>
    <t>230016</t>
  </si>
  <si>
    <t>0:1:6480#7:16000101:1#3:100216:40000#0:0:30000000</t>
  </si>
  <si>
    <t>元宝*6480，海盐珍珠蚌，仙玉*4w，金币*3000w</t>
  </si>
  <si>
    <t>仅敖丙佩带才可生效技能</t>
  </si>
  <si>
    <t>230017</t>
  </si>
  <si>
    <t>0:1:6480#7:17000101:1#3:100216:40000#0:0:30000000</t>
  </si>
  <si>
    <t>元宝*6480，随心铁杆兵，仙玉*4w，金币*3000w</t>
  </si>
  <si>
    <t>仅魔·悟空佩带才可生效技能</t>
  </si>
  <si>
    <t>230018</t>
  </si>
  <si>
    <t>0:1:6480#7:18000101:1#3:100216:40000#0:0:30000000</t>
  </si>
  <si>
    <t>元宝*6480，浮世清欢，仙玉*4w，金币*3000w</t>
  </si>
  <si>
    <t>仅妲己佩带才可生效技能</t>
  </si>
  <si>
    <t>230019</t>
  </si>
  <si>
    <t>0:1:6480#7:19000101:1#3:100216:40000#0:0:30000000</t>
  </si>
  <si>
    <t>元宝*6480，如意金箍棒，仙玉*4w，金币*3000w</t>
  </si>
  <si>
    <t>仅斗战胜佛佩带才可生效技能</t>
  </si>
  <si>
    <t>230020</t>
  </si>
  <si>
    <t>0:1:6480#7:20000101:1#3:100216:40000#0:0:30000000</t>
  </si>
  <si>
    <t>元宝*6480，永夜，仙玉*4w，金币*3000w</t>
  </si>
  <si>
    <t>仅烛龙佩带才可生效技能</t>
  </si>
  <si>
    <t>230021</t>
  </si>
  <si>
    <t>0:1:6480#7:21000101:1#3:100216:40000#0:0:30000000</t>
  </si>
  <si>
    <t>元宝*6480，雪花翎，仙玉*4w，金币*3000w</t>
  </si>
  <si>
    <t>仅九天玄女佩带才可生效技能</t>
  </si>
  <si>
    <t>230022</t>
  </si>
  <si>
    <t>0:1:6480#7:22000101:1#3:100216:40000#0:0:30000000</t>
  </si>
  <si>
    <t>元宝*6480，剑匣，仙玉*4w，金币*3000w</t>
  </si>
  <si>
    <t>仅花木兰佩带才可生效技能</t>
  </si>
  <si>
    <t>230023</t>
  </si>
  <si>
    <t>0:1:6480#7:23000101:1#3:100216:40000#0:0:30000000</t>
  </si>
  <si>
    <t>元宝*6480，斩魂，仙玉*4w，金币*3000w</t>
  </si>
  <si>
    <t>仅黄泉佩带才可生效技能</t>
  </si>
  <si>
    <t>230024</t>
  </si>
  <si>
    <t>0:1:6480#7:24000101:1#3:100216:40000#0:0:30000000</t>
  </si>
  <si>
    <t>元宝*6480，螭龙印，仙玉*4w，金币*3000w</t>
  </si>
  <si>
    <t>仅玉帝佩带才可生效技能</t>
  </si>
  <si>
    <t>230025</t>
  </si>
  <si>
    <t>0:1:6480#7:25000101:1#3:100216:40000#0:0:30000000</t>
  </si>
  <si>
    <t>元宝*6480，五彩神石，仙玉*4w，金币*3000w</t>
  </si>
  <si>
    <t>仅女娲佩带才可生效技能</t>
  </si>
  <si>
    <t>230026</t>
  </si>
  <si>
    <t>0:1:6480#7:26000101:1#3:100216:40000#0:0:30000000</t>
  </si>
  <si>
    <t>元宝*6480，玄火鉴，仙玉*4w，金币*3000w</t>
  </si>
  <si>
    <t>仅祝融佩带才可生效技能</t>
  </si>
  <si>
    <t>230027</t>
  </si>
  <si>
    <t>0:1:6480#7:27000101:1#3:100216:40000#0:0:30000000</t>
  </si>
  <si>
    <t>元宝*6480，干戚，仙玉*4w，金币*3000w</t>
  </si>
  <si>
    <t>仅刑天佩带才可生效技能</t>
  </si>
  <si>
    <t>230028</t>
  </si>
  <si>
    <t>0:1:6480#7:28000101:1#3:100216:40000#0:0:30000000</t>
  </si>
  <si>
    <t>元宝*6480，暮光，仙玉*4w，金币*3000w</t>
  </si>
  <si>
    <t>仅夜魅佩带才可生效技能</t>
  </si>
  <si>
    <t>230029</t>
  </si>
  <si>
    <t>0:1:6480#7:29000101:1#3:100216:40000#0:0:30000000</t>
  </si>
  <si>
    <t>元宝*6480，猩红之眸，仙玉*4w，金币*3000w</t>
  </si>
  <si>
    <t>仅混天大圣佩带才可生效技能</t>
  </si>
  <si>
    <t>230030</t>
  </si>
  <si>
    <t>0:1:6480#7:30000101:1#3:100216:40000#0:0:30000000</t>
  </si>
  <si>
    <t>元宝*6480，梭罗宝杖，仙玉*4w，金币*3000w</t>
  </si>
  <si>
    <t>仅卷帘大将佩带才可生效技能</t>
  </si>
  <si>
    <t>230031</t>
  </si>
  <si>
    <t>0:1:6480#7:31000101:1#3:100216:40000#0:0:30000000</t>
  </si>
  <si>
    <t>元宝*6480，海洋之心，仙玉*4w，金币*3000w</t>
  </si>
  <si>
    <t>仅白龙佩带才可生效技能</t>
  </si>
  <si>
    <t>230032</t>
  </si>
  <si>
    <t>0:1:6480#7:32000101:1#3:100216:40000#0:0:30000000</t>
  </si>
  <si>
    <t>元宝*6480，青萍，仙玉*4w，金币*3000w</t>
  </si>
  <si>
    <t>仅通天教主佩带才可生效技能</t>
  </si>
  <si>
    <t>230033</t>
  </si>
  <si>
    <t>0:1:6480#7:33000101:1#3:100216:40000#0:0:30000000</t>
  </si>
  <si>
    <t>元宝*6480，玲珑宝塔，仙玉*4w，金币*3000w</t>
  </si>
  <si>
    <t>仅李靖佩带才可生效技能</t>
  </si>
  <si>
    <t>230034</t>
  </si>
  <si>
    <t>0:1:6480#7:34000101:1#3:100216:40000#0:0:30000000</t>
  </si>
  <si>
    <t>元宝*6480，锦斓袈裟，仙玉*4w，金币*3000w</t>
  </si>
  <si>
    <t>仅玄奘佩带才可生效技能</t>
  </si>
  <si>
    <t>46234</t>
  </si>
  <si>
    <t>230035</t>
  </si>
  <si>
    <t>0:1:6480#7:35000101:1#3:100216:40000#0:0:30000000</t>
  </si>
  <si>
    <t>元宝*6480，咒怨，仙玉*4w，金币*3000w</t>
  </si>
  <si>
    <t>仅白骨夫人佩带才可生效技能</t>
  </si>
  <si>
    <t>46235</t>
  </si>
  <si>
    <t>230036</t>
  </si>
  <si>
    <t>0:1:6480#7:36000101:1#3:100216:40000#0:0:30000000</t>
  </si>
  <si>
    <t>元宝*6480，五色神光，仙玉*4w，金币*3000w</t>
  </si>
  <si>
    <t>仅孔宣佩带才可生效技能</t>
  </si>
  <si>
    <t>46236</t>
  </si>
  <si>
    <t>230037</t>
  </si>
  <si>
    <t>0:1:6480#7:37000101:1#3:100216:40000#0:0:30000000</t>
  </si>
  <si>
    <t>元宝*6480，三宝玉如意，仙玉*4w，金币*3000w</t>
  </si>
  <si>
    <t>仅元始天尊佩带才可生效技能</t>
  </si>
  <si>
    <t>46237</t>
  </si>
  <si>
    <t>230038</t>
  </si>
  <si>
    <t>0:1:6480#7:38000101:1#3:100216:40000#0:0:30000000</t>
  </si>
  <si>
    <t>元宝*6480，黄钺，仙玉*4w，金币*3000w</t>
  </si>
  <si>
    <t>仅姬发佩带才可生效技能</t>
  </si>
  <si>
    <t>46238</t>
  </si>
  <si>
    <t>230039</t>
  </si>
  <si>
    <t>0:1:6480#7:39000101:1#3:100216:40000#0:0:30000000</t>
  </si>
  <si>
    <t>元宝*6480，混铁棍，仙玉*4w，金币*3000w</t>
  </si>
  <si>
    <t>仅牛魔王佩带才可生效技能</t>
  </si>
  <si>
    <t>46239</t>
  </si>
  <si>
    <t>230040</t>
  </si>
  <si>
    <t>0:1:6480#7:40000101:1#3:100216:40000#0:0:30000000</t>
  </si>
  <si>
    <t>元宝*6480，巫毒木偶，仙玉*4w，金币*3000w</t>
  </si>
  <si>
    <t>仅灵媒魔女佩带才可生效技能</t>
  </si>
  <si>
    <t>46240</t>
  </si>
  <si>
    <t>230041</t>
  </si>
  <si>
    <t>0:1:6480#7:41000101:1#3:100216:40000#0:0:30000000</t>
  </si>
  <si>
    <t>元宝*6480，血莲台，仙玉*4w，金币*3000w</t>
  </si>
  <si>
    <t>仅冥河佩带才可生效技能</t>
  </si>
  <si>
    <t>46241</t>
  </si>
  <si>
    <t>230042</t>
  </si>
  <si>
    <t>0:1:6480#7:42000101:1#3:100216:40000#0:0:30000000</t>
  </si>
  <si>
    <t>元宝*6480，三尖枪，仙玉*4w，金币*3000w</t>
  </si>
  <si>
    <t>仅杨戬佩带才可生效技能</t>
  </si>
  <si>
    <t>46242</t>
  </si>
  <si>
    <t>230043</t>
  </si>
  <si>
    <t>0:1:6480#7:43000101:1#3:100216:40000#0:0:30000000</t>
  </si>
  <si>
    <t>元宝*6480，碧海星螺，仙玉*4w，金币*3000w</t>
  </si>
  <si>
    <t>仅妈祖佩带才可生效技能</t>
  </si>
  <si>
    <t>46243</t>
  </si>
  <si>
    <t>230044</t>
  </si>
  <si>
    <t>0:1:6480#7:45000101:1#3:100216:40000#0:0:30000000</t>
  </si>
  <si>
    <t>元宝*6480，宝莲灯，仙玉*4w，金币*3000w</t>
  </si>
  <si>
    <t>仅三圣母带才可生效技能</t>
  </si>
  <si>
    <t>46244</t>
  </si>
  <si>
    <t>230045</t>
  </si>
  <si>
    <t>0:1:6480#7:47000101:1#3:100216:40000#0:0:30000000</t>
  </si>
  <si>
    <t>元宝*6480，桃木杖，仙玉*4w，金币*3000w</t>
  </si>
  <si>
    <t>仅土地带才可生效技能</t>
  </si>
  <si>
    <t>46245</t>
  </si>
  <si>
    <t>230046</t>
  </si>
  <si>
    <t>0:1:6480#7:48000101:1#3:100216:40000#0:0:30000000</t>
  </si>
  <si>
    <t>元宝*6480，死亡镰刀，仙玉*4w，金币*3000w</t>
  </si>
  <si>
    <t>仅无天带才可生效技能</t>
  </si>
  <si>
    <t>46246</t>
  </si>
  <si>
    <t>230047</t>
  </si>
  <si>
    <t>0:1:6480#7:50000101:1#3:100216:40000#0:0:30000000</t>
  </si>
  <si>
    <t>元宝*6480，西王母，仙玉*4w，金币*3000w</t>
  </si>
  <si>
    <t>仅西王母带才可生效技能</t>
  </si>
  <si>
    <t>46247</t>
  </si>
  <si>
    <t>230048</t>
  </si>
  <si>
    <t>0:1:6480#7:52000101:1#3:100216:40000#0:0:30000000</t>
  </si>
  <si>
    <t>元宝*6480，影，仙玉*4w，金币*3000w</t>
  </si>
  <si>
    <t>仅影带才可生效技能</t>
  </si>
  <si>
    <t>46248</t>
  </si>
  <si>
    <t>230049</t>
  </si>
  <si>
    <t>0:1:6480#7:53000101:1#3:100216:40000#0:0:30000000</t>
  </si>
  <si>
    <t>元宝*6480，曼珠，仙玉*4w，金币*3000w</t>
  </si>
  <si>
    <t>仅曼珠带才可生效技能</t>
  </si>
  <si>
    <t>46249</t>
  </si>
  <si>
    <t>231001</t>
  </si>
  <si>
    <t>Chúc mừng thăng sao anh hùng đạt tới 11 sao, mở gói quà siêu giá trị</t>
  </si>
  <si>
    <t>46501</t>
  </si>
  <si>
    <t>231002</t>
  </si>
  <si>
    <t>46502</t>
  </si>
  <si>
    <t>231003</t>
  </si>
  <si>
    <t>46503</t>
  </si>
  <si>
    <t>231004</t>
  </si>
  <si>
    <t>46504</t>
  </si>
  <si>
    <t>231005</t>
  </si>
  <si>
    <t>46505</t>
  </si>
  <si>
    <t>231006</t>
  </si>
  <si>
    <t>46506</t>
  </si>
  <si>
    <t>231007</t>
  </si>
  <si>
    <t>46507</t>
  </si>
  <si>
    <t>231008</t>
  </si>
  <si>
    <t>46508</t>
  </si>
  <si>
    <t>231009</t>
  </si>
  <si>
    <t>46509</t>
  </si>
  <si>
    <t>231010</t>
  </si>
  <si>
    <t>46510</t>
  </si>
  <si>
    <t>231011</t>
  </si>
  <si>
    <t>46511</t>
  </si>
  <si>
    <t>231012</t>
  </si>
  <si>
    <t>46512</t>
  </si>
  <si>
    <t>231013</t>
  </si>
  <si>
    <t>46513</t>
  </si>
  <si>
    <t>231014</t>
  </si>
  <si>
    <t>46514</t>
  </si>
  <si>
    <t>231015</t>
  </si>
  <si>
    <t>46515</t>
  </si>
  <si>
    <t>231016</t>
  </si>
  <si>
    <t>46516</t>
  </si>
  <si>
    <t>231017</t>
  </si>
  <si>
    <t>46517</t>
  </si>
  <si>
    <t>231018</t>
  </si>
  <si>
    <t>46518</t>
  </si>
  <si>
    <t>231019</t>
  </si>
  <si>
    <t>46519</t>
  </si>
  <si>
    <t>231020</t>
  </si>
  <si>
    <t>46520</t>
  </si>
  <si>
    <t>231021</t>
  </si>
  <si>
    <t>46521</t>
  </si>
  <si>
    <t>231022</t>
  </si>
  <si>
    <t>46522</t>
  </si>
  <si>
    <t>231023</t>
  </si>
  <si>
    <t>46523</t>
  </si>
  <si>
    <t>231024</t>
  </si>
  <si>
    <t>46524</t>
  </si>
  <si>
    <t>231025</t>
  </si>
  <si>
    <t>46525</t>
  </si>
  <si>
    <t>231026</t>
  </si>
  <si>
    <t>46526</t>
  </si>
  <si>
    <t>231027</t>
  </si>
  <si>
    <t>46527</t>
  </si>
  <si>
    <t>231028</t>
  </si>
  <si>
    <t>46528</t>
  </si>
  <si>
    <t>231029</t>
  </si>
  <si>
    <t>46529</t>
  </si>
  <si>
    <t>231030</t>
  </si>
  <si>
    <t>46530</t>
  </si>
  <si>
    <t>231031</t>
  </si>
  <si>
    <t>46531</t>
  </si>
  <si>
    <t>231032</t>
  </si>
  <si>
    <t>46532</t>
  </si>
  <si>
    <t>231033</t>
  </si>
  <si>
    <t>46533</t>
  </si>
  <si>
    <t>231034</t>
  </si>
  <si>
    <t>46534</t>
  </si>
  <si>
    <t>231035</t>
  </si>
  <si>
    <t>46535</t>
  </si>
  <si>
    <t>231036</t>
  </si>
  <si>
    <t>46536</t>
  </si>
  <si>
    <t>231037</t>
  </si>
  <si>
    <t>46537</t>
  </si>
  <si>
    <t>231038</t>
  </si>
  <si>
    <t>46538</t>
  </si>
  <si>
    <t>231039</t>
  </si>
  <si>
    <t>元宝*6480，铁棍，仙玉*4w，金币*3000w</t>
  </si>
  <si>
    <t>46539</t>
  </si>
  <si>
    <t>231040</t>
  </si>
  <si>
    <t>46540</t>
  </si>
  <si>
    <t>231041</t>
  </si>
  <si>
    <t>46541</t>
  </si>
  <si>
    <t>231042</t>
  </si>
  <si>
    <t>元宝*6480，三尖刀，仙玉*4w，金币*3000w</t>
  </si>
  <si>
    <t>46542</t>
  </si>
  <si>
    <t>231043</t>
  </si>
  <si>
    <t>46543</t>
  </si>
  <si>
    <t>231044</t>
  </si>
  <si>
    <t>仅三圣母佩带才可生效技能</t>
  </si>
  <si>
    <t>46544</t>
  </si>
  <si>
    <t>231045</t>
  </si>
  <si>
    <t>46545</t>
  </si>
  <si>
    <t>231046</t>
  </si>
  <si>
    <t>46546</t>
  </si>
  <si>
    <t>231047</t>
  </si>
  <si>
    <t>46547</t>
  </si>
  <si>
    <t>231048</t>
  </si>
  <si>
    <t>46548</t>
  </si>
  <si>
    <t>231049</t>
  </si>
  <si>
    <t>46549</t>
  </si>
  <si>
    <t>240001</t>
  </si>
  <si>
    <t>玺印突破礼包</t>
  </si>
  <si>
    <t>0:1:6480#5:5:1#5:20001:8#0:0:30000000</t>
  </si>
  <si>
    <t>元宝*6480，红印*1，龙魂*8，金币*3000w</t>
  </si>
  <si>
    <t>合成龙雀印</t>
  </si>
  <si>
    <t>501</t>
  </si>
  <si>
    <t>Chúc mừng thành công đột phá đến ấn Long Tước, mở gói quà siêu giá trị</t>
  </si>
  <si>
    <t>46901</t>
  </si>
  <si>
    <t>240002</t>
  </si>
  <si>
    <t>玺印升级礼包</t>
  </si>
  <si>
    <t>0:1:6480#5:5:1#5:20001:10#0:0:50000000</t>
  </si>
  <si>
    <t>元宝*6480，红印*1，龙魂*10，金币*5000w</t>
  </si>
  <si>
    <t>升级龙雀印</t>
  </si>
  <si>
    <t>506</t>
  </si>
  <si>
    <t>Chúc mừng thành công thăng cấp ấn Long Tước, mở gói quà siêu giá trị</t>
  </si>
  <si>
    <t>46902</t>
  </si>
  <si>
    <t>装备升阶材料</t>
  </si>
  <si>
    <r>
      <rPr>
        <sz val="11"/>
        <color theme="1"/>
        <rFont val="宋体"/>
        <charset val="134"/>
      </rPr>
      <t>0</t>
    </r>
    <r>
      <rPr>
        <sz val="11"/>
        <color theme="1"/>
        <rFont val="Calibri"/>
        <charset val="134"/>
        <scheme val="minor"/>
      </rPr>
      <t>:1:1980#3:100256:10#0:0:15000000#0:4:15000000</t>
    </r>
  </si>
  <si>
    <t>Chúc mừng nhận được anh trang bị, mở gói quà siêu giá trị</t>
  </si>
  <si>
    <r>
      <rPr>
        <sz val="11"/>
        <color theme="1"/>
        <rFont val="宋体"/>
        <charset val="134"/>
      </rPr>
      <t>0</t>
    </r>
    <r>
      <rPr>
        <sz val="11"/>
        <color theme="1"/>
        <rFont val="Calibri"/>
        <charset val="134"/>
        <scheme val="minor"/>
      </rPr>
      <t>:1:3280#3:100257:10#0:0:20000000#0:4:20000000</t>
    </r>
  </si>
  <si>
    <r>
      <rPr>
        <sz val="11"/>
        <color theme="1"/>
        <rFont val="宋体"/>
        <charset val="134"/>
      </rPr>
      <t>0</t>
    </r>
    <r>
      <rPr>
        <sz val="11"/>
        <color theme="1"/>
        <rFont val="Calibri"/>
        <charset val="134"/>
        <scheme val="minor"/>
      </rPr>
      <t>:1:6480#3:100258:10#0:0:25000000#0:4:25000000</t>
    </r>
  </si>
  <si>
    <t>神装超惠礼包</t>
  </si>
  <si>
    <r>
      <rPr>
        <sz val="11"/>
        <color theme="1"/>
        <rFont val="宋体"/>
        <charset val="134"/>
      </rPr>
      <t>0</t>
    </r>
    <r>
      <rPr>
        <sz val="11"/>
        <color theme="1"/>
        <rFont val="Calibri"/>
        <charset val="134"/>
        <scheme val="minor"/>
      </rPr>
      <t>:1:6480#3:400103:1#3:100305:15000</t>
    </r>
  </si>
  <si>
    <t>元宝*6480，业火神装自选*1，神装精铁*15000</t>
  </si>
  <si>
    <t>Chúc mừng ngươi thăng cấp Nghiệp Hỏa thần trang, may mắn phát động tổ hợp gói quà, may mắn tổ hợp gói quà còn thừa mua cơ hội 2/3</t>
  </si>
  <si>
    <t>Chúc mừng ngươi thăng cấp Nghiệp Hỏa thần trang, may mắn phát động tổ hợp gói quà, may mắn tổ hợp gói quà còn thừa mua cơ hội 1/3</t>
  </si>
  <si>
    <t>Chúc mừng ngươi thăng cấp Nghiệp Hỏa thần trang, may mắn phát động tổ hợp gói quà, may mắn tổ hợp gói quà còn thừa mua cơ hội 0/3</t>
  </si>
  <si>
    <r>
      <rPr>
        <sz val="11"/>
        <color theme="1"/>
        <rFont val="宋体"/>
        <charset val="134"/>
      </rPr>
      <t>0</t>
    </r>
    <r>
      <rPr>
        <sz val="11"/>
        <color theme="1"/>
        <rFont val="Calibri"/>
        <charset val="134"/>
        <scheme val="minor"/>
      </rPr>
      <t>:1:6480#3:400203:1#3:100305:15000</t>
    </r>
  </si>
  <si>
    <t>元宝*6480，清水神装自选*1，神装精铁*15000</t>
  </si>
  <si>
    <t>Chúc mừng ngươi thăng cấp thanh Thủy Thần trang, may mắn phát động tổ hợp gói quà, may mắn tổ hợp gói quà còn thừa mua cơ hội 2/3</t>
  </si>
  <si>
    <t>Chúc mừng ngươi thăng cấp thanh Thủy Thần trang, may mắn phát động tổ hợp gói quà, may mắn tổ hợp gói quà còn thừa mua cơ hội 1/3</t>
  </si>
  <si>
    <t>Chúc mừng ngươi thăng cấp thanh Thủy Thần trang, may mắn phát động tổ hợp gói quà, may mắn tổ hợp gói quà còn thừa mua cơ hội 0/3</t>
  </si>
  <si>
    <t>元宝*6480，</t>
  </si>
  <si>
    <t>龙王篓</t>
  </si>
  <si>
    <t>，仙玉*4w，金币*3000w</t>
  </si>
  <si>
    <t>元宝*6481，</t>
  </si>
  <si>
    <t>精金铜钱</t>
  </si>
  <si>
    <t>元宝*6482，</t>
  </si>
  <si>
    <t>火缨枪</t>
  </si>
  <si>
    <t>元宝*6483，</t>
  </si>
  <si>
    <t>太虚神甲</t>
  </si>
  <si>
    <t>元宝*6484，</t>
  </si>
  <si>
    <t>东皇钟</t>
  </si>
  <si>
    <t>元宝*6485，</t>
  </si>
  <si>
    <t>落日弓</t>
  </si>
  <si>
    <t>元宝*6486，</t>
  </si>
  <si>
    <t>上宝沁金耙</t>
  </si>
  <si>
    <t>元宝*6487，</t>
  </si>
  <si>
    <t>彩云飘</t>
  </si>
  <si>
    <t>元宝*6488，</t>
  </si>
  <si>
    <t>神农鼎</t>
  </si>
  <si>
    <t>元宝*6489，</t>
  </si>
  <si>
    <t>忘忧</t>
  </si>
  <si>
    <t>元宝*6490，</t>
  </si>
  <si>
    <t>月华</t>
  </si>
  <si>
    <t>元宝*6491，</t>
  </si>
  <si>
    <t>老龙布雨</t>
  </si>
  <si>
    <t>元宝*6492，</t>
  </si>
  <si>
    <t>混天绫</t>
  </si>
  <si>
    <t>元宝*6493，</t>
  </si>
  <si>
    <t>虎魄刀</t>
  </si>
  <si>
    <t>元宝*6494，</t>
  </si>
  <si>
    <t>梦境遗珠</t>
  </si>
  <si>
    <t>元宝*6495，</t>
  </si>
  <si>
    <t>海盐珍珠蚌</t>
  </si>
  <si>
    <t>元宝*6496，</t>
  </si>
  <si>
    <t>随心铁杆兵</t>
  </si>
  <si>
    <t>元宝*6497，</t>
  </si>
  <si>
    <t>浮世清欢</t>
  </si>
  <si>
    <t>元宝*6498，</t>
  </si>
  <si>
    <t>如意金箍棒</t>
  </si>
  <si>
    <t>元宝*6499，</t>
  </si>
  <si>
    <t>永夜</t>
  </si>
  <si>
    <t>元宝*6500，</t>
  </si>
  <si>
    <t>雪花翎</t>
  </si>
  <si>
    <t>元宝*6501，</t>
  </si>
  <si>
    <t>剑匣</t>
  </si>
  <si>
    <t>元宝*6502，</t>
  </si>
  <si>
    <t>斩魂</t>
  </si>
  <si>
    <t>元宝*6503，</t>
  </si>
  <si>
    <t>螭龙印</t>
  </si>
  <si>
    <t>元宝*6504，</t>
  </si>
  <si>
    <t>五彩神石</t>
  </si>
  <si>
    <t>元宝*6505，</t>
  </si>
  <si>
    <t>玄火鉴</t>
  </si>
  <si>
    <t>元宝*6506，</t>
  </si>
  <si>
    <t>干戚</t>
  </si>
  <si>
    <t>元宝*6507，</t>
  </si>
  <si>
    <t>暮光</t>
  </si>
  <si>
    <t>元宝*6508，</t>
  </si>
  <si>
    <t>猩红之眸</t>
  </si>
  <si>
    <t>元宝*6509，</t>
  </si>
  <si>
    <t>梭罗宝杖</t>
  </si>
  <si>
    <t>元宝*6510，</t>
  </si>
  <si>
    <t>海洋之心</t>
  </si>
  <si>
    <t>元宝*6511，</t>
  </si>
  <si>
    <t>青萍</t>
  </si>
  <si>
    <t>任务ID</t>
  </si>
  <si>
    <t>天数</t>
  </si>
  <si>
    <t>0:0:200000#0:4:200000#3:100001:250</t>
  </si>
  <si>
    <t>0:0:400000#0:4:400000#3:100022:2</t>
  </si>
  <si>
    <t>0:0:600000#0:4:600000#3:100027:8</t>
  </si>
  <si>
    <t>0:0:800000#0:4:800000#3:100005:8</t>
  </si>
  <si>
    <t>普通寻宝</t>
  </si>
  <si>
    <t>0:0:1000000#0:4:1000000#3:100025:1</t>
  </si>
  <si>
    <t>0:0:1200000#0:4:1200000#3:100022:10</t>
  </si>
  <si>
    <t>0:0:1400000#0:4:1400000#4:606002:50</t>
  </si>
  <si>
    <t>随机五星碎片</t>
  </si>
  <si>
    <t>0:0:1600000#0:4:1600000#3:100001:500</t>
  </si>
  <si>
    <t>0:0:1800000#0:4:1800000#3:100004:300</t>
  </si>
  <si>
    <t>0:0:2000000#0:4:2000000#3:100025:1</t>
  </si>
  <si>
    <t>0:0:2200000#0:4:2200000#3:100005:12</t>
  </si>
  <si>
    <t>0:0:2400000#0:4:2400000#3:100006:1</t>
  </si>
  <si>
    <t>高级寻宝</t>
  </si>
  <si>
    <t>0:0:2600000#0:4:2600000#4:606002:50</t>
  </si>
  <si>
    <t>0:0:2800000#0:4:2800000#3:100002:100</t>
  </si>
  <si>
    <t>太乙精金</t>
  </si>
  <si>
    <t>0:0:3000000#0:4:3000000#4:606002:50</t>
  </si>
  <si>
    <t>充值金额</t>
  </si>
  <si>
    <t>1001</t>
  </si>
  <si>
    <t>6000</t>
  </si>
  <si>
    <t>3:400019:1#3:100022:1#0:0:1000000#0:4:1000000</t>
  </si>
  <si>
    <t>40</t>
  </si>
  <si>
    <t>六选一礼包，1高抽，100w经验，100w金币</t>
  </si>
  <si>
    <t>1002</t>
  </si>
  <si>
    <t>3:400019:1#3:100059:3#0:0:1000000#0:4:1000000</t>
  </si>
  <si>
    <t>41</t>
  </si>
  <si>
    <t>80</t>
  </si>
  <si>
    <t>六选一礼包，3黄级魂丹，100w经验，100w金币</t>
  </si>
  <si>
    <t>1003</t>
  </si>
  <si>
    <t>3:400019:1#3:100059:6#0:0:1000000#0:4:1000000</t>
  </si>
  <si>
    <t>81</t>
  </si>
  <si>
    <t>六选一礼包，2玄级魂丹，100w经验，100w金币</t>
  </si>
  <si>
    <t>1004</t>
  </si>
  <si>
    <t>3:400019:1#3:100059:10#0:0:1000000#0:4:1000000</t>
  </si>
  <si>
    <t>101</t>
  </si>
  <si>
    <t>999</t>
  </si>
  <si>
    <t>六选一礼包，1地级魂丹，100w经验，100w金币</t>
  </si>
  <si>
    <t>2001</t>
  </si>
  <si>
    <t>25000</t>
  </si>
  <si>
    <t>3:400020:1#3:400021:1#0:0:3000000#0:4:3000000</t>
  </si>
  <si>
    <t>四选一礼包，1星橙装礼包，300w经验，300w金币</t>
  </si>
  <si>
    <t>3:400020:1#3:100022:6#0:0:3000000#0:4:3000000</t>
  </si>
  <si>
    <t>四选一礼包，6个高抽，300w经验，300w金币</t>
  </si>
  <si>
    <t>3:400020:1#3:100006:2#0:0:3000000#0:4:3000000</t>
  </si>
  <si>
    <t>四选一礼包，2高级寻宝，300w经验，300w金币</t>
  </si>
  <si>
    <t>3:400020:1#4:606002:10#0:0:3000000#0:4:3000000</t>
  </si>
  <si>
    <t>四选一礼包，10个5星碎片，300w经验，300w金币</t>
  </si>
  <si>
    <t>3001</t>
  </si>
  <si>
    <t>3000</t>
  </si>
  <si>
    <t>3:400031:1#3:100022:1#0:0:500000#0:4:500000</t>
  </si>
  <si>
    <t>四选一礼包，高抽*1，50w经验，50w金币</t>
  </si>
  <si>
    <t>3002</t>
  </si>
  <si>
    <t>3:400031:1#3:100004:200#0:0:500000#0:4:500000</t>
  </si>
  <si>
    <t>四选一礼包，鎏金粉*200，50w经验，50w金币</t>
  </si>
  <si>
    <t>3003</t>
  </si>
  <si>
    <t>3:400031:1#3:100059:3#0:0:500000#0:4:500000</t>
  </si>
  <si>
    <t>四选一礼包，魂丹*3，50w经验，50w金币</t>
  </si>
  <si>
    <t>3004</t>
  </si>
  <si>
    <t>3:400031:1#3:100212:5#0:0:500000#0:4:500000</t>
  </si>
  <si>
    <t>四选一礼包，玄铁*5，50w经验，50w金币</t>
  </si>
  <si>
    <t>商品名称</t>
  </si>
  <si>
    <t>原价</t>
  </si>
  <si>
    <t>个人限购</t>
  </si>
  <si>
    <t>全服限购</t>
  </si>
  <si>
    <t>Điểm tướng gói quà</t>
  </si>
  <si>
    <t>0:1:60#3:100022:5#0:0:2000000#0:4:2000000</t>
  </si>
  <si>
    <t>Xa hoa điểm tướng gói quà</t>
  </si>
  <si>
    <t>0:1:300#3:100022:20#0:0:5000000#0:4:5000000</t>
  </si>
  <si>
    <t>Chiến lực tăng lên gói quà</t>
  </si>
  <si>
    <t>0:1:980#4:606002:100#0:0:10000000#0:4:10000000</t>
  </si>
  <si>
    <t>商品ID</t>
  </si>
  <si>
    <t>购买次数</t>
  </si>
  <si>
    <t>0:0:1000000</t>
  </si>
  <si>
    <t>0:4:1000000</t>
  </si>
  <si>
    <t>3:100005:10</t>
  </si>
  <si>
    <t>3:100022:2</t>
  </si>
  <si>
    <t>点将券</t>
  </si>
  <si>
    <t>3:100025:1</t>
  </si>
  <si>
    <t>5:2:1</t>
  </si>
  <si>
    <t>3:100001:400</t>
  </si>
  <si>
    <t>展示奖励</t>
  </si>
  <si>
    <t>每日奖励</t>
  </si>
  <si>
    <t>0:1:680#4:606002:50#3:100022:10#0:0:2000000#0:4:2000000</t>
  </si>
  <si>
    <t>4:606002:50#3:100022:10#0:0:2000000#0:4:2000000</t>
  </si>
  <si>
    <t>主角等级下限</t>
  </si>
  <si>
    <t>主角等级上限</t>
  </si>
  <si>
    <t>*活动开关在通用表</t>
  </si>
  <si>
    <t>*周几开放开服天数填全局表</t>
  </si>
  <si>
    <t>0:1:120#3:100022:5#3:100059:20#0:0:1000000</t>
  </si>
  <si>
    <t>0:1:300#6:30002:1#3:100022:10#0:0:2000000</t>
  </si>
  <si>
    <t>0:1:680#3:100022:20#0:0:5000000#0:4:3000000</t>
  </si>
  <si>
    <t>0:1:1280#3:100025:5#3:100022:30#0:0:5000000</t>
  </si>
  <si>
    <t>0:1:3280#3:100022:75#0:0:5000000#0:4:5000000</t>
  </si>
  <si>
    <t>0:1:3280#3:100025:10#3:100022:30#0:0:5000000</t>
  </si>
  <si>
    <t>0:1:6480#3:100022:150#0:0:10000000#0:4:10000000</t>
  </si>
  <si>
    <t>6480元宝，120新英雄羽毛，2000w金币，2000w经验</t>
  </si>
  <si>
    <t>0:1:6480#3:100036:1500#6:30002:10#0:0:50000000</t>
  </si>
  <si>
    <t>6480元宝，1500兽魂碎片，10兽魂经验大，5000w金币</t>
  </si>
  <si>
    <t>0:1:6480#3:100025:20#3:100022:50#0:0:10000000</t>
  </si>
  <si>
    <t>6480元宝，命签高抽1000WE</t>
  </si>
  <si>
    <t>0:1:3000#3:100005:1#4:606002:2</t>
  </si>
  <si>
    <t>0:1:12000#3:100027:6#3:100022:3#0:0:100000</t>
  </si>
  <si>
    <t>0:1:30000#3:400010:1#3:100006:3#0:0:500000</t>
  </si>
  <si>
    <t>0:1:30000#0:0:3000000#0:4:3000000#3:100001:500</t>
  </si>
  <si>
    <t>0:1:68000#3:400013:1#3:100004:1500#3:100022:10</t>
  </si>
  <si>
    <t>0:1:328000#3:100210:15#0:0:8000000#3:100022:22</t>
  </si>
  <si>
    <t>0:1:328000#1:402001:1#0:0:8000000#0:4:8000000</t>
  </si>
  <si>
    <t>0:1:328000#1:202601:1#0:0:8000000#0:4:8000000</t>
  </si>
  <si>
    <t>0:1:648000#3:100342:1000#4:606002:50#3:100022:42</t>
  </si>
  <si>
    <t>0:1:328000#3:100342:500#0:0:20000000#0:4:20000000</t>
  </si>
  <si>
    <t>0:1:648000#3:100342:1000#0:0:40000000#0:4:40000000</t>
  </si>
  <si>
    <t>0:1:128000#3:100210:5#0:0:5000000#0:4:5000000</t>
  </si>
  <si>
    <t>0:1:5000#3:100022:1#4:606002:5</t>
  </si>
  <si>
    <t>0:1:12000#3:400014:1#3:400010:1#0:0:100000</t>
  </si>
  <si>
    <t>0:1:30000#3:400013:1#3:100022:10#3:100005:5</t>
  </si>
  <si>
    <t>0:1:68000#3:400009:1#3:100022:12#3:400016:1</t>
  </si>
  <si>
    <t>0:1:198000#4:606008:50#3:100001:1000#3:100022:10</t>
  </si>
  <si>
    <t>0:1:198000#4:606009:50#3:100001:1000#3:100022:10</t>
  </si>
  <si>
    <t>0:1:198000#4:606010:50#3:100001:1000#3:100022:10</t>
  </si>
  <si>
    <t>0:1:12000</t>
  </si>
  <si>
    <t>0:1:24000</t>
  </si>
  <si>
    <t>0:1:30000</t>
  </si>
  <si>
    <t>0:1:38000</t>
  </si>
  <si>
    <t>200000</t>
  </si>
  <si>
    <t>650000</t>
  </si>
  <si>
    <t>100000</t>
  </si>
  <si>
    <t>0:1:128000#3:100224:10#0:0:5000000#3:100022:15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</si>
</sst>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[Red]\(0\)"/>
    <numFmt numFmtId="165" formatCode="#,##0_ "/>
  </numFmts>
  <fonts count="17">
    <font>
      <sz val="11"/>
      <color theme="1"/>
      <name val="Calibri"/>
      <charset val="134"/>
      <scheme val="minor"/>
    </font>
    <font>
      <sz val="11"/>
      <color theme="1"/>
      <name val="微软雅黑"/>
      <charset val="134"/>
    </font>
    <font>
      <sz val="11"/>
      <color rgb="FF000000"/>
      <name val="Calibri"/>
      <charset val="134"/>
      <scheme val="minor"/>
    </font>
    <font>
      <sz val="10"/>
      <color theme="1"/>
      <name val="微软雅黑"/>
      <charset val="134"/>
    </font>
    <font>
      <sz val="10"/>
      <color rgb="FFC00000"/>
      <name val="微软雅黑"/>
      <charset val="134"/>
    </font>
    <font>
      <sz val="11"/>
      <color rgb="FFFF0000"/>
      <name val="Calibri"/>
      <charset val="134"/>
      <scheme val="minor"/>
    </font>
    <font>
      <sz val="11"/>
      <color rgb="FFFF0000"/>
      <name val="微软雅黑"/>
      <charset val="134"/>
    </font>
    <font>
      <sz val="11"/>
      <color theme="1"/>
      <name val="宋体"/>
      <charset val="134"/>
    </font>
    <font>
      <sz val="10.5"/>
      <color rgb="FF000000"/>
      <name val="Helvetica"/>
      <charset val="134"/>
    </font>
    <font>
      <sz val="12"/>
      <color theme="1"/>
      <name val="Calibri"/>
      <charset val="134"/>
      <scheme val="minor"/>
    </font>
    <font>
      <sz val="11"/>
      <name val="Calibri"/>
      <charset val="134"/>
      <scheme val="minor"/>
    </font>
    <font>
      <sz val="10"/>
      <name val="微软雅黑"/>
      <charset val="134"/>
    </font>
    <font>
      <sz val="10.5"/>
      <color rgb="FF3C4353"/>
      <name val="宋体"/>
      <charset val="134"/>
    </font>
    <font>
      <sz val="10.5"/>
      <color rgb="FF3C4353"/>
      <name val="Helvetica"/>
      <charset val="134"/>
    </font>
    <font>
      <b/>
      <sz val="9"/>
      <name val="SimSun"/>
      <charset val="134"/>
    </font>
    <font>
      <sz val="9"/>
      <name val="SimSun"/>
      <charset val="134"/>
    </font>
    <font>
      <sz val="11"/>
      <color theme="1"/>
      <name val="Calibri"/>
      <charset val="134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1454817346722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7" tint="0.3997619556260872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76195562608724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0" fontId="16" fillId="0" borderId="0"/>
  </cellStyleXfs>
  <cellXfs count="1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/>
    </xf>
    <xf numFmtId="49" fontId="0" fillId="0" borderId="0" xfId="0" applyNumberFormat="1"/>
    <xf numFmtId="0" fontId="2" fillId="3" borderId="0" xfId="0" applyFont="1" applyFill="1" applyAlignment="1">
      <alignment horizontal="left" vertical="center" wrapText="1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right"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49" fontId="1" fillId="4" borderId="0" xfId="0" applyNumberFormat="1" applyFont="1" applyFill="1" applyAlignment="1">
      <alignment horizontal="right" vertical="center"/>
    </xf>
    <xf numFmtId="0" fontId="0" fillId="5" borderId="0" xfId="0" applyFill="1" applyAlignment="1">
      <alignment horizontal="center" vertical="center"/>
    </xf>
    <xf numFmtId="0" fontId="0" fillId="4" borderId="0" xfId="0" applyFill="1"/>
    <xf numFmtId="0" fontId="0" fillId="6" borderId="0" xfId="0" applyFill="1"/>
    <xf numFmtId="0" fontId="5" fillId="7" borderId="0" xfId="0" applyFont="1" applyFill="1"/>
    <xf numFmtId="0" fontId="0" fillId="2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49" fontId="1" fillId="8" borderId="0" xfId="0" applyNumberFormat="1" applyFont="1" applyFill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/>
    </xf>
    <xf numFmtId="49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49" fontId="1" fillId="6" borderId="0" xfId="0" applyNumberFormat="1" applyFont="1" applyFill="1" applyAlignment="1">
      <alignment horizontal="right" vertical="center"/>
    </xf>
    <xf numFmtId="49" fontId="1" fillId="6" borderId="0" xfId="0" applyNumberFormat="1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/>
    </xf>
    <xf numFmtId="49" fontId="6" fillId="7" borderId="0" xfId="0" applyNumberFormat="1" applyFont="1" applyFill="1" applyAlignment="1">
      <alignment horizontal="right" vertical="center"/>
    </xf>
    <xf numFmtId="49" fontId="6" fillId="7" borderId="0" xfId="0" applyNumberFormat="1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right" vertical="center"/>
    </xf>
    <xf numFmtId="49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/>
    </xf>
    <xf numFmtId="49" fontId="1" fillId="8" borderId="0" xfId="0" applyNumberFormat="1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49" fontId="1" fillId="0" borderId="0" xfId="0" applyNumberFormat="1" applyFont="1" applyAlignment="1">
      <alignment horizontal="right"/>
    </xf>
    <xf numFmtId="0" fontId="1" fillId="9" borderId="0" xfId="0" applyFont="1" applyFill="1" applyAlignment="1">
      <alignment horizontal="center"/>
    </xf>
    <xf numFmtId="49" fontId="1" fillId="9" borderId="0" xfId="0" applyNumberFormat="1" applyFont="1" applyFill="1" applyAlignment="1">
      <alignment horizontal="right" vertical="center"/>
    </xf>
    <xf numFmtId="49" fontId="1" fillId="9" borderId="0" xfId="0" applyNumberFormat="1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49" fontId="1" fillId="10" borderId="0" xfId="0" applyNumberFormat="1" applyFont="1" applyFill="1" applyAlignment="1">
      <alignment horizontal="right" vertical="center"/>
    </xf>
    <xf numFmtId="49" fontId="1" fillId="10" borderId="0" xfId="0" applyNumberFormat="1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49" fontId="7" fillId="2" borderId="0" xfId="0" applyNumberFormat="1" applyFont="1" applyFill="1" applyAlignment="1">
      <alignment horizontal="right" vertical="center"/>
    </xf>
    <xf numFmtId="0" fontId="0" fillId="0" borderId="0" xfId="0" applyAlignment="1">
      <alignment horizontal="center"/>
    </xf>
    <xf numFmtId="0" fontId="0" fillId="11" borderId="0" xfId="0" applyFill="1" applyAlignment="1">
      <alignment horizontal="center"/>
    </xf>
    <xf numFmtId="49" fontId="1" fillId="11" borderId="0" xfId="0" applyNumberFormat="1" applyFont="1" applyFill="1" applyAlignment="1">
      <alignment horizontal="center" vertical="center"/>
    </xf>
    <xf numFmtId="0" fontId="0" fillId="11" borderId="0" xfId="0" applyFill="1"/>
    <xf numFmtId="0" fontId="0" fillId="6" borderId="0" xfId="0" applyFill="1" applyAlignment="1">
      <alignment horizontal="center"/>
    </xf>
    <xf numFmtId="0" fontId="0" fillId="12" borderId="0" xfId="0" applyFill="1" applyAlignment="1">
      <alignment horizontal="center"/>
    </xf>
    <xf numFmtId="49" fontId="1" fillId="12" borderId="0" xfId="0" applyNumberFormat="1" applyFont="1" applyFill="1" applyAlignment="1">
      <alignment horizontal="center" vertical="center"/>
    </xf>
    <xf numFmtId="0" fontId="0" fillId="12" borderId="0" xfId="0" applyFill="1"/>
    <xf numFmtId="0" fontId="0" fillId="13" borderId="0" xfId="0" applyFill="1" applyAlignment="1">
      <alignment horizontal="center"/>
    </xf>
    <xf numFmtId="49" fontId="1" fillId="13" borderId="0" xfId="0" applyNumberFormat="1" applyFont="1" applyFill="1" applyAlignment="1">
      <alignment horizontal="center" vertical="center"/>
    </xf>
    <xf numFmtId="0" fontId="0" fillId="13" borderId="0" xfId="0" applyFill="1"/>
    <xf numFmtId="49" fontId="0" fillId="6" borderId="0" xfId="0" applyNumberFormat="1" applyFill="1"/>
    <xf numFmtId="49" fontId="0" fillId="12" borderId="0" xfId="0" applyNumberFormat="1" applyFill="1"/>
    <xf numFmtId="0" fontId="0" fillId="14" borderId="0" xfId="0" applyFill="1" applyAlignment="1">
      <alignment horizontal="center"/>
    </xf>
    <xf numFmtId="0" fontId="0" fillId="14" borderId="0" xfId="0" applyFill="1"/>
    <xf numFmtId="0" fontId="0" fillId="15" borderId="0" xfId="0" applyFill="1"/>
    <xf numFmtId="49" fontId="0" fillId="0" borderId="0" xfId="0" applyNumberFormat="1" applyAlignment="1">
      <alignment horizontal="center"/>
    </xf>
    <xf numFmtId="0" fontId="8" fillId="3" borderId="0" xfId="0" applyFont="1" applyFill="1" applyAlignment="1">
      <alignment wrapText="1"/>
    </xf>
    <xf numFmtId="49" fontId="1" fillId="0" borderId="0" xfId="0" applyNumberFormat="1" applyFont="1" applyAlignment="1">
      <alignment horizontal="center"/>
    </xf>
    <xf numFmtId="0" fontId="0" fillId="16" borderId="0" xfId="0" applyFill="1"/>
    <xf numFmtId="0" fontId="0" fillId="16" borderId="0" xfId="0" applyFill="1" applyAlignment="1">
      <alignment horizontal="center"/>
    </xf>
    <xf numFmtId="49" fontId="1" fillId="12" borderId="0" xfId="0" applyNumberFormat="1" applyFont="1" applyFill="1" applyAlignment="1">
      <alignment horizontal="center"/>
    </xf>
    <xf numFmtId="49" fontId="1" fillId="13" borderId="0" xfId="0" applyNumberFormat="1" applyFont="1" applyFill="1" applyAlignment="1">
      <alignment horizontal="center"/>
    </xf>
    <xf numFmtId="49" fontId="1" fillId="17" borderId="1" xfId="0" applyNumberFormat="1" applyFont="1" applyFill="1" applyBorder="1" applyAlignment="1">
      <alignment horizontal="right"/>
    </xf>
    <xf numFmtId="0" fontId="1" fillId="17" borderId="0" xfId="0" applyFont="1" applyFill="1" applyAlignment="1">
      <alignment horizontal="center"/>
    </xf>
    <xf numFmtId="0" fontId="0" fillId="17" borderId="0" xfId="0" applyFill="1"/>
    <xf numFmtId="49" fontId="1" fillId="17" borderId="2" xfId="0" applyNumberFormat="1" applyFont="1" applyFill="1" applyBorder="1" applyAlignment="1">
      <alignment horizontal="right"/>
    </xf>
    <xf numFmtId="0" fontId="1" fillId="17" borderId="3" xfId="0" applyFont="1" applyFill="1" applyBorder="1" applyAlignment="1">
      <alignment horizontal="center"/>
    </xf>
    <xf numFmtId="0" fontId="0" fillId="18" borderId="0" xfId="0" applyFill="1" applyAlignment="1">
      <alignment horizontal="center"/>
    </xf>
    <xf numFmtId="49" fontId="1" fillId="18" borderId="0" xfId="0" applyNumberFormat="1" applyFont="1" applyFill="1" applyAlignment="1">
      <alignment horizontal="center"/>
    </xf>
    <xf numFmtId="0" fontId="0" fillId="18" borderId="0" xfId="0" applyFill="1"/>
    <xf numFmtId="49" fontId="1" fillId="18" borderId="0" xfId="0" applyNumberFormat="1" applyFont="1" applyFill="1" applyAlignment="1">
      <alignment horizontal="right"/>
    </xf>
    <xf numFmtId="0" fontId="1" fillId="18" borderId="0" xfId="0" applyFont="1" applyFill="1" applyAlignment="1">
      <alignment horizontal="right"/>
    </xf>
    <xf numFmtId="0" fontId="3" fillId="19" borderId="0" xfId="0" applyFont="1" applyFill="1" applyAlignment="1">
      <alignment horizontal="center" vertical="center"/>
    </xf>
    <xf numFmtId="0" fontId="0" fillId="20" borderId="0" xfId="0" applyFill="1"/>
    <xf numFmtId="0" fontId="0" fillId="2" borderId="0" xfId="0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21" borderId="0" xfId="0" applyFill="1"/>
    <xf numFmtId="0" fontId="0" fillId="22" borderId="0" xfId="0" applyFill="1" applyAlignment="1">
      <alignment horizontal="center"/>
    </xf>
    <xf numFmtId="49" fontId="1" fillId="22" borderId="0" xfId="0" applyNumberFormat="1" applyFont="1" applyFill="1" applyAlignment="1">
      <alignment horizontal="right"/>
    </xf>
    <xf numFmtId="49" fontId="1" fillId="2" borderId="0" xfId="0" applyNumberFormat="1" applyFont="1" applyFill="1" applyAlignment="1">
      <alignment horizontal="right"/>
    </xf>
    <xf numFmtId="0" fontId="0" fillId="4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9" fillId="0" borderId="0" xfId="0" applyFont="1"/>
    <xf numFmtId="0" fontId="0" fillId="22" borderId="0" xfId="0" applyFill="1"/>
    <xf numFmtId="21" fontId="0" fillId="0" borderId="0" xfId="0" applyNumberFormat="1" applyAlignment="1">
      <alignment horizontal="center" vertical="center"/>
    </xf>
    <xf numFmtId="21" fontId="0" fillId="2" borderId="0" xfId="0" applyNumberFormat="1" applyFill="1" applyAlignment="1">
      <alignment horizontal="center" vertical="center"/>
    </xf>
    <xf numFmtId="0" fontId="10" fillId="20" borderId="0" xfId="0" applyFont="1" applyFill="1" applyAlignment="1">
      <alignment horizontal="center" vertical="center"/>
    </xf>
    <xf numFmtId="165" fontId="10" fillId="20" borderId="0" xfId="0" applyNumberFormat="1" applyFont="1" applyFill="1" applyAlignment="1">
      <alignment horizontal="center" vertical="center"/>
    </xf>
    <xf numFmtId="0" fontId="0" fillId="17" borderId="0" xfId="0" applyFill="1" applyAlignment="1">
      <alignment horizontal="right"/>
    </xf>
    <xf numFmtId="0" fontId="11" fillId="20" borderId="0" xfId="0" applyFont="1" applyFill="1" applyAlignment="1">
      <alignment horizontal="center" vertical="center"/>
    </xf>
    <xf numFmtId="0" fontId="12" fillId="21" borderId="0" xfId="0" applyFont="1" applyFill="1"/>
    <xf numFmtId="0" fontId="0" fillId="21" borderId="0" xfId="0" applyFill="1" applyAlignment="1">
      <alignment horizontal="center" vertical="center"/>
    </xf>
    <xf numFmtId="21" fontId="0" fillId="21" borderId="0" xfId="0" applyNumberFormat="1" applyFill="1" applyAlignment="1">
      <alignment horizontal="center" vertical="center"/>
    </xf>
    <xf numFmtId="0" fontId="1" fillId="2" borderId="0" xfId="0" applyFont="1" applyFill="1" applyAlignment="1">
      <alignment horizontal="right"/>
    </xf>
    <xf numFmtId="0" fontId="9" fillId="2" borderId="0" xfId="0" applyFont="1" applyFill="1"/>
    <xf numFmtId="0" fontId="2" fillId="3" borderId="0" xfId="0" applyFont="1" applyFill="1" applyAlignment="1">
      <alignment vertical="center" wrapText="1"/>
    </xf>
    <xf numFmtId="20" fontId="1" fillId="0" borderId="0" xfId="0" applyNumberFormat="1" applyFont="1" applyAlignment="1">
      <alignment horizontal="center"/>
    </xf>
    <xf numFmtId="0" fontId="0" fillId="0" borderId="0" xfId="0" applyAlignment="1">
      <alignment horizontal="left"/>
    </xf>
  </cellXfs>
  <cellStyles count="2">
    <cellStyle name="Normal" xfId="0" builtinId="0"/>
    <cellStyle name="常规 2" xfId="1" xr:uid="{00000000-0005-0000-0000-000031000000}"/>
  </cellStyles>
  <dxfs count="50"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9"/>
  <sheetViews>
    <sheetView workbookViewId="0">
      <selection activeCell="F14" sqref="F14"/>
    </sheetView>
  </sheetViews>
  <sheetFormatPr defaultColWidth="9" defaultRowHeight="15"/>
  <cols>
    <col min="1" max="1" width="9" style="56"/>
    <col min="2" max="2" width="14.7109375" style="56" customWidth="1"/>
    <col min="3" max="3" width="9" style="116"/>
    <col min="4" max="4" width="15.28515625" style="56" customWidth="1"/>
    <col min="5" max="6" width="13.28515625" customWidth="1"/>
  </cols>
  <sheetData>
    <row r="1" spans="1:7" ht="16.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6" t="s">
        <v>6</v>
      </c>
    </row>
    <row r="2" spans="1:7" ht="16.5">
      <c r="A2" s="4">
        <v>1</v>
      </c>
      <c r="B2" s="4" t="s">
        <v>7</v>
      </c>
      <c r="C2" s="4" t="s">
        <v>8</v>
      </c>
      <c r="D2" s="4">
        <v>2000</v>
      </c>
      <c r="E2" s="4">
        <v>10000</v>
      </c>
      <c r="F2" s="4">
        <v>10000</v>
      </c>
      <c r="G2">
        <v>18001</v>
      </c>
    </row>
    <row r="3" spans="1:7" ht="16.5">
      <c r="A3" s="4">
        <v>2</v>
      </c>
      <c r="B3" s="4" t="s">
        <v>9</v>
      </c>
      <c r="C3" s="4" t="s">
        <v>10</v>
      </c>
      <c r="D3" s="4">
        <v>4000</v>
      </c>
      <c r="E3" s="4">
        <v>20000</v>
      </c>
      <c r="F3" s="4">
        <v>20000</v>
      </c>
      <c r="G3">
        <v>18002</v>
      </c>
    </row>
    <row r="4" spans="1:7" ht="16.5">
      <c r="A4" s="4">
        <v>3</v>
      </c>
      <c r="B4" s="4" t="s">
        <v>11</v>
      </c>
      <c r="C4" s="4" t="s">
        <v>12</v>
      </c>
      <c r="D4" s="4">
        <v>15000</v>
      </c>
      <c r="E4" s="4">
        <v>75000</v>
      </c>
      <c r="F4" s="4">
        <v>75000</v>
      </c>
      <c r="G4">
        <v>18003</v>
      </c>
    </row>
    <row r="5" spans="1:7" ht="16.5">
      <c r="A5" s="4">
        <v>4</v>
      </c>
      <c r="B5" s="4" t="s">
        <v>13</v>
      </c>
      <c r="C5" s="4" t="s">
        <v>12</v>
      </c>
      <c r="D5" s="4">
        <v>35000</v>
      </c>
      <c r="E5" s="4">
        <v>175000</v>
      </c>
      <c r="F5" s="4">
        <v>175000</v>
      </c>
      <c r="G5">
        <v>18004</v>
      </c>
    </row>
    <row r="6" spans="1:7" ht="16.5">
      <c r="A6" s="4">
        <v>5</v>
      </c>
      <c r="B6" s="4" t="s">
        <v>14</v>
      </c>
      <c r="C6" s="4" t="s">
        <v>15</v>
      </c>
      <c r="D6" s="4">
        <v>65000</v>
      </c>
      <c r="E6" s="4">
        <v>325000</v>
      </c>
      <c r="F6" s="4">
        <v>325000</v>
      </c>
      <c r="G6">
        <v>18005</v>
      </c>
    </row>
    <row r="7" spans="1:7" ht="16.5">
      <c r="A7" s="4">
        <v>6</v>
      </c>
      <c r="B7" s="4" t="s">
        <v>16</v>
      </c>
      <c r="C7" s="4" t="s">
        <v>15</v>
      </c>
      <c r="D7" s="4">
        <v>115000</v>
      </c>
      <c r="E7" s="4">
        <v>575000</v>
      </c>
      <c r="F7" s="4">
        <v>575000</v>
      </c>
      <c r="G7">
        <v>18006</v>
      </c>
    </row>
    <row r="8" spans="1:7" ht="16.5">
      <c r="A8" s="4">
        <v>7</v>
      </c>
      <c r="B8" s="4" t="s">
        <v>17</v>
      </c>
      <c r="C8" s="4" t="s">
        <v>18</v>
      </c>
      <c r="D8" s="4">
        <v>215000</v>
      </c>
      <c r="E8" s="4">
        <v>1075000</v>
      </c>
      <c r="F8" s="4">
        <v>1075000</v>
      </c>
      <c r="G8">
        <v>18007</v>
      </c>
    </row>
    <row r="9" spans="1:7" ht="16.5">
      <c r="A9" s="4">
        <v>8</v>
      </c>
      <c r="B9" s="4" t="s">
        <v>19</v>
      </c>
      <c r="C9" s="4" t="s">
        <v>20</v>
      </c>
      <c r="D9" s="4">
        <v>335000</v>
      </c>
      <c r="E9" s="4">
        <v>1675000</v>
      </c>
      <c r="F9" s="4">
        <v>1675000</v>
      </c>
      <c r="G9">
        <v>18008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8"/>
  <sheetViews>
    <sheetView workbookViewId="0">
      <selection activeCell="H5" sqref="H5:H6"/>
    </sheetView>
  </sheetViews>
  <sheetFormatPr defaultColWidth="9" defaultRowHeight="16.5"/>
  <cols>
    <col min="2" max="2" width="13.28515625" customWidth="1"/>
    <col min="3" max="3" width="5.5703125" customWidth="1"/>
    <col min="4" max="4" width="7.85546875" customWidth="1"/>
    <col min="5" max="5" width="52.85546875" customWidth="1"/>
    <col min="6" max="6" width="11.85546875" customWidth="1"/>
    <col min="7" max="7" width="40.5703125" customWidth="1"/>
    <col min="8" max="8" width="9.5703125" customWidth="1"/>
    <col min="9" max="9" width="11.28515625" customWidth="1"/>
    <col min="10" max="10" width="11.85546875" customWidth="1"/>
    <col min="11" max="11" width="9" style="4"/>
    <col min="15" max="15" width="16.28515625" customWidth="1"/>
    <col min="16" max="16" width="12.140625" customWidth="1"/>
    <col min="17" max="17" width="15.140625" customWidth="1"/>
  </cols>
  <sheetData>
    <row r="1" spans="1:14">
      <c r="A1" s="4" t="s">
        <v>0</v>
      </c>
      <c r="B1" s="4" t="s">
        <v>21</v>
      </c>
      <c r="C1" s="4" t="s">
        <v>22</v>
      </c>
      <c r="D1" s="4" t="s">
        <v>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56" t="s">
        <v>6</v>
      </c>
      <c r="M1" s="56" t="s">
        <v>30</v>
      </c>
      <c r="N1" t="s">
        <v>31</v>
      </c>
    </row>
    <row r="2" spans="1:14" ht="30">
      <c r="A2" s="4">
        <v>1</v>
      </c>
      <c r="B2" s="114" t="s">
        <v>32</v>
      </c>
      <c r="C2" s="4">
        <v>4</v>
      </c>
      <c r="D2" s="4" t="s">
        <v>33</v>
      </c>
      <c r="E2" s="114" t="s">
        <v>34</v>
      </c>
      <c r="F2" s="74"/>
      <c r="G2" s="115" t="s">
        <v>35</v>
      </c>
      <c r="H2" s="4"/>
      <c r="I2" s="4">
        <v>10000</v>
      </c>
      <c r="J2" s="4">
        <v>604800</v>
      </c>
      <c r="L2">
        <v>20001</v>
      </c>
      <c r="M2">
        <v>3</v>
      </c>
    </row>
    <row r="3" spans="1:14" ht="45">
      <c r="A3" s="4">
        <v>2</v>
      </c>
      <c r="B3" s="114" t="s">
        <v>36</v>
      </c>
      <c r="C3" s="4">
        <v>4</v>
      </c>
      <c r="D3" s="4" t="s">
        <v>33</v>
      </c>
      <c r="E3" s="114" t="s">
        <v>37</v>
      </c>
      <c r="F3" s="74" t="s">
        <v>38</v>
      </c>
      <c r="G3" s="4" t="s">
        <v>39</v>
      </c>
      <c r="H3" s="4"/>
      <c r="I3" s="4">
        <v>25000</v>
      </c>
      <c r="J3" s="4">
        <v>2592000</v>
      </c>
      <c r="K3" s="4">
        <v>1004</v>
      </c>
      <c r="L3">
        <v>20002</v>
      </c>
      <c r="M3">
        <v>4</v>
      </c>
    </row>
    <row r="4" spans="1:14" ht="45">
      <c r="A4" s="4">
        <v>3</v>
      </c>
      <c r="B4" s="114" t="s">
        <v>40</v>
      </c>
      <c r="C4" s="4">
        <v>3</v>
      </c>
      <c r="D4" s="4" t="s">
        <v>41</v>
      </c>
      <c r="E4" s="114" t="s">
        <v>42</v>
      </c>
      <c r="F4" s="74" t="s">
        <v>43</v>
      </c>
      <c r="G4" s="4" t="s">
        <v>44</v>
      </c>
      <c r="H4" s="4"/>
      <c r="I4" s="4">
        <v>10000</v>
      </c>
      <c r="J4" s="4">
        <v>2592000</v>
      </c>
      <c r="K4" s="4">
        <v>2400</v>
      </c>
      <c r="L4">
        <v>20003</v>
      </c>
      <c r="M4">
        <v>5</v>
      </c>
    </row>
    <row r="5" spans="1:14" ht="45">
      <c r="A5" s="4">
        <v>4</v>
      </c>
      <c r="B5" s="114" t="s">
        <v>45</v>
      </c>
      <c r="C5" s="4">
        <v>5</v>
      </c>
      <c r="D5" s="4" t="s">
        <v>46</v>
      </c>
      <c r="E5" s="114" t="s">
        <v>47</v>
      </c>
      <c r="F5" s="74" t="s">
        <v>48</v>
      </c>
      <c r="G5" s="4" t="s">
        <v>49</v>
      </c>
      <c r="H5" s="4">
        <v>980</v>
      </c>
      <c r="I5" s="4"/>
      <c r="J5" s="4">
        <v>-1</v>
      </c>
      <c r="K5" s="4">
        <v>1003</v>
      </c>
      <c r="M5">
        <v>6</v>
      </c>
    </row>
    <row r="6" spans="1:14" ht="45">
      <c r="A6" s="4">
        <v>5</v>
      </c>
      <c r="B6" s="114" t="s">
        <v>50</v>
      </c>
      <c r="C6" s="4">
        <v>5</v>
      </c>
      <c r="D6" s="4" t="s">
        <v>46</v>
      </c>
      <c r="E6" s="114" t="s">
        <v>51</v>
      </c>
      <c r="F6" s="74" t="s">
        <v>52</v>
      </c>
      <c r="G6" s="4" t="s">
        <v>53</v>
      </c>
      <c r="H6" s="4">
        <v>1980</v>
      </c>
      <c r="I6" s="4"/>
      <c r="J6" s="4">
        <v>-1</v>
      </c>
      <c r="K6" s="4">
        <v>1003</v>
      </c>
      <c r="M6">
        <v>7</v>
      </c>
    </row>
    <row r="7" spans="1:14">
      <c r="A7" s="4"/>
      <c r="B7" s="4"/>
      <c r="C7" s="4"/>
      <c r="D7" s="4"/>
      <c r="E7" s="4"/>
      <c r="F7" s="4"/>
      <c r="G7" s="4"/>
      <c r="H7" s="4"/>
      <c r="I7" s="4"/>
    </row>
    <row r="8" spans="1:14">
      <c r="A8" s="4"/>
      <c r="B8" s="4"/>
      <c r="C8" s="4"/>
      <c r="D8" s="4"/>
      <c r="E8" s="4"/>
      <c r="F8" s="4"/>
      <c r="G8" s="4"/>
      <c r="H8" s="4"/>
      <c r="I8" s="4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N18"/>
  <sheetViews>
    <sheetView workbookViewId="0">
      <selection activeCell="G2" sqref="G2"/>
    </sheetView>
  </sheetViews>
  <sheetFormatPr defaultColWidth="9" defaultRowHeight="15"/>
  <cols>
    <col min="5" max="7" width="15.7109375" customWidth="1"/>
    <col min="8" max="8" width="72.7109375" customWidth="1"/>
    <col min="13" max="14" width="13.28515625" customWidth="1"/>
  </cols>
  <sheetData>
    <row r="1" spans="1:14" ht="16.5">
      <c r="A1" s="4" t="s">
        <v>0</v>
      </c>
      <c r="B1" s="4" t="s">
        <v>54</v>
      </c>
      <c r="C1" s="4" t="s">
        <v>55</v>
      </c>
      <c r="D1" s="4" t="s">
        <v>3</v>
      </c>
      <c r="E1" s="4" t="s">
        <v>56</v>
      </c>
      <c r="F1" s="4" t="s">
        <v>57</v>
      </c>
      <c r="G1" s="4" t="s">
        <v>58</v>
      </c>
      <c r="H1" s="4" t="s">
        <v>59</v>
      </c>
      <c r="I1" s="4" t="s">
        <v>60</v>
      </c>
      <c r="J1" s="4" t="s">
        <v>61</v>
      </c>
      <c r="K1" s="4" t="s">
        <v>6</v>
      </c>
      <c r="L1" s="4" t="s">
        <v>62</v>
      </c>
      <c r="M1" s="9" t="s">
        <v>63</v>
      </c>
      <c r="N1" s="9" t="s">
        <v>64</v>
      </c>
    </row>
    <row r="2" spans="1:14" ht="30">
      <c r="A2" s="42">
        <v>1</v>
      </c>
      <c r="B2" s="114" t="s">
        <v>65</v>
      </c>
      <c r="C2" s="42">
        <v>1</v>
      </c>
      <c r="D2" s="42">
        <v>2000</v>
      </c>
      <c r="E2" s="43" t="s">
        <v>1197</v>
      </c>
      <c r="F2" s="42">
        <v>2</v>
      </c>
      <c r="G2" s="42">
        <v>888</v>
      </c>
      <c r="H2" s="25" t="s">
        <v>66</v>
      </c>
      <c r="I2" s="42">
        <v>3</v>
      </c>
      <c r="J2" s="43" t="s">
        <v>67</v>
      </c>
      <c r="K2" s="42">
        <v>19001</v>
      </c>
      <c r="L2" s="22"/>
      <c r="M2" s="22">
        <v>1</v>
      </c>
      <c r="N2" s="22">
        <v>14</v>
      </c>
    </row>
    <row r="3" spans="1:14" ht="30">
      <c r="A3" s="42">
        <v>2</v>
      </c>
      <c r="B3" s="114" t="s">
        <v>68</v>
      </c>
      <c r="C3" s="42">
        <v>2</v>
      </c>
      <c r="D3" s="42">
        <v>4000</v>
      </c>
      <c r="E3" s="43" t="s">
        <v>1198</v>
      </c>
      <c r="F3" s="42">
        <v>2</v>
      </c>
      <c r="G3" s="42">
        <v>1688</v>
      </c>
      <c r="H3" s="25" t="s">
        <v>69</v>
      </c>
      <c r="I3" s="42">
        <v>3</v>
      </c>
      <c r="J3" s="43" t="s">
        <v>70</v>
      </c>
      <c r="K3" s="42">
        <v>19002</v>
      </c>
      <c r="L3" s="22"/>
      <c r="M3" s="22">
        <v>1</v>
      </c>
      <c r="N3" s="22">
        <v>14</v>
      </c>
    </row>
    <row r="4" spans="1:14" ht="30">
      <c r="A4" s="42">
        <v>3</v>
      </c>
      <c r="B4" s="114" t="s">
        <v>71</v>
      </c>
      <c r="C4" s="42">
        <v>3</v>
      </c>
      <c r="D4" s="42">
        <v>10000</v>
      </c>
      <c r="E4" s="43" t="s">
        <v>1199</v>
      </c>
      <c r="F4" s="42">
        <v>2</v>
      </c>
      <c r="G4" s="42">
        <v>3388</v>
      </c>
      <c r="H4" s="25" t="s">
        <v>72</v>
      </c>
      <c r="I4" s="42">
        <v>3</v>
      </c>
      <c r="J4" s="43" t="s">
        <v>73</v>
      </c>
      <c r="K4" s="42">
        <v>19003</v>
      </c>
      <c r="L4" s="22"/>
      <c r="M4" s="22">
        <v>1</v>
      </c>
      <c r="N4" s="22">
        <v>14</v>
      </c>
    </row>
    <row r="5" spans="1:14" ht="30">
      <c r="A5" s="4">
        <v>10001</v>
      </c>
      <c r="B5" s="114" t="s">
        <v>74</v>
      </c>
      <c r="C5" s="4">
        <v>1</v>
      </c>
      <c r="D5" s="4">
        <v>15000</v>
      </c>
      <c r="E5" s="9" t="s">
        <v>1200</v>
      </c>
      <c r="F5" s="42">
        <v>2</v>
      </c>
      <c r="G5" s="4">
        <v>3388</v>
      </c>
      <c r="H5" s="10" t="s">
        <v>75</v>
      </c>
      <c r="I5" s="4">
        <v>3</v>
      </c>
      <c r="J5" s="4">
        <v>3</v>
      </c>
      <c r="K5" s="4">
        <v>19101</v>
      </c>
      <c r="L5" s="4">
        <v>1</v>
      </c>
    </row>
    <row r="6" spans="1:14" ht="30">
      <c r="A6" s="42">
        <v>4</v>
      </c>
      <c r="B6" s="114" t="s">
        <v>65</v>
      </c>
      <c r="C6" s="42">
        <v>1</v>
      </c>
      <c r="D6" s="42">
        <v>2000</v>
      </c>
      <c r="E6" s="43" t="s">
        <v>1197</v>
      </c>
      <c r="F6" s="42">
        <v>2</v>
      </c>
      <c r="G6" s="42">
        <v>888</v>
      </c>
      <c r="H6" s="25" t="s">
        <v>76</v>
      </c>
      <c r="I6" s="42">
        <v>3</v>
      </c>
      <c r="J6" s="43" t="s">
        <v>67</v>
      </c>
      <c r="K6" s="42">
        <v>19004</v>
      </c>
      <c r="L6" s="22"/>
      <c r="M6" s="22">
        <v>15</v>
      </c>
      <c r="N6" s="22">
        <v>30</v>
      </c>
    </row>
    <row r="7" spans="1:14" ht="30">
      <c r="A7" s="42">
        <v>5</v>
      </c>
      <c r="B7" s="114" t="s">
        <v>68</v>
      </c>
      <c r="C7" s="42">
        <v>2</v>
      </c>
      <c r="D7" s="42">
        <v>4000</v>
      </c>
      <c r="E7" s="43" t="s">
        <v>1198</v>
      </c>
      <c r="F7" s="42">
        <v>2</v>
      </c>
      <c r="G7" s="42">
        <v>1688</v>
      </c>
      <c r="H7" s="25" t="s">
        <v>77</v>
      </c>
      <c r="I7" s="42">
        <v>3</v>
      </c>
      <c r="J7" s="43" t="s">
        <v>70</v>
      </c>
      <c r="K7" s="42">
        <v>19005</v>
      </c>
      <c r="L7" s="22"/>
      <c r="M7" s="22">
        <v>15</v>
      </c>
      <c r="N7" s="22">
        <v>30</v>
      </c>
    </row>
    <row r="8" spans="1:14" ht="30">
      <c r="A8" s="42">
        <v>6</v>
      </c>
      <c r="B8" s="114" t="s">
        <v>71</v>
      </c>
      <c r="C8" s="42">
        <v>3</v>
      </c>
      <c r="D8" s="42">
        <v>10000</v>
      </c>
      <c r="E8" s="43" t="s">
        <v>1199</v>
      </c>
      <c r="F8" s="42">
        <v>2</v>
      </c>
      <c r="G8" s="42">
        <v>3388</v>
      </c>
      <c r="H8" s="25" t="s">
        <v>78</v>
      </c>
      <c r="I8" s="42">
        <v>3</v>
      </c>
      <c r="J8" s="43" t="s">
        <v>73</v>
      </c>
      <c r="K8" s="42">
        <v>19006</v>
      </c>
      <c r="L8" s="22"/>
      <c r="M8" s="22">
        <v>15</v>
      </c>
      <c r="N8" s="22">
        <v>30</v>
      </c>
    </row>
    <row r="9" spans="1:14" ht="30">
      <c r="A9" s="4">
        <v>7</v>
      </c>
      <c r="B9" s="114" t="s">
        <v>65</v>
      </c>
      <c r="C9" s="4">
        <v>1</v>
      </c>
      <c r="D9" s="42">
        <v>2000</v>
      </c>
      <c r="E9" s="9" t="s">
        <v>1197</v>
      </c>
      <c r="F9" s="42">
        <v>2</v>
      </c>
      <c r="G9" s="4">
        <v>888</v>
      </c>
      <c r="H9" s="10" t="s">
        <v>79</v>
      </c>
      <c r="I9" s="4">
        <v>3</v>
      </c>
      <c r="J9" s="9" t="s">
        <v>67</v>
      </c>
      <c r="K9" s="4">
        <v>19007</v>
      </c>
      <c r="M9">
        <v>31</v>
      </c>
    </row>
    <row r="10" spans="1:14" ht="30">
      <c r="A10" s="4">
        <v>8</v>
      </c>
      <c r="B10" s="114" t="s">
        <v>68</v>
      </c>
      <c r="C10" s="4">
        <v>2</v>
      </c>
      <c r="D10" s="42">
        <v>4000</v>
      </c>
      <c r="E10" s="9" t="s">
        <v>1198</v>
      </c>
      <c r="F10" s="42">
        <v>2</v>
      </c>
      <c r="G10" s="4">
        <v>1688</v>
      </c>
      <c r="H10" s="10" t="s">
        <v>80</v>
      </c>
      <c r="I10" s="4">
        <v>3</v>
      </c>
      <c r="J10" s="9" t="s">
        <v>70</v>
      </c>
      <c r="K10" s="4">
        <v>19008</v>
      </c>
      <c r="M10">
        <v>31</v>
      </c>
    </row>
    <row r="11" spans="1:14" ht="30">
      <c r="A11" s="4">
        <v>9</v>
      </c>
      <c r="B11" s="114" t="s">
        <v>71</v>
      </c>
      <c r="C11" s="4">
        <v>3</v>
      </c>
      <c r="D11" s="42">
        <v>10000</v>
      </c>
      <c r="E11" s="9" t="s">
        <v>1199</v>
      </c>
      <c r="F11" s="42">
        <v>2</v>
      </c>
      <c r="G11" s="4">
        <v>3388</v>
      </c>
      <c r="H11" s="10" t="s">
        <v>81</v>
      </c>
      <c r="I11" s="4">
        <v>3</v>
      </c>
      <c r="J11" s="9" t="s">
        <v>73</v>
      </c>
      <c r="K11" s="4">
        <v>19009</v>
      </c>
      <c r="M11">
        <v>31</v>
      </c>
    </row>
    <row r="14" spans="1:14" ht="16.5">
      <c r="G14" s="4"/>
    </row>
    <row r="15" spans="1:14" ht="16.5">
      <c r="G15" s="4"/>
    </row>
    <row r="16" spans="1:14" ht="16.5">
      <c r="G16" s="4"/>
    </row>
    <row r="18" spans="7:7" ht="16.5">
      <c r="G18" s="4"/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D6"/>
  <sheetViews>
    <sheetView workbookViewId="0">
      <selection activeCell="H35" sqref="H35"/>
    </sheetView>
  </sheetViews>
  <sheetFormatPr defaultColWidth="9" defaultRowHeight="15"/>
  <cols>
    <col min="2" max="2" width="11.85546875" customWidth="1"/>
    <col min="4" max="4" width="11" customWidth="1"/>
  </cols>
  <sheetData>
    <row r="1" spans="1:4" ht="16.5">
      <c r="A1" s="4" t="s">
        <v>0</v>
      </c>
      <c r="B1" s="4" t="s">
        <v>82</v>
      </c>
      <c r="C1" s="4" t="s">
        <v>83</v>
      </c>
    </row>
    <row r="2" spans="1:4" ht="16.5">
      <c r="A2" s="4">
        <v>1</v>
      </c>
      <c r="B2" s="9" t="s">
        <v>84</v>
      </c>
      <c r="C2" s="4">
        <v>400</v>
      </c>
      <c r="D2" s="4" t="s">
        <v>85</v>
      </c>
    </row>
    <row r="3" spans="1:4" ht="16.5">
      <c r="A3" s="4">
        <v>2</v>
      </c>
      <c r="B3" s="9" t="s">
        <v>86</v>
      </c>
      <c r="C3" s="4">
        <v>100</v>
      </c>
      <c r="D3" s="4" t="s">
        <v>87</v>
      </c>
    </row>
    <row r="4" spans="1:4" ht="16.5">
      <c r="A4" s="4">
        <v>3</v>
      </c>
      <c r="B4" s="9" t="s">
        <v>88</v>
      </c>
      <c r="C4" s="4">
        <v>200</v>
      </c>
      <c r="D4" s="4" t="s">
        <v>89</v>
      </c>
    </row>
    <row r="5" spans="1:4" ht="16.5">
      <c r="A5" s="4">
        <v>4</v>
      </c>
      <c r="B5" s="9" t="s">
        <v>90</v>
      </c>
      <c r="C5" s="4">
        <v>50</v>
      </c>
      <c r="D5" s="4" t="s">
        <v>91</v>
      </c>
    </row>
    <row r="6" spans="1:4" ht="16.5">
      <c r="A6" s="4">
        <v>5</v>
      </c>
      <c r="B6" s="9" t="s">
        <v>92</v>
      </c>
      <c r="C6" s="4">
        <v>250</v>
      </c>
      <c r="D6" s="4" t="s">
        <v>93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T53"/>
  <sheetViews>
    <sheetView workbookViewId="0">
      <pane xSplit="1" ySplit="1" topLeftCell="B44" activePane="bottomRight" state="frozen"/>
      <selection pane="topRight"/>
      <selection pane="bottomLeft"/>
      <selection pane="bottomRight" activeCell="B34" sqref="B34"/>
    </sheetView>
  </sheetViews>
  <sheetFormatPr defaultColWidth="9" defaultRowHeight="16.5"/>
  <cols>
    <col min="1" max="1" width="8.5703125" customWidth="1"/>
    <col min="2" max="2" width="56.85546875" style="74" customWidth="1"/>
    <col min="3" max="3" width="27.140625" customWidth="1"/>
    <col min="5" max="5" width="5.28515625" style="75" customWidth="1"/>
    <col min="6" max="6" width="5.28515625" style="56" customWidth="1"/>
    <col min="7" max="8" width="13" style="56" customWidth="1"/>
    <col min="9" max="9" width="9.140625" style="56" customWidth="1"/>
    <col min="10" max="10" width="63.7109375" style="1" customWidth="1"/>
    <col min="11" max="17" width="17.28515625" style="1" customWidth="1"/>
    <col min="18" max="18" width="53.85546875" style="1" customWidth="1"/>
  </cols>
  <sheetData>
    <row r="1" spans="1:17">
      <c r="A1" s="56" t="s">
        <v>0</v>
      </c>
      <c r="B1" s="74" t="s">
        <v>94</v>
      </c>
      <c r="C1" s="56" t="s">
        <v>3</v>
      </c>
      <c r="D1" s="56" t="s">
        <v>95</v>
      </c>
      <c r="E1" s="76" t="s">
        <v>96</v>
      </c>
      <c r="F1" s="56" t="s">
        <v>30</v>
      </c>
      <c r="G1" s="56" t="s">
        <v>63</v>
      </c>
      <c r="H1" s="56" t="s">
        <v>64</v>
      </c>
      <c r="I1" s="56" t="s">
        <v>6</v>
      </c>
      <c r="J1" s="1" t="s">
        <v>97</v>
      </c>
      <c r="K1" s="1" t="s">
        <v>98</v>
      </c>
      <c r="L1" s="1" t="s">
        <v>97</v>
      </c>
      <c r="M1" s="1" t="s">
        <v>98</v>
      </c>
      <c r="N1" s="1" t="s">
        <v>97</v>
      </c>
      <c r="O1" s="1" t="s">
        <v>98</v>
      </c>
      <c r="P1" s="1" t="s">
        <v>97</v>
      </c>
      <c r="Q1" s="1" t="s">
        <v>98</v>
      </c>
    </row>
    <row r="2" spans="1:17">
      <c r="A2" s="95">
        <v>100001</v>
      </c>
      <c r="B2" s="96" t="s">
        <v>1178</v>
      </c>
      <c r="C2" s="95">
        <v>0</v>
      </c>
      <c r="D2" s="95">
        <v>1</v>
      </c>
      <c r="E2" s="95">
        <v>1</v>
      </c>
      <c r="F2" s="95">
        <v>1</v>
      </c>
      <c r="G2" s="95">
        <v>1</v>
      </c>
      <c r="H2" s="95">
        <v>30</v>
      </c>
      <c r="I2" s="95"/>
      <c r="J2" s="101" t="s">
        <v>100</v>
      </c>
    </row>
    <row r="3" spans="1:17">
      <c r="A3" s="95">
        <v>100002</v>
      </c>
      <c r="B3" s="96" t="s">
        <v>1179</v>
      </c>
      <c r="C3" s="95">
        <v>2000</v>
      </c>
      <c r="D3" s="95">
        <v>1</v>
      </c>
      <c r="E3" s="95">
        <v>1</v>
      </c>
      <c r="F3" s="95">
        <v>2</v>
      </c>
      <c r="G3" s="95">
        <v>1</v>
      </c>
      <c r="H3" s="95">
        <v>30</v>
      </c>
      <c r="I3" s="102">
        <v>15001</v>
      </c>
      <c r="J3" s="101" t="s">
        <v>101</v>
      </c>
      <c r="K3" s="1">
        <v>120</v>
      </c>
      <c r="L3" s="89" t="s">
        <v>102</v>
      </c>
      <c r="M3" s="1">
        <v>6</v>
      </c>
      <c r="N3" s="1" t="s">
        <v>103</v>
      </c>
      <c r="O3" s="1">
        <v>3</v>
      </c>
      <c r="P3" s="1" t="s">
        <v>104</v>
      </c>
      <c r="Q3" s="1" t="s">
        <v>105</v>
      </c>
    </row>
    <row r="4" spans="1:17">
      <c r="A4" s="95">
        <v>100003</v>
      </c>
      <c r="B4" s="96" t="s">
        <v>1180</v>
      </c>
      <c r="C4" s="95">
        <v>10000</v>
      </c>
      <c r="D4" s="95">
        <v>3</v>
      </c>
      <c r="E4" s="95">
        <v>1</v>
      </c>
      <c r="F4" s="95">
        <v>3</v>
      </c>
      <c r="G4" s="95">
        <v>1</v>
      </c>
      <c r="H4" s="95">
        <v>30</v>
      </c>
      <c r="I4" s="102">
        <v>15002</v>
      </c>
      <c r="J4" s="101" t="s">
        <v>106</v>
      </c>
      <c r="K4" s="1">
        <v>300</v>
      </c>
      <c r="L4" s="89" t="s">
        <v>107</v>
      </c>
      <c r="M4" s="1">
        <v>1</v>
      </c>
      <c r="N4" s="1" t="s">
        <v>104</v>
      </c>
      <c r="O4" s="1" t="s">
        <v>108</v>
      </c>
      <c r="P4" s="12" t="s">
        <v>109</v>
      </c>
      <c r="Q4" s="1">
        <v>3</v>
      </c>
    </row>
    <row r="5" spans="1:17">
      <c r="A5" s="95">
        <v>100004</v>
      </c>
      <c r="B5" s="96" t="s">
        <v>1181</v>
      </c>
      <c r="C5" s="95">
        <v>10000</v>
      </c>
      <c r="D5" s="95">
        <v>3</v>
      </c>
      <c r="E5" s="95">
        <v>1</v>
      </c>
      <c r="F5" s="95">
        <v>4</v>
      </c>
      <c r="G5" s="95">
        <v>1</v>
      </c>
      <c r="H5" s="95">
        <v>30</v>
      </c>
      <c r="I5" s="102">
        <v>15003</v>
      </c>
      <c r="J5" s="101" t="s">
        <v>110</v>
      </c>
      <c r="K5" s="1">
        <v>300</v>
      </c>
      <c r="L5" s="89" t="s">
        <v>104</v>
      </c>
      <c r="M5" s="1" t="s">
        <v>111</v>
      </c>
      <c r="N5" s="1" t="s">
        <v>112</v>
      </c>
      <c r="O5" s="1" t="s">
        <v>111</v>
      </c>
      <c r="P5" s="12" t="s">
        <v>113</v>
      </c>
      <c r="Q5" s="1">
        <v>500</v>
      </c>
    </row>
    <row r="6" spans="1:17">
      <c r="A6" s="95">
        <v>100005</v>
      </c>
      <c r="B6" s="96" t="s">
        <v>1182</v>
      </c>
      <c r="C6" s="95">
        <v>25000</v>
      </c>
      <c r="D6" s="95">
        <v>3</v>
      </c>
      <c r="E6" s="95">
        <v>1</v>
      </c>
      <c r="F6" s="95">
        <v>5</v>
      </c>
      <c r="G6" s="95">
        <v>1</v>
      </c>
      <c r="H6" s="95">
        <v>30</v>
      </c>
      <c r="I6" s="102">
        <v>15004</v>
      </c>
      <c r="J6" s="101" t="s">
        <v>114</v>
      </c>
      <c r="K6" s="1">
        <v>680</v>
      </c>
      <c r="L6" s="89" t="s">
        <v>115</v>
      </c>
      <c r="M6" s="1">
        <v>1</v>
      </c>
      <c r="N6" s="1" t="s">
        <v>116</v>
      </c>
      <c r="O6" s="1">
        <v>1500</v>
      </c>
      <c r="P6" s="1" t="s">
        <v>103</v>
      </c>
      <c r="Q6" s="1">
        <v>10</v>
      </c>
    </row>
    <row r="7" spans="1:17">
      <c r="A7" s="95">
        <v>100006</v>
      </c>
      <c r="B7" s="96" t="s">
        <v>1204</v>
      </c>
      <c r="C7" s="95">
        <v>45000</v>
      </c>
      <c r="D7" s="95">
        <v>3</v>
      </c>
      <c r="E7" s="95">
        <v>1</v>
      </c>
      <c r="F7" s="95">
        <v>6</v>
      </c>
      <c r="G7" s="95">
        <v>2</v>
      </c>
      <c r="H7" s="95">
        <v>30</v>
      </c>
      <c r="I7" s="102">
        <v>15005</v>
      </c>
      <c r="J7" s="101" t="s">
        <v>117</v>
      </c>
      <c r="K7" s="1">
        <v>1280</v>
      </c>
      <c r="L7" s="1" t="s">
        <v>118</v>
      </c>
      <c r="M7" s="1">
        <v>1</v>
      </c>
      <c r="N7" s="1" t="s">
        <v>104</v>
      </c>
      <c r="O7" s="1" t="s">
        <v>111</v>
      </c>
      <c r="P7" s="1" t="s">
        <v>103</v>
      </c>
      <c r="Q7" s="1">
        <v>15</v>
      </c>
    </row>
    <row r="8" spans="1:17" ht="15.75" customHeight="1">
      <c r="A8" s="95">
        <v>100007</v>
      </c>
      <c r="B8" s="96" t="s">
        <v>1204</v>
      </c>
      <c r="C8" s="95">
        <v>45000</v>
      </c>
      <c r="D8" s="95">
        <v>3</v>
      </c>
      <c r="E8" s="95">
        <v>1</v>
      </c>
      <c r="F8" s="95">
        <v>7</v>
      </c>
      <c r="G8" s="95">
        <v>1</v>
      </c>
      <c r="H8" s="95">
        <v>30</v>
      </c>
      <c r="I8" s="102">
        <v>15006</v>
      </c>
      <c r="J8" s="101" t="s">
        <v>119</v>
      </c>
      <c r="K8" s="1">
        <v>1280</v>
      </c>
      <c r="L8" s="89" t="s">
        <v>120</v>
      </c>
      <c r="M8" s="1">
        <v>1</v>
      </c>
      <c r="N8" s="1" t="s">
        <v>104</v>
      </c>
      <c r="O8" s="1" t="s">
        <v>121</v>
      </c>
      <c r="P8" s="1" t="s">
        <v>103</v>
      </c>
      <c r="Q8" s="1">
        <v>15</v>
      </c>
    </row>
    <row r="9" spans="1:17">
      <c r="A9" s="95">
        <v>100008</v>
      </c>
      <c r="B9" s="96" t="s">
        <v>1183</v>
      </c>
      <c r="C9" s="95">
        <v>115000</v>
      </c>
      <c r="D9" s="95">
        <v>3</v>
      </c>
      <c r="E9" s="95">
        <v>1</v>
      </c>
      <c r="F9" s="95">
        <v>9</v>
      </c>
      <c r="G9" s="95">
        <v>1</v>
      </c>
      <c r="H9" s="95">
        <v>30</v>
      </c>
      <c r="I9" s="102">
        <v>15007</v>
      </c>
      <c r="J9" s="101" t="s">
        <v>122</v>
      </c>
      <c r="K9" s="1">
        <v>3280</v>
      </c>
      <c r="L9" s="1" t="s">
        <v>123</v>
      </c>
      <c r="M9" s="1" t="s">
        <v>124</v>
      </c>
      <c r="N9" s="1" t="s">
        <v>104</v>
      </c>
      <c r="O9" s="1" t="s">
        <v>125</v>
      </c>
      <c r="P9" s="1" t="s">
        <v>103</v>
      </c>
      <c r="Q9" s="1">
        <v>22</v>
      </c>
    </row>
    <row r="10" spans="1:17">
      <c r="A10" s="95">
        <v>100009</v>
      </c>
      <c r="B10" s="96" t="s">
        <v>1184</v>
      </c>
      <c r="C10" s="95">
        <v>115000</v>
      </c>
      <c r="D10" s="95">
        <v>3</v>
      </c>
      <c r="E10" s="95">
        <v>1</v>
      </c>
      <c r="F10" s="95">
        <v>10</v>
      </c>
      <c r="G10" s="95">
        <v>1</v>
      </c>
      <c r="H10" s="95">
        <v>30</v>
      </c>
      <c r="I10" s="102">
        <v>15008</v>
      </c>
      <c r="J10" s="101" t="s">
        <v>126</v>
      </c>
    </row>
    <row r="11" spans="1:17">
      <c r="A11" s="95">
        <v>100010</v>
      </c>
      <c r="B11" s="96" t="s">
        <v>1184</v>
      </c>
      <c r="C11" s="95">
        <v>115000</v>
      </c>
      <c r="D11" s="95">
        <v>3</v>
      </c>
      <c r="E11" s="95">
        <v>1</v>
      </c>
      <c r="F11" s="95">
        <v>11</v>
      </c>
      <c r="G11" s="95">
        <v>1</v>
      </c>
      <c r="H11" s="95">
        <v>30</v>
      </c>
      <c r="I11" s="102">
        <v>15009</v>
      </c>
      <c r="J11" s="101" t="s">
        <v>127</v>
      </c>
    </row>
    <row r="12" spans="1:17">
      <c r="A12" s="95">
        <v>100011</v>
      </c>
      <c r="B12" s="96" t="s">
        <v>1185</v>
      </c>
      <c r="C12" s="95">
        <v>115000</v>
      </c>
      <c r="D12" s="95">
        <v>3</v>
      </c>
      <c r="E12" s="95">
        <v>1</v>
      </c>
      <c r="F12" s="95">
        <v>12</v>
      </c>
      <c r="G12" s="95">
        <v>1</v>
      </c>
      <c r="H12" s="95">
        <v>30</v>
      </c>
      <c r="I12" s="102">
        <v>15010</v>
      </c>
      <c r="J12" s="101" t="s">
        <v>128</v>
      </c>
    </row>
    <row r="13" spans="1:17">
      <c r="A13" s="95">
        <v>100013</v>
      </c>
      <c r="B13" s="96" t="s">
        <v>1186</v>
      </c>
      <c r="C13" s="95">
        <v>215000</v>
      </c>
      <c r="D13" s="95">
        <v>3</v>
      </c>
      <c r="E13" s="95">
        <v>1</v>
      </c>
      <c r="F13" s="95">
        <v>15</v>
      </c>
      <c r="G13" s="95">
        <v>1</v>
      </c>
      <c r="H13" s="95">
        <v>30</v>
      </c>
      <c r="I13" s="102">
        <v>15012</v>
      </c>
      <c r="J13" s="101" t="s">
        <v>129</v>
      </c>
      <c r="K13" s="1">
        <v>6480</v>
      </c>
      <c r="L13" s="103" t="s">
        <v>130</v>
      </c>
      <c r="M13" s="1">
        <v>1</v>
      </c>
      <c r="N13" s="1" t="s">
        <v>131</v>
      </c>
      <c r="O13" s="1">
        <v>50</v>
      </c>
      <c r="P13" s="1" t="s">
        <v>103</v>
      </c>
      <c r="Q13" s="1">
        <v>42</v>
      </c>
    </row>
    <row r="14" spans="1:17">
      <c r="A14" s="95">
        <v>100014</v>
      </c>
      <c r="B14" s="96" t="s">
        <v>1187</v>
      </c>
      <c r="C14" s="95">
        <v>115000</v>
      </c>
      <c r="D14" s="95">
        <v>3</v>
      </c>
      <c r="E14" s="95">
        <v>1</v>
      </c>
      <c r="F14" s="95">
        <v>13</v>
      </c>
      <c r="G14" s="95">
        <v>1</v>
      </c>
      <c r="H14" s="95">
        <v>30</v>
      </c>
      <c r="I14" s="102">
        <v>15013</v>
      </c>
      <c r="J14" s="101" t="s">
        <v>132</v>
      </c>
      <c r="L14" s="103"/>
    </row>
    <row r="15" spans="1:17">
      <c r="A15" s="95">
        <v>100015</v>
      </c>
      <c r="B15" s="96" t="s">
        <v>1188</v>
      </c>
      <c r="C15" s="95">
        <v>215000</v>
      </c>
      <c r="D15" s="95">
        <v>3</v>
      </c>
      <c r="E15" s="95">
        <v>1</v>
      </c>
      <c r="F15" s="95">
        <v>16</v>
      </c>
      <c r="G15" s="95">
        <v>1</v>
      </c>
      <c r="H15" s="95">
        <v>30</v>
      </c>
      <c r="I15" s="102">
        <v>15014</v>
      </c>
      <c r="J15" s="101" t="s">
        <v>133</v>
      </c>
      <c r="L15" s="103"/>
    </row>
    <row r="16" spans="1:17">
      <c r="A16" s="95">
        <v>100016</v>
      </c>
      <c r="B16" s="96" t="s">
        <v>1189</v>
      </c>
      <c r="C16" s="95">
        <v>45000</v>
      </c>
      <c r="D16" s="95">
        <v>3</v>
      </c>
      <c r="E16" s="95">
        <v>1</v>
      </c>
      <c r="F16" s="95">
        <v>8</v>
      </c>
      <c r="G16" s="95">
        <v>1</v>
      </c>
      <c r="H16" s="95">
        <v>30</v>
      </c>
      <c r="I16" s="102">
        <v>15015</v>
      </c>
      <c r="J16" s="101" t="s">
        <v>134</v>
      </c>
      <c r="L16" s="103"/>
    </row>
    <row r="17" spans="1:18" s="21" customFormat="1">
      <c r="A17" s="91">
        <v>100017</v>
      </c>
      <c r="B17" s="96" t="s">
        <v>1186</v>
      </c>
      <c r="C17" s="91">
        <v>215000</v>
      </c>
      <c r="D17" s="91">
        <v>1</v>
      </c>
      <c r="E17" s="91">
        <v>1</v>
      </c>
      <c r="F17" s="91">
        <v>17</v>
      </c>
      <c r="G17" s="91">
        <v>8</v>
      </c>
      <c r="H17" s="91">
        <v>30</v>
      </c>
      <c r="I17" s="21">
        <v>15016</v>
      </c>
      <c r="J17" s="101" t="s">
        <v>135</v>
      </c>
      <c r="K17" s="3"/>
      <c r="L17" s="104"/>
      <c r="M17" s="3"/>
      <c r="N17" s="3"/>
      <c r="O17" s="3"/>
      <c r="P17" s="3"/>
      <c r="Q17" s="3"/>
      <c r="R17" s="3"/>
    </row>
    <row r="18" spans="1:18">
      <c r="A18" s="98">
        <v>110001</v>
      </c>
      <c r="B18" s="96" t="s">
        <v>1178</v>
      </c>
      <c r="C18" s="98">
        <v>0</v>
      </c>
      <c r="D18" s="98">
        <v>1</v>
      </c>
      <c r="E18" s="98">
        <v>1</v>
      </c>
      <c r="F18" s="98">
        <v>1</v>
      </c>
      <c r="G18" s="98">
        <v>31</v>
      </c>
      <c r="H18" s="98">
        <v>60</v>
      </c>
      <c r="I18" s="99"/>
      <c r="J18" s="101" t="s">
        <v>136</v>
      </c>
      <c r="K18" s="105">
        <v>30</v>
      </c>
      <c r="L18" s="105" t="s">
        <v>137</v>
      </c>
      <c r="M18" s="105">
        <v>5</v>
      </c>
      <c r="N18" s="105" t="s">
        <v>138</v>
      </c>
      <c r="O18" s="106">
        <v>5</v>
      </c>
      <c r="P18" s="105"/>
      <c r="Q18" s="106"/>
      <c r="R18" s="1" t="s">
        <v>139</v>
      </c>
    </row>
    <row r="19" spans="1:18">
      <c r="A19" s="98">
        <v>110002</v>
      </c>
      <c r="B19" s="96" t="s">
        <v>1179</v>
      </c>
      <c r="C19" s="98">
        <v>2000</v>
      </c>
      <c r="D19" s="98">
        <v>1</v>
      </c>
      <c r="E19" s="98">
        <v>1</v>
      </c>
      <c r="F19" s="98">
        <v>2</v>
      </c>
      <c r="G19" s="98">
        <v>31</v>
      </c>
      <c r="H19" s="98">
        <v>60</v>
      </c>
      <c r="I19" s="107">
        <v>100001</v>
      </c>
      <c r="J19" s="101" t="s">
        <v>140</v>
      </c>
      <c r="K19" s="105">
        <v>120</v>
      </c>
      <c r="L19" s="108" t="s">
        <v>107</v>
      </c>
      <c r="M19" s="105">
        <v>1</v>
      </c>
      <c r="N19" s="105" t="s">
        <v>104</v>
      </c>
      <c r="O19" s="106">
        <v>100000</v>
      </c>
      <c r="P19" s="105" t="s">
        <v>102</v>
      </c>
      <c r="Q19" s="106">
        <v>10</v>
      </c>
      <c r="R19" s="1" t="s">
        <v>141</v>
      </c>
    </row>
    <row r="20" spans="1:18">
      <c r="A20" s="98">
        <v>110003</v>
      </c>
      <c r="B20" s="96" t="s">
        <v>1180</v>
      </c>
      <c r="C20" s="98">
        <v>10000</v>
      </c>
      <c r="D20" s="98">
        <v>3</v>
      </c>
      <c r="E20" s="98">
        <v>1</v>
      </c>
      <c r="F20" s="98">
        <v>3</v>
      </c>
      <c r="G20" s="98">
        <v>31</v>
      </c>
      <c r="H20" s="98">
        <v>60</v>
      </c>
      <c r="I20" s="81">
        <v>100002</v>
      </c>
      <c r="J20" s="101" t="s">
        <v>143</v>
      </c>
      <c r="K20" s="105">
        <v>300</v>
      </c>
      <c r="L20" s="105" t="s">
        <v>103</v>
      </c>
      <c r="M20" s="105">
        <v>5</v>
      </c>
      <c r="N20" s="105" t="s">
        <v>144</v>
      </c>
      <c r="O20" s="106">
        <v>3</v>
      </c>
      <c r="P20" s="105" t="s">
        <v>104</v>
      </c>
      <c r="Q20" s="106">
        <v>500000</v>
      </c>
      <c r="R20" s="1" t="s">
        <v>142</v>
      </c>
    </row>
    <row r="21" spans="1:18">
      <c r="A21" s="98">
        <v>110004</v>
      </c>
      <c r="B21" s="96" t="s">
        <v>1182</v>
      </c>
      <c r="C21" s="98">
        <v>25000</v>
      </c>
      <c r="D21" s="98">
        <v>3</v>
      </c>
      <c r="E21" s="98">
        <v>1</v>
      </c>
      <c r="F21" s="98">
        <v>5</v>
      </c>
      <c r="G21" s="98">
        <v>31</v>
      </c>
      <c r="H21" s="98">
        <v>60</v>
      </c>
      <c r="I21" s="107">
        <v>100003</v>
      </c>
      <c r="J21" s="101" t="s">
        <v>146</v>
      </c>
      <c r="K21" s="105">
        <v>680</v>
      </c>
      <c r="L21" s="105" t="s">
        <v>103</v>
      </c>
      <c r="M21" s="105">
        <v>12</v>
      </c>
      <c r="N21" s="105" t="s">
        <v>147</v>
      </c>
      <c r="O21" s="106">
        <v>50</v>
      </c>
      <c r="P21" s="105" t="s">
        <v>116</v>
      </c>
      <c r="Q21" s="106">
        <v>1000</v>
      </c>
      <c r="R21" s="1" t="s">
        <v>145</v>
      </c>
    </row>
    <row r="22" spans="1:18">
      <c r="A22" s="98">
        <v>110005</v>
      </c>
      <c r="B22" s="96" t="s">
        <v>1204</v>
      </c>
      <c r="C22" s="98">
        <v>45000</v>
      </c>
      <c r="D22" s="98">
        <v>3</v>
      </c>
      <c r="E22" s="98">
        <v>1</v>
      </c>
      <c r="F22" s="98">
        <v>7</v>
      </c>
      <c r="G22" s="98">
        <v>31</v>
      </c>
      <c r="H22" s="98">
        <v>60</v>
      </c>
      <c r="I22" s="81">
        <v>100004</v>
      </c>
      <c r="J22" s="101" t="s">
        <v>149</v>
      </c>
      <c r="K22" s="105">
        <v>1280</v>
      </c>
      <c r="L22" s="105" t="s">
        <v>103</v>
      </c>
      <c r="M22" s="105">
        <v>25</v>
      </c>
      <c r="N22" s="105" t="s">
        <v>104</v>
      </c>
      <c r="O22" s="106">
        <v>3000000</v>
      </c>
      <c r="P22" s="105" t="s">
        <v>150</v>
      </c>
      <c r="Q22" s="106">
        <v>3000000</v>
      </c>
      <c r="R22" s="1" t="s">
        <v>148</v>
      </c>
    </row>
    <row r="23" spans="1:18">
      <c r="A23" s="98">
        <v>110006</v>
      </c>
      <c r="B23" s="96" t="s">
        <v>1204</v>
      </c>
      <c r="C23" s="98">
        <v>45000</v>
      </c>
      <c r="D23" s="98">
        <v>3</v>
      </c>
      <c r="E23" s="98">
        <v>1</v>
      </c>
      <c r="F23" s="98">
        <v>8</v>
      </c>
      <c r="G23" s="98">
        <v>31</v>
      </c>
      <c r="H23" s="98">
        <v>60</v>
      </c>
      <c r="I23" s="107">
        <v>100005</v>
      </c>
      <c r="J23" s="101" t="s">
        <v>152</v>
      </c>
      <c r="K23" s="105">
        <v>1280</v>
      </c>
      <c r="L23" s="105" t="s">
        <v>103</v>
      </c>
      <c r="M23" s="105">
        <v>25</v>
      </c>
      <c r="N23" s="105" t="s">
        <v>120</v>
      </c>
      <c r="O23" s="106">
        <v>2</v>
      </c>
      <c r="P23" s="105" t="s">
        <v>153</v>
      </c>
      <c r="Q23" s="106">
        <v>5</v>
      </c>
      <c r="R23" s="1" t="s">
        <v>151</v>
      </c>
    </row>
    <row r="24" spans="1:18">
      <c r="A24" s="98">
        <v>110007</v>
      </c>
      <c r="B24" s="96" t="s">
        <v>1183</v>
      </c>
      <c r="C24" s="98">
        <v>115000</v>
      </c>
      <c r="D24" s="98">
        <v>3</v>
      </c>
      <c r="E24" s="98">
        <v>1</v>
      </c>
      <c r="F24" s="98">
        <v>11</v>
      </c>
      <c r="G24" s="98">
        <v>31</v>
      </c>
      <c r="H24" s="98">
        <v>60</v>
      </c>
      <c r="I24" s="81">
        <v>100006</v>
      </c>
      <c r="J24" s="101" t="s">
        <v>155</v>
      </c>
      <c r="K24" s="105">
        <v>3280</v>
      </c>
      <c r="L24" s="105" t="s">
        <v>103</v>
      </c>
      <c r="M24" s="105">
        <v>65</v>
      </c>
      <c r="N24" s="105" t="s">
        <v>156</v>
      </c>
      <c r="O24" s="106">
        <v>350000</v>
      </c>
      <c r="P24" s="105" t="s">
        <v>157</v>
      </c>
      <c r="Q24" s="106">
        <v>12</v>
      </c>
      <c r="R24" s="1" t="s">
        <v>154</v>
      </c>
    </row>
    <row r="25" spans="1:18">
      <c r="A25" s="98">
        <v>110008</v>
      </c>
      <c r="B25" s="96" t="s">
        <v>1184</v>
      </c>
      <c r="C25" s="98">
        <v>115000</v>
      </c>
      <c r="D25" s="98">
        <v>3</v>
      </c>
      <c r="E25" s="98">
        <v>1</v>
      </c>
      <c r="F25" s="98">
        <v>12</v>
      </c>
      <c r="G25" s="98">
        <v>31</v>
      </c>
      <c r="H25" s="98">
        <v>60</v>
      </c>
      <c r="I25" s="107">
        <v>100007</v>
      </c>
      <c r="J25" s="101" t="s">
        <v>159</v>
      </c>
      <c r="K25" s="105">
        <v>3280</v>
      </c>
      <c r="L25" s="105" t="s">
        <v>103</v>
      </c>
      <c r="M25" s="105">
        <v>65</v>
      </c>
      <c r="N25" s="105" t="s">
        <v>104</v>
      </c>
      <c r="O25" s="106">
        <v>10000000</v>
      </c>
      <c r="P25" s="105" t="s">
        <v>150</v>
      </c>
      <c r="Q25" s="106">
        <v>10000000</v>
      </c>
      <c r="R25" s="1" t="s">
        <v>158</v>
      </c>
    </row>
    <row r="26" spans="1:18">
      <c r="A26" s="98">
        <v>110009</v>
      </c>
      <c r="B26" s="96" t="s">
        <v>1186</v>
      </c>
      <c r="C26" s="98">
        <v>215000</v>
      </c>
      <c r="D26" s="98">
        <v>3</v>
      </c>
      <c r="E26" s="98">
        <v>1</v>
      </c>
      <c r="F26" s="98">
        <v>14</v>
      </c>
      <c r="G26" s="98">
        <v>31</v>
      </c>
      <c r="H26" s="98">
        <v>60</v>
      </c>
      <c r="I26" s="81">
        <v>100008</v>
      </c>
      <c r="J26" s="101" t="s">
        <v>160</v>
      </c>
      <c r="K26" s="105">
        <v>6480</v>
      </c>
      <c r="L26" s="105" t="s">
        <v>161</v>
      </c>
      <c r="M26" s="105">
        <v>25</v>
      </c>
      <c r="N26" s="105" t="s">
        <v>116</v>
      </c>
      <c r="O26" s="106">
        <v>15000</v>
      </c>
      <c r="P26" s="105" t="s">
        <v>162</v>
      </c>
      <c r="Q26" s="106">
        <v>1</v>
      </c>
      <c r="R26" s="1" t="s">
        <v>163</v>
      </c>
    </row>
    <row r="27" spans="1:18">
      <c r="A27" s="98">
        <v>110010</v>
      </c>
      <c r="B27" s="96" t="s">
        <v>1188</v>
      </c>
      <c r="C27" s="98">
        <v>215000</v>
      </c>
      <c r="D27" s="98">
        <v>3</v>
      </c>
      <c r="E27" s="98">
        <v>1</v>
      </c>
      <c r="F27" s="98">
        <v>15</v>
      </c>
      <c r="G27" s="98">
        <v>31</v>
      </c>
      <c r="H27" s="98">
        <v>60</v>
      </c>
      <c r="I27" s="107">
        <v>100009</v>
      </c>
      <c r="J27" s="101" t="s">
        <v>165</v>
      </c>
      <c r="K27" s="105">
        <v>6480</v>
      </c>
      <c r="L27" s="105" t="s">
        <v>103</v>
      </c>
      <c r="M27" s="105">
        <v>130</v>
      </c>
      <c r="N27" s="105" t="s">
        <v>104</v>
      </c>
      <c r="O27" s="106">
        <v>20000000</v>
      </c>
      <c r="P27" s="105" t="s">
        <v>150</v>
      </c>
      <c r="Q27" s="106">
        <v>20000000</v>
      </c>
      <c r="R27" s="1" t="s">
        <v>164</v>
      </c>
    </row>
    <row r="28" spans="1:18">
      <c r="A28" s="98">
        <v>110011</v>
      </c>
      <c r="B28" s="96" t="s">
        <v>1184</v>
      </c>
      <c r="C28" s="98">
        <v>115000</v>
      </c>
      <c r="D28" s="98">
        <v>7</v>
      </c>
      <c r="E28" s="98">
        <v>1</v>
      </c>
      <c r="F28" s="98">
        <v>10</v>
      </c>
      <c r="G28" s="98">
        <v>31</v>
      </c>
      <c r="H28" s="98">
        <v>60</v>
      </c>
      <c r="I28" s="18">
        <v>100010</v>
      </c>
      <c r="J28" s="101" t="s">
        <v>166</v>
      </c>
      <c r="K28" s="105"/>
      <c r="L28" s="105"/>
      <c r="M28" s="105"/>
      <c r="N28" s="105"/>
      <c r="O28" s="106"/>
      <c r="P28" s="105"/>
      <c r="Q28" s="106"/>
    </row>
    <row r="29" spans="1:18">
      <c r="A29" s="91">
        <v>110014</v>
      </c>
      <c r="B29" s="96" t="s">
        <v>1184</v>
      </c>
      <c r="C29" s="80">
        <v>115000</v>
      </c>
      <c r="D29" s="80">
        <v>3</v>
      </c>
      <c r="E29" s="80">
        <v>1</v>
      </c>
      <c r="F29" s="99">
        <v>13</v>
      </c>
      <c r="G29" s="99">
        <v>31</v>
      </c>
      <c r="H29" s="99">
        <v>60</v>
      </c>
      <c r="I29" s="81">
        <v>100013</v>
      </c>
      <c r="J29" s="101" t="s">
        <v>167</v>
      </c>
      <c r="K29" s="105">
        <v>3280</v>
      </c>
      <c r="L29" s="1" t="s">
        <v>168</v>
      </c>
      <c r="M29" s="105">
        <v>65</v>
      </c>
      <c r="N29" s="1" t="s">
        <v>169</v>
      </c>
      <c r="O29" s="106">
        <v>350000</v>
      </c>
      <c r="P29" s="1" t="s">
        <v>170</v>
      </c>
      <c r="Q29" s="106">
        <v>12</v>
      </c>
      <c r="R29" s="1" t="str">
        <f>CONCATENATE("0:1:",K29,"#",L29,":",M29,"#",N29,":",O29,"#",P29,":",Q29)</f>
        <v>0:1:3280#3:100022:65#3:100030:350000#3:500015:12</v>
      </c>
    </row>
    <row r="30" spans="1:18">
      <c r="A30" s="91">
        <v>110015</v>
      </c>
      <c r="B30" s="96" t="s">
        <v>1188</v>
      </c>
      <c r="C30" s="83">
        <v>215000</v>
      </c>
      <c r="D30" s="83">
        <v>3</v>
      </c>
      <c r="E30" s="83">
        <v>1</v>
      </c>
      <c r="F30" s="99">
        <v>16</v>
      </c>
      <c r="G30" s="99">
        <v>31</v>
      </c>
      <c r="H30" s="99">
        <v>60</v>
      </c>
      <c r="I30" s="81">
        <v>100014</v>
      </c>
      <c r="J30" s="101" t="s">
        <v>171</v>
      </c>
      <c r="K30" s="105">
        <v>3280</v>
      </c>
      <c r="L30" s="1" t="s">
        <v>168</v>
      </c>
      <c r="M30" s="105">
        <v>65</v>
      </c>
      <c r="N30" s="93" t="s">
        <v>172</v>
      </c>
      <c r="O30" s="106">
        <v>10000000</v>
      </c>
      <c r="P30" s="93" t="s">
        <v>173</v>
      </c>
      <c r="Q30" s="106">
        <v>10000000</v>
      </c>
      <c r="R30" s="1" t="str">
        <f>CONCATENATE("0:1:",K30,"#",L30,":",M30,"#",N30,":",O30,"#",P30,":",Q30)</f>
        <v>0:1:3280#3:100022:65#0:0:10000000#0:4:10000000</v>
      </c>
    </row>
    <row r="31" spans="1:18" s="21" customFormat="1">
      <c r="A31" s="91">
        <v>110016</v>
      </c>
      <c r="B31" s="96" t="s">
        <v>1186</v>
      </c>
      <c r="C31" s="91">
        <v>215000</v>
      </c>
      <c r="D31" s="91">
        <v>1</v>
      </c>
      <c r="E31" s="91">
        <v>1</v>
      </c>
      <c r="F31" s="91">
        <v>17</v>
      </c>
      <c r="G31" s="91">
        <v>31</v>
      </c>
      <c r="H31" s="91">
        <v>60</v>
      </c>
      <c r="I31" s="21">
        <v>100015</v>
      </c>
      <c r="J31" s="101" t="s">
        <v>135</v>
      </c>
      <c r="K31" s="3"/>
      <c r="L31" s="104"/>
      <c r="M31" s="3"/>
      <c r="N31" s="3"/>
      <c r="O31" s="3"/>
      <c r="P31" s="3"/>
      <c r="Q31" s="3"/>
      <c r="R31" s="3"/>
    </row>
    <row r="32" spans="1:18" s="94" customFormat="1">
      <c r="A32" s="100">
        <v>110017</v>
      </c>
      <c r="B32" s="96" t="s">
        <v>1180</v>
      </c>
      <c r="C32" s="100">
        <v>10000</v>
      </c>
      <c r="D32" s="100">
        <v>1</v>
      </c>
      <c r="E32" s="100">
        <v>1</v>
      </c>
      <c r="F32" s="100">
        <v>4</v>
      </c>
      <c r="G32" s="100">
        <v>31</v>
      </c>
      <c r="H32" s="100">
        <v>60</v>
      </c>
      <c r="I32" s="21">
        <v>100016</v>
      </c>
      <c r="J32" s="109" t="s">
        <v>174</v>
      </c>
      <c r="K32" s="110"/>
      <c r="L32" s="111"/>
      <c r="M32" s="110"/>
      <c r="N32" s="110"/>
      <c r="O32" s="110"/>
      <c r="P32" s="110"/>
      <c r="Q32" s="110"/>
      <c r="R32" s="110"/>
    </row>
    <row r="33" spans="1:20" s="94" customFormat="1">
      <c r="A33" s="100">
        <v>110018</v>
      </c>
      <c r="B33" s="96" t="s">
        <v>1182</v>
      </c>
      <c r="C33" s="100">
        <v>25000</v>
      </c>
      <c r="D33" s="100">
        <v>5</v>
      </c>
      <c r="E33" s="100">
        <v>1</v>
      </c>
      <c r="F33" s="100">
        <v>6</v>
      </c>
      <c r="G33" s="100">
        <v>31</v>
      </c>
      <c r="H33" s="100">
        <v>60</v>
      </c>
      <c r="I33" s="21">
        <v>100017</v>
      </c>
      <c r="J33" s="109" t="s">
        <v>175</v>
      </c>
      <c r="K33" s="110"/>
      <c r="L33" s="111"/>
      <c r="M33" s="110"/>
      <c r="N33" s="110"/>
      <c r="O33" s="110"/>
      <c r="P33" s="110"/>
      <c r="Q33" s="110"/>
      <c r="R33" s="110"/>
    </row>
    <row r="34" spans="1:20" s="94" customFormat="1">
      <c r="A34" s="100">
        <v>110019</v>
      </c>
      <c r="B34" s="96" t="s">
        <v>1204</v>
      </c>
      <c r="C34" s="100">
        <v>45000</v>
      </c>
      <c r="D34" s="100">
        <v>3</v>
      </c>
      <c r="E34" s="100">
        <v>1</v>
      </c>
      <c r="F34" s="100">
        <v>9</v>
      </c>
      <c r="G34" s="100">
        <v>31</v>
      </c>
      <c r="H34" s="100">
        <v>60</v>
      </c>
      <c r="I34" s="21">
        <v>100018</v>
      </c>
      <c r="J34" s="109" t="s">
        <v>176</v>
      </c>
      <c r="K34" s="110"/>
      <c r="L34" s="111"/>
      <c r="M34" s="110"/>
      <c r="N34" s="110"/>
      <c r="O34" s="110"/>
      <c r="P34" s="110"/>
      <c r="Q34" s="110"/>
      <c r="R34" s="110"/>
    </row>
    <row r="35" spans="1:20" s="94" customFormat="1">
      <c r="A35" s="100">
        <v>110020</v>
      </c>
      <c r="B35" s="96" t="s">
        <v>1186</v>
      </c>
      <c r="C35" s="100">
        <v>215000</v>
      </c>
      <c r="D35" s="100">
        <v>2</v>
      </c>
      <c r="E35" s="100">
        <v>1</v>
      </c>
      <c r="F35" s="100">
        <v>18</v>
      </c>
      <c r="G35" s="100">
        <v>31</v>
      </c>
      <c r="H35" s="100">
        <v>60</v>
      </c>
      <c r="I35" s="21">
        <v>100019</v>
      </c>
      <c r="J35" s="109" t="s">
        <v>177</v>
      </c>
      <c r="K35" s="110"/>
      <c r="L35" s="111"/>
      <c r="M35" s="110"/>
      <c r="N35" s="110"/>
      <c r="O35" s="110"/>
      <c r="P35" s="110"/>
      <c r="Q35" s="110"/>
      <c r="R35" s="110"/>
    </row>
    <row r="36" spans="1:20">
      <c r="A36" s="61">
        <v>120001</v>
      </c>
      <c r="B36" s="96" t="s">
        <v>1178</v>
      </c>
      <c r="C36" s="61">
        <v>0</v>
      </c>
      <c r="D36" s="61">
        <v>1</v>
      </c>
      <c r="E36" s="61">
        <v>1</v>
      </c>
      <c r="F36" s="61">
        <v>1</v>
      </c>
      <c r="G36" s="61">
        <v>61</v>
      </c>
      <c r="H36" s="61">
        <v>1999</v>
      </c>
      <c r="I36" s="99"/>
      <c r="J36" s="101" t="s">
        <v>136</v>
      </c>
      <c r="K36" s="105">
        <v>6480</v>
      </c>
      <c r="L36" s="1" t="s">
        <v>178</v>
      </c>
      <c r="M36" s="105">
        <v>25</v>
      </c>
      <c r="N36" s="1" t="s">
        <v>179</v>
      </c>
      <c r="O36" s="106">
        <v>15000</v>
      </c>
      <c r="P36" s="93" t="s">
        <v>180</v>
      </c>
      <c r="Q36" s="106">
        <v>1</v>
      </c>
      <c r="R36" s="1" t="str">
        <f>CONCATENATE("0:1:",K36,"#",L36,":",M36,"#",N36,":",O36,"#",P36,":",Q36)</f>
        <v>0:1:6480#3:100025:25#3:100004:15000#5:5:1</v>
      </c>
    </row>
    <row r="37" spans="1:20">
      <c r="A37" s="61">
        <v>120002</v>
      </c>
      <c r="B37" s="96" t="s">
        <v>1179</v>
      </c>
      <c r="C37" s="61">
        <v>2000</v>
      </c>
      <c r="D37" s="61">
        <v>1</v>
      </c>
      <c r="E37" s="61">
        <v>1</v>
      </c>
      <c r="F37" s="61">
        <v>2</v>
      </c>
      <c r="G37" s="61">
        <v>61</v>
      </c>
      <c r="H37" s="61">
        <v>1999</v>
      </c>
      <c r="I37" s="107">
        <v>111001</v>
      </c>
      <c r="J37" s="101" t="s">
        <v>140</v>
      </c>
      <c r="K37" s="105">
        <v>6480</v>
      </c>
      <c r="L37" s="1" t="s">
        <v>168</v>
      </c>
      <c r="M37" s="105">
        <v>130</v>
      </c>
      <c r="N37" s="93" t="s">
        <v>172</v>
      </c>
      <c r="O37" s="106">
        <v>20000000</v>
      </c>
      <c r="P37" s="93" t="s">
        <v>173</v>
      </c>
      <c r="Q37" s="106">
        <v>20000000</v>
      </c>
      <c r="R37" s="1" t="str">
        <f>CONCATENATE("0:1:",K37,"#",L37,":",M37,"#",N37,":",O37,"#",P37,":",Q37)</f>
        <v>0:1:6480#3:100022:130#0:0:20000000#0:4:20000000</v>
      </c>
    </row>
    <row r="38" spans="1:20">
      <c r="A38" s="61">
        <v>120003</v>
      </c>
      <c r="B38" s="96" t="s">
        <v>1180</v>
      </c>
      <c r="C38" s="61">
        <v>10000</v>
      </c>
      <c r="D38" s="61">
        <v>3</v>
      </c>
      <c r="E38" s="61">
        <v>1</v>
      </c>
      <c r="F38" s="61">
        <v>3</v>
      </c>
      <c r="G38" s="61">
        <v>61</v>
      </c>
      <c r="H38" s="61">
        <v>1999</v>
      </c>
      <c r="I38" s="81">
        <v>111002</v>
      </c>
      <c r="J38" s="101" t="s">
        <v>143</v>
      </c>
    </row>
    <row r="39" spans="1:20" s="21" customFormat="1">
      <c r="A39" s="91">
        <v>120004</v>
      </c>
      <c r="B39" s="96" t="s">
        <v>1182</v>
      </c>
      <c r="C39" s="91">
        <v>25000</v>
      </c>
      <c r="D39" s="91">
        <v>3</v>
      </c>
      <c r="E39" s="91">
        <v>1</v>
      </c>
      <c r="F39" s="91">
        <v>5</v>
      </c>
      <c r="G39" s="91">
        <v>61</v>
      </c>
      <c r="H39" s="61">
        <v>1999</v>
      </c>
      <c r="I39" s="112">
        <v>190003</v>
      </c>
      <c r="J39" s="113" t="s">
        <v>146</v>
      </c>
      <c r="K39" s="3"/>
      <c r="L39" s="3"/>
      <c r="M39" s="3"/>
      <c r="N39" s="3"/>
      <c r="O39" s="3"/>
      <c r="P39" s="3"/>
      <c r="Q39" s="3"/>
      <c r="R39" s="3"/>
    </row>
    <row r="40" spans="1:20" s="21" customFormat="1">
      <c r="A40" s="91">
        <v>120005</v>
      </c>
      <c r="B40" s="96" t="s">
        <v>1204</v>
      </c>
      <c r="C40" s="91">
        <v>45000</v>
      </c>
      <c r="D40" s="91">
        <v>3</v>
      </c>
      <c r="E40" s="91">
        <v>1</v>
      </c>
      <c r="F40" s="91">
        <v>7</v>
      </c>
      <c r="G40" s="91">
        <v>61</v>
      </c>
      <c r="H40" s="61">
        <v>1999</v>
      </c>
      <c r="I40" s="112">
        <v>190004</v>
      </c>
      <c r="J40" s="113" t="s">
        <v>149</v>
      </c>
      <c r="K40" s="91">
        <v>110012</v>
      </c>
      <c r="L40" s="97" t="s">
        <v>181</v>
      </c>
      <c r="M40" s="91">
        <v>328</v>
      </c>
      <c r="N40" s="91">
        <v>3</v>
      </c>
      <c r="O40" s="91">
        <v>1</v>
      </c>
      <c r="P40" s="91">
        <v>8</v>
      </c>
      <c r="Q40" s="91">
        <v>31</v>
      </c>
      <c r="R40" s="91">
        <v>60</v>
      </c>
      <c r="S40" s="21">
        <v>100011</v>
      </c>
      <c r="T40" s="101" t="s">
        <v>182</v>
      </c>
    </row>
    <row r="41" spans="1:20" s="21" customFormat="1">
      <c r="A41" s="91">
        <v>120006</v>
      </c>
      <c r="B41" s="96" t="s">
        <v>1204</v>
      </c>
      <c r="C41" s="91">
        <v>45000</v>
      </c>
      <c r="D41" s="91">
        <v>3</v>
      </c>
      <c r="E41" s="91">
        <v>1</v>
      </c>
      <c r="F41" s="91">
        <v>8</v>
      </c>
      <c r="G41" s="91">
        <v>61</v>
      </c>
      <c r="H41" s="61">
        <v>1999</v>
      </c>
      <c r="I41" s="112">
        <v>190005</v>
      </c>
      <c r="J41" s="113" t="s">
        <v>152</v>
      </c>
      <c r="K41" s="91">
        <v>110013</v>
      </c>
      <c r="L41" s="97" t="s">
        <v>183</v>
      </c>
      <c r="M41" s="91">
        <v>328</v>
      </c>
      <c r="N41" s="91">
        <v>3</v>
      </c>
      <c r="O41" s="91">
        <v>1</v>
      </c>
      <c r="P41" s="91">
        <v>9</v>
      </c>
      <c r="Q41" s="91">
        <v>31</v>
      </c>
      <c r="R41" s="91">
        <v>60</v>
      </c>
      <c r="S41" s="21">
        <v>100012</v>
      </c>
      <c r="T41" s="101" t="s">
        <v>184</v>
      </c>
    </row>
    <row r="42" spans="1:20" s="21" customFormat="1">
      <c r="A42" s="91">
        <v>120007</v>
      </c>
      <c r="B42" s="96" t="s">
        <v>1183</v>
      </c>
      <c r="C42" s="91">
        <v>115000</v>
      </c>
      <c r="D42" s="91">
        <v>3</v>
      </c>
      <c r="E42" s="91">
        <v>1</v>
      </c>
      <c r="F42" s="91">
        <v>10</v>
      </c>
      <c r="G42" s="91">
        <v>61</v>
      </c>
      <c r="H42" s="61">
        <v>1999</v>
      </c>
      <c r="I42" s="112">
        <v>190006</v>
      </c>
      <c r="J42" s="113" t="s">
        <v>155</v>
      </c>
      <c r="K42" s="3"/>
      <c r="L42" s="3"/>
      <c r="M42" s="3"/>
      <c r="N42" s="3"/>
      <c r="O42" s="3"/>
      <c r="P42" s="3"/>
      <c r="Q42" s="3"/>
      <c r="R42" s="3"/>
    </row>
    <row r="43" spans="1:20">
      <c r="A43" s="61">
        <v>120008</v>
      </c>
      <c r="B43" s="96" t="s">
        <v>1184</v>
      </c>
      <c r="C43" s="61">
        <v>115000</v>
      </c>
      <c r="D43" s="61">
        <v>3</v>
      </c>
      <c r="E43" s="61">
        <v>1</v>
      </c>
      <c r="F43" s="61">
        <v>12</v>
      </c>
      <c r="G43" s="61">
        <v>61</v>
      </c>
      <c r="H43" s="61">
        <v>1999</v>
      </c>
      <c r="I43" s="107">
        <v>110007</v>
      </c>
      <c r="J43" s="101" t="s">
        <v>159</v>
      </c>
    </row>
    <row r="44" spans="1:20">
      <c r="A44" s="61">
        <v>120009</v>
      </c>
      <c r="B44" s="96" t="s">
        <v>1186</v>
      </c>
      <c r="C44" s="61">
        <v>215000</v>
      </c>
      <c r="D44" s="61">
        <v>3</v>
      </c>
      <c r="E44" s="61">
        <v>1</v>
      </c>
      <c r="F44" s="61">
        <v>14</v>
      </c>
      <c r="G44" s="61">
        <v>61</v>
      </c>
      <c r="H44" s="61">
        <v>1999</v>
      </c>
      <c r="I44" s="81">
        <v>110008</v>
      </c>
      <c r="J44" s="101" t="s">
        <v>160</v>
      </c>
    </row>
    <row r="45" spans="1:20">
      <c r="A45" s="61">
        <v>120012</v>
      </c>
      <c r="B45" s="96" t="s">
        <v>1188</v>
      </c>
      <c r="C45" s="61">
        <v>215000</v>
      </c>
      <c r="D45" s="61">
        <v>3</v>
      </c>
      <c r="E45" s="61">
        <v>1</v>
      </c>
      <c r="F45" s="61">
        <v>15</v>
      </c>
      <c r="G45" s="61">
        <v>61</v>
      </c>
      <c r="H45" s="61">
        <v>1999</v>
      </c>
      <c r="I45" s="107">
        <v>110011</v>
      </c>
      <c r="J45" s="101" t="s">
        <v>165</v>
      </c>
    </row>
    <row r="46" spans="1:20">
      <c r="A46" s="61">
        <v>120013</v>
      </c>
      <c r="B46" s="96" t="s">
        <v>1184</v>
      </c>
      <c r="C46" s="61">
        <v>115000</v>
      </c>
      <c r="D46" s="61">
        <v>7</v>
      </c>
      <c r="E46" s="61">
        <v>1</v>
      </c>
      <c r="F46" s="61">
        <v>11</v>
      </c>
      <c r="G46" s="61">
        <v>61</v>
      </c>
      <c r="H46" s="61">
        <v>1999</v>
      </c>
      <c r="I46" s="63">
        <v>110012</v>
      </c>
      <c r="J46" s="101" t="s">
        <v>166</v>
      </c>
    </row>
    <row r="47" spans="1:20">
      <c r="A47" s="61">
        <v>120014</v>
      </c>
      <c r="B47" s="96" t="s">
        <v>1184</v>
      </c>
      <c r="C47" s="80">
        <v>115000</v>
      </c>
      <c r="D47" s="80">
        <v>3</v>
      </c>
      <c r="E47" s="80">
        <v>1</v>
      </c>
      <c r="F47" s="80">
        <v>13</v>
      </c>
      <c r="G47" s="99">
        <v>61</v>
      </c>
      <c r="H47" s="61">
        <v>1999</v>
      </c>
      <c r="I47" s="99">
        <v>110013</v>
      </c>
      <c r="J47" s="101" t="s">
        <v>167</v>
      </c>
      <c r="K47" s="91">
        <v>120010</v>
      </c>
      <c r="L47" s="97" t="s">
        <v>181</v>
      </c>
      <c r="M47" s="91">
        <v>328</v>
      </c>
      <c r="N47" s="91">
        <v>3</v>
      </c>
      <c r="O47" s="91">
        <v>1</v>
      </c>
      <c r="P47" s="91">
        <v>9</v>
      </c>
      <c r="Q47" s="91">
        <v>61</v>
      </c>
      <c r="R47" s="91">
        <v>999</v>
      </c>
      <c r="S47" s="21">
        <v>110009</v>
      </c>
      <c r="T47" s="101" t="s">
        <v>182</v>
      </c>
    </row>
    <row r="48" spans="1:20">
      <c r="A48" s="61">
        <v>120015</v>
      </c>
      <c r="B48" s="96" t="s">
        <v>1186</v>
      </c>
      <c r="C48" s="83">
        <v>215000</v>
      </c>
      <c r="D48" s="83">
        <v>3</v>
      </c>
      <c r="E48" s="83">
        <v>1</v>
      </c>
      <c r="F48" s="83">
        <v>16</v>
      </c>
      <c r="G48" s="99">
        <v>61</v>
      </c>
      <c r="H48" s="61">
        <v>1999</v>
      </c>
      <c r="I48" s="99">
        <v>110014</v>
      </c>
      <c r="J48" s="101" t="s">
        <v>171</v>
      </c>
      <c r="K48" s="91">
        <v>120011</v>
      </c>
      <c r="L48" s="97" t="s">
        <v>183</v>
      </c>
      <c r="M48" s="91">
        <v>328</v>
      </c>
      <c r="N48" s="91">
        <v>3</v>
      </c>
      <c r="O48" s="91">
        <v>1</v>
      </c>
      <c r="P48" s="91">
        <v>10</v>
      </c>
      <c r="Q48" s="91">
        <v>61</v>
      </c>
      <c r="R48" s="91">
        <v>999</v>
      </c>
      <c r="S48" s="21">
        <v>110010</v>
      </c>
      <c r="T48" s="101" t="s">
        <v>184</v>
      </c>
    </row>
    <row r="49" spans="1:18" s="21" customFormat="1">
      <c r="A49" s="91">
        <v>120016</v>
      </c>
      <c r="B49" s="96" t="s">
        <v>1188</v>
      </c>
      <c r="C49" s="91">
        <v>215000</v>
      </c>
      <c r="D49" s="91">
        <v>1</v>
      </c>
      <c r="E49" s="91">
        <v>1</v>
      </c>
      <c r="F49" s="91">
        <v>17</v>
      </c>
      <c r="G49" s="91">
        <v>61</v>
      </c>
      <c r="H49" s="61">
        <v>1999</v>
      </c>
      <c r="I49" s="21">
        <v>110015</v>
      </c>
      <c r="J49" s="101" t="s">
        <v>135</v>
      </c>
      <c r="K49" s="3"/>
      <c r="L49" s="104"/>
      <c r="M49" s="3"/>
      <c r="N49" s="3"/>
      <c r="O49" s="3"/>
      <c r="P49" s="3"/>
      <c r="Q49" s="3"/>
      <c r="R49" s="3"/>
    </row>
    <row r="50" spans="1:18" s="94" customFormat="1">
      <c r="A50" s="91">
        <v>120017</v>
      </c>
      <c r="B50" s="96" t="s">
        <v>1180</v>
      </c>
      <c r="C50" s="100">
        <v>10000</v>
      </c>
      <c r="D50" s="100">
        <v>1</v>
      </c>
      <c r="E50" s="100">
        <v>1</v>
      </c>
      <c r="F50" s="100">
        <v>4</v>
      </c>
      <c r="G50" s="100">
        <v>61</v>
      </c>
      <c r="H50" s="61">
        <v>1999</v>
      </c>
      <c r="I50" s="21">
        <v>110016</v>
      </c>
      <c r="J50" s="109" t="s">
        <v>174</v>
      </c>
      <c r="K50" s="110"/>
      <c r="L50" s="111"/>
      <c r="M50" s="110"/>
      <c r="N50" s="110"/>
      <c r="O50" s="110"/>
      <c r="P50" s="110"/>
      <c r="Q50" s="110"/>
      <c r="R50" s="110"/>
    </row>
    <row r="51" spans="1:18" s="94" customFormat="1">
      <c r="A51" s="91">
        <v>120018</v>
      </c>
      <c r="B51" s="96" t="s">
        <v>1182</v>
      </c>
      <c r="C51" s="100">
        <v>25000</v>
      </c>
      <c r="D51" s="100">
        <v>5</v>
      </c>
      <c r="E51" s="100">
        <v>1</v>
      </c>
      <c r="F51" s="100">
        <v>6</v>
      </c>
      <c r="G51" s="100">
        <v>61</v>
      </c>
      <c r="H51" s="61">
        <v>1999</v>
      </c>
      <c r="I51" s="21">
        <v>110017</v>
      </c>
      <c r="J51" s="109" t="s">
        <v>175</v>
      </c>
      <c r="K51" s="110"/>
      <c r="L51" s="111"/>
      <c r="M51" s="110"/>
      <c r="N51" s="110"/>
      <c r="O51" s="110"/>
      <c r="P51" s="110"/>
      <c r="Q51" s="110"/>
      <c r="R51" s="110"/>
    </row>
    <row r="52" spans="1:18" s="94" customFormat="1">
      <c r="A52" s="91">
        <v>120019</v>
      </c>
      <c r="B52" s="96" t="s">
        <v>1204</v>
      </c>
      <c r="C52" s="100">
        <v>45000</v>
      </c>
      <c r="D52" s="100">
        <v>3</v>
      </c>
      <c r="E52" s="100">
        <v>1</v>
      </c>
      <c r="F52" s="100">
        <v>9</v>
      </c>
      <c r="G52" s="100">
        <v>61</v>
      </c>
      <c r="H52" s="61">
        <v>1999</v>
      </c>
      <c r="I52" s="21">
        <v>110018</v>
      </c>
      <c r="J52" s="109" t="s">
        <v>176</v>
      </c>
      <c r="K52" s="110"/>
      <c r="L52" s="111"/>
      <c r="M52" s="110"/>
      <c r="N52" s="110"/>
      <c r="O52" s="110"/>
      <c r="P52" s="110"/>
      <c r="Q52" s="110"/>
      <c r="R52" s="110"/>
    </row>
    <row r="53" spans="1:18" s="94" customFormat="1">
      <c r="A53" s="91">
        <v>120020</v>
      </c>
      <c r="B53" s="96" t="s">
        <v>1186</v>
      </c>
      <c r="C53" s="100">
        <v>215000</v>
      </c>
      <c r="D53" s="100">
        <v>2</v>
      </c>
      <c r="E53" s="100">
        <v>1</v>
      </c>
      <c r="F53" s="100">
        <v>18</v>
      </c>
      <c r="G53" s="100">
        <v>61</v>
      </c>
      <c r="H53" s="61">
        <v>1999</v>
      </c>
      <c r="I53" s="21">
        <v>110019</v>
      </c>
      <c r="J53" s="109" t="s">
        <v>185</v>
      </c>
      <c r="K53" s="110"/>
      <c r="L53" s="111"/>
      <c r="M53" s="110"/>
      <c r="N53" s="110"/>
      <c r="O53" s="110"/>
      <c r="P53" s="110"/>
      <c r="Q53" s="110"/>
      <c r="R53" s="110"/>
    </row>
  </sheetData>
  <conditionalFormatting sqref="A2:A17">
    <cfRule type="duplicateValues" dxfId="49" priority="120"/>
  </conditionalFormatting>
  <conditionalFormatting sqref="A18:A27">
    <cfRule type="duplicateValues" dxfId="48" priority="121"/>
  </conditionalFormatting>
  <conditionalFormatting sqref="A28">
    <cfRule type="duplicateValues" dxfId="47" priority="12"/>
  </conditionalFormatting>
  <conditionalFormatting sqref="A49:A53">
    <cfRule type="duplicateValues" dxfId="46" priority="7"/>
  </conditionalFormatting>
  <conditionalFormatting sqref="F18:F35">
    <cfRule type="duplicateValues" dxfId="45" priority="135"/>
  </conditionalFormatting>
  <conditionalFormatting sqref="F36:F53">
    <cfRule type="duplicateValues" dxfId="44" priority="137"/>
  </conditionalFormatting>
  <conditionalFormatting sqref="I39:I42">
    <cfRule type="duplicateValues" dxfId="43" priority="3"/>
    <cfRule type="duplicateValues" dxfId="42" priority="4"/>
    <cfRule type="duplicateValues" dxfId="41" priority="5"/>
    <cfRule type="cellIs" dxfId="40" priority="6" operator="equal">
      <formula>110509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T41"/>
  <sheetViews>
    <sheetView tabSelected="1" workbookViewId="0">
      <pane xSplit="1" ySplit="1" topLeftCell="B20" activePane="bottomRight" state="frozen"/>
      <selection pane="topRight"/>
      <selection pane="bottomLeft"/>
      <selection pane="bottomRight" activeCell="B33" sqref="B33"/>
    </sheetView>
  </sheetViews>
  <sheetFormatPr defaultColWidth="9" defaultRowHeight="15"/>
  <cols>
    <col min="2" max="2" width="50.5703125" customWidth="1"/>
    <col min="5" max="5" width="9" style="75"/>
    <col min="7" max="7" width="14.42578125" customWidth="1"/>
    <col min="8" max="8" width="15.28515625" customWidth="1"/>
    <col min="9" max="9" width="13.140625" customWidth="1"/>
    <col min="10" max="10" width="61.85546875" customWidth="1"/>
    <col min="11" max="11" width="18.28515625" customWidth="1"/>
    <col min="12" max="12" width="17.28515625" customWidth="1"/>
    <col min="13" max="13" width="9.5703125" customWidth="1"/>
    <col min="14" max="14" width="17.28515625" customWidth="1"/>
    <col min="15" max="15" width="18.42578125" customWidth="1"/>
    <col min="16" max="16" width="17.28515625" customWidth="1"/>
    <col min="17" max="17" width="18.42578125" customWidth="1"/>
    <col min="18" max="18" width="51.5703125" customWidth="1"/>
  </cols>
  <sheetData>
    <row r="1" spans="1:17">
      <c r="A1" s="56" t="s">
        <v>0</v>
      </c>
      <c r="B1" s="56" t="s">
        <v>94</v>
      </c>
      <c r="C1" s="56" t="s">
        <v>3</v>
      </c>
      <c r="D1" s="56" t="s">
        <v>95</v>
      </c>
      <c r="E1" s="76" t="s">
        <v>96</v>
      </c>
      <c r="F1" s="56" t="s">
        <v>30</v>
      </c>
      <c r="G1" s="56" t="s">
        <v>63</v>
      </c>
      <c r="H1" s="56" t="s">
        <v>64</v>
      </c>
      <c r="I1" s="56" t="s">
        <v>6</v>
      </c>
      <c r="J1" s="56" t="s">
        <v>97</v>
      </c>
      <c r="K1" s="56" t="s">
        <v>98</v>
      </c>
      <c r="L1" s="56" t="s">
        <v>97</v>
      </c>
      <c r="M1" s="56" t="s">
        <v>98</v>
      </c>
      <c r="N1" s="56" t="s">
        <v>97</v>
      </c>
      <c r="O1" s="56" t="s">
        <v>98</v>
      </c>
      <c r="P1" s="56" t="s">
        <v>97</v>
      </c>
      <c r="Q1" s="56" t="s">
        <v>98</v>
      </c>
    </row>
    <row r="2" spans="1:17" ht="16.5">
      <c r="A2" s="61">
        <v>100001</v>
      </c>
      <c r="B2" s="77" t="s">
        <v>1190</v>
      </c>
      <c r="C2" s="61">
        <v>0</v>
      </c>
      <c r="D2" s="61">
        <v>1</v>
      </c>
      <c r="E2" s="61">
        <v>1</v>
      </c>
      <c r="F2" s="61">
        <v>1</v>
      </c>
      <c r="G2" s="63">
        <v>1</v>
      </c>
      <c r="H2" s="63">
        <v>30</v>
      </c>
      <c r="I2" s="63"/>
      <c r="J2" t="s">
        <v>187</v>
      </c>
    </row>
    <row r="3" spans="1:17" ht="16.5">
      <c r="A3" s="61">
        <v>100002</v>
      </c>
      <c r="B3" s="77" t="s">
        <v>1191</v>
      </c>
      <c r="C3" s="61">
        <v>2000</v>
      </c>
      <c r="D3" s="61">
        <v>1</v>
      </c>
      <c r="E3" s="61">
        <v>1</v>
      </c>
      <c r="F3" s="61">
        <v>2</v>
      </c>
      <c r="G3" s="63">
        <v>1</v>
      </c>
      <c r="H3" s="63">
        <v>30</v>
      </c>
      <c r="I3" s="63">
        <v>16001</v>
      </c>
      <c r="J3" t="s">
        <v>188</v>
      </c>
      <c r="K3">
        <v>120</v>
      </c>
      <c r="L3" s="89" t="s">
        <v>189</v>
      </c>
      <c r="M3">
        <v>1</v>
      </c>
      <c r="N3" s="89" t="s">
        <v>107</v>
      </c>
      <c r="O3">
        <v>1</v>
      </c>
      <c r="P3" t="s">
        <v>104</v>
      </c>
      <c r="Q3">
        <v>100000</v>
      </c>
    </row>
    <row r="4" spans="1:17" ht="16.5">
      <c r="A4" s="61">
        <v>100003</v>
      </c>
      <c r="B4" s="77" t="s">
        <v>1192</v>
      </c>
      <c r="C4" s="61">
        <v>10000</v>
      </c>
      <c r="D4" s="61">
        <v>3</v>
      </c>
      <c r="E4" s="61">
        <v>1</v>
      </c>
      <c r="F4" s="61">
        <v>3</v>
      </c>
      <c r="G4" s="63">
        <v>1</v>
      </c>
      <c r="H4" s="63">
        <v>30</v>
      </c>
      <c r="I4" s="63">
        <v>16002</v>
      </c>
      <c r="J4" t="s">
        <v>190</v>
      </c>
      <c r="K4">
        <v>300</v>
      </c>
      <c r="L4" s="89" t="s">
        <v>115</v>
      </c>
      <c r="M4">
        <v>1</v>
      </c>
      <c r="N4" t="s">
        <v>103</v>
      </c>
      <c r="O4">
        <v>10</v>
      </c>
      <c r="P4" t="s">
        <v>191</v>
      </c>
      <c r="Q4">
        <v>5</v>
      </c>
    </row>
    <row r="5" spans="1:17" ht="16.5">
      <c r="A5" s="61">
        <v>100004</v>
      </c>
      <c r="B5" s="77" t="s">
        <v>1193</v>
      </c>
      <c r="C5" s="61">
        <v>25000</v>
      </c>
      <c r="D5" s="61">
        <v>3</v>
      </c>
      <c r="E5" s="61">
        <v>1</v>
      </c>
      <c r="F5" s="61">
        <v>4</v>
      </c>
      <c r="G5" s="61">
        <v>2</v>
      </c>
      <c r="H5" s="63">
        <v>30</v>
      </c>
      <c r="I5" s="63">
        <v>16003</v>
      </c>
      <c r="J5" t="s">
        <v>192</v>
      </c>
      <c r="K5">
        <v>680</v>
      </c>
      <c r="L5" s="89" t="s">
        <v>193</v>
      </c>
      <c r="M5">
        <v>1</v>
      </c>
      <c r="N5" t="s">
        <v>103</v>
      </c>
      <c r="O5">
        <v>12</v>
      </c>
      <c r="P5" s="89" t="s">
        <v>194</v>
      </c>
      <c r="Q5">
        <v>1</v>
      </c>
    </row>
    <row r="6" spans="1:17" ht="16.5">
      <c r="A6" s="61">
        <v>100005</v>
      </c>
      <c r="B6" s="96" t="s">
        <v>1204</v>
      </c>
      <c r="C6" s="61">
        <v>45000</v>
      </c>
      <c r="D6" s="61">
        <v>3</v>
      </c>
      <c r="E6" s="61">
        <v>1</v>
      </c>
      <c r="F6" s="61">
        <v>5</v>
      </c>
      <c r="G6" s="63">
        <v>1</v>
      </c>
      <c r="H6" s="63">
        <v>30</v>
      </c>
      <c r="I6" s="63">
        <v>16004</v>
      </c>
      <c r="J6" t="s">
        <v>195</v>
      </c>
      <c r="K6">
        <v>1280</v>
      </c>
      <c r="L6" t="s">
        <v>161</v>
      </c>
      <c r="M6">
        <v>3</v>
      </c>
      <c r="N6" t="s">
        <v>103</v>
      </c>
      <c r="O6">
        <v>15</v>
      </c>
      <c r="P6" s="89" t="s">
        <v>194</v>
      </c>
      <c r="Q6">
        <v>2</v>
      </c>
    </row>
    <row r="7" spans="1:17" ht="16.5">
      <c r="A7" s="61">
        <v>100006</v>
      </c>
      <c r="B7" s="77" t="s">
        <v>1194</v>
      </c>
      <c r="C7" s="61">
        <v>65000</v>
      </c>
      <c r="D7" s="61">
        <v>1</v>
      </c>
      <c r="E7" s="61">
        <v>1</v>
      </c>
      <c r="F7" s="61">
        <v>7</v>
      </c>
      <c r="G7" s="63">
        <v>1</v>
      </c>
      <c r="H7" s="63">
        <v>30</v>
      </c>
      <c r="I7" s="63">
        <v>16005</v>
      </c>
      <c r="J7" t="s">
        <v>196</v>
      </c>
    </row>
    <row r="8" spans="1:17" ht="16.5">
      <c r="A8" s="61">
        <v>100007</v>
      </c>
      <c r="B8" s="77" t="s">
        <v>1195</v>
      </c>
      <c r="C8" s="61">
        <v>65000</v>
      </c>
      <c r="D8" s="61">
        <v>1</v>
      </c>
      <c r="E8" s="61">
        <v>1</v>
      </c>
      <c r="F8" s="61">
        <v>8</v>
      </c>
      <c r="G8" s="63">
        <v>1</v>
      </c>
      <c r="H8" s="63">
        <v>30</v>
      </c>
      <c r="I8" s="63">
        <v>16006</v>
      </c>
      <c r="J8" t="s">
        <v>197</v>
      </c>
    </row>
    <row r="9" spans="1:17" ht="16.5">
      <c r="A9" s="61">
        <v>100008</v>
      </c>
      <c r="B9" s="77" t="s">
        <v>1196</v>
      </c>
      <c r="C9" s="61">
        <v>65000</v>
      </c>
      <c r="D9" s="61">
        <v>1</v>
      </c>
      <c r="E9" s="61">
        <v>1</v>
      </c>
      <c r="F9" s="61">
        <v>9</v>
      </c>
      <c r="G9" s="63">
        <v>1</v>
      </c>
      <c r="H9" s="63">
        <v>30</v>
      </c>
      <c r="I9" s="63">
        <v>16007</v>
      </c>
      <c r="J9" t="s">
        <v>198</v>
      </c>
    </row>
    <row r="10" spans="1:17" ht="16.5">
      <c r="A10" s="61">
        <v>100009</v>
      </c>
      <c r="B10" s="96" t="s">
        <v>1184</v>
      </c>
      <c r="C10" s="61">
        <v>115000</v>
      </c>
      <c r="D10" s="61">
        <v>3</v>
      </c>
      <c r="E10" s="61">
        <v>1</v>
      </c>
      <c r="F10" s="61">
        <v>10</v>
      </c>
      <c r="G10" s="63">
        <v>1</v>
      </c>
      <c r="H10" s="63">
        <v>30</v>
      </c>
      <c r="I10" s="63">
        <v>16008</v>
      </c>
      <c r="J10" t="s">
        <v>199</v>
      </c>
      <c r="K10">
        <v>3280</v>
      </c>
      <c r="L10" t="s">
        <v>161</v>
      </c>
      <c r="M10">
        <v>7</v>
      </c>
      <c r="N10" t="s">
        <v>103</v>
      </c>
      <c r="O10">
        <v>24</v>
      </c>
      <c r="P10" t="s">
        <v>104</v>
      </c>
      <c r="Q10">
        <v>20000000</v>
      </c>
    </row>
    <row r="11" spans="1:17" ht="16.5">
      <c r="A11" s="61">
        <v>100011</v>
      </c>
      <c r="B11" s="96" t="s">
        <v>1186</v>
      </c>
      <c r="C11" s="61">
        <v>215000</v>
      </c>
      <c r="D11" s="61">
        <v>3</v>
      </c>
      <c r="E11" s="61">
        <v>1</v>
      </c>
      <c r="F11" s="61">
        <v>13</v>
      </c>
      <c r="G11" s="63">
        <v>1</v>
      </c>
      <c r="H11" s="63">
        <v>30</v>
      </c>
      <c r="I11" s="63">
        <v>16010</v>
      </c>
      <c r="J11" t="s">
        <v>200</v>
      </c>
      <c r="K11">
        <v>6480</v>
      </c>
      <c r="L11" t="s">
        <v>161</v>
      </c>
      <c r="M11">
        <v>13</v>
      </c>
      <c r="N11" t="s">
        <v>103</v>
      </c>
      <c r="O11">
        <v>42</v>
      </c>
      <c r="P11" t="s">
        <v>201</v>
      </c>
      <c r="Q11">
        <v>50</v>
      </c>
    </row>
    <row r="12" spans="1:17" ht="16.5">
      <c r="A12" s="61">
        <v>100012</v>
      </c>
      <c r="B12" s="96" t="s">
        <v>1188</v>
      </c>
      <c r="C12" s="61">
        <v>215000</v>
      </c>
      <c r="D12" s="61">
        <v>3</v>
      </c>
      <c r="E12" s="61">
        <v>1</v>
      </c>
      <c r="F12" s="61">
        <v>14</v>
      </c>
      <c r="G12" s="63">
        <v>1</v>
      </c>
      <c r="H12" s="63">
        <v>30</v>
      </c>
      <c r="I12" s="63">
        <v>16011</v>
      </c>
      <c r="J12" t="s">
        <v>202</v>
      </c>
      <c r="K12">
        <v>6480</v>
      </c>
      <c r="L12" t="s">
        <v>161</v>
      </c>
      <c r="M12">
        <v>13</v>
      </c>
      <c r="N12" t="s">
        <v>103</v>
      </c>
      <c r="O12">
        <v>42</v>
      </c>
      <c r="P12" t="s">
        <v>203</v>
      </c>
      <c r="Q12">
        <v>50</v>
      </c>
    </row>
    <row r="13" spans="1:17" ht="16.5">
      <c r="A13" s="61">
        <v>100013</v>
      </c>
      <c r="B13" s="96" t="s">
        <v>1184</v>
      </c>
      <c r="C13" s="61">
        <v>115000</v>
      </c>
      <c r="D13" s="61">
        <v>3</v>
      </c>
      <c r="E13" s="61">
        <v>1</v>
      </c>
      <c r="F13" s="61">
        <v>11</v>
      </c>
      <c r="G13" s="63">
        <v>1</v>
      </c>
      <c r="H13" s="63">
        <v>30</v>
      </c>
      <c r="I13" s="63">
        <v>16012</v>
      </c>
      <c r="J13" t="s">
        <v>132</v>
      </c>
    </row>
    <row r="14" spans="1:17" ht="16.5">
      <c r="A14" s="61">
        <v>100014</v>
      </c>
      <c r="B14" s="96" t="s">
        <v>1188</v>
      </c>
      <c r="C14" s="61">
        <v>215000</v>
      </c>
      <c r="D14" s="61">
        <v>3</v>
      </c>
      <c r="E14" s="61">
        <v>1</v>
      </c>
      <c r="F14" s="61">
        <v>15</v>
      </c>
      <c r="G14" s="63">
        <v>1</v>
      </c>
      <c r="H14" s="63">
        <v>30</v>
      </c>
      <c r="I14" s="63">
        <v>16013</v>
      </c>
      <c r="J14" t="s">
        <v>133</v>
      </c>
    </row>
    <row r="15" spans="1:17" ht="16.5">
      <c r="A15" s="61">
        <v>100015</v>
      </c>
      <c r="B15" s="96" t="s">
        <v>1204</v>
      </c>
      <c r="C15" s="63">
        <v>45000</v>
      </c>
      <c r="D15" s="63">
        <v>3</v>
      </c>
      <c r="E15" s="63">
        <v>1</v>
      </c>
      <c r="F15" s="61">
        <v>6</v>
      </c>
      <c r="G15" s="63">
        <v>1</v>
      </c>
      <c r="H15" s="63">
        <v>30</v>
      </c>
      <c r="I15" s="63">
        <v>16014</v>
      </c>
      <c r="J15" t="s">
        <v>134</v>
      </c>
    </row>
    <row r="16" spans="1:17" ht="16.5">
      <c r="A16" s="64">
        <v>110001</v>
      </c>
      <c r="B16" s="78" t="s">
        <v>186</v>
      </c>
      <c r="C16" s="64">
        <v>0</v>
      </c>
      <c r="D16" s="64">
        <v>1</v>
      </c>
      <c r="E16" s="64">
        <v>1</v>
      </c>
      <c r="F16" s="64">
        <v>1</v>
      </c>
      <c r="G16" s="66">
        <v>31</v>
      </c>
      <c r="H16" s="66">
        <v>60</v>
      </c>
      <c r="I16" s="81"/>
      <c r="J16" t="s">
        <v>187</v>
      </c>
      <c r="K16" s="90">
        <f>C16*10</f>
        <v>0</v>
      </c>
      <c r="L16" s="90"/>
      <c r="M16" s="90"/>
      <c r="N16" s="90"/>
      <c r="O16" s="90"/>
      <c r="P16" s="90"/>
      <c r="Q16" s="90"/>
    </row>
    <row r="17" spans="1:20" ht="16.5">
      <c r="A17" s="64">
        <v>110002</v>
      </c>
      <c r="B17" s="78" t="s">
        <v>204</v>
      </c>
      <c r="C17" s="64">
        <v>2000</v>
      </c>
      <c r="D17" s="64">
        <v>1</v>
      </c>
      <c r="E17" s="64">
        <v>1</v>
      </c>
      <c r="F17" s="64">
        <v>2</v>
      </c>
      <c r="G17" s="66">
        <v>31</v>
      </c>
      <c r="H17" s="66">
        <v>60</v>
      </c>
      <c r="I17" s="81">
        <v>200001</v>
      </c>
      <c r="J17" t="s">
        <v>205</v>
      </c>
      <c r="K17" s="90">
        <v>120</v>
      </c>
      <c r="L17" s="90" t="s">
        <v>206</v>
      </c>
      <c r="M17" s="90">
        <v>2</v>
      </c>
      <c r="N17" s="90" t="s">
        <v>207</v>
      </c>
      <c r="O17" s="90">
        <v>10</v>
      </c>
      <c r="P17" s="90" t="s">
        <v>104</v>
      </c>
      <c r="Q17" s="90">
        <v>200000</v>
      </c>
    </row>
    <row r="18" spans="1:20" ht="16.5">
      <c r="A18" s="64">
        <v>110003</v>
      </c>
      <c r="B18" s="78" t="s">
        <v>208</v>
      </c>
      <c r="C18" s="64">
        <v>10000</v>
      </c>
      <c r="D18" s="64">
        <v>3</v>
      </c>
      <c r="E18" s="64">
        <v>1</v>
      </c>
      <c r="F18" s="64">
        <v>3</v>
      </c>
      <c r="G18" s="66">
        <v>31</v>
      </c>
      <c r="H18" s="66">
        <v>60</v>
      </c>
      <c r="I18" s="81">
        <v>200002</v>
      </c>
      <c r="J18" t="s">
        <v>209</v>
      </c>
      <c r="K18" s="90">
        <f>C18*10</f>
        <v>100000</v>
      </c>
      <c r="L18" s="90" t="s">
        <v>103</v>
      </c>
      <c r="M18" s="90">
        <v>10</v>
      </c>
      <c r="N18" s="90" t="s">
        <v>147</v>
      </c>
      <c r="O18" s="90">
        <v>50</v>
      </c>
      <c r="P18" s="90" t="s">
        <v>210</v>
      </c>
      <c r="Q18" s="90">
        <v>10</v>
      </c>
    </row>
    <row r="19" spans="1:20" ht="16.5">
      <c r="A19" s="64">
        <v>110004</v>
      </c>
      <c r="B19" s="78" t="s">
        <v>211</v>
      </c>
      <c r="C19" s="64">
        <v>25000</v>
      </c>
      <c r="D19" s="64">
        <v>3</v>
      </c>
      <c r="E19" s="64">
        <v>1</v>
      </c>
      <c r="F19" s="64">
        <v>4</v>
      </c>
      <c r="G19" s="66">
        <v>31</v>
      </c>
      <c r="H19" s="66">
        <v>60</v>
      </c>
      <c r="I19" s="81">
        <v>200003</v>
      </c>
      <c r="J19" t="s">
        <v>212</v>
      </c>
      <c r="K19" s="90">
        <f>C19*10</f>
        <v>250000</v>
      </c>
      <c r="L19" s="90" t="s">
        <v>103</v>
      </c>
      <c r="M19" s="90">
        <v>20</v>
      </c>
      <c r="N19" s="90" t="s">
        <v>194</v>
      </c>
      <c r="O19" s="90">
        <v>2</v>
      </c>
      <c r="P19" s="90" t="s">
        <v>207</v>
      </c>
      <c r="Q19" s="90">
        <v>100</v>
      </c>
    </row>
    <row r="20" spans="1:20" ht="16.5">
      <c r="A20" s="64">
        <v>110005</v>
      </c>
      <c r="B20" s="96" t="s">
        <v>1204</v>
      </c>
      <c r="C20" s="64">
        <v>45000</v>
      </c>
      <c r="D20" s="64">
        <v>3</v>
      </c>
      <c r="E20" s="64">
        <v>1</v>
      </c>
      <c r="F20" s="64">
        <v>5</v>
      </c>
      <c r="G20" s="66">
        <v>31</v>
      </c>
      <c r="H20" s="66">
        <v>60</v>
      </c>
      <c r="I20" s="81">
        <v>200004</v>
      </c>
      <c r="J20" t="s">
        <v>213</v>
      </c>
      <c r="K20" s="90">
        <f>C20*10</f>
        <v>450000</v>
      </c>
      <c r="L20" s="90" t="s">
        <v>161</v>
      </c>
      <c r="M20" s="90">
        <v>8</v>
      </c>
      <c r="N20" s="90" t="s">
        <v>194</v>
      </c>
      <c r="O20" s="90">
        <v>4</v>
      </c>
      <c r="P20" s="90" t="s">
        <v>104</v>
      </c>
      <c r="Q20" s="90">
        <v>5000000</v>
      </c>
    </row>
    <row r="21" spans="1:20" ht="16.5">
      <c r="A21" s="64">
        <v>110006</v>
      </c>
      <c r="B21" s="78" t="s">
        <v>214</v>
      </c>
      <c r="C21" s="64">
        <v>65000</v>
      </c>
      <c r="D21" s="64">
        <v>1</v>
      </c>
      <c r="E21" s="64">
        <v>1</v>
      </c>
      <c r="F21" s="64">
        <v>6</v>
      </c>
      <c r="G21" s="66">
        <v>31</v>
      </c>
      <c r="H21" s="66">
        <v>60</v>
      </c>
      <c r="I21" s="81">
        <v>200005</v>
      </c>
      <c r="J21" t="s">
        <v>215</v>
      </c>
      <c r="K21" s="90">
        <f>C21*10</f>
        <v>650000</v>
      </c>
      <c r="L21" s="90" t="s">
        <v>103</v>
      </c>
      <c r="M21" s="90">
        <v>25</v>
      </c>
      <c r="N21" s="90" t="s">
        <v>216</v>
      </c>
      <c r="O21" s="90">
        <v>2</v>
      </c>
      <c r="P21" s="90" t="s">
        <v>113</v>
      </c>
      <c r="Q21" s="90">
        <v>3000</v>
      </c>
    </row>
    <row r="22" spans="1:20" ht="16.5">
      <c r="A22" s="64">
        <v>110009</v>
      </c>
      <c r="B22" s="96" t="s">
        <v>1184</v>
      </c>
      <c r="C22" s="64">
        <v>115000</v>
      </c>
      <c r="D22" s="64">
        <v>3</v>
      </c>
      <c r="E22" s="64">
        <v>1</v>
      </c>
      <c r="F22" s="64">
        <v>9</v>
      </c>
      <c r="G22" s="66">
        <v>31</v>
      </c>
      <c r="H22" s="66">
        <v>60</v>
      </c>
      <c r="I22" s="81">
        <v>200008</v>
      </c>
      <c r="J22" t="s">
        <v>217</v>
      </c>
      <c r="K22" s="91">
        <v>110007</v>
      </c>
      <c r="L22" s="92" t="s">
        <v>218</v>
      </c>
      <c r="M22" s="91">
        <v>328</v>
      </c>
      <c r="N22" s="91">
        <v>3</v>
      </c>
      <c r="O22" s="91">
        <v>1</v>
      </c>
      <c r="P22" s="91">
        <v>7</v>
      </c>
      <c r="Q22" s="21">
        <v>31</v>
      </c>
      <c r="R22" s="21">
        <v>60</v>
      </c>
      <c r="S22" s="21">
        <v>200006</v>
      </c>
      <c r="T22" t="s">
        <v>219</v>
      </c>
    </row>
    <row r="23" spans="1:20" ht="16.5">
      <c r="A23" s="64">
        <v>110011</v>
      </c>
      <c r="B23" s="96" t="s">
        <v>1186</v>
      </c>
      <c r="C23" s="64">
        <v>215000</v>
      </c>
      <c r="D23" s="64">
        <v>3</v>
      </c>
      <c r="E23" s="64">
        <v>1</v>
      </c>
      <c r="F23" s="64">
        <v>12</v>
      </c>
      <c r="G23" s="66">
        <v>31</v>
      </c>
      <c r="H23" s="66">
        <v>60</v>
      </c>
      <c r="I23" s="81">
        <v>200010</v>
      </c>
      <c r="J23" t="s">
        <v>220</v>
      </c>
      <c r="K23" s="91">
        <v>110008</v>
      </c>
      <c r="L23" s="92" t="s">
        <v>221</v>
      </c>
      <c r="M23" s="91">
        <v>328</v>
      </c>
      <c r="N23" s="91">
        <v>3</v>
      </c>
      <c r="O23" s="91">
        <v>1</v>
      </c>
      <c r="P23" s="91">
        <v>8</v>
      </c>
      <c r="Q23" s="21">
        <v>31</v>
      </c>
      <c r="R23" s="21">
        <v>60</v>
      </c>
      <c r="S23" s="21">
        <v>200007</v>
      </c>
      <c r="T23" t="s">
        <v>222</v>
      </c>
    </row>
    <row r="24" spans="1:20" ht="16.5">
      <c r="A24" s="64">
        <v>110012</v>
      </c>
      <c r="B24" s="96" t="s">
        <v>1188</v>
      </c>
      <c r="C24" s="64">
        <v>215000</v>
      </c>
      <c r="D24" s="64">
        <v>3</v>
      </c>
      <c r="E24" s="64">
        <v>1</v>
      </c>
      <c r="F24" s="64">
        <v>13</v>
      </c>
      <c r="G24" s="66">
        <v>31</v>
      </c>
      <c r="H24" s="66">
        <v>60</v>
      </c>
      <c r="I24" s="81">
        <v>200011</v>
      </c>
      <c r="J24" t="s">
        <v>223</v>
      </c>
      <c r="K24" s="90">
        <f>C24*10</f>
        <v>2150000</v>
      </c>
      <c r="L24" s="90" t="s">
        <v>103</v>
      </c>
      <c r="M24" s="90">
        <v>80</v>
      </c>
      <c r="N24" s="90" t="s">
        <v>224</v>
      </c>
      <c r="O24" s="90">
        <v>100</v>
      </c>
      <c r="P24" s="90" t="s">
        <v>225</v>
      </c>
      <c r="Q24" s="90">
        <v>30</v>
      </c>
    </row>
    <row r="25" spans="1:20" ht="16.5">
      <c r="A25" s="64">
        <v>110013</v>
      </c>
      <c r="B25" s="96" t="s">
        <v>1184</v>
      </c>
      <c r="C25" s="64">
        <v>115000</v>
      </c>
      <c r="D25" s="64">
        <v>3</v>
      </c>
      <c r="E25" s="64">
        <v>1</v>
      </c>
      <c r="F25" s="64">
        <v>10</v>
      </c>
      <c r="G25" s="66">
        <v>31</v>
      </c>
      <c r="H25" s="66">
        <v>60</v>
      </c>
      <c r="I25" s="81">
        <v>200012</v>
      </c>
      <c r="J25" t="s">
        <v>226</v>
      </c>
      <c r="K25" s="90">
        <f>C25*10</f>
        <v>1150000</v>
      </c>
      <c r="L25" s="90" t="s">
        <v>103</v>
      </c>
      <c r="M25" s="90">
        <v>50</v>
      </c>
      <c r="N25" s="90" t="s">
        <v>225</v>
      </c>
      <c r="O25" s="90">
        <v>15</v>
      </c>
      <c r="P25" s="90" t="s">
        <v>150</v>
      </c>
      <c r="Q25" s="90">
        <v>30000000</v>
      </c>
    </row>
    <row r="26" spans="1:20" ht="16.5">
      <c r="A26" s="64">
        <v>110014</v>
      </c>
      <c r="B26" s="96" t="s">
        <v>1188</v>
      </c>
      <c r="C26" s="64">
        <v>215000</v>
      </c>
      <c r="D26" s="64">
        <v>3</v>
      </c>
      <c r="E26" s="64">
        <v>1</v>
      </c>
      <c r="F26" s="64">
        <v>14</v>
      </c>
      <c r="G26" s="66">
        <v>31</v>
      </c>
      <c r="H26" s="66">
        <v>60</v>
      </c>
      <c r="I26" s="81">
        <v>200013</v>
      </c>
      <c r="J26" t="s">
        <v>227</v>
      </c>
      <c r="K26" s="90">
        <f>C26*10</f>
        <v>2150000</v>
      </c>
      <c r="L26" s="90" t="s">
        <v>103</v>
      </c>
      <c r="M26" s="90">
        <v>80</v>
      </c>
      <c r="N26" s="90" t="s">
        <v>228</v>
      </c>
      <c r="O26" s="90">
        <v>100</v>
      </c>
      <c r="P26" s="90" t="s">
        <v>225</v>
      </c>
      <c r="Q26" s="90">
        <v>30</v>
      </c>
    </row>
    <row r="27" spans="1:20" ht="16.5">
      <c r="A27" s="64">
        <v>110015</v>
      </c>
      <c r="B27" s="79" t="s">
        <v>229</v>
      </c>
      <c r="C27" s="80">
        <v>115000</v>
      </c>
      <c r="D27" s="80">
        <v>3</v>
      </c>
      <c r="E27" s="80">
        <v>1</v>
      </c>
      <c r="F27" s="80">
        <v>11</v>
      </c>
      <c r="G27" s="81">
        <v>31</v>
      </c>
      <c r="H27" s="81">
        <v>60</v>
      </c>
      <c r="I27" s="81">
        <v>200014</v>
      </c>
      <c r="J27" t="s">
        <v>230</v>
      </c>
      <c r="K27" s="90">
        <v>0</v>
      </c>
      <c r="M27" s="90"/>
      <c r="O27" s="90"/>
      <c r="Q27" s="90"/>
      <c r="R27" s="1"/>
    </row>
    <row r="28" spans="1:20" ht="16.5">
      <c r="A28" s="64">
        <v>110016</v>
      </c>
      <c r="B28" s="82" t="s">
        <v>231</v>
      </c>
      <c r="C28" s="83">
        <v>215000</v>
      </c>
      <c r="D28" s="83">
        <v>3</v>
      </c>
      <c r="E28" s="83">
        <v>1</v>
      </c>
      <c r="F28" s="83">
        <v>15</v>
      </c>
      <c r="G28" s="81">
        <v>31</v>
      </c>
      <c r="H28" s="81">
        <v>60</v>
      </c>
      <c r="I28" s="81">
        <v>200015</v>
      </c>
      <c r="J28" t="s">
        <v>232</v>
      </c>
      <c r="K28" s="90">
        <v>120</v>
      </c>
      <c r="L28" t="s">
        <v>233</v>
      </c>
      <c r="M28" s="90">
        <v>2</v>
      </c>
      <c r="N28" s="90" t="s">
        <v>234</v>
      </c>
      <c r="O28" s="90">
        <v>10</v>
      </c>
      <c r="P28" s="93" t="s">
        <v>172</v>
      </c>
      <c r="Q28" s="90">
        <v>200000</v>
      </c>
      <c r="R28" s="1" t="str">
        <f>CONCATENATE("0:1:",K28,"#",L28,":",M28,"#",N28,":",O28,"#",P28,":",Q28)</f>
        <v>0:1:120#3:400010:2#3:100059:10#0:0:200000</v>
      </c>
    </row>
    <row r="29" spans="1:20" ht="16.5">
      <c r="A29" s="84">
        <v>120001</v>
      </c>
      <c r="B29" s="85" t="s">
        <v>186</v>
      </c>
      <c r="C29" s="84">
        <v>0</v>
      </c>
      <c r="D29" s="84">
        <v>1</v>
      </c>
      <c r="E29" s="84">
        <v>1</v>
      </c>
      <c r="F29" s="84">
        <v>1</v>
      </c>
      <c r="G29" s="86">
        <v>61</v>
      </c>
      <c r="H29" s="86">
        <v>999</v>
      </c>
      <c r="I29" s="81"/>
      <c r="J29" t="s">
        <v>187</v>
      </c>
      <c r="K29" s="90">
        <v>300</v>
      </c>
      <c r="L29" s="1" t="s">
        <v>168</v>
      </c>
      <c r="M29" s="90">
        <v>10</v>
      </c>
      <c r="N29" s="1" t="s">
        <v>235</v>
      </c>
      <c r="O29" s="90">
        <v>50</v>
      </c>
      <c r="P29" s="90" t="s">
        <v>236</v>
      </c>
      <c r="Q29" s="90">
        <v>10</v>
      </c>
      <c r="R29" s="1" t="str">
        <f>CONCATENATE("0:1:",K29,"#",L29,":",M29,"#",N29,":",O29,"#",P29,":",Q29)</f>
        <v>0:1:300#3:100022:10#4:606002:50#3:100005:10</v>
      </c>
    </row>
    <row r="30" spans="1:20" ht="16.5">
      <c r="A30" s="84">
        <v>120002</v>
      </c>
      <c r="B30" s="85" t="s">
        <v>204</v>
      </c>
      <c r="C30" s="84">
        <v>2000</v>
      </c>
      <c r="D30" s="84">
        <v>1</v>
      </c>
      <c r="E30" s="84">
        <v>1</v>
      </c>
      <c r="F30" s="84">
        <v>2</v>
      </c>
      <c r="G30" s="86">
        <v>61</v>
      </c>
      <c r="H30" s="86">
        <v>999</v>
      </c>
      <c r="I30" s="81">
        <v>210001</v>
      </c>
      <c r="J30" t="s">
        <v>205</v>
      </c>
      <c r="K30" s="90">
        <v>680</v>
      </c>
      <c r="L30" s="1" t="s">
        <v>168</v>
      </c>
      <c r="M30" s="90">
        <v>20</v>
      </c>
      <c r="N30" s="90" t="s">
        <v>237</v>
      </c>
      <c r="O30" s="90">
        <v>2</v>
      </c>
      <c r="P30" s="90" t="s">
        <v>234</v>
      </c>
      <c r="Q30" s="90">
        <v>100</v>
      </c>
      <c r="R30" s="1" t="str">
        <f>CONCATENATE("0:1:",K30,"#",L30,":",M30,"#",N30,":",O30,"#",P30,":",Q30)</f>
        <v>0:1:680#3:100022:20#3:400016:2#3:100059:100</v>
      </c>
    </row>
    <row r="31" spans="1:20" ht="16.5">
      <c r="A31" s="84">
        <v>120003</v>
      </c>
      <c r="B31" s="85" t="s">
        <v>208</v>
      </c>
      <c r="C31" s="84">
        <v>10000</v>
      </c>
      <c r="D31" s="84">
        <v>3</v>
      </c>
      <c r="E31" s="84">
        <v>1</v>
      </c>
      <c r="F31" s="84">
        <v>3</v>
      </c>
      <c r="G31" s="86">
        <v>61</v>
      </c>
      <c r="H31" s="86">
        <v>999</v>
      </c>
      <c r="I31" s="81">
        <v>210002</v>
      </c>
      <c r="J31" t="s">
        <v>209</v>
      </c>
      <c r="K31" s="90">
        <v>1280</v>
      </c>
      <c r="L31" s="1" t="s">
        <v>178</v>
      </c>
      <c r="M31" s="90">
        <v>8</v>
      </c>
      <c r="N31" s="90" t="s">
        <v>237</v>
      </c>
      <c r="O31" s="90">
        <v>4</v>
      </c>
      <c r="P31" s="93" t="s">
        <v>172</v>
      </c>
      <c r="Q31" s="90">
        <v>5000000</v>
      </c>
      <c r="R31" s="1" t="str">
        <f>CONCATENATE("0:1:",K31,"#",L31,":",M31,"#",N31,":",O31,"#",P31,":",Q31)</f>
        <v>0:1:1280#3:100025:8#3:400016:4#0:0:5000000</v>
      </c>
    </row>
    <row r="32" spans="1:20" ht="16.5">
      <c r="A32" s="84">
        <v>120004</v>
      </c>
      <c r="B32" s="85" t="s">
        <v>211</v>
      </c>
      <c r="C32" s="84">
        <v>25000</v>
      </c>
      <c r="D32" s="84">
        <v>3</v>
      </c>
      <c r="E32" s="84">
        <v>1</v>
      </c>
      <c r="F32" s="84">
        <v>4</v>
      </c>
      <c r="G32" s="86">
        <v>61</v>
      </c>
      <c r="H32" s="86">
        <v>999</v>
      </c>
      <c r="I32" s="81">
        <v>210003</v>
      </c>
      <c r="J32" t="s">
        <v>212</v>
      </c>
      <c r="K32" s="90">
        <v>1980</v>
      </c>
      <c r="L32" s="1" t="s">
        <v>168</v>
      </c>
      <c r="M32" s="90">
        <v>25</v>
      </c>
      <c r="N32" t="s">
        <v>238</v>
      </c>
      <c r="O32" s="90">
        <v>2</v>
      </c>
      <c r="P32" t="s">
        <v>239</v>
      </c>
      <c r="Q32" s="90">
        <v>3000</v>
      </c>
      <c r="R32" s="1" t="str">
        <f>CONCATENATE("0:1:",K32,"#",L32,":",M32,"#",N32,":",O32,"#",P32,":",Q32)</f>
        <v>0:1:1980#3:100022:25#3:1000010:2#3:100001:3000</v>
      </c>
    </row>
    <row r="33" spans="1:20" ht="16.5">
      <c r="A33" s="84">
        <v>120005</v>
      </c>
      <c r="B33" s="96" t="s">
        <v>1204</v>
      </c>
      <c r="C33" s="84">
        <v>45000</v>
      </c>
      <c r="D33" s="84">
        <v>3</v>
      </c>
      <c r="E33" s="84">
        <v>1</v>
      </c>
      <c r="F33" s="84">
        <v>5</v>
      </c>
      <c r="G33" s="86">
        <v>61</v>
      </c>
      <c r="H33" s="86">
        <v>999</v>
      </c>
      <c r="I33" s="81">
        <v>210004</v>
      </c>
      <c r="J33" t="s">
        <v>213</v>
      </c>
      <c r="K33" s="90"/>
      <c r="L33" s="1"/>
      <c r="M33" s="90"/>
      <c r="O33" s="90"/>
      <c r="Q33" s="90"/>
      <c r="R33" s="1"/>
    </row>
    <row r="34" spans="1:20" ht="16.5">
      <c r="A34" s="84">
        <v>120006</v>
      </c>
      <c r="B34" s="85" t="s">
        <v>214</v>
      </c>
      <c r="C34" s="84">
        <v>65000</v>
      </c>
      <c r="D34" s="84">
        <v>1</v>
      </c>
      <c r="E34" s="84">
        <v>1</v>
      </c>
      <c r="F34" s="84">
        <v>6</v>
      </c>
      <c r="G34" s="86">
        <v>61</v>
      </c>
      <c r="H34" s="86">
        <v>999</v>
      </c>
      <c r="I34" s="81">
        <v>210005</v>
      </c>
      <c r="J34" t="s">
        <v>215</v>
      </c>
      <c r="K34" s="90"/>
      <c r="L34" s="1"/>
      <c r="M34" s="90"/>
      <c r="O34" s="90"/>
      <c r="Q34" s="90"/>
      <c r="R34" s="1"/>
    </row>
    <row r="35" spans="1:20" ht="16.5">
      <c r="A35" s="84">
        <v>120011</v>
      </c>
      <c r="B35" s="96" t="s">
        <v>1184</v>
      </c>
      <c r="C35" s="84">
        <v>115000</v>
      </c>
      <c r="D35" s="84">
        <v>3</v>
      </c>
      <c r="E35" s="84">
        <v>1</v>
      </c>
      <c r="F35" s="84">
        <v>9</v>
      </c>
      <c r="G35" s="86">
        <v>61</v>
      </c>
      <c r="H35" s="86">
        <v>999</v>
      </c>
      <c r="I35" s="81">
        <v>210010</v>
      </c>
      <c r="J35" t="s">
        <v>217</v>
      </c>
      <c r="K35" s="91">
        <v>120007</v>
      </c>
      <c r="L35" s="92" t="s">
        <v>218</v>
      </c>
      <c r="M35" s="91">
        <v>328</v>
      </c>
      <c r="N35" s="91">
        <v>3</v>
      </c>
      <c r="O35" s="91">
        <v>1</v>
      </c>
      <c r="P35" s="91">
        <v>7</v>
      </c>
      <c r="Q35" s="21">
        <v>61</v>
      </c>
      <c r="R35" s="21">
        <v>999</v>
      </c>
      <c r="S35" s="21">
        <v>210006</v>
      </c>
      <c r="T35" t="s">
        <v>219</v>
      </c>
    </row>
    <row r="36" spans="1:20" ht="16.5">
      <c r="A36" s="84">
        <v>120013</v>
      </c>
      <c r="B36" s="96" t="s">
        <v>1186</v>
      </c>
      <c r="C36" s="84">
        <v>215000</v>
      </c>
      <c r="D36" s="84">
        <v>3</v>
      </c>
      <c r="E36" s="84">
        <v>1</v>
      </c>
      <c r="F36" s="84">
        <v>12</v>
      </c>
      <c r="G36" s="86">
        <v>61</v>
      </c>
      <c r="H36" s="86">
        <v>999</v>
      </c>
      <c r="I36" s="81">
        <v>210012</v>
      </c>
      <c r="J36" t="s">
        <v>220</v>
      </c>
      <c r="K36" s="91">
        <v>120008</v>
      </c>
      <c r="L36" s="92" t="s">
        <v>221</v>
      </c>
      <c r="M36" s="91">
        <v>328</v>
      </c>
      <c r="N36" s="91">
        <v>3</v>
      </c>
      <c r="O36" s="91">
        <v>1</v>
      </c>
      <c r="P36" s="91">
        <v>8</v>
      </c>
      <c r="Q36" s="21">
        <v>61</v>
      </c>
      <c r="R36" s="21">
        <v>999</v>
      </c>
      <c r="S36" s="21">
        <v>210007</v>
      </c>
      <c r="T36" t="s">
        <v>222</v>
      </c>
    </row>
    <row r="37" spans="1:20" ht="16.5">
      <c r="A37" s="84">
        <v>120014</v>
      </c>
      <c r="B37" s="96" t="s">
        <v>1188</v>
      </c>
      <c r="C37" s="84">
        <v>215000</v>
      </c>
      <c r="D37" s="84">
        <v>3</v>
      </c>
      <c r="E37" s="84">
        <v>1</v>
      </c>
      <c r="F37" s="84">
        <v>13</v>
      </c>
      <c r="G37" s="86">
        <v>61</v>
      </c>
      <c r="H37" s="86">
        <v>999</v>
      </c>
      <c r="I37" s="81">
        <v>210013</v>
      </c>
      <c r="J37" t="s">
        <v>223</v>
      </c>
      <c r="K37" s="90">
        <v>6480</v>
      </c>
      <c r="L37" s="1" t="s">
        <v>168</v>
      </c>
      <c r="M37" s="90">
        <v>80</v>
      </c>
      <c r="N37" t="s">
        <v>240</v>
      </c>
      <c r="O37" s="90">
        <v>100</v>
      </c>
      <c r="P37" t="s">
        <v>241</v>
      </c>
      <c r="Q37" s="90">
        <v>30</v>
      </c>
      <c r="R37" s="1" t="str">
        <f>CONCATENATE("0:1:",K37,"#",L37,":",M37,"#",N37,":",O37,"#",P37,":",Q37)</f>
        <v>0:1:6480#3:100022:80#4:606012:100#3:500015:30</v>
      </c>
    </row>
    <row r="38" spans="1:20" ht="16.5">
      <c r="A38" s="84">
        <v>120015</v>
      </c>
      <c r="B38" s="96" t="s">
        <v>1184</v>
      </c>
      <c r="C38" s="84">
        <v>115000</v>
      </c>
      <c r="D38" s="86">
        <v>3</v>
      </c>
      <c r="E38" s="86">
        <v>1</v>
      </c>
      <c r="F38" s="84">
        <v>10</v>
      </c>
      <c r="G38" s="86">
        <v>61</v>
      </c>
      <c r="H38" s="86">
        <v>999</v>
      </c>
      <c r="I38" s="81">
        <v>210014</v>
      </c>
      <c r="J38" t="s">
        <v>226</v>
      </c>
      <c r="K38" s="90">
        <v>1280</v>
      </c>
      <c r="L38" s="1" t="s">
        <v>178</v>
      </c>
      <c r="M38" s="90">
        <v>8</v>
      </c>
      <c r="N38" t="s">
        <v>242</v>
      </c>
      <c r="O38" s="90">
        <v>5</v>
      </c>
      <c r="P38" s="93" t="s">
        <v>173</v>
      </c>
      <c r="Q38" s="90">
        <v>5000000</v>
      </c>
    </row>
    <row r="39" spans="1:20" ht="16.5">
      <c r="A39" s="84">
        <v>120016</v>
      </c>
      <c r="B39" s="96" t="s">
        <v>1188</v>
      </c>
      <c r="C39" s="84">
        <v>215000</v>
      </c>
      <c r="D39" s="87">
        <v>3</v>
      </c>
      <c r="E39" s="87">
        <v>1</v>
      </c>
      <c r="F39" s="88">
        <v>14</v>
      </c>
      <c r="G39" s="87">
        <v>61</v>
      </c>
      <c r="H39" s="87">
        <v>999</v>
      </c>
      <c r="I39" s="81">
        <v>210015</v>
      </c>
      <c r="J39" t="s">
        <v>227</v>
      </c>
    </row>
    <row r="40" spans="1:20" ht="16.5">
      <c r="A40" s="84">
        <v>120017</v>
      </c>
      <c r="B40" s="79" t="s">
        <v>229</v>
      </c>
      <c r="C40" s="80">
        <v>115000</v>
      </c>
      <c r="D40" s="80">
        <v>3</v>
      </c>
      <c r="E40" s="80">
        <v>1</v>
      </c>
      <c r="F40" s="80">
        <v>11</v>
      </c>
      <c r="G40" s="81">
        <v>61</v>
      </c>
      <c r="H40" s="81">
        <v>999</v>
      </c>
      <c r="I40" s="81">
        <v>210016</v>
      </c>
      <c r="J40" t="s">
        <v>230</v>
      </c>
    </row>
    <row r="41" spans="1:20" ht="16.5">
      <c r="A41" s="84">
        <v>120018</v>
      </c>
      <c r="B41" s="82" t="s">
        <v>231</v>
      </c>
      <c r="C41" s="83">
        <v>215000</v>
      </c>
      <c r="D41" s="83">
        <v>3</v>
      </c>
      <c r="E41" s="83">
        <v>1</v>
      </c>
      <c r="F41" s="83">
        <v>15</v>
      </c>
      <c r="G41" s="81">
        <v>61</v>
      </c>
      <c r="H41" s="81">
        <v>999</v>
      </c>
      <c r="I41" s="81">
        <v>210017</v>
      </c>
      <c r="J41" t="s">
        <v>232</v>
      </c>
    </row>
  </sheetData>
  <conditionalFormatting sqref="A2:A15">
    <cfRule type="duplicateValues" dxfId="39" priority="113"/>
  </conditionalFormatting>
  <conditionalFormatting sqref="A29:A41">
    <cfRule type="duplicateValues" dxfId="38" priority="121"/>
  </conditionalFormatting>
  <conditionalFormatting sqref="K35:K36">
    <cfRule type="duplicateValues" dxfId="37" priority="1"/>
  </conditionalFormatting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3"/>
  <sheetViews>
    <sheetView workbookViewId="0">
      <selection activeCell="D3" sqref="D3"/>
    </sheetView>
  </sheetViews>
  <sheetFormatPr defaultColWidth="9" defaultRowHeight="15"/>
  <sheetData>
    <row r="1" spans="1:6" ht="16.5">
      <c r="A1" s="74" t="s">
        <v>0</v>
      </c>
      <c r="B1" s="74" t="s">
        <v>1</v>
      </c>
      <c r="C1" s="74" t="s">
        <v>243</v>
      </c>
      <c r="D1" s="74" t="s">
        <v>244</v>
      </c>
      <c r="E1" s="74" t="s">
        <v>245</v>
      </c>
      <c r="F1" s="74" t="s">
        <v>31</v>
      </c>
    </row>
    <row r="2" spans="1:6" ht="55.5">
      <c r="A2" s="74">
        <v>1</v>
      </c>
      <c r="B2" s="73" t="s">
        <v>246</v>
      </c>
      <c r="C2" s="74" t="s">
        <v>1203</v>
      </c>
      <c r="D2" s="74" t="s">
        <v>1201</v>
      </c>
      <c r="E2" s="74">
        <v>30</v>
      </c>
      <c r="F2" s="74">
        <v>30001</v>
      </c>
    </row>
    <row r="3" spans="1:6" ht="42">
      <c r="A3" s="74">
        <v>2</v>
      </c>
      <c r="B3" s="73" t="s">
        <v>247</v>
      </c>
      <c r="C3" s="74" t="s">
        <v>1202</v>
      </c>
      <c r="D3" s="4">
        <v>400000</v>
      </c>
      <c r="E3" s="74">
        <v>30</v>
      </c>
      <c r="F3" s="74">
        <v>30002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E21"/>
  <sheetViews>
    <sheetView workbookViewId="0">
      <selection activeCell="G31" sqref="G31"/>
    </sheetView>
  </sheetViews>
  <sheetFormatPr defaultColWidth="9" defaultRowHeight="15"/>
  <cols>
    <col min="3" max="4" width="14.42578125" customWidth="1"/>
  </cols>
  <sheetData>
    <row r="1" spans="1:5" ht="16.5">
      <c r="A1" s="4" t="s">
        <v>0</v>
      </c>
      <c r="B1" s="4" t="s">
        <v>249</v>
      </c>
      <c r="C1" s="4" t="s">
        <v>250</v>
      </c>
      <c r="D1" s="4" t="s">
        <v>251</v>
      </c>
      <c r="E1" s="4" t="s">
        <v>30</v>
      </c>
    </row>
    <row r="2" spans="1:5" ht="16.5">
      <c r="A2" s="4">
        <v>1</v>
      </c>
      <c r="B2" s="4">
        <v>10</v>
      </c>
      <c r="C2" s="74" t="s">
        <v>252</v>
      </c>
      <c r="D2" s="74" t="s">
        <v>253</v>
      </c>
      <c r="E2">
        <v>1</v>
      </c>
    </row>
    <row r="3" spans="1:5" ht="16.5">
      <c r="A3" s="4">
        <v>2</v>
      </c>
      <c r="B3" s="4">
        <v>20</v>
      </c>
      <c r="C3" s="74" t="s">
        <v>252</v>
      </c>
      <c r="D3" s="74" t="s">
        <v>253</v>
      </c>
      <c r="E3">
        <v>2</v>
      </c>
    </row>
    <row r="4" spans="1:5" ht="16.5">
      <c r="A4" s="4">
        <v>3</v>
      </c>
      <c r="B4" s="4">
        <v>30</v>
      </c>
      <c r="C4" s="74" t="s">
        <v>252</v>
      </c>
      <c r="D4" s="74" t="s">
        <v>253</v>
      </c>
      <c r="E4">
        <v>3</v>
      </c>
    </row>
    <row r="5" spans="1:5" ht="16.5">
      <c r="A5" s="4">
        <v>4</v>
      </c>
      <c r="B5" s="4">
        <v>40</v>
      </c>
      <c r="C5" s="74" t="s">
        <v>252</v>
      </c>
      <c r="D5" s="74" t="s">
        <v>253</v>
      </c>
      <c r="E5">
        <v>4</v>
      </c>
    </row>
    <row r="6" spans="1:5" ht="16.5">
      <c r="A6" s="4">
        <v>5</v>
      </c>
      <c r="B6" s="4">
        <v>50</v>
      </c>
      <c r="C6" s="74" t="s">
        <v>252</v>
      </c>
      <c r="D6" s="74" t="s">
        <v>253</v>
      </c>
      <c r="E6">
        <v>5</v>
      </c>
    </row>
    <row r="7" spans="1:5" ht="16.5">
      <c r="A7" s="4">
        <v>6</v>
      </c>
      <c r="B7" s="4">
        <v>60</v>
      </c>
      <c r="C7" s="74" t="s">
        <v>254</v>
      </c>
      <c r="D7" s="74" t="s">
        <v>253</v>
      </c>
      <c r="E7">
        <v>6</v>
      </c>
    </row>
    <row r="8" spans="1:5" ht="16.5">
      <c r="A8" s="4">
        <v>7</v>
      </c>
      <c r="B8" s="4">
        <v>70</v>
      </c>
      <c r="C8" s="74" t="s">
        <v>254</v>
      </c>
      <c r="D8" s="74" t="s">
        <v>253</v>
      </c>
      <c r="E8">
        <v>7</v>
      </c>
    </row>
    <row r="9" spans="1:5" ht="16.5">
      <c r="A9" s="4">
        <v>8</v>
      </c>
      <c r="B9" s="4">
        <v>80</v>
      </c>
      <c r="C9" s="74" t="s">
        <v>254</v>
      </c>
      <c r="D9" s="74" t="s">
        <v>253</v>
      </c>
      <c r="E9">
        <v>8</v>
      </c>
    </row>
    <row r="10" spans="1:5" ht="16.5">
      <c r="A10" s="4">
        <v>9</v>
      </c>
      <c r="B10" s="4">
        <v>90</v>
      </c>
      <c r="C10" s="74" t="s">
        <v>254</v>
      </c>
      <c r="D10" s="74" t="s">
        <v>253</v>
      </c>
      <c r="E10">
        <v>9</v>
      </c>
    </row>
    <row r="11" spans="1:5" ht="16.5">
      <c r="A11" s="4">
        <v>10</v>
      </c>
      <c r="B11" s="4">
        <v>100</v>
      </c>
      <c r="C11" s="74" t="s">
        <v>254</v>
      </c>
      <c r="D11" s="74" t="s">
        <v>253</v>
      </c>
      <c r="E11">
        <v>10</v>
      </c>
    </row>
    <row r="12" spans="1:5" ht="16.5">
      <c r="A12" s="4">
        <v>11</v>
      </c>
      <c r="B12" s="4">
        <v>110</v>
      </c>
      <c r="C12" s="74" t="s">
        <v>255</v>
      </c>
      <c r="D12" s="74" t="s">
        <v>253</v>
      </c>
      <c r="E12">
        <v>12</v>
      </c>
    </row>
    <row r="13" spans="1:5" ht="16.5">
      <c r="A13" s="4">
        <v>12</v>
      </c>
      <c r="B13" s="4">
        <v>120</v>
      </c>
      <c r="C13" s="74" t="s">
        <v>255</v>
      </c>
      <c r="D13" s="74" t="s">
        <v>253</v>
      </c>
      <c r="E13">
        <v>14</v>
      </c>
    </row>
    <row r="14" spans="1:5" ht="16.5">
      <c r="A14" s="4">
        <v>13</v>
      </c>
      <c r="B14" s="4">
        <v>130</v>
      </c>
      <c r="C14" s="74" t="s">
        <v>255</v>
      </c>
      <c r="D14" s="74" t="s">
        <v>253</v>
      </c>
      <c r="E14">
        <v>16</v>
      </c>
    </row>
    <row r="15" spans="1:5" ht="16.5">
      <c r="A15" s="4">
        <v>14</v>
      </c>
      <c r="B15" s="4">
        <v>140</v>
      </c>
      <c r="C15" s="74" t="s">
        <v>255</v>
      </c>
      <c r="D15" s="74" t="s">
        <v>253</v>
      </c>
      <c r="E15">
        <v>18</v>
      </c>
    </row>
    <row r="16" spans="1:5" ht="16.5">
      <c r="A16" s="4">
        <v>15</v>
      </c>
      <c r="B16" s="4">
        <v>150</v>
      </c>
      <c r="C16" s="74" t="s">
        <v>255</v>
      </c>
      <c r="D16" s="74" t="s">
        <v>253</v>
      </c>
      <c r="E16">
        <v>20</v>
      </c>
    </row>
    <row r="17" spans="1:5" ht="16.5">
      <c r="A17" s="4">
        <v>16</v>
      </c>
      <c r="B17" s="4">
        <v>105</v>
      </c>
      <c r="C17" s="74" t="s">
        <v>256</v>
      </c>
      <c r="D17" s="74" t="s">
        <v>257</v>
      </c>
      <c r="E17">
        <v>11</v>
      </c>
    </row>
    <row r="18" spans="1:5" ht="16.5">
      <c r="A18" s="4">
        <v>17</v>
      </c>
      <c r="B18" s="4">
        <v>115</v>
      </c>
      <c r="C18" s="74" t="s">
        <v>256</v>
      </c>
      <c r="D18" s="74" t="s">
        <v>257</v>
      </c>
      <c r="E18">
        <v>13</v>
      </c>
    </row>
    <row r="19" spans="1:5" ht="16.5">
      <c r="A19" s="4">
        <v>18</v>
      </c>
      <c r="B19" s="4">
        <v>125</v>
      </c>
      <c r="C19" s="74" t="s">
        <v>256</v>
      </c>
      <c r="D19" s="74" t="s">
        <v>257</v>
      </c>
      <c r="E19">
        <v>15</v>
      </c>
    </row>
    <row r="20" spans="1:5" ht="16.5">
      <c r="A20" s="4">
        <v>19</v>
      </c>
      <c r="B20" s="4">
        <v>135</v>
      </c>
      <c r="C20" s="74" t="s">
        <v>256</v>
      </c>
      <c r="D20" s="74" t="s">
        <v>257</v>
      </c>
      <c r="E20">
        <v>17</v>
      </c>
    </row>
    <row r="21" spans="1:5" ht="16.5">
      <c r="A21" s="4">
        <v>20</v>
      </c>
      <c r="B21" s="4">
        <v>145</v>
      </c>
      <c r="C21" s="74" t="s">
        <v>256</v>
      </c>
      <c r="D21" s="74" t="s">
        <v>257</v>
      </c>
      <c r="E21">
        <v>19</v>
      </c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F16"/>
  <sheetViews>
    <sheetView workbookViewId="0">
      <selection activeCell="F3" sqref="F3:F16"/>
    </sheetView>
  </sheetViews>
  <sheetFormatPr defaultColWidth="9" defaultRowHeight="15"/>
  <cols>
    <col min="1" max="1" width="4" customWidth="1"/>
    <col min="2" max="2" width="13.28515625" customWidth="1"/>
    <col min="3" max="4" width="14.42578125" customWidth="1"/>
    <col min="5" max="6" width="17.28515625" customWidth="1"/>
  </cols>
  <sheetData>
    <row r="1" spans="1:6" ht="16.5">
      <c r="A1" s="4" t="s">
        <v>0</v>
      </c>
      <c r="B1" s="4" t="s">
        <v>258</v>
      </c>
      <c r="C1" s="4" t="s">
        <v>250</v>
      </c>
      <c r="D1" s="4" t="s">
        <v>251</v>
      </c>
      <c r="E1" s="56" t="s">
        <v>259</v>
      </c>
      <c r="F1" s="56" t="s">
        <v>260</v>
      </c>
    </row>
    <row r="2" spans="1:6" ht="16.5">
      <c r="A2" s="4">
        <v>1</v>
      </c>
      <c r="B2" s="4">
        <v>10</v>
      </c>
      <c r="C2" s="74" t="s">
        <v>261</v>
      </c>
      <c r="D2" s="74" t="s">
        <v>262</v>
      </c>
      <c r="E2" t="s">
        <v>87</v>
      </c>
      <c r="F2">
        <v>1000</v>
      </c>
    </row>
    <row r="3" spans="1:6" ht="16.5">
      <c r="A3" s="4">
        <v>2</v>
      </c>
      <c r="B3" s="4">
        <v>20</v>
      </c>
      <c r="C3" s="74" t="s">
        <v>261</v>
      </c>
      <c r="D3" s="74" t="s">
        <v>263</v>
      </c>
      <c r="E3" t="s">
        <v>131</v>
      </c>
      <c r="F3">
        <v>50</v>
      </c>
    </row>
    <row r="4" spans="1:6" ht="16.5">
      <c r="A4" s="4">
        <v>3</v>
      </c>
      <c r="B4" s="4">
        <v>30</v>
      </c>
      <c r="C4" s="74" t="s">
        <v>261</v>
      </c>
      <c r="D4" s="74" t="s">
        <v>264</v>
      </c>
      <c r="E4" t="s">
        <v>150</v>
      </c>
      <c r="F4">
        <v>5000000</v>
      </c>
    </row>
    <row r="5" spans="1:6" ht="16.5">
      <c r="A5" s="4">
        <v>4</v>
      </c>
      <c r="B5" s="4">
        <v>40</v>
      </c>
      <c r="C5" s="74" t="s">
        <v>261</v>
      </c>
      <c r="D5" s="74" t="s">
        <v>265</v>
      </c>
      <c r="E5" t="s">
        <v>87</v>
      </c>
      <c r="F5">
        <v>500</v>
      </c>
    </row>
    <row r="6" spans="1:6" ht="16.5">
      <c r="A6" s="4">
        <v>5</v>
      </c>
      <c r="B6" s="4">
        <v>50</v>
      </c>
      <c r="C6" s="74" t="s">
        <v>261</v>
      </c>
      <c r="D6" s="74" t="s">
        <v>266</v>
      </c>
      <c r="E6" t="s">
        <v>104</v>
      </c>
      <c r="F6">
        <v>5000000</v>
      </c>
    </row>
    <row r="7" spans="1:6" ht="16.5">
      <c r="A7" s="4">
        <v>6</v>
      </c>
      <c r="B7" s="4">
        <v>60</v>
      </c>
      <c r="C7" s="74" t="s">
        <v>261</v>
      </c>
      <c r="D7" s="74" t="s">
        <v>267</v>
      </c>
      <c r="E7" t="s">
        <v>85</v>
      </c>
      <c r="F7">
        <v>12</v>
      </c>
    </row>
    <row r="8" spans="1:6" ht="16.5">
      <c r="A8" s="4">
        <v>7</v>
      </c>
      <c r="B8" s="4">
        <v>70</v>
      </c>
      <c r="C8" s="74" t="s">
        <v>261</v>
      </c>
      <c r="D8" s="74" t="s">
        <v>265</v>
      </c>
      <c r="E8" t="s">
        <v>87</v>
      </c>
      <c r="F8">
        <v>500</v>
      </c>
    </row>
    <row r="9" spans="1:6" ht="16.5">
      <c r="A9" s="4">
        <v>8</v>
      </c>
      <c r="B9" s="4">
        <v>80</v>
      </c>
      <c r="C9" s="74" t="s">
        <v>261</v>
      </c>
      <c r="D9" s="74" t="s">
        <v>268</v>
      </c>
      <c r="E9" t="s">
        <v>269</v>
      </c>
      <c r="F9">
        <v>30</v>
      </c>
    </row>
    <row r="10" spans="1:6" ht="16.5">
      <c r="A10" s="4">
        <v>9</v>
      </c>
      <c r="B10" s="4">
        <v>90</v>
      </c>
      <c r="C10" s="74" t="s">
        <v>261</v>
      </c>
      <c r="D10" s="74" t="s">
        <v>270</v>
      </c>
      <c r="E10" t="s">
        <v>271</v>
      </c>
      <c r="F10">
        <v>1</v>
      </c>
    </row>
    <row r="11" spans="1:6" ht="16.5">
      <c r="A11" s="4">
        <v>10</v>
      </c>
      <c r="B11" s="4">
        <v>100</v>
      </c>
      <c r="C11" s="74" t="s">
        <v>261</v>
      </c>
      <c r="D11" s="74" t="s">
        <v>272</v>
      </c>
      <c r="E11" t="s">
        <v>273</v>
      </c>
      <c r="F11">
        <v>1</v>
      </c>
    </row>
    <row r="12" spans="1:6" ht="16.5">
      <c r="A12" s="4">
        <v>11</v>
      </c>
      <c r="B12" s="4">
        <v>110</v>
      </c>
      <c r="C12" s="74" t="s">
        <v>261</v>
      </c>
      <c r="D12" s="74" t="s">
        <v>265</v>
      </c>
      <c r="E12" t="s">
        <v>87</v>
      </c>
      <c r="F12">
        <v>500</v>
      </c>
    </row>
    <row r="13" spans="1:6" ht="16.5">
      <c r="A13" s="4">
        <v>12</v>
      </c>
      <c r="B13" s="4">
        <v>120</v>
      </c>
      <c r="C13" s="74" t="s">
        <v>261</v>
      </c>
      <c r="D13" s="74" t="s">
        <v>274</v>
      </c>
      <c r="E13" t="s">
        <v>275</v>
      </c>
      <c r="F13">
        <v>1</v>
      </c>
    </row>
    <row r="14" spans="1:6" ht="16.5">
      <c r="A14" s="4">
        <v>13</v>
      </c>
      <c r="B14" s="4">
        <v>130</v>
      </c>
      <c r="C14" s="74" t="s">
        <v>261</v>
      </c>
      <c r="D14" s="74" t="s">
        <v>270</v>
      </c>
      <c r="E14" t="s">
        <v>276</v>
      </c>
      <c r="F14">
        <v>1</v>
      </c>
    </row>
    <row r="15" spans="1:6" ht="16.5">
      <c r="A15" s="4">
        <v>14</v>
      </c>
      <c r="B15" s="4">
        <v>140</v>
      </c>
      <c r="C15" s="74" t="s">
        <v>261</v>
      </c>
      <c r="D15" s="74" t="s">
        <v>265</v>
      </c>
      <c r="E15" t="s">
        <v>87</v>
      </c>
      <c r="F15">
        <v>500</v>
      </c>
    </row>
    <row r="16" spans="1:6" ht="16.5">
      <c r="A16" s="4">
        <v>15</v>
      </c>
      <c r="B16" s="4">
        <v>150</v>
      </c>
      <c r="C16" s="74" t="s">
        <v>261</v>
      </c>
      <c r="D16" s="74" t="s">
        <v>263</v>
      </c>
      <c r="E16" t="s">
        <v>131</v>
      </c>
      <c r="F16">
        <v>50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G76"/>
  <sheetViews>
    <sheetView topLeftCell="A41" workbookViewId="0">
      <selection activeCell="A76" sqref="A76"/>
    </sheetView>
  </sheetViews>
  <sheetFormatPr defaultColWidth="9" defaultRowHeight="15"/>
  <cols>
    <col min="1" max="1" width="7.42578125" customWidth="1"/>
    <col min="2" max="3" width="13.28515625" customWidth="1"/>
    <col min="4" max="5" width="14.42578125" customWidth="1"/>
    <col min="6" max="7" width="17.28515625" customWidth="1"/>
  </cols>
  <sheetData>
    <row r="1" spans="1:7" ht="16.5">
      <c r="A1" s="4" t="s">
        <v>0</v>
      </c>
      <c r="B1" s="4" t="s">
        <v>277</v>
      </c>
      <c r="C1" s="4" t="s">
        <v>278</v>
      </c>
      <c r="D1" s="4" t="s">
        <v>250</v>
      </c>
      <c r="E1" s="4" t="s">
        <v>251</v>
      </c>
      <c r="F1" s="56" t="s">
        <v>259</v>
      </c>
      <c r="G1" s="56" t="s">
        <v>260</v>
      </c>
    </row>
    <row r="2" spans="1:7" ht="16.5">
      <c r="A2" s="4">
        <v>10001</v>
      </c>
      <c r="B2" s="4">
        <v>10</v>
      </c>
      <c r="C2" s="4">
        <v>1</v>
      </c>
      <c r="D2" s="74" t="s">
        <v>279</v>
      </c>
      <c r="E2" s="74" t="s">
        <v>265</v>
      </c>
      <c r="F2" t="s">
        <v>87</v>
      </c>
      <c r="G2">
        <v>500</v>
      </c>
    </row>
    <row r="3" spans="1:7" ht="16.5">
      <c r="A3" s="4">
        <v>10002</v>
      </c>
      <c r="B3" s="4">
        <v>20</v>
      </c>
      <c r="C3" s="4">
        <v>1</v>
      </c>
      <c r="D3" s="74" t="s">
        <v>279</v>
      </c>
      <c r="E3" s="74" t="s">
        <v>280</v>
      </c>
      <c r="F3" t="s">
        <v>131</v>
      </c>
      <c r="G3">
        <v>20</v>
      </c>
    </row>
    <row r="4" spans="1:7" ht="16.5">
      <c r="A4" s="4">
        <v>10003</v>
      </c>
      <c r="B4" s="4">
        <v>30</v>
      </c>
      <c r="C4" s="4">
        <v>1</v>
      </c>
      <c r="D4" s="74" t="s">
        <v>279</v>
      </c>
      <c r="E4" s="74" t="s">
        <v>281</v>
      </c>
      <c r="F4" t="s">
        <v>150</v>
      </c>
      <c r="G4">
        <v>2000000</v>
      </c>
    </row>
    <row r="5" spans="1:7" ht="16.5">
      <c r="A5" s="4">
        <v>10004</v>
      </c>
      <c r="B5" s="4">
        <v>40</v>
      </c>
      <c r="C5" s="4">
        <v>1</v>
      </c>
      <c r="D5" s="74" t="s">
        <v>279</v>
      </c>
      <c r="E5" s="74" t="s">
        <v>282</v>
      </c>
      <c r="F5" t="s">
        <v>87</v>
      </c>
      <c r="G5">
        <v>200</v>
      </c>
    </row>
    <row r="6" spans="1:7" ht="16.5">
      <c r="A6" s="4">
        <v>10005</v>
      </c>
      <c r="B6" s="4">
        <v>50</v>
      </c>
      <c r="C6" s="4">
        <v>1</v>
      </c>
      <c r="D6" s="74" t="s">
        <v>279</v>
      </c>
      <c r="E6" s="74" t="s">
        <v>283</v>
      </c>
      <c r="F6" t="s">
        <v>104</v>
      </c>
      <c r="G6">
        <v>2000000</v>
      </c>
    </row>
    <row r="7" spans="1:7" ht="16.5">
      <c r="A7" s="4">
        <v>10006</v>
      </c>
      <c r="B7" s="4">
        <v>60</v>
      </c>
      <c r="C7" s="4">
        <v>1</v>
      </c>
      <c r="D7" s="74" t="s">
        <v>279</v>
      </c>
      <c r="E7" s="74" t="s">
        <v>284</v>
      </c>
      <c r="F7" t="s">
        <v>85</v>
      </c>
      <c r="G7">
        <v>6</v>
      </c>
    </row>
    <row r="8" spans="1:7" ht="16.5">
      <c r="A8" s="4">
        <v>10007</v>
      </c>
      <c r="B8" s="4">
        <v>70</v>
      </c>
      <c r="C8" s="4">
        <v>1</v>
      </c>
      <c r="D8" s="74" t="s">
        <v>279</v>
      </c>
      <c r="E8" s="74" t="s">
        <v>282</v>
      </c>
      <c r="F8" t="s">
        <v>87</v>
      </c>
      <c r="G8">
        <v>200</v>
      </c>
    </row>
    <row r="9" spans="1:7" ht="16.5">
      <c r="A9" s="4">
        <v>10008</v>
      </c>
      <c r="B9" s="4">
        <v>80</v>
      </c>
      <c r="C9" s="4">
        <v>1</v>
      </c>
      <c r="D9" s="74" t="s">
        <v>279</v>
      </c>
      <c r="E9" s="74" t="s">
        <v>285</v>
      </c>
      <c r="F9" t="s">
        <v>269</v>
      </c>
      <c r="G9">
        <v>10</v>
      </c>
    </row>
    <row r="10" spans="1:7" ht="16.5">
      <c r="A10" s="4">
        <v>10009</v>
      </c>
      <c r="B10" s="4">
        <v>90</v>
      </c>
      <c r="C10" s="4">
        <v>1</v>
      </c>
      <c r="D10" s="74" t="s">
        <v>279</v>
      </c>
      <c r="E10" s="74" t="s">
        <v>286</v>
      </c>
      <c r="F10" t="s">
        <v>287</v>
      </c>
      <c r="G10">
        <v>1</v>
      </c>
    </row>
    <row r="11" spans="1:7" ht="16.5">
      <c r="A11" s="4">
        <v>10010</v>
      </c>
      <c r="B11" s="4">
        <v>100</v>
      </c>
      <c r="C11" s="4">
        <v>1</v>
      </c>
      <c r="D11" s="74" t="s">
        <v>279</v>
      </c>
      <c r="E11" s="74" t="s">
        <v>288</v>
      </c>
      <c r="F11" t="s">
        <v>289</v>
      </c>
      <c r="G11">
        <v>1</v>
      </c>
    </row>
    <row r="12" spans="1:7" ht="16.5">
      <c r="A12" s="4">
        <v>10011</v>
      </c>
      <c r="B12" s="4">
        <v>110</v>
      </c>
      <c r="C12" s="4">
        <v>1</v>
      </c>
      <c r="D12" s="74" t="s">
        <v>279</v>
      </c>
      <c r="E12" s="74" t="s">
        <v>282</v>
      </c>
      <c r="F12" t="s">
        <v>87</v>
      </c>
      <c r="G12">
        <v>200</v>
      </c>
    </row>
    <row r="13" spans="1:7" ht="16.5">
      <c r="A13" s="4">
        <v>10012</v>
      </c>
      <c r="B13" s="4">
        <v>120</v>
      </c>
      <c r="C13" s="4">
        <v>1</v>
      </c>
      <c r="D13" s="74" t="s">
        <v>279</v>
      </c>
      <c r="E13" s="74" t="s">
        <v>290</v>
      </c>
      <c r="F13" t="s">
        <v>291</v>
      </c>
      <c r="G13">
        <v>1</v>
      </c>
    </row>
    <row r="14" spans="1:7" ht="16.5">
      <c r="A14" s="4">
        <v>10013</v>
      </c>
      <c r="B14" s="4">
        <v>130</v>
      </c>
      <c r="C14" s="4">
        <v>1</v>
      </c>
      <c r="D14" s="74" t="s">
        <v>279</v>
      </c>
      <c r="E14" s="74" t="s">
        <v>286</v>
      </c>
      <c r="F14" t="s">
        <v>292</v>
      </c>
      <c r="G14">
        <v>1</v>
      </c>
    </row>
    <row r="15" spans="1:7" ht="16.5">
      <c r="A15" s="4">
        <v>10014</v>
      </c>
      <c r="B15" s="4">
        <v>140</v>
      </c>
      <c r="C15" s="4">
        <v>1</v>
      </c>
      <c r="D15" s="74" t="s">
        <v>279</v>
      </c>
      <c r="E15" s="74" t="s">
        <v>282</v>
      </c>
      <c r="F15" t="s">
        <v>87</v>
      </c>
      <c r="G15">
        <v>200</v>
      </c>
    </row>
    <row r="16" spans="1:7" ht="16.5">
      <c r="A16" s="4">
        <v>10015</v>
      </c>
      <c r="B16" s="4">
        <v>150</v>
      </c>
      <c r="C16" s="4">
        <v>1</v>
      </c>
      <c r="D16" s="74" t="s">
        <v>279</v>
      </c>
      <c r="E16" s="74" t="s">
        <v>280</v>
      </c>
      <c r="F16" t="s">
        <v>131</v>
      </c>
      <c r="G16">
        <v>20</v>
      </c>
    </row>
    <row r="17" spans="1:5" ht="16.5">
      <c r="A17" s="4">
        <v>10101</v>
      </c>
      <c r="B17" s="4">
        <v>10</v>
      </c>
      <c r="C17" s="4">
        <v>2</v>
      </c>
      <c r="D17" s="74" t="s">
        <v>279</v>
      </c>
      <c r="E17" s="74" t="s">
        <v>265</v>
      </c>
    </row>
    <row r="18" spans="1:5" ht="16.5">
      <c r="A18" s="4">
        <v>10102</v>
      </c>
      <c r="B18" s="4">
        <v>20</v>
      </c>
      <c r="C18" s="4">
        <v>2</v>
      </c>
      <c r="D18" s="74" t="s">
        <v>279</v>
      </c>
      <c r="E18" s="74" t="s">
        <v>280</v>
      </c>
    </row>
    <row r="19" spans="1:5" ht="16.5">
      <c r="A19" s="4">
        <v>10103</v>
      </c>
      <c r="B19" s="4">
        <v>30</v>
      </c>
      <c r="C19" s="4">
        <v>2</v>
      </c>
      <c r="D19" s="74" t="s">
        <v>279</v>
      </c>
      <c r="E19" s="74" t="s">
        <v>281</v>
      </c>
    </row>
    <row r="20" spans="1:5" ht="16.5">
      <c r="A20" s="4">
        <v>10104</v>
      </c>
      <c r="B20" s="4">
        <v>40</v>
      </c>
      <c r="C20" s="4">
        <v>2</v>
      </c>
      <c r="D20" s="74" t="s">
        <v>279</v>
      </c>
      <c r="E20" s="74" t="s">
        <v>282</v>
      </c>
    </row>
    <row r="21" spans="1:5" ht="16.5">
      <c r="A21" s="4">
        <v>10105</v>
      </c>
      <c r="B21" s="4">
        <v>50</v>
      </c>
      <c r="C21" s="4">
        <v>2</v>
      </c>
      <c r="D21" s="74" t="s">
        <v>279</v>
      </c>
      <c r="E21" s="74" t="s">
        <v>283</v>
      </c>
    </row>
    <row r="22" spans="1:5" ht="16.5">
      <c r="A22" s="4">
        <v>10106</v>
      </c>
      <c r="B22" s="4">
        <v>60</v>
      </c>
      <c r="C22" s="4">
        <v>2</v>
      </c>
      <c r="D22" s="74" t="s">
        <v>279</v>
      </c>
      <c r="E22" s="74" t="s">
        <v>284</v>
      </c>
    </row>
    <row r="23" spans="1:5" ht="16.5">
      <c r="A23" s="4">
        <v>10107</v>
      </c>
      <c r="B23" s="4">
        <v>70</v>
      </c>
      <c r="C23" s="4">
        <v>2</v>
      </c>
      <c r="D23" s="74" t="s">
        <v>279</v>
      </c>
      <c r="E23" s="74" t="s">
        <v>282</v>
      </c>
    </row>
    <row r="24" spans="1:5" ht="16.5">
      <c r="A24" s="4">
        <v>10108</v>
      </c>
      <c r="B24" s="4">
        <v>80</v>
      </c>
      <c r="C24" s="4">
        <v>2</v>
      </c>
      <c r="D24" s="74" t="s">
        <v>279</v>
      </c>
      <c r="E24" s="74" t="s">
        <v>285</v>
      </c>
    </row>
    <row r="25" spans="1:5" ht="16.5">
      <c r="A25" s="4">
        <v>10109</v>
      </c>
      <c r="B25" s="4">
        <v>90</v>
      </c>
      <c r="C25" s="4">
        <v>2</v>
      </c>
      <c r="D25" s="74" t="s">
        <v>279</v>
      </c>
      <c r="E25" s="74" t="s">
        <v>286</v>
      </c>
    </row>
    <row r="26" spans="1:5" ht="16.5">
      <c r="A26" s="4">
        <v>10110</v>
      </c>
      <c r="B26" s="4">
        <v>100</v>
      </c>
      <c r="C26" s="4">
        <v>2</v>
      </c>
      <c r="D26" s="74" t="s">
        <v>279</v>
      </c>
      <c r="E26" s="74" t="s">
        <v>288</v>
      </c>
    </row>
    <row r="27" spans="1:5" ht="16.5">
      <c r="A27" s="4">
        <v>10111</v>
      </c>
      <c r="B27" s="4">
        <v>110</v>
      </c>
      <c r="C27" s="4">
        <v>2</v>
      </c>
      <c r="D27" s="74" t="s">
        <v>279</v>
      </c>
      <c r="E27" s="74" t="s">
        <v>282</v>
      </c>
    </row>
    <row r="28" spans="1:5" ht="16.5">
      <c r="A28" s="4">
        <v>10112</v>
      </c>
      <c r="B28" s="4">
        <v>120</v>
      </c>
      <c r="C28" s="4">
        <v>2</v>
      </c>
      <c r="D28" s="74" t="s">
        <v>279</v>
      </c>
      <c r="E28" s="74" t="s">
        <v>290</v>
      </c>
    </row>
    <row r="29" spans="1:5" ht="16.5">
      <c r="A29" s="4">
        <v>10113</v>
      </c>
      <c r="B29" s="4">
        <v>130</v>
      </c>
      <c r="C29" s="4">
        <v>2</v>
      </c>
      <c r="D29" s="74" t="s">
        <v>279</v>
      </c>
      <c r="E29" s="74" t="s">
        <v>286</v>
      </c>
    </row>
    <row r="30" spans="1:5" ht="16.5">
      <c r="A30" s="4">
        <v>10114</v>
      </c>
      <c r="B30" s="4">
        <v>140</v>
      </c>
      <c r="C30" s="4">
        <v>2</v>
      </c>
      <c r="D30" s="74" t="s">
        <v>279</v>
      </c>
      <c r="E30" s="74" t="s">
        <v>282</v>
      </c>
    </row>
    <row r="31" spans="1:5" ht="16.5">
      <c r="A31" s="4">
        <v>10115</v>
      </c>
      <c r="B31" s="4">
        <v>150</v>
      </c>
      <c r="C31" s="4">
        <v>2</v>
      </c>
      <c r="D31" s="74" t="s">
        <v>279</v>
      </c>
      <c r="E31" s="74" t="s">
        <v>280</v>
      </c>
    </row>
    <row r="32" spans="1:5" ht="16.5">
      <c r="A32" s="4">
        <v>10201</v>
      </c>
      <c r="B32" s="4">
        <v>10</v>
      </c>
      <c r="C32" s="4">
        <v>3</v>
      </c>
      <c r="D32" s="74" t="s">
        <v>279</v>
      </c>
      <c r="E32" s="74" t="s">
        <v>265</v>
      </c>
    </row>
    <row r="33" spans="1:5" ht="16.5">
      <c r="A33" s="4">
        <v>10202</v>
      </c>
      <c r="B33" s="4">
        <v>20</v>
      </c>
      <c r="C33" s="4">
        <v>3</v>
      </c>
      <c r="D33" s="74" t="s">
        <v>279</v>
      </c>
      <c r="E33" s="74" t="s">
        <v>280</v>
      </c>
    </row>
    <row r="34" spans="1:5" ht="16.5">
      <c r="A34" s="4">
        <v>10203</v>
      </c>
      <c r="B34" s="4">
        <v>30</v>
      </c>
      <c r="C34" s="4">
        <v>3</v>
      </c>
      <c r="D34" s="74" t="s">
        <v>279</v>
      </c>
      <c r="E34" s="74" t="s">
        <v>281</v>
      </c>
    </row>
    <row r="35" spans="1:5" ht="16.5">
      <c r="A35" s="4">
        <v>10204</v>
      </c>
      <c r="B35" s="4">
        <v>40</v>
      </c>
      <c r="C35" s="4">
        <v>3</v>
      </c>
      <c r="D35" s="74" t="s">
        <v>279</v>
      </c>
      <c r="E35" s="74" t="s">
        <v>282</v>
      </c>
    </row>
    <row r="36" spans="1:5" ht="16.5">
      <c r="A36" s="4">
        <v>10205</v>
      </c>
      <c r="B36" s="4">
        <v>50</v>
      </c>
      <c r="C36" s="4">
        <v>3</v>
      </c>
      <c r="D36" s="74" t="s">
        <v>279</v>
      </c>
      <c r="E36" s="74" t="s">
        <v>283</v>
      </c>
    </row>
    <row r="37" spans="1:5" ht="16.5">
      <c r="A37" s="4">
        <v>10206</v>
      </c>
      <c r="B37" s="4">
        <v>60</v>
      </c>
      <c r="C37" s="4">
        <v>3</v>
      </c>
      <c r="D37" s="74" t="s">
        <v>279</v>
      </c>
      <c r="E37" s="74" t="s">
        <v>284</v>
      </c>
    </row>
    <row r="38" spans="1:5" ht="16.5">
      <c r="A38" s="4">
        <v>10207</v>
      </c>
      <c r="B38" s="4">
        <v>70</v>
      </c>
      <c r="C38" s="4">
        <v>3</v>
      </c>
      <c r="D38" s="74" t="s">
        <v>279</v>
      </c>
      <c r="E38" s="74" t="s">
        <v>282</v>
      </c>
    </row>
    <row r="39" spans="1:5" ht="16.5">
      <c r="A39" s="4">
        <v>10208</v>
      </c>
      <c r="B39" s="4">
        <v>80</v>
      </c>
      <c r="C39" s="4">
        <v>3</v>
      </c>
      <c r="D39" s="74" t="s">
        <v>279</v>
      </c>
      <c r="E39" s="74" t="s">
        <v>285</v>
      </c>
    </row>
    <row r="40" spans="1:5" ht="16.5">
      <c r="A40" s="4">
        <v>10209</v>
      </c>
      <c r="B40" s="4">
        <v>90</v>
      </c>
      <c r="C40" s="4">
        <v>3</v>
      </c>
      <c r="D40" s="74" t="s">
        <v>279</v>
      </c>
      <c r="E40" s="74" t="s">
        <v>286</v>
      </c>
    </row>
    <row r="41" spans="1:5" ht="16.5">
      <c r="A41" s="4">
        <v>10210</v>
      </c>
      <c r="B41" s="4">
        <v>100</v>
      </c>
      <c r="C41" s="4">
        <v>3</v>
      </c>
      <c r="D41" s="74" t="s">
        <v>279</v>
      </c>
      <c r="E41" s="74" t="s">
        <v>288</v>
      </c>
    </row>
    <row r="42" spans="1:5" ht="16.5">
      <c r="A42" s="4">
        <v>10211</v>
      </c>
      <c r="B42" s="4">
        <v>110</v>
      </c>
      <c r="C42" s="4">
        <v>3</v>
      </c>
      <c r="D42" s="74" t="s">
        <v>279</v>
      </c>
      <c r="E42" s="74" t="s">
        <v>282</v>
      </c>
    </row>
    <row r="43" spans="1:5" ht="16.5">
      <c r="A43" s="4">
        <v>10212</v>
      </c>
      <c r="B43" s="4">
        <v>120</v>
      </c>
      <c r="C43" s="4">
        <v>3</v>
      </c>
      <c r="D43" s="74" t="s">
        <v>279</v>
      </c>
      <c r="E43" s="74" t="s">
        <v>290</v>
      </c>
    </row>
    <row r="44" spans="1:5" ht="16.5">
      <c r="A44" s="4">
        <v>10213</v>
      </c>
      <c r="B44" s="4">
        <v>130</v>
      </c>
      <c r="C44" s="4">
        <v>3</v>
      </c>
      <c r="D44" s="74" t="s">
        <v>279</v>
      </c>
      <c r="E44" s="74" t="s">
        <v>286</v>
      </c>
    </row>
    <row r="45" spans="1:5" ht="16.5">
      <c r="A45" s="4">
        <v>10214</v>
      </c>
      <c r="B45" s="4">
        <v>140</v>
      </c>
      <c r="C45" s="4">
        <v>3</v>
      </c>
      <c r="D45" s="74" t="s">
        <v>279</v>
      </c>
      <c r="E45" s="74" t="s">
        <v>282</v>
      </c>
    </row>
    <row r="46" spans="1:5" ht="16.5">
      <c r="A46" s="4">
        <v>10215</v>
      </c>
      <c r="B46" s="4">
        <v>150</v>
      </c>
      <c r="C46" s="4">
        <v>3</v>
      </c>
      <c r="D46" s="74" t="s">
        <v>279</v>
      </c>
      <c r="E46" s="74" t="s">
        <v>280</v>
      </c>
    </row>
    <row r="47" spans="1:5" ht="16.5">
      <c r="A47" s="4">
        <v>10301</v>
      </c>
      <c r="B47" s="4">
        <v>10</v>
      </c>
      <c r="C47" s="4">
        <v>4</v>
      </c>
      <c r="D47" s="74" t="s">
        <v>279</v>
      </c>
      <c r="E47" s="74" t="s">
        <v>265</v>
      </c>
    </row>
    <row r="48" spans="1:5" ht="16.5">
      <c r="A48" s="4">
        <v>10302</v>
      </c>
      <c r="B48" s="4">
        <v>20</v>
      </c>
      <c r="C48" s="4">
        <v>4</v>
      </c>
      <c r="D48" s="74" t="s">
        <v>279</v>
      </c>
      <c r="E48" s="74" t="s">
        <v>280</v>
      </c>
    </row>
    <row r="49" spans="1:5" ht="16.5">
      <c r="A49" s="4">
        <v>10303</v>
      </c>
      <c r="B49" s="4">
        <v>30</v>
      </c>
      <c r="C49" s="4">
        <v>4</v>
      </c>
      <c r="D49" s="74" t="s">
        <v>279</v>
      </c>
      <c r="E49" s="74" t="s">
        <v>281</v>
      </c>
    </row>
    <row r="50" spans="1:5" ht="16.5">
      <c r="A50" s="4">
        <v>10304</v>
      </c>
      <c r="B50" s="4">
        <v>40</v>
      </c>
      <c r="C50" s="4">
        <v>4</v>
      </c>
      <c r="D50" s="74" t="s">
        <v>279</v>
      </c>
      <c r="E50" s="74" t="s">
        <v>282</v>
      </c>
    </row>
    <row r="51" spans="1:5" ht="16.5">
      <c r="A51" s="4">
        <v>10305</v>
      </c>
      <c r="B51" s="4">
        <v>50</v>
      </c>
      <c r="C51" s="4">
        <v>4</v>
      </c>
      <c r="D51" s="74" t="s">
        <v>279</v>
      </c>
      <c r="E51" s="74" t="s">
        <v>283</v>
      </c>
    </row>
    <row r="52" spans="1:5" ht="16.5">
      <c r="A52" s="4">
        <v>10306</v>
      </c>
      <c r="B52" s="4">
        <v>60</v>
      </c>
      <c r="C52" s="4">
        <v>4</v>
      </c>
      <c r="D52" s="74" t="s">
        <v>279</v>
      </c>
      <c r="E52" s="74" t="s">
        <v>284</v>
      </c>
    </row>
    <row r="53" spans="1:5" ht="16.5">
      <c r="A53" s="4">
        <v>10307</v>
      </c>
      <c r="B53" s="4">
        <v>70</v>
      </c>
      <c r="C53" s="4">
        <v>4</v>
      </c>
      <c r="D53" s="74" t="s">
        <v>279</v>
      </c>
      <c r="E53" s="74" t="s">
        <v>282</v>
      </c>
    </row>
    <row r="54" spans="1:5" ht="16.5">
      <c r="A54" s="4">
        <v>10308</v>
      </c>
      <c r="B54" s="4">
        <v>80</v>
      </c>
      <c r="C54" s="4">
        <v>4</v>
      </c>
      <c r="D54" s="74" t="s">
        <v>279</v>
      </c>
      <c r="E54" s="74" t="s">
        <v>285</v>
      </c>
    </row>
    <row r="55" spans="1:5" ht="16.5">
      <c r="A55" s="4">
        <v>10309</v>
      </c>
      <c r="B55" s="4">
        <v>90</v>
      </c>
      <c r="C55" s="4">
        <v>4</v>
      </c>
      <c r="D55" s="74" t="s">
        <v>279</v>
      </c>
      <c r="E55" s="74" t="s">
        <v>286</v>
      </c>
    </row>
    <row r="56" spans="1:5" ht="16.5">
      <c r="A56" s="4">
        <v>10310</v>
      </c>
      <c r="B56" s="4">
        <v>100</v>
      </c>
      <c r="C56" s="4">
        <v>4</v>
      </c>
      <c r="D56" s="74" t="s">
        <v>279</v>
      </c>
      <c r="E56" s="74" t="s">
        <v>288</v>
      </c>
    </row>
    <row r="57" spans="1:5" ht="16.5">
      <c r="A57" s="4">
        <v>10311</v>
      </c>
      <c r="B57" s="4">
        <v>110</v>
      </c>
      <c r="C57" s="4">
        <v>4</v>
      </c>
      <c r="D57" s="74" t="s">
        <v>279</v>
      </c>
      <c r="E57" s="74" t="s">
        <v>282</v>
      </c>
    </row>
    <row r="58" spans="1:5" ht="16.5">
      <c r="A58" s="4">
        <v>10312</v>
      </c>
      <c r="B58" s="4">
        <v>120</v>
      </c>
      <c r="C58" s="4">
        <v>4</v>
      </c>
      <c r="D58" s="74" t="s">
        <v>279</v>
      </c>
      <c r="E58" s="74" t="s">
        <v>290</v>
      </c>
    </row>
    <row r="59" spans="1:5" ht="16.5">
      <c r="A59" s="4">
        <v>10313</v>
      </c>
      <c r="B59" s="4">
        <v>130</v>
      </c>
      <c r="C59" s="4">
        <v>4</v>
      </c>
      <c r="D59" s="74" t="s">
        <v>279</v>
      </c>
      <c r="E59" s="74" t="s">
        <v>286</v>
      </c>
    </row>
    <row r="60" spans="1:5" ht="16.5">
      <c r="A60" s="4">
        <v>10314</v>
      </c>
      <c r="B60" s="4">
        <v>140</v>
      </c>
      <c r="C60" s="4">
        <v>4</v>
      </c>
      <c r="D60" s="74" t="s">
        <v>279</v>
      </c>
      <c r="E60" s="74" t="s">
        <v>282</v>
      </c>
    </row>
    <row r="61" spans="1:5" ht="16.5">
      <c r="A61" s="4">
        <v>10315</v>
      </c>
      <c r="B61" s="4">
        <v>150</v>
      </c>
      <c r="C61" s="4">
        <v>4</v>
      </c>
      <c r="D61" s="74" t="s">
        <v>279</v>
      </c>
      <c r="E61" s="74" t="s">
        <v>280</v>
      </c>
    </row>
    <row r="62" spans="1:5" ht="16.5">
      <c r="A62" s="4">
        <v>10401</v>
      </c>
      <c r="B62" s="4">
        <v>10</v>
      </c>
      <c r="C62" s="4">
        <v>5</v>
      </c>
      <c r="D62" s="74" t="s">
        <v>279</v>
      </c>
      <c r="E62" s="74" t="s">
        <v>265</v>
      </c>
    </row>
    <row r="63" spans="1:5" ht="16.5">
      <c r="A63" s="4">
        <v>10402</v>
      </c>
      <c r="B63" s="4">
        <v>20</v>
      </c>
      <c r="C63" s="4">
        <v>5</v>
      </c>
      <c r="D63" s="74" t="s">
        <v>279</v>
      </c>
      <c r="E63" s="74" t="s">
        <v>280</v>
      </c>
    </row>
    <row r="64" spans="1:5" ht="16.5">
      <c r="A64" s="4">
        <v>10403</v>
      </c>
      <c r="B64" s="4">
        <v>30</v>
      </c>
      <c r="C64" s="4">
        <v>5</v>
      </c>
      <c r="D64" s="74" t="s">
        <v>279</v>
      </c>
      <c r="E64" s="74" t="s">
        <v>281</v>
      </c>
    </row>
    <row r="65" spans="1:5" ht="16.5">
      <c r="A65" s="4">
        <v>10404</v>
      </c>
      <c r="B65" s="4">
        <v>40</v>
      </c>
      <c r="C65" s="4">
        <v>5</v>
      </c>
      <c r="D65" s="74" t="s">
        <v>279</v>
      </c>
      <c r="E65" s="74" t="s">
        <v>282</v>
      </c>
    </row>
    <row r="66" spans="1:5" ht="16.5">
      <c r="A66" s="4">
        <v>10405</v>
      </c>
      <c r="B66" s="4">
        <v>50</v>
      </c>
      <c r="C66" s="4">
        <v>5</v>
      </c>
      <c r="D66" s="74" t="s">
        <v>279</v>
      </c>
      <c r="E66" s="74" t="s">
        <v>283</v>
      </c>
    </row>
    <row r="67" spans="1:5" ht="16.5">
      <c r="A67" s="4">
        <v>10406</v>
      </c>
      <c r="B67" s="4">
        <v>60</v>
      </c>
      <c r="C67" s="4">
        <v>5</v>
      </c>
      <c r="D67" s="74" t="s">
        <v>279</v>
      </c>
      <c r="E67" s="74" t="s">
        <v>284</v>
      </c>
    </row>
    <row r="68" spans="1:5" ht="16.5">
      <c r="A68" s="4">
        <v>10407</v>
      </c>
      <c r="B68" s="4">
        <v>70</v>
      </c>
      <c r="C68" s="4">
        <v>5</v>
      </c>
      <c r="D68" s="74" t="s">
        <v>279</v>
      </c>
      <c r="E68" s="74" t="s">
        <v>282</v>
      </c>
    </row>
    <row r="69" spans="1:5" ht="16.5">
      <c r="A69" s="4">
        <v>10408</v>
      </c>
      <c r="B69" s="4">
        <v>80</v>
      </c>
      <c r="C69" s="4">
        <v>5</v>
      </c>
      <c r="D69" s="74" t="s">
        <v>279</v>
      </c>
      <c r="E69" s="74" t="s">
        <v>285</v>
      </c>
    </row>
    <row r="70" spans="1:5" ht="16.5">
      <c r="A70" s="4">
        <v>10409</v>
      </c>
      <c r="B70" s="4">
        <v>90</v>
      </c>
      <c r="C70" s="4">
        <v>5</v>
      </c>
      <c r="D70" s="74" t="s">
        <v>279</v>
      </c>
      <c r="E70" s="74" t="s">
        <v>286</v>
      </c>
    </row>
    <row r="71" spans="1:5" ht="16.5">
      <c r="A71" s="4">
        <v>10410</v>
      </c>
      <c r="B71" s="4">
        <v>100</v>
      </c>
      <c r="C71" s="4">
        <v>5</v>
      </c>
      <c r="D71" s="74" t="s">
        <v>279</v>
      </c>
      <c r="E71" s="74" t="s">
        <v>288</v>
      </c>
    </row>
    <row r="72" spans="1:5" ht="16.5">
      <c r="A72" s="4">
        <v>10411</v>
      </c>
      <c r="B72" s="4">
        <v>110</v>
      </c>
      <c r="C72" s="4">
        <v>5</v>
      </c>
      <c r="D72" s="74" t="s">
        <v>279</v>
      </c>
      <c r="E72" s="74" t="s">
        <v>282</v>
      </c>
    </row>
    <row r="73" spans="1:5" ht="16.5">
      <c r="A73" s="4">
        <v>10412</v>
      </c>
      <c r="B73" s="4">
        <v>120</v>
      </c>
      <c r="C73" s="4">
        <v>5</v>
      </c>
      <c r="D73" s="74" t="s">
        <v>279</v>
      </c>
      <c r="E73" s="74" t="s">
        <v>290</v>
      </c>
    </row>
    <row r="74" spans="1:5" ht="16.5">
      <c r="A74" s="4">
        <v>10413</v>
      </c>
      <c r="B74" s="4">
        <v>130</v>
      </c>
      <c r="C74" s="4">
        <v>5</v>
      </c>
      <c r="D74" s="74" t="s">
        <v>279</v>
      </c>
      <c r="E74" s="74" t="s">
        <v>286</v>
      </c>
    </row>
    <row r="75" spans="1:5" ht="16.5">
      <c r="A75" s="4">
        <v>10414</v>
      </c>
      <c r="B75" s="4">
        <v>140</v>
      </c>
      <c r="C75" s="4">
        <v>5</v>
      </c>
      <c r="D75" s="74" t="s">
        <v>279</v>
      </c>
      <c r="E75" s="74" t="s">
        <v>282</v>
      </c>
    </row>
    <row r="76" spans="1:5" ht="16.5">
      <c r="A76" s="4">
        <v>10415</v>
      </c>
      <c r="B76" s="4">
        <v>150</v>
      </c>
      <c r="C76" s="4">
        <v>5</v>
      </c>
      <c r="D76" s="74" t="s">
        <v>279</v>
      </c>
      <c r="E76" s="74" t="s">
        <v>280</v>
      </c>
    </row>
  </sheetData>
  <pageMargins left="0.7" right="0.7" top="0.75" bottom="0.75" header="0.3" footer="0.3"/>
  <pageSetup paperSize="9" orientation="portrait" horizontalDpi="300" verticalDpi="30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F16"/>
  <sheetViews>
    <sheetView workbookViewId="0">
      <selection activeCell="E41" sqref="E41"/>
    </sheetView>
  </sheetViews>
  <sheetFormatPr defaultColWidth="9" defaultRowHeight="15"/>
  <cols>
    <col min="1" max="1" width="4" customWidth="1"/>
    <col min="2" max="2" width="13.28515625" customWidth="1"/>
    <col min="3" max="3" width="12.5703125" customWidth="1"/>
    <col min="4" max="4" width="13.140625" customWidth="1"/>
    <col min="5" max="6" width="17.28515625" customWidth="1"/>
  </cols>
  <sheetData>
    <row r="1" spans="1:6" ht="16.5">
      <c r="A1" s="4" t="s">
        <v>0</v>
      </c>
      <c r="B1" s="4" t="s">
        <v>293</v>
      </c>
      <c r="C1" s="4" t="s">
        <v>250</v>
      </c>
      <c r="D1" s="4" t="s">
        <v>251</v>
      </c>
      <c r="E1" s="56" t="s">
        <v>259</v>
      </c>
      <c r="F1" s="56" t="s">
        <v>260</v>
      </c>
    </row>
    <row r="2" spans="1:6" ht="16.5">
      <c r="A2" s="4">
        <v>1</v>
      </c>
      <c r="B2" s="4">
        <v>5</v>
      </c>
      <c r="C2" s="74" t="s">
        <v>294</v>
      </c>
      <c r="D2" s="74" t="s">
        <v>262</v>
      </c>
      <c r="E2" t="s">
        <v>87</v>
      </c>
      <c r="F2">
        <v>1000</v>
      </c>
    </row>
    <row r="3" spans="1:6" ht="16.5">
      <c r="A3" s="4">
        <v>2</v>
      </c>
      <c r="B3" s="4">
        <v>10</v>
      </c>
      <c r="C3" s="74" t="s">
        <v>294</v>
      </c>
      <c r="D3" s="74" t="s">
        <v>263</v>
      </c>
      <c r="E3" t="s">
        <v>131</v>
      </c>
      <c r="F3">
        <v>50</v>
      </c>
    </row>
    <row r="4" spans="1:6" ht="16.5">
      <c r="A4" s="4">
        <v>3</v>
      </c>
      <c r="B4" s="4">
        <v>15</v>
      </c>
      <c r="C4" s="74" t="s">
        <v>294</v>
      </c>
      <c r="D4" s="74" t="s">
        <v>256</v>
      </c>
      <c r="E4" t="s">
        <v>295</v>
      </c>
      <c r="F4">
        <v>10</v>
      </c>
    </row>
    <row r="5" spans="1:6" ht="16.5">
      <c r="A5" s="4">
        <v>4</v>
      </c>
      <c r="B5" s="4">
        <v>20</v>
      </c>
      <c r="C5" s="74" t="s">
        <v>294</v>
      </c>
      <c r="D5" s="74" t="s">
        <v>265</v>
      </c>
      <c r="E5" t="s">
        <v>87</v>
      </c>
      <c r="F5">
        <v>500</v>
      </c>
    </row>
    <row r="6" spans="1:6" ht="16.5">
      <c r="A6" s="4">
        <v>5</v>
      </c>
      <c r="B6" s="4">
        <v>30</v>
      </c>
      <c r="C6" s="74" t="s">
        <v>294</v>
      </c>
      <c r="D6" s="74" t="s">
        <v>266</v>
      </c>
      <c r="E6" t="s">
        <v>104</v>
      </c>
      <c r="F6">
        <v>5000000</v>
      </c>
    </row>
    <row r="7" spans="1:6" ht="16.5">
      <c r="A7" s="4">
        <v>6</v>
      </c>
      <c r="B7" s="4">
        <v>40</v>
      </c>
      <c r="C7" s="74" t="s">
        <v>294</v>
      </c>
      <c r="D7" s="74" t="s">
        <v>268</v>
      </c>
      <c r="E7" t="s">
        <v>269</v>
      </c>
      <c r="F7">
        <v>30</v>
      </c>
    </row>
    <row r="8" spans="1:6" ht="16.5">
      <c r="A8" s="4">
        <v>7</v>
      </c>
      <c r="B8" s="4">
        <v>50</v>
      </c>
      <c r="C8" s="74" t="s">
        <v>294</v>
      </c>
      <c r="D8" s="74" t="s">
        <v>264</v>
      </c>
      <c r="E8" t="s">
        <v>150</v>
      </c>
      <c r="F8">
        <v>5000000</v>
      </c>
    </row>
    <row r="9" spans="1:6" ht="16.5">
      <c r="A9" s="4">
        <v>8</v>
      </c>
      <c r="B9" s="4">
        <v>60</v>
      </c>
      <c r="C9" s="74" t="s">
        <v>294</v>
      </c>
      <c r="D9" s="74" t="s">
        <v>265</v>
      </c>
      <c r="E9" t="s">
        <v>87</v>
      </c>
      <c r="F9">
        <v>500</v>
      </c>
    </row>
    <row r="10" spans="1:6" ht="16.5">
      <c r="A10" s="4">
        <v>9</v>
      </c>
      <c r="B10" s="4">
        <v>70</v>
      </c>
      <c r="C10" s="74" t="s">
        <v>294</v>
      </c>
      <c r="D10" s="74" t="s">
        <v>268</v>
      </c>
      <c r="E10" t="s">
        <v>269</v>
      </c>
      <c r="F10">
        <v>30</v>
      </c>
    </row>
    <row r="11" spans="1:6" ht="16.5">
      <c r="A11" s="4">
        <v>10</v>
      </c>
      <c r="B11" s="4">
        <v>80</v>
      </c>
      <c r="C11" s="74" t="s">
        <v>294</v>
      </c>
      <c r="D11" s="74" t="s">
        <v>267</v>
      </c>
      <c r="E11" t="s">
        <v>85</v>
      </c>
      <c r="F11">
        <v>12</v>
      </c>
    </row>
    <row r="12" spans="1:6" ht="16.5">
      <c r="A12" s="4">
        <v>11</v>
      </c>
      <c r="B12" s="4">
        <v>90</v>
      </c>
      <c r="C12" s="74" t="s">
        <v>294</v>
      </c>
      <c r="D12" s="74" t="s">
        <v>265</v>
      </c>
      <c r="E12" t="s">
        <v>87</v>
      </c>
      <c r="F12">
        <v>500</v>
      </c>
    </row>
    <row r="13" spans="1:6" ht="16.5">
      <c r="A13" s="4">
        <v>12</v>
      </c>
      <c r="B13" s="4">
        <v>100</v>
      </c>
      <c r="C13" s="74" t="s">
        <v>294</v>
      </c>
      <c r="D13" s="74" t="s">
        <v>296</v>
      </c>
      <c r="E13" t="s">
        <v>297</v>
      </c>
      <c r="F13">
        <v>3</v>
      </c>
    </row>
    <row r="14" spans="1:6" ht="16.5">
      <c r="A14" s="4">
        <v>13</v>
      </c>
      <c r="B14" s="4">
        <v>110</v>
      </c>
      <c r="C14" s="74" t="s">
        <v>294</v>
      </c>
      <c r="D14" s="74" t="s">
        <v>298</v>
      </c>
      <c r="E14" t="s">
        <v>161</v>
      </c>
      <c r="F14">
        <v>2</v>
      </c>
    </row>
    <row r="15" spans="1:6" ht="16.5">
      <c r="A15" s="4">
        <v>14</v>
      </c>
      <c r="B15" s="4">
        <v>120</v>
      </c>
      <c r="C15" s="74" t="s">
        <v>294</v>
      </c>
      <c r="D15" s="74" t="s">
        <v>265</v>
      </c>
      <c r="E15" t="s">
        <v>87</v>
      </c>
      <c r="F15">
        <v>500</v>
      </c>
    </row>
    <row r="16" spans="1:6" ht="16.5">
      <c r="A16" s="4">
        <v>15</v>
      </c>
      <c r="B16" s="4">
        <v>130</v>
      </c>
      <c r="C16" s="74" t="s">
        <v>294</v>
      </c>
      <c r="D16" s="74" t="s">
        <v>263</v>
      </c>
      <c r="E16" t="s">
        <v>131</v>
      </c>
      <c r="F16">
        <v>50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M3"/>
  <sheetViews>
    <sheetView workbookViewId="0">
      <selection activeCell="B2" sqref="B2:B3"/>
    </sheetView>
  </sheetViews>
  <sheetFormatPr defaultColWidth="9" defaultRowHeight="15"/>
  <cols>
    <col min="2" max="2" width="12.5703125" customWidth="1"/>
    <col min="3" max="6" width="13.5703125" customWidth="1"/>
    <col min="7" max="7" width="17.42578125" customWidth="1"/>
    <col min="8" max="8" width="22.140625" customWidth="1"/>
    <col min="9" max="9" width="19.85546875" customWidth="1"/>
    <col min="10" max="10" width="12.5703125" customWidth="1"/>
    <col min="13" max="13" width="15" customWidth="1"/>
  </cols>
  <sheetData>
    <row r="1" spans="1:13">
      <c r="A1" s="72" t="s">
        <v>0</v>
      </c>
      <c r="B1" s="72" t="s">
        <v>1</v>
      </c>
      <c r="C1" s="72" t="s">
        <v>27</v>
      </c>
      <c r="D1" s="72" t="s">
        <v>299</v>
      </c>
      <c r="E1" s="72" t="s">
        <v>300</v>
      </c>
      <c r="F1" s="72" t="s">
        <v>301</v>
      </c>
      <c r="G1" s="72" t="s">
        <v>302</v>
      </c>
      <c r="H1" s="72" t="s">
        <v>303</v>
      </c>
      <c r="I1" s="72" t="s">
        <v>304</v>
      </c>
      <c r="J1" s="72" t="s">
        <v>305</v>
      </c>
      <c r="K1" s="72" t="s">
        <v>306</v>
      </c>
      <c r="L1" s="56" t="s">
        <v>6</v>
      </c>
      <c r="M1" s="72" t="s">
        <v>307</v>
      </c>
    </row>
    <row r="2" spans="1:13" ht="42">
      <c r="A2" s="72">
        <v>1</v>
      </c>
      <c r="B2" s="73" t="s">
        <v>308</v>
      </c>
      <c r="C2" s="72" t="s">
        <v>309</v>
      </c>
      <c r="D2" s="72" t="s">
        <v>310</v>
      </c>
      <c r="E2" s="72" t="s">
        <v>311</v>
      </c>
      <c r="F2" s="72" t="s">
        <v>312</v>
      </c>
      <c r="G2" s="72" t="s">
        <v>313</v>
      </c>
      <c r="H2" s="72">
        <v>1280</v>
      </c>
      <c r="I2" s="7">
        <v>53001</v>
      </c>
      <c r="J2" s="4">
        <v>53101</v>
      </c>
      <c r="K2" s="72" t="s">
        <v>314</v>
      </c>
      <c r="L2">
        <v>17001</v>
      </c>
      <c r="M2">
        <v>17101</v>
      </c>
    </row>
    <row r="3" spans="1:13" ht="28.5">
      <c r="A3" s="72">
        <v>2</v>
      </c>
      <c r="B3" s="73" t="s">
        <v>315</v>
      </c>
      <c r="C3" s="72" t="s">
        <v>316</v>
      </c>
      <c r="D3" s="72" t="s">
        <v>248</v>
      </c>
      <c r="E3" s="72" t="s">
        <v>317</v>
      </c>
      <c r="F3" s="72" t="s">
        <v>312</v>
      </c>
      <c r="G3" s="72" t="s">
        <v>313</v>
      </c>
      <c r="H3" s="72">
        <v>3280</v>
      </c>
      <c r="I3" s="7">
        <v>53002</v>
      </c>
      <c r="J3" s="4">
        <v>53102</v>
      </c>
      <c r="K3" s="72" t="s">
        <v>318</v>
      </c>
      <c r="L3">
        <v>17002</v>
      </c>
      <c r="M3">
        <v>17202</v>
      </c>
    </row>
  </sheetData>
  <conditionalFormatting sqref="J2">
    <cfRule type="duplicateValues" dxfId="36" priority="2"/>
  </conditionalFormatting>
  <conditionalFormatting sqref="J3">
    <cfRule type="duplicateValues" dxfId="35" priority="1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E80"/>
  <sheetViews>
    <sheetView topLeftCell="A37" workbookViewId="0">
      <selection activeCell="D52" sqref="D52"/>
    </sheetView>
  </sheetViews>
  <sheetFormatPr defaultColWidth="9" defaultRowHeight="15"/>
  <cols>
    <col min="2" max="2" width="12.5703125" customWidth="1"/>
    <col min="3" max="4" width="12.85546875" customWidth="1"/>
  </cols>
  <sheetData>
    <row r="1" spans="1:5">
      <c r="A1" t="s">
        <v>0</v>
      </c>
      <c r="B1" t="s">
        <v>319</v>
      </c>
      <c r="C1" t="s">
        <v>63</v>
      </c>
      <c r="D1" t="s">
        <v>64</v>
      </c>
      <c r="E1" t="s">
        <v>320</v>
      </c>
    </row>
    <row r="2" spans="1:5" s="71" customFormat="1">
      <c r="A2" s="71">
        <v>1001</v>
      </c>
      <c r="B2" s="71">
        <v>1</v>
      </c>
      <c r="C2" s="71">
        <v>1</v>
      </c>
      <c r="D2" s="71">
        <v>30</v>
      </c>
      <c r="E2" s="71">
        <v>1001</v>
      </c>
    </row>
    <row r="3" spans="1:5" s="71" customFormat="1">
      <c r="A3" s="71">
        <v>1002</v>
      </c>
      <c r="B3" s="71">
        <v>1</v>
      </c>
      <c r="C3" s="71">
        <v>31</v>
      </c>
      <c r="D3" s="71">
        <v>60</v>
      </c>
      <c r="E3" s="71">
        <v>1101</v>
      </c>
    </row>
    <row r="4" spans="1:5" s="71" customFormat="1">
      <c r="A4" s="71">
        <v>1003</v>
      </c>
      <c r="B4" s="71">
        <v>1</v>
      </c>
      <c r="C4" s="71">
        <v>61</v>
      </c>
      <c r="D4" s="71">
        <v>90</v>
      </c>
      <c r="E4" s="71">
        <v>1201</v>
      </c>
    </row>
    <row r="5" spans="1:5" s="71" customFormat="1">
      <c r="A5" s="71">
        <v>1004</v>
      </c>
      <c r="B5" s="71">
        <v>1</v>
      </c>
      <c r="C5" s="71">
        <v>91</v>
      </c>
      <c r="D5" s="71">
        <v>120</v>
      </c>
      <c r="E5" s="71">
        <v>1301</v>
      </c>
    </row>
    <row r="6" spans="1:5" s="71" customFormat="1">
      <c r="A6" s="71">
        <v>1005</v>
      </c>
      <c r="B6" s="71">
        <v>1</v>
      </c>
      <c r="C6" s="71">
        <v>121</v>
      </c>
      <c r="D6" s="71">
        <v>150</v>
      </c>
      <c r="E6" s="71">
        <v>1001</v>
      </c>
    </row>
    <row r="7" spans="1:5" s="71" customFormat="1">
      <c r="A7" s="71">
        <v>1006</v>
      </c>
      <c r="B7" s="71">
        <v>1</v>
      </c>
      <c r="C7" s="71">
        <v>151</v>
      </c>
      <c r="D7" s="71">
        <v>180</v>
      </c>
      <c r="E7" s="71">
        <v>1101</v>
      </c>
    </row>
    <row r="8" spans="1:5" s="71" customFormat="1">
      <c r="A8" s="71">
        <v>1007</v>
      </c>
      <c r="B8" s="71">
        <v>1</v>
      </c>
      <c r="C8" s="71">
        <v>181</v>
      </c>
      <c r="D8" s="71">
        <v>210</v>
      </c>
      <c r="E8" s="71">
        <v>1201</v>
      </c>
    </row>
    <row r="9" spans="1:5" s="71" customFormat="1">
      <c r="A9" s="71">
        <v>1008</v>
      </c>
      <c r="B9" s="71">
        <v>1</v>
      </c>
      <c r="C9" s="71">
        <v>211</v>
      </c>
      <c r="D9" s="71">
        <v>240</v>
      </c>
      <c r="E9" s="71">
        <v>1301</v>
      </c>
    </row>
    <row r="10" spans="1:5" s="71" customFormat="1">
      <c r="A10" s="71">
        <v>1009</v>
      </c>
      <c r="B10" s="71">
        <v>1</v>
      </c>
      <c r="C10" s="71">
        <v>241</v>
      </c>
      <c r="D10" s="71">
        <v>270</v>
      </c>
      <c r="E10" s="71">
        <v>1001</v>
      </c>
    </row>
    <row r="11" spans="1:5" s="71" customFormat="1">
      <c r="A11" s="71">
        <v>1010</v>
      </c>
      <c r="B11" s="71">
        <v>1</v>
      </c>
      <c r="C11" s="71">
        <v>271</v>
      </c>
      <c r="D11" s="71">
        <v>300</v>
      </c>
      <c r="E11" s="71">
        <v>1101</v>
      </c>
    </row>
    <row r="12" spans="1:5" s="71" customFormat="1">
      <c r="A12" s="71">
        <v>1011</v>
      </c>
      <c r="B12" s="71">
        <v>1</v>
      </c>
      <c r="C12" s="71">
        <v>301</v>
      </c>
      <c r="D12" s="71">
        <v>330</v>
      </c>
      <c r="E12" s="71">
        <v>1201</v>
      </c>
    </row>
    <row r="13" spans="1:5" s="71" customFormat="1">
      <c r="A13" s="71">
        <v>1012</v>
      </c>
      <c r="B13" s="71">
        <v>1</v>
      </c>
      <c r="C13" s="71">
        <v>331</v>
      </c>
      <c r="D13" s="71">
        <v>360</v>
      </c>
      <c r="E13" s="71">
        <v>1301</v>
      </c>
    </row>
    <row r="14" spans="1:5" s="71" customFormat="1">
      <c r="A14" s="71">
        <v>1013</v>
      </c>
      <c r="B14" s="71">
        <v>1</v>
      </c>
      <c r="C14" s="71">
        <f>C13+30</f>
        <v>361</v>
      </c>
      <c r="D14" s="71">
        <f>D13+30</f>
        <v>390</v>
      </c>
      <c r="E14" s="71">
        <v>1001</v>
      </c>
    </row>
    <row r="15" spans="1:5" s="71" customFormat="1">
      <c r="A15" s="71">
        <v>1014</v>
      </c>
      <c r="B15" s="71">
        <v>1</v>
      </c>
      <c r="C15" s="71">
        <f t="shared" ref="C15:C26" si="0">C14+30</f>
        <v>391</v>
      </c>
      <c r="D15" s="71">
        <f t="shared" ref="D15:D26" si="1">D14+30</f>
        <v>420</v>
      </c>
      <c r="E15" s="71">
        <v>1101</v>
      </c>
    </row>
    <row r="16" spans="1:5" s="71" customFormat="1">
      <c r="A16" s="71">
        <v>1015</v>
      </c>
      <c r="B16" s="71">
        <v>1</v>
      </c>
      <c r="C16" s="71">
        <f t="shared" si="0"/>
        <v>421</v>
      </c>
      <c r="D16" s="71">
        <f t="shared" si="1"/>
        <v>450</v>
      </c>
      <c r="E16" s="71">
        <v>1201</v>
      </c>
    </row>
    <row r="17" spans="1:5" s="71" customFormat="1">
      <c r="A17" s="71">
        <v>1016</v>
      </c>
      <c r="B17" s="71">
        <v>1</v>
      </c>
      <c r="C17" s="71">
        <f t="shared" si="0"/>
        <v>451</v>
      </c>
      <c r="D17" s="71">
        <f t="shared" si="1"/>
        <v>480</v>
      </c>
      <c r="E17" s="71">
        <v>1301</v>
      </c>
    </row>
    <row r="18" spans="1:5" s="71" customFormat="1">
      <c r="A18" s="71">
        <v>1017</v>
      </c>
      <c r="B18" s="71">
        <v>1</v>
      </c>
      <c r="C18" s="71">
        <f t="shared" si="0"/>
        <v>481</v>
      </c>
      <c r="D18" s="71">
        <f t="shared" si="1"/>
        <v>510</v>
      </c>
      <c r="E18" s="71">
        <v>1001</v>
      </c>
    </row>
    <row r="19" spans="1:5" s="71" customFormat="1">
      <c r="A19" s="71">
        <v>1018</v>
      </c>
      <c r="B19" s="71">
        <v>1</v>
      </c>
      <c r="C19" s="71">
        <f t="shared" si="0"/>
        <v>511</v>
      </c>
      <c r="D19" s="71">
        <f t="shared" si="1"/>
        <v>540</v>
      </c>
      <c r="E19" s="71">
        <v>1101</v>
      </c>
    </row>
    <row r="20" spans="1:5" s="71" customFormat="1">
      <c r="A20" s="71">
        <v>1019</v>
      </c>
      <c r="B20" s="71">
        <v>1</v>
      </c>
      <c r="C20" s="71">
        <f t="shared" si="0"/>
        <v>541</v>
      </c>
      <c r="D20" s="71">
        <f t="shared" si="1"/>
        <v>570</v>
      </c>
      <c r="E20" s="71">
        <v>1201</v>
      </c>
    </row>
    <row r="21" spans="1:5" s="71" customFormat="1">
      <c r="A21" s="71">
        <v>1020</v>
      </c>
      <c r="B21" s="71">
        <v>1</v>
      </c>
      <c r="C21" s="71">
        <f t="shared" si="0"/>
        <v>571</v>
      </c>
      <c r="D21" s="71">
        <f t="shared" si="1"/>
        <v>600</v>
      </c>
      <c r="E21" s="71">
        <v>1301</v>
      </c>
    </row>
    <row r="22" spans="1:5" s="71" customFormat="1">
      <c r="A22" s="71">
        <v>1021</v>
      </c>
      <c r="B22" s="71">
        <v>1</v>
      </c>
      <c r="C22" s="71">
        <f t="shared" si="0"/>
        <v>601</v>
      </c>
      <c r="D22" s="71">
        <f t="shared" si="1"/>
        <v>630</v>
      </c>
      <c r="E22" s="71">
        <v>1001</v>
      </c>
    </row>
    <row r="23" spans="1:5" s="71" customFormat="1">
      <c r="A23" s="71">
        <v>1022</v>
      </c>
      <c r="B23" s="71">
        <v>1</v>
      </c>
      <c r="C23" s="71">
        <f t="shared" si="0"/>
        <v>631</v>
      </c>
      <c r="D23" s="71">
        <f t="shared" si="1"/>
        <v>660</v>
      </c>
      <c r="E23" s="71">
        <v>1101</v>
      </c>
    </row>
    <row r="24" spans="1:5" s="71" customFormat="1">
      <c r="A24" s="71">
        <v>1023</v>
      </c>
      <c r="B24" s="71">
        <v>1</v>
      </c>
      <c r="C24" s="71">
        <f t="shared" si="0"/>
        <v>661</v>
      </c>
      <c r="D24" s="71">
        <f t="shared" si="1"/>
        <v>690</v>
      </c>
      <c r="E24" s="71">
        <v>1201</v>
      </c>
    </row>
    <row r="25" spans="1:5" s="71" customFormat="1">
      <c r="A25" s="71">
        <v>1024</v>
      </c>
      <c r="B25" s="71">
        <v>1</v>
      </c>
      <c r="C25" s="71">
        <f t="shared" si="0"/>
        <v>691</v>
      </c>
      <c r="D25" s="71">
        <f t="shared" si="1"/>
        <v>720</v>
      </c>
      <c r="E25" s="71">
        <v>1301</v>
      </c>
    </row>
    <row r="26" spans="1:5" s="71" customFormat="1">
      <c r="A26" s="71">
        <v>1025</v>
      </c>
      <c r="B26" s="71">
        <v>1</v>
      </c>
      <c r="C26" s="71">
        <f t="shared" si="0"/>
        <v>721</v>
      </c>
      <c r="D26" s="71">
        <f t="shared" si="1"/>
        <v>750</v>
      </c>
      <c r="E26" s="71">
        <v>1001</v>
      </c>
    </row>
    <row r="27" spans="1:5" s="66" customFormat="1">
      <c r="A27" s="66">
        <v>2001</v>
      </c>
      <c r="B27" s="66">
        <v>2</v>
      </c>
      <c r="C27" s="66">
        <v>1</v>
      </c>
      <c r="D27" s="66">
        <v>30</v>
      </c>
      <c r="E27" s="66">
        <v>2001</v>
      </c>
    </row>
    <row r="28" spans="1:5" s="66" customFormat="1">
      <c r="A28" s="66">
        <v>2002</v>
      </c>
      <c r="B28" s="66">
        <v>2</v>
      </c>
      <c r="C28" s="66">
        <v>31</v>
      </c>
      <c r="D28" s="66">
        <v>60</v>
      </c>
      <c r="E28" s="66">
        <v>2101</v>
      </c>
    </row>
    <row r="29" spans="1:5" s="66" customFormat="1">
      <c r="A29" s="66">
        <v>2003</v>
      </c>
      <c r="B29" s="66">
        <v>2</v>
      </c>
      <c r="C29" s="66">
        <v>61</v>
      </c>
      <c r="D29" s="66">
        <v>90</v>
      </c>
      <c r="E29" s="66">
        <v>2201</v>
      </c>
    </row>
    <row r="30" spans="1:5" s="66" customFormat="1">
      <c r="A30" s="66">
        <v>2004</v>
      </c>
      <c r="B30" s="66">
        <v>2</v>
      </c>
      <c r="C30" s="66">
        <v>91</v>
      </c>
      <c r="D30" s="66">
        <v>120</v>
      </c>
      <c r="E30" s="66">
        <v>2301</v>
      </c>
    </row>
    <row r="31" spans="1:5" s="66" customFormat="1">
      <c r="A31" s="66">
        <v>2005</v>
      </c>
      <c r="B31" s="66">
        <v>2</v>
      </c>
      <c r="C31" s="66">
        <v>121</v>
      </c>
      <c r="D31" s="66">
        <v>150</v>
      </c>
      <c r="E31" s="66">
        <v>2001</v>
      </c>
    </row>
    <row r="32" spans="1:5" s="66" customFormat="1">
      <c r="A32" s="66">
        <v>2006</v>
      </c>
      <c r="B32" s="66">
        <v>2</v>
      </c>
      <c r="C32" s="66">
        <v>151</v>
      </c>
      <c r="D32" s="66">
        <v>180</v>
      </c>
      <c r="E32" s="66">
        <v>2101</v>
      </c>
    </row>
    <row r="33" spans="1:5" s="66" customFormat="1">
      <c r="A33" s="66">
        <v>2007</v>
      </c>
      <c r="B33" s="66">
        <v>2</v>
      </c>
      <c r="C33" s="66">
        <v>181</v>
      </c>
      <c r="D33" s="66">
        <v>210</v>
      </c>
      <c r="E33" s="66">
        <v>2201</v>
      </c>
    </row>
    <row r="34" spans="1:5" s="66" customFormat="1">
      <c r="A34" s="66">
        <v>2008</v>
      </c>
      <c r="B34" s="66">
        <v>2</v>
      </c>
      <c r="C34" s="66">
        <v>211</v>
      </c>
      <c r="D34" s="66">
        <v>240</v>
      </c>
      <c r="E34" s="66">
        <v>2301</v>
      </c>
    </row>
    <row r="35" spans="1:5" s="66" customFormat="1">
      <c r="A35" s="66">
        <v>2009</v>
      </c>
      <c r="B35" s="66">
        <v>2</v>
      </c>
      <c r="C35" s="66">
        <v>241</v>
      </c>
      <c r="D35" s="66">
        <v>270</v>
      </c>
      <c r="E35" s="66">
        <v>2001</v>
      </c>
    </row>
    <row r="36" spans="1:5" s="66" customFormat="1">
      <c r="A36" s="66">
        <v>2010</v>
      </c>
      <c r="B36" s="66">
        <v>2</v>
      </c>
      <c r="C36" s="66">
        <v>271</v>
      </c>
      <c r="D36" s="66">
        <v>300</v>
      </c>
      <c r="E36" s="66">
        <v>2101</v>
      </c>
    </row>
    <row r="37" spans="1:5" s="66" customFormat="1">
      <c r="A37" s="66">
        <v>2011</v>
      </c>
      <c r="B37" s="66">
        <v>2</v>
      </c>
      <c r="C37" s="66">
        <v>301</v>
      </c>
      <c r="D37" s="66">
        <v>330</v>
      </c>
      <c r="E37" s="66">
        <v>2201</v>
      </c>
    </row>
    <row r="38" spans="1:5" s="66" customFormat="1">
      <c r="A38" s="66">
        <v>2012</v>
      </c>
      <c r="B38" s="66">
        <v>2</v>
      </c>
      <c r="C38" s="66">
        <v>331</v>
      </c>
      <c r="D38" s="66">
        <v>360</v>
      </c>
      <c r="E38" s="66">
        <v>2301</v>
      </c>
    </row>
    <row r="39" spans="1:5">
      <c r="A39" s="66">
        <v>2013</v>
      </c>
      <c r="B39" s="66">
        <v>2</v>
      </c>
      <c r="C39">
        <f>C38+30</f>
        <v>361</v>
      </c>
      <c r="D39">
        <f>D38+30</f>
        <v>390</v>
      </c>
      <c r="E39" s="66">
        <v>2001</v>
      </c>
    </row>
    <row r="40" spans="1:5">
      <c r="A40" s="66">
        <v>2014</v>
      </c>
      <c r="B40" s="66">
        <v>2</v>
      </c>
      <c r="C40">
        <f t="shared" ref="C40:C51" si="2">C39+30</f>
        <v>391</v>
      </c>
      <c r="D40">
        <f t="shared" ref="D40:D51" si="3">D39+30</f>
        <v>420</v>
      </c>
      <c r="E40" s="66">
        <v>2101</v>
      </c>
    </row>
    <row r="41" spans="1:5">
      <c r="A41" s="66">
        <v>2015</v>
      </c>
      <c r="B41" s="66">
        <v>2</v>
      </c>
      <c r="C41">
        <f t="shared" si="2"/>
        <v>421</v>
      </c>
      <c r="D41">
        <f t="shared" si="3"/>
        <v>450</v>
      </c>
      <c r="E41" s="66">
        <v>2201</v>
      </c>
    </row>
    <row r="42" spans="1:5">
      <c r="A42" s="66">
        <v>2016</v>
      </c>
      <c r="B42" s="66">
        <v>2</v>
      </c>
      <c r="C42">
        <f t="shared" si="2"/>
        <v>451</v>
      </c>
      <c r="D42">
        <f t="shared" si="3"/>
        <v>480</v>
      </c>
      <c r="E42" s="66">
        <v>2301</v>
      </c>
    </row>
    <row r="43" spans="1:5">
      <c r="A43" s="66">
        <v>2017</v>
      </c>
      <c r="B43" s="66">
        <v>2</v>
      </c>
      <c r="C43">
        <f t="shared" si="2"/>
        <v>481</v>
      </c>
      <c r="D43">
        <f t="shared" si="3"/>
        <v>510</v>
      </c>
      <c r="E43" s="66">
        <v>2001</v>
      </c>
    </row>
    <row r="44" spans="1:5">
      <c r="A44" s="66">
        <v>2018</v>
      </c>
      <c r="B44" s="66">
        <v>2</v>
      </c>
      <c r="C44">
        <f t="shared" si="2"/>
        <v>511</v>
      </c>
      <c r="D44">
        <f t="shared" si="3"/>
        <v>540</v>
      </c>
      <c r="E44" s="66">
        <v>2101</v>
      </c>
    </row>
    <row r="45" spans="1:5">
      <c r="A45" s="66">
        <v>2019</v>
      </c>
      <c r="B45" s="66">
        <v>2</v>
      </c>
      <c r="C45">
        <f t="shared" si="2"/>
        <v>541</v>
      </c>
      <c r="D45">
        <f t="shared" si="3"/>
        <v>570</v>
      </c>
      <c r="E45" s="66">
        <v>2201</v>
      </c>
    </row>
    <row r="46" spans="1:5">
      <c r="A46" s="66">
        <v>2020</v>
      </c>
      <c r="B46" s="66">
        <v>2</v>
      </c>
      <c r="C46">
        <f t="shared" si="2"/>
        <v>571</v>
      </c>
      <c r="D46">
        <f t="shared" si="3"/>
        <v>600</v>
      </c>
      <c r="E46" s="66">
        <v>2301</v>
      </c>
    </row>
    <row r="47" spans="1:5">
      <c r="A47" s="66">
        <v>2021</v>
      </c>
      <c r="B47" s="66">
        <v>2</v>
      </c>
      <c r="C47">
        <f t="shared" si="2"/>
        <v>601</v>
      </c>
      <c r="D47">
        <f t="shared" si="3"/>
        <v>630</v>
      </c>
      <c r="E47" s="66">
        <v>2001</v>
      </c>
    </row>
    <row r="48" spans="1:5">
      <c r="A48" s="66">
        <v>2022</v>
      </c>
      <c r="B48" s="66">
        <v>2</v>
      </c>
      <c r="C48">
        <f t="shared" si="2"/>
        <v>631</v>
      </c>
      <c r="D48">
        <f t="shared" si="3"/>
        <v>660</v>
      </c>
      <c r="E48" s="66">
        <v>2101</v>
      </c>
    </row>
    <row r="49" spans="1:5">
      <c r="A49" s="66">
        <v>2023</v>
      </c>
      <c r="B49" s="66">
        <v>2</v>
      </c>
      <c r="C49">
        <f t="shared" si="2"/>
        <v>661</v>
      </c>
      <c r="D49">
        <f t="shared" si="3"/>
        <v>690</v>
      </c>
      <c r="E49" s="66">
        <v>2201</v>
      </c>
    </row>
    <row r="50" spans="1:5">
      <c r="A50" s="66">
        <v>2024</v>
      </c>
      <c r="B50" s="66">
        <v>2</v>
      </c>
      <c r="C50">
        <f t="shared" si="2"/>
        <v>691</v>
      </c>
      <c r="D50">
        <f t="shared" si="3"/>
        <v>720</v>
      </c>
      <c r="E50" s="66">
        <v>2301</v>
      </c>
    </row>
    <row r="51" spans="1:5">
      <c r="A51" s="66">
        <v>2025</v>
      </c>
      <c r="B51" s="66">
        <v>2</v>
      </c>
      <c r="C51">
        <f t="shared" si="2"/>
        <v>721</v>
      </c>
      <c r="D51">
        <f t="shared" si="3"/>
        <v>750</v>
      </c>
      <c r="E51" s="66">
        <v>2001</v>
      </c>
    </row>
    <row r="52" spans="1:5">
      <c r="A52" s="66">
        <v>2026</v>
      </c>
      <c r="B52" s="66">
        <v>2</v>
      </c>
      <c r="C52">
        <f t="shared" ref="C52:C80" si="4">C51+30</f>
        <v>751</v>
      </c>
      <c r="D52">
        <f t="shared" ref="D52:D80" si="5">D51+30</f>
        <v>780</v>
      </c>
      <c r="E52" s="66">
        <v>2101</v>
      </c>
    </row>
    <row r="53" spans="1:5">
      <c r="A53" s="66">
        <v>2027</v>
      </c>
      <c r="B53" s="66">
        <v>2</v>
      </c>
      <c r="C53">
        <f t="shared" si="4"/>
        <v>781</v>
      </c>
      <c r="D53">
        <f t="shared" si="5"/>
        <v>810</v>
      </c>
      <c r="E53" s="66">
        <v>2201</v>
      </c>
    </row>
    <row r="54" spans="1:5">
      <c r="A54" s="66">
        <v>2028</v>
      </c>
      <c r="B54" s="66">
        <v>2</v>
      </c>
      <c r="C54">
        <f t="shared" si="4"/>
        <v>811</v>
      </c>
      <c r="D54">
        <f t="shared" si="5"/>
        <v>840</v>
      </c>
      <c r="E54" s="66">
        <v>2301</v>
      </c>
    </row>
    <row r="55" spans="1:5">
      <c r="A55" s="66">
        <v>2029</v>
      </c>
      <c r="B55" s="66">
        <v>2</v>
      </c>
      <c r="C55">
        <f t="shared" si="4"/>
        <v>841</v>
      </c>
      <c r="D55">
        <f t="shared" si="5"/>
        <v>870</v>
      </c>
      <c r="E55" s="66">
        <v>2001</v>
      </c>
    </row>
    <row r="56" spans="1:5">
      <c r="A56" s="66">
        <v>2030</v>
      </c>
      <c r="B56" s="66">
        <v>2</v>
      </c>
      <c r="C56">
        <f t="shared" si="4"/>
        <v>871</v>
      </c>
      <c r="D56">
        <f t="shared" si="5"/>
        <v>900</v>
      </c>
      <c r="E56" s="66">
        <v>2101</v>
      </c>
    </row>
    <row r="57" spans="1:5">
      <c r="A57" s="66">
        <v>2031</v>
      </c>
      <c r="B57" s="66">
        <v>2</v>
      </c>
      <c r="C57">
        <f t="shared" si="4"/>
        <v>901</v>
      </c>
      <c r="D57">
        <f t="shared" si="5"/>
        <v>930</v>
      </c>
      <c r="E57" s="66">
        <v>2201</v>
      </c>
    </row>
    <row r="58" spans="1:5">
      <c r="A58" s="66">
        <v>2032</v>
      </c>
      <c r="B58" s="66">
        <v>2</v>
      </c>
      <c r="C58">
        <f t="shared" si="4"/>
        <v>931</v>
      </c>
      <c r="D58">
        <f t="shared" si="5"/>
        <v>960</v>
      </c>
      <c r="E58" s="66">
        <v>2301</v>
      </c>
    </row>
    <row r="59" spans="1:5">
      <c r="A59" s="66">
        <v>2033</v>
      </c>
      <c r="B59" s="66">
        <v>2</v>
      </c>
      <c r="C59">
        <f t="shared" si="4"/>
        <v>961</v>
      </c>
      <c r="D59">
        <f t="shared" si="5"/>
        <v>990</v>
      </c>
      <c r="E59" s="66">
        <v>2001</v>
      </c>
    </row>
    <row r="60" spans="1:5">
      <c r="A60" s="66">
        <v>2034</v>
      </c>
      <c r="B60" s="66">
        <v>2</v>
      </c>
      <c r="C60">
        <f t="shared" si="4"/>
        <v>991</v>
      </c>
      <c r="D60">
        <f t="shared" si="5"/>
        <v>1020</v>
      </c>
      <c r="E60" s="66">
        <v>2101</v>
      </c>
    </row>
    <row r="61" spans="1:5">
      <c r="A61" s="66">
        <v>2035</v>
      </c>
      <c r="B61" s="66">
        <v>2</v>
      </c>
      <c r="C61">
        <f t="shared" si="4"/>
        <v>1021</v>
      </c>
      <c r="D61">
        <f t="shared" si="5"/>
        <v>1050</v>
      </c>
      <c r="E61" s="66">
        <v>2201</v>
      </c>
    </row>
    <row r="62" spans="1:5">
      <c r="A62" s="66">
        <v>2036</v>
      </c>
      <c r="B62" s="66">
        <v>2</v>
      </c>
      <c r="C62">
        <f t="shared" si="4"/>
        <v>1051</v>
      </c>
      <c r="D62">
        <f t="shared" si="5"/>
        <v>1080</v>
      </c>
      <c r="E62" s="66">
        <v>2301</v>
      </c>
    </row>
    <row r="63" spans="1:5">
      <c r="A63" s="66">
        <v>2037</v>
      </c>
      <c r="B63" s="66">
        <v>2</v>
      </c>
      <c r="C63">
        <f t="shared" si="4"/>
        <v>1081</v>
      </c>
      <c r="D63">
        <f t="shared" si="5"/>
        <v>1110</v>
      </c>
      <c r="E63" s="66">
        <v>2001</v>
      </c>
    </row>
    <row r="64" spans="1:5">
      <c r="A64" s="66">
        <v>2038</v>
      </c>
      <c r="B64" s="66">
        <v>2</v>
      </c>
      <c r="C64">
        <f t="shared" si="4"/>
        <v>1111</v>
      </c>
      <c r="D64">
        <f t="shared" si="5"/>
        <v>1140</v>
      </c>
      <c r="E64" s="66">
        <v>2101</v>
      </c>
    </row>
    <row r="65" spans="1:5">
      <c r="A65" s="66">
        <v>2039</v>
      </c>
      <c r="B65" s="66">
        <v>2</v>
      </c>
      <c r="C65">
        <f t="shared" si="4"/>
        <v>1141</v>
      </c>
      <c r="D65">
        <f t="shared" si="5"/>
        <v>1170</v>
      </c>
      <c r="E65" s="66">
        <v>2201</v>
      </c>
    </row>
    <row r="66" spans="1:5">
      <c r="A66" s="66">
        <v>2040</v>
      </c>
      <c r="B66" s="66">
        <v>2</v>
      </c>
      <c r="C66">
        <f t="shared" si="4"/>
        <v>1171</v>
      </c>
      <c r="D66">
        <f t="shared" si="5"/>
        <v>1200</v>
      </c>
      <c r="E66" s="66">
        <v>2301</v>
      </c>
    </row>
    <row r="67" spans="1:5">
      <c r="A67" s="66">
        <v>2041</v>
      </c>
      <c r="B67" s="66">
        <v>2</v>
      </c>
      <c r="C67">
        <f t="shared" si="4"/>
        <v>1201</v>
      </c>
      <c r="D67">
        <f t="shared" si="5"/>
        <v>1230</v>
      </c>
      <c r="E67" s="66">
        <v>2001</v>
      </c>
    </row>
    <row r="68" spans="1:5">
      <c r="A68" s="66">
        <v>2042</v>
      </c>
      <c r="B68" s="66">
        <v>2</v>
      </c>
      <c r="C68">
        <f t="shared" si="4"/>
        <v>1231</v>
      </c>
      <c r="D68">
        <f t="shared" si="5"/>
        <v>1260</v>
      </c>
      <c r="E68" s="66">
        <v>2101</v>
      </c>
    </row>
    <row r="69" spans="1:5">
      <c r="A69" s="66">
        <v>2043</v>
      </c>
      <c r="B69" s="66">
        <v>2</v>
      </c>
      <c r="C69">
        <f t="shared" si="4"/>
        <v>1261</v>
      </c>
      <c r="D69">
        <f t="shared" si="5"/>
        <v>1290</v>
      </c>
      <c r="E69" s="66">
        <v>2201</v>
      </c>
    </row>
    <row r="70" spans="1:5">
      <c r="A70" s="66">
        <v>2044</v>
      </c>
      <c r="B70" s="66">
        <v>2</v>
      </c>
      <c r="C70">
        <f t="shared" si="4"/>
        <v>1291</v>
      </c>
      <c r="D70">
        <f t="shared" si="5"/>
        <v>1320</v>
      </c>
      <c r="E70" s="66">
        <v>2301</v>
      </c>
    </row>
    <row r="71" spans="1:5">
      <c r="A71" s="66">
        <v>2045</v>
      </c>
      <c r="B71" s="66">
        <v>2</v>
      </c>
      <c r="C71">
        <f t="shared" si="4"/>
        <v>1321</v>
      </c>
      <c r="D71">
        <f t="shared" si="5"/>
        <v>1350</v>
      </c>
      <c r="E71" s="66">
        <v>2001</v>
      </c>
    </row>
    <row r="72" spans="1:5">
      <c r="A72" s="66">
        <v>2046</v>
      </c>
      <c r="B72" s="66">
        <v>2</v>
      </c>
      <c r="C72">
        <f t="shared" si="4"/>
        <v>1351</v>
      </c>
      <c r="D72">
        <f t="shared" si="5"/>
        <v>1380</v>
      </c>
      <c r="E72" s="66">
        <v>2101</v>
      </c>
    </row>
    <row r="73" spans="1:5">
      <c r="A73" s="66">
        <v>2047</v>
      </c>
      <c r="B73" s="66">
        <v>2</v>
      </c>
      <c r="C73">
        <f t="shared" si="4"/>
        <v>1381</v>
      </c>
      <c r="D73">
        <f t="shared" si="5"/>
        <v>1410</v>
      </c>
      <c r="E73" s="66">
        <v>2201</v>
      </c>
    </row>
    <row r="74" spans="1:5">
      <c r="A74" s="66">
        <v>2048</v>
      </c>
      <c r="B74" s="66">
        <v>2</v>
      </c>
      <c r="C74">
        <f t="shared" si="4"/>
        <v>1411</v>
      </c>
      <c r="D74">
        <f t="shared" si="5"/>
        <v>1440</v>
      </c>
      <c r="E74" s="66">
        <v>2301</v>
      </c>
    </row>
    <row r="75" spans="1:5">
      <c r="A75" s="66">
        <v>2049</v>
      </c>
      <c r="B75" s="66">
        <v>2</v>
      </c>
      <c r="C75">
        <f t="shared" si="4"/>
        <v>1441</v>
      </c>
      <c r="D75">
        <f t="shared" si="5"/>
        <v>1470</v>
      </c>
      <c r="E75" s="66">
        <v>2001</v>
      </c>
    </row>
    <row r="76" spans="1:5">
      <c r="A76" s="66">
        <v>2050</v>
      </c>
      <c r="B76" s="66">
        <v>2</v>
      </c>
      <c r="C76">
        <f t="shared" si="4"/>
        <v>1471</v>
      </c>
      <c r="D76">
        <f t="shared" si="5"/>
        <v>1500</v>
      </c>
      <c r="E76" s="66">
        <v>2101</v>
      </c>
    </row>
    <row r="77" spans="1:5">
      <c r="A77" s="66">
        <v>2051</v>
      </c>
      <c r="B77" s="66">
        <v>2</v>
      </c>
      <c r="C77">
        <f t="shared" si="4"/>
        <v>1501</v>
      </c>
      <c r="D77">
        <f t="shared" si="5"/>
        <v>1530</v>
      </c>
      <c r="E77" s="66">
        <v>2201</v>
      </c>
    </row>
    <row r="78" spans="1:5">
      <c r="A78" s="66">
        <v>2052</v>
      </c>
      <c r="B78" s="66">
        <v>2</v>
      </c>
      <c r="C78">
        <f t="shared" si="4"/>
        <v>1531</v>
      </c>
      <c r="D78">
        <f t="shared" si="5"/>
        <v>1560</v>
      </c>
      <c r="E78" s="66">
        <v>2301</v>
      </c>
    </row>
    <row r="79" spans="1:5">
      <c r="A79" s="66">
        <v>2053</v>
      </c>
      <c r="B79" s="66">
        <v>2</v>
      </c>
      <c r="C79">
        <f t="shared" si="4"/>
        <v>1561</v>
      </c>
      <c r="D79">
        <f t="shared" si="5"/>
        <v>1590</v>
      </c>
      <c r="E79" s="66">
        <v>2001</v>
      </c>
    </row>
    <row r="80" spans="1:5">
      <c r="A80" s="66">
        <v>2054</v>
      </c>
      <c r="B80" s="66">
        <v>2</v>
      </c>
      <c r="C80">
        <f t="shared" si="4"/>
        <v>1591</v>
      </c>
      <c r="D80">
        <f t="shared" si="5"/>
        <v>1620</v>
      </c>
      <c r="E80" s="66">
        <v>2101</v>
      </c>
    </row>
  </sheetData>
  <pageMargins left="0.75" right="0.75" top="1" bottom="1" header="0.5" footer="0.5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301"/>
  <sheetViews>
    <sheetView topLeftCell="A153" workbookViewId="0">
      <selection activeCell="G1" sqref="G1"/>
    </sheetView>
  </sheetViews>
  <sheetFormatPr defaultColWidth="9" defaultRowHeight="15"/>
  <cols>
    <col min="2" max="2" width="12.7109375" customWidth="1"/>
    <col min="4" max="4" width="14.140625" customWidth="1"/>
    <col min="6" max="7" width="17.28515625" customWidth="1"/>
  </cols>
  <sheetData>
    <row r="1" spans="1:8">
      <c r="A1" s="56" t="s">
        <v>0</v>
      </c>
      <c r="B1" s="56" t="s">
        <v>319</v>
      </c>
      <c r="C1" s="56" t="s">
        <v>321</v>
      </c>
      <c r="D1" s="56" t="s">
        <v>322</v>
      </c>
      <c r="E1" s="56" t="s">
        <v>323</v>
      </c>
      <c r="F1" s="56" t="s">
        <v>97</v>
      </c>
      <c r="G1" s="56" t="s">
        <v>98</v>
      </c>
      <c r="H1" t="s">
        <v>320</v>
      </c>
    </row>
    <row r="2" spans="1:8" ht="16.5">
      <c r="A2" s="56">
        <v>1</v>
      </c>
      <c r="B2" s="56">
        <v>1</v>
      </c>
      <c r="C2" s="56">
        <v>1</v>
      </c>
      <c r="D2" s="9" t="s">
        <v>256</v>
      </c>
      <c r="E2" s="56">
        <v>1</v>
      </c>
      <c r="F2" t="s">
        <v>324</v>
      </c>
      <c r="G2">
        <v>10</v>
      </c>
      <c r="H2">
        <v>0</v>
      </c>
    </row>
    <row r="3" spans="1:8" ht="16.5">
      <c r="A3" s="56">
        <v>2</v>
      </c>
      <c r="B3" s="56">
        <v>1</v>
      </c>
      <c r="C3" s="56">
        <v>2</v>
      </c>
      <c r="D3" s="9" t="s">
        <v>282</v>
      </c>
      <c r="E3" s="56"/>
      <c r="F3" t="s">
        <v>87</v>
      </c>
      <c r="G3">
        <v>200</v>
      </c>
      <c r="H3">
        <v>0</v>
      </c>
    </row>
    <row r="4" spans="1:8" ht="16.5">
      <c r="A4" s="56">
        <v>3</v>
      </c>
      <c r="B4" s="56">
        <v>1</v>
      </c>
      <c r="C4" s="56">
        <v>3</v>
      </c>
      <c r="D4" s="9" t="s">
        <v>325</v>
      </c>
      <c r="E4" s="56">
        <v>1</v>
      </c>
      <c r="F4" t="s">
        <v>326</v>
      </c>
      <c r="G4">
        <v>3</v>
      </c>
      <c r="H4">
        <v>0</v>
      </c>
    </row>
    <row r="5" spans="1:8" ht="16.5">
      <c r="A5" s="56">
        <v>4</v>
      </c>
      <c r="B5" s="56">
        <v>1</v>
      </c>
      <c r="C5" s="56">
        <v>4</v>
      </c>
      <c r="D5" s="9" t="s">
        <v>282</v>
      </c>
      <c r="F5" t="s">
        <v>87</v>
      </c>
      <c r="G5">
        <v>200</v>
      </c>
      <c r="H5">
        <v>0</v>
      </c>
    </row>
    <row r="6" spans="1:8" ht="16.5">
      <c r="A6" s="56">
        <v>5</v>
      </c>
      <c r="B6" s="56">
        <v>1</v>
      </c>
      <c r="C6" s="56">
        <v>5</v>
      </c>
      <c r="D6" s="9" t="s">
        <v>282</v>
      </c>
      <c r="F6" t="s">
        <v>87</v>
      </c>
      <c r="G6">
        <v>200</v>
      </c>
      <c r="H6">
        <v>0</v>
      </c>
    </row>
    <row r="7" spans="1:8" ht="16.5">
      <c r="A7" s="56">
        <v>6</v>
      </c>
      <c r="B7" s="56">
        <v>1</v>
      </c>
      <c r="C7" s="56">
        <v>6</v>
      </c>
      <c r="D7" s="9" t="s">
        <v>327</v>
      </c>
      <c r="E7" s="56">
        <v>1</v>
      </c>
      <c r="F7" t="s">
        <v>328</v>
      </c>
      <c r="G7">
        <v>100</v>
      </c>
      <c r="H7">
        <v>0</v>
      </c>
    </row>
    <row r="8" spans="1:8" ht="16.5">
      <c r="A8" s="56">
        <v>7</v>
      </c>
      <c r="B8" s="56">
        <v>1</v>
      </c>
      <c r="C8" s="56">
        <v>7</v>
      </c>
      <c r="D8" s="9" t="s">
        <v>282</v>
      </c>
      <c r="E8" s="56"/>
      <c r="F8" t="s">
        <v>87</v>
      </c>
      <c r="G8">
        <v>200</v>
      </c>
      <c r="H8">
        <v>0</v>
      </c>
    </row>
    <row r="9" spans="1:8" ht="16.5">
      <c r="A9" s="56">
        <v>8</v>
      </c>
      <c r="B9" s="56">
        <v>1</v>
      </c>
      <c r="C9" s="56">
        <v>8</v>
      </c>
      <c r="D9" s="9" t="s">
        <v>282</v>
      </c>
      <c r="F9" t="s">
        <v>87</v>
      </c>
      <c r="G9">
        <v>200</v>
      </c>
      <c r="H9">
        <v>0</v>
      </c>
    </row>
    <row r="10" spans="1:8" ht="16.5">
      <c r="A10" s="56">
        <v>9</v>
      </c>
      <c r="B10" s="56">
        <v>1</v>
      </c>
      <c r="C10" s="56">
        <v>9</v>
      </c>
      <c r="D10" s="9" t="s">
        <v>282</v>
      </c>
      <c r="F10" t="s">
        <v>87</v>
      </c>
      <c r="G10">
        <v>200</v>
      </c>
      <c r="H10">
        <v>0</v>
      </c>
    </row>
    <row r="11" spans="1:8" ht="16.5">
      <c r="A11" s="56">
        <v>10</v>
      </c>
      <c r="B11" s="56">
        <v>1</v>
      </c>
      <c r="C11" s="56">
        <v>10</v>
      </c>
      <c r="D11" s="9" t="s">
        <v>296</v>
      </c>
      <c r="E11" s="56">
        <v>1</v>
      </c>
      <c r="F11" t="s">
        <v>297</v>
      </c>
      <c r="G11">
        <v>3</v>
      </c>
      <c r="H11">
        <v>0</v>
      </c>
    </row>
    <row r="12" spans="1:8" ht="16.5">
      <c r="A12" s="56">
        <v>11</v>
      </c>
      <c r="B12" s="56">
        <v>1</v>
      </c>
      <c r="C12" s="56">
        <v>11</v>
      </c>
      <c r="D12" s="9" t="s">
        <v>282</v>
      </c>
      <c r="F12" t="s">
        <v>87</v>
      </c>
      <c r="G12">
        <v>200</v>
      </c>
      <c r="H12">
        <v>0</v>
      </c>
    </row>
    <row r="13" spans="1:8" ht="16.5">
      <c r="A13" s="56">
        <v>12</v>
      </c>
      <c r="B13" s="56">
        <v>1</v>
      </c>
      <c r="C13" s="56">
        <v>12</v>
      </c>
      <c r="D13" s="9" t="s">
        <v>282</v>
      </c>
      <c r="F13" t="s">
        <v>87</v>
      </c>
      <c r="G13">
        <v>200</v>
      </c>
      <c r="H13">
        <v>0</v>
      </c>
    </row>
    <row r="14" spans="1:8" ht="16.5">
      <c r="A14" s="56">
        <v>13</v>
      </c>
      <c r="B14" s="56">
        <v>1</v>
      </c>
      <c r="C14" s="56">
        <v>13</v>
      </c>
      <c r="D14" s="9" t="s">
        <v>256</v>
      </c>
      <c r="F14" t="s">
        <v>87</v>
      </c>
      <c r="G14">
        <v>200</v>
      </c>
      <c r="H14">
        <v>0</v>
      </c>
    </row>
    <row r="15" spans="1:8" ht="16.5">
      <c r="A15" s="56">
        <v>14</v>
      </c>
      <c r="B15" s="56">
        <v>1</v>
      </c>
      <c r="C15" s="56">
        <v>14</v>
      </c>
      <c r="D15" s="9" t="s">
        <v>265</v>
      </c>
      <c r="E15" s="56">
        <v>1</v>
      </c>
      <c r="F15" t="s">
        <v>87</v>
      </c>
      <c r="G15">
        <v>500</v>
      </c>
      <c r="H15">
        <v>0</v>
      </c>
    </row>
    <row r="16" spans="1:8" ht="16.5">
      <c r="A16" s="56">
        <v>15</v>
      </c>
      <c r="B16" s="56">
        <v>1</v>
      </c>
      <c r="C16" s="56">
        <v>15</v>
      </c>
      <c r="D16" s="9" t="s">
        <v>282</v>
      </c>
      <c r="F16" t="s">
        <v>87</v>
      </c>
      <c r="G16">
        <v>200</v>
      </c>
      <c r="H16">
        <v>0</v>
      </c>
    </row>
    <row r="17" spans="1:8" ht="16.5">
      <c r="A17" s="56">
        <v>16</v>
      </c>
      <c r="B17" s="56">
        <v>1</v>
      </c>
      <c r="C17" s="56">
        <v>16</v>
      </c>
      <c r="D17" s="9" t="s">
        <v>282</v>
      </c>
      <c r="F17" t="s">
        <v>87</v>
      </c>
      <c r="G17">
        <v>200</v>
      </c>
      <c r="H17">
        <v>0</v>
      </c>
    </row>
    <row r="18" spans="1:8" ht="16.5">
      <c r="A18" s="56">
        <v>17</v>
      </c>
      <c r="B18" s="56">
        <v>1</v>
      </c>
      <c r="C18" s="56">
        <v>17</v>
      </c>
      <c r="D18" s="9" t="s">
        <v>282</v>
      </c>
      <c r="F18" t="s">
        <v>87</v>
      </c>
      <c r="G18">
        <v>200</v>
      </c>
      <c r="H18">
        <v>0</v>
      </c>
    </row>
    <row r="19" spans="1:8" ht="16.5">
      <c r="A19" s="56">
        <v>18</v>
      </c>
      <c r="B19" s="56">
        <v>1</v>
      </c>
      <c r="C19" s="56">
        <v>18</v>
      </c>
      <c r="D19" s="9" t="s">
        <v>329</v>
      </c>
      <c r="E19" s="56">
        <v>1</v>
      </c>
      <c r="F19" t="s">
        <v>330</v>
      </c>
      <c r="G19">
        <v>60</v>
      </c>
      <c r="H19">
        <v>0</v>
      </c>
    </row>
    <row r="20" spans="1:8" ht="16.5">
      <c r="A20" s="56">
        <v>19</v>
      </c>
      <c r="B20" s="56">
        <v>1</v>
      </c>
      <c r="C20" s="56">
        <v>19</v>
      </c>
      <c r="D20" s="9" t="s">
        <v>282</v>
      </c>
      <c r="F20" t="s">
        <v>87</v>
      </c>
      <c r="G20">
        <v>200</v>
      </c>
      <c r="H20">
        <v>0</v>
      </c>
    </row>
    <row r="21" spans="1:8" ht="16.5">
      <c r="A21" s="56">
        <v>20</v>
      </c>
      <c r="B21" s="56">
        <v>1</v>
      </c>
      <c r="C21" s="56">
        <v>20</v>
      </c>
      <c r="D21" s="9" t="s">
        <v>282</v>
      </c>
      <c r="F21" t="s">
        <v>87</v>
      </c>
      <c r="G21">
        <v>200</v>
      </c>
      <c r="H21">
        <v>0</v>
      </c>
    </row>
    <row r="22" spans="1:8" ht="16.5">
      <c r="A22" s="56">
        <v>21</v>
      </c>
      <c r="B22" s="56">
        <v>1</v>
      </c>
      <c r="C22" s="56">
        <v>21</v>
      </c>
      <c r="D22" s="9" t="s">
        <v>282</v>
      </c>
      <c r="E22" s="56"/>
      <c r="F22" t="s">
        <v>87</v>
      </c>
      <c r="G22">
        <v>200</v>
      </c>
      <c r="H22">
        <v>0</v>
      </c>
    </row>
    <row r="23" spans="1:8" ht="16.5">
      <c r="A23" s="56">
        <v>22</v>
      </c>
      <c r="B23" s="56">
        <v>1</v>
      </c>
      <c r="C23" s="56">
        <v>22</v>
      </c>
      <c r="D23" s="9" t="s">
        <v>296</v>
      </c>
      <c r="F23" t="s">
        <v>87</v>
      </c>
      <c r="G23">
        <v>500</v>
      </c>
      <c r="H23">
        <v>0</v>
      </c>
    </row>
    <row r="24" spans="1:8" ht="16.5">
      <c r="A24" s="56">
        <v>23</v>
      </c>
      <c r="B24" s="56">
        <v>1</v>
      </c>
      <c r="C24" s="56">
        <v>23</v>
      </c>
      <c r="D24" s="9" t="s">
        <v>282</v>
      </c>
      <c r="F24" t="s">
        <v>87</v>
      </c>
      <c r="G24">
        <v>200</v>
      </c>
      <c r="H24">
        <v>0</v>
      </c>
    </row>
    <row r="25" spans="1:8" ht="16.5">
      <c r="A25" s="56">
        <v>24</v>
      </c>
      <c r="B25" s="56">
        <v>1</v>
      </c>
      <c r="C25" s="56">
        <v>24</v>
      </c>
      <c r="D25" s="9" t="s">
        <v>282</v>
      </c>
      <c r="F25" t="s">
        <v>87</v>
      </c>
      <c r="G25">
        <v>200</v>
      </c>
      <c r="H25">
        <v>0</v>
      </c>
    </row>
    <row r="26" spans="1:8" ht="16.5">
      <c r="A26" s="56">
        <v>25</v>
      </c>
      <c r="B26" s="56">
        <v>1</v>
      </c>
      <c r="C26" s="56">
        <v>25</v>
      </c>
      <c r="D26" s="9" t="s">
        <v>282</v>
      </c>
      <c r="F26" t="s">
        <v>87</v>
      </c>
      <c r="G26">
        <v>200</v>
      </c>
      <c r="H26">
        <v>0</v>
      </c>
    </row>
    <row r="27" spans="1:8" ht="16.5">
      <c r="A27" s="56">
        <v>26</v>
      </c>
      <c r="B27" s="56">
        <v>1</v>
      </c>
      <c r="C27" s="56">
        <v>26</v>
      </c>
      <c r="D27" s="9" t="s">
        <v>263</v>
      </c>
      <c r="E27" s="56">
        <v>1</v>
      </c>
      <c r="F27" t="s">
        <v>147</v>
      </c>
      <c r="G27">
        <v>50</v>
      </c>
      <c r="H27">
        <v>0</v>
      </c>
    </row>
    <row r="28" spans="1:8" ht="16.5">
      <c r="A28" s="56">
        <v>27</v>
      </c>
      <c r="B28" s="56">
        <v>1</v>
      </c>
      <c r="C28" s="56">
        <v>27</v>
      </c>
      <c r="D28" s="9" t="s">
        <v>282</v>
      </c>
      <c r="F28" t="s">
        <v>87</v>
      </c>
      <c r="G28">
        <v>200</v>
      </c>
      <c r="H28">
        <v>0</v>
      </c>
    </row>
    <row r="29" spans="1:8" ht="16.5">
      <c r="A29" s="56">
        <v>28</v>
      </c>
      <c r="B29" s="56">
        <v>1</v>
      </c>
      <c r="C29" s="56">
        <v>28</v>
      </c>
      <c r="D29" s="9" t="s">
        <v>282</v>
      </c>
      <c r="E29" s="56"/>
      <c r="F29" t="s">
        <v>87</v>
      </c>
      <c r="G29">
        <v>200</v>
      </c>
      <c r="H29">
        <v>0</v>
      </c>
    </row>
    <row r="30" spans="1:8" ht="16.5">
      <c r="A30" s="56">
        <v>29</v>
      </c>
      <c r="B30" s="56">
        <v>1</v>
      </c>
      <c r="C30" s="56">
        <v>29</v>
      </c>
      <c r="D30" s="9" t="s">
        <v>282</v>
      </c>
      <c r="E30" s="56"/>
      <c r="F30" t="s">
        <v>87</v>
      </c>
      <c r="G30">
        <v>200</v>
      </c>
      <c r="H30">
        <v>0</v>
      </c>
    </row>
    <row r="31" spans="1:8" ht="16.5">
      <c r="A31" s="56">
        <v>30</v>
      </c>
      <c r="B31" s="56">
        <v>1</v>
      </c>
      <c r="C31" s="56">
        <v>30</v>
      </c>
      <c r="D31" s="9" t="s">
        <v>325</v>
      </c>
      <c r="E31" s="56">
        <v>1</v>
      </c>
      <c r="F31" t="s">
        <v>326</v>
      </c>
      <c r="G31">
        <v>3</v>
      </c>
      <c r="H31">
        <v>0</v>
      </c>
    </row>
    <row r="32" spans="1:8" ht="16.5">
      <c r="A32" s="56">
        <v>31</v>
      </c>
      <c r="B32" s="56">
        <v>2</v>
      </c>
      <c r="C32" s="56">
        <v>1</v>
      </c>
      <c r="D32" s="9" t="s">
        <v>263</v>
      </c>
      <c r="E32" s="56">
        <v>1</v>
      </c>
      <c r="F32" s="7" t="s">
        <v>147</v>
      </c>
      <c r="G32">
        <v>50</v>
      </c>
      <c r="H32">
        <v>0</v>
      </c>
    </row>
    <row r="33" spans="1:8" ht="16.5">
      <c r="A33" s="56">
        <v>32</v>
      </c>
      <c r="B33" s="56">
        <v>2</v>
      </c>
      <c r="C33" s="56">
        <v>2</v>
      </c>
      <c r="D33" s="9" t="s">
        <v>331</v>
      </c>
      <c r="E33" s="56"/>
      <c r="F33" s="7" t="s">
        <v>87</v>
      </c>
      <c r="G33">
        <v>400</v>
      </c>
      <c r="H33">
        <v>0</v>
      </c>
    </row>
    <row r="34" spans="1:8" ht="16.5">
      <c r="A34" s="56">
        <v>33</v>
      </c>
      <c r="B34" s="56">
        <v>2</v>
      </c>
      <c r="C34" s="56">
        <v>3</v>
      </c>
      <c r="D34" s="9" t="s">
        <v>332</v>
      </c>
      <c r="E34" s="56">
        <v>1</v>
      </c>
      <c r="F34" s="7" t="s">
        <v>326</v>
      </c>
      <c r="G34">
        <v>6</v>
      </c>
      <c r="H34">
        <v>0</v>
      </c>
    </row>
    <row r="35" spans="1:8" ht="16.5">
      <c r="A35" s="56">
        <v>34</v>
      </c>
      <c r="B35" s="56">
        <v>2</v>
      </c>
      <c r="C35" s="56">
        <v>4</v>
      </c>
      <c r="D35" s="9" t="s">
        <v>331</v>
      </c>
      <c r="F35" s="7" t="s">
        <v>87</v>
      </c>
      <c r="G35">
        <v>400</v>
      </c>
      <c r="H35">
        <v>0</v>
      </c>
    </row>
    <row r="36" spans="1:8" ht="16.5">
      <c r="A36" s="56">
        <v>35</v>
      </c>
      <c r="B36" s="56">
        <v>2</v>
      </c>
      <c r="C36" s="56">
        <v>5</v>
      </c>
      <c r="D36" s="9" t="s">
        <v>331</v>
      </c>
      <c r="F36" s="7" t="s">
        <v>87</v>
      </c>
      <c r="G36">
        <v>400</v>
      </c>
      <c r="H36">
        <v>0</v>
      </c>
    </row>
    <row r="37" spans="1:8" ht="16.5">
      <c r="A37" s="56">
        <v>36</v>
      </c>
      <c r="B37" s="56">
        <v>2</v>
      </c>
      <c r="C37" s="56">
        <v>6</v>
      </c>
      <c r="D37" s="9" t="s">
        <v>333</v>
      </c>
      <c r="E37" s="56">
        <v>1</v>
      </c>
      <c r="F37" s="7" t="s">
        <v>328</v>
      </c>
      <c r="G37">
        <v>300</v>
      </c>
      <c r="H37">
        <v>0</v>
      </c>
    </row>
    <row r="38" spans="1:8" ht="16.5">
      <c r="A38" s="56">
        <v>37</v>
      </c>
      <c r="B38" s="56">
        <v>2</v>
      </c>
      <c r="C38" s="56">
        <v>7</v>
      </c>
      <c r="D38" s="9" t="s">
        <v>331</v>
      </c>
      <c r="E38" s="56"/>
      <c r="F38" s="7" t="s">
        <v>87</v>
      </c>
      <c r="G38">
        <v>400</v>
      </c>
      <c r="H38">
        <v>0</v>
      </c>
    </row>
    <row r="39" spans="1:8" ht="16.5">
      <c r="A39" s="56">
        <v>38</v>
      </c>
      <c r="B39" s="56">
        <v>2</v>
      </c>
      <c r="C39" s="56">
        <v>8</v>
      </c>
      <c r="D39" s="9" t="s">
        <v>331</v>
      </c>
      <c r="F39" s="7" t="s">
        <v>87</v>
      </c>
      <c r="G39">
        <v>400</v>
      </c>
      <c r="H39">
        <v>0</v>
      </c>
    </row>
    <row r="40" spans="1:8" ht="16.5">
      <c r="A40" s="56">
        <v>39</v>
      </c>
      <c r="B40" s="56">
        <v>2</v>
      </c>
      <c r="C40" s="56">
        <v>9</v>
      </c>
      <c r="D40" s="9" t="s">
        <v>331</v>
      </c>
      <c r="F40" s="7" t="s">
        <v>87</v>
      </c>
      <c r="G40">
        <v>400</v>
      </c>
      <c r="H40">
        <v>0</v>
      </c>
    </row>
    <row r="41" spans="1:8" ht="16.5">
      <c r="A41" s="56">
        <v>40</v>
      </c>
      <c r="B41" s="56">
        <v>2</v>
      </c>
      <c r="C41" s="56">
        <v>10</v>
      </c>
      <c r="D41" s="9" t="s">
        <v>334</v>
      </c>
      <c r="E41" s="56">
        <v>1</v>
      </c>
      <c r="F41" s="7" t="s">
        <v>297</v>
      </c>
      <c r="G41">
        <v>8</v>
      </c>
      <c r="H41">
        <v>0</v>
      </c>
    </row>
    <row r="42" spans="1:8" ht="16.5">
      <c r="A42" s="56">
        <v>41</v>
      </c>
      <c r="B42" s="56">
        <v>2</v>
      </c>
      <c r="C42" s="56">
        <v>11</v>
      </c>
      <c r="D42" s="9" t="s">
        <v>331</v>
      </c>
      <c r="F42" s="7" t="s">
        <v>87</v>
      </c>
      <c r="G42">
        <v>400</v>
      </c>
      <c r="H42">
        <v>0</v>
      </c>
    </row>
    <row r="43" spans="1:8" ht="16.5">
      <c r="A43" s="56">
        <v>42</v>
      </c>
      <c r="B43" s="56">
        <v>2</v>
      </c>
      <c r="C43" s="56">
        <v>12</v>
      </c>
      <c r="D43" s="9" t="s">
        <v>331</v>
      </c>
      <c r="F43" s="7" t="s">
        <v>87</v>
      </c>
      <c r="G43">
        <v>400</v>
      </c>
      <c r="H43">
        <v>0</v>
      </c>
    </row>
    <row r="44" spans="1:8" ht="16.5">
      <c r="A44" s="56">
        <v>43</v>
      </c>
      <c r="B44" s="56">
        <v>2</v>
      </c>
      <c r="C44" s="56">
        <v>13</v>
      </c>
      <c r="D44" s="9" t="s">
        <v>256</v>
      </c>
      <c r="F44" s="7" t="s">
        <v>87</v>
      </c>
      <c r="G44">
        <v>400</v>
      </c>
      <c r="H44">
        <v>0</v>
      </c>
    </row>
    <row r="45" spans="1:8" ht="16.5">
      <c r="A45" s="56">
        <v>44</v>
      </c>
      <c r="B45" s="56">
        <v>2</v>
      </c>
      <c r="C45" s="56">
        <v>14</v>
      </c>
      <c r="D45" s="9" t="s">
        <v>335</v>
      </c>
      <c r="E45" s="56">
        <v>1</v>
      </c>
      <c r="F45" s="7" t="s">
        <v>87</v>
      </c>
      <c r="G45">
        <v>2000</v>
      </c>
      <c r="H45">
        <v>0</v>
      </c>
    </row>
    <row r="46" spans="1:8" ht="16.5">
      <c r="A46" s="56">
        <v>45</v>
      </c>
      <c r="B46" s="56">
        <v>2</v>
      </c>
      <c r="C46" s="56">
        <v>15</v>
      </c>
      <c r="D46" s="9" t="s">
        <v>331</v>
      </c>
      <c r="F46" s="7" t="s">
        <v>87</v>
      </c>
      <c r="G46">
        <v>400</v>
      </c>
      <c r="H46">
        <v>0</v>
      </c>
    </row>
    <row r="47" spans="1:8" ht="16.5">
      <c r="A47" s="56">
        <v>46</v>
      </c>
      <c r="B47" s="56">
        <v>2</v>
      </c>
      <c r="C47" s="56">
        <v>16</v>
      </c>
      <c r="D47" s="9" t="s">
        <v>331</v>
      </c>
      <c r="F47" s="7" t="s">
        <v>87</v>
      </c>
      <c r="G47">
        <v>400</v>
      </c>
      <c r="H47">
        <v>0</v>
      </c>
    </row>
    <row r="48" spans="1:8" ht="16.5">
      <c r="A48" s="56">
        <v>47</v>
      </c>
      <c r="B48" s="56">
        <v>2</v>
      </c>
      <c r="C48" s="56">
        <v>17</v>
      </c>
      <c r="D48" s="9" t="s">
        <v>331</v>
      </c>
      <c r="F48" s="7" t="s">
        <v>87</v>
      </c>
      <c r="G48">
        <v>400</v>
      </c>
      <c r="H48">
        <v>0</v>
      </c>
    </row>
    <row r="49" spans="1:8" ht="16.5">
      <c r="A49" s="56">
        <v>48</v>
      </c>
      <c r="B49" s="56">
        <v>2</v>
      </c>
      <c r="C49" s="56">
        <v>18</v>
      </c>
      <c r="D49" s="9" t="s">
        <v>336</v>
      </c>
      <c r="E49" s="56">
        <v>1</v>
      </c>
      <c r="F49" s="7" t="s">
        <v>330</v>
      </c>
      <c r="G49">
        <v>100</v>
      </c>
      <c r="H49">
        <v>0</v>
      </c>
    </row>
    <row r="50" spans="1:8" ht="16.5">
      <c r="A50" s="56">
        <v>49</v>
      </c>
      <c r="B50" s="56">
        <v>2</v>
      </c>
      <c r="C50" s="56">
        <v>19</v>
      </c>
      <c r="D50" s="9" t="s">
        <v>331</v>
      </c>
      <c r="F50" s="7" t="s">
        <v>87</v>
      </c>
      <c r="G50">
        <v>400</v>
      </c>
      <c r="H50">
        <v>0</v>
      </c>
    </row>
    <row r="51" spans="1:8" ht="16.5">
      <c r="A51" s="56">
        <v>50</v>
      </c>
      <c r="B51" s="56">
        <v>2</v>
      </c>
      <c r="C51" s="56">
        <v>20</v>
      </c>
      <c r="D51" s="9" t="s">
        <v>331</v>
      </c>
      <c r="F51" s="7" t="s">
        <v>87</v>
      </c>
      <c r="G51">
        <v>400</v>
      </c>
      <c r="H51">
        <v>0</v>
      </c>
    </row>
    <row r="52" spans="1:8" ht="16.5">
      <c r="A52" s="56">
        <v>51</v>
      </c>
      <c r="B52" s="56">
        <v>2</v>
      </c>
      <c r="C52" s="56">
        <v>21</v>
      </c>
      <c r="D52" s="9" t="s">
        <v>331</v>
      </c>
      <c r="E52" s="56"/>
      <c r="F52" s="7" t="s">
        <v>87</v>
      </c>
      <c r="G52">
        <v>400</v>
      </c>
      <c r="H52">
        <v>0</v>
      </c>
    </row>
    <row r="53" spans="1:8" ht="16.5">
      <c r="A53" s="56">
        <v>52</v>
      </c>
      <c r="B53" s="56">
        <v>2</v>
      </c>
      <c r="C53" s="56">
        <v>22</v>
      </c>
      <c r="D53" s="9" t="s">
        <v>334</v>
      </c>
      <c r="F53" s="7" t="s">
        <v>87</v>
      </c>
      <c r="G53">
        <v>2000</v>
      </c>
      <c r="H53">
        <v>0</v>
      </c>
    </row>
    <row r="54" spans="1:8" ht="16.5">
      <c r="A54" s="56">
        <v>53</v>
      </c>
      <c r="B54" s="56">
        <v>2</v>
      </c>
      <c r="C54" s="56">
        <v>23</v>
      </c>
      <c r="D54" s="9" t="s">
        <v>331</v>
      </c>
      <c r="F54" s="7" t="s">
        <v>87</v>
      </c>
      <c r="G54">
        <v>400</v>
      </c>
      <c r="H54">
        <v>0</v>
      </c>
    </row>
    <row r="55" spans="1:8" ht="16.5">
      <c r="A55" s="56">
        <v>54</v>
      </c>
      <c r="B55" s="56">
        <v>2</v>
      </c>
      <c r="C55" s="56">
        <v>24</v>
      </c>
      <c r="D55" s="9" t="s">
        <v>331</v>
      </c>
      <c r="F55" s="7" t="s">
        <v>87</v>
      </c>
      <c r="G55">
        <v>400</v>
      </c>
      <c r="H55">
        <v>0</v>
      </c>
    </row>
    <row r="56" spans="1:8" ht="16.5">
      <c r="A56" s="56">
        <v>55</v>
      </c>
      <c r="B56" s="56">
        <v>2</v>
      </c>
      <c r="C56" s="56">
        <v>25</v>
      </c>
      <c r="D56" s="9" t="s">
        <v>331</v>
      </c>
      <c r="F56" s="7" t="s">
        <v>87</v>
      </c>
      <c r="G56">
        <v>400</v>
      </c>
      <c r="H56">
        <v>0</v>
      </c>
    </row>
    <row r="57" spans="1:8" ht="16.5">
      <c r="A57" s="56">
        <v>56</v>
      </c>
      <c r="B57" s="56">
        <v>2</v>
      </c>
      <c r="C57" s="56">
        <v>26</v>
      </c>
      <c r="D57" s="9" t="s">
        <v>337</v>
      </c>
      <c r="E57" s="56">
        <v>1</v>
      </c>
      <c r="F57" s="7" t="s">
        <v>147</v>
      </c>
      <c r="G57">
        <v>100</v>
      </c>
      <c r="H57">
        <v>0</v>
      </c>
    </row>
    <row r="58" spans="1:8" ht="16.5">
      <c r="A58" s="56">
        <v>57</v>
      </c>
      <c r="B58" s="56">
        <v>2</v>
      </c>
      <c r="C58" s="56">
        <v>27</v>
      </c>
      <c r="D58" s="9" t="s">
        <v>331</v>
      </c>
      <c r="F58" s="7" t="s">
        <v>87</v>
      </c>
      <c r="G58">
        <v>400</v>
      </c>
      <c r="H58">
        <v>0</v>
      </c>
    </row>
    <row r="59" spans="1:8" ht="16.5">
      <c r="A59" s="56">
        <v>58</v>
      </c>
      <c r="B59" s="56">
        <v>2</v>
      </c>
      <c r="C59" s="56">
        <v>28</v>
      </c>
      <c r="D59" s="9" t="s">
        <v>331</v>
      </c>
      <c r="E59" s="56"/>
      <c r="F59" s="7" t="s">
        <v>87</v>
      </c>
      <c r="G59">
        <v>400</v>
      </c>
      <c r="H59">
        <v>0</v>
      </c>
    </row>
    <row r="60" spans="1:8" ht="16.5">
      <c r="A60" s="56">
        <v>59</v>
      </c>
      <c r="B60" s="56">
        <v>2</v>
      </c>
      <c r="C60" s="56">
        <v>29</v>
      </c>
      <c r="D60" s="9" t="s">
        <v>335</v>
      </c>
      <c r="E60" s="56"/>
      <c r="F60" s="7" t="s">
        <v>87</v>
      </c>
      <c r="G60">
        <v>2000</v>
      </c>
      <c r="H60">
        <v>0</v>
      </c>
    </row>
    <row r="61" spans="1:8" ht="16.5">
      <c r="A61" s="56">
        <v>60</v>
      </c>
      <c r="B61" s="56">
        <v>2</v>
      </c>
      <c r="C61" s="56">
        <v>30</v>
      </c>
      <c r="D61" s="9" t="s">
        <v>332</v>
      </c>
      <c r="E61" s="56">
        <v>1</v>
      </c>
      <c r="F61" s="7" t="s">
        <v>326</v>
      </c>
      <c r="G61">
        <v>6</v>
      </c>
      <c r="H61">
        <v>0</v>
      </c>
    </row>
    <row r="62" spans="1:8" ht="16.5">
      <c r="A62" s="57">
        <v>10001</v>
      </c>
      <c r="B62" s="57">
        <v>1</v>
      </c>
      <c r="C62" s="57">
        <v>1</v>
      </c>
      <c r="D62" s="58" t="s">
        <v>256</v>
      </c>
      <c r="E62" s="57">
        <v>1</v>
      </c>
      <c r="F62" s="59" t="s">
        <v>324</v>
      </c>
      <c r="G62" s="59">
        <v>10</v>
      </c>
      <c r="H62" s="59">
        <v>1001</v>
      </c>
    </row>
    <row r="63" spans="1:8" ht="16.5">
      <c r="A63" s="57">
        <v>10002</v>
      </c>
      <c r="B63" s="57">
        <v>1</v>
      </c>
      <c r="C63" s="57">
        <v>2</v>
      </c>
      <c r="D63" s="58" t="s">
        <v>282</v>
      </c>
      <c r="E63" s="57"/>
      <c r="F63" s="59" t="s">
        <v>87</v>
      </c>
      <c r="G63" s="59">
        <v>200</v>
      </c>
      <c r="H63" s="59">
        <v>1001</v>
      </c>
    </row>
    <row r="64" spans="1:8" ht="16.5">
      <c r="A64" s="57">
        <v>10003</v>
      </c>
      <c r="B64" s="57">
        <v>1</v>
      </c>
      <c r="C64" s="57">
        <v>3</v>
      </c>
      <c r="D64" s="58" t="s">
        <v>325</v>
      </c>
      <c r="E64" s="57">
        <v>1</v>
      </c>
      <c r="F64" s="59" t="s">
        <v>326</v>
      </c>
      <c r="G64" s="59">
        <v>3</v>
      </c>
      <c r="H64" s="59">
        <v>1001</v>
      </c>
    </row>
    <row r="65" spans="1:8" ht="16.5">
      <c r="A65" s="57">
        <v>10004</v>
      </c>
      <c r="B65" s="57">
        <v>1</v>
      </c>
      <c r="C65" s="57">
        <v>4</v>
      </c>
      <c r="D65" s="58" t="s">
        <v>282</v>
      </c>
      <c r="E65" s="59"/>
      <c r="F65" s="59" t="s">
        <v>87</v>
      </c>
      <c r="G65" s="59">
        <v>200</v>
      </c>
      <c r="H65" s="59">
        <v>1001</v>
      </c>
    </row>
    <row r="66" spans="1:8" ht="16.5">
      <c r="A66" s="57">
        <v>10005</v>
      </c>
      <c r="B66" s="57">
        <v>1</v>
      </c>
      <c r="C66" s="57">
        <v>5</v>
      </c>
      <c r="D66" s="58" t="s">
        <v>282</v>
      </c>
      <c r="E66" s="59"/>
      <c r="F66" s="59" t="s">
        <v>87</v>
      </c>
      <c r="G66" s="59">
        <v>200</v>
      </c>
      <c r="H66" s="59">
        <v>1001</v>
      </c>
    </row>
    <row r="67" spans="1:8" ht="16.5">
      <c r="A67" s="57">
        <v>10006</v>
      </c>
      <c r="B67" s="57">
        <v>1</v>
      </c>
      <c r="C67" s="57">
        <v>6</v>
      </c>
      <c r="D67" s="58" t="s">
        <v>327</v>
      </c>
      <c r="E67" s="57">
        <v>1</v>
      </c>
      <c r="F67" s="59" t="s">
        <v>328</v>
      </c>
      <c r="G67" s="59">
        <v>100</v>
      </c>
      <c r="H67" s="59">
        <v>1001</v>
      </c>
    </row>
    <row r="68" spans="1:8" ht="16.5">
      <c r="A68" s="57">
        <v>10007</v>
      </c>
      <c r="B68" s="57">
        <v>1</v>
      </c>
      <c r="C68" s="57">
        <v>7</v>
      </c>
      <c r="D68" s="58" t="s">
        <v>282</v>
      </c>
      <c r="E68" s="57"/>
      <c r="F68" s="59" t="s">
        <v>87</v>
      </c>
      <c r="G68" s="59">
        <v>200</v>
      </c>
      <c r="H68" s="59">
        <v>1001</v>
      </c>
    </row>
    <row r="69" spans="1:8" ht="16.5">
      <c r="A69" s="57">
        <v>10008</v>
      </c>
      <c r="B69" s="57">
        <v>1</v>
      </c>
      <c r="C69" s="57">
        <v>8</v>
      </c>
      <c r="D69" s="58" t="s">
        <v>282</v>
      </c>
      <c r="E69" s="59"/>
      <c r="F69" s="59" t="s">
        <v>87</v>
      </c>
      <c r="G69" s="59">
        <v>200</v>
      </c>
      <c r="H69" s="59">
        <v>1001</v>
      </c>
    </row>
    <row r="70" spans="1:8" ht="16.5">
      <c r="A70" s="57">
        <v>10009</v>
      </c>
      <c r="B70" s="57">
        <v>1</v>
      </c>
      <c r="C70" s="57">
        <v>9</v>
      </c>
      <c r="D70" s="58" t="s">
        <v>282</v>
      </c>
      <c r="E70" s="59"/>
      <c r="F70" s="59" t="s">
        <v>87</v>
      </c>
      <c r="G70" s="59">
        <v>200</v>
      </c>
      <c r="H70" s="59">
        <v>1001</v>
      </c>
    </row>
    <row r="71" spans="1:8" ht="16.5">
      <c r="A71" s="57">
        <v>10010</v>
      </c>
      <c r="B71" s="57">
        <v>1</v>
      </c>
      <c r="C71" s="57">
        <v>10</v>
      </c>
      <c r="D71" s="58" t="s">
        <v>296</v>
      </c>
      <c r="E71" s="57">
        <v>1</v>
      </c>
      <c r="F71" s="59" t="s">
        <v>297</v>
      </c>
      <c r="G71" s="59">
        <v>3</v>
      </c>
      <c r="H71" s="59">
        <v>1001</v>
      </c>
    </row>
    <row r="72" spans="1:8" ht="16.5">
      <c r="A72" s="57">
        <v>10011</v>
      </c>
      <c r="B72" s="57">
        <v>1</v>
      </c>
      <c r="C72" s="57">
        <v>11</v>
      </c>
      <c r="D72" s="58" t="s">
        <v>282</v>
      </c>
      <c r="E72" s="59"/>
      <c r="F72" s="59" t="s">
        <v>87</v>
      </c>
      <c r="G72" s="59">
        <v>200</v>
      </c>
      <c r="H72" s="59">
        <v>1001</v>
      </c>
    </row>
    <row r="73" spans="1:8" ht="16.5">
      <c r="A73" s="57">
        <v>10012</v>
      </c>
      <c r="B73" s="57">
        <v>1</v>
      </c>
      <c r="C73" s="57">
        <v>12</v>
      </c>
      <c r="D73" s="58" t="s">
        <v>282</v>
      </c>
      <c r="E73" s="59"/>
      <c r="F73" s="59" t="s">
        <v>87</v>
      </c>
      <c r="G73" s="59">
        <v>200</v>
      </c>
      <c r="H73" s="59">
        <v>1001</v>
      </c>
    </row>
    <row r="74" spans="1:8" ht="16.5">
      <c r="A74" s="57">
        <v>10013</v>
      </c>
      <c r="B74" s="57">
        <v>1</v>
      </c>
      <c r="C74" s="57">
        <v>13</v>
      </c>
      <c r="D74" s="58" t="s">
        <v>256</v>
      </c>
      <c r="E74" s="59"/>
      <c r="F74" s="59" t="s">
        <v>87</v>
      </c>
      <c r="G74" s="59">
        <v>200</v>
      </c>
      <c r="H74" s="59">
        <v>1001</v>
      </c>
    </row>
    <row r="75" spans="1:8" ht="16.5">
      <c r="A75" s="57">
        <v>10014</v>
      </c>
      <c r="B75" s="57">
        <v>1</v>
      </c>
      <c r="C75" s="57">
        <v>14</v>
      </c>
      <c r="D75" s="58" t="s">
        <v>265</v>
      </c>
      <c r="E75" s="57">
        <v>1</v>
      </c>
      <c r="F75" s="59" t="s">
        <v>87</v>
      </c>
      <c r="G75" s="59">
        <v>500</v>
      </c>
      <c r="H75" s="59">
        <v>1001</v>
      </c>
    </row>
    <row r="76" spans="1:8" ht="16.5">
      <c r="A76" s="57">
        <v>10015</v>
      </c>
      <c r="B76" s="57">
        <v>1</v>
      </c>
      <c r="C76" s="57">
        <v>15</v>
      </c>
      <c r="D76" s="58" t="s">
        <v>282</v>
      </c>
      <c r="E76" s="59"/>
      <c r="F76" s="59" t="s">
        <v>87</v>
      </c>
      <c r="G76" s="59">
        <v>200</v>
      </c>
      <c r="H76" s="59">
        <v>1001</v>
      </c>
    </row>
    <row r="77" spans="1:8" ht="16.5">
      <c r="A77" s="57">
        <v>10016</v>
      </c>
      <c r="B77" s="57">
        <v>1</v>
      </c>
      <c r="C77" s="57">
        <v>16</v>
      </c>
      <c r="D77" s="58" t="s">
        <v>282</v>
      </c>
      <c r="E77" s="59"/>
      <c r="F77" s="59" t="s">
        <v>87</v>
      </c>
      <c r="G77" s="59">
        <v>200</v>
      </c>
      <c r="H77" s="59">
        <v>1001</v>
      </c>
    </row>
    <row r="78" spans="1:8" ht="16.5">
      <c r="A78" s="57">
        <v>10017</v>
      </c>
      <c r="B78" s="57">
        <v>1</v>
      </c>
      <c r="C78" s="57">
        <v>17</v>
      </c>
      <c r="D78" s="58" t="s">
        <v>282</v>
      </c>
      <c r="E78" s="59"/>
      <c r="F78" s="59" t="s">
        <v>87</v>
      </c>
      <c r="G78" s="59">
        <v>200</v>
      </c>
      <c r="H78" s="59">
        <v>1001</v>
      </c>
    </row>
    <row r="79" spans="1:8" ht="16.5">
      <c r="A79" s="57">
        <v>10018</v>
      </c>
      <c r="B79" s="57">
        <v>1</v>
      </c>
      <c r="C79" s="57">
        <v>18</v>
      </c>
      <c r="D79" s="58" t="s">
        <v>329</v>
      </c>
      <c r="E79" s="57">
        <v>1</v>
      </c>
      <c r="F79" s="59" t="s">
        <v>330</v>
      </c>
      <c r="G79" s="59">
        <v>60</v>
      </c>
      <c r="H79" s="59">
        <v>1001</v>
      </c>
    </row>
    <row r="80" spans="1:8" ht="16.5">
      <c r="A80" s="57">
        <v>10019</v>
      </c>
      <c r="B80" s="57">
        <v>1</v>
      </c>
      <c r="C80" s="57">
        <v>19</v>
      </c>
      <c r="D80" s="58" t="s">
        <v>282</v>
      </c>
      <c r="E80" s="59"/>
      <c r="F80" s="59" t="s">
        <v>87</v>
      </c>
      <c r="G80" s="59">
        <v>200</v>
      </c>
      <c r="H80" s="59">
        <v>1001</v>
      </c>
    </row>
    <row r="81" spans="1:8" ht="16.5">
      <c r="A81" s="57">
        <v>10020</v>
      </c>
      <c r="B81" s="57">
        <v>1</v>
      </c>
      <c r="C81" s="57">
        <v>20</v>
      </c>
      <c r="D81" s="58" t="s">
        <v>282</v>
      </c>
      <c r="E81" s="59"/>
      <c r="F81" s="59" t="s">
        <v>87</v>
      </c>
      <c r="G81" s="59">
        <v>200</v>
      </c>
      <c r="H81" s="59">
        <v>1001</v>
      </c>
    </row>
    <row r="82" spans="1:8" ht="16.5">
      <c r="A82" s="57">
        <v>10021</v>
      </c>
      <c r="B82" s="57">
        <v>1</v>
      </c>
      <c r="C82" s="57">
        <v>21</v>
      </c>
      <c r="D82" s="58" t="s">
        <v>282</v>
      </c>
      <c r="E82" s="57"/>
      <c r="F82" s="59" t="s">
        <v>87</v>
      </c>
      <c r="G82" s="59">
        <v>200</v>
      </c>
      <c r="H82" s="59">
        <v>1001</v>
      </c>
    </row>
    <row r="83" spans="1:8" ht="16.5">
      <c r="A83" s="57">
        <v>10022</v>
      </c>
      <c r="B83" s="57">
        <v>1</v>
      </c>
      <c r="C83" s="57">
        <v>22</v>
      </c>
      <c r="D83" s="58" t="s">
        <v>296</v>
      </c>
      <c r="E83" s="59"/>
      <c r="F83" s="59" t="s">
        <v>87</v>
      </c>
      <c r="G83" s="59">
        <v>500</v>
      </c>
      <c r="H83" s="59">
        <v>1001</v>
      </c>
    </row>
    <row r="84" spans="1:8" ht="16.5">
      <c r="A84" s="57">
        <v>10023</v>
      </c>
      <c r="B84" s="57">
        <v>1</v>
      </c>
      <c r="C84" s="57">
        <v>23</v>
      </c>
      <c r="D84" s="58" t="s">
        <v>282</v>
      </c>
      <c r="E84" s="59"/>
      <c r="F84" s="59" t="s">
        <v>87</v>
      </c>
      <c r="G84" s="59">
        <v>200</v>
      </c>
      <c r="H84" s="59">
        <v>1001</v>
      </c>
    </row>
    <row r="85" spans="1:8" ht="16.5">
      <c r="A85" s="57">
        <v>10024</v>
      </c>
      <c r="B85" s="57">
        <v>1</v>
      </c>
      <c r="C85" s="57">
        <v>24</v>
      </c>
      <c r="D85" s="58" t="s">
        <v>282</v>
      </c>
      <c r="E85" s="59"/>
      <c r="F85" s="59" t="s">
        <v>87</v>
      </c>
      <c r="G85" s="59">
        <v>200</v>
      </c>
      <c r="H85" s="59">
        <v>1001</v>
      </c>
    </row>
    <row r="86" spans="1:8" ht="16.5">
      <c r="A86" s="57">
        <v>10025</v>
      </c>
      <c r="B86" s="57">
        <v>1</v>
      </c>
      <c r="C86" s="57">
        <v>25</v>
      </c>
      <c r="D86" s="58" t="s">
        <v>282</v>
      </c>
      <c r="E86" s="59"/>
      <c r="F86" s="59" t="s">
        <v>87</v>
      </c>
      <c r="G86" s="59">
        <v>200</v>
      </c>
      <c r="H86" s="59">
        <v>1001</v>
      </c>
    </row>
    <row r="87" spans="1:8" ht="16.5">
      <c r="A87" s="57">
        <v>10026</v>
      </c>
      <c r="B87" s="57">
        <v>1</v>
      </c>
      <c r="C87" s="57">
        <v>26</v>
      </c>
      <c r="D87" s="58" t="s">
        <v>263</v>
      </c>
      <c r="E87" s="57">
        <v>1</v>
      </c>
      <c r="F87" s="59" t="s">
        <v>147</v>
      </c>
      <c r="G87" s="59">
        <v>50</v>
      </c>
      <c r="H87" s="59">
        <v>1001</v>
      </c>
    </row>
    <row r="88" spans="1:8" ht="16.5">
      <c r="A88" s="57">
        <v>10027</v>
      </c>
      <c r="B88" s="57">
        <v>1</v>
      </c>
      <c r="C88" s="57">
        <v>27</v>
      </c>
      <c r="D88" s="58" t="s">
        <v>282</v>
      </c>
      <c r="E88" s="59"/>
      <c r="F88" s="59" t="s">
        <v>87</v>
      </c>
      <c r="G88" s="59">
        <v>200</v>
      </c>
      <c r="H88" s="59">
        <v>1001</v>
      </c>
    </row>
    <row r="89" spans="1:8" ht="16.5">
      <c r="A89" s="57">
        <v>10028</v>
      </c>
      <c r="B89" s="57">
        <v>1</v>
      </c>
      <c r="C89" s="57">
        <v>28</v>
      </c>
      <c r="D89" s="58" t="s">
        <v>282</v>
      </c>
      <c r="E89" s="57"/>
      <c r="F89" s="59" t="s">
        <v>87</v>
      </c>
      <c r="G89" s="59">
        <v>200</v>
      </c>
      <c r="H89" s="59">
        <v>1001</v>
      </c>
    </row>
    <row r="90" spans="1:8" ht="16.5">
      <c r="A90" s="57">
        <v>10029</v>
      </c>
      <c r="B90" s="57">
        <v>1</v>
      </c>
      <c r="C90" s="57">
        <v>29</v>
      </c>
      <c r="D90" s="58" t="s">
        <v>282</v>
      </c>
      <c r="E90" s="57"/>
      <c r="F90" s="59" t="s">
        <v>87</v>
      </c>
      <c r="G90" s="59">
        <v>200</v>
      </c>
      <c r="H90" s="59">
        <v>1001</v>
      </c>
    </row>
    <row r="91" spans="1:8" ht="16.5">
      <c r="A91" s="57">
        <v>10030</v>
      </c>
      <c r="B91" s="57">
        <v>1</v>
      </c>
      <c r="C91" s="57">
        <v>30</v>
      </c>
      <c r="D91" s="58" t="s">
        <v>325</v>
      </c>
      <c r="E91" s="57">
        <v>1</v>
      </c>
      <c r="F91" s="59" t="s">
        <v>326</v>
      </c>
      <c r="G91" s="59">
        <v>3</v>
      </c>
      <c r="H91" s="59">
        <v>1001</v>
      </c>
    </row>
    <row r="92" spans="1:8" ht="16.5">
      <c r="A92" s="60">
        <v>11001</v>
      </c>
      <c r="B92" s="60">
        <v>1</v>
      </c>
      <c r="C92" s="60">
        <v>1</v>
      </c>
      <c r="D92" s="32" t="s">
        <v>338</v>
      </c>
      <c r="E92" s="60">
        <v>1</v>
      </c>
      <c r="F92" s="19" t="s">
        <v>339</v>
      </c>
      <c r="G92" s="19">
        <v>1</v>
      </c>
      <c r="H92" s="19">
        <v>1101</v>
      </c>
    </row>
    <row r="93" spans="1:8" ht="16.5">
      <c r="A93" s="60">
        <v>11002</v>
      </c>
      <c r="B93" s="60">
        <v>1</v>
      </c>
      <c r="C93" s="60">
        <v>2</v>
      </c>
      <c r="D93" s="32" t="s">
        <v>282</v>
      </c>
      <c r="E93" s="60"/>
      <c r="F93" s="19" t="s">
        <v>87</v>
      </c>
      <c r="G93" s="19">
        <v>200</v>
      </c>
      <c r="H93" s="19">
        <v>1101</v>
      </c>
    </row>
    <row r="94" spans="1:8" ht="16.5">
      <c r="A94" s="60">
        <v>11003</v>
      </c>
      <c r="B94" s="60">
        <v>1</v>
      </c>
      <c r="C94" s="60">
        <v>3</v>
      </c>
      <c r="D94" s="32" t="s">
        <v>340</v>
      </c>
      <c r="E94" s="60">
        <v>1</v>
      </c>
      <c r="F94" s="19" t="s">
        <v>341</v>
      </c>
      <c r="G94" s="19">
        <v>1</v>
      </c>
      <c r="H94" s="19">
        <v>1101</v>
      </c>
    </row>
    <row r="95" spans="1:8" ht="16.5">
      <c r="A95" s="60">
        <v>11004</v>
      </c>
      <c r="B95" s="60">
        <v>1</v>
      </c>
      <c r="C95" s="60">
        <v>4</v>
      </c>
      <c r="D95" s="32" t="s">
        <v>282</v>
      </c>
      <c r="E95" s="19"/>
      <c r="F95" s="19" t="s">
        <v>87</v>
      </c>
      <c r="G95" s="19">
        <v>200</v>
      </c>
      <c r="H95" s="19">
        <v>1101</v>
      </c>
    </row>
    <row r="96" spans="1:8" ht="16.5">
      <c r="A96" s="60">
        <v>11005</v>
      </c>
      <c r="B96" s="60">
        <v>1</v>
      </c>
      <c r="C96" s="60">
        <v>5</v>
      </c>
      <c r="D96" s="32" t="s">
        <v>282</v>
      </c>
      <c r="E96" s="19"/>
      <c r="F96" s="19" t="s">
        <v>87</v>
      </c>
      <c r="G96" s="19">
        <v>200</v>
      </c>
      <c r="H96" s="19">
        <v>1101</v>
      </c>
    </row>
    <row r="97" spans="1:8" ht="16.5">
      <c r="A97" s="60">
        <v>11006</v>
      </c>
      <c r="B97" s="60">
        <v>1</v>
      </c>
      <c r="C97" s="60">
        <v>6</v>
      </c>
      <c r="D97" s="32" t="s">
        <v>342</v>
      </c>
      <c r="E97" s="60">
        <v>1</v>
      </c>
      <c r="F97" s="19" t="s">
        <v>116</v>
      </c>
      <c r="G97" s="19">
        <v>1500</v>
      </c>
      <c r="H97" s="19">
        <v>1101</v>
      </c>
    </row>
    <row r="98" spans="1:8" ht="16.5">
      <c r="A98" s="60">
        <v>11007</v>
      </c>
      <c r="B98" s="60">
        <v>1</v>
      </c>
      <c r="C98" s="60">
        <v>7</v>
      </c>
      <c r="D98" s="32" t="s">
        <v>282</v>
      </c>
      <c r="E98" s="60"/>
      <c r="F98" s="19" t="s">
        <v>87</v>
      </c>
      <c r="G98" s="19">
        <v>200</v>
      </c>
      <c r="H98" s="19">
        <v>1101</v>
      </c>
    </row>
    <row r="99" spans="1:8" ht="16.5">
      <c r="A99" s="60">
        <v>11008</v>
      </c>
      <c r="B99" s="60">
        <v>1</v>
      </c>
      <c r="C99" s="60">
        <v>8</v>
      </c>
      <c r="D99" s="32" t="s">
        <v>282</v>
      </c>
      <c r="E99" s="19"/>
      <c r="F99" s="19" t="s">
        <v>87</v>
      </c>
      <c r="G99" s="19">
        <v>200</v>
      </c>
      <c r="H99" s="19">
        <v>1101</v>
      </c>
    </row>
    <row r="100" spans="1:8" ht="16.5">
      <c r="A100" s="60">
        <v>11009</v>
      </c>
      <c r="B100" s="60">
        <v>1</v>
      </c>
      <c r="C100" s="60">
        <v>9</v>
      </c>
      <c r="D100" s="32" t="s">
        <v>282</v>
      </c>
      <c r="E100" s="19"/>
      <c r="F100" s="19" t="s">
        <v>87</v>
      </c>
      <c r="G100" s="19">
        <v>200</v>
      </c>
      <c r="H100" s="19">
        <v>1101</v>
      </c>
    </row>
    <row r="101" spans="1:8" ht="16.5">
      <c r="A101" s="60">
        <v>11010</v>
      </c>
      <c r="B101" s="60">
        <v>1</v>
      </c>
      <c r="C101" s="60">
        <v>10</v>
      </c>
      <c r="D101" s="32" t="s">
        <v>342</v>
      </c>
      <c r="E101" s="60">
        <v>1</v>
      </c>
      <c r="F101" s="19" t="s">
        <v>116</v>
      </c>
      <c r="G101" s="19">
        <v>1500</v>
      </c>
      <c r="H101" s="19">
        <v>1101</v>
      </c>
    </row>
    <row r="102" spans="1:8" ht="16.5">
      <c r="A102" s="60">
        <v>11011</v>
      </c>
      <c r="B102" s="60">
        <v>1</v>
      </c>
      <c r="C102" s="60">
        <v>11</v>
      </c>
      <c r="D102" s="32" t="s">
        <v>282</v>
      </c>
      <c r="E102" s="19"/>
      <c r="F102" s="19" t="s">
        <v>87</v>
      </c>
      <c r="G102" s="19">
        <v>200</v>
      </c>
      <c r="H102" s="19">
        <v>1101</v>
      </c>
    </row>
    <row r="103" spans="1:8" ht="16.5">
      <c r="A103" s="60">
        <v>11012</v>
      </c>
      <c r="B103" s="60">
        <v>1</v>
      </c>
      <c r="C103" s="60">
        <v>12</v>
      </c>
      <c r="D103" s="32" t="s">
        <v>282</v>
      </c>
      <c r="E103" s="19"/>
      <c r="F103" s="19" t="s">
        <v>87</v>
      </c>
      <c r="G103" s="19">
        <v>200</v>
      </c>
      <c r="H103" s="19">
        <v>1101</v>
      </c>
    </row>
    <row r="104" spans="1:8" ht="16.5">
      <c r="A104" s="60">
        <v>11013</v>
      </c>
      <c r="B104" s="60">
        <v>1</v>
      </c>
      <c r="C104" s="60">
        <v>13</v>
      </c>
      <c r="D104" s="32" t="s">
        <v>340</v>
      </c>
      <c r="E104" s="19"/>
      <c r="F104" s="19" t="s">
        <v>341</v>
      </c>
      <c r="G104" s="19">
        <v>1</v>
      </c>
      <c r="H104" s="19">
        <v>1101</v>
      </c>
    </row>
    <row r="105" spans="1:8" ht="16.5">
      <c r="A105" s="60">
        <v>11014</v>
      </c>
      <c r="B105" s="60">
        <v>1</v>
      </c>
      <c r="C105" s="60">
        <v>14</v>
      </c>
      <c r="D105" s="32" t="s">
        <v>265</v>
      </c>
      <c r="E105" s="60">
        <v>1</v>
      </c>
      <c r="F105" s="19" t="s">
        <v>87</v>
      </c>
      <c r="G105" s="19">
        <v>500</v>
      </c>
      <c r="H105" s="19">
        <v>1101</v>
      </c>
    </row>
    <row r="106" spans="1:8" ht="16.5">
      <c r="A106" s="60">
        <v>11015</v>
      </c>
      <c r="B106" s="60">
        <v>1</v>
      </c>
      <c r="C106" s="60">
        <v>15</v>
      </c>
      <c r="D106" s="32" t="s">
        <v>282</v>
      </c>
      <c r="E106" s="19"/>
      <c r="F106" s="19" t="s">
        <v>87</v>
      </c>
      <c r="G106" s="19">
        <v>200</v>
      </c>
      <c r="H106" s="19">
        <v>1101</v>
      </c>
    </row>
    <row r="107" spans="1:8" ht="16.5">
      <c r="A107" s="60">
        <v>11016</v>
      </c>
      <c r="B107" s="60">
        <v>1</v>
      </c>
      <c r="C107" s="60">
        <v>16</v>
      </c>
      <c r="D107" s="32" t="s">
        <v>282</v>
      </c>
      <c r="E107" s="19"/>
      <c r="F107" s="19" t="s">
        <v>87</v>
      </c>
      <c r="G107" s="19">
        <v>200</v>
      </c>
      <c r="H107" s="19">
        <v>1101</v>
      </c>
    </row>
    <row r="108" spans="1:8" ht="16.5">
      <c r="A108" s="60">
        <v>11017</v>
      </c>
      <c r="B108" s="60">
        <v>1</v>
      </c>
      <c r="C108" s="60">
        <v>17</v>
      </c>
      <c r="D108" s="32" t="s">
        <v>282</v>
      </c>
      <c r="E108" s="19"/>
      <c r="F108" s="19" t="s">
        <v>87</v>
      </c>
      <c r="G108" s="19">
        <v>200</v>
      </c>
      <c r="H108" s="19">
        <v>1101</v>
      </c>
    </row>
    <row r="109" spans="1:8" ht="16.5">
      <c r="A109" s="60">
        <v>11018</v>
      </c>
      <c r="B109" s="60">
        <v>1</v>
      </c>
      <c r="C109" s="60">
        <v>18</v>
      </c>
      <c r="D109" s="32" t="s">
        <v>342</v>
      </c>
      <c r="E109" s="60">
        <v>1</v>
      </c>
      <c r="F109" s="19" t="s">
        <v>116</v>
      </c>
      <c r="G109" s="19">
        <v>1500</v>
      </c>
      <c r="H109" s="19">
        <v>1101</v>
      </c>
    </row>
    <row r="110" spans="1:8" ht="16.5">
      <c r="A110" s="60">
        <v>11019</v>
      </c>
      <c r="B110" s="60">
        <v>1</v>
      </c>
      <c r="C110" s="60">
        <v>19</v>
      </c>
      <c r="D110" s="32" t="s">
        <v>282</v>
      </c>
      <c r="E110" s="19"/>
      <c r="F110" s="19" t="s">
        <v>87</v>
      </c>
      <c r="G110" s="19">
        <v>200</v>
      </c>
      <c r="H110" s="19">
        <v>1101</v>
      </c>
    </row>
    <row r="111" spans="1:8" ht="16.5">
      <c r="A111" s="60">
        <v>11020</v>
      </c>
      <c r="B111" s="60">
        <v>1</v>
      </c>
      <c r="C111" s="60">
        <v>20</v>
      </c>
      <c r="D111" s="32" t="s">
        <v>282</v>
      </c>
      <c r="E111" s="19"/>
      <c r="F111" s="19" t="s">
        <v>87</v>
      </c>
      <c r="G111" s="19">
        <v>200</v>
      </c>
      <c r="H111" s="19">
        <v>1101</v>
      </c>
    </row>
    <row r="112" spans="1:8" ht="16.5">
      <c r="A112" s="60">
        <v>11021</v>
      </c>
      <c r="B112" s="60">
        <v>1</v>
      </c>
      <c r="C112" s="60">
        <v>21</v>
      </c>
      <c r="D112" s="32" t="s">
        <v>282</v>
      </c>
      <c r="E112" s="60"/>
      <c r="F112" s="19" t="s">
        <v>87</v>
      </c>
      <c r="G112" s="19">
        <v>200</v>
      </c>
      <c r="H112" s="19">
        <v>1101</v>
      </c>
    </row>
    <row r="113" spans="1:8" ht="16.5">
      <c r="A113" s="60">
        <v>11022</v>
      </c>
      <c r="B113" s="60">
        <v>1</v>
      </c>
      <c r="C113" s="60">
        <v>22</v>
      </c>
      <c r="D113" s="32" t="s">
        <v>340</v>
      </c>
      <c r="E113" s="19"/>
      <c r="F113" s="19" t="s">
        <v>341</v>
      </c>
      <c r="G113" s="19">
        <v>1</v>
      </c>
      <c r="H113" s="19">
        <v>1101</v>
      </c>
    </row>
    <row r="114" spans="1:8" ht="16.5">
      <c r="A114" s="60">
        <v>11023</v>
      </c>
      <c r="B114" s="60">
        <v>1</v>
      </c>
      <c r="C114" s="60">
        <v>23</v>
      </c>
      <c r="D114" s="32" t="s">
        <v>282</v>
      </c>
      <c r="E114" s="19"/>
      <c r="F114" s="19" t="s">
        <v>87</v>
      </c>
      <c r="G114" s="19">
        <v>200</v>
      </c>
      <c r="H114" s="19">
        <v>1101</v>
      </c>
    </row>
    <row r="115" spans="1:8" ht="16.5">
      <c r="A115" s="60">
        <v>11024</v>
      </c>
      <c r="B115" s="60">
        <v>1</v>
      </c>
      <c r="C115" s="60">
        <v>24</v>
      </c>
      <c r="D115" s="32" t="s">
        <v>282</v>
      </c>
      <c r="E115" s="19"/>
      <c r="F115" s="19" t="s">
        <v>87</v>
      </c>
      <c r="G115" s="19">
        <v>200</v>
      </c>
      <c r="H115" s="19">
        <v>1101</v>
      </c>
    </row>
    <row r="116" spans="1:8" ht="16.5">
      <c r="A116" s="60">
        <v>11025</v>
      </c>
      <c r="B116" s="60">
        <v>1</v>
      </c>
      <c r="C116" s="60">
        <v>25</v>
      </c>
      <c r="D116" s="32" t="s">
        <v>282</v>
      </c>
      <c r="E116" s="19"/>
      <c r="F116" s="19" t="s">
        <v>87</v>
      </c>
      <c r="G116" s="19">
        <v>200</v>
      </c>
      <c r="H116" s="19">
        <v>1101</v>
      </c>
    </row>
    <row r="117" spans="1:8" ht="16.5">
      <c r="A117" s="60">
        <v>11026</v>
      </c>
      <c r="B117" s="60">
        <v>1</v>
      </c>
      <c r="C117" s="60">
        <v>26</v>
      </c>
      <c r="D117" s="32" t="s">
        <v>342</v>
      </c>
      <c r="E117" s="60">
        <v>1</v>
      </c>
      <c r="F117" s="19" t="s">
        <v>116</v>
      </c>
      <c r="G117" s="19">
        <v>1500</v>
      </c>
      <c r="H117" s="19">
        <v>1101</v>
      </c>
    </row>
    <row r="118" spans="1:8" ht="16.5">
      <c r="A118" s="60">
        <v>11027</v>
      </c>
      <c r="B118" s="60">
        <v>1</v>
      </c>
      <c r="C118" s="60">
        <v>27</v>
      </c>
      <c r="D118" s="32" t="s">
        <v>282</v>
      </c>
      <c r="E118" s="19"/>
      <c r="F118" s="19" t="s">
        <v>87</v>
      </c>
      <c r="G118" s="19">
        <v>200</v>
      </c>
      <c r="H118" s="19">
        <v>1101</v>
      </c>
    </row>
    <row r="119" spans="1:8" ht="16.5">
      <c r="A119" s="60">
        <v>11028</v>
      </c>
      <c r="B119" s="60">
        <v>1</v>
      </c>
      <c r="C119" s="60">
        <v>28</v>
      </c>
      <c r="D119" s="32" t="s">
        <v>282</v>
      </c>
      <c r="E119" s="60"/>
      <c r="F119" s="19" t="s">
        <v>87</v>
      </c>
      <c r="G119" s="19">
        <v>200</v>
      </c>
      <c r="H119" s="19">
        <v>1101</v>
      </c>
    </row>
    <row r="120" spans="1:8" ht="16.5">
      <c r="A120" s="60">
        <v>11029</v>
      </c>
      <c r="B120" s="60">
        <v>1</v>
      </c>
      <c r="C120" s="60">
        <v>29</v>
      </c>
      <c r="D120" s="32" t="s">
        <v>282</v>
      </c>
      <c r="E120" s="60"/>
      <c r="F120" s="19" t="s">
        <v>87</v>
      </c>
      <c r="G120" s="19">
        <v>200</v>
      </c>
      <c r="H120" s="19">
        <v>1101</v>
      </c>
    </row>
    <row r="121" spans="1:8" ht="16.5">
      <c r="A121" s="60">
        <v>11030</v>
      </c>
      <c r="B121" s="60">
        <v>1</v>
      </c>
      <c r="C121" s="60">
        <v>30</v>
      </c>
      <c r="D121" s="32" t="s">
        <v>343</v>
      </c>
      <c r="E121" s="60">
        <v>1</v>
      </c>
      <c r="F121" s="19" t="s">
        <v>344</v>
      </c>
      <c r="G121" s="19">
        <v>1</v>
      </c>
      <c r="H121" s="19">
        <v>1101</v>
      </c>
    </row>
    <row r="122" spans="1:8" ht="16.5">
      <c r="A122" s="61">
        <v>12001</v>
      </c>
      <c r="B122" s="61">
        <v>1</v>
      </c>
      <c r="C122" s="61">
        <v>1</v>
      </c>
      <c r="D122" s="62" t="s">
        <v>345</v>
      </c>
      <c r="E122" s="61">
        <v>1</v>
      </c>
      <c r="F122" s="63" t="s">
        <v>346</v>
      </c>
      <c r="G122" s="63">
        <v>1</v>
      </c>
      <c r="H122" s="63">
        <v>1201</v>
      </c>
    </row>
    <row r="123" spans="1:8" ht="16.5">
      <c r="A123" s="61">
        <v>12002</v>
      </c>
      <c r="B123" s="61">
        <v>1</v>
      </c>
      <c r="C123" s="61">
        <v>2</v>
      </c>
      <c r="D123" s="62" t="s">
        <v>282</v>
      </c>
      <c r="E123" s="61"/>
      <c r="F123" s="63" t="s">
        <v>87</v>
      </c>
      <c r="G123" s="63">
        <v>200</v>
      </c>
      <c r="H123" s="63">
        <v>1201</v>
      </c>
    </row>
    <row r="124" spans="1:8" ht="16.5">
      <c r="A124" s="61">
        <v>12003</v>
      </c>
      <c r="B124" s="61">
        <v>1</v>
      </c>
      <c r="C124" s="61">
        <v>3</v>
      </c>
      <c r="D124" s="62" t="s">
        <v>347</v>
      </c>
      <c r="E124" s="61">
        <v>1</v>
      </c>
      <c r="F124" s="63" t="s">
        <v>207</v>
      </c>
      <c r="G124" s="63">
        <v>25</v>
      </c>
      <c r="H124" s="63">
        <v>1201</v>
      </c>
    </row>
    <row r="125" spans="1:8" ht="16.5">
      <c r="A125" s="61">
        <v>12004</v>
      </c>
      <c r="B125" s="61">
        <v>1</v>
      </c>
      <c r="C125" s="61">
        <v>4</v>
      </c>
      <c r="D125" s="62" t="s">
        <v>282</v>
      </c>
      <c r="E125" s="63"/>
      <c r="F125" s="63" t="s">
        <v>87</v>
      </c>
      <c r="G125" s="63">
        <v>200</v>
      </c>
      <c r="H125" s="63">
        <v>1201</v>
      </c>
    </row>
    <row r="126" spans="1:8" ht="16.5">
      <c r="A126" s="61">
        <v>12005</v>
      </c>
      <c r="B126" s="61">
        <v>1</v>
      </c>
      <c r="C126" s="61">
        <v>5</v>
      </c>
      <c r="D126" s="62" t="s">
        <v>282</v>
      </c>
      <c r="E126" s="63"/>
      <c r="F126" s="63" t="s">
        <v>87</v>
      </c>
      <c r="G126" s="63">
        <v>200</v>
      </c>
      <c r="H126" s="63">
        <v>1201</v>
      </c>
    </row>
    <row r="127" spans="1:8" ht="16.5">
      <c r="A127" s="61">
        <v>12006</v>
      </c>
      <c r="B127" s="61">
        <v>1</v>
      </c>
      <c r="C127" s="61">
        <v>6</v>
      </c>
      <c r="D127" s="62" t="s">
        <v>348</v>
      </c>
      <c r="E127" s="61">
        <v>1</v>
      </c>
      <c r="F127" s="63" t="s">
        <v>349</v>
      </c>
      <c r="G127" s="63">
        <v>100</v>
      </c>
      <c r="H127" s="63">
        <v>1201</v>
      </c>
    </row>
    <row r="128" spans="1:8" ht="16.5">
      <c r="A128" s="61">
        <v>12007</v>
      </c>
      <c r="B128" s="61">
        <v>1</v>
      </c>
      <c r="C128" s="61">
        <v>7</v>
      </c>
      <c r="D128" s="62" t="s">
        <v>282</v>
      </c>
      <c r="E128" s="61"/>
      <c r="F128" s="63" t="s">
        <v>87</v>
      </c>
      <c r="G128" s="63">
        <v>200</v>
      </c>
      <c r="H128" s="63">
        <v>1201</v>
      </c>
    </row>
    <row r="129" spans="1:8" ht="16.5">
      <c r="A129" s="61">
        <v>12008</v>
      </c>
      <c r="B129" s="61">
        <v>1</v>
      </c>
      <c r="C129" s="61">
        <v>8</v>
      </c>
      <c r="D129" s="62" t="s">
        <v>282</v>
      </c>
      <c r="E129" s="63"/>
      <c r="F129" s="63" t="s">
        <v>87</v>
      </c>
      <c r="G129" s="63">
        <v>200</v>
      </c>
      <c r="H129" s="63">
        <v>1201</v>
      </c>
    </row>
    <row r="130" spans="1:8" ht="16.5">
      <c r="A130" s="61">
        <v>12009</v>
      </c>
      <c r="B130" s="61">
        <v>1</v>
      </c>
      <c r="C130" s="61">
        <v>9</v>
      </c>
      <c r="D130" s="62" t="s">
        <v>282</v>
      </c>
      <c r="E130" s="63"/>
      <c r="F130" s="63" t="s">
        <v>87</v>
      </c>
      <c r="G130" s="63">
        <v>200</v>
      </c>
      <c r="H130" s="63">
        <v>1201</v>
      </c>
    </row>
    <row r="131" spans="1:8" ht="16.5">
      <c r="A131" s="61">
        <v>12010</v>
      </c>
      <c r="B131" s="61">
        <v>1</v>
      </c>
      <c r="C131" s="61">
        <v>10</v>
      </c>
      <c r="D131" s="62" t="s">
        <v>347</v>
      </c>
      <c r="E131" s="61">
        <v>1</v>
      </c>
      <c r="F131" s="63" t="s">
        <v>207</v>
      </c>
      <c r="G131" s="63">
        <v>25</v>
      </c>
      <c r="H131" s="63">
        <v>1201</v>
      </c>
    </row>
    <row r="132" spans="1:8" ht="16.5">
      <c r="A132" s="61">
        <v>12011</v>
      </c>
      <c r="B132" s="61">
        <v>1</v>
      </c>
      <c r="C132" s="61">
        <v>11</v>
      </c>
      <c r="D132" s="62" t="s">
        <v>282</v>
      </c>
      <c r="E132" s="63"/>
      <c r="F132" s="63" t="s">
        <v>87</v>
      </c>
      <c r="G132" s="63">
        <v>200</v>
      </c>
      <c r="H132" s="63">
        <v>1201</v>
      </c>
    </row>
    <row r="133" spans="1:8" ht="16.5">
      <c r="A133" s="61">
        <v>12012</v>
      </c>
      <c r="B133" s="61">
        <v>1</v>
      </c>
      <c r="C133" s="61">
        <v>12</v>
      </c>
      <c r="D133" s="62" t="s">
        <v>282</v>
      </c>
      <c r="E133" s="63"/>
      <c r="F133" s="63" t="s">
        <v>87</v>
      </c>
      <c r="G133" s="63">
        <v>200</v>
      </c>
      <c r="H133" s="63">
        <v>1201</v>
      </c>
    </row>
    <row r="134" spans="1:8" ht="16.5">
      <c r="A134" s="61">
        <v>12013</v>
      </c>
      <c r="B134" s="61">
        <v>1</v>
      </c>
      <c r="C134" s="61">
        <v>13</v>
      </c>
      <c r="D134" s="62" t="s">
        <v>348</v>
      </c>
      <c r="E134" s="63"/>
      <c r="F134" s="63" t="s">
        <v>349</v>
      </c>
      <c r="G134" s="63">
        <v>100</v>
      </c>
      <c r="H134" s="63">
        <v>1201</v>
      </c>
    </row>
    <row r="135" spans="1:8" ht="16.5">
      <c r="A135" s="61">
        <v>12014</v>
      </c>
      <c r="B135" s="61">
        <v>1</v>
      </c>
      <c r="C135" s="61">
        <v>14</v>
      </c>
      <c r="D135" s="62" t="s">
        <v>265</v>
      </c>
      <c r="E135" s="61">
        <v>1</v>
      </c>
      <c r="F135" s="63" t="s">
        <v>87</v>
      </c>
      <c r="G135" s="63">
        <v>500</v>
      </c>
      <c r="H135" s="63">
        <v>1201</v>
      </c>
    </row>
    <row r="136" spans="1:8" ht="16.5">
      <c r="A136" s="61">
        <v>12015</v>
      </c>
      <c r="B136" s="61">
        <v>1</v>
      </c>
      <c r="C136" s="61">
        <v>15</v>
      </c>
      <c r="D136" s="62" t="s">
        <v>282</v>
      </c>
      <c r="E136" s="63"/>
      <c r="F136" s="63" t="s">
        <v>87</v>
      </c>
      <c r="G136" s="63">
        <v>200</v>
      </c>
      <c r="H136" s="63">
        <v>1201</v>
      </c>
    </row>
    <row r="137" spans="1:8" ht="16.5">
      <c r="A137" s="61">
        <v>12016</v>
      </c>
      <c r="B137" s="61">
        <v>1</v>
      </c>
      <c r="C137" s="61">
        <v>16</v>
      </c>
      <c r="D137" s="62" t="s">
        <v>282</v>
      </c>
      <c r="E137" s="63"/>
      <c r="F137" s="63" t="s">
        <v>87</v>
      </c>
      <c r="G137" s="63">
        <v>200</v>
      </c>
      <c r="H137" s="63">
        <v>1201</v>
      </c>
    </row>
    <row r="138" spans="1:8" ht="16.5">
      <c r="A138" s="61">
        <v>12017</v>
      </c>
      <c r="B138" s="61">
        <v>1</v>
      </c>
      <c r="C138" s="61">
        <v>17</v>
      </c>
      <c r="D138" s="62" t="s">
        <v>282</v>
      </c>
      <c r="E138" s="63"/>
      <c r="F138" s="63" t="s">
        <v>87</v>
      </c>
      <c r="G138" s="63">
        <v>200</v>
      </c>
      <c r="H138" s="63">
        <v>1201</v>
      </c>
    </row>
    <row r="139" spans="1:8" ht="16.5">
      <c r="A139" s="61">
        <v>12018</v>
      </c>
      <c r="B139" s="61">
        <v>1</v>
      </c>
      <c r="C139" s="61">
        <v>18</v>
      </c>
      <c r="D139" s="62" t="s">
        <v>347</v>
      </c>
      <c r="E139" s="61">
        <v>1</v>
      </c>
      <c r="F139" s="63" t="s">
        <v>207</v>
      </c>
      <c r="G139" s="63">
        <v>25</v>
      </c>
      <c r="H139" s="63">
        <v>1201</v>
      </c>
    </row>
    <row r="140" spans="1:8" ht="16.5">
      <c r="A140" s="61">
        <v>12019</v>
      </c>
      <c r="B140" s="61">
        <v>1</v>
      </c>
      <c r="C140" s="61">
        <v>19</v>
      </c>
      <c r="D140" s="62" t="s">
        <v>282</v>
      </c>
      <c r="E140" s="63"/>
      <c r="F140" s="63" t="s">
        <v>87</v>
      </c>
      <c r="G140" s="63">
        <v>200</v>
      </c>
      <c r="H140" s="63">
        <v>1201</v>
      </c>
    </row>
    <row r="141" spans="1:8" ht="16.5">
      <c r="A141" s="61">
        <v>12020</v>
      </c>
      <c r="B141" s="61">
        <v>1</v>
      </c>
      <c r="C141" s="61">
        <v>20</v>
      </c>
      <c r="D141" s="62" t="s">
        <v>282</v>
      </c>
      <c r="E141" s="63"/>
      <c r="F141" s="63" t="s">
        <v>87</v>
      </c>
      <c r="G141" s="63">
        <v>200</v>
      </c>
      <c r="H141" s="63">
        <v>1201</v>
      </c>
    </row>
    <row r="142" spans="1:8" ht="16.5">
      <c r="A142" s="61">
        <v>12021</v>
      </c>
      <c r="B142" s="61">
        <v>1</v>
      </c>
      <c r="C142" s="61">
        <v>21</v>
      </c>
      <c r="D142" s="62" t="s">
        <v>282</v>
      </c>
      <c r="E142" s="61"/>
      <c r="F142" s="63" t="s">
        <v>87</v>
      </c>
      <c r="G142" s="63">
        <v>200</v>
      </c>
      <c r="H142" s="63">
        <v>1201</v>
      </c>
    </row>
    <row r="143" spans="1:8" ht="16.5">
      <c r="A143" s="61">
        <v>12022</v>
      </c>
      <c r="B143" s="61">
        <v>1</v>
      </c>
      <c r="C143" s="61">
        <v>22</v>
      </c>
      <c r="D143" s="62" t="s">
        <v>348</v>
      </c>
      <c r="E143" s="63"/>
      <c r="F143" s="63" t="s">
        <v>349</v>
      </c>
      <c r="G143" s="63">
        <v>100</v>
      </c>
      <c r="H143" s="63">
        <v>1201</v>
      </c>
    </row>
    <row r="144" spans="1:8" ht="16.5">
      <c r="A144" s="61">
        <v>12023</v>
      </c>
      <c r="B144" s="61">
        <v>1</v>
      </c>
      <c r="C144" s="61">
        <v>23</v>
      </c>
      <c r="D144" s="62" t="s">
        <v>282</v>
      </c>
      <c r="E144" s="63"/>
      <c r="F144" s="63" t="s">
        <v>87</v>
      </c>
      <c r="G144" s="63">
        <v>200</v>
      </c>
      <c r="H144" s="63">
        <v>1201</v>
      </c>
    </row>
    <row r="145" spans="1:8" ht="16.5">
      <c r="A145" s="61">
        <v>12024</v>
      </c>
      <c r="B145" s="61">
        <v>1</v>
      </c>
      <c r="C145" s="61">
        <v>24</v>
      </c>
      <c r="D145" s="62" t="s">
        <v>282</v>
      </c>
      <c r="E145" s="63"/>
      <c r="F145" s="63" t="s">
        <v>87</v>
      </c>
      <c r="G145" s="63">
        <v>200</v>
      </c>
      <c r="H145" s="63">
        <v>1201</v>
      </c>
    </row>
    <row r="146" spans="1:8" ht="16.5">
      <c r="A146" s="61">
        <v>12025</v>
      </c>
      <c r="B146" s="61">
        <v>1</v>
      </c>
      <c r="C146" s="61">
        <v>25</v>
      </c>
      <c r="D146" s="62" t="s">
        <v>282</v>
      </c>
      <c r="E146" s="63"/>
      <c r="F146" s="63" t="s">
        <v>87</v>
      </c>
      <c r="G146" s="63">
        <v>200</v>
      </c>
      <c r="H146" s="63">
        <v>1201</v>
      </c>
    </row>
    <row r="147" spans="1:8" ht="16.5">
      <c r="A147" s="61">
        <v>12026</v>
      </c>
      <c r="B147" s="61">
        <v>1</v>
      </c>
      <c r="C147" s="61">
        <v>26</v>
      </c>
      <c r="D147" s="62" t="s">
        <v>347</v>
      </c>
      <c r="E147" s="61">
        <v>1</v>
      </c>
      <c r="F147" s="63" t="s">
        <v>207</v>
      </c>
      <c r="G147" s="63">
        <v>25</v>
      </c>
      <c r="H147" s="63">
        <v>1201</v>
      </c>
    </row>
    <row r="148" spans="1:8" ht="16.5">
      <c r="A148" s="61">
        <v>12027</v>
      </c>
      <c r="B148" s="61">
        <v>1</v>
      </c>
      <c r="C148" s="61">
        <v>27</v>
      </c>
      <c r="D148" s="62" t="s">
        <v>282</v>
      </c>
      <c r="E148" s="63"/>
      <c r="F148" s="63" t="s">
        <v>87</v>
      </c>
      <c r="G148" s="63">
        <v>200</v>
      </c>
      <c r="H148" s="63">
        <v>1201</v>
      </c>
    </row>
    <row r="149" spans="1:8" ht="16.5">
      <c r="A149" s="61">
        <v>12028</v>
      </c>
      <c r="B149" s="61">
        <v>1</v>
      </c>
      <c r="C149" s="61">
        <v>28</v>
      </c>
      <c r="D149" s="62" t="s">
        <v>282</v>
      </c>
      <c r="E149" s="61"/>
      <c r="F149" s="63" t="s">
        <v>87</v>
      </c>
      <c r="G149" s="63">
        <v>200</v>
      </c>
      <c r="H149" s="63">
        <v>1201</v>
      </c>
    </row>
    <row r="150" spans="1:8" ht="16.5">
      <c r="A150" s="61">
        <v>12029</v>
      </c>
      <c r="B150" s="61">
        <v>1</v>
      </c>
      <c r="C150" s="61">
        <v>29</v>
      </c>
      <c r="D150" s="62" t="s">
        <v>282</v>
      </c>
      <c r="E150" s="61"/>
      <c r="F150" s="63" t="s">
        <v>87</v>
      </c>
      <c r="G150" s="63">
        <v>200</v>
      </c>
      <c r="H150" s="63">
        <v>1201</v>
      </c>
    </row>
    <row r="151" spans="1:8" ht="16.5">
      <c r="A151" s="61">
        <v>12030</v>
      </c>
      <c r="B151" s="61">
        <v>1</v>
      </c>
      <c r="C151" s="61">
        <v>30</v>
      </c>
      <c r="D151" s="62" t="s">
        <v>350</v>
      </c>
      <c r="E151" s="61">
        <v>1</v>
      </c>
      <c r="F151" s="63" t="s">
        <v>351</v>
      </c>
      <c r="G151" s="63">
        <v>2</v>
      </c>
      <c r="H151" s="63">
        <v>1201</v>
      </c>
    </row>
    <row r="152" spans="1:8" ht="16.5">
      <c r="A152" s="64">
        <v>13001</v>
      </c>
      <c r="B152" s="64">
        <v>1</v>
      </c>
      <c r="C152" s="64">
        <v>1</v>
      </c>
      <c r="D152" s="65" t="s">
        <v>352</v>
      </c>
      <c r="E152" s="64">
        <v>1</v>
      </c>
      <c r="F152" s="66" t="s">
        <v>353</v>
      </c>
      <c r="G152" s="66">
        <v>1</v>
      </c>
      <c r="H152" s="66">
        <v>1301</v>
      </c>
    </row>
    <row r="153" spans="1:8" ht="16.5">
      <c r="A153" s="64">
        <v>13002</v>
      </c>
      <c r="B153" s="64">
        <v>1</v>
      </c>
      <c r="C153" s="64">
        <v>2</v>
      </c>
      <c r="D153" s="65" t="s">
        <v>282</v>
      </c>
      <c r="E153" s="64"/>
      <c r="F153" s="66" t="s">
        <v>87</v>
      </c>
      <c r="G153" s="66">
        <v>200</v>
      </c>
      <c r="H153" s="66">
        <v>1301</v>
      </c>
    </row>
    <row r="154" spans="1:8" ht="16.5">
      <c r="A154" s="64">
        <v>13003</v>
      </c>
      <c r="B154" s="64">
        <v>1</v>
      </c>
      <c r="C154" s="64">
        <v>3</v>
      </c>
      <c r="D154" s="65" t="s">
        <v>354</v>
      </c>
      <c r="E154" s="64">
        <v>1</v>
      </c>
      <c r="F154" s="66" t="s">
        <v>355</v>
      </c>
      <c r="G154" s="66">
        <v>1000</v>
      </c>
      <c r="H154" s="66">
        <v>1301</v>
      </c>
    </row>
    <row r="155" spans="1:8" ht="16.5">
      <c r="A155" s="64">
        <v>13004</v>
      </c>
      <c r="B155" s="64">
        <v>1</v>
      </c>
      <c r="C155" s="64">
        <v>4</v>
      </c>
      <c r="D155" s="65" t="s">
        <v>282</v>
      </c>
      <c r="E155" s="66"/>
      <c r="F155" s="66" t="s">
        <v>87</v>
      </c>
      <c r="G155" s="66">
        <v>200</v>
      </c>
      <c r="H155" s="66">
        <v>1301</v>
      </c>
    </row>
    <row r="156" spans="1:8" ht="16.5">
      <c r="A156" s="64">
        <v>13005</v>
      </c>
      <c r="B156" s="64">
        <v>1</v>
      </c>
      <c r="C156" s="64">
        <v>5</v>
      </c>
      <c r="D156" s="65" t="s">
        <v>282</v>
      </c>
      <c r="E156" s="66"/>
      <c r="F156" s="66" t="s">
        <v>87</v>
      </c>
      <c r="G156" s="66">
        <v>200</v>
      </c>
      <c r="H156" s="66">
        <v>1301</v>
      </c>
    </row>
    <row r="157" spans="1:8" ht="16.5">
      <c r="A157" s="64">
        <v>13006</v>
      </c>
      <c r="B157" s="64">
        <v>1</v>
      </c>
      <c r="C157" s="64">
        <v>6</v>
      </c>
      <c r="D157" s="65" t="s">
        <v>356</v>
      </c>
      <c r="E157" s="64">
        <v>1</v>
      </c>
      <c r="F157" s="66" t="s">
        <v>355</v>
      </c>
      <c r="G157" s="66">
        <v>2000</v>
      </c>
      <c r="H157" s="66">
        <v>1301</v>
      </c>
    </row>
    <row r="158" spans="1:8" ht="16.5">
      <c r="A158" s="64">
        <v>13007</v>
      </c>
      <c r="B158" s="64">
        <v>1</v>
      </c>
      <c r="C158" s="64">
        <v>7</v>
      </c>
      <c r="D158" s="65" t="s">
        <v>282</v>
      </c>
      <c r="E158" s="64"/>
      <c r="F158" s="66" t="s">
        <v>87</v>
      </c>
      <c r="G158" s="66">
        <v>200</v>
      </c>
      <c r="H158" s="66">
        <v>1301</v>
      </c>
    </row>
    <row r="159" spans="1:8" ht="16.5">
      <c r="A159" s="64">
        <v>13008</v>
      </c>
      <c r="B159" s="64">
        <v>1</v>
      </c>
      <c r="C159" s="64">
        <v>8</v>
      </c>
      <c r="D159" s="65" t="s">
        <v>282</v>
      </c>
      <c r="E159" s="66"/>
      <c r="F159" s="66" t="s">
        <v>87</v>
      </c>
      <c r="G159" s="66">
        <v>200</v>
      </c>
      <c r="H159" s="66">
        <v>1301</v>
      </c>
    </row>
    <row r="160" spans="1:8" ht="16.5">
      <c r="A160" s="64">
        <v>13009</v>
      </c>
      <c r="B160" s="64">
        <v>1</v>
      </c>
      <c r="C160" s="64">
        <v>9</v>
      </c>
      <c r="D160" s="65" t="s">
        <v>282</v>
      </c>
      <c r="E160" s="66"/>
      <c r="F160" s="66" t="s">
        <v>87</v>
      </c>
      <c r="G160" s="66">
        <v>200</v>
      </c>
      <c r="H160" s="66">
        <v>1301</v>
      </c>
    </row>
    <row r="161" spans="1:8" ht="16.5">
      <c r="A161" s="64">
        <v>13010</v>
      </c>
      <c r="B161" s="64">
        <v>1</v>
      </c>
      <c r="C161" s="64">
        <v>10</v>
      </c>
      <c r="D161" s="65" t="s">
        <v>354</v>
      </c>
      <c r="E161" s="64">
        <v>1</v>
      </c>
      <c r="F161" s="66" t="s">
        <v>355</v>
      </c>
      <c r="G161" s="66">
        <v>1000</v>
      </c>
      <c r="H161" s="66">
        <v>1301</v>
      </c>
    </row>
    <row r="162" spans="1:8" ht="16.5">
      <c r="A162" s="64">
        <v>13011</v>
      </c>
      <c r="B162" s="64">
        <v>1</v>
      </c>
      <c r="C162" s="64">
        <v>11</v>
      </c>
      <c r="D162" s="65" t="s">
        <v>282</v>
      </c>
      <c r="E162" s="66"/>
      <c r="F162" s="66" t="s">
        <v>87</v>
      </c>
      <c r="G162" s="66">
        <v>200</v>
      </c>
      <c r="H162" s="66">
        <v>1301</v>
      </c>
    </row>
    <row r="163" spans="1:8" ht="16.5">
      <c r="A163" s="64">
        <v>13012</v>
      </c>
      <c r="B163" s="64">
        <v>1</v>
      </c>
      <c r="C163" s="64">
        <v>12</v>
      </c>
      <c r="D163" s="65" t="s">
        <v>282</v>
      </c>
      <c r="E163" s="66"/>
      <c r="F163" s="66" t="s">
        <v>87</v>
      </c>
      <c r="G163" s="66">
        <v>200</v>
      </c>
      <c r="H163" s="66">
        <v>1301</v>
      </c>
    </row>
    <row r="164" spans="1:8" ht="16.5">
      <c r="A164" s="64">
        <v>13013</v>
      </c>
      <c r="B164" s="64">
        <v>1</v>
      </c>
      <c r="C164" s="64">
        <v>13</v>
      </c>
      <c r="D164" s="65" t="s">
        <v>354</v>
      </c>
      <c r="E164" s="66"/>
      <c r="F164" s="66" t="s">
        <v>355</v>
      </c>
      <c r="G164" s="66">
        <v>1000</v>
      </c>
      <c r="H164" s="66">
        <v>1301</v>
      </c>
    </row>
    <row r="165" spans="1:8" ht="16.5">
      <c r="A165" s="64">
        <v>13014</v>
      </c>
      <c r="B165" s="64">
        <v>1</v>
      </c>
      <c r="C165" s="64">
        <v>14</v>
      </c>
      <c r="D165" s="65" t="s">
        <v>265</v>
      </c>
      <c r="E165" s="64">
        <v>1</v>
      </c>
      <c r="F165" s="66" t="s">
        <v>87</v>
      </c>
      <c r="G165" s="66">
        <v>500</v>
      </c>
      <c r="H165" s="66">
        <v>1301</v>
      </c>
    </row>
    <row r="166" spans="1:8" ht="16.5">
      <c r="A166" s="64">
        <v>13015</v>
      </c>
      <c r="B166" s="64">
        <v>1</v>
      </c>
      <c r="C166" s="64">
        <v>15</v>
      </c>
      <c r="D166" s="65" t="s">
        <v>282</v>
      </c>
      <c r="E166" s="66"/>
      <c r="F166" s="66" t="s">
        <v>87</v>
      </c>
      <c r="G166" s="66">
        <v>200</v>
      </c>
      <c r="H166" s="66">
        <v>1301</v>
      </c>
    </row>
    <row r="167" spans="1:8" ht="16.5">
      <c r="A167" s="64">
        <v>13016</v>
      </c>
      <c r="B167" s="64">
        <v>1</v>
      </c>
      <c r="C167" s="64">
        <v>16</v>
      </c>
      <c r="D167" s="65" t="s">
        <v>282</v>
      </c>
      <c r="E167" s="66"/>
      <c r="F167" s="66" t="s">
        <v>87</v>
      </c>
      <c r="G167" s="66">
        <v>200</v>
      </c>
      <c r="H167" s="66">
        <v>1301</v>
      </c>
    </row>
    <row r="168" spans="1:8" ht="16.5">
      <c r="A168" s="64">
        <v>13017</v>
      </c>
      <c r="B168" s="64">
        <v>1</v>
      </c>
      <c r="C168" s="64">
        <v>17</v>
      </c>
      <c r="D168" s="65" t="s">
        <v>282</v>
      </c>
      <c r="E168" s="66"/>
      <c r="F168" s="66" t="s">
        <v>87</v>
      </c>
      <c r="G168" s="66">
        <v>200</v>
      </c>
      <c r="H168" s="66">
        <v>1301</v>
      </c>
    </row>
    <row r="169" spans="1:8" ht="16.5">
      <c r="A169" s="64">
        <v>13018</v>
      </c>
      <c r="B169" s="64">
        <v>1</v>
      </c>
      <c r="C169" s="64">
        <v>18</v>
      </c>
      <c r="D169" s="65" t="s">
        <v>356</v>
      </c>
      <c r="E169" s="64">
        <v>1</v>
      </c>
      <c r="F169" s="66" t="s">
        <v>355</v>
      </c>
      <c r="G169" s="66">
        <v>2000</v>
      </c>
      <c r="H169" s="66">
        <v>1301</v>
      </c>
    </row>
    <row r="170" spans="1:8" ht="16.5">
      <c r="A170" s="64">
        <v>13019</v>
      </c>
      <c r="B170" s="64">
        <v>1</v>
      </c>
      <c r="C170" s="64">
        <v>19</v>
      </c>
      <c r="D170" s="65" t="s">
        <v>282</v>
      </c>
      <c r="E170" s="66"/>
      <c r="F170" s="66" t="s">
        <v>87</v>
      </c>
      <c r="G170" s="66">
        <v>200</v>
      </c>
      <c r="H170" s="66">
        <v>1301</v>
      </c>
    </row>
    <row r="171" spans="1:8" ht="16.5">
      <c r="A171" s="64">
        <v>13020</v>
      </c>
      <c r="B171" s="64">
        <v>1</v>
      </c>
      <c r="C171" s="64">
        <v>20</v>
      </c>
      <c r="D171" s="65" t="s">
        <v>282</v>
      </c>
      <c r="E171" s="66"/>
      <c r="F171" s="66" t="s">
        <v>87</v>
      </c>
      <c r="G171" s="66">
        <v>200</v>
      </c>
      <c r="H171" s="66">
        <v>1301</v>
      </c>
    </row>
    <row r="172" spans="1:8" ht="16.5">
      <c r="A172" s="64">
        <v>13021</v>
      </c>
      <c r="B172" s="64">
        <v>1</v>
      </c>
      <c r="C172" s="64">
        <v>21</v>
      </c>
      <c r="D172" s="65" t="s">
        <v>282</v>
      </c>
      <c r="E172" s="64"/>
      <c r="F172" s="66" t="s">
        <v>87</v>
      </c>
      <c r="G172" s="66">
        <v>200</v>
      </c>
      <c r="H172" s="66">
        <v>1301</v>
      </c>
    </row>
    <row r="173" spans="1:8" ht="16.5">
      <c r="A173" s="64">
        <v>13022</v>
      </c>
      <c r="B173" s="64">
        <v>1</v>
      </c>
      <c r="C173" s="64">
        <v>22</v>
      </c>
      <c r="D173" s="65" t="s">
        <v>354</v>
      </c>
      <c r="E173" s="66"/>
      <c r="F173" s="66" t="s">
        <v>355</v>
      </c>
      <c r="G173" s="66">
        <v>1000</v>
      </c>
      <c r="H173" s="66">
        <v>1301</v>
      </c>
    </row>
    <row r="174" spans="1:8" ht="16.5">
      <c r="A174" s="64">
        <v>13023</v>
      </c>
      <c r="B174" s="64">
        <v>1</v>
      </c>
      <c r="C174" s="64">
        <v>23</v>
      </c>
      <c r="D174" s="65" t="s">
        <v>282</v>
      </c>
      <c r="E174" s="66"/>
      <c r="F174" s="66" t="s">
        <v>87</v>
      </c>
      <c r="G174" s="66">
        <v>200</v>
      </c>
      <c r="H174" s="66">
        <v>1301</v>
      </c>
    </row>
    <row r="175" spans="1:8" ht="16.5">
      <c r="A175" s="64">
        <v>13024</v>
      </c>
      <c r="B175" s="64">
        <v>1</v>
      </c>
      <c r="C175" s="64">
        <v>24</v>
      </c>
      <c r="D175" s="65" t="s">
        <v>282</v>
      </c>
      <c r="E175" s="66"/>
      <c r="F175" s="66" t="s">
        <v>87</v>
      </c>
      <c r="G175" s="66">
        <v>200</v>
      </c>
      <c r="H175" s="66">
        <v>1301</v>
      </c>
    </row>
    <row r="176" spans="1:8" ht="16.5">
      <c r="A176" s="64">
        <v>13025</v>
      </c>
      <c r="B176" s="64">
        <v>1</v>
      </c>
      <c r="C176" s="64">
        <v>25</v>
      </c>
      <c r="D176" s="65" t="s">
        <v>282</v>
      </c>
      <c r="E176" s="66"/>
      <c r="F176" s="66" t="s">
        <v>87</v>
      </c>
      <c r="G176" s="66">
        <v>200</v>
      </c>
      <c r="H176" s="66">
        <v>1301</v>
      </c>
    </row>
    <row r="177" spans="1:8" ht="16.5">
      <c r="A177" s="64">
        <v>13026</v>
      </c>
      <c r="B177" s="64">
        <v>1</v>
      </c>
      <c r="C177" s="64">
        <v>26</v>
      </c>
      <c r="D177" s="65" t="s">
        <v>354</v>
      </c>
      <c r="E177" s="64">
        <v>1</v>
      </c>
      <c r="F177" s="66" t="s">
        <v>355</v>
      </c>
      <c r="G177" s="66">
        <v>1000</v>
      </c>
      <c r="H177" s="66">
        <v>1301</v>
      </c>
    </row>
    <row r="178" spans="1:8" ht="16.5">
      <c r="A178" s="64">
        <v>13027</v>
      </c>
      <c r="B178" s="64">
        <v>1</v>
      </c>
      <c r="C178" s="64">
        <v>27</v>
      </c>
      <c r="D178" s="65" t="s">
        <v>282</v>
      </c>
      <c r="E178" s="66"/>
      <c r="F178" s="66" t="s">
        <v>87</v>
      </c>
      <c r="G178" s="66">
        <v>200</v>
      </c>
      <c r="H178" s="66">
        <v>1301</v>
      </c>
    </row>
    <row r="179" spans="1:8" ht="16.5">
      <c r="A179" s="64">
        <v>13028</v>
      </c>
      <c r="B179" s="64">
        <v>1</v>
      </c>
      <c r="C179" s="64">
        <v>28</v>
      </c>
      <c r="D179" s="65" t="s">
        <v>282</v>
      </c>
      <c r="E179" s="64"/>
      <c r="F179" s="66" t="s">
        <v>87</v>
      </c>
      <c r="G179" s="66">
        <v>200</v>
      </c>
      <c r="H179" s="66">
        <v>1301</v>
      </c>
    </row>
    <row r="180" spans="1:8" ht="16.5">
      <c r="A180" s="64">
        <v>13029</v>
      </c>
      <c r="B180" s="64">
        <v>1</v>
      </c>
      <c r="C180" s="64">
        <v>29</v>
      </c>
      <c r="D180" s="65" t="s">
        <v>282</v>
      </c>
      <c r="E180" s="64"/>
      <c r="F180" s="66" t="s">
        <v>87</v>
      </c>
      <c r="G180" s="66">
        <v>200</v>
      </c>
      <c r="H180" s="66">
        <v>1301</v>
      </c>
    </row>
    <row r="181" spans="1:8" ht="16.5">
      <c r="A181" s="64">
        <v>13030</v>
      </c>
      <c r="B181" s="64">
        <v>1</v>
      </c>
      <c r="C181" s="64">
        <v>30</v>
      </c>
      <c r="D181" s="65" t="s">
        <v>356</v>
      </c>
      <c r="E181" s="64">
        <v>1</v>
      </c>
      <c r="F181" s="66" t="s">
        <v>355</v>
      </c>
      <c r="G181" s="66">
        <v>2000</v>
      </c>
      <c r="H181" s="66">
        <v>1301</v>
      </c>
    </row>
    <row r="182" spans="1:8" ht="16.5">
      <c r="A182" s="60">
        <v>20001</v>
      </c>
      <c r="B182" s="60">
        <v>2</v>
      </c>
      <c r="C182" s="60">
        <v>1</v>
      </c>
      <c r="D182" s="32" t="s">
        <v>263</v>
      </c>
      <c r="E182" s="60">
        <v>1</v>
      </c>
      <c r="F182" s="67" t="s">
        <v>147</v>
      </c>
      <c r="G182" s="19">
        <v>50</v>
      </c>
      <c r="H182" s="19">
        <v>2001</v>
      </c>
    </row>
    <row r="183" spans="1:8" ht="16.5">
      <c r="A183" s="60">
        <v>20002</v>
      </c>
      <c r="B183" s="60">
        <v>2</v>
      </c>
      <c r="C183" s="60">
        <v>2</v>
      </c>
      <c r="D183" s="32" t="s">
        <v>331</v>
      </c>
      <c r="E183" s="60"/>
      <c r="F183" s="67" t="s">
        <v>87</v>
      </c>
      <c r="G183" s="19">
        <v>400</v>
      </c>
      <c r="H183" s="19">
        <v>2001</v>
      </c>
    </row>
    <row r="184" spans="1:8" ht="16.5">
      <c r="A184" s="60">
        <v>20003</v>
      </c>
      <c r="B184" s="60">
        <v>2</v>
      </c>
      <c r="C184" s="60">
        <v>3</v>
      </c>
      <c r="D184" s="32" t="s">
        <v>332</v>
      </c>
      <c r="E184" s="60">
        <v>1</v>
      </c>
      <c r="F184" s="67" t="s">
        <v>326</v>
      </c>
      <c r="G184" s="19">
        <v>6</v>
      </c>
      <c r="H184" s="19">
        <v>2001</v>
      </c>
    </row>
    <row r="185" spans="1:8" ht="16.5">
      <c r="A185" s="60">
        <v>20004</v>
      </c>
      <c r="B185" s="60">
        <v>2</v>
      </c>
      <c r="C185" s="60">
        <v>4</v>
      </c>
      <c r="D185" s="32" t="s">
        <v>331</v>
      </c>
      <c r="E185" s="19"/>
      <c r="F185" s="67" t="s">
        <v>87</v>
      </c>
      <c r="G185" s="19">
        <v>400</v>
      </c>
      <c r="H185" s="19">
        <v>2001</v>
      </c>
    </row>
    <row r="186" spans="1:8" ht="16.5">
      <c r="A186" s="60">
        <v>20005</v>
      </c>
      <c r="B186" s="60">
        <v>2</v>
      </c>
      <c r="C186" s="60">
        <v>5</v>
      </c>
      <c r="D186" s="32" t="s">
        <v>331</v>
      </c>
      <c r="E186" s="19"/>
      <c r="F186" s="67" t="s">
        <v>87</v>
      </c>
      <c r="G186" s="19">
        <v>400</v>
      </c>
      <c r="H186" s="19">
        <v>2001</v>
      </c>
    </row>
    <row r="187" spans="1:8" ht="16.5">
      <c r="A187" s="60">
        <v>20006</v>
      </c>
      <c r="B187" s="60">
        <v>2</v>
      </c>
      <c r="C187" s="60">
        <v>6</v>
      </c>
      <c r="D187" s="32" t="s">
        <v>333</v>
      </c>
      <c r="E187" s="60">
        <v>1</v>
      </c>
      <c r="F187" s="67" t="s">
        <v>328</v>
      </c>
      <c r="G187" s="19">
        <v>300</v>
      </c>
      <c r="H187" s="19">
        <v>2001</v>
      </c>
    </row>
    <row r="188" spans="1:8" ht="16.5">
      <c r="A188" s="60">
        <v>20007</v>
      </c>
      <c r="B188" s="60">
        <v>2</v>
      </c>
      <c r="C188" s="60">
        <v>7</v>
      </c>
      <c r="D188" s="32" t="s">
        <v>331</v>
      </c>
      <c r="E188" s="60"/>
      <c r="F188" s="67" t="s">
        <v>87</v>
      </c>
      <c r="G188" s="19">
        <v>400</v>
      </c>
      <c r="H188" s="19">
        <v>2001</v>
      </c>
    </row>
    <row r="189" spans="1:8" ht="16.5">
      <c r="A189" s="60">
        <v>20008</v>
      </c>
      <c r="B189" s="60">
        <v>2</v>
      </c>
      <c r="C189" s="60">
        <v>8</v>
      </c>
      <c r="D189" s="32" t="s">
        <v>331</v>
      </c>
      <c r="E189" s="19"/>
      <c r="F189" s="67" t="s">
        <v>87</v>
      </c>
      <c r="G189" s="19">
        <v>400</v>
      </c>
      <c r="H189" s="19">
        <v>2001</v>
      </c>
    </row>
    <row r="190" spans="1:8" ht="16.5">
      <c r="A190" s="60">
        <v>20009</v>
      </c>
      <c r="B190" s="60">
        <v>2</v>
      </c>
      <c r="C190" s="60">
        <v>9</v>
      </c>
      <c r="D190" s="32" t="s">
        <v>331</v>
      </c>
      <c r="E190" s="19"/>
      <c r="F190" s="67" t="s">
        <v>87</v>
      </c>
      <c r="G190" s="19">
        <v>400</v>
      </c>
      <c r="H190" s="19">
        <v>2001</v>
      </c>
    </row>
    <row r="191" spans="1:8" ht="16.5">
      <c r="A191" s="60">
        <v>20010</v>
      </c>
      <c r="B191" s="60">
        <v>2</v>
      </c>
      <c r="C191" s="60">
        <v>10</v>
      </c>
      <c r="D191" s="32" t="s">
        <v>334</v>
      </c>
      <c r="E191" s="60">
        <v>1</v>
      </c>
      <c r="F191" s="67" t="s">
        <v>297</v>
      </c>
      <c r="G191" s="19">
        <v>8</v>
      </c>
      <c r="H191" s="19">
        <v>2001</v>
      </c>
    </row>
    <row r="192" spans="1:8" ht="16.5">
      <c r="A192" s="60">
        <v>20011</v>
      </c>
      <c r="B192" s="60">
        <v>2</v>
      </c>
      <c r="C192" s="60">
        <v>11</v>
      </c>
      <c r="D192" s="32" t="s">
        <v>331</v>
      </c>
      <c r="E192" s="19"/>
      <c r="F192" s="67" t="s">
        <v>87</v>
      </c>
      <c r="G192" s="19">
        <v>400</v>
      </c>
      <c r="H192" s="19">
        <v>2001</v>
      </c>
    </row>
    <row r="193" spans="1:8" ht="16.5">
      <c r="A193" s="60">
        <v>20012</v>
      </c>
      <c r="B193" s="60">
        <v>2</v>
      </c>
      <c r="C193" s="60">
        <v>12</v>
      </c>
      <c r="D193" s="32" t="s">
        <v>331</v>
      </c>
      <c r="E193" s="19"/>
      <c r="F193" s="67" t="s">
        <v>87</v>
      </c>
      <c r="G193" s="19">
        <v>400</v>
      </c>
      <c r="H193" s="19">
        <v>2001</v>
      </c>
    </row>
    <row r="194" spans="1:8" ht="16.5">
      <c r="A194" s="60">
        <v>20013</v>
      </c>
      <c r="B194" s="60">
        <v>2</v>
      </c>
      <c r="C194" s="60">
        <v>13</v>
      </c>
      <c r="D194" s="32" t="s">
        <v>256</v>
      </c>
      <c r="E194" s="19"/>
      <c r="F194" s="67" t="s">
        <v>87</v>
      </c>
      <c r="G194" s="19">
        <v>400</v>
      </c>
      <c r="H194" s="19">
        <v>2001</v>
      </c>
    </row>
    <row r="195" spans="1:8" ht="16.5">
      <c r="A195" s="60">
        <v>20014</v>
      </c>
      <c r="B195" s="60">
        <v>2</v>
      </c>
      <c r="C195" s="60">
        <v>14</v>
      </c>
      <c r="D195" s="32" t="s">
        <v>335</v>
      </c>
      <c r="E195" s="60">
        <v>1</v>
      </c>
      <c r="F195" s="67" t="s">
        <v>87</v>
      </c>
      <c r="G195" s="19">
        <v>2000</v>
      </c>
      <c r="H195" s="19">
        <v>2001</v>
      </c>
    </row>
    <row r="196" spans="1:8" ht="16.5">
      <c r="A196" s="60">
        <v>20015</v>
      </c>
      <c r="B196" s="60">
        <v>2</v>
      </c>
      <c r="C196" s="60">
        <v>15</v>
      </c>
      <c r="D196" s="32" t="s">
        <v>331</v>
      </c>
      <c r="E196" s="19"/>
      <c r="F196" s="67" t="s">
        <v>87</v>
      </c>
      <c r="G196" s="19">
        <v>400</v>
      </c>
      <c r="H196" s="19">
        <v>2001</v>
      </c>
    </row>
    <row r="197" spans="1:8" ht="16.5">
      <c r="A197" s="60">
        <v>20016</v>
      </c>
      <c r="B197" s="60">
        <v>2</v>
      </c>
      <c r="C197" s="60">
        <v>16</v>
      </c>
      <c r="D197" s="32" t="s">
        <v>331</v>
      </c>
      <c r="E197" s="19"/>
      <c r="F197" s="67" t="s">
        <v>87</v>
      </c>
      <c r="G197" s="19">
        <v>400</v>
      </c>
      <c r="H197" s="19">
        <v>2001</v>
      </c>
    </row>
    <row r="198" spans="1:8" ht="16.5">
      <c r="A198" s="60">
        <v>20017</v>
      </c>
      <c r="B198" s="60">
        <v>2</v>
      </c>
      <c r="C198" s="60">
        <v>17</v>
      </c>
      <c r="D198" s="32" t="s">
        <v>331</v>
      </c>
      <c r="E198" s="19"/>
      <c r="F198" s="67" t="s">
        <v>87</v>
      </c>
      <c r="G198" s="19">
        <v>400</v>
      </c>
      <c r="H198" s="19">
        <v>2001</v>
      </c>
    </row>
    <row r="199" spans="1:8" ht="16.5">
      <c r="A199" s="60">
        <v>20018</v>
      </c>
      <c r="B199" s="60">
        <v>2</v>
      </c>
      <c r="C199" s="60">
        <v>18</v>
      </c>
      <c r="D199" s="32" t="s">
        <v>336</v>
      </c>
      <c r="E199" s="60">
        <v>1</v>
      </c>
      <c r="F199" s="67" t="s">
        <v>330</v>
      </c>
      <c r="G199" s="19">
        <v>100</v>
      </c>
      <c r="H199" s="19">
        <v>2001</v>
      </c>
    </row>
    <row r="200" spans="1:8" ht="16.5">
      <c r="A200" s="60">
        <v>20019</v>
      </c>
      <c r="B200" s="60">
        <v>2</v>
      </c>
      <c r="C200" s="60">
        <v>19</v>
      </c>
      <c r="D200" s="32" t="s">
        <v>331</v>
      </c>
      <c r="E200" s="19"/>
      <c r="F200" s="67" t="s">
        <v>87</v>
      </c>
      <c r="G200" s="19">
        <v>400</v>
      </c>
      <c r="H200" s="19">
        <v>2001</v>
      </c>
    </row>
    <row r="201" spans="1:8" ht="16.5">
      <c r="A201" s="60">
        <v>20020</v>
      </c>
      <c r="B201" s="60">
        <v>2</v>
      </c>
      <c r="C201" s="60">
        <v>20</v>
      </c>
      <c r="D201" s="32" t="s">
        <v>331</v>
      </c>
      <c r="E201" s="19"/>
      <c r="F201" s="67" t="s">
        <v>87</v>
      </c>
      <c r="G201" s="19">
        <v>400</v>
      </c>
      <c r="H201" s="19">
        <v>2001</v>
      </c>
    </row>
    <row r="202" spans="1:8" ht="16.5">
      <c r="A202" s="60">
        <v>20021</v>
      </c>
      <c r="B202" s="60">
        <v>2</v>
      </c>
      <c r="C202" s="60">
        <v>21</v>
      </c>
      <c r="D202" s="32" t="s">
        <v>331</v>
      </c>
      <c r="E202" s="60"/>
      <c r="F202" s="67" t="s">
        <v>87</v>
      </c>
      <c r="G202" s="19">
        <v>400</v>
      </c>
      <c r="H202" s="19">
        <v>2001</v>
      </c>
    </row>
    <row r="203" spans="1:8" ht="16.5">
      <c r="A203" s="60">
        <v>20022</v>
      </c>
      <c r="B203" s="60">
        <v>2</v>
      </c>
      <c r="C203" s="60">
        <v>22</v>
      </c>
      <c r="D203" s="32" t="s">
        <v>334</v>
      </c>
      <c r="E203" s="19"/>
      <c r="F203" s="67" t="s">
        <v>87</v>
      </c>
      <c r="G203" s="19">
        <v>2000</v>
      </c>
      <c r="H203" s="19">
        <v>2001</v>
      </c>
    </row>
    <row r="204" spans="1:8" ht="16.5">
      <c r="A204" s="60">
        <v>20023</v>
      </c>
      <c r="B204" s="60">
        <v>2</v>
      </c>
      <c r="C204" s="60">
        <v>23</v>
      </c>
      <c r="D204" s="32" t="s">
        <v>331</v>
      </c>
      <c r="E204" s="19"/>
      <c r="F204" s="67" t="s">
        <v>87</v>
      </c>
      <c r="G204" s="19">
        <v>400</v>
      </c>
      <c r="H204" s="19">
        <v>2001</v>
      </c>
    </row>
    <row r="205" spans="1:8" ht="16.5">
      <c r="A205" s="60">
        <v>20024</v>
      </c>
      <c r="B205" s="60">
        <v>2</v>
      </c>
      <c r="C205" s="60">
        <v>24</v>
      </c>
      <c r="D205" s="32" t="s">
        <v>331</v>
      </c>
      <c r="E205" s="19"/>
      <c r="F205" s="67" t="s">
        <v>87</v>
      </c>
      <c r="G205" s="19">
        <v>400</v>
      </c>
      <c r="H205" s="19">
        <v>2001</v>
      </c>
    </row>
    <row r="206" spans="1:8" ht="16.5">
      <c r="A206" s="60">
        <v>20025</v>
      </c>
      <c r="B206" s="60">
        <v>2</v>
      </c>
      <c r="C206" s="60">
        <v>25</v>
      </c>
      <c r="D206" s="32" t="s">
        <v>331</v>
      </c>
      <c r="E206" s="19"/>
      <c r="F206" s="67" t="s">
        <v>87</v>
      </c>
      <c r="G206" s="19">
        <v>400</v>
      </c>
      <c r="H206" s="19">
        <v>2001</v>
      </c>
    </row>
    <row r="207" spans="1:8" ht="16.5">
      <c r="A207" s="60">
        <v>20026</v>
      </c>
      <c r="B207" s="60">
        <v>2</v>
      </c>
      <c r="C207" s="60">
        <v>26</v>
      </c>
      <c r="D207" s="32" t="s">
        <v>337</v>
      </c>
      <c r="E207" s="60">
        <v>1</v>
      </c>
      <c r="F207" s="67" t="s">
        <v>147</v>
      </c>
      <c r="G207" s="19">
        <v>100</v>
      </c>
      <c r="H207" s="19">
        <v>2001</v>
      </c>
    </row>
    <row r="208" spans="1:8" ht="16.5">
      <c r="A208" s="60">
        <v>20027</v>
      </c>
      <c r="B208" s="60">
        <v>2</v>
      </c>
      <c r="C208" s="60">
        <v>27</v>
      </c>
      <c r="D208" s="32" t="s">
        <v>331</v>
      </c>
      <c r="E208" s="19"/>
      <c r="F208" s="67" t="s">
        <v>87</v>
      </c>
      <c r="G208" s="19">
        <v>400</v>
      </c>
      <c r="H208" s="19">
        <v>2001</v>
      </c>
    </row>
    <row r="209" spans="1:8" ht="16.5">
      <c r="A209" s="60">
        <v>20028</v>
      </c>
      <c r="B209" s="60">
        <v>2</v>
      </c>
      <c r="C209" s="60">
        <v>28</v>
      </c>
      <c r="D209" s="32" t="s">
        <v>331</v>
      </c>
      <c r="E209" s="60"/>
      <c r="F209" s="67" t="s">
        <v>87</v>
      </c>
      <c r="G209" s="19">
        <v>400</v>
      </c>
      <c r="H209" s="19">
        <v>2001</v>
      </c>
    </row>
    <row r="210" spans="1:8" ht="16.5">
      <c r="A210" s="60">
        <v>20029</v>
      </c>
      <c r="B210" s="60">
        <v>2</v>
      </c>
      <c r="C210" s="60">
        <v>29</v>
      </c>
      <c r="D210" s="32" t="s">
        <v>335</v>
      </c>
      <c r="E210" s="60"/>
      <c r="F210" s="67" t="s">
        <v>87</v>
      </c>
      <c r="G210" s="19">
        <v>2000</v>
      </c>
      <c r="H210" s="19">
        <v>2001</v>
      </c>
    </row>
    <row r="211" spans="1:8" ht="16.5">
      <c r="A211" s="60">
        <v>20030</v>
      </c>
      <c r="B211" s="60">
        <v>2</v>
      </c>
      <c r="C211" s="60">
        <v>30</v>
      </c>
      <c r="D211" s="32" t="s">
        <v>332</v>
      </c>
      <c r="E211" s="60">
        <v>1</v>
      </c>
      <c r="F211" s="67" t="s">
        <v>326</v>
      </c>
      <c r="G211" s="19">
        <v>6</v>
      </c>
      <c r="H211" s="19">
        <v>2001</v>
      </c>
    </row>
    <row r="212" spans="1:8">
      <c r="A212" s="61">
        <v>21001</v>
      </c>
      <c r="B212" s="63">
        <v>2</v>
      </c>
      <c r="C212" s="63">
        <v>1</v>
      </c>
      <c r="D212" s="68" t="s">
        <v>357</v>
      </c>
      <c r="E212" s="63">
        <v>1</v>
      </c>
      <c r="F212" s="63" t="s">
        <v>358</v>
      </c>
      <c r="G212" s="63">
        <v>1</v>
      </c>
      <c r="H212" s="63">
        <v>2101</v>
      </c>
    </row>
    <row r="213" spans="1:8">
      <c r="A213" s="61">
        <v>21002</v>
      </c>
      <c r="B213" s="63">
        <v>2</v>
      </c>
      <c r="C213" s="63">
        <v>2</v>
      </c>
      <c r="D213" s="68" t="s">
        <v>331</v>
      </c>
      <c r="E213" s="63"/>
      <c r="F213" s="63" t="s">
        <v>87</v>
      </c>
      <c r="G213" s="63">
        <v>400</v>
      </c>
      <c r="H213" s="63">
        <v>2101</v>
      </c>
    </row>
    <row r="214" spans="1:8">
      <c r="A214" s="61">
        <v>21003</v>
      </c>
      <c r="B214" s="63">
        <v>2</v>
      </c>
      <c r="C214" s="63">
        <v>3</v>
      </c>
      <c r="D214" s="68" t="s">
        <v>359</v>
      </c>
      <c r="E214" s="63">
        <v>1</v>
      </c>
      <c r="F214" s="63" t="s">
        <v>341</v>
      </c>
      <c r="G214" s="63">
        <v>2</v>
      </c>
      <c r="H214" s="63">
        <v>2101</v>
      </c>
    </row>
    <row r="215" spans="1:8">
      <c r="A215" s="61">
        <v>21004</v>
      </c>
      <c r="B215" s="63">
        <v>2</v>
      </c>
      <c r="C215" s="63">
        <v>4</v>
      </c>
      <c r="D215" s="68" t="s">
        <v>331</v>
      </c>
      <c r="E215" s="63"/>
      <c r="F215" s="63" t="s">
        <v>87</v>
      </c>
      <c r="G215" s="63">
        <v>400</v>
      </c>
      <c r="H215" s="63">
        <v>2101</v>
      </c>
    </row>
    <row r="216" spans="1:8">
      <c r="A216" s="61">
        <v>21005</v>
      </c>
      <c r="B216" s="63">
        <v>2</v>
      </c>
      <c r="C216" s="63">
        <v>5</v>
      </c>
      <c r="D216" s="68" t="s">
        <v>331</v>
      </c>
      <c r="E216" s="63"/>
      <c r="F216" s="63" t="s">
        <v>87</v>
      </c>
      <c r="G216" s="63">
        <v>400</v>
      </c>
      <c r="H216" s="63">
        <v>2101</v>
      </c>
    </row>
    <row r="217" spans="1:8">
      <c r="A217" s="61">
        <v>21006</v>
      </c>
      <c r="B217" s="63">
        <v>2</v>
      </c>
      <c r="C217" s="63">
        <v>6</v>
      </c>
      <c r="D217" s="68" t="s">
        <v>360</v>
      </c>
      <c r="E217" s="63">
        <v>1</v>
      </c>
      <c r="F217" s="63" t="s">
        <v>116</v>
      </c>
      <c r="G217" s="63">
        <v>3000</v>
      </c>
      <c r="H217" s="63">
        <v>2101</v>
      </c>
    </row>
    <row r="218" spans="1:8">
      <c r="A218" s="61">
        <v>21007</v>
      </c>
      <c r="B218" s="63">
        <v>2</v>
      </c>
      <c r="C218" s="63">
        <v>7</v>
      </c>
      <c r="D218" s="68" t="s">
        <v>331</v>
      </c>
      <c r="E218" s="63"/>
      <c r="F218" s="63" t="s">
        <v>87</v>
      </c>
      <c r="G218" s="63">
        <v>400</v>
      </c>
      <c r="H218" s="63">
        <v>2101</v>
      </c>
    </row>
    <row r="219" spans="1:8">
      <c r="A219" s="61">
        <v>21008</v>
      </c>
      <c r="B219" s="63">
        <v>2</v>
      </c>
      <c r="C219" s="63">
        <v>8</v>
      </c>
      <c r="D219" s="68" t="s">
        <v>331</v>
      </c>
      <c r="E219" s="63"/>
      <c r="F219" s="63" t="s">
        <v>87</v>
      </c>
      <c r="G219" s="63">
        <v>400</v>
      </c>
      <c r="H219" s="63">
        <v>2101</v>
      </c>
    </row>
    <row r="220" spans="1:8">
      <c r="A220" s="61">
        <v>21009</v>
      </c>
      <c r="B220" s="63">
        <v>2</v>
      </c>
      <c r="C220" s="63">
        <v>9</v>
      </c>
      <c r="D220" s="68" t="s">
        <v>331</v>
      </c>
      <c r="E220" s="63"/>
      <c r="F220" s="63" t="s">
        <v>87</v>
      </c>
      <c r="G220" s="63">
        <v>400</v>
      </c>
      <c r="H220" s="63">
        <v>2101</v>
      </c>
    </row>
    <row r="221" spans="1:8">
      <c r="A221" s="61">
        <v>21010</v>
      </c>
      <c r="B221" s="63">
        <v>2</v>
      </c>
      <c r="C221" s="63">
        <v>10</v>
      </c>
      <c r="D221" s="68" t="s">
        <v>360</v>
      </c>
      <c r="E221" s="63">
        <v>1</v>
      </c>
      <c r="F221" s="63" t="s">
        <v>116</v>
      </c>
      <c r="G221" s="63">
        <v>3000</v>
      </c>
      <c r="H221" s="63">
        <v>2101</v>
      </c>
    </row>
    <row r="222" spans="1:8">
      <c r="A222" s="61">
        <v>21011</v>
      </c>
      <c r="B222" s="63">
        <v>2</v>
      </c>
      <c r="C222" s="63">
        <v>11</v>
      </c>
      <c r="D222" s="68" t="s">
        <v>331</v>
      </c>
      <c r="E222" s="63"/>
      <c r="F222" s="63" t="s">
        <v>87</v>
      </c>
      <c r="G222" s="63">
        <v>400</v>
      </c>
      <c r="H222" s="63">
        <v>2101</v>
      </c>
    </row>
    <row r="223" spans="1:8">
      <c r="A223" s="61">
        <v>21012</v>
      </c>
      <c r="B223" s="63">
        <v>2</v>
      </c>
      <c r="C223" s="63">
        <v>12</v>
      </c>
      <c r="D223" s="68" t="s">
        <v>331</v>
      </c>
      <c r="E223" s="63"/>
      <c r="F223" s="63" t="s">
        <v>87</v>
      </c>
      <c r="G223" s="63">
        <v>400</v>
      </c>
      <c r="H223" s="63">
        <v>2101</v>
      </c>
    </row>
    <row r="224" spans="1:8">
      <c r="A224" s="61">
        <v>21013</v>
      </c>
      <c r="B224" s="63">
        <v>2</v>
      </c>
      <c r="C224" s="63">
        <v>13</v>
      </c>
      <c r="D224" s="68" t="s">
        <v>340</v>
      </c>
      <c r="E224" s="63"/>
      <c r="F224" s="63" t="s">
        <v>341</v>
      </c>
      <c r="G224" s="63">
        <v>1</v>
      </c>
      <c r="H224" s="63">
        <v>2101</v>
      </c>
    </row>
    <row r="225" spans="1:8">
      <c r="A225" s="61">
        <v>21014</v>
      </c>
      <c r="B225" s="63">
        <v>2</v>
      </c>
      <c r="C225" s="63">
        <v>14</v>
      </c>
      <c r="D225" s="68" t="s">
        <v>335</v>
      </c>
      <c r="E225" s="63">
        <v>1</v>
      </c>
      <c r="F225" s="63" t="s">
        <v>87</v>
      </c>
      <c r="G225" s="63">
        <v>2000</v>
      </c>
      <c r="H225" s="63">
        <v>2101</v>
      </c>
    </row>
    <row r="226" spans="1:8">
      <c r="A226" s="61">
        <v>21015</v>
      </c>
      <c r="B226" s="63">
        <v>2</v>
      </c>
      <c r="C226" s="63">
        <v>15</v>
      </c>
      <c r="D226" s="68" t="s">
        <v>331</v>
      </c>
      <c r="E226" s="63"/>
      <c r="F226" s="63" t="s">
        <v>87</v>
      </c>
      <c r="G226" s="63">
        <v>400</v>
      </c>
      <c r="H226" s="63">
        <v>2101</v>
      </c>
    </row>
    <row r="227" spans="1:8">
      <c r="A227" s="61">
        <v>21016</v>
      </c>
      <c r="B227" s="63">
        <v>2</v>
      </c>
      <c r="C227" s="63">
        <v>16</v>
      </c>
      <c r="D227" s="68" t="s">
        <v>331</v>
      </c>
      <c r="E227" s="63"/>
      <c r="F227" s="63" t="s">
        <v>87</v>
      </c>
      <c r="G227" s="63">
        <v>400</v>
      </c>
      <c r="H227" s="63">
        <v>2101</v>
      </c>
    </row>
    <row r="228" spans="1:8">
      <c r="A228" s="61">
        <v>21017</v>
      </c>
      <c r="B228" s="63">
        <v>2</v>
      </c>
      <c r="C228" s="63">
        <v>17</v>
      </c>
      <c r="D228" s="68" t="s">
        <v>331</v>
      </c>
      <c r="E228" s="63"/>
      <c r="F228" s="63" t="s">
        <v>87</v>
      </c>
      <c r="G228" s="63">
        <v>400</v>
      </c>
      <c r="H228" s="63">
        <v>2101</v>
      </c>
    </row>
    <row r="229" spans="1:8">
      <c r="A229" s="61">
        <v>21018</v>
      </c>
      <c r="B229" s="63">
        <v>2</v>
      </c>
      <c r="C229" s="63">
        <v>18</v>
      </c>
      <c r="D229" s="68" t="s">
        <v>360</v>
      </c>
      <c r="E229" s="63">
        <v>1</v>
      </c>
      <c r="F229" s="63" t="s">
        <v>116</v>
      </c>
      <c r="G229" s="63">
        <v>3000</v>
      </c>
      <c r="H229" s="63">
        <v>2101</v>
      </c>
    </row>
    <row r="230" spans="1:8">
      <c r="A230" s="61">
        <v>21019</v>
      </c>
      <c r="B230" s="63">
        <v>2</v>
      </c>
      <c r="C230" s="63">
        <v>19</v>
      </c>
      <c r="D230" s="68" t="s">
        <v>331</v>
      </c>
      <c r="E230" s="63"/>
      <c r="F230" s="63" t="s">
        <v>87</v>
      </c>
      <c r="G230" s="63">
        <v>400</v>
      </c>
      <c r="H230" s="63">
        <v>2101</v>
      </c>
    </row>
    <row r="231" spans="1:8">
      <c r="A231" s="61">
        <v>21020</v>
      </c>
      <c r="B231" s="63">
        <v>2</v>
      </c>
      <c r="C231" s="63">
        <v>20</v>
      </c>
      <c r="D231" s="68" t="s">
        <v>331</v>
      </c>
      <c r="E231" s="63"/>
      <c r="F231" s="63" t="s">
        <v>87</v>
      </c>
      <c r="G231" s="63">
        <v>400</v>
      </c>
      <c r="H231" s="63">
        <v>2101</v>
      </c>
    </row>
    <row r="232" spans="1:8">
      <c r="A232" s="61">
        <v>21021</v>
      </c>
      <c r="B232" s="63">
        <v>2</v>
      </c>
      <c r="C232" s="63">
        <v>21</v>
      </c>
      <c r="D232" s="68" t="s">
        <v>331</v>
      </c>
      <c r="E232" s="63"/>
      <c r="F232" s="63" t="s">
        <v>87</v>
      </c>
      <c r="G232" s="63">
        <v>400</v>
      </c>
      <c r="H232" s="63">
        <v>2101</v>
      </c>
    </row>
    <row r="233" spans="1:8">
      <c r="A233" s="61">
        <v>21022</v>
      </c>
      <c r="B233" s="63">
        <v>2</v>
      </c>
      <c r="C233" s="63">
        <v>22</v>
      </c>
      <c r="D233" s="68" t="s">
        <v>340</v>
      </c>
      <c r="E233" s="63"/>
      <c r="F233" s="63" t="s">
        <v>341</v>
      </c>
      <c r="G233" s="63">
        <v>1</v>
      </c>
      <c r="H233" s="63">
        <v>2101</v>
      </c>
    </row>
    <row r="234" spans="1:8">
      <c r="A234" s="61">
        <v>21023</v>
      </c>
      <c r="B234" s="63">
        <v>2</v>
      </c>
      <c r="C234" s="63">
        <v>23</v>
      </c>
      <c r="D234" s="68" t="s">
        <v>331</v>
      </c>
      <c r="E234" s="63"/>
      <c r="F234" s="63" t="s">
        <v>87</v>
      </c>
      <c r="G234" s="63">
        <v>400</v>
      </c>
      <c r="H234" s="63">
        <v>2101</v>
      </c>
    </row>
    <row r="235" spans="1:8">
      <c r="A235" s="61">
        <v>21024</v>
      </c>
      <c r="B235" s="63">
        <v>2</v>
      </c>
      <c r="C235" s="63">
        <v>24</v>
      </c>
      <c r="D235" s="68" t="s">
        <v>331</v>
      </c>
      <c r="E235" s="63"/>
      <c r="F235" s="63" t="s">
        <v>87</v>
      </c>
      <c r="G235" s="63">
        <v>400</v>
      </c>
      <c r="H235" s="63">
        <v>2101</v>
      </c>
    </row>
    <row r="236" spans="1:8">
      <c r="A236" s="61">
        <v>21025</v>
      </c>
      <c r="B236" s="63">
        <v>2</v>
      </c>
      <c r="C236" s="63">
        <v>25</v>
      </c>
      <c r="D236" s="68" t="s">
        <v>331</v>
      </c>
      <c r="E236" s="63"/>
      <c r="F236" s="63" t="s">
        <v>87</v>
      </c>
      <c r="G236" s="63">
        <v>400</v>
      </c>
      <c r="H236" s="63">
        <v>2101</v>
      </c>
    </row>
    <row r="237" spans="1:8">
      <c r="A237" s="61">
        <v>21026</v>
      </c>
      <c r="B237" s="63">
        <v>2</v>
      </c>
      <c r="C237" s="63">
        <v>26</v>
      </c>
      <c r="D237" s="68" t="s">
        <v>360</v>
      </c>
      <c r="E237" s="63">
        <v>1</v>
      </c>
      <c r="F237" s="63" t="s">
        <v>116</v>
      </c>
      <c r="G237" s="63">
        <v>3000</v>
      </c>
      <c r="H237" s="63">
        <v>2101</v>
      </c>
    </row>
    <row r="238" spans="1:8">
      <c r="A238" s="61">
        <v>21027</v>
      </c>
      <c r="B238" s="63">
        <v>2</v>
      </c>
      <c r="C238" s="63">
        <v>27</v>
      </c>
      <c r="D238" s="68" t="s">
        <v>331</v>
      </c>
      <c r="E238" s="63"/>
      <c r="F238" s="63" t="s">
        <v>87</v>
      </c>
      <c r="G238" s="63">
        <v>400</v>
      </c>
      <c r="H238" s="63">
        <v>2101</v>
      </c>
    </row>
    <row r="239" spans="1:8">
      <c r="A239" s="61">
        <v>21028</v>
      </c>
      <c r="B239" s="63">
        <v>2</v>
      </c>
      <c r="C239" s="63">
        <v>28</v>
      </c>
      <c r="D239" s="68" t="s">
        <v>331</v>
      </c>
      <c r="E239" s="63"/>
      <c r="F239" s="63" t="s">
        <v>87</v>
      </c>
      <c r="G239" s="63">
        <v>400</v>
      </c>
      <c r="H239" s="63">
        <v>2101</v>
      </c>
    </row>
    <row r="240" spans="1:8">
      <c r="A240" s="61">
        <v>21029</v>
      </c>
      <c r="B240" s="63">
        <v>2</v>
      </c>
      <c r="C240" s="63">
        <v>29</v>
      </c>
      <c r="D240" s="68" t="s">
        <v>335</v>
      </c>
      <c r="E240" s="63"/>
      <c r="F240" s="63" t="s">
        <v>87</v>
      </c>
      <c r="G240" s="63">
        <v>2000</v>
      </c>
      <c r="H240" s="63">
        <v>2101</v>
      </c>
    </row>
    <row r="241" spans="1:8">
      <c r="A241" s="61">
        <v>21030</v>
      </c>
      <c r="B241" s="63">
        <v>2</v>
      </c>
      <c r="C241" s="63">
        <v>30</v>
      </c>
      <c r="D241" s="68" t="s">
        <v>343</v>
      </c>
      <c r="E241" s="63">
        <v>1</v>
      </c>
      <c r="F241" s="63" t="s">
        <v>344</v>
      </c>
      <c r="G241" s="63">
        <v>1</v>
      </c>
      <c r="H241" s="63">
        <v>2101</v>
      </c>
    </row>
    <row r="242" spans="1:8">
      <c r="A242" s="64">
        <v>22001</v>
      </c>
      <c r="B242" s="66">
        <v>2</v>
      </c>
      <c r="C242" s="66">
        <v>1</v>
      </c>
      <c r="D242" s="66" t="s">
        <v>361</v>
      </c>
      <c r="E242" s="66">
        <v>1</v>
      </c>
      <c r="F242" s="66" t="s">
        <v>362</v>
      </c>
      <c r="G242" s="66">
        <v>1</v>
      </c>
      <c r="H242" s="66">
        <v>2201</v>
      </c>
    </row>
    <row r="243" spans="1:8">
      <c r="A243" s="64">
        <v>22002</v>
      </c>
      <c r="B243" s="66">
        <v>2</v>
      </c>
      <c r="C243" s="66">
        <v>2</v>
      </c>
      <c r="D243" s="66" t="s">
        <v>331</v>
      </c>
      <c r="E243" s="66"/>
      <c r="F243" s="66" t="s">
        <v>87</v>
      </c>
      <c r="G243" s="66">
        <v>400</v>
      </c>
      <c r="H243" s="66">
        <v>2201</v>
      </c>
    </row>
    <row r="244" spans="1:8">
      <c r="A244" s="64">
        <v>22003</v>
      </c>
      <c r="B244" s="66">
        <v>2</v>
      </c>
      <c r="C244" s="66">
        <v>3</v>
      </c>
      <c r="D244" s="66" t="s">
        <v>363</v>
      </c>
      <c r="E244" s="66">
        <v>1</v>
      </c>
      <c r="F244" s="66" t="s">
        <v>207</v>
      </c>
      <c r="G244" s="66">
        <v>50</v>
      </c>
      <c r="H244" s="66">
        <v>2201</v>
      </c>
    </row>
    <row r="245" spans="1:8">
      <c r="A245" s="64">
        <v>22004</v>
      </c>
      <c r="B245" s="66">
        <v>2</v>
      </c>
      <c r="C245" s="66">
        <v>4</v>
      </c>
      <c r="D245" s="66" t="s">
        <v>331</v>
      </c>
      <c r="E245" s="66"/>
      <c r="F245" s="66" t="s">
        <v>87</v>
      </c>
      <c r="G245" s="66">
        <v>400</v>
      </c>
      <c r="H245" s="66">
        <v>2201</v>
      </c>
    </row>
    <row r="246" spans="1:8">
      <c r="A246" s="64">
        <v>22005</v>
      </c>
      <c r="B246" s="66">
        <v>2</v>
      </c>
      <c r="C246" s="66">
        <v>5</v>
      </c>
      <c r="D246" s="66" t="s">
        <v>331</v>
      </c>
      <c r="E246" s="66"/>
      <c r="F246" s="66" t="s">
        <v>87</v>
      </c>
      <c r="G246" s="66">
        <v>400</v>
      </c>
      <c r="H246" s="66">
        <v>2201</v>
      </c>
    </row>
    <row r="247" spans="1:8">
      <c r="A247" s="64">
        <v>22006</v>
      </c>
      <c r="B247" s="66">
        <v>2</v>
      </c>
      <c r="C247" s="66">
        <v>6</v>
      </c>
      <c r="D247" s="66" t="s">
        <v>364</v>
      </c>
      <c r="E247" s="66">
        <v>1</v>
      </c>
      <c r="F247" s="66" t="s">
        <v>349</v>
      </c>
      <c r="G247" s="66">
        <v>200</v>
      </c>
      <c r="H247" s="66">
        <v>2201</v>
      </c>
    </row>
    <row r="248" spans="1:8">
      <c r="A248" s="64">
        <v>22007</v>
      </c>
      <c r="B248" s="66">
        <v>2</v>
      </c>
      <c r="C248" s="66">
        <v>7</v>
      </c>
      <c r="D248" s="66" t="s">
        <v>331</v>
      </c>
      <c r="E248" s="66"/>
      <c r="F248" s="66" t="s">
        <v>87</v>
      </c>
      <c r="G248" s="66">
        <v>400</v>
      </c>
      <c r="H248" s="66">
        <v>2201</v>
      </c>
    </row>
    <row r="249" spans="1:8">
      <c r="A249" s="64">
        <v>22008</v>
      </c>
      <c r="B249" s="66">
        <v>2</v>
      </c>
      <c r="C249" s="66">
        <v>8</v>
      </c>
      <c r="D249" s="66" t="s">
        <v>331</v>
      </c>
      <c r="E249" s="66"/>
      <c r="F249" s="66" t="s">
        <v>87</v>
      </c>
      <c r="G249" s="66">
        <v>400</v>
      </c>
      <c r="H249" s="66">
        <v>2201</v>
      </c>
    </row>
    <row r="250" spans="1:8">
      <c r="A250" s="64">
        <v>22009</v>
      </c>
      <c r="B250" s="66">
        <v>2</v>
      </c>
      <c r="C250" s="66">
        <v>9</v>
      </c>
      <c r="D250" s="66" t="s">
        <v>331</v>
      </c>
      <c r="E250" s="66"/>
      <c r="F250" s="66" t="s">
        <v>87</v>
      </c>
      <c r="G250" s="66">
        <v>400</v>
      </c>
      <c r="H250" s="66">
        <v>2201</v>
      </c>
    </row>
    <row r="251" spans="1:8">
      <c r="A251" s="64">
        <v>22010</v>
      </c>
      <c r="B251" s="66">
        <v>2</v>
      </c>
      <c r="C251" s="66">
        <v>10</v>
      </c>
      <c r="D251" s="66" t="s">
        <v>363</v>
      </c>
      <c r="E251" s="66">
        <v>1</v>
      </c>
      <c r="F251" s="66" t="s">
        <v>207</v>
      </c>
      <c r="G251" s="66">
        <v>50</v>
      </c>
      <c r="H251" s="66">
        <v>2201</v>
      </c>
    </row>
    <row r="252" spans="1:8">
      <c r="A252" s="64">
        <v>22011</v>
      </c>
      <c r="B252" s="66">
        <v>2</v>
      </c>
      <c r="C252" s="66">
        <v>11</v>
      </c>
      <c r="D252" s="66" t="s">
        <v>331</v>
      </c>
      <c r="E252" s="66"/>
      <c r="F252" s="66" t="s">
        <v>87</v>
      </c>
      <c r="G252" s="66">
        <v>400</v>
      </c>
      <c r="H252" s="66">
        <v>2201</v>
      </c>
    </row>
    <row r="253" spans="1:8">
      <c r="A253" s="64">
        <v>22012</v>
      </c>
      <c r="B253" s="66">
        <v>2</v>
      </c>
      <c r="C253" s="66">
        <v>12</v>
      </c>
      <c r="D253" s="66" t="s">
        <v>331</v>
      </c>
      <c r="E253" s="66"/>
      <c r="F253" s="66" t="s">
        <v>87</v>
      </c>
      <c r="G253" s="66">
        <v>400</v>
      </c>
      <c r="H253" s="66">
        <v>2201</v>
      </c>
    </row>
    <row r="254" spans="1:8">
      <c r="A254" s="64">
        <v>22013</v>
      </c>
      <c r="B254" s="66">
        <v>2</v>
      </c>
      <c r="C254" s="66">
        <v>13</v>
      </c>
      <c r="D254" s="66" t="s">
        <v>364</v>
      </c>
      <c r="E254" s="66"/>
      <c r="F254" s="66" t="s">
        <v>349</v>
      </c>
      <c r="G254" s="66">
        <v>200</v>
      </c>
      <c r="H254" s="66">
        <v>2201</v>
      </c>
    </row>
    <row r="255" spans="1:8">
      <c r="A255" s="64">
        <v>22014</v>
      </c>
      <c r="B255" s="66">
        <v>2</v>
      </c>
      <c r="C255" s="66">
        <v>14</v>
      </c>
      <c r="D255" s="66" t="s">
        <v>335</v>
      </c>
      <c r="E255" s="66">
        <v>1</v>
      </c>
      <c r="F255" s="66" t="s">
        <v>87</v>
      </c>
      <c r="G255" s="66">
        <v>2000</v>
      </c>
      <c r="H255" s="66">
        <v>2201</v>
      </c>
    </row>
    <row r="256" spans="1:8">
      <c r="A256" s="64">
        <v>22015</v>
      </c>
      <c r="B256" s="66">
        <v>2</v>
      </c>
      <c r="C256" s="66">
        <v>15</v>
      </c>
      <c r="D256" s="66" t="s">
        <v>331</v>
      </c>
      <c r="E256" s="66"/>
      <c r="F256" s="66" t="s">
        <v>87</v>
      </c>
      <c r="G256" s="66">
        <v>400</v>
      </c>
      <c r="H256" s="66">
        <v>2201</v>
      </c>
    </row>
    <row r="257" spans="1:8">
      <c r="A257" s="64">
        <v>22016</v>
      </c>
      <c r="B257" s="66">
        <v>2</v>
      </c>
      <c r="C257" s="66">
        <v>16</v>
      </c>
      <c r="D257" s="66" t="s">
        <v>331</v>
      </c>
      <c r="E257" s="66"/>
      <c r="F257" s="66" t="s">
        <v>87</v>
      </c>
      <c r="G257" s="66">
        <v>400</v>
      </c>
      <c r="H257" s="66">
        <v>2201</v>
      </c>
    </row>
    <row r="258" spans="1:8">
      <c r="A258" s="64">
        <v>22017</v>
      </c>
      <c r="B258" s="66">
        <v>2</v>
      </c>
      <c r="C258" s="66">
        <v>17</v>
      </c>
      <c r="D258" s="66" t="s">
        <v>331</v>
      </c>
      <c r="E258" s="66"/>
      <c r="F258" s="66" t="s">
        <v>87</v>
      </c>
      <c r="G258" s="66">
        <v>400</v>
      </c>
      <c r="H258" s="66">
        <v>2201</v>
      </c>
    </row>
    <row r="259" spans="1:8">
      <c r="A259" s="64">
        <v>22018</v>
      </c>
      <c r="B259" s="66">
        <v>2</v>
      </c>
      <c r="C259" s="66">
        <v>18</v>
      </c>
      <c r="D259" s="66" t="s">
        <v>363</v>
      </c>
      <c r="E259" s="66">
        <v>1</v>
      </c>
      <c r="F259" s="66" t="s">
        <v>207</v>
      </c>
      <c r="G259" s="66">
        <v>50</v>
      </c>
      <c r="H259" s="66">
        <v>2201</v>
      </c>
    </row>
    <row r="260" spans="1:8">
      <c r="A260" s="64">
        <v>22019</v>
      </c>
      <c r="B260" s="66">
        <v>2</v>
      </c>
      <c r="C260" s="66">
        <v>19</v>
      </c>
      <c r="D260" s="66" t="s">
        <v>331</v>
      </c>
      <c r="E260" s="66"/>
      <c r="F260" s="66" t="s">
        <v>87</v>
      </c>
      <c r="G260" s="66">
        <v>400</v>
      </c>
      <c r="H260" s="66">
        <v>2201</v>
      </c>
    </row>
    <row r="261" spans="1:8">
      <c r="A261" s="64">
        <v>22020</v>
      </c>
      <c r="B261" s="66">
        <v>2</v>
      </c>
      <c r="C261" s="66">
        <v>20</v>
      </c>
      <c r="D261" s="66" t="s">
        <v>331</v>
      </c>
      <c r="E261" s="66"/>
      <c r="F261" s="66" t="s">
        <v>87</v>
      </c>
      <c r="G261" s="66">
        <v>400</v>
      </c>
      <c r="H261" s="66">
        <v>2201</v>
      </c>
    </row>
    <row r="262" spans="1:8">
      <c r="A262" s="64">
        <v>22021</v>
      </c>
      <c r="B262" s="66">
        <v>2</v>
      </c>
      <c r="C262" s="66">
        <v>21</v>
      </c>
      <c r="D262" s="66" t="s">
        <v>331</v>
      </c>
      <c r="E262" s="66"/>
      <c r="F262" s="66" t="s">
        <v>87</v>
      </c>
      <c r="G262" s="66">
        <v>400</v>
      </c>
      <c r="H262" s="66">
        <v>2201</v>
      </c>
    </row>
    <row r="263" spans="1:8">
      <c r="A263" s="64">
        <v>22022</v>
      </c>
      <c r="B263" s="66">
        <v>2</v>
      </c>
      <c r="C263" s="66">
        <v>22</v>
      </c>
      <c r="D263" s="66" t="s">
        <v>364</v>
      </c>
      <c r="E263" s="66"/>
      <c r="F263" s="66" t="s">
        <v>349</v>
      </c>
      <c r="G263" s="66">
        <v>200</v>
      </c>
      <c r="H263" s="66">
        <v>2201</v>
      </c>
    </row>
    <row r="264" spans="1:8">
      <c r="A264" s="64">
        <v>22023</v>
      </c>
      <c r="B264" s="66">
        <v>2</v>
      </c>
      <c r="C264" s="66">
        <v>23</v>
      </c>
      <c r="D264" s="66" t="s">
        <v>331</v>
      </c>
      <c r="E264" s="66"/>
      <c r="F264" s="66" t="s">
        <v>87</v>
      </c>
      <c r="G264" s="66">
        <v>400</v>
      </c>
      <c r="H264" s="66">
        <v>2201</v>
      </c>
    </row>
    <row r="265" spans="1:8">
      <c r="A265" s="64">
        <v>22024</v>
      </c>
      <c r="B265" s="66">
        <v>2</v>
      </c>
      <c r="C265" s="66">
        <v>24</v>
      </c>
      <c r="D265" s="66" t="s">
        <v>331</v>
      </c>
      <c r="E265" s="66"/>
      <c r="F265" s="66" t="s">
        <v>87</v>
      </c>
      <c r="G265" s="66">
        <v>400</v>
      </c>
      <c r="H265" s="66">
        <v>2201</v>
      </c>
    </row>
    <row r="266" spans="1:8">
      <c r="A266" s="64">
        <v>22025</v>
      </c>
      <c r="B266" s="66">
        <v>2</v>
      </c>
      <c r="C266" s="66">
        <v>25</v>
      </c>
      <c r="D266" s="66" t="s">
        <v>331</v>
      </c>
      <c r="E266" s="66"/>
      <c r="F266" s="66" t="s">
        <v>87</v>
      </c>
      <c r="G266" s="66">
        <v>400</v>
      </c>
      <c r="H266" s="66">
        <v>2201</v>
      </c>
    </row>
    <row r="267" spans="1:8">
      <c r="A267" s="64">
        <v>22026</v>
      </c>
      <c r="B267" s="66">
        <v>2</v>
      </c>
      <c r="C267" s="66">
        <v>26</v>
      </c>
      <c r="D267" s="66" t="s">
        <v>363</v>
      </c>
      <c r="E267" s="66">
        <v>1</v>
      </c>
      <c r="F267" s="66" t="s">
        <v>207</v>
      </c>
      <c r="G267" s="66">
        <v>50</v>
      </c>
      <c r="H267" s="66">
        <v>2201</v>
      </c>
    </row>
    <row r="268" spans="1:8">
      <c r="A268" s="64">
        <v>22027</v>
      </c>
      <c r="B268" s="66">
        <v>2</v>
      </c>
      <c r="C268" s="66">
        <v>27</v>
      </c>
      <c r="D268" s="66" t="s">
        <v>331</v>
      </c>
      <c r="E268" s="66"/>
      <c r="F268" s="66" t="s">
        <v>87</v>
      </c>
      <c r="G268" s="66">
        <v>400</v>
      </c>
      <c r="H268" s="66">
        <v>2201</v>
      </c>
    </row>
    <row r="269" spans="1:8">
      <c r="A269" s="64">
        <v>22028</v>
      </c>
      <c r="B269" s="66">
        <v>2</v>
      </c>
      <c r="C269" s="66">
        <v>28</v>
      </c>
      <c r="D269" s="66" t="s">
        <v>331</v>
      </c>
      <c r="E269" s="66"/>
      <c r="F269" s="66" t="s">
        <v>87</v>
      </c>
      <c r="G269" s="66">
        <v>400</v>
      </c>
      <c r="H269" s="66">
        <v>2201</v>
      </c>
    </row>
    <row r="270" spans="1:8">
      <c r="A270" s="64">
        <v>22029</v>
      </c>
      <c r="B270" s="66">
        <v>2</v>
      </c>
      <c r="C270" s="66">
        <v>29</v>
      </c>
      <c r="D270" s="66" t="s">
        <v>335</v>
      </c>
      <c r="E270" s="66"/>
      <c r="F270" s="66" t="s">
        <v>87</v>
      </c>
      <c r="G270" s="66">
        <v>2000</v>
      </c>
      <c r="H270" s="66">
        <v>2201</v>
      </c>
    </row>
    <row r="271" spans="1:8">
      <c r="A271" s="64">
        <v>22030</v>
      </c>
      <c r="B271" s="66">
        <v>2</v>
      </c>
      <c r="C271" s="66">
        <v>30</v>
      </c>
      <c r="D271" s="66" t="s">
        <v>365</v>
      </c>
      <c r="E271" s="66">
        <v>1</v>
      </c>
      <c r="F271" s="66" t="s">
        <v>351</v>
      </c>
      <c r="G271" s="66">
        <v>4</v>
      </c>
      <c r="H271" s="66">
        <v>2201</v>
      </c>
    </row>
    <row r="272" spans="1:8">
      <c r="A272" s="69">
        <v>23001</v>
      </c>
      <c r="B272" s="70">
        <v>2</v>
      </c>
      <c r="C272" s="70">
        <v>1</v>
      </c>
      <c r="D272" s="70" t="s">
        <v>366</v>
      </c>
      <c r="E272" s="70">
        <v>1</v>
      </c>
      <c r="F272" s="70" t="s">
        <v>367</v>
      </c>
      <c r="G272" s="70">
        <v>1</v>
      </c>
      <c r="H272" s="70">
        <v>2301</v>
      </c>
    </row>
    <row r="273" spans="1:8">
      <c r="A273" s="69">
        <v>23002</v>
      </c>
      <c r="B273" s="70">
        <v>2</v>
      </c>
      <c r="C273" s="70">
        <v>2</v>
      </c>
      <c r="D273" s="70" t="s">
        <v>331</v>
      </c>
      <c r="E273" s="70"/>
      <c r="F273" s="70" t="s">
        <v>87</v>
      </c>
      <c r="G273" s="70">
        <v>400</v>
      </c>
      <c r="H273" s="70">
        <v>2301</v>
      </c>
    </row>
    <row r="274" spans="1:8">
      <c r="A274" s="69">
        <v>23003</v>
      </c>
      <c r="B274" s="70">
        <v>2</v>
      </c>
      <c r="C274" s="70">
        <v>3</v>
      </c>
      <c r="D274" s="70" t="s">
        <v>368</v>
      </c>
      <c r="E274" s="70">
        <v>1</v>
      </c>
      <c r="F274" s="70" t="s">
        <v>355</v>
      </c>
      <c r="G274" s="70">
        <v>2000</v>
      </c>
      <c r="H274" s="70">
        <v>2301</v>
      </c>
    </row>
    <row r="275" spans="1:8">
      <c r="A275" s="69">
        <v>23004</v>
      </c>
      <c r="B275" s="70">
        <v>2</v>
      </c>
      <c r="C275" s="70">
        <v>4</v>
      </c>
      <c r="D275" s="70" t="s">
        <v>331</v>
      </c>
      <c r="E275" s="70"/>
      <c r="F275" s="70" t="s">
        <v>87</v>
      </c>
      <c r="G275" s="70">
        <v>400</v>
      </c>
      <c r="H275" s="70">
        <v>2301</v>
      </c>
    </row>
    <row r="276" spans="1:8">
      <c r="A276" s="69">
        <v>23005</v>
      </c>
      <c r="B276" s="70">
        <v>2</v>
      </c>
      <c r="C276" s="70">
        <v>5</v>
      </c>
      <c r="D276" s="70" t="s">
        <v>331</v>
      </c>
      <c r="E276" s="70"/>
      <c r="F276" s="70" t="s">
        <v>87</v>
      </c>
      <c r="G276" s="70">
        <v>400</v>
      </c>
      <c r="H276" s="70">
        <v>2301</v>
      </c>
    </row>
    <row r="277" spans="1:8">
      <c r="A277" s="69">
        <v>23006</v>
      </c>
      <c r="B277" s="70">
        <v>2</v>
      </c>
      <c r="C277" s="70">
        <v>6</v>
      </c>
      <c r="D277" s="70" t="s">
        <v>369</v>
      </c>
      <c r="E277" s="70">
        <v>1</v>
      </c>
      <c r="F277" s="70" t="s">
        <v>355</v>
      </c>
      <c r="G277" s="70">
        <v>4000</v>
      </c>
      <c r="H277" s="70">
        <v>2301</v>
      </c>
    </row>
    <row r="278" spans="1:8">
      <c r="A278" s="69">
        <v>23007</v>
      </c>
      <c r="B278" s="70">
        <v>2</v>
      </c>
      <c r="C278" s="70">
        <v>7</v>
      </c>
      <c r="D278" s="70" t="s">
        <v>331</v>
      </c>
      <c r="E278" s="70"/>
      <c r="F278" s="70" t="s">
        <v>87</v>
      </c>
      <c r="G278" s="70">
        <v>400</v>
      </c>
      <c r="H278" s="70">
        <v>2301</v>
      </c>
    </row>
    <row r="279" spans="1:8">
      <c r="A279" s="69">
        <v>23008</v>
      </c>
      <c r="B279" s="70">
        <v>2</v>
      </c>
      <c r="C279" s="70">
        <v>8</v>
      </c>
      <c r="D279" s="70" t="s">
        <v>331</v>
      </c>
      <c r="E279" s="70"/>
      <c r="F279" s="70" t="s">
        <v>87</v>
      </c>
      <c r="G279" s="70">
        <v>400</v>
      </c>
      <c r="H279" s="70">
        <v>2301</v>
      </c>
    </row>
    <row r="280" spans="1:8">
      <c r="A280" s="69">
        <v>23009</v>
      </c>
      <c r="B280" s="70">
        <v>2</v>
      </c>
      <c r="C280" s="70">
        <v>9</v>
      </c>
      <c r="D280" s="70" t="s">
        <v>331</v>
      </c>
      <c r="E280" s="70"/>
      <c r="F280" s="70" t="s">
        <v>87</v>
      </c>
      <c r="G280" s="70">
        <v>400</v>
      </c>
      <c r="H280" s="70">
        <v>2301</v>
      </c>
    </row>
    <row r="281" spans="1:8">
      <c r="A281" s="69">
        <v>23010</v>
      </c>
      <c r="B281" s="70">
        <v>2</v>
      </c>
      <c r="C281" s="70">
        <v>10</v>
      </c>
      <c r="D281" s="70" t="s">
        <v>368</v>
      </c>
      <c r="E281" s="70">
        <v>1</v>
      </c>
      <c r="F281" s="70" t="s">
        <v>355</v>
      </c>
      <c r="G281" s="70">
        <v>2000</v>
      </c>
      <c r="H281" s="70">
        <v>2301</v>
      </c>
    </row>
    <row r="282" spans="1:8">
      <c r="A282" s="69">
        <v>23011</v>
      </c>
      <c r="B282" s="70">
        <v>2</v>
      </c>
      <c r="C282" s="70">
        <v>11</v>
      </c>
      <c r="D282" s="70" t="s">
        <v>331</v>
      </c>
      <c r="E282" s="70"/>
      <c r="F282" s="70" t="s">
        <v>87</v>
      </c>
      <c r="G282" s="70">
        <v>400</v>
      </c>
      <c r="H282" s="70">
        <v>2301</v>
      </c>
    </row>
    <row r="283" spans="1:8">
      <c r="A283" s="69">
        <v>23012</v>
      </c>
      <c r="B283" s="70">
        <v>2</v>
      </c>
      <c r="C283" s="70">
        <v>12</v>
      </c>
      <c r="D283" s="70" t="s">
        <v>331</v>
      </c>
      <c r="E283" s="70"/>
      <c r="F283" s="70" t="s">
        <v>87</v>
      </c>
      <c r="G283" s="70">
        <v>400</v>
      </c>
      <c r="H283" s="70">
        <v>2301</v>
      </c>
    </row>
    <row r="284" spans="1:8">
      <c r="A284" s="69">
        <v>23013</v>
      </c>
      <c r="B284" s="70">
        <v>2</v>
      </c>
      <c r="C284" s="70">
        <v>13</v>
      </c>
      <c r="D284" s="70" t="s">
        <v>368</v>
      </c>
      <c r="E284" s="70"/>
      <c r="F284" s="70" t="s">
        <v>355</v>
      </c>
      <c r="G284" s="70">
        <v>2000</v>
      </c>
      <c r="H284" s="70">
        <v>2301</v>
      </c>
    </row>
    <row r="285" spans="1:8">
      <c r="A285" s="69">
        <v>23014</v>
      </c>
      <c r="B285" s="70">
        <v>2</v>
      </c>
      <c r="C285" s="70">
        <v>14</v>
      </c>
      <c r="D285" s="70" t="s">
        <v>335</v>
      </c>
      <c r="E285" s="70">
        <v>1</v>
      </c>
      <c r="F285" s="70" t="s">
        <v>87</v>
      </c>
      <c r="G285" s="70">
        <v>2000</v>
      </c>
      <c r="H285" s="70">
        <v>2301</v>
      </c>
    </row>
    <row r="286" spans="1:8">
      <c r="A286" s="69">
        <v>23015</v>
      </c>
      <c r="B286" s="70">
        <v>2</v>
      </c>
      <c r="C286" s="70">
        <v>15</v>
      </c>
      <c r="D286" s="70" t="s">
        <v>331</v>
      </c>
      <c r="E286" s="70"/>
      <c r="F286" s="70" t="s">
        <v>87</v>
      </c>
      <c r="G286" s="70">
        <v>400</v>
      </c>
      <c r="H286" s="70">
        <v>2301</v>
      </c>
    </row>
    <row r="287" spans="1:8">
      <c r="A287" s="69">
        <v>23016</v>
      </c>
      <c r="B287" s="70">
        <v>2</v>
      </c>
      <c r="C287" s="70">
        <v>16</v>
      </c>
      <c r="D287" s="70" t="s">
        <v>331</v>
      </c>
      <c r="E287" s="70"/>
      <c r="F287" s="70" t="s">
        <v>87</v>
      </c>
      <c r="G287" s="70">
        <v>400</v>
      </c>
      <c r="H287" s="70">
        <v>2301</v>
      </c>
    </row>
    <row r="288" spans="1:8">
      <c r="A288" s="69">
        <v>23017</v>
      </c>
      <c r="B288" s="70">
        <v>2</v>
      </c>
      <c r="C288" s="70">
        <v>17</v>
      </c>
      <c r="D288" s="70" t="s">
        <v>331</v>
      </c>
      <c r="E288" s="70"/>
      <c r="F288" s="70" t="s">
        <v>87</v>
      </c>
      <c r="G288" s="70">
        <v>400</v>
      </c>
      <c r="H288" s="70">
        <v>2301</v>
      </c>
    </row>
    <row r="289" spans="1:8">
      <c r="A289" s="69">
        <v>23018</v>
      </c>
      <c r="B289" s="70">
        <v>2</v>
      </c>
      <c r="C289" s="70">
        <v>18</v>
      </c>
      <c r="D289" s="70" t="s">
        <v>369</v>
      </c>
      <c r="E289" s="70">
        <v>1</v>
      </c>
      <c r="F289" s="70" t="s">
        <v>355</v>
      </c>
      <c r="G289" s="70">
        <v>4000</v>
      </c>
      <c r="H289" s="70">
        <v>2301</v>
      </c>
    </row>
    <row r="290" spans="1:8">
      <c r="A290" s="69">
        <v>23019</v>
      </c>
      <c r="B290" s="70">
        <v>2</v>
      </c>
      <c r="C290" s="70">
        <v>19</v>
      </c>
      <c r="D290" s="70" t="s">
        <v>331</v>
      </c>
      <c r="E290" s="70"/>
      <c r="F290" s="70" t="s">
        <v>87</v>
      </c>
      <c r="G290" s="70">
        <v>400</v>
      </c>
      <c r="H290" s="70">
        <v>2301</v>
      </c>
    </row>
    <row r="291" spans="1:8">
      <c r="A291" s="69">
        <v>23020</v>
      </c>
      <c r="B291" s="70">
        <v>2</v>
      </c>
      <c r="C291" s="70">
        <v>20</v>
      </c>
      <c r="D291" s="70" t="s">
        <v>331</v>
      </c>
      <c r="E291" s="70"/>
      <c r="F291" s="70" t="s">
        <v>87</v>
      </c>
      <c r="G291" s="70">
        <v>400</v>
      </c>
      <c r="H291" s="70">
        <v>2301</v>
      </c>
    </row>
    <row r="292" spans="1:8">
      <c r="A292" s="69">
        <v>23021</v>
      </c>
      <c r="B292" s="70">
        <v>2</v>
      </c>
      <c r="C292" s="70">
        <v>21</v>
      </c>
      <c r="D292" s="70" t="s">
        <v>331</v>
      </c>
      <c r="E292" s="70"/>
      <c r="F292" s="70" t="s">
        <v>87</v>
      </c>
      <c r="G292" s="70">
        <v>400</v>
      </c>
      <c r="H292" s="70">
        <v>2301</v>
      </c>
    </row>
    <row r="293" spans="1:8">
      <c r="A293" s="69">
        <v>23022</v>
      </c>
      <c r="B293" s="70">
        <v>2</v>
      </c>
      <c r="C293" s="70">
        <v>22</v>
      </c>
      <c r="D293" s="70" t="s">
        <v>368</v>
      </c>
      <c r="E293" s="70"/>
      <c r="F293" s="70" t="s">
        <v>355</v>
      </c>
      <c r="G293" s="70">
        <v>2000</v>
      </c>
      <c r="H293" s="70">
        <v>2301</v>
      </c>
    </row>
    <row r="294" spans="1:8">
      <c r="A294" s="69">
        <v>23023</v>
      </c>
      <c r="B294" s="70">
        <v>2</v>
      </c>
      <c r="C294" s="70">
        <v>23</v>
      </c>
      <c r="D294" s="70" t="s">
        <v>331</v>
      </c>
      <c r="E294" s="70"/>
      <c r="F294" s="70" t="s">
        <v>87</v>
      </c>
      <c r="G294" s="70">
        <v>400</v>
      </c>
      <c r="H294" s="70">
        <v>2301</v>
      </c>
    </row>
    <row r="295" spans="1:8">
      <c r="A295" s="69">
        <v>23024</v>
      </c>
      <c r="B295" s="70">
        <v>2</v>
      </c>
      <c r="C295" s="70">
        <v>24</v>
      </c>
      <c r="D295" s="70" t="s">
        <v>331</v>
      </c>
      <c r="E295" s="70"/>
      <c r="F295" s="70" t="s">
        <v>87</v>
      </c>
      <c r="G295" s="70">
        <v>400</v>
      </c>
      <c r="H295" s="70">
        <v>2301</v>
      </c>
    </row>
    <row r="296" spans="1:8">
      <c r="A296" s="69">
        <v>23025</v>
      </c>
      <c r="B296" s="70">
        <v>2</v>
      </c>
      <c r="C296" s="70">
        <v>25</v>
      </c>
      <c r="D296" s="70" t="s">
        <v>331</v>
      </c>
      <c r="E296" s="70"/>
      <c r="F296" s="70" t="s">
        <v>87</v>
      </c>
      <c r="G296" s="70">
        <v>400</v>
      </c>
      <c r="H296" s="70">
        <v>2301</v>
      </c>
    </row>
    <row r="297" spans="1:8">
      <c r="A297" s="69">
        <v>23026</v>
      </c>
      <c r="B297" s="70">
        <v>2</v>
      </c>
      <c r="C297" s="70">
        <v>26</v>
      </c>
      <c r="D297" s="70" t="s">
        <v>368</v>
      </c>
      <c r="E297" s="70">
        <v>1</v>
      </c>
      <c r="F297" s="70" t="s">
        <v>355</v>
      </c>
      <c r="G297" s="70">
        <v>2000</v>
      </c>
      <c r="H297" s="70">
        <v>2301</v>
      </c>
    </row>
    <row r="298" spans="1:8">
      <c r="A298" s="69">
        <v>23027</v>
      </c>
      <c r="B298" s="70">
        <v>2</v>
      </c>
      <c r="C298" s="70">
        <v>27</v>
      </c>
      <c r="D298" s="70" t="s">
        <v>331</v>
      </c>
      <c r="E298" s="70"/>
      <c r="F298" s="70" t="s">
        <v>87</v>
      </c>
      <c r="G298" s="70">
        <v>400</v>
      </c>
      <c r="H298" s="70">
        <v>2301</v>
      </c>
    </row>
    <row r="299" spans="1:8">
      <c r="A299" s="69">
        <v>23028</v>
      </c>
      <c r="B299" s="70">
        <v>2</v>
      </c>
      <c r="C299" s="70">
        <v>28</v>
      </c>
      <c r="D299" s="70" t="s">
        <v>331</v>
      </c>
      <c r="E299" s="70"/>
      <c r="F299" s="70" t="s">
        <v>87</v>
      </c>
      <c r="G299" s="70">
        <v>400</v>
      </c>
      <c r="H299" s="70">
        <v>2301</v>
      </c>
    </row>
    <row r="300" spans="1:8">
      <c r="A300" s="69">
        <v>23029</v>
      </c>
      <c r="B300" s="70">
        <v>2</v>
      </c>
      <c r="C300" s="70">
        <v>29</v>
      </c>
      <c r="D300" s="70" t="s">
        <v>335</v>
      </c>
      <c r="E300" s="70"/>
      <c r="F300" s="70" t="s">
        <v>87</v>
      </c>
      <c r="G300" s="70">
        <v>2000</v>
      </c>
      <c r="H300" s="70">
        <v>2301</v>
      </c>
    </row>
    <row r="301" spans="1:8">
      <c r="A301" s="69">
        <v>23030</v>
      </c>
      <c r="B301" s="70">
        <v>2</v>
      </c>
      <c r="C301" s="70">
        <v>30</v>
      </c>
      <c r="D301" s="70" t="s">
        <v>369</v>
      </c>
      <c r="E301" s="70">
        <v>1</v>
      </c>
      <c r="F301" s="70" t="s">
        <v>355</v>
      </c>
      <c r="G301" s="70">
        <v>4000</v>
      </c>
      <c r="H301" s="70">
        <v>2301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U208"/>
  <sheetViews>
    <sheetView topLeftCell="I1" workbookViewId="0">
      <pane ySplit="1" topLeftCell="A2" activePane="bottomLeft" state="frozen"/>
      <selection pane="bottomLeft" activeCell="T2" sqref="T2:T208"/>
    </sheetView>
  </sheetViews>
  <sheetFormatPr defaultColWidth="9" defaultRowHeight="16.5"/>
  <cols>
    <col min="1" max="1" width="9.5703125" customWidth="1"/>
    <col min="2" max="2" width="14.5703125" customWidth="1"/>
    <col min="3" max="3" width="22.7109375" customWidth="1"/>
    <col min="4" max="4" width="55.140625" customWidth="1"/>
    <col min="5" max="6" width="67" style="9" customWidth="1"/>
    <col min="7" max="7" width="24.7109375" customWidth="1"/>
    <col min="8" max="8" width="14.140625" customWidth="1"/>
    <col min="11" max="11" width="11.42578125" style="4" customWidth="1"/>
    <col min="12" max="13" width="11.42578125" customWidth="1"/>
    <col min="14" max="14" width="17" customWidth="1"/>
    <col min="15" max="15" width="18.5703125" customWidth="1"/>
    <col min="16" max="18" width="13.85546875" customWidth="1"/>
    <col min="20" max="20" width="76" customWidth="1"/>
  </cols>
  <sheetData>
    <row r="1" spans="1:21">
      <c r="A1" s="4" t="s">
        <v>0</v>
      </c>
      <c r="B1" s="4" t="s">
        <v>54</v>
      </c>
      <c r="C1" s="4" t="s">
        <v>3</v>
      </c>
      <c r="D1" s="4" t="s">
        <v>322</v>
      </c>
      <c r="E1" s="9" t="s">
        <v>370</v>
      </c>
      <c r="F1" s="9" t="s">
        <v>370</v>
      </c>
      <c r="G1" s="4" t="s">
        <v>371</v>
      </c>
      <c r="H1" s="4" t="s">
        <v>372</v>
      </c>
      <c r="I1" s="4" t="s">
        <v>95</v>
      </c>
      <c r="J1" s="38" t="s">
        <v>373</v>
      </c>
      <c r="K1" s="4" t="s">
        <v>374</v>
      </c>
      <c r="L1" s="38" t="s">
        <v>375</v>
      </c>
      <c r="M1" s="38" t="s">
        <v>376</v>
      </c>
      <c r="N1" s="38" t="s">
        <v>377</v>
      </c>
      <c r="O1" s="4" t="s">
        <v>378</v>
      </c>
      <c r="P1" s="4" t="s">
        <v>379</v>
      </c>
      <c r="Q1" s="4" t="s">
        <v>380</v>
      </c>
      <c r="R1" s="4" t="s">
        <v>381</v>
      </c>
      <c r="S1" s="4" t="s">
        <v>382</v>
      </c>
      <c r="T1" s="4" t="s">
        <v>383</v>
      </c>
      <c r="U1" s="4" t="s">
        <v>6</v>
      </c>
    </row>
    <row r="2" spans="1:21">
      <c r="A2" s="4">
        <v>100001</v>
      </c>
      <c r="B2" s="4" t="s">
        <v>384</v>
      </c>
      <c r="C2" s="4">
        <v>20000</v>
      </c>
      <c r="D2" s="10" t="s">
        <v>385</v>
      </c>
      <c r="E2" s="9" t="s">
        <v>386</v>
      </c>
      <c r="G2" s="26">
        <v>6</v>
      </c>
      <c r="H2" s="26">
        <v>72</v>
      </c>
      <c r="I2" s="4">
        <v>1</v>
      </c>
      <c r="J2" s="4">
        <v>413</v>
      </c>
      <c r="K2" s="4">
        <v>6</v>
      </c>
      <c r="L2" s="4">
        <v>0</v>
      </c>
      <c r="M2" s="4">
        <v>1</v>
      </c>
      <c r="N2" s="4">
        <v>0</v>
      </c>
      <c r="O2" s="4">
        <v>20</v>
      </c>
      <c r="P2" s="4">
        <v>999</v>
      </c>
      <c r="Q2" s="4">
        <v>0</v>
      </c>
      <c r="R2" s="4">
        <v>20</v>
      </c>
      <c r="S2" s="4">
        <v>500</v>
      </c>
      <c r="T2" s="4" t="s">
        <v>387</v>
      </c>
      <c r="U2" s="4">
        <v>22001</v>
      </c>
    </row>
    <row r="3" spans="1:21">
      <c r="A3" s="4">
        <v>100002</v>
      </c>
      <c r="B3" s="4" t="s">
        <v>388</v>
      </c>
      <c r="C3" s="4">
        <v>25000</v>
      </c>
      <c r="D3" s="10" t="s">
        <v>389</v>
      </c>
      <c r="E3" s="9" t="s">
        <v>390</v>
      </c>
      <c r="G3" s="26">
        <v>6</v>
      </c>
      <c r="H3" s="26">
        <v>168</v>
      </c>
      <c r="I3" s="4">
        <v>1</v>
      </c>
      <c r="J3" s="4">
        <v>413</v>
      </c>
      <c r="K3" s="4">
        <v>9</v>
      </c>
      <c r="L3" s="4">
        <v>0</v>
      </c>
      <c r="M3" s="4">
        <v>1</v>
      </c>
      <c r="N3" s="4">
        <v>0</v>
      </c>
      <c r="O3" s="4">
        <v>20</v>
      </c>
      <c r="P3" s="4">
        <v>999</v>
      </c>
      <c r="Q3" s="4">
        <v>0</v>
      </c>
      <c r="R3" s="4">
        <v>20</v>
      </c>
      <c r="S3" s="4">
        <v>666</v>
      </c>
      <c r="T3" s="4" t="s">
        <v>391</v>
      </c>
      <c r="U3" s="4">
        <v>22002</v>
      </c>
    </row>
    <row r="4" spans="1:21">
      <c r="A4" s="4">
        <v>100003</v>
      </c>
      <c r="B4" s="4" t="s">
        <v>392</v>
      </c>
      <c r="C4" s="4">
        <v>45000</v>
      </c>
      <c r="D4" s="10" t="s">
        <v>393</v>
      </c>
      <c r="E4" s="9" t="s">
        <v>394</v>
      </c>
      <c r="G4" s="26">
        <v>6</v>
      </c>
      <c r="H4" s="26">
        <v>168</v>
      </c>
      <c r="I4" s="4">
        <v>1</v>
      </c>
      <c r="J4" s="4">
        <v>413</v>
      </c>
      <c r="K4" s="4">
        <v>10</v>
      </c>
      <c r="L4" s="4">
        <v>0</v>
      </c>
      <c r="M4" s="4">
        <v>1</v>
      </c>
      <c r="N4" s="4">
        <v>0</v>
      </c>
      <c r="O4" s="4">
        <v>20</v>
      </c>
      <c r="P4" s="4">
        <v>999</v>
      </c>
      <c r="Q4" s="4">
        <v>0</v>
      </c>
      <c r="R4" s="4">
        <v>20</v>
      </c>
      <c r="S4" s="4">
        <v>888</v>
      </c>
      <c r="T4" s="4" t="s">
        <v>395</v>
      </c>
      <c r="U4" s="4">
        <v>22003</v>
      </c>
    </row>
    <row r="5" spans="1:21">
      <c r="A5" s="4">
        <v>100004</v>
      </c>
      <c r="B5" s="4" t="s">
        <v>396</v>
      </c>
      <c r="C5" s="4">
        <v>10000</v>
      </c>
      <c r="D5" s="10" t="s">
        <v>397</v>
      </c>
      <c r="E5" s="9" t="s">
        <v>398</v>
      </c>
      <c r="G5" s="26">
        <v>6</v>
      </c>
      <c r="H5" s="26">
        <v>72</v>
      </c>
      <c r="I5" s="4">
        <v>1</v>
      </c>
      <c r="J5" s="4">
        <v>413</v>
      </c>
      <c r="K5" s="4">
        <v>5</v>
      </c>
      <c r="L5" s="4">
        <v>0</v>
      </c>
      <c r="M5" s="4">
        <v>5</v>
      </c>
      <c r="N5" s="4">
        <v>0</v>
      </c>
      <c r="O5" s="4">
        <v>20</v>
      </c>
      <c r="P5" s="4">
        <v>999</v>
      </c>
      <c r="Q5" s="4">
        <v>0</v>
      </c>
      <c r="R5" s="4">
        <v>20</v>
      </c>
      <c r="S5" s="4">
        <v>500</v>
      </c>
      <c r="T5" s="4" t="s">
        <v>399</v>
      </c>
      <c r="U5" s="4">
        <v>22004</v>
      </c>
    </row>
    <row r="6" spans="1:21">
      <c r="A6" s="4">
        <v>100005</v>
      </c>
      <c r="B6" s="4" t="s">
        <v>400</v>
      </c>
      <c r="C6" s="4">
        <v>115000</v>
      </c>
      <c r="D6" s="10" t="s">
        <v>401</v>
      </c>
      <c r="E6" s="9" t="s">
        <v>402</v>
      </c>
      <c r="G6" s="26">
        <v>6</v>
      </c>
      <c r="H6" s="26">
        <v>168</v>
      </c>
      <c r="I6" s="4">
        <v>1</v>
      </c>
      <c r="J6" s="4">
        <v>413</v>
      </c>
      <c r="K6" s="4">
        <v>11</v>
      </c>
      <c r="L6" s="4">
        <v>0</v>
      </c>
      <c r="M6" s="4">
        <v>1</v>
      </c>
      <c r="N6" s="4">
        <v>0</v>
      </c>
      <c r="O6" s="4">
        <v>20</v>
      </c>
      <c r="P6" s="4">
        <v>999</v>
      </c>
      <c r="Q6" s="4">
        <v>0</v>
      </c>
      <c r="R6" s="4">
        <v>20</v>
      </c>
      <c r="S6" s="4">
        <v>999</v>
      </c>
      <c r="T6" s="4" t="s">
        <v>403</v>
      </c>
      <c r="U6" s="4">
        <v>22005</v>
      </c>
    </row>
    <row r="7" spans="1:21" s="18" customFormat="1">
      <c r="A7" s="27">
        <v>100006</v>
      </c>
      <c r="B7" s="27" t="s">
        <v>392</v>
      </c>
      <c r="C7" s="27">
        <v>45000</v>
      </c>
      <c r="D7" s="16" t="s">
        <v>393</v>
      </c>
      <c r="E7" s="28" t="s">
        <v>394</v>
      </c>
      <c r="F7" s="28"/>
      <c r="G7" s="29">
        <v>6</v>
      </c>
      <c r="H7" s="29">
        <v>99999</v>
      </c>
      <c r="I7" s="27">
        <v>1</v>
      </c>
      <c r="J7" s="27">
        <v>413</v>
      </c>
      <c r="K7" s="27">
        <v>10</v>
      </c>
      <c r="L7" s="27">
        <v>0</v>
      </c>
      <c r="M7" s="27">
        <v>3</v>
      </c>
      <c r="N7" s="27">
        <v>0</v>
      </c>
      <c r="O7" s="27">
        <v>20</v>
      </c>
      <c r="P7" s="27">
        <v>999</v>
      </c>
      <c r="Q7" s="27">
        <v>0</v>
      </c>
      <c r="R7" s="27">
        <v>20</v>
      </c>
      <c r="S7" s="27">
        <v>888</v>
      </c>
      <c r="T7" s="27" t="s">
        <v>395</v>
      </c>
      <c r="U7" s="4">
        <v>22006</v>
      </c>
    </row>
    <row r="8" spans="1:21" s="18" customFormat="1">
      <c r="A8" s="27">
        <v>100007</v>
      </c>
      <c r="B8" s="27" t="s">
        <v>392</v>
      </c>
      <c r="C8" s="27">
        <v>45000</v>
      </c>
      <c r="D8" s="16" t="s">
        <v>393</v>
      </c>
      <c r="E8" s="28" t="s">
        <v>394</v>
      </c>
      <c r="F8" s="28"/>
      <c r="G8" s="29">
        <v>6</v>
      </c>
      <c r="H8" s="29">
        <v>99999</v>
      </c>
      <c r="I8" s="27">
        <v>1</v>
      </c>
      <c r="J8" s="27">
        <v>413</v>
      </c>
      <c r="K8" s="27">
        <v>10</v>
      </c>
      <c r="L8" s="27">
        <v>0</v>
      </c>
      <c r="M8" s="27">
        <v>5</v>
      </c>
      <c r="N8" s="27">
        <v>0</v>
      </c>
      <c r="O8" s="27">
        <v>20</v>
      </c>
      <c r="P8" s="27">
        <v>999</v>
      </c>
      <c r="Q8" s="27">
        <v>0</v>
      </c>
      <c r="R8" s="27">
        <v>20</v>
      </c>
      <c r="S8" s="27">
        <v>888</v>
      </c>
      <c r="T8" s="27" t="s">
        <v>395</v>
      </c>
      <c r="U8" s="4">
        <v>22007</v>
      </c>
    </row>
    <row r="9" spans="1:21" s="18" customFormat="1">
      <c r="A9" s="27">
        <v>100008</v>
      </c>
      <c r="B9" s="27" t="s">
        <v>400</v>
      </c>
      <c r="C9" s="27">
        <v>115000</v>
      </c>
      <c r="D9" s="16" t="s">
        <v>401</v>
      </c>
      <c r="E9" s="28" t="s">
        <v>402</v>
      </c>
      <c r="F9" s="28"/>
      <c r="G9" s="29">
        <v>6</v>
      </c>
      <c r="H9" s="29">
        <v>99999</v>
      </c>
      <c r="I9" s="27">
        <v>1</v>
      </c>
      <c r="J9" s="27">
        <v>413</v>
      </c>
      <c r="K9" s="27">
        <v>11</v>
      </c>
      <c r="L9" s="27">
        <v>0</v>
      </c>
      <c r="M9" s="27">
        <v>3</v>
      </c>
      <c r="N9" s="27">
        <v>0</v>
      </c>
      <c r="O9" s="27">
        <v>20</v>
      </c>
      <c r="P9" s="27">
        <v>999</v>
      </c>
      <c r="Q9" s="27">
        <v>0</v>
      </c>
      <c r="R9" s="27">
        <v>20</v>
      </c>
      <c r="S9" s="27">
        <v>999</v>
      </c>
      <c r="T9" s="27" t="s">
        <v>403</v>
      </c>
      <c r="U9" s="4">
        <v>22008</v>
      </c>
    </row>
    <row r="10" spans="1:21" s="18" customFormat="1">
      <c r="A10" s="27">
        <v>100009</v>
      </c>
      <c r="B10" s="27" t="s">
        <v>400</v>
      </c>
      <c r="C10" s="27">
        <v>115000</v>
      </c>
      <c r="D10" s="16" t="s">
        <v>404</v>
      </c>
      <c r="E10" s="28" t="s">
        <v>405</v>
      </c>
      <c r="F10" s="28"/>
      <c r="G10" s="29">
        <v>6</v>
      </c>
      <c r="H10" s="29">
        <v>99999</v>
      </c>
      <c r="I10" s="27">
        <v>1</v>
      </c>
      <c r="J10" s="27">
        <v>413</v>
      </c>
      <c r="K10" s="27">
        <v>11</v>
      </c>
      <c r="L10" s="27">
        <v>0</v>
      </c>
      <c r="M10" s="27">
        <v>5</v>
      </c>
      <c r="N10" s="27">
        <v>0</v>
      </c>
      <c r="O10" s="27">
        <v>20</v>
      </c>
      <c r="P10" s="27">
        <v>999</v>
      </c>
      <c r="Q10" s="27">
        <v>0</v>
      </c>
      <c r="R10" s="27">
        <v>20</v>
      </c>
      <c r="S10" s="27">
        <v>999</v>
      </c>
      <c r="T10" s="27" t="s">
        <v>403</v>
      </c>
      <c r="U10" s="27">
        <v>22009</v>
      </c>
    </row>
    <row r="11" spans="1:21" s="19" customFormat="1">
      <c r="A11" s="30">
        <v>100010</v>
      </c>
      <c r="B11" s="30" t="s">
        <v>406</v>
      </c>
      <c r="C11" s="30">
        <v>215000</v>
      </c>
      <c r="D11" s="31" t="s">
        <v>407</v>
      </c>
      <c r="E11" s="32" t="s">
        <v>408</v>
      </c>
      <c r="F11" s="32"/>
      <c r="G11" s="33">
        <v>6</v>
      </c>
      <c r="H11" s="33">
        <v>99999</v>
      </c>
      <c r="I11" s="30">
        <v>1</v>
      </c>
      <c r="J11" s="30">
        <v>413</v>
      </c>
      <c r="K11" s="30">
        <v>12</v>
      </c>
      <c r="L11" s="30">
        <v>0</v>
      </c>
      <c r="M11" s="30">
        <v>3</v>
      </c>
      <c r="N11" s="30">
        <v>0</v>
      </c>
      <c r="O11" s="30">
        <v>20</v>
      </c>
      <c r="P11" s="30">
        <v>999</v>
      </c>
      <c r="Q11" s="30">
        <v>0</v>
      </c>
      <c r="R11" s="30">
        <v>20</v>
      </c>
      <c r="S11" s="30">
        <v>999</v>
      </c>
      <c r="T11" s="30" t="s">
        <v>409</v>
      </c>
      <c r="U11" s="30">
        <v>22010</v>
      </c>
    </row>
    <row r="12" spans="1:21" s="19" customFormat="1">
      <c r="A12" s="30">
        <v>100011</v>
      </c>
      <c r="B12" s="30" t="s">
        <v>406</v>
      </c>
      <c r="C12" s="30">
        <v>215000</v>
      </c>
      <c r="D12" s="31" t="s">
        <v>410</v>
      </c>
      <c r="E12" s="32" t="s">
        <v>411</v>
      </c>
      <c r="F12" s="32"/>
      <c r="G12" s="33">
        <v>6</v>
      </c>
      <c r="H12" s="33">
        <v>99999</v>
      </c>
      <c r="I12" s="30">
        <v>1</v>
      </c>
      <c r="J12" s="30">
        <v>413</v>
      </c>
      <c r="K12" s="30">
        <v>12</v>
      </c>
      <c r="L12" s="30">
        <v>0</v>
      </c>
      <c r="M12" s="30">
        <v>5</v>
      </c>
      <c r="N12" s="30">
        <v>0</v>
      </c>
      <c r="O12" s="30">
        <v>20</v>
      </c>
      <c r="P12" s="30">
        <v>999</v>
      </c>
      <c r="Q12" s="30">
        <v>0</v>
      </c>
      <c r="R12" s="30">
        <v>20</v>
      </c>
      <c r="S12" s="30">
        <v>999</v>
      </c>
      <c r="T12" s="30" t="s">
        <v>409</v>
      </c>
      <c r="U12" s="30">
        <v>22011</v>
      </c>
    </row>
    <row r="13" spans="1:21" s="19" customFormat="1">
      <c r="A13" s="30">
        <v>100012</v>
      </c>
      <c r="B13" s="30" t="s">
        <v>412</v>
      </c>
      <c r="C13" s="30">
        <v>215000</v>
      </c>
      <c r="D13" s="31" t="s">
        <v>413</v>
      </c>
      <c r="E13" s="32" t="s">
        <v>414</v>
      </c>
      <c r="F13" s="32"/>
      <c r="G13" s="33">
        <v>6</v>
      </c>
      <c r="H13" s="33">
        <v>99999</v>
      </c>
      <c r="I13" s="30">
        <v>1</v>
      </c>
      <c r="J13" s="30">
        <v>413</v>
      </c>
      <c r="K13" s="30">
        <v>13</v>
      </c>
      <c r="L13" s="30">
        <v>0</v>
      </c>
      <c r="M13" s="30">
        <v>3</v>
      </c>
      <c r="N13" s="30">
        <v>0</v>
      </c>
      <c r="O13" s="30">
        <v>20</v>
      </c>
      <c r="P13" s="30">
        <v>999</v>
      </c>
      <c r="Q13" s="30">
        <v>0</v>
      </c>
      <c r="R13" s="30">
        <v>20</v>
      </c>
      <c r="S13" s="30">
        <v>999</v>
      </c>
      <c r="T13" s="30" t="s">
        <v>415</v>
      </c>
      <c r="U13" s="30">
        <v>22012</v>
      </c>
    </row>
    <row r="14" spans="1:21" s="19" customFormat="1">
      <c r="A14" s="30">
        <v>100013</v>
      </c>
      <c r="B14" s="30" t="s">
        <v>412</v>
      </c>
      <c r="C14" s="30">
        <v>215000</v>
      </c>
      <c r="D14" s="31" t="s">
        <v>416</v>
      </c>
      <c r="E14" s="32" t="s">
        <v>417</v>
      </c>
      <c r="F14" s="32"/>
      <c r="G14" s="33">
        <v>6</v>
      </c>
      <c r="H14" s="33">
        <v>99999</v>
      </c>
      <c r="I14" s="30">
        <v>1</v>
      </c>
      <c r="J14" s="30">
        <v>413</v>
      </c>
      <c r="K14" s="30">
        <v>13</v>
      </c>
      <c r="L14" s="30">
        <v>0</v>
      </c>
      <c r="M14" s="30">
        <v>5</v>
      </c>
      <c r="N14" s="30">
        <v>0</v>
      </c>
      <c r="O14" s="30">
        <v>20</v>
      </c>
      <c r="P14" s="30">
        <v>999</v>
      </c>
      <c r="Q14" s="30">
        <v>0</v>
      </c>
      <c r="R14" s="30">
        <v>20</v>
      </c>
      <c r="S14" s="30">
        <v>999</v>
      </c>
      <c r="T14" s="30" t="s">
        <v>415</v>
      </c>
      <c r="U14" s="30">
        <v>22013</v>
      </c>
    </row>
    <row r="15" spans="1:21" s="19" customFormat="1">
      <c r="A15" s="30">
        <v>100014</v>
      </c>
      <c r="B15" s="30" t="s">
        <v>412</v>
      </c>
      <c r="C15" s="30">
        <v>215000</v>
      </c>
      <c r="D15" s="31" t="s">
        <v>418</v>
      </c>
      <c r="E15" s="32" t="s">
        <v>419</v>
      </c>
      <c r="F15" s="32"/>
      <c r="G15" s="33">
        <v>12</v>
      </c>
      <c r="H15" s="33">
        <v>24</v>
      </c>
      <c r="I15" s="30">
        <v>9</v>
      </c>
      <c r="J15" s="30">
        <v>413</v>
      </c>
      <c r="K15" s="30">
        <v>13</v>
      </c>
      <c r="L15" s="30">
        <v>0</v>
      </c>
      <c r="M15" s="30">
        <v>1</v>
      </c>
      <c r="N15" s="30">
        <v>0</v>
      </c>
      <c r="O15" s="30">
        <v>20</v>
      </c>
      <c r="P15" s="30">
        <v>999</v>
      </c>
      <c r="Q15" s="30">
        <v>0</v>
      </c>
      <c r="R15" s="30">
        <v>20</v>
      </c>
      <c r="S15" s="30">
        <v>999</v>
      </c>
      <c r="T15" s="30" t="s">
        <v>415</v>
      </c>
      <c r="U15" s="30">
        <v>22014</v>
      </c>
    </row>
    <row r="16" spans="1:21" s="19" customFormat="1" ht="17.100000000000001" customHeight="1">
      <c r="A16" s="30">
        <v>100015</v>
      </c>
      <c r="B16" s="30" t="s">
        <v>420</v>
      </c>
      <c r="C16" s="30">
        <v>215000</v>
      </c>
      <c r="D16" s="31" t="s">
        <v>421</v>
      </c>
      <c r="E16" s="32" t="s">
        <v>422</v>
      </c>
      <c r="F16" s="32"/>
      <c r="G16" s="33">
        <v>12</v>
      </c>
      <c r="H16" s="33">
        <v>24</v>
      </c>
      <c r="I16" s="30">
        <v>9</v>
      </c>
      <c r="J16" s="30">
        <v>413</v>
      </c>
      <c r="K16" s="30">
        <v>14</v>
      </c>
      <c r="L16" s="30">
        <v>0</v>
      </c>
      <c r="M16" s="30">
        <v>1</v>
      </c>
      <c r="N16" s="30">
        <v>0</v>
      </c>
      <c r="O16" s="30">
        <v>20</v>
      </c>
      <c r="P16" s="30">
        <v>999</v>
      </c>
      <c r="Q16" s="30">
        <v>0</v>
      </c>
      <c r="R16" s="30">
        <v>20</v>
      </c>
      <c r="S16" s="30">
        <v>999</v>
      </c>
      <c r="T16" s="30" t="s">
        <v>423</v>
      </c>
      <c r="U16" s="30">
        <v>22015</v>
      </c>
    </row>
    <row r="17" spans="1:21" s="20" customFormat="1">
      <c r="A17" s="34">
        <v>100016</v>
      </c>
      <c r="B17" s="34" t="s">
        <v>424</v>
      </c>
      <c r="C17" s="34">
        <v>215000</v>
      </c>
      <c r="D17" s="35" t="s">
        <v>425</v>
      </c>
      <c r="E17" s="36" t="s">
        <v>426</v>
      </c>
      <c r="F17" s="36"/>
      <c r="G17" s="37">
        <v>12</v>
      </c>
      <c r="H17" s="37">
        <v>24</v>
      </c>
      <c r="I17" s="34">
        <v>1</v>
      </c>
      <c r="J17" s="34">
        <v>413</v>
      </c>
      <c r="K17" s="34">
        <v>14</v>
      </c>
      <c r="L17" s="34">
        <v>0</v>
      </c>
      <c r="M17" s="34">
        <v>1</v>
      </c>
      <c r="N17" s="34">
        <v>0</v>
      </c>
      <c r="O17" s="34">
        <v>20</v>
      </c>
      <c r="P17" s="34">
        <v>999</v>
      </c>
      <c r="Q17" s="34">
        <v>0</v>
      </c>
      <c r="R17" s="34">
        <v>20</v>
      </c>
      <c r="S17" s="34">
        <v>999</v>
      </c>
      <c r="T17" s="34" t="s">
        <v>427</v>
      </c>
      <c r="U17" s="50">
        <v>22016</v>
      </c>
    </row>
    <row r="18" spans="1:21">
      <c r="A18" s="4">
        <v>101001</v>
      </c>
      <c r="B18" s="4" t="s">
        <v>428</v>
      </c>
      <c r="C18" s="4">
        <v>25000</v>
      </c>
      <c r="D18" s="10" t="s">
        <v>429</v>
      </c>
      <c r="E18" s="9" t="s">
        <v>430</v>
      </c>
      <c r="G18" s="26">
        <v>6</v>
      </c>
      <c r="H18" s="26">
        <v>72</v>
      </c>
      <c r="I18" s="4">
        <v>1</v>
      </c>
      <c r="J18" s="4">
        <v>1302</v>
      </c>
      <c r="L18" s="4">
        <v>0</v>
      </c>
      <c r="M18" s="4">
        <v>50</v>
      </c>
      <c r="N18" s="4">
        <v>0</v>
      </c>
      <c r="O18" s="4">
        <v>20</v>
      </c>
      <c r="P18" s="4">
        <v>999</v>
      </c>
      <c r="Q18" s="4">
        <v>0</v>
      </c>
      <c r="R18" s="4">
        <v>20</v>
      </c>
      <c r="S18" s="4">
        <v>666</v>
      </c>
      <c r="T18" s="4" t="s">
        <v>431</v>
      </c>
      <c r="U18" s="4">
        <v>22101</v>
      </c>
    </row>
    <row r="19" spans="1:21">
      <c r="A19" s="4">
        <v>101002</v>
      </c>
      <c r="B19" s="4" t="s">
        <v>432</v>
      </c>
      <c r="C19" s="4">
        <v>25000</v>
      </c>
      <c r="D19" s="10" t="s">
        <v>433</v>
      </c>
      <c r="E19" s="9" t="s">
        <v>434</v>
      </c>
      <c r="G19" s="26">
        <v>6</v>
      </c>
      <c r="H19" s="26">
        <v>72</v>
      </c>
      <c r="I19" s="4">
        <v>1</v>
      </c>
      <c r="J19" s="4">
        <v>1302</v>
      </c>
      <c r="L19" s="4">
        <v>0</v>
      </c>
      <c r="M19" s="4">
        <v>100</v>
      </c>
      <c r="N19" s="4">
        <v>0</v>
      </c>
      <c r="O19" s="4">
        <v>20</v>
      </c>
      <c r="P19" s="4">
        <v>999</v>
      </c>
      <c r="Q19" s="4">
        <v>0</v>
      </c>
      <c r="R19" s="4">
        <v>20</v>
      </c>
      <c r="S19" s="4">
        <v>666</v>
      </c>
      <c r="T19" s="4" t="s">
        <v>431</v>
      </c>
      <c r="U19" s="4">
        <v>22102</v>
      </c>
    </row>
    <row r="20" spans="1:21">
      <c r="A20" s="4">
        <v>101003</v>
      </c>
      <c r="B20" s="4" t="s">
        <v>435</v>
      </c>
      <c r="C20" s="4">
        <v>25000</v>
      </c>
      <c r="D20" s="10" t="s">
        <v>436</v>
      </c>
      <c r="E20" s="9" t="s">
        <v>437</v>
      </c>
      <c r="G20" s="26">
        <v>6</v>
      </c>
      <c r="H20" s="26">
        <v>72</v>
      </c>
      <c r="I20" s="4">
        <v>1</v>
      </c>
      <c r="J20" s="4">
        <v>1302</v>
      </c>
      <c r="L20" s="4">
        <v>0</v>
      </c>
      <c r="M20" s="4">
        <v>200</v>
      </c>
      <c r="N20" s="4">
        <v>0</v>
      </c>
      <c r="O20" s="4">
        <v>20</v>
      </c>
      <c r="P20" s="4">
        <v>999</v>
      </c>
      <c r="Q20" s="4">
        <v>0</v>
      </c>
      <c r="R20" s="4">
        <v>20</v>
      </c>
      <c r="S20" s="4">
        <v>666</v>
      </c>
      <c r="T20" s="4" t="s">
        <v>431</v>
      </c>
      <c r="U20" s="4">
        <v>22103</v>
      </c>
    </row>
    <row r="21" spans="1:21">
      <c r="A21" s="4">
        <v>101004</v>
      </c>
      <c r="B21" s="4" t="s">
        <v>438</v>
      </c>
      <c r="C21" s="4">
        <v>25000</v>
      </c>
      <c r="D21" s="10" t="s">
        <v>439</v>
      </c>
      <c r="E21" s="9" t="s">
        <v>440</v>
      </c>
      <c r="G21" s="26">
        <v>6</v>
      </c>
      <c r="H21" s="26">
        <v>72</v>
      </c>
      <c r="I21" s="4">
        <v>1</v>
      </c>
      <c r="J21" s="4">
        <v>1302</v>
      </c>
      <c r="L21" s="4">
        <v>0</v>
      </c>
      <c r="M21" s="4">
        <v>300</v>
      </c>
      <c r="N21" s="4">
        <v>0</v>
      </c>
      <c r="O21" s="4">
        <v>20</v>
      </c>
      <c r="P21" s="4">
        <v>999</v>
      </c>
      <c r="Q21" s="4">
        <v>0</v>
      </c>
      <c r="R21" s="4">
        <v>20</v>
      </c>
      <c r="S21" s="4">
        <v>666</v>
      </c>
      <c r="T21" s="4" t="s">
        <v>431</v>
      </c>
      <c r="U21" s="4">
        <v>22104</v>
      </c>
    </row>
    <row r="22" spans="1:21">
      <c r="A22" s="4">
        <v>101005</v>
      </c>
      <c r="B22" s="4" t="s">
        <v>441</v>
      </c>
      <c r="C22" s="4">
        <v>25000</v>
      </c>
      <c r="D22" s="10" t="s">
        <v>442</v>
      </c>
      <c r="E22" s="9" t="s">
        <v>443</v>
      </c>
      <c r="G22" s="26">
        <v>6</v>
      </c>
      <c r="H22" s="26">
        <v>72</v>
      </c>
      <c r="I22" s="4">
        <v>1</v>
      </c>
      <c r="J22" s="4">
        <v>1302</v>
      </c>
      <c r="L22" s="4">
        <v>0</v>
      </c>
      <c r="M22" s="4">
        <v>400</v>
      </c>
      <c r="N22" s="4">
        <v>0</v>
      </c>
      <c r="O22" s="4">
        <v>20</v>
      </c>
      <c r="P22" s="4">
        <v>999</v>
      </c>
      <c r="Q22" s="4">
        <v>0</v>
      </c>
      <c r="R22" s="4">
        <v>20</v>
      </c>
      <c r="S22" s="4">
        <v>666</v>
      </c>
      <c r="T22" s="4" t="s">
        <v>431</v>
      </c>
      <c r="U22" s="4">
        <v>22105</v>
      </c>
    </row>
    <row r="23" spans="1:21">
      <c r="A23" s="4">
        <v>101006</v>
      </c>
      <c r="B23" s="4" t="s">
        <v>444</v>
      </c>
      <c r="C23" s="4">
        <v>25000</v>
      </c>
      <c r="D23" s="10" t="s">
        <v>445</v>
      </c>
      <c r="E23" s="9" t="s">
        <v>446</v>
      </c>
      <c r="G23" s="26">
        <v>6</v>
      </c>
      <c r="H23" s="26">
        <v>72</v>
      </c>
      <c r="I23" s="4">
        <v>1</v>
      </c>
      <c r="J23" s="4">
        <v>1302</v>
      </c>
      <c r="L23" s="4">
        <v>0</v>
      </c>
      <c r="M23" s="4">
        <v>500</v>
      </c>
      <c r="N23" s="4">
        <v>0</v>
      </c>
      <c r="O23" s="4">
        <v>20</v>
      </c>
      <c r="P23" s="4">
        <v>999</v>
      </c>
      <c r="Q23" s="4">
        <v>0</v>
      </c>
      <c r="R23" s="4">
        <v>20</v>
      </c>
      <c r="S23" s="4">
        <v>666</v>
      </c>
      <c r="T23" s="4" t="s">
        <v>431</v>
      </c>
      <c r="U23" s="4">
        <v>22106</v>
      </c>
    </row>
    <row r="24" spans="1:21">
      <c r="A24" s="4">
        <v>101007</v>
      </c>
      <c r="B24" s="4" t="s">
        <v>447</v>
      </c>
      <c r="C24" s="4">
        <v>115000</v>
      </c>
      <c r="D24" s="10" t="s">
        <v>448</v>
      </c>
      <c r="E24" s="9" t="s">
        <v>449</v>
      </c>
      <c r="G24" s="26">
        <v>6</v>
      </c>
      <c r="H24" s="26">
        <v>72</v>
      </c>
      <c r="I24" s="4">
        <v>1</v>
      </c>
      <c r="J24" s="4">
        <v>1302</v>
      </c>
      <c r="L24" s="4">
        <v>0</v>
      </c>
      <c r="M24" s="4">
        <v>600</v>
      </c>
      <c r="N24" s="4">
        <v>0</v>
      </c>
      <c r="O24" s="4">
        <v>20</v>
      </c>
      <c r="P24" s="4">
        <v>999</v>
      </c>
      <c r="Q24" s="4">
        <v>0</v>
      </c>
      <c r="R24" s="4">
        <v>20</v>
      </c>
      <c r="S24" s="4">
        <v>666</v>
      </c>
      <c r="T24" s="4" t="s">
        <v>431</v>
      </c>
      <c r="U24" s="4">
        <v>22107</v>
      </c>
    </row>
    <row r="25" spans="1:21" s="19" customFormat="1">
      <c r="A25" s="30">
        <v>101008</v>
      </c>
      <c r="B25" s="30" t="s">
        <v>450</v>
      </c>
      <c r="C25" s="30">
        <v>115000</v>
      </c>
      <c r="D25" s="31" t="s">
        <v>451</v>
      </c>
      <c r="E25" s="32" t="s">
        <v>452</v>
      </c>
      <c r="F25" s="32"/>
      <c r="G25" s="33">
        <v>6</v>
      </c>
      <c r="H25" s="33">
        <v>72</v>
      </c>
      <c r="I25" s="30">
        <v>1</v>
      </c>
      <c r="J25" s="30">
        <v>1302</v>
      </c>
      <c r="K25" s="30"/>
      <c r="L25" s="30">
        <v>0</v>
      </c>
      <c r="M25" s="30">
        <v>700</v>
      </c>
      <c r="N25" s="30">
        <v>0</v>
      </c>
      <c r="O25" s="30">
        <v>20</v>
      </c>
      <c r="P25" s="30">
        <v>999</v>
      </c>
      <c r="Q25" s="30">
        <v>0</v>
      </c>
      <c r="R25" s="30">
        <v>20</v>
      </c>
      <c r="S25" s="30">
        <v>666</v>
      </c>
      <c r="T25" s="30" t="s">
        <v>431</v>
      </c>
      <c r="U25" s="30">
        <v>22108</v>
      </c>
    </row>
    <row r="26" spans="1:21" s="19" customFormat="1">
      <c r="A26" s="30">
        <v>101009</v>
      </c>
      <c r="B26" s="30" t="s">
        <v>453</v>
      </c>
      <c r="C26" s="30">
        <v>215000</v>
      </c>
      <c r="D26" s="31" t="s">
        <v>454</v>
      </c>
      <c r="E26" s="32" t="s">
        <v>455</v>
      </c>
      <c r="F26" s="32"/>
      <c r="G26" s="33">
        <v>6</v>
      </c>
      <c r="H26" s="33">
        <v>72</v>
      </c>
      <c r="I26" s="30">
        <v>1</v>
      </c>
      <c r="J26" s="30">
        <v>1302</v>
      </c>
      <c r="K26" s="30"/>
      <c r="L26" s="30">
        <v>0</v>
      </c>
      <c r="M26" s="30">
        <v>800</v>
      </c>
      <c r="N26" s="30">
        <v>0</v>
      </c>
      <c r="O26" s="30">
        <v>20</v>
      </c>
      <c r="P26" s="30">
        <v>999</v>
      </c>
      <c r="Q26" s="30">
        <v>0</v>
      </c>
      <c r="R26" s="30">
        <v>20</v>
      </c>
      <c r="S26" s="30">
        <v>666</v>
      </c>
      <c r="T26" s="30" t="s">
        <v>431</v>
      </c>
      <c r="U26" s="30">
        <v>22109</v>
      </c>
    </row>
    <row r="27" spans="1:21" s="19" customFormat="1">
      <c r="A27" s="30">
        <v>101010</v>
      </c>
      <c r="B27" s="30" t="s">
        <v>456</v>
      </c>
      <c r="C27" s="30">
        <v>115000</v>
      </c>
      <c r="D27" s="31" t="s">
        <v>457</v>
      </c>
      <c r="E27" s="32" t="s">
        <v>458</v>
      </c>
      <c r="F27" s="32"/>
      <c r="G27" s="33">
        <v>6</v>
      </c>
      <c r="H27" s="33">
        <v>72</v>
      </c>
      <c r="I27" s="30">
        <v>1</v>
      </c>
      <c r="J27" s="30">
        <v>1302</v>
      </c>
      <c r="K27" s="30"/>
      <c r="L27" s="30">
        <v>0</v>
      </c>
      <c r="M27" s="30">
        <v>650</v>
      </c>
      <c r="N27" s="30">
        <v>0</v>
      </c>
      <c r="O27" s="30">
        <v>20</v>
      </c>
      <c r="P27" s="30">
        <v>999</v>
      </c>
      <c r="Q27" s="30">
        <v>0</v>
      </c>
      <c r="R27" s="30">
        <v>20</v>
      </c>
      <c r="S27" s="30">
        <v>666</v>
      </c>
      <c r="T27" s="30" t="s">
        <v>431</v>
      </c>
      <c r="U27" s="30">
        <v>22110</v>
      </c>
    </row>
    <row r="28" spans="1:21" s="19" customFormat="1">
      <c r="A28" s="30">
        <v>101011</v>
      </c>
      <c r="B28" s="30" t="s">
        <v>459</v>
      </c>
      <c r="C28" s="30">
        <v>115000</v>
      </c>
      <c r="D28" s="31" t="s">
        <v>460</v>
      </c>
      <c r="E28" s="32" t="s">
        <v>461</v>
      </c>
      <c r="F28" s="32"/>
      <c r="G28" s="33">
        <v>6</v>
      </c>
      <c r="H28" s="33">
        <v>72</v>
      </c>
      <c r="I28" s="30">
        <v>1</v>
      </c>
      <c r="J28" s="30">
        <v>1302</v>
      </c>
      <c r="K28" s="30"/>
      <c r="L28" s="30">
        <v>0</v>
      </c>
      <c r="M28" s="30">
        <v>720</v>
      </c>
      <c r="N28" s="30">
        <v>0</v>
      </c>
      <c r="O28" s="30">
        <v>20</v>
      </c>
      <c r="P28" s="30">
        <v>999</v>
      </c>
      <c r="Q28" s="30">
        <v>0</v>
      </c>
      <c r="R28" s="30">
        <v>20</v>
      </c>
      <c r="S28" s="30">
        <v>666</v>
      </c>
      <c r="T28" s="30" t="s">
        <v>431</v>
      </c>
      <c r="U28" s="30">
        <v>22111</v>
      </c>
    </row>
    <row r="29" spans="1:21" s="19" customFormat="1">
      <c r="A29" s="30">
        <v>101012</v>
      </c>
      <c r="B29" s="30" t="s">
        <v>462</v>
      </c>
      <c r="C29" s="30">
        <v>215000</v>
      </c>
      <c r="D29" s="31" t="s">
        <v>416</v>
      </c>
      <c r="E29" s="32" t="s">
        <v>417</v>
      </c>
      <c r="F29" s="32"/>
      <c r="G29" s="33">
        <v>6</v>
      </c>
      <c r="H29" s="33">
        <v>72</v>
      </c>
      <c r="I29" s="30">
        <v>1</v>
      </c>
      <c r="J29" s="30">
        <v>1302</v>
      </c>
      <c r="K29" s="30"/>
      <c r="L29" s="30">
        <v>0</v>
      </c>
      <c r="M29" s="30">
        <v>740</v>
      </c>
      <c r="N29" s="30">
        <v>0</v>
      </c>
      <c r="O29" s="30">
        <v>20</v>
      </c>
      <c r="P29" s="30">
        <v>999</v>
      </c>
      <c r="Q29" s="30">
        <v>0</v>
      </c>
      <c r="R29" s="30">
        <v>20</v>
      </c>
      <c r="S29" s="30">
        <v>666</v>
      </c>
      <c r="T29" s="30" t="s">
        <v>431</v>
      </c>
      <c r="U29" s="30">
        <v>22112</v>
      </c>
    </row>
    <row r="30" spans="1:21" s="19" customFormat="1">
      <c r="A30" s="30">
        <v>101013</v>
      </c>
      <c r="B30" s="30" t="s">
        <v>463</v>
      </c>
      <c r="C30" s="30">
        <v>215000</v>
      </c>
      <c r="D30" s="31" t="s">
        <v>464</v>
      </c>
      <c r="E30" s="32" t="s">
        <v>465</v>
      </c>
      <c r="F30" s="32"/>
      <c r="G30" s="33">
        <v>6</v>
      </c>
      <c r="H30" s="33">
        <v>72</v>
      </c>
      <c r="I30" s="30">
        <v>1</v>
      </c>
      <c r="J30" s="30">
        <v>1302</v>
      </c>
      <c r="K30" s="30"/>
      <c r="L30" s="30">
        <v>0</v>
      </c>
      <c r="M30" s="30">
        <v>760</v>
      </c>
      <c r="N30" s="30">
        <v>0</v>
      </c>
      <c r="O30" s="30">
        <v>20</v>
      </c>
      <c r="P30" s="30">
        <v>999</v>
      </c>
      <c r="Q30" s="30">
        <v>0</v>
      </c>
      <c r="R30" s="30">
        <v>20</v>
      </c>
      <c r="S30" s="30">
        <v>666</v>
      </c>
      <c r="T30" s="30" t="s">
        <v>431</v>
      </c>
      <c r="U30" s="30">
        <v>22113</v>
      </c>
    </row>
    <row r="31" spans="1:21" s="19" customFormat="1">
      <c r="A31" s="30">
        <v>101014</v>
      </c>
      <c r="B31" s="30" t="s">
        <v>466</v>
      </c>
      <c r="C31" s="30">
        <v>215000</v>
      </c>
      <c r="D31" s="31" t="s">
        <v>454</v>
      </c>
      <c r="E31" s="32" t="s">
        <v>467</v>
      </c>
      <c r="F31" s="32"/>
      <c r="G31" s="33">
        <v>6</v>
      </c>
      <c r="H31" s="33">
        <v>72</v>
      </c>
      <c r="I31" s="30">
        <v>1</v>
      </c>
      <c r="J31" s="30">
        <v>1302</v>
      </c>
      <c r="K31" s="30"/>
      <c r="L31" s="30">
        <v>0</v>
      </c>
      <c r="M31" s="30">
        <v>780</v>
      </c>
      <c r="N31" s="30">
        <v>0</v>
      </c>
      <c r="O31" s="30">
        <v>20</v>
      </c>
      <c r="P31" s="30">
        <v>999</v>
      </c>
      <c r="Q31" s="30">
        <v>0</v>
      </c>
      <c r="R31" s="30">
        <v>20</v>
      </c>
      <c r="S31" s="30">
        <v>666</v>
      </c>
      <c r="T31" s="30" t="s">
        <v>431</v>
      </c>
      <c r="U31" s="30">
        <v>22114</v>
      </c>
    </row>
    <row r="32" spans="1:21" s="21" customFormat="1">
      <c r="A32" s="38">
        <v>101015</v>
      </c>
      <c r="B32" s="38" t="s">
        <v>468</v>
      </c>
      <c r="C32" s="38">
        <v>215000</v>
      </c>
      <c r="D32" s="39" t="s">
        <v>469</v>
      </c>
      <c r="E32" s="40" t="s">
        <v>470</v>
      </c>
      <c r="F32" s="40"/>
      <c r="G32" s="41">
        <v>6</v>
      </c>
      <c r="H32" s="41">
        <v>72</v>
      </c>
      <c r="I32" s="38">
        <v>1</v>
      </c>
      <c r="J32" s="38">
        <v>1302</v>
      </c>
      <c r="K32" s="38"/>
      <c r="L32" s="38">
        <v>0</v>
      </c>
      <c r="M32" s="38">
        <v>820</v>
      </c>
      <c r="N32" s="38">
        <v>0</v>
      </c>
      <c r="O32" s="38">
        <v>20</v>
      </c>
      <c r="P32" s="38">
        <v>999</v>
      </c>
      <c r="Q32" s="38">
        <v>0</v>
      </c>
      <c r="R32" s="38">
        <v>20</v>
      </c>
      <c r="S32" s="38">
        <v>666</v>
      </c>
      <c r="T32" s="38" t="s">
        <v>431</v>
      </c>
      <c r="U32" s="38">
        <v>22115</v>
      </c>
    </row>
    <row r="33" spans="1:21" s="21" customFormat="1">
      <c r="A33" s="38">
        <v>101016</v>
      </c>
      <c r="B33" s="38" t="s">
        <v>471</v>
      </c>
      <c r="C33" s="38">
        <v>215000</v>
      </c>
      <c r="D33" s="39" t="s">
        <v>469</v>
      </c>
      <c r="E33" s="40" t="s">
        <v>470</v>
      </c>
      <c r="F33" s="40"/>
      <c r="G33" s="41">
        <v>6</v>
      </c>
      <c r="H33" s="41">
        <v>72</v>
      </c>
      <c r="I33" s="38">
        <v>1</v>
      </c>
      <c r="J33" s="38">
        <v>1302</v>
      </c>
      <c r="K33" s="38"/>
      <c r="L33" s="38">
        <v>0</v>
      </c>
      <c r="M33" s="38">
        <v>840</v>
      </c>
      <c r="N33" s="38">
        <v>0</v>
      </c>
      <c r="O33" s="38">
        <v>20</v>
      </c>
      <c r="P33" s="38">
        <v>999</v>
      </c>
      <c r="Q33" s="38">
        <v>0</v>
      </c>
      <c r="R33" s="38">
        <v>20</v>
      </c>
      <c r="S33" s="38">
        <v>666</v>
      </c>
      <c r="T33" s="38" t="s">
        <v>431</v>
      </c>
      <c r="U33" s="38">
        <v>22116</v>
      </c>
    </row>
    <row r="34" spans="1:21" s="21" customFormat="1">
      <c r="A34" s="38">
        <v>101017</v>
      </c>
      <c r="B34" s="38" t="s">
        <v>472</v>
      </c>
      <c r="C34" s="38">
        <v>215000</v>
      </c>
      <c r="D34" s="39" t="s">
        <v>418</v>
      </c>
      <c r="E34" s="40" t="s">
        <v>473</v>
      </c>
      <c r="F34" s="40"/>
      <c r="G34" s="41">
        <v>6</v>
      </c>
      <c r="H34" s="41">
        <v>72</v>
      </c>
      <c r="I34" s="38">
        <v>1</v>
      </c>
      <c r="J34" s="38">
        <v>1302</v>
      </c>
      <c r="K34" s="38"/>
      <c r="L34" s="38">
        <v>0</v>
      </c>
      <c r="M34" s="38">
        <v>860</v>
      </c>
      <c r="N34" s="38">
        <v>0</v>
      </c>
      <c r="O34" s="38">
        <v>20</v>
      </c>
      <c r="P34" s="38">
        <v>999</v>
      </c>
      <c r="Q34" s="38">
        <v>0</v>
      </c>
      <c r="R34" s="38">
        <v>20</v>
      </c>
      <c r="S34" s="38">
        <v>666</v>
      </c>
      <c r="T34" s="38" t="s">
        <v>431</v>
      </c>
      <c r="U34" s="38">
        <v>22117</v>
      </c>
    </row>
    <row r="35" spans="1:21" s="21" customFormat="1">
      <c r="A35" s="38">
        <v>101018</v>
      </c>
      <c r="B35" s="38" t="s">
        <v>474</v>
      </c>
      <c r="C35" s="38">
        <v>215000</v>
      </c>
      <c r="D35" s="39" t="s">
        <v>421</v>
      </c>
      <c r="E35" s="40" t="s">
        <v>475</v>
      </c>
      <c r="F35" s="40"/>
      <c r="G35" s="41">
        <v>6</v>
      </c>
      <c r="H35" s="41">
        <v>72</v>
      </c>
      <c r="I35" s="38">
        <v>1</v>
      </c>
      <c r="J35" s="38">
        <v>1302</v>
      </c>
      <c r="K35" s="38"/>
      <c r="L35" s="38">
        <v>0</v>
      </c>
      <c r="M35" s="38">
        <v>880</v>
      </c>
      <c r="N35" s="38">
        <v>0</v>
      </c>
      <c r="O35" s="38">
        <v>20</v>
      </c>
      <c r="P35" s="38">
        <v>999</v>
      </c>
      <c r="Q35" s="38">
        <v>0</v>
      </c>
      <c r="R35" s="38">
        <v>20</v>
      </c>
      <c r="S35" s="38">
        <v>666</v>
      </c>
      <c r="T35" s="38" t="s">
        <v>431</v>
      </c>
      <c r="U35" s="38">
        <v>22118</v>
      </c>
    </row>
    <row r="36" spans="1:21" s="21" customFormat="1">
      <c r="A36" s="38">
        <v>101019</v>
      </c>
      <c r="B36" s="38" t="s">
        <v>476</v>
      </c>
      <c r="C36" s="38">
        <v>215000</v>
      </c>
      <c r="D36" s="39" t="s">
        <v>477</v>
      </c>
      <c r="E36" s="40" t="s">
        <v>478</v>
      </c>
      <c r="F36" s="40"/>
      <c r="G36" s="41">
        <v>6</v>
      </c>
      <c r="H36" s="41">
        <v>72</v>
      </c>
      <c r="I36" s="38">
        <v>1</v>
      </c>
      <c r="J36" s="38">
        <v>1302</v>
      </c>
      <c r="K36" s="38"/>
      <c r="L36" s="38">
        <v>0</v>
      </c>
      <c r="M36" s="38">
        <v>900</v>
      </c>
      <c r="N36" s="38">
        <v>0</v>
      </c>
      <c r="O36" s="38">
        <v>20</v>
      </c>
      <c r="P36" s="38">
        <v>999</v>
      </c>
      <c r="Q36" s="38">
        <v>0</v>
      </c>
      <c r="R36" s="38">
        <v>20</v>
      </c>
      <c r="S36" s="38">
        <v>666</v>
      </c>
      <c r="T36" s="38" t="s">
        <v>431</v>
      </c>
      <c r="U36" s="38">
        <v>22119</v>
      </c>
    </row>
    <row r="37" spans="1:21" s="21" customFormat="1">
      <c r="A37" s="38">
        <v>101020</v>
      </c>
      <c r="B37" s="38" t="s">
        <v>479</v>
      </c>
      <c r="C37" s="38">
        <v>215000</v>
      </c>
      <c r="D37" s="39" t="s">
        <v>480</v>
      </c>
      <c r="E37" s="40" t="s">
        <v>481</v>
      </c>
      <c r="F37" s="40"/>
      <c r="G37" s="41">
        <v>6</v>
      </c>
      <c r="H37" s="41">
        <v>72</v>
      </c>
      <c r="I37" s="38">
        <v>1</v>
      </c>
      <c r="J37" s="38">
        <v>1302</v>
      </c>
      <c r="K37" s="38"/>
      <c r="L37" s="38">
        <v>0</v>
      </c>
      <c r="M37" s="38">
        <v>910</v>
      </c>
      <c r="N37" s="38">
        <v>0</v>
      </c>
      <c r="O37" s="38">
        <v>20</v>
      </c>
      <c r="P37" s="38">
        <v>999</v>
      </c>
      <c r="Q37" s="38">
        <v>0</v>
      </c>
      <c r="R37" s="38">
        <v>20</v>
      </c>
      <c r="S37" s="38">
        <v>666</v>
      </c>
      <c r="T37" s="38" t="s">
        <v>431</v>
      </c>
      <c r="U37" s="38">
        <v>22120</v>
      </c>
    </row>
    <row r="38" spans="1:21" s="21" customFormat="1">
      <c r="A38" s="38">
        <v>101021</v>
      </c>
      <c r="B38" s="38" t="s">
        <v>482</v>
      </c>
      <c r="C38" s="38">
        <v>215000</v>
      </c>
      <c r="D38" s="39" t="s">
        <v>480</v>
      </c>
      <c r="E38" s="40" t="s">
        <v>481</v>
      </c>
      <c r="F38" s="40"/>
      <c r="G38" s="41">
        <v>6</v>
      </c>
      <c r="H38" s="41">
        <v>72</v>
      </c>
      <c r="I38" s="38">
        <v>1</v>
      </c>
      <c r="J38" s="38">
        <v>1302</v>
      </c>
      <c r="K38" s="38"/>
      <c r="L38" s="38">
        <v>0</v>
      </c>
      <c r="M38" s="38">
        <v>920</v>
      </c>
      <c r="N38" s="38">
        <v>0</v>
      </c>
      <c r="O38" s="38">
        <v>20</v>
      </c>
      <c r="P38" s="38">
        <v>999</v>
      </c>
      <c r="Q38" s="38">
        <v>0</v>
      </c>
      <c r="R38" s="38">
        <v>20</v>
      </c>
      <c r="S38" s="38">
        <v>666</v>
      </c>
      <c r="T38" s="38" t="s">
        <v>431</v>
      </c>
      <c r="U38" s="38">
        <v>22121</v>
      </c>
    </row>
    <row r="39" spans="1:21" s="21" customFormat="1">
      <c r="A39" s="38">
        <v>101022</v>
      </c>
      <c r="B39" s="38" t="s">
        <v>483</v>
      </c>
      <c r="C39" s="38">
        <v>215000</v>
      </c>
      <c r="D39" s="39" t="s">
        <v>480</v>
      </c>
      <c r="E39" s="40" t="s">
        <v>481</v>
      </c>
      <c r="F39" s="40"/>
      <c r="G39" s="41">
        <v>6</v>
      </c>
      <c r="H39" s="41">
        <v>72</v>
      </c>
      <c r="I39" s="38">
        <v>1</v>
      </c>
      <c r="J39" s="38">
        <v>1302</v>
      </c>
      <c r="K39" s="38"/>
      <c r="L39" s="38">
        <v>0</v>
      </c>
      <c r="M39" s="38">
        <v>930</v>
      </c>
      <c r="N39" s="38">
        <v>0</v>
      </c>
      <c r="O39" s="38">
        <v>20</v>
      </c>
      <c r="P39" s="38">
        <v>999</v>
      </c>
      <c r="Q39" s="38">
        <v>0</v>
      </c>
      <c r="R39" s="38">
        <v>20</v>
      </c>
      <c r="S39" s="38">
        <v>666</v>
      </c>
      <c r="T39" s="38" t="s">
        <v>431</v>
      </c>
      <c r="U39" s="38">
        <v>22122</v>
      </c>
    </row>
    <row r="40" spans="1:21" s="21" customFormat="1">
      <c r="A40" s="38">
        <v>101023</v>
      </c>
      <c r="B40" s="38" t="s">
        <v>484</v>
      </c>
      <c r="C40" s="38">
        <v>215000</v>
      </c>
      <c r="D40" s="39" t="s">
        <v>480</v>
      </c>
      <c r="E40" s="40" t="s">
        <v>481</v>
      </c>
      <c r="F40" s="40"/>
      <c r="G40" s="41">
        <v>6</v>
      </c>
      <c r="H40" s="41">
        <v>72</v>
      </c>
      <c r="I40" s="38">
        <v>1</v>
      </c>
      <c r="J40" s="38">
        <v>1302</v>
      </c>
      <c r="K40" s="38"/>
      <c r="L40" s="38">
        <v>0</v>
      </c>
      <c r="M40" s="38">
        <v>940</v>
      </c>
      <c r="N40" s="38">
        <v>0</v>
      </c>
      <c r="O40" s="38">
        <v>20</v>
      </c>
      <c r="P40" s="38">
        <v>999</v>
      </c>
      <c r="Q40" s="38">
        <v>0</v>
      </c>
      <c r="R40" s="38">
        <v>20</v>
      </c>
      <c r="S40" s="38">
        <v>666</v>
      </c>
      <c r="T40" s="38" t="s">
        <v>431</v>
      </c>
      <c r="U40" s="38">
        <v>22123</v>
      </c>
    </row>
    <row r="41" spans="1:21" s="21" customFormat="1">
      <c r="A41" s="38">
        <v>101024</v>
      </c>
      <c r="B41" s="38" t="s">
        <v>485</v>
      </c>
      <c r="C41" s="38">
        <v>215000</v>
      </c>
      <c r="D41" s="39" t="s">
        <v>480</v>
      </c>
      <c r="E41" s="40" t="s">
        <v>481</v>
      </c>
      <c r="F41" s="40"/>
      <c r="G41" s="41">
        <v>6</v>
      </c>
      <c r="H41" s="41">
        <v>72</v>
      </c>
      <c r="I41" s="38">
        <v>1</v>
      </c>
      <c r="J41" s="38">
        <v>1302</v>
      </c>
      <c r="K41" s="38"/>
      <c r="L41" s="38">
        <v>0</v>
      </c>
      <c r="M41" s="38">
        <v>950</v>
      </c>
      <c r="N41" s="38">
        <v>0</v>
      </c>
      <c r="O41" s="38">
        <v>20</v>
      </c>
      <c r="P41" s="38">
        <v>999</v>
      </c>
      <c r="Q41" s="38">
        <v>0</v>
      </c>
      <c r="R41" s="38">
        <v>20</v>
      </c>
      <c r="S41" s="38">
        <v>666</v>
      </c>
      <c r="T41" s="38" t="s">
        <v>431</v>
      </c>
      <c r="U41" s="38">
        <v>22124</v>
      </c>
    </row>
    <row r="42" spans="1:21" s="22" customFormat="1">
      <c r="A42" s="42">
        <v>101025</v>
      </c>
      <c r="B42" s="42" t="s">
        <v>486</v>
      </c>
      <c r="C42" s="42">
        <v>215000</v>
      </c>
      <c r="D42" s="25" t="s">
        <v>480</v>
      </c>
      <c r="E42" s="43" t="s">
        <v>481</v>
      </c>
      <c r="F42" s="43"/>
      <c r="G42" s="44">
        <v>6</v>
      </c>
      <c r="H42" s="44">
        <v>72</v>
      </c>
      <c r="I42" s="42">
        <v>1</v>
      </c>
      <c r="J42" s="42">
        <v>1302</v>
      </c>
      <c r="K42" s="42"/>
      <c r="L42" s="42">
        <v>0</v>
      </c>
      <c r="M42" s="42">
        <v>960</v>
      </c>
      <c r="N42" s="42">
        <v>0</v>
      </c>
      <c r="O42" s="42">
        <v>20</v>
      </c>
      <c r="P42" s="42">
        <v>999</v>
      </c>
      <c r="Q42" s="42">
        <v>0</v>
      </c>
      <c r="R42" s="42">
        <v>20</v>
      </c>
      <c r="S42" s="42">
        <v>666</v>
      </c>
      <c r="T42" s="42" t="s">
        <v>431</v>
      </c>
      <c r="U42" s="42">
        <v>22125</v>
      </c>
    </row>
    <row r="43" spans="1:21" s="22" customFormat="1">
      <c r="A43" s="42">
        <v>101026</v>
      </c>
      <c r="B43" s="42" t="s">
        <v>487</v>
      </c>
      <c r="C43" s="42">
        <v>215000</v>
      </c>
      <c r="D43" s="25" t="s">
        <v>480</v>
      </c>
      <c r="E43" s="43" t="s">
        <v>481</v>
      </c>
      <c r="F43" s="43"/>
      <c r="G43" s="44">
        <v>6</v>
      </c>
      <c r="H43" s="44">
        <v>72</v>
      </c>
      <c r="I43" s="42">
        <v>1</v>
      </c>
      <c r="J43" s="42">
        <v>1302</v>
      </c>
      <c r="K43" s="42"/>
      <c r="L43" s="42">
        <v>0</v>
      </c>
      <c r="M43" s="42">
        <v>970</v>
      </c>
      <c r="N43" s="42">
        <v>0</v>
      </c>
      <c r="O43" s="42">
        <v>20</v>
      </c>
      <c r="P43" s="42">
        <v>999</v>
      </c>
      <c r="Q43" s="42">
        <v>0</v>
      </c>
      <c r="R43" s="42">
        <v>20</v>
      </c>
      <c r="S43" s="42">
        <v>666</v>
      </c>
      <c r="T43" s="42" t="s">
        <v>431</v>
      </c>
      <c r="U43" s="42">
        <v>22126</v>
      </c>
    </row>
    <row r="44" spans="1:21" s="22" customFormat="1">
      <c r="A44" s="42">
        <v>101027</v>
      </c>
      <c r="B44" s="42" t="s">
        <v>488</v>
      </c>
      <c r="C44" s="42">
        <v>215000</v>
      </c>
      <c r="D44" s="25" t="s">
        <v>480</v>
      </c>
      <c r="E44" s="43" t="s">
        <v>481</v>
      </c>
      <c r="F44" s="43"/>
      <c r="G44" s="44">
        <v>6</v>
      </c>
      <c r="H44" s="44">
        <v>72</v>
      </c>
      <c r="I44" s="42">
        <v>1</v>
      </c>
      <c r="J44" s="42">
        <v>1302</v>
      </c>
      <c r="K44" s="42"/>
      <c r="L44" s="42">
        <v>0</v>
      </c>
      <c r="M44" s="42">
        <v>980</v>
      </c>
      <c r="N44" s="42">
        <v>0</v>
      </c>
      <c r="O44" s="42">
        <v>20</v>
      </c>
      <c r="P44" s="42">
        <v>999</v>
      </c>
      <c r="Q44" s="42">
        <v>0</v>
      </c>
      <c r="R44" s="42">
        <v>20</v>
      </c>
      <c r="S44" s="42">
        <v>666</v>
      </c>
      <c r="T44" s="42" t="s">
        <v>431</v>
      </c>
      <c r="U44" s="42">
        <v>22127</v>
      </c>
    </row>
    <row r="45" spans="1:21" s="22" customFormat="1">
      <c r="A45" s="42">
        <v>101028</v>
      </c>
      <c r="B45" s="42" t="s">
        <v>489</v>
      </c>
      <c r="C45" s="42">
        <v>215000</v>
      </c>
      <c r="D45" s="25" t="s">
        <v>480</v>
      </c>
      <c r="E45" s="43" t="s">
        <v>481</v>
      </c>
      <c r="F45" s="43"/>
      <c r="G45" s="44">
        <v>6</v>
      </c>
      <c r="H45" s="44">
        <v>72</v>
      </c>
      <c r="I45" s="42">
        <v>1</v>
      </c>
      <c r="J45" s="42">
        <v>1302</v>
      </c>
      <c r="K45" s="42"/>
      <c r="L45" s="42">
        <v>0</v>
      </c>
      <c r="M45" s="42">
        <v>990</v>
      </c>
      <c r="N45" s="42">
        <v>0</v>
      </c>
      <c r="O45" s="42">
        <v>20</v>
      </c>
      <c r="P45" s="42">
        <v>999</v>
      </c>
      <c r="Q45" s="42">
        <v>0</v>
      </c>
      <c r="R45" s="42">
        <v>20</v>
      </c>
      <c r="S45" s="42">
        <v>666</v>
      </c>
      <c r="T45" s="42" t="s">
        <v>431</v>
      </c>
      <c r="U45" s="42">
        <v>22128</v>
      </c>
    </row>
    <row r="46" spans="1:21" s="22" customFormat="1">
      <c r="A46" s="42">
        <v>101029</v>
      </c>
      <c r="B46" s="42" t="s">
        <v>490</v>
      </c>
      <c r="C46" s="42">
        <v>215000</v>
      </c>
      <c r="D46" s="25" t="s">
        <v>480</v>
      </c>
      <c r="E46" s="43" t="s">
        <v>481</v>
      </c>
      <c r="F46" s="43"/>
      <c r="G46" s="44">
        <v>6</v>
      </c>
      <c r="H46" s="44">
        <v>72</v>
      </c>
      <c r="I46" s="42">
        <v>1</v>
      </c>
      <c r="J46" s="42">
        <v>1302</v>
      </c>
      <c r="K46" s="42"/>
      <c r="L46" s="42">
        <v>0</v>
      </c>
      <c r="M46" s="42">
        <v>1000</v>
      </c>
      <c r="N46" s="42">
        <v>0</v>
      </c>
      <c r="O46" s="42">
        <v>20</v>
      </c>
      <c r="P46" s="42">
        <v>999</v>
      </c>
      <c r="Q46" s="42">
        <v>0</v>
      </c>
      <c r="R46" s="42">
        <v>20</v>
      </c>
      <c r="S46" s="42">
        <v>666</v>
      </c>
      <c r="T46" s="42" t="s">
        <v>431</v>
      </c>
      <c r="U46" s="42">
        <v>22129</v>
      </c>
    </row>
    <row r="47" spans="1:21" s="22" customFormat="1">
      <c r="A47" s="42">
        <v>101030</v>
      </c>
      <c r="B47" s="42" t="s">
        <v>491</v>
      </c>
      <c r="C47" s="42">
        <v>215000</v>
      </c>
      <c r="D47" s="25" t="s">
        <v>480</v>
      </c>
      <c r="E47" s="43" t="s">
        <v>481</v>
      </c>
      <c r="F47" s="43"/>
      <c r="G47" s="44">
        <v>6</v>
      </c>
      <c r="H47" s="44">
        <v>72</v>
      </c>
      <c r="I47" s="42">
        <v>1</v>
      </c>
      <c r="J47" s="42">
        <v>1302</v>
      </c>
      <c r="K47" s="42"/>
      <c r="L47" s="42">
        <v>0</v>
      </c>
      <c r="M47" s="42">
        <v>1010</v>
      </c>
      <c r="N47" s="42">
        <v>0</v>
      </c>
      <c r="O47" s="42">
        <v>20</v>
      </c>
      <c r="P47" s="42">
        <v>999</v>
      </c>
      <c r="Q47" s="42">
        <v>0</v>
      </c>
      <c r="R47" s="42">
        <v>20</v>
      </c>
      <c r="S47" s="42">
        <v>666</v>
      </c>
      <c r="T47" s="42" t="s">
        <v>431</v>
      </c>
      <c r="U47" s="42">
        <v>22130</v>
      </c>
    </row>
    <row r="48" spans="1:21" s="22" customFormat="1">
      <c r="A48" s="42">
        <v>101031</v>
      </c>
      <c r="B48" s="42" t="s">
        <v>492</v>
      </c>
      <c r="C48" s="42">
        <v>215000</v>
      </c>
      <c r="D48" s="25" t="s">
        <v>480</v>
      </c>
      <c r="E48" s="43" t="s">
        <v>481</v>
      </c>
      <c r="F48" s="43"/>
      <c r="G48" s="44">
        <v>6</v>
      </c>
      <c r="H48" s="44">
        <v>72</v>
      </c>
      <c r="I48" s="42">
        <v>1</v>
      </c>
      <c r="J48" s="42">
        <v>1302</v>
      </c>
      <c r="K48" s="42"/>
      <c r="L48" s="42">
        <v>0</v>
      </c>
      <c r="M48" s="42">
        <v>1020</v>
      </c>
      <c r="N48" s="42">
        <v>0</v>
      </c>
      <c r="O48" s="42">
        <v>20</v>
      </c>
      <c r="P48" s="42">
        <v>999</v>
      </c>
      <c r="Q48" s="42">
        <v>0</v>
      </c>
      <c r="R48" s="42">
        <v>20</v>
      </c>
      <c r="S48" s="42">
        <v>666</v>
      </c>
      <c r="T48" s="42" t="s">
        <v>431</v>
      </c>
      <c r="U48" s="42">
        <v>22131</v>
      </c>
    </row>
    <row r="49" spans="1:21" s="22" customFormat="1">
      <c r="A49" s="42">
        <v>101032</v>
      </c>
      <c r="B49" s="42" t="s">
        <v>493</v>
      </c>
      <c r="C49" s="42">
        <v>215000</v>
      </c>
      <c r="D49" s="25" t="s">
        <v>480</v>
      </c>
      <c r="E49" s="43" t="s">
        <v>481</v>
      </c>
      <c r="F49" s="43"/>
      <c r="G49" s="44">
        <v>6</v>
      </c>
      <c r="H49" s="44">
        <v>72</v>
      </c>
      <c r="I49" s="42">
        <v>1</v>
      </c>
      <c r="J49" s="42">
        <v>1302</v>
      </c>
      <c r="K49" s="42"/>
      <c r="L49" s="42">
        <v>0</v>
      </c>
      <c r="M49" s="42">
        <v>1030</v>
      </c>
      <c r="N49" s="42">
        <v>0</v>
      </c>
      <c r="O49" s="42">
        <v>20</v>
      </c>
      <c r="P49" s="42">
        <v>999</v>
      </c>
      <c r="Q49" s="42">
        <v>0</v>
      </c>
      <c r="R49" s="42">
        <v>20</v>
      </c>
      <c r="S49" s="42">
        <v>666</v>
      </c>
      <c r="T49" s="42" t="s">
        <v>431</v>
      </c>
      <c r="U49" s="42">
        <v>22132</v>
      </c>
    </row>
    <row r="50" spans="1:21" s="22" customFormat="1">
      <c r="A50" s="42">
        <v>101033</v>
      </c>
      <c r="B50" s="42" t="s">
        <v>494</v>
      </c>
      <c r="C50" s="42">
        <v>215000</v>
      </c>
      <c r="D50" s="25" t="s">
        <v>480</v>
      </c>
      <c r="E50" s="43" t="s">
        <v>481</v>
      </c>
      <c r="F50" s="43"/>
      <c r="G50" s="44">
        <v>6</v>
      </c>
      <c r="H50" s="44">
        <v>72</v>
      </c>
      <c r="I50" s="42">
        <v>1</v>
      </c>
      <c r="J50" s="42">
        <v>1302</v>
      </c>
      <c r="K50" s="42"/>
      <c r="L50" s="42">
        <v>0</v>
      </c>
      <c r="M50" s="42">
        <v>1040</v>
      </c>
      <c r="N50" s="42">
        <v>0</v>
      </c>
      <c r="O50" s="42">
        <v>20</v>
      </c>
      <c r="P50" s="42">
        <v>999</v>
      </c>
      <c r="Q50" s="42">
        <v>0</v>
      </c>
      <c r="R50" s="42">
        <v>20</v>
      </c>
      <c r="S50" s="42">
        <v>666</v>
      </c>
      <c r="T50" s="42" t="s">
        <v>431</v>
      </c>
      <c r="U50" s="42">
        <v>22133</v>
      </c>
    </row>
    <row r="51" spans="1:21" s="22" customFormat="1">
      <c r="A51" s="42">
        <v>101034</v>
      </c>
      <c r="B51" s="42" t="s">
        <v>495</v>
      </c>
      <c r="C51" s="42">
        <v>215000</v>
      </c>
      <c r="D51" s="25" t="s">
        <v>480</v>
      </c>
      <c r="E51" s="43" t="s">
        <v>481</v>
      </c>
      <c r="F51" s="43"/>
      <c r="G51" s="44">
        <v>6</v>
      </c>
      <c r="H51" s="44">
        <v>72</v>
      </c>
      <c r="I51" s="42">
        <v>1</v>
      </c>
      <c r="J51" s="42">
        <v>1302</v>
      </c>
      <c r="K51" s="42"/>
      <c r="L51" s="42">
        <v>0</v>
      </c>
      <c r="M51" s="42">
        <v>1050</v>
      </c>
      <c r="N51" s="42">
        <v>0</v>
      </c>
      <c r="O51" s="42">
        <v>20</v>
      </c>
      <c r="P51" s="42">
        <v>999</v>
      </c>
      <c r="Q51" s="42">
        <v>0</v>
      </c>
      <c r="R51" s="42">
        <v>20</v>
      </c>
      <c r="S51" s="42">
        <v>666</v>
      </c>
      <c r="T51" s="42" t="s">
        <v>431</v>
      </c>
      <c r="U51" s="42">
        <v>22134</v>
      </c>
    </row>
    <row r="52" spans="1:21">
      <c r="A52" s="4">
        <v>102001</v>
      </c>
      <c r="B52" s="4" t="s">
        <v>496</v>
      </c>
      <c r="C52" s="4">
        <v>25000</v>
      </c>
      <c r="D52" s="45" t="s">
        <v>497</v>
      </c>
      <c r="E52" s="9" t="s">
        <v>498</v>
      </c>
      <c r="G52" s="26">
        <v>6</v>
      </c>
      <c r="H52" s="26">
        <v>24</v>
      </c>
      <c r="I52" s="4">
        <v>1</v>
      </c>
      <c r="J52" s="4">
        <v>1700</v>
      </c>
      <c r="L52" s="4">
        <v>2</v>
      </c>
      <c r="M52" s="4">
        <v>1</v>
      </c>
      <c r="N52" s="4">
        <v>0</v>
      </c>
      <c r="O52" s="4">
        <v>20</v>
      </c>
      <c r="P52" s="4">
        <v>999</v>
      </c>
      <c r="Q52" s="4">
        <v>0</v>
      </c>
      <c r="R52" s="4">
        <v>20</v>
      </c>
      <c r="S52" s="4">
        <v>666</v>
      </c>
      <c r="T52" s="4" t="s">
        <v>499</v>
      </c>
      <c r="U52" s="4">
        <v>23001</v>
      </c>
    </row>
    <row r="53" spans="1:21" s="23" customFormat="1">
      <c r="A53" s="46">
        <v>103001</v>
      </c>
      <c r="B53" s="46" t="s">
        <v>500</v>
      </c>
      <c r="C53" s="46">
        <v>10000</v>
      </c>
      <c r="D53" s="47" t="s">
        <v>501</v>
      </c>
      <c r="E53" s="48" t="s">
        <v>502</v>
      </c>
      <c r="F53" s="48"/>
      <c r="G53" s="49">
        <v>6</v>
      </c>
      <c r="H53" s="49">
        <v>24</v>
      </c>
      <c r="I53" s="46">
        <v>1</v>
      </c>
      <c r="J53" s="46">
        <v>1003</v>
      </c>
      <c r="K53" s="46"/>
      <c r="L53" s="46">
        <v>0</v>
      </c>
      <c r="M53" s="46">
        <v>50</v>
      </c>
      <c r="N53" s="46">
        <v>0</v>
      </c>
      <c r="O53" s="46">
        <v>20</v>
      </c>
      <c r="P53" s="46">
        <v>999</v>
      </c>
      <c r="Q53" s="46">
        <v>0</v>
      </c>
      <c r="R53" s="46">
        <v>20</v>
      </c>
      <c r="S53" s="46">
        <v>500</v>
      </c>
      <c r="T53" s="46" t="s">
        <v>503</v>
      </c>
      <c r="U53" s="46">
        <v>24001</v>
      </c>
    </row>
    <row r="54" spans="1:21">
      <c r="A54" s="4">
        <v>104001</v>
      </c>
      <c r="B54" s="4" t="s">
        <v>504</v>
      </c>
      <c r="C54" s="4">
        <v>25000</v>
      </c>
      <c r="D54" s="10" t="s">
        <v>505</v>
      </c>
      <c r="E54" s="9" t="s">
        <v>506</v>
      </c>
      <c r="G54" s="26">
        <v>6</v>
      </c>
      <c r="H54" s="26">
        <v>24</v>
      </c>
      <c r="I54" s="4">
        <v>1</v>
      </c>
      <c r="J54" s="4">
        <v>3101</v>
      </c>
      <c r="L54" s="4">
        <v>0</v>
      </c>
      <c r="M54" s="4">
        <v>50</v>
      </c>
      <c r="N54" s="4">
        <v>0</v>
      </c>
      <c r="O54" s="4">
        <v>20</v>
      </c>
      <c r="P54" s="4">
        <v>999</v>
      </c>
      <c r="Q54" s="4">
        <v>0</v>
      </c>
      <c r="R54" s="4">
        <v>20</v>
      </c>
      <c r="S54" s="4">
        <v>666</v>
      </c>
      <c r="T54" s="4" t="s">
        <v>507</v>
      </c>
      <c r="U54" s="4">
        <v>25001</v>
      </c>
    </row>
    <row r="55" spans="1:21" s="18" customFormat="1">
      <c r="A55" s="27">
        <v>105001</v>
      </c>
      <c r="B55" s="27" t="s">
        <v>508</v>
      </c>
      <c r="C55" s="27">
        <v>25000</v>
      </c>
      <c r="D55" s="16" t="s">
        <v>509</v>
      </c>
      <c r="E55" s="9" t="s">
        <v>510</v>
      </c>
      <c r="F55" s="9"/>
      <c r="G55" s="29">
        <v>6</v>
      </c>
      <c r="H55" s="29">
        <v>24</v>
      </c>
      <c r="I55" s="27">
        <v>1</v>
      </c>
      <c r="J55" s="27">
        <v>402</v>
      </c>
      <c r="K55" s="4">
        <v>2</v>
      </c>
      <c r="L55" s="27">
        <v>2</v>
      </c>
      <c r="M55" s="27">
        <v>30</v>
      </c>
      <c r="N55" s="27">
        <v>1</v>
      </c>
      <c r="O55" s="27">
        <v>20</v>
      </c>
      <c r="P55" s="27">
        <v>999</v>
      </c>
      <c r="Q55" s="27">
        <v>0</v>
      </c>
      <c r="R55" s="27">
        <v>20</v>
      </c>
      <c r="S55" s="27">
        <v>500</v>
      </c>
      <c r="T55" s="27" t="s">
        <v>511</v>
      </c>
      <c r="U55" s="27">
        <v>28001</v>
      </c>
    </row>
    <row r="56" spans="1:21" s="18" customFormat="1">
      <c r="A56" s="27">
        <v>105002</v>
      </c>
      <c r="B56" s="27" t="s">
        <v>508</v>
      </c>
      <c r="C56" s="27">
        <v>45000</v>
      </c>
      <c r="D56" s="16" t="s">
        <v>512</v>
      </c>
      <c r="E56" s="9" t="s">
        <v>513</v>
      </c>
      <c r="F56" s="9"/>
      <c r="G56" s="29">
        <v>6</v>
      </c>
      <c r="H56" s="29">
        <v>24</v>
      </c>
      <c r="I56" s="27">
        <v>1</v>
      </c>
      <c r="J56" s="27">
        <v>402</v>
      </c>
      <c r="K56" s="4">
        <v>2</v>
      </c>
      <c r="L56" s="27">
        <v>2</v>
      </c>
      <c r="M56" s="27">
        <v>50</v>
      </c>
      <c r="N56" s="27">
        <v>1</v>
      </c>
      <c r="O56" s="27">
        <v>20</v>
      </c>
      <c r="P56" s="27">
        <v>999</v>
      </c>
      <c r="Q56" s="27">
        <v>0</v>
      </c>
      <c r="R56" s="27">
        <v>20</v>
      </c>
      <c r="S56" s="27">
        <v>666</v>
      </c>
      <c r="T56" s="27" t="s">
        <v>514</v>
      </c>
      <c r="U56" s="27">
        <v>28002</v>
      </c>
    </row>
    <row r="57" spans="1:21" s="18" customFormat="1">
      <c r="A57" s="27">
        <v>105003</v>
      </c>
      <c r="B57" s="27" t="s">
        <v>508</v>
      </c>
      <c r="C57" s="27">
        <v>115000</v>
      </c>
      <c r="D57" s="16" t="s">
        <v>515</v>
      </c>
      <c r="E57" s="9" t="s">
        <v>516</v>
      </c>
      <c r="F57" s="9"/>
      <c r="G57" s="29">
        <v>6</v>
      </c>
      <c r="H57" s="29">
        <v>24</v>
      </c>
      <c r="I57" s="27">
        <v>1</v>
      </c>
      <c r="J57" s="27">
        <v>402</v>
      </c>
      <c r="K57" s="4">
        <v>2</v>
      </c>
      <c r="L57" s="27">
        <v>2</v>
      </c>
      <c r="M57" s="27">
        <v>100</v>
      </c>
      <c r="N57" s="27">
        <v>1</v>
      </c>
      <c r="O57" s="27">
        <v>20</v>
      </c>
      <c r="P57" s="27">
        <v>999</v>
      </c>
      <c r="Q57" s="27">
        <v>0</v>
      </c>
      <c r="R57" s="27">
        <v>20</v>
      </c>
      <c r="S57" s="27">
        <v>888</v>
      </c>
      <c r="T57" s="27" t="s">
        <v>517</v>
      </c>
      <c r="U57" s="27">
        <v>28003</v>
      </c>
    </row>
    <row r="58" spans="1:21" s="23" customFormat="1">
      <c r="A58" s="46">
        <v>105004</v>
      </c>
      <c r="B58" s="46" t="s">
        <v>508</v>
      </c>
      <c r="C58" s="46">
        <v>215000</v>
      </c>
      <c r="D58" s="47" t="s">
        <v>518</v>
      </c>
      <c r="E58" s="48" t="s">
        <v>519</v>
      </c>
      <c r="F58" s="48"/>
      <c r="G58" s="49">
        <v>6</v>
      </c>
      <c r="H58" s="49">
        <v>24</v>
      </c>
      <c r="I58" s="46">
        <v>1</v>
      </c>
      <c r="J58" s="46">
        <v>402</v>
      </c>
      <c r="K58" s="46">
        <v>2</v>
      </c>
      <c r="L58" s="46">
        <v>2</v>
      </c>
      <c r="M58" s="46">
        <v>200</v>
      </c>
      <c r="N58" s="46">
        <v>1</v>
      </c>
      <c r="O58" s="46">
        <v>20</v>
      </c>
      <c r="P58" s="46">
        <v>999</v>
      </c>
      <c r="Q58" s="46">
        <v>0</v>
      </c>
      <c r="R58" s="46">
        <v>20</v>
      </c>
      <c r="S58" s="46">
        <v>999</v>
      </c>
      <c r="T58" s="46" t="s">
        <v>520</v>
      </c>
      <c r="U58" s="46">
        <v>28004</v>
      </c>
    </row>
    <row r="59" spans="1:21" s="21" customFormat="1">
      <c r="A59" s="38">
        <v>106001</v>
      </c>
      <c r="B59" s="38" t="s">
        <v>521</v>
      </c>
      <c r="C59" s="38">
        <v>25000</v>
      </c>
      <c r="D59" s="39" t="s">
        <v>522</v>
      </c>
      <c r="E59" s="9" t="s">
        <v>523</v>
      </c>
      <c r="F59" s="9"/>
      <c r="G59" s="41">
        <v>6</v>
      </c>
      <c r="H59" s="41">
        <v>24</v>
      </c>
      <c r="I59" s="38">
        <v>1</v>
      </c>
      <c r="J59" s="38">
        <v>415</v>
      </c>
      <c r="K59" s="4"/>
      <c r="L59" s="38">
        <v>2</v>
      </c>
      <c r="M59" s="38">
        <v>30</v>
      </c>
      <c r="N59" s="38">
        <v>1</v>
      </c>
      <c r="O59" s="38">
        <v>20</v>
      </c>
      <c r="P59" s="38">
        <v>999</v>
      </c>
      <c r="Q59" s="38">
        <v>0</v>
      </c>
      <c r="R59" s="38">
        <v>20</v>
      </c>
      <c r="S59" s="38">
        <v>500</v>
      </c>
      <c r="T59" s="38" t="s">
        <v>524</v>
      </c>
      <c r="U59" s="38">
        <v>28101</v>
      </c>
    </row>
    <row r="60" spans="1:21" s="21" customFormat="1">
      <c r="A60" s="38">
        <v>106002</v>
      </c>
      <c r="B60" s="38" t="s">
        <v>521</v>
      </c>
      <c r="C60" s="38">
        <v>45000</v>
      </c>
      <c r="D60" s="39" t="s">
        <v>525</v>
      </c>
      <c r="E60" s="9" t="s">
        <v>526</v>
      </c>
      <c r="F60" s="9"/>
      <c r="G60" s="41">
        <v>6</v>
      </c>
      <c r="H60" s="41">
        <v>24</v>
      </c>
      <c r="I60" s="38">
        <v>1</v>
      </c>
      <c r="J60" s="38">
        <v>415</v>
      </c>
      <c r="K60" s="4"/>
      <c r="L60" s="38">
        <v>2</v>
      </c>
      <c r="M60" s="38">
        <v>50</v>
      </c>
      <c r="N60" s="38">
        <v>1</v>
      </c>
      <c r="O60" s="38">
        <v>20</v>
      </c>
      <c r="P60" s="38">
        <v>999</v>
      </c>
      <c r="Q60" s="38">
        <v>0</v>
      </c>
      <c r="R60" s="38">
        <v>20</v>
      </c>
      <c r="S60" s="38">
        <v>666</v>
      </c>
      <c r="T60" s="38" t="s">
        <v>527</v>
      </c>
      <c r="U60" s="38">
        <v>28102</v>
      </c>
    </row>
    <row r="61" spans="1:21" s="21" customFormat="1">
      <c r="A61" s="38">
        <v>106003</v>
      </c>
      <c r="B61" s="38" t="s">
        <v>521</v>
      </c>
      <c r="C61" s="38">
        <v>115000</v>
      </c>
      <c r="D61" s="39" t="s">
        <v>528</v>
      </c>
      <c r="E61" s="9" t="s">
        <v>529</v>
      </c>
      <c r="F61" s="9"/>
      <c r="G61" s="41">
        <v>6</v>
      </c>
      <c r="H61" s="41">
        <v>24</v>
      </c>
      <c r="I61" s="38">
        <v>1</v>
      </c>
      <c r="J61" s="38">
        <v>415</v>
      </c>
      <c r="K61" s="4"/>
      <c r="L61" s="38">
        <v>2</v>
      </c>
      <c r="M61" s="38">
        <v>100</v>
      </c>
      <c r="N61" s="38">
        <v>1</v>
      </c>
      <c r="O61" s="38">
        <v>20</v>
      </c>
      <c r="P61" s="38">
        <v>999</v>
      </c>
      <c r="Q61" s="38">
        <v>0</v>
      </c>
      <c r="R61" s="38">
        <v>20</v>
      </c>
      <c r="S61" s="38">
        <v>888</v>
      </c>
      <c r="T61" s="38" t="s">
        <v>530</v>
      </c>
      <c r="U61" s="38">
        <v>28103</v>
      </c>
    </row>
    <row r="62" spans="1:21" s="23" customFormat="1">
      <c r="A62" s="46">
        <v>106004</v>
      </c>
      <c r="B62" s="46" t="s">
        <v>521</v>
      </c>
      <c r="C62" s="46">
        <v>215000</v>
      </c>
      <c r="D62" s="47" t="s">
        <v>531</v>
      </c>
      <c r="E62" s="48" t="s">
        <v>532</v>
      </c>
      <c r="F62" s="48"/>
      <c r="G62" s="49">
        <v>6</v>
      </c>
      <c r="H62" s="49">
        <v>24</v>
      </c>
      <c r="I62" s="46">
        <v>1</v>
      </c>
      <c r="J62" s="46">
        <v>415</v>
      </c>
      <c r="K62" s="46"/>
      <c r="L62" s="46">
        <v>2</v>
      </c>
      <c r="M62" s="46">
        <v>200</v>
      </c>
      <c r="N62" s="46">
        <v>1</v>
      </c>
      <c r="O62" s="46">
        <v>20</v>
      </c>
      <c r="P62" s="46">
        <v>999</v>
      </c>
      <c r="Q62" s="46">
        <v>0</v>
      </c>
      <c r="R62" s="46">
        <v>20</v>
      </c>
      <c r="S62" s="46">
        <v>999</v>
      </c>
      <c r="T62" s="46" t="s">
        <v>533</v>
      </c>
      <c r="U62" s="46">
        <v>28104</v>
      </c>
    </row>
    <row r="63" spans="1:21">
      <c r="A63" s="4">
        <v>107001</v>
      </c>
      <c r="B63" s="4" t="s">
        <v>534</v>
      </c>
      <c r="C63" s="4">
        <v>25000</v>
      </c>
      <c r="D63" s="10" t="s">
        <v>439</v>
      </c>
      <c r="E63" s="9" t="s">
        <v>440</v>
      </c>
      <c r="G63" s="26">
        <v>6</v>
      </c>
      <c r="H63" s="26">
        <v>99999</v>
      </c>
      <c r="I63" s="4">
        <v>1</v>
      </c>
      <c r="J63" s="4">
        <v>202</v>
      </c>
      <c r="L63" s="4">
        <v>2</v>
      </c>
      <c r="M63" s="4">
        <v>100000</v>
      </c>
      <c r="N63" s="4">
        <v>0</v>
      </c>
      <c r="O63" s="4">
        <v>20</v>
      </c>
      <c r="P63" s="4">
        <v>999</v>
      </c>
      <c r="Q63" s="4">
        <v>0</v>
      </c>
      <c r="R63" s="4">
        <v>20</v>
      </c>
      <c r="S63" s="4">
        <v>666</v>
      </c>
      <c r="T63" s="4" t="s">
        <v>535</v>
      </c>
      <c r="U63" s="4">
        <v>29001</v>
      </c>
    </row>
    <row r="64" spans="1:21">
      <c r="A64" s="4">
        <v>107002</v>
      </c>
      <c r="B64" s="4" t="s">
        <v>536</v>
      </c>
      <c r="C64" s="4">
        <v>45000</v>
      </c>
      <c r="D64" s="10" t="s">
        <v>537</v>
      </c>
      <c r="E64" s="9" t="s">
        <v>538</v>
      </c>
      <c r="G64" s="26">
        <v>6</v>
      </c>
      <c r="H64" s="26">
        <v>99999</v>
      </c>
      <c r="I64" s="4">
        <v>1</v>
      </c>
      <c r="J64" s="4">
        <v>202</v>
      </c>
      <c r="L64" s="4">
        <v>2</v>
      </c>
      <c r="M64" s="4">
        <v>200000</v>
      </c>
      <c r="N64" s="4">
        <v>0</v>
      </c>
      <c r="O64" s="4">
        <v>20</v>
      </c>
      <c r="P64" s="4">
        <v>999</v>
      </c>
      <c r="Q64" s="4">
        <v>0</v>
      </c>
      <c r="R64" s="4">
        <v>20</v>
      </c>
      <c r="S64" s="4">
        <v>666</v>
      </c>
      <c r="T64" s="4" t="s">
        <v>539</v>
      </c>
      <c r="U64" s="4">
        <v>29002</v>
      </c>
    </row>
    <row r="65" spans="1:21">
      <c r="A65" s="4">
        <v>107003</v>
      </c>
      <c r="B65" s="4" t="s">
        <v>540</v>
      </c>
      <c r="C65" s="4">
        <v>45000</v>
      </c>
      <c r="D65" s="10" t="s">
        <v>541</v>
      </c>
      <c r="E65" s="9" t="s">
        <v>542</v>
      </c>
      <c r="G65" s="26">
        <v>6</v>
      </c>
      <c r="H65" s="26">
        <v>99999</v>
      </c>
      <c r="I65" s="4">
        <v>1</v>
      </c>
      <c r="J65" s="4">
        <v>202</v>
      </c>
      <c r="L65" s="4">
        <v>2</v>
      </c>
      <c r="M65" s="4">
        <v>400000</v>
      </c>
      <c r="N65" s="4">
        <v>0</v>
      </c>
      <c r="O65" s="4">
        <v>20</v>
      </c>
      <c r="P65" s="4">
        <v>999</v>
      </c>
      <c r="Q65" s="4">
        <v>0</v>
      </c>
      <c r="R65" s="4">
        <v>20</v>
      </c>
      <c r="S65" s="4">
        <v>666</v>
      </c>
      <c r="T65" s="4" t="s">
        <v>543</v>
      </c>
      <c r="U65" s="4">
        <v>29003</v>
      </c>
    </row>
    <row r="66" spans="1:21">
      <c r="A66" s="4">
        <v>107004</v>
      </c>
      <c r="B66" s="4" t="s">
        <v>544</v>
      </c>
      <c r="C66" s="4">
        <v>45000</v>
      </c>
      <c r="D66" s="10" t="s">
        <v>541</v>
      </c>
      <c r="E66" s="9" t="s">
        <v>542</v>
      </c>
      <c r="G66" s="26">
        <v>6</v>
      </c>
      <c r="H66" s="26">
        <v>99999</v>
      </c>
      <c r="I66" s="4">
        <v>1</v>
      </c>
      <c r="J66" s="4">
        <v>202</v>
      </c>
      <c r="L66" s="4">
        <v>2</v>
      </c>
      <c r="M66" s="4">
        <v>500000</v>
      </c>
      <c r="N66" s="4">
        <v>0</v>
      </c>
      <c r="O66" s="4">
        <v>20</v>
      </c>
      <c r="P66" s="4">
        <v>999</v>
      </c>
      <c r="Q66" s="4">
        <v>0</v>
      </c>
      <c r="R66" s="4">
        <v>20</v>
      </c>
      <c r="S66" s="4">
        <v>666</v>
      </c>
      <c r="T66" s="4" t="s">
        <v>545</v>
      </c>
      <c r="U66" s="4">
        <v>29004</v>
      </c>
    </row>
    <row r="67" spans="1:21">
      <c r="A67" s="4">
        <v>108001</v>
      </c>
      <c r="B67" s="4" t="s">
        <v>546</v>
      </c>
      <c r="C67" s="4">
        <v>20000</v>
      </c>
      <c r="D67" s="10" t="s">
        <v>547</v>
      </c>
      <c r="E67" s="9" t="s">
        <v>548</v>
      </c>
      <c r="G67" s="26">
        <v>6</v>
      </c>
      <c r="H67" s="26">
        <v>6</v>
      </c>
      <c r="I67" s="4">
        <v>1</v>
      </c>
      <c r="J67" s="4">
        <v>1710</v>
      </c>
      <c r="L67" s="4">
        <v>2</v>
      </c>
      <c r="M67" s="4">
        <v>3</v>
      </c>
      <c r="N67" s="4">
        <v>0</v>
      </c>
      <c r="O67" s="4">
        <v>20</v>
      </c>
      <c r="P67" s="4">
        <v>999</v>
      </c>
      <c r="Q67" s="4">
        <v>0</v>
      </c>
      <c r="R67" s="4">
        <v>20</v>
      </c>
      <c r="S67" s="4">
        <v>666</v>
      </c>
      <c r="T67" s="4" t="s">
        <v>549</v>
      </c>
      <c r="U67" s="4">
        <v>30001</v>
      </c>
    </row>
    <row r="68" spans="1:21">
      <c r="A68" s="4">
        <v>108002</v>
      </c>
      <c r="B68" s="4" t="s">
        <v>550</v>
      </c>
      <c r="C68" s="4">
        <v>35000</v>
      </c>
      <c r="D68" s="10" t="s">
        <v>551</v>
      </c>
      <c r="E68" s="9" t="s">
        <v>552</v>
      </c>
      <c r="G68" s="26">
        <v>6</v>
      </c>
      <c r="H68" s="26">
        <v>6</v>
      </c>
      <c r="I68" s="4">
        <v>1</v>
      </c>
      <c r="J68" s="4">
        <v>1710</v>
      </c>
      <c r="L68" s="4">
        <v>2</v>
      </c>
      <c r="M68" s="4">
        <v>6</v>
      </c>
      <c r="N68" s="4">
        <v>0</v>
      </c>
      <c r="O68" s="4">
        <v>20</v>
      </c>
      <c r="P68" s="4">
        <v>999</v>
      </c>
      <c r="Q68" s="4">
        <v>0</v>
      </c>
      <c r="R68" s="4">
        <v>20</v>
      </c>
      <c r="S68" s="4">
        <v>666</v>
      </c>
      <c r="T68" s="4" t="s">
        <v>549</v>
      </c>
      <c r="U68" s="4">
        <v>30002</v>
      </c>
    </row>
    <row r="69" spans="1:21">
      <c r="A69" s="4">
        <v>108003</v>
      </c>
      <c r="B69" s="4" t="s">
        <v>553</v>
      </c>
      <c r="C69" s="4">
        <v>45000</v>
      </c>
      <c r="D69" s="10" t="s">
        <v>554</v>
      </c>
      <c r="E69" s="9" t="s">
        <v>555</v>
      </c>
      <c r="G69" s="26">
        <v>6</v>
      </c>
      <c r="H69" s="26">
        <v>6</v>
      </c>
      <c r="I69" s="4">
        <v>1</v>
      </c>
      <c r="J69" s="4">
        <v>1710</v>
      </c>
      <c r="L69" s="4">
        <v>2</v>
      </c>
      <c r="M69" s="4">
        <v>9</v>
      </c>
      <c r="N69" s="4">
        <v>0</v>
      </c>
      <c r="O69" s="4">
        <v>20</v>
      </c>
      <c r="P69" s="4">
        <v>999</v>
      </c>
      <c r="Q69" s="4">
        <v>0</v>
      </c>
      <c r="R69" s="4">
        <v>20</v>
      </c>
      <c r="S69" s="4">
        <v>666</v>
      </c>
      <c r="T69" s="4" t="s">
        <v>549</v>
      </c>
      <c r="U69" s="4">
        <v>30003</v>
      </c>
    </row>
    <row r="70" spans="1:21">
      <c r="A70" s="4">
        <v>108004</v>
      </c>
      <c r="B70" s="4" t="s">
        <v>556</v>
      </c>
      <c r="C70" s="4">
        <v>45000</v>
      </c>
      <c r="D70" s="10" t="s">
        <v>557</v>
      </c>
      <c r="E70" s="9" t="s">
        <v>558</v>
      </c>
      <c r="G70" s="26">
        <v>6</v>
      </c>
      <c r="H70" s="26">
        <v>6</v>
      </c>
      <c r="I70" s="4">
        <v>1</v>
      </c>
      <c r="J70" s="4">
        <v>1710</v>
      </c>
      <c r="L70" s="4">
        <v>2</v>
      </c>
      <c r="M70" s="4">
        <v>12</v>
      </c>
      <c r="N70" s="4">
        <v>0</v>
      </c>
      <c r="O70" s="4">
        <v>20</v>
      </c>
      <c r="P70" s="4">
        <v>999</v>
      </c>
      <c r="Q70" s="4">
        <v>0</v>
      </c>
      <c r="R70" s="4">
        <v>20</v>
      </c>
      <c r="S70" s="4">
        <v>666</v>
      </c>
      <c r="T70" s="4" t="s">
        <v>549</v>
      </c>
      <c r="U70" s="4">
        <v>30004</v>
      </c>
    </row>
    <row r="71" spans="1:21">
      <c r="A71" s="4">
        <v>108005</v>
      </c>
      <c r="B71" s="4" t="s">
        <v>559</v>
      </c>
      <c r="C71" s="4">
        <v>45000</v>
      </c>
      <c r="D71" s="10" t="s">
        <v>560</v>
      </c>
      <c r="E71" s="9" t="s">
        <v>561</v>
      </c>
      <c r="G71" s="26">
        <v>6</v>
      </c>
      <c r="H71" s="26">
        <v>6</v>
      </c>
      <c r="I71" s="4">
        <v>1</v>
      </c>
      <c r="J71" s="4">
        <v>1710</v>
      </c>
      <c r="L71" s="4">
        <v>2</v>
      </c>
      <c r="M71" s="4">
        <v>15</v>
      </c>
      <c r="N71" s="4">
        <v>0</v>
      </c>
      <c r="O71" s="4">
        <v>20</v>
      </c>
      <c r="P71" s="4">
        <v>999</v>
      </c>
      <c r="Q71" s="4">
        <v>0</v>
      </c>
      <c r="R71" s="4">
        <v>20</v>
      </c>
      <c r="S71" s="4">
        <v>666</v>
      </c>
      <c r="T71" s="4" t="s">
        <v>549</v>
      </c>
      <c r="U71" s="4">
        <v>30005</v>
      </c>
    </row>
    <row r="72" spans="1:21">
      <c r="A72" s="4">
        <v>108006</v>
      </c>
      <c r="B72" s="4" t="s">
        <v>562</v>
      </c>
      <c r="C72" s="4">
        <v>45000</v>
      </c>
      <c r="D72" s="10" t="s">
        <v>563</v>
      </c>
      <c r="E72" s="9" t="s">
        <v>538</v>
      </c>
      <c r="G72" s="26">
        <v>6</v>
      </c>
      <c r="H72" s="26">
        <v>6</v>
      </c>
      <c r="I72" s="4">
        <v>1</v>
      </c>
      <c r="J72" s="4">
        <v>1710</v>
      </c>
      <c r="L72" s="4">
        <v>2</v>
      </c>
      <c r="M72" s="4">
        <v>18</v>
      </c>
      <c r="N72" s="4">
        <v>0</v>
      </c>
      <c r="O72" s="4">
        <v>20</v>
      </c>
      <c r="P72" s="4">
        <v>999</v>
      </c>
      <c r="Q72" s="4">
        <v>0</v>
      </c>
      <c r="R72" s="4">
        <v>20</v>
      </c>
      <c r="S72" s="4">
        <v>666</v>
      </c>
      <c r="T72" s="4" t="s">
        <v>549</v>
      </c>
      <c r="U72" s="4">
        <v>30006</v>
      </c>
    </row>
    <row r="73" spans="1:21">
      <c r="A73" s="4">
        <v>108007</v>
      </c>
      <c r="B73" s="4" t="s">
        <v>564</v>
      </c>
      <c r="C73" s="4">
        <v>45000</v>
      </c>
      <c r="D73" s="10" t="s">
        <v>565</v>
      </c>
      <c r="E73" s="9" t="s">
        <v>566</v>
      </c>
      <c r="G73" s="26">
        <v>6</v>
      </c>
      <c r="H73" s="26">
        <v>6</v>
      </c>
      <c r="I73" s="4">
        <v>1</v>
      </c>
      <c r="J73" s="4">
        <v>1710</v>
      </c>
      <c r="L73" s="4">
        <v>2</v>
      </c>
      <c r="M73" s="4">
        <v>21</v>
      </c>
      <c r="N73" s="4">
        <v>0</v>
      </c>
      <c r="O73" s="4">
        <v>20</v>
      </c>
      <c r="P73" s="4">
        <v>999</v>
      </c>
      <c r="Q73" s="4">
        <v>0</v>
      </c>
      <c r="R73" s="4">
        <v>20</v>
      </c>
      <c r="S73" s="4">
        <v>666</v>
      </c>
      <c r="T73" s="4" t="s">
        <v>549</v>
      </c>
      <c r="U73" s="4">
        <v>30007</v>
      </c>
    </row>
    <row r="74" spans="1:21" s="19" customFormat="1">
      <c r="A74" s="30">
        <v>108101</v>
      </c>
      <c r="B74" s="30" t="s">
        <v>567</v>
      </c>
      <c r="C74" s="30">
        <v>35000</v>
      </c>
      <c r="D74" s="31" t="s">
        <v>568</v>
      </c>
      <c r="E74" s="32" t="s">
        <v>569</v>
      </c>
      <c r="F74" s="32"/>
      <c r="G74" s="33">
        <v>6</v>
      </c>
      <c r="H74" s="33">
        <v>6</v>
      </c>
      <c r="I74" s="30">
        <v>1</v>
      </c>
      <c r="J74" s="30">
        <v>1711</v>
      </c>
      <c r="K74" s="30"/>
      <c r="L74" s="30">
        <v>2</v>
      </c>
      <c r="M74" s="30">
        <v>3</v>
      </c>
      <c r="N74" s="30">
        <v>0</v>
      </c>
      <c r="O74" s="30">
        <v>20</v>
      </c>
      <c r="P74" s="30">
        <v>999</v>
      </c>
      <c r="Q74" s="30">
        <v>0</v>
      </c>
      <c r="R74" s="30">
        <v>20</v>
      </c>
      <c r="S74" s="30">
        <v>666</v>
      </c>
      <c r="T74" s="30" t="s">
        <v>570</v>
      </c>
      <c r="U74" s="30">
        <v>30101</v>
      </c>
    </row>
    <row r="75" spans="1:21" s="19" customFormat="1">
      <c r="A75" s="30">
        <v>108102</v>
      </c>
      <c r="B75" s="30" t="s">
        <v>571</v>
      </c>
      <c r="C75" s="30">
        <v>45000</v>
      </c>
      <c r="D75" s="31" t="s">
        <v>541</v>
      </c>
      <c r="E75" s="32" t="s">
        <v>542</v>
      </c>
      <c r="F75" s="32"/>
      <c r="G75" s="33">
        <v>6</v>
      </c>
      <c r="H75" s="33">
        <v>6</v>
      </c>
      <c r="I75" s="30">
        <v>1</v>
      </c>
      <c r="J75" s="30">
        <v>1711</v>
      </c>
      <c r="K75" s="30"/>
      <c r="L75" s="30">
        <v>2</v>
      </c>
      <c r="M75" s="30">
        <v>6</v>
      </c>
      <c r="N75" s="30">
        <v>0</v>
      </c>
      <c r="O75" s="30">
        <v>20</v>
      </c>
      <c r="P75" s="30">
        <v>999</v>
      </c>
      <c r="Q75" s="30">
        <v>0</v>
      </c>
      <c r="R75" s="30">
        <v>20</v>
      </c>
      <c r="S75" s="30">
        <v>666</v>
      </c>
      <c r="T75" s="30" t="s">
        <v>570</v>
      </c>
      <c r="U75" s="30">
        <v>30102</v>
      </c>
    </row>
    <row r="76" spans="1:21" s="19" customFormat="1">
      <c r="A76" s="30">
        <v>108103</v>
      </c>
      <c r="B76" s="30" t="s">
        <v>572</v>
      </c>
      <c r="C76" s="30">
        <v>45000</v>
      </c>
      <c r="D76" s="31" t="s">
        <v>541</v>
      </c>
      <c r="E76" s="32" t="s">
        <v>542</v>
      </c>
      <c r="F76" s="32"/>
      <c r="G76" s="33">
        <v>6</v>
      </c>
      <c r="H76" s="33">
        <v>6</v>
      </c>
      <c r="I76" s="30">
        <v>1</v>
      </c>
      <c r="J76" s="30">
        <v>1711</v>
      </c>
      <c r="K76" s="30"/>
      <c r="L76" s="30">
        <v>2</v>
      </c>
      <c r="M76" s="30">
        <v>9</v>
      </c>
      <c r="N76" s="30">
        <v>0</v>
      </c>
      <c r="O76" s="30">
        <v>20</v>
      </c>
      <c r="P76" s="30">
        <v>999</v>
      </c>
      <c r="Q76" s="30">
        <v>0</v>
      </c>
      <c r="R76" s="30">
        <v>20</v>
      </c>
      <c r="S76" s="30">
        <v>666</v>
      </c>
      <c r="T76" s="30" t="s">
        <v>570</v>
      </c>
      <c r="U76" s="30">
        <v>30103</v>
      </c>
    </row>
    <row r="77" spans="1:21" s="19" customFormat="1">
      <c r="A77" s="30">
        <v>108104</v>
      </c>
      <c r="B77" s="30" t="s">
        <v>573</v>
      </c>
      <c r="C77" s="30">
        <v>45000</v>
      </c>
      <c r="D77" s="31" t="s">
        <v>574</v>
      </c>
      <c r="E77" s="32" t="s">
        <v>575</v>
      </c>
      <c r="F77" s="32"/>
      <c r="G77" s="33">
        <v>6</v>
      </c>
      <c r="H77" s="33">
        <v>6</v>
      </c>
      <c r="I77" s="30">
        <v>1</v>
      </c>
      <c r="J77" s="30">
        <v>1711</v>
      </c>
      <c r="K77" s="30"/>
      <c r="L77" s="30">
        <v>2</v>
      </c>
      <c r="M77" s="30">
        <v>12</v>
      </c>
      <c r="N77" s="30">
        <v>0</v>
      </c>
      <c r="O77" s="30">
        <v>20</v>
      </c>
      <c r="P77" s="30">
        <v>999</v>
      </c>
      <c r="Q77" s="30">
        <v>0</v>
      </c>
      <c r="R77" s="30">
        <v>20</v>
      </c>
      <c r="S77" s="30">
        <v>666</v>
      </c>
      <c r="T77" s="30" t="s">
        <v>570</v>
      </c>
      <c r="U77" s="30">
        <v>30104</v>
      </c>
    </row>
    <row r="78" spans="1:21" s="19" customFormat="1">
      <c r="A78" s="30">
        <v>108105</v>
      </c>
      <c r="B78" s="30" t="s">
        <v>576</v>
      </c>
      <c r="C78" s="30">
        <v>115000</v>
      </c>
      <c r="D78" s="31" t="s">
        <v>457</v>
      </c>
      <c r="E78" s="32" t="s">
        <v>458</v>
      </c>
      <c r="F78" s="32"/>
      <c r="G78" s="33">
        <v>6</v>
      </c>
      <c r="H78" s="33">
        <v>6</v>
      </c>
      <c r="I78" s="30">
        <v>1</v>
      </c>
      <c r="J78" s="30">
        <v>1711</v>
      </c>
      <c r="K78" s="30"/>
      <c r="L78" s="30">
        <v>2</v>
      </c>
      <c r="M78" s="30">
        <v>15</v>
      </c>
      <c r="N78" s="30">
        <v>0</v>
      </c>
      <c r="O78" s="30">
        <v>20</v>
      </c>
      <c r="P78" s="30">
        <v>999</v>
      </c>
      <c r="Q78" s="30">
        <v>0</v>
      </c>
      <c r="R78" s="30">
        <v>20</v>
      </c>
      <c r="S78" s="30">
        <v>666</v>
      </c>
      <c r="T78" s="30" t="s">
        <v>570</v>
      </c>
      <c r="U78" s="30">
        <v>30105</v>
      </c>
    </row>
    <row r="79" spans="1:21" s="19" customFormat="1">
      <c r="A79" s="30">
        <v>108106</v>
      </c>
      <c r="B79" s="30" t="s">
        <v>577</v>
      </c>
      <c r="C79" s="30">
        <v>115000</v>
      </c>
      <c r="D79" s="31" t="s">
        <v>457</v>
      </c>
      <c r="E79" s="32" t="s">
        <v>458</v>
      </c>
      <c r="F79" s="32"/>
      <c r="G79" s="33">
        <v>6</v>
      </c>
      <c r="H79" s="33">
        <v>6</v>
      </c>
      <c r="I79" s="30">
        <v>1</v>
      </c>
      <c r="J79" s="30">
        <v>1711</v>
      </c>
      <c r="K79" s="30"/>
      <c r="L79" s="30">
        <v>2</v>
      </c>
      <c r="M79" s="30">
        <v>18</v>
      </c>
      <c r="N79" s="30">
        <v>0</v>
      </c>
      <c r="O79" s="30">
        <v>20</v>
      </c>
      <c r="P79" s="30">
        <v>999</v>
      </c>
      <c r="Q79" s="30">
        <v>0</v>
      </c>
      <c r="R79" s="30">
        <v>20</v>
      </c>
      <c r="S79" s="30">
        <v>666</v>
      </c>
      <c r="T79" s="30" t="s">
        <v>570</v>
      </c>
      <c r="U79" s="30">
        <v>30106</v>
      </c>
    </row>
    <row r="80" spans="1:21" s="19" customFormat="1">
      <c r="A80" s="30">
        <v>108107</v>
      </c>
      <c r="B80" s="30" t="s">
        <v>578</v>
      </c>
      <c r="C80" s="30">
        <v>115000</v>
      </c>
      <c r="D80" s="31" t="s">
        <v>460</v>
      </c>
      <c r="E80" s="32" t="s">
        <v>461</v>
      </c>
      <c r="F80" s="32"/>
      <c r="G80" s="33">
        <v>6</v>
      </c>
      <c r="H80" s="33">
        <v>6</v>
      </c>
      <c r="I80" s="30">
        <v>1</v>
      </c>
      <c r="J80" s="30">
        <v>1711</v>
      </c>
      <c r="K80" s="30"/>
      <c r="L80" s="30">
        <v>2</v>
      </c>
      <c r="M80" s="30">
        <v>21</v>
      </c>
      <c r="N80" s="30">
        <v>0</v>
      </c>
      <c r="O80" s="30">
        <v>20</v>
      </c>
      <c r="P80" s="30">
        <v>999</v>
      </c>
      <c r="Q80" s="30">
        <v>0</v>
      </c>
      <c r="R80" s="30">
        <v>20</v>
      </c>
      <c r="S80" s="30">
        <v>666</v>
      </c>
      <c r="T80" s="30" t="s">
        <v>570</v>
      </c>
      <c r="U80" s="30">
        <v>30107</v>
      </c>
    </row>
    <row r="81" spans="1:21">
      <c r="A81" s="4">
        <v>109001</v>
      </c>
      <c r="B81" s="4" t="s">
        <v>579</v>
      </c>
      <c r="C81" s="4">
        <v>45000</v>
      </c>
      <c r="D81" s="10" t="s">
        <v>580</v>
      </c>
      <c r="E81" s="9" t="s">
        <v>581</v>
      </c>
      <c r="G81" s="26">
        <v>6</v>
      </c>
      <c r="H81" s="26">
        <v>24</v>
      </c>
      <c r="I81" s="4">
        <v>1</v>
      </c>
      <c r="J81" s="4">
        <v>504</v>
      </c>
      <c r="K81" s="4">
        <v>4</v>
      </c>
      <c r="L81" s="4">
        <v>2</v>
      </c>
      <c r="M81" s="4">
        <v>3</v>
      </c>
      <c r="N81" s="4">
        <v>0</v>
      </c>
      <c r="O81" s="4">
        <v>20</v>
      </c>
      <c r="P81" s="4">
        <v>999</v>
      </c>
      <c r="Q81" s="4">
        <v>0</v>
      </c>
      <c r="R81" s="4">
        <v>20</v>
      </c>
      <c r="S81" s="4">
        <v>666</v>
      </c>
      <c r="T81" s="4" t="s">
        <v>582</v>
      </c>
      <c r="U81" s="4">
        <v>32001</v>
      </c>
    </row>
    <row r="82" spans="1:21">
      <c r="A82" s="4">
        <v>109002</v>
      </c>
      <c r="B82" s="4" t="s">
        <v>583</v>
      </c>
      <c r="C82" s="4">
        <v>115000</v>
      </c>
      <c r="D82" s="10" t="s">
        <v>584</v>
      </c>
      <c r="E82" s="9" t="s">
        <v>585</v>
      </c>
      <c r="G82" s="26">
        <v>6</v>
      </c>
      <c r="H82" s="26">
        <v>24</v>
      </c>
      <c r="I82" s="4">
        <v>1</v>
      </c>
      <c r="J82" s="4">
        <v>504</v>
      </c>
      <c r="K82" s="4">
        <v>5</v>
      </c>
      <c r="L82" s="4">
        <v>2</v>
      </c>
      <c r="M82" s="4">
        <v>5</v>
      </c>
      <c r="N82" s="4">
        <v>0</v>
      </c>
      <c r="O82" s="4">
        <v>20</v>
      </c>
      <c r="P82" s="4">
        <v>999</v>
      </c>
      <c r="Q82" s="4">
        <v>0</v>
      </c>
      <c r="R82" s="4">
        <v>20</v>
      </c>
      <c r="S82" s="4">
        <v>666</v>
      </c>
      <c r="T82" s="4" t="s">
        <v>582</v>
      </c>
      <c r="U82" s="4">
        <v>32002</v>
      </c>
    </row>
    <row r="83" spans="1:21">
      <c r="A83" s="4">
        <v>109003</v>
      </c>
      <c r="B83" s="4" t="s">
        <v>586</v>
      </c>
      <c r="C83" s="4">
        <v>215000</v>
      </c>
      <c r="D83" s="10" t="s">
        <v>587</v>
      </c>
      <c r="E83" s="9" t="s">
        <v>588</v>
      </c>
      <c r="G83" s="26">
        <v>6</v>
      </c>
      <c r="H83" s="26">
        <v>24</v>
      </c>
      <c r="I83" s="4">
        <v>1</v>
      </c>
      <c r="J83" s="4">
        <v>504</v>
      </c>
      <c r="K83" s="4">
        <v>5</v>
      </c>
      <c r="L83" s="4">
        <v>2</v>
      </c>
      <c r="M83" s="4">
        <v>10</v>
      </c>
      <c r="N83" s="4">
        <v>0</v>
      </c>
      <c r="O83" s="4">
        <v>20</v>
      </c>
      <c r="P83" s="4">
        <v>999</v>
      </c>
      <c r="Q83" s="4">
        <v>0</v>
      </c>
      <c r="R83" s="4">
        <v>20</v>
      </c>
      <c r="S83" s="4">
        <v>666</v>
      </c>
      <c r="T83" s="4" t="s">
        <v>582</v>
      </c>
      <c r="U83" s="4">
        <v>32003</v>
      </c>
    </row>
    <row r="84" spans="1:21">
      <c r="A84" s="4">
        <v>109004</v>
      </c>
      <c r="B84" s="4" t="s">
        <v>589</v>
      </c>
      <c r="C84" s="4">
        <v>215000</v>
      </c>
      <c r="D84" s="10" t="s">
        <v>590</v>
      </c>
      <c r="E84" s="9" t="s">
        <v>591</v>
      </c>
      <c r="G84" s="26">
        <v>6</v>
      </c>
      <c r="H84" s="26">
        <v>24</v>
      </c>
      <c r="I84" s="4">
        <v>1</v>
      </c>
      <c r="J84" s="4">
        <v>504</v>
      </c>
      <c r="K84" s="4">
        <v>6</v>
      </c>
      <c r="L84" s="4">
        <v>2</v>
      </c>
      <c r="M84" s="4">
        <v>10</v>
      </c>
      <c r="N84" s="4">
        <v>0</v>
      </c>
      <c r="O84" s="4">
        <v>20</v>
      </c>
      <c r="P84" s="4">
        <v>999</v>
      </c>
      <c r="Q84" s="4">
        <v>0</v>
      </c>
      <c r="R84" s="4">
        <v>20</v>
      </c>
      <c r="S84" s="4">
        <v>666</v>
      </c>
      <c r="T84" s="4" t="s">
        <v>582</v>
      </c>
      <c r="U84" s="4">
        <v>32004</v>
      </c>
    </row>
    <row r="85" spans="1:21" s="24" customFormat="1">
      <c r="A85" s="51">
        <v>200001</v>
      </c>
      <c r="B85" s="51" t="s">
        <v>592</v>
      </c>
      <c r="C85" s="51">
        <v>25000</v>
      </c>
      <c r="D85" s="52" t="s">
        <v>593</v>
      </c>
      <c r="E85" s="53" t="s">
        <v>594</v>
      </c>
      <c r="F85" s="53"/>
      <c r="G85" s="54">
        <v>6</v>
      </c>
      <c r="H85" s="54">
        <v>24</v>
      </c>
      <c r="I85" s="51">
        <v>1</v>
      </c>
      <c r="J85" s="51">
        <v>810</v>
      </c>
      <c r="K85" s="51">
        <v>1</v>
      </c>
      <c r="L85" s="51">
        <v>2</v>
      </c>
      <c r="M85" s="51">
        <v>100</v>
      </c>
      <c r="N85" s="51">
        <v>0</v>
      </c>
      <c r="O85" s="51">
        <v>20</v>
      </c>
      <c r="P85" s="51">
        <v>999</v>
      </c>
      <c r="Q85" s="51">
        <v>0</v>
      </c>
      <c r="R85" s="51">
        <v>20</v>
      </c>
      <c r="S85" s="51">
        <v>888</v>
      </c>
      <c r="T85" s="51" t="s">
        <v>595</v>
      </c>
      <c r="U85" s="51">
        <v>33001</v>
      </c>
    </row>
    <row r="86" spans="1:21" s="24" customFormat="1">
      <c r="A86" s="51">
        <v>200002</v>
      </c>
      <c r="B86" s="51" t="s">
        <v>596</v>
      </c>
      <c r="C86" s="51">
        <v>45000</v>
      </c>
      <c r="D86" s="52" t="s">
        <v>597</v>
      </c>
      <c r="E86" s="53" t="s">
        <v>598</v>
      </c>
      <c r="F86" s="53"/>
      <c r="G86" s="54">
        <v>6</v>
      </c>
      <c r="H86" s="54">
        <v>24</v>
      </c>
      <c r="I86" s="51">
        <v>1</v>
      </c>
      <c r="J86" s="51">
        <v>810</v>
      </c>
      <c r="K86" s="51">
        <v>2</v>
      </c>
      <c r="L86" s="51">
        <v>2</v>
      </c>
      <c r="M86" s="51">
        <v>50</v>
      </c>
      <c r="N86" s="51">
        <v>0</v>
      </c>
      <c r="O86" s="51">
        <v>20</v>
      </c>
      <c r="P86" s="51">
        <v>999</v>
      </c>
      <c r="Q86" s="51">
        <v>0</v>
      </c>
      <c r="R86" s="51">
        <v>20</v>
      </c>
      <c r="S86" s="51">
        <v>888</v>
      </c>
      <c r="T86" s="51" t="s">
        <v>599</v>
      </c>
      <c r="U86" s="51">
        <v>33002</v>
      </c>
    </row>
    <row r="87" spans="1:21" s="24" customFormat="1">
      <c r="A87" s="51">
        <v>200003</v>
      </c>
      <c r="B87" s="51" t="s">
        <v>600</v>
      </c>
      <c r="C87" s="51">
        <v>115000</v>
      </c>
      <c r="D87" s="52" t="s">
        <v>601</v>
      </c>
      <c r="E87" s="53" t="s">
        <v>602</v>
      </c>
      <c r="F87" s="53"/>
      <c r="G87" s="54">
        <v>6</v>
      </c>
      <c r="H87" s="54">
        <v>24</v>
      </c>
      <c r="I87" s="51">
        <v>1</v>
      </c>
      <c r="J87" s="51">
        <v>810</v>
      </c>
      <c r="K87" s="51">
        <v>3</v>
      </c>
      <c r="L87" s="51">
        <v>2</v>
      </c>
      <c r="M87" s="51">
        <v>20</v>
      </c>
      <c r="N87" s="51">
        <v>0</v>
      </c>
      <c r="O87" s="51">
        <v>20</v>
      </c>
      <c r="P87" s="51">
        <v>999</v>
      </c>
      <c r="Q87" s="51">
        <v>0</v>
      </c>
      <c r="R87" s="51">
        <v>20</v>
      </c>
      <c r="S87" s="51">
        <v>888</v>
      </c>
      <c r="T87" s="51" t="s">
        <v>603</v>
      </c>
      <c r="U87" s="51">
        <v>33003</v>
      </c>
    </row>
    <row r="88" spans="1:21" s="24" customFormat="1">
      <c r="A88" s="51">
        <v>200004</v>
      </c>
      <c r="B88" s="51" t="s">
        <v>604</v>
      </c>
      <c r="C88" s="51">
        <v>215000</v>
      </c>
      <c r="D88" s="52" t="s">
        <v>605</v>
      </c>
      <c r="E88" s="53" t="s">
        <v>606</v>
      </c>
      <c r="F88" s="53"/>
      <c r="G88" s="54">
        <v>6</v>
      </c>
      <c r="H88" s="54">
        <v>24</v>
      </c>
      <c r="I88" s="51">
        <v>1</v>
      </c>
      <c r="J88" s="51">
        <v>810</v>
      </c>
      <c r="K88" s="51">
        <v>4</v>
      </c>
      <c r="L88" s="51">
        <v>2</v>
      </c>
      <c r="M88" s="51">
        <v>10</v>
      </c>
      <c r="N88" s="51">
        <v>0</v>
      </c>
      <c r="O88" s="51">
        <v>20</v>
      </c>
      <c r="P88" s="51">
        <v>999</v>
      </c>
      <c r="Q88" s="51">
        <v>0</v>
      </c>
      <c r="R88" s="51">
        <v>20</v>
      </c>
      <c r="S88" s="51">
        <v>888</v>
      </c>
      <c r="T88" s="51" t="s">
        <v>607</v>
      </c>
      <c r="U88" s="51">
        <v>33004</v>
      </c>
    </row>
    <row r="89" spans="1:21" s="24" customFormat="1">
      <c r="A89" s="51">
        <v>201001</v>
      </c>
      <c r="B89" s="51" t="s">
        <v>608</v>
      </c>
      <c r="C89" s="51">
        <v>45000</v>
      </c>
      <c r="D89" s="52" t="s">
        <v>609</v>
      </c>
      <c r="E89" s="53" t="s">
        <v>610</v>
      </c>
      <c r="F89" s="53"/>
      <c r="G89" s="54">
        <v>6</v>
      </c>
      <c r="H89" s="54">
        <v>24</v>
      </c>
      <c r="I89" s="51">
        <v>1</v>
      </c>
      <c r="J89" s="51">
        <v>811</v>
      </c>
      <c r="K89" s="51"/>
      <c r="L89" s="51">
        <v>2</v>
      </c>
      <c r="M89" s="51">
        <v>50</v>
      </c>
      <c r="N89" s="51">
        <v>0</v>
      </c>
      <c r="O89" s="51">
        <v>20</v>
      </c>
      <c r="P89" s="51">
        <v>999</v>
      </c>
      <c r="Q89" s="51">
        <v>0</v>
      </c>
      <c r="R89" s="51">
        <v>20</v>
      </c>
      <c r="S89" s="51">
        <v>888</v>
      </c>
      <c r="T89" s="51" t="s">
        <v>611</v>
      </c>
      <c r="U89" s="51">
        <v>34001</v>
      </c>
    </row>
    <row r="90" spans="1:21" s="25" customFormat="1">
      <c r="A90" s="25">
        <v>210001</v>
      </c>
      <c r="B90" s="25" t="s">
        <v>612</v>
      </c>
      <c r="C90" s="25" t="s">
        <v>316</v>
      </c>
      <c r="D90" s="25" t="s">
        <v>613</v>
      </c>
      <c r="E90" s="25" t="s">
        <v>614</v>
      </c>
      <c r="G90" s="25">
        <v>6</v>
      </c>
      <c r="H90" s="25" t="s">
        <v>615</v>
      </c>
      <c r="I90" s="25" t="s">
        <v>70</v>
      </c>
      <c r="J90" s="25" t="s">
        <v>616</v>
      </c>
      <c r="L90" s="25" t="s">
        <v>73</v>
      </c>
      <c r="M90" s="25">
        <v>90</v>
      </c>
      <c r="N90" s="25" t="s">
        <v>67</v>
      </c>
      <c r="O90" s="25" t="s">
        <v>617</v>
      </c>
      <c r="P90" s="25" t="s">
        <v>618</v>
      </c>
      <c r="Q90" s="25" t="s">
        <v>67</v>
      </c>
      <c r="R90" s="25">
        <v>20</v>
      </c>
      <c r="S90" s="25" t="s">
        <v>619</v>
      </c>
      <c r="T90" s="25" t="s">
        <v>620</v>
      </c>
      <c r="U90" s="25">
        <v>46001</v>
      </c>
    </row>
    <row r="91" spans="1:21" s="25" customFormat="1">
      <c r="A91" s="25">
        <v>210002</v>
      </c>
      <c r="B91" s="25" t="s">
        <v>621</v>
      </c>
      <c r="C91" s="25" t="s">
        <v>622</v>
      </c>
      <c r="D91" s="25" t="s">
        <v>623</v>
      </c>
      <c r="E91" s="25" t="s">
        <v>624</v>
      </c>
      <c r="G91" s="25">
        <v>6</v>
      </c>
      <c r="H91" s="25" t="s">
        <v>615</v>
      </c>
      <c r="I91" s="25" t="s">
        <v>70</v>
      </c>
      <c r="J91" s="25" t="s">
        <v>616</v>
      </c>
      <c r="L91" s="25" t="s">
        <v>73</v>
      </c>
      <c r="M91" s="25">
        <v>100</v>
      </c>
      <c r="N91" s="25" t="s">
        <v>67</v>
      </c>
      <c r="O91" s="25" t="s">
        <v>625</v>
      </c>
      <c r="P91" s="25" t="s">
        <v>626</v>
      </c>
      <c r="Q91" s="25" t="s">
        <v>67</v>
      </c>
      <c r="R91" s="25">
        <v>20</v>
      </c>
      <c r="S91" s="25" t="s">
        <v>619</v>
      </c>
      <c r="T91" s="25" t="s">
        <v>627</v>
      </c>
      <c r="U91" s="25">
        <v>46002</v>
      </c>
    </row>
    <row r="92" spans="1:21" s="25" customFormat="1">
      <c r="A92" s="25">
        <v>210003</v>
      </c>
      <c r="B92" s="25" t="s">
        <v>628</v>
      </c>
      <c r="C92" s="25" t="s">
        <v>316</v>
      </c>
      <c r="D92" s="25" t="s">
        <v>448</v>
      </c>
      <c r="E92" s="25" t="s">
        <v>449</v>
      </c>
      <c r="G92" s="25">
        <v>6</v>
      </c>
      <c r="H92" s="25" t="s">
        <v>615</v>
      </c>
      <c r="I92" s="25" t="s">
        <v>70</v>
      </c>
      <c r="J92" s="25" t="s">
        <v>616</v>
      </c>
      <c r="L92" s="25" t="s">
        <v>73</v>
      </c>
      <c r="M92" s="25">
        <v>105</v>
      </c>
      <c r="N92" s="25" t="s">
        <v>67</v>
      </c>
      <c r="O92" s="25" t="s">
        <v>629</v>
      </c>
      <c r="P92" s="25" t="s">
        <v>630</v>
      </c>
      <c r="Q92" s="25" t="s">
        <v>67</v>
      </c>
      <c r="R92" s="25">
        <v>20</v>
      </c>
      <c r="S92" s="25" t="s">
        <v>619</v>
      </c>
      <c r="T92" s="25" t="s">
        <v>631</v>
      </c>
      <c r="U92" s="25">
        <v>46003</v>
      </c>
    </row>
    <row r="93" spans="1:21" s="25" customFormat="1">
      <c r="A93" s="25">
        <v>210004</v>
      </c>
      <c r="B93" s="25" t="s">
        <v>632</v>
      </c>
      <c r="C93" s="25" t="s">
        <v>316</v>
      </c>
      <c r="D93" s="25" t="s">
        <v>448</v>
      </c>
      <c r="E93" s="25" t="s">
        <v>449</v>
      </c>
      <c r="G93" s="25">
        <v>6</v>
      </c>
      <c r="H93" s="25" t="s">
        <v>615</v>
      </c>
      <c r="I93" s="25" t="s">
        <v>70</v>
      </c>
      <c r="J93" s="25" t="s">
        <v>616</v>
      </c>
      <c r="L93" s="25" t="s">
        <v>73</v>
      </c>
      <c r="M93" s="25">
        <v>110</v>
      </c>
      <c r="N93" s="25" t="s">
        <v>67</v>
      </c>
      <c r="O93" s="25" t="s">
        <v>633</v>
      </c>
      <c r="P93" s="25" t="s">
        <v>634</v>
      </c>
      <c r="Q93" s="25" t="s">
        <v>67</v>
      </c>
      <c r="R93" s="25">
        <v>20</v>
      </c>
      <c r="S93" s="25" t="s">
        <v>619</v>
      </c>
      <c r="T93" s="25" t="s">
        <v>635</v>
      </c>
      <c r="U93" s="25">
        <v>46004</v>
      </c>
    </row>
    <row r="94" spans="1:21" s="25" customFormat="1">
      <c r="A94" s="25">
        <v>210005</v>
      </c>
      <c r="B94" s="25" t="s">
        <v>636</v>
      </c>
      <c r="C94" s="25" t="s">
        <v>622</v>
      </c>
      <c r="D94" s="25" t="s">
        <v>637</v>
      </c>
      <c r="E94" s="25" t="s">
        <v>638</v>
      </c>
      <c r="G94" s="25">
        <v>6</v>
      </c>
      <c r="H94" s="25" t="s">
        <v>615</v>
      </c>
      <c r="I94" s="25" t="s">
        <v>70</v>
      </c>
      <c r="J94" s="25" t="s">
        <v>616</v>
      </c>
      <c r="L94" s="25" t="s">
        <v>73</v>
      </c>
      <c r="M94" s="25">
        <v>115</v>
      </c>
      <c r="N94" s="25" t="s">
        <v>67</v>
      </c>
      <c r="O94" s="25" t="s">
        <v>639</v>
      </c>
      <c r="P94" s="25" t="s">
        <v>640</v>
      </c>
      <c r="Q94" s="25" t="s">
        <v>67</v>
      </c>
      <c r="R94" s="25">
        <v>20</v>
      </c>
      <c r="S94" s="25" t="s">
        <v>619</v>
      </c>
      <c r="T94" s="25" t="s">
        <v>641</v>
      </c>
      <c r="U94" s="25">
        <v>46005</v>
      </c>
    </row>
    <row r="95" spans="1:21" s="23" customFormat="1">
      <c r="A95" s="47">
        <v>210006</v>
      </c>
      <c r="B95" s="47" t="s">
        <v>642</v>
      </c>
      <c r="C95" s="47" t="s">
        <v>622</v>
      </c>
      <c r="D95" s="31" t="s">
        <v>643</v>
      </c>
      <c r="E95" s="47" t="s">
        <v>644</v>
      </c>
      <c r="F95" s="47"/>
      <c r="G95" s="47">
        <v>6</v>
      </c>
      <c r="H95" s="23">
        <v>24</v>
      </c>
      <c r="I95" s="47">
        <v>1</v>
      </c>
      <c r="J95" s="47">
        <v>201</v>
      </c>
      <c r="K95" s="46"/>
      <c r="L95" s="47">
        <v>2</v>
      </c>
      <c r="M95" s="47" t="s">
        <v>645</v>
      </c>
      <c r="N95" s="47">
        <v>0</v>
      </c>
      <c r="O95" s="47" t="s">
        <v>645</v>
      </c>
      <c r="P95" s="47" t="s">
        <v>646</v>
      </c>
      <c r="Q95" s="47">
        <v>0</v>
      </c>
      <c r="R95" s="47">
        <v>20</v>
      </c>
      <c r="S95" s="47">
        <v>888</v>
      </c>
      <c r="T95" s="47" t="s">
        <v>647</v>
      </c>
      <c r="U95" s="47">
        <v>46006</v>
      </c>
    </row>
    <row r="96" spans="1:21" s="23" customFormat="1">
      <c r="A96" s="47">
        <v>210007</v>
      </c>
      <c r="B96" s="47" t="s">
        <v>648</v>
      </c>
      <c r="C96" s="47" t="s">
        <v>622</v>
      </c>
      <c r="D96" s="31" t="s">
        <v>464</v>
      </c>
      <c r="E96" s="47" t="s">
        <v>649</v>
      </c>
      <c r="F96" s="47"/>
      <c r="G96" s="47">
        <v>6</v>
      </c>
      <c r="H96" s="23">
        <v>24</v>
      </c>
      <c r="I96" s="47">
        <v>1</v>
      </c>
      <c r="J96" s="47">
        <v>201</v>
      </c>
      <c r="K96" s="46"/>
      <c r="L96" s="47">
        <v>2</v>
      </c>
      <c r="M96" s="47">
        <v>125</v>
      </c>
      <c r="N96" s="47">
        <v>0</v>
      </c>
      <c r="O96" s="47" t="s">
        <v>650</v>
      </c>
      <c r="P96" s="47" t="s">
        <v>651</v>
      </c>
      <c r="Q96" s="47">
        <v>0</v>
      </c>
      <c r="R96" s="47">
        <v>20</v>
      </c>
      <c r="S96" s="47">
        <v>888</v>
      </c>
      <c r="T96" s="47" t="s">
        <v>652</v>
      </c>
      <c r="U96" s="47">
        <v>46007</v>
      </c>
    </row>
    <row r="97" spans="1:21" s="23" customFormat="1">
      <c r="A97" s="47">
        <v>210008</v>
      </c>
      <c r="B97" s="47" t="s">
        <v>653</v>
      </c>
      <c r="C97" s="47" t="s">
        <v>622</v>
      </c>
      <c r="D97" s="31" t="s">
        <v>454</v>
      </c>
      <c r="E97" s="47" t="s">
        <v>467</v>
      </c>
      <c r="F97" s="47"/>
      <c r="G97" s="47">
        <v>6</v>
      </c>
      <c r="H97" s="23">
        <v>24</v>
      </c>
      <c r="I97" s="47">
        <v>1</v>
      </c>
      <c r="J97" s="47">
        <v>201</v>
      </c>
      <c r="K97" s="46"/>
      <c r="L97" s="47">
        <v>2</v>
      </c>
      <c r="M97" s="47">
        <v>130</v>
      </c>
      <c r="N97" s="47">
        <v>0</v>
      </c>
      <c r="O97" s="47" t="s">
        <v>654</v>
      </c>
      <c r="P97" s="47">
        <v>999</v>
      </c>
      <c r="Q97" s="47">
        <v>0</v>
      </c>
      <c r="R97" s="47">
        <v>20</v>
      </c>
      <c r="S97" s="47">
        <v>888</v>
      </c>
      <c r="T97" s="47" t="s">
        <v>655</v>
      </c>
      <c r="U97" s="47">
        <v>46008</v>
      </c>
    </row>
    <row r="98" spans="1:21" s="21" customFormat="1">
      <c r="A98" s="39" t="s">
        <v>656</v>
      </c>
      <c r="B98" s="39" t="s">
        <v>657</v>
      </c>
      <c r="C98" s="39" t="s">
        <v>622</v>
      </c>
      <c r="D98" s="39" t="s">
        <v>454</v>
      </c>
      <c r="E98" s="39" t="s">
        <v>467</v>
      </c>
      <c r="F98" s="39"/>
      <c r="G98" s="39">
        <v>6</v>
      </c>
      <c r="H98" s="21">
        <v>24</v>
      </c>
      <c r="I98" s="39">
        <v>1</v>
      </c>
      <c r="J98" s="39" t="s">
        <v>658</v>
      </c>
      <c r="K98" s="38">
        <v>200</v>
      </c>
      <c r="L98" s="39">
        <v>2</v>
      </c>
      <c r="M98" s="39" t="s">
        <v>70</v>
      </c>
      <c r="N98" s="39">
        <v>0</v>
      </c>
      <c r="O98" s="39">
        <v>20</v>
      </c>
      <c r="P98" s="39">
        <v>999</v>
      </c>
      <c r="Q98" s="39">
        <v>0</v>
      </c>
      <c r="R98" s="39">
        <v>20</v>
      </c>
      <c r="S98" s="39">
        <v>888</v>
      </c>
      <c r="T98" s="39" t="s">
        <v>659</v>
      </c>
      <c r="U98" s="39">
        <v>46101</v>
      </c>
    </row>
    <row r="99" spans="1:21" s="18" customFormat="1">
      <c r="A99" s="16" t="s">
        <v>660</v>
      </c>
      <c r="B99" s="16" t="s">
        <v>661</v>
      </c>
      <c r="C99" s="16" t="s">
        <v>622</v>
      </c>
      <c r="D99" s="16" t="s">
        <v>662</v>
      </c>
      <c r="E99" s="16" t="s">
        <v>663</v>
      </c>
      <c r="F99" s="16" t="s">
        <v>664</v>
      </c>
      <c r="G99" s="16">
        <v>6</v>
      </c>
      <c r="H99" s="18">
        <v>24</v>
      </c>
      <c r="I99" s="16">
        <v>1</v>
      </c>
      <c r="J99" s="16" t="s">
        <v>665</v>
      </c>
      <c r="K99" s="27">
        <v>102106</v>
      </c>
      <c r="L99" s="16">
        <v>2</v>
      </c>
      <c r="M99" s="16" t="s">
        <v>70</v>
      </c>
      <c r="N99" s="16">
        <v>0</v>
      </c>
      <c r="O99" s="16">
        <v>20</v>
      </c>
      <c r="P99" s="16">
        <v>999</v>
      </c>
      <c r="Q99" s="16">
        <v>0</v>
      </c>
      <c r="R99" s="16">
        <v>20</v>
      </c>
      <c r="S99" s="16">
        <v>888</v>
      </c>
      <c r="T99" s="16" t="s">
        <v>666</v>
      </c>
      <c r="U99" s="16">
        <v>46201</v>
      </c>
    </row>
    <row r="100" spans="1:21" s="18" customFormat="1">
      <c r="A100" s="16" t="s">
        <v>667</v>
      </c>
      <c r="B100" s="16" t="s">
        <v>661</v>
      </c>
      <c r="C100" s="16" t="s">
        <v>622</v>
      </c>
      <c r="D100" s="16" t="s">
        <v>668</v>
      </c>
      <c r="E100" s="16" t="s">
        <v>669</v>
      </c>
      <c r="F100" s="16" t="s">
        <v>670</v>
      </c>
      <c r="G100" s="16">
        <v>6</v>
      </c>
      <c r="H100" s="18">
        <v>24</v>
      </c>
      <c r="I100" s="16">
        <v>1</v>
      </c>
      <c r="J100" s="16" t="s">
        <v>665</v>
      </c>
      <c r="K100" s="27">
        <v>201706</v>
      </c>
      <c r="L100" s="16">
        <v>2</v>
      </c>
      <c r="M100" s="16" t="s">
        <v>70</v>
      </c>
      <c r="N100" s="16">
        <v>0</v>
      </c>
      <c r="O100" s="16">
        <v>20</v>
      </c>
      <c r="P100" s="16">
        <v>999</v>
      </c>
      <c r="Q100" s="16">
        <v>0</v>
      </c>
      <c r="R100" s="16">
        <v>20</v>
      </c>
      <c r="S100" s="16">
        <v>888</v>
      </c>
      <c r="T100" s="16" t="s">
        <v>666</v>
      </c>
      <c r="U100" s="16">
        <v>46202</v>
      </c>
    </row>
    <row r="101" spans="1:21" s="18" customFormat="1">
      <c r="A101" s="16" t="s">
        <v>671</v>
      </c>
      <c r="B101" s="16" t="s">
        <v>661</v>
      </c>
      <c r="C101" s="16" t="s">
        <v>622</v>
      </c>
      <c r="D101" s="16" t="s">
        <v>672</v>
      </c>
      <c r="E101" s="16" t="s">
        <v>673</v>
      </c>
      <c r="F101" s="16" t="s">
        <v>674</v>
      </c>
      <c r="G101" s="16">
        <v>6</v>
      </c>
      <c r="H101" s="18">
        <v>24</v>
      </c>
      <c r="I101" s="16">
        <v>1</v>
      </c>
      <c r="J101" s="16" t="s">
        <v>665</v>
      </c>
      <c r="K101" s="27">
        <v>301406</v>
      </c>
      <c r="L101" s="16">
        <v>2</v>
      </c>
      <c r="M101" s="16" t="s">
        <v>70</v>
      </c>
      <c r="N101" s="16">
        <v>0</v>
      </c>
      <c r="O101" s="16">
        <v>20</v>
      </c>
      <c r="P101" s="16">
        <v>999</v>
      </c>
      <c r="Q101" s="16">
        <v>0</v>
      </c>
      <c r="R101" s="16">
        <v>20</v>
      </c>
      <c r="S101" s="16">
        <v>888</v>
      </c>
      <c r="T101" s="16" t="s">
        <v>666</v>
      </c>
      <c r="U101" s="16">
        <v>46203</v>
      </c>
    </row>
    <row r="102" spans="1:21" s="18" customFormat="1">
      <c r="A102" s="16" t="s">
        <v>675</v>
      </c>
      <c r="B102" s="16" t="s">
        <v>661</v>
      </c>
      <c r="C102" s="16" t="s">
        <v>622</v>
      </c>
      <c r="D102" s="16" t="s">
        <v>676</v>
      </c>
      <c r="E102" s="16" t="s">
        <v>677</v>
      </c>
      <c r="F102" s="16" t="s">
        <v>678</v>
      </c>
      <c r="G102" s="16">
        <v>6</v>
      </c>
      <c r="H102" s="18">
        <v>24</v>
      </c>
      <c r="I102" s="16">
        <v>1</v>
      </c>
      <c r="J102" s="16" t="s">
        <v>665</v>
      </c>
      <c r="K102" s="27">
        <v>400606</v>
      </c>
      <c r="L102" s="16">
        <v>2</v>
      </c>
      <c r="M102" s="16" t="s">
        <v>70</v>
      </c>
      <c r="N102" s="16">
        <v>0</v>
      </c>
      <c r="O102" s="16">
        <v>20</v>
      </c>
      <c r="P102" s="16">
        <v>999</v>
      </c>
      <c r="Q102" s="16">
        <v>0</v>
      </c>
      <c r="R102" s="16">
        <v>20</v>
      </c>
      <c r="S102" s="16">
        <v>888</v>
      </c>
      <c r="T102" s="16" t="s">
        <v>666</v>
      </c>
      <c r="U102" s="16">
        <v>46204</v>
      </c>
    </row>
    <row r="103" spans="1:21" s="18" customFormat="1">
      <c r="A103" s="16" t="s">
        <v>679</v>
      </c>
      <c r="B103" s="16" t="s">
        <v>661</v>
      </c>
      <c r="C103" s="16" t="s">
        <v>622</v>
      </c>
      <c r="D103" s="16" t="s">
        <v>680</v>
      </c>
      <c r="E103" s="16" t="s">
        <v>681</v>
      </c>
      <c r="F103" s="16" t="s">
        <v>682</v>
      </c>
      <c r="G103" s="16">
        <v>6</v>
      </c>
      <c r="H103" s="18">
        <v>24</v>
      </c>
      <c r="I103" s="16">
        <v>1</v>
      </c>
      <c r="J103" s="16" t="s">
        <v>665</v>
      </c>
      <c r="K103" s="27">
        <v>501206</v>
      </c>
      <c r="L103" s="16">
        <v>2</v>
      </c>
      <c r="M103" s="16" t="s">
        <v>70</v>
      </c>
      <c r="N103" s="16">
        <v>0</v>
      </c>
      <c r="O103" s="16">
        <v>20</v>
      </c>
      <c r="P103" s="16">
        <v>999</v>
      </c>
      <c r="Q103" s="16">
        <v>0</v>
      </c>
      <c r="R103" s="16">
        <v>20</v>
      </c>
      <c r="S103" s="16">
        <v>888</v>
      </c>
      <c r="T103" s="16" t="s">
        <v>666</v>
      </c>
      <c r="U103" s="16">
        <v>46205</v>
      </c>
    </row>
    <row r="104" spans="1:21" s="18" customFormat="1">
      <c r="A104" s="16" t="s">
        <v>683</v>
      </c>
      <c r="B104" s="16" t="s">
        <v>661</v>
      </c>
      <c r="C104" s="16" t="s">
        <v>622</v>
      </c>
      <c r="D104" s="16" t="s">
        <v>684</v>
      </c>
      <c r="E104" s="16" t="s">
        <v>685</v>
      </c>
      <c r="F104" s="16" t="s">
        <v>686</v>
      </c>
      <c r="G104" s="16">
        <v>6</v>
      </c>
      <c r="H104" s="18">
        <v>24</v>
      </c>
      <c r="I104" s="16">
        <v>1</v>
      </c>
      <c r="J104" s="16" t="s">
        <v>665</v>
      </c>
      <c r="K104" s="27">
        <v>101706</v>
      </c>
      <c r="L104" s="16">
        <v>2</v>
      </c>
      <c r="M104" s="16" t="s">
        <v>70</v>
      </c>
      <c r="N104" s="16">
        <v>0</v>
      </c>
      <c r="O104" s="16">
        <v>20</v>
      </c>
      <c r="P104" s="16">
        <v>999</v>
      </c>
      <c r="Q104" s="16">
        <v>0</v>
      </c>
      <c r="R104" s="16">
        <v>20</v>
      </c>
      <c r="S104" s="16">
        <v>888</v>
      </c>
      <c r="T104" s="16" t="s">
        <v>666</v>
      </c>
      <c r="U104" s="16">
        <v>46206</v>
      </c>
    </row>
    <row r="105" spans="1:21" s="18" customFormat="1">
      <c r="A105" s="16" t="s">
        <v>687</v>
      </c>
      <c r="B105" s="16" t="s">
        <v>661</v>
      </c>
      <c r="C105" s="16" t="s">
        <v>622</v>
      </c>
      <c r="D105" s="16" t="s">
        <v>688</v>
      </c>
      <c r="E105" s="16" t="s">
        <v>689</v>
      </c>
      <c r="F105" s="16" t="s">
        <v>690</v>
      </c>
      <c r="G105" s="16">
        <v>6</v>
      </c>
      <c r="H105" s="18">
        <v>24</v>
      </c>
      <c r="I105" s="16">
        <v>1</v>
      </c>
      <c r="J105" s="16" t="s">
        <v>665</v>
      </c>
      <c r="K105" s="27">
        <v>201406</v>
      </c>
      <c r="L105" s="16">
        <v>2</v>
      </c>
      <c r="M105" s="16" t="s">
        <v>70</v>
      </c>
      <c r="N105" s="16">
        <v>0</v>
      </c>
      <c r="O105" s="16">
        <v>20</v>
      </c>
      <c r="P105" s="16">
        <v>999</v>
      </c>
      <c r="Q105" s="16">
        <v>0</v>
      </c>
      <c r="R105" s="16">
        <v>20</v>
      </c>
      <c r="S105" s="16">
        <v>888</v>
      </c>
      <c r="T105" s="16" t="s">
        <v>666</v>
      </c>
      <c r="U105" s="16">
        <v>46207</v>
      </c>
    </row>
    <row r="106" spans="1:21" s="18" customFormat="1">
      <c r="A106" s="16" t="s">
        <v>691</v>
      </c>
      <c r="B106" s="16" t="s">
        <v>661</v>
      </c>
      <c r="C106" s="16" t="s">
        <v>622</v>
      </c>
      <c r="D106" s="16" t="s">
        <v>692</v>
      </c>
      <c r="E106" s="16" t="s">
        <v>693</v>
      </c>
      <c r="F106" s="16" t="s">
        <v>694</v>
      </c>
      <c r="G106" s="16">
        <v>6</v>
      </c>
      <c r="H106" s="18">
        <v>24</v>
      </c>
      <c r="I106" s="16">
        <v>1</v>
      </c>
      <c r="J106" s="16" t="s">
        <v>665</v>
      </c>
      <c r="K106" s="27">
        <v>301506</v>
      </c>
      <c r="L106" s="16">
        <v>2</v>
      </c>
      <c r="M106" s="16" t="s">
        <v>70</v>
      </c>
      <c r="N106" s="16">
        <v>0</v>
      </c>
      <c r="O106" s="16">
        <v>20</v>
      </c>
      <c r="P106" s="16">
        <v>999</v>
      </c>
      <c r="Q106" s="16">
        <v>0</v>
      </c>
      <c r="R106" s="16">
        <v>20</v>
      </c>
      <c r="S106" s="16">
        <v>888</v>
      </c>
      <c r="T106" s="16" t="s">
        <v>666</v>
      </c>
      <c r="U106" s="16">
        <v>46208</v>
      </c>
    </row>
    <row r="107" spans="1:21" s="18" customFormat="1">
      <c r="A107" s="16" t="s">
        <v>695</v>
      </c>
      <c r="B107" s="16" t="s">
        <v>661</v>
      </c>
      <c r="C107" s="16" t="s">
        <v>622</v>
      </c>
      <c r="D107" s="16" t="s">
        <v>696</v>
      </c>
      <c r="E107" s="16" t="s">
        <v>697</v>
      </c>
      <c r="F107" s="16" t="s">
        <v>698</v>
      </c>
      <c r="G107" s="16">
        <v>6</v>
      </c>
      <c r="H107" s="18">
        <v>24</v>
      </c>
      <c r="I107" s="16">
        <v>1</v>
      </c>
      <c r="J107" s="16" t="s">
        <v>665</v>
      </c>
      <c r="K107" s="27">
        <v>400706</v>
      </c>
      <c r="L107" s="16">
        <v>2</v>
      </c>
      <c r="M107" s="16" t="s">
        <v>70</v>
      </c>
      <c r="N107" s="16">
        <v>0</v>
      </c>
      <c r="O107" s="16">
        <v>20</v>
      </c>
      <c r="P107" s="16">
        <v>999</v>
      </c>
      <c r="Q107" s="16">
        <v>0</v>
      </c>
      <c r="R107" s="16">
        <v>20</v>
      </c>
      <c r="S107" s="16">
        <v>888</v>
      </c>
      <c r="T107" s="16" t="s">
        <v>666</v>
      </c>
      <c r="U107" s="16">
        <v>46209</v>
      </c>
    </row>
    <row r="108" spans="1:21" s="18" customFormat="1">
      <c r="A108" s="16" t="s">
        <v>699</v>
      </c>
      <c r="B108" s="16" t="s">
        <v>661</v>
      </c>
      <c r="C108" s="16" t="s">
        <v>622</v>
      </c>
      <c r="D108" s="16" t="s">
        <v>700</v>
      </c>
      <c r="E108" s="16" t="s">
        <v>701</v>
      </c>
      <c r="F108" s="16" t="s">
        <v>702</v>
      </c>
      <c r="G108" s="16">
        <v>6</v>
      </c>
      <c r="H108" s="18">
        <v>24</v>
      </c>
      <c r="I108" s="16">
        <v>1</v>
      </c>
      <c r="J108" s="16" t="s">
        <v>665</v>
      </c>
      <c r="K108" s="27">
        <v>500706</v>
      </c>
      <c r="L108" s="16">
        <v>2</v>
      </c>
      <c r="M108" s="16" t="s">
        <v>70</v>
      </c>
      <c r="N108" s="16">
        <v>0</v>
      </c>
      <c r="O108" s="16">
        <v>20</v>
      </c>
      <c r="P108" s="16">
        <v>999</v>
      </c>
      <c r="Q108" s="16">
        <v>0</v>
      </c>
      <c r="R108" s="16">
        <v>20</v>
      </c>
      <c r="S108" s="16">
        <v>888</v>
      </c>
      <c r="T108" s="16" t="s">
        <v>666</v>
      </c>
      <c r="U108" s="16">
        <v>46210</v>
      </c>
    </row>
    <row r="109" spans="1:21" s="18" customFormat="1">
      <c r="A109" s="16" t="s">
        <v>703</v>
      </c>
      <c r="B109" s="16" t="s">
        <v>661</v>
      </c>
      <c r="C109" s="16" t="s">
        <v>622</v>
      </c>
      <c r="D109" s="16" t="s">
        <v>704</v>
      </c>
      <c r="E109" s="16" t="s">
        <v>705</v>
      </c>
      <c r="F109" s="16" t="s">
        <v>706</v>
      </c>
      <c r="G109" s="16">
        <v>6</v>
      </c>
      <c r="H109" s="18">
        <v>24</v>
      </c>
      <c r="I109" s="16">
        <v>1</v>
      </c>
      <c r="J109" s="16" t="s">
        <v>665</v>
      </c>
      <c r="K109" s="27">
        <v>101606</v>
      </c>
      <c r="L109" s="16">
        <v>2</v>
      </c>
      <c r="M109" s="16" t="s">
        <v>70</v>
      </c>
      <c r="N109" s="16">
        <v>0</v>
      </c>
      <c r="O109" s="16">
        <v>20</v>
      </c>
      <c r="P109" s="16">
        <v>999</v>
      </c>
      <c r="Q109" s="16">
        <v>0</v>
      </c>
      <c r="R109" s="16">
        <v>20</v>
      </c>
      <c r="S109" s="16">
        <v>888</v>
      </c>
      <c r="T109" s="16" t="s">
        <v>666</v>
      </c>
      <c r="U109" s="16">
        <v>46211</v>
      </c>
    </row>
    <row r="110" spans="1:21" s="18" customFormat="1">
      <c r="A110" s="16" t="s">
        <v>707</v>
      </c>
      <c r="B110" s="16" t="s">
        <v>661</v>
      </c>
      <c r="C110" s="16" t="s">
        <v>622</v>
      </c>
      <c r="D110" s="16" t="s">
        <v>708</v>
      </c>
      <c r="E110" s="16" t="s">
        <v>709</v>
      </c>
      <c r="F110" s="16" t="s">
        <v>710</v>
      </c>
      <c r="G110" s="16">
        <v>6</v>
      </c>
      <c r="H110" s="18">
        <v>24</v>
      </c>
      <c r="I110" s="16">
        <v>1</v>
      </c>
      <c r="J110" s="16" t="s">
        <v>665</v>
      </c>
      <c r="K110" s="27">
        <v>401206</v>
      </c>
      <c r="L110" s="16">
        <v>2</v>
      </c>
      <c r="M110" s="16" t="s">
        <v>70</v>
      </c>
      <c r="N110" s="16">
        <v>0</v>
      </c>
      <c r="O110" s="16">
        <v>20</v>
      </c>
      <c r="P110" s="16">
        <v>999</v>
      </c>
      <c r="Q110" s="16">
        <v>0</v>
      </c>
      <c r="R110" s="16">
        <v>20</v>
      </c>
      <c r="S110" s="16">
        <v>888</v>
      </c>
      <c r="T110" s="16" t="s">
        <v>666</v>
      </c>
      <c r="U110" s="16">
        <v>46212</v>
      </c>
    </row>
    <row r="111" spans="1:21" s="18" customFormat="1">
      <c r="A111" s="16" t="s">
        <v>711</v>
      </c>
      <c r="B111" s="16" t="s">
        <v>661</v>
      </c>
      <c r="C111" s="16" t="s">
        <v>622</v>
      </c>
      <c r="D111" s="16" t="s">
        <v>712</v>
      </c>
      <c r="E111" s="16" t="s">
        <v>713</v>
      </c>
      <c r="F111" s="16" t="s">
        <v>714</v>
      </c>
      <c r="G111" s="16">
        <v>6</v>
      </c>
      <c r="H111" s="18">
        <v>24</v>
      </c>
      <c r="I111" s="16">
        <v>1</v>
      </c>
      <c r="J111" s="16" t="s">
        <v>665</v>
      </c>
      <c r="K111" s="27">
        <v>102006</v>
      </c>
      <c r="L111" s="16">
        <v>2</v>
      </c>
      <c r="M111" s="16" t="s">
        <v>70</v>
      </c>
      <c r="N111" s="16">
        <v>0</v>
      </c>
      <c r="O111" s="16">
        <v>20</v>
      </c>
      <c r="P111" s="16">
        <v>999</v>
      </c>
      <c r="Q111" s="16">
        <v>0</v>
      </c>
      <c r="R111" s="16">
        <v>20</v>
      </c>
      <c r="S111" s="16">
        <v>888</v>
      </c>
      <c r="T111" s="16" t="s">
        <v>666</v>
      </c>
      <c r="U111" s="16">
        <v>46213</v>
      </c>
    </row>
    <row r="112" spans="1:21" s="18" customFormat="1">
      <c r="A112" s="16" t="s">
        <v>715</v>
      </c>
      <c r="B112" s="16" t="s">
        <v>661</v>
      </c>
      <c r="C112" s="16" t="s">
        <v>622</v>
      </c>
      <c r="D112" s="16" t="s">
        <v>716</v>
      </c>
      <c r="E112" s="16" t="s">
        <v>717</v>
      </c>
      <c r="F112" s="16" t="s">
        <v>718</v>
      </c>
      <c r="G112" s="16">
        <v>6</v>
      </c>
      <c r="H112" s="18">
        <v>24</v>
      </c>
      <c r="I112" s="16">
        <v>1</v>
      </c>
      <c r="J112" s="16" t="s">
        <v>665</v>
      </c>
      <c r="K112" s="27">
        <v>500606</v>
      </c>
      <c r="L112" s="16">
        <v>2</v>
      </c>
      <c r="M112" s="16" t="s">
        <v>70</v>
      </c>
      <c r="N112" s="16">
        <v>0</v>
      </c>
      <c r="O112" s="16">
        <v>20</v>
      </c>
      <c r="P112" s="16">
        <v>999</v>
      </c>
      <c r="Q112" s="16">
        <v>0</v>
      </c>
      <c r="R112" s="16">
        <v>20</v>
      </c>
      <c r="S112" s="16">
        <v>888</v>
      </c>
      <c r="T112" s="16" t="s">
        <v>666</v>
      </c>
      <c r="U112" s="16">
        <v>46214</v>
      </c>
    </row>
    <row r="113" spans="1:21" s="18" customFormat="1">
      <c r="A113" s="16" t="s">
        <v>719</v>
      </c>
      <c r="B113" s="16" t="s">
        <v>661</v>
      </c>
      <c r="C113" s="16" t="s">
        <v>622</v>
      </c>
      <c r="D113" s="16" t="s">
        <v>720</v>
      </c>
      <c r="E113" s="16" t="s">
        <v>721</v>
      </c>
      <c r="F113" s="16" t="s">
        <v>722</v>
      </c>
      <c r="G113" s="16">
        <v>6</v>
      </c>
      <c r="H113" s="18">
        <v>24</v>
      </c>
      <c r="I113" s="16">
        <v>1</v>
      </c>
      <c r="J113" s="16" t="s">
        <v>665</v>
      </c>
      <c r="K113" s="27">
        <v>400906</v>
      </c>
      <c r="L113" s="16">
        <v>2</v>
      </c>
      <c r="M113" s="16" t="s">
        <v>70</v>
      </c>
      <c r="N113" s="16">
        <v>0</v>
      </c>
      <c r="O113" s="16">
        <v>20</v>
      </c>
      <c r="P113" s="16">
        <v>999</v>
      </c>
      <c r="Q113" s="16">
        <v>0</v>
      </c>
      <c r="R113" s="16">
        <v>20</v>
      </c>
      <c r="S113" s="16">
        <v>888</v>
      </c>
      <c r="T113" s="16" t="s">
        <v>666</v>
      </c>
      <c r="U113" s="16">
        <v>46215</v>
      </c>
    </row>
    <row r="114" spans="1:21" s="18" customFormat="1">
      <c r="A114" s="16" t="s">
        <v>723</v>
      </c>
      <c r="B114" s="16" t="s">
        <v>661</v>
      </c>
      <c r="C114" s="16" t="s">
        <v>622</v>
      </c>
      <c r="D114" s="16" t="s">
        <v>724</v>
      </c>
      <c r="E114" s="16" t="s">
        <v>725</v>
      </c>
      <c r="F114" s="16" t="s">
        <v>726</v>
      </c>
      <c r="G114" s="16">
        <v>6</v>
      </c>
      <c r="H114" s="18">
        <v>24</v>
      </c>
      <c r="I114" s="16">
        <v>1</v>
      </c>
      <c r="J114" s="16" t="s">
        <v>665</v>
      </c>
      <c r="K114" s="27">
        <v>302006</v>
      </c>
      <c r="L114" s="16">
        <v>2</v>
      </c>
      <c r="M114" s="16" t="s">
        <v>70</v>
      </c>
      <c r="N114" s="16">
        <v>0</v>
      </c>
      <c r="O114" s="16">
        <v>20</v>
      </c>
      <c r="P114" s="16">
        <v>999</v>
      </c>
      <c r="Q114" s="16">
        <v>0</v>
      </c>
      <c r="R114" s="16">
        <v>20</v>
      </c>
      <c r="S114" s="16">
        <v>888</v>
      </c>
      <c r="T114" s="16" t="s">
        <v>666</v>
      </c>
      <c r="U114" s="16">
        <v>46216</v>
      </c>
    </row>
    <row r="115" spans="1:21" s="18" customFormat="1">
      <c r="A115" s="16" t="s">
        <v>727</v>
      </c>
      <c r="B115" s="16" t="s">
        <v>661</v>
      </c>
      <c r="C115" s="16" t="s">
        <v>622</v>
      </c>
      <c r="D115" s="16" t="s">
        <v>728</v>
      </c>
      <c r="E115" s="16" t="s">
        <v>729</v>
      </c>
      <c r="F115" s="16" t="s">
        <v>730</v>
      </c>
      <c r="G115" s="16">
        <v>6</v>
      </c>
      <c r="H115" s="18">
        <v>24</v>
      </c>
      <c r="I115" s="16">
        <v>1</v>
      </c>
      <c r="J115" s="16" t="s">
        <v>665</v>
      </c>
      <c r="K115" s="27">
        <v>500906</v>
      </c>
      <c r="L115" s="16">
        <v>2</v>
      </c>
      <c r="M115" s="16" t="s">
        <v>70</v>
      </c>
      <c r="N115" s="16">
        <v>0</v>
      </c>
      <c r="O115" s="16">
        <v>20</v>
      </c>
      <c r="P115" s="16">
        <v>999</v>
      </c>
      <c r="Q115" s="16">
        <v>0</v>
      </c>
      <c r="R115" s="16">
        <v>20</v>
      </c>
      <c r="S115" s="16">
        <v>888</v>
      </c>
      <c r="T115" s="16" t="s">
        <v>666</v>
      </c>
      <c r="U115" s="16">
        <v>46217</v>
      </c>
    </row>
    <row r="116" spans="1:21" s="18" customFormat="1">
      <c r="A116" s="16" t="s">
        <v>731</v>
      </c>
      <c r="B116" s="16" t="s">
        <v>661</v>
      </c>
      <c r="C116" s="16" t="s">
        <v>622</v>
      </c>
      <c r="D116" s="16" t="s">
        <v>732</v>
      </c>
      <c r="E116" s="16" t="s">
        <v>733</v>
      </c>
      <c r="F116" s="16" t="s">
        <v>734</v>
      </c>
      <c r="G116" s="16">
        <v>6</v>
      </c>
      <c r="H116" s="18">
        <v>24</v>
      </c>
      <c r="I116" s="16">
        <v>1</v>
      </c>
      <c r="J116" s="16" t="s">
        <v>665</v>
      </c>
      <c r="K116" s="27">
        <v>302206</v>
      </c>
      <c r="L116" s="16">
        <v>2</v>
      </c>
      <c r="M116" s="16" t="s">
        <v>70</v>
      </c>
      <c r="N116" s="16">
        <v>0</v>
      </c>
      <c r="O116" s="16">
        <v>20</v>
      </c>
      <c r="P116" s="16">
        <v>999</v>
      </c>
      <c r="Q116" s="16">
        <v>0</v>
      </c>
      <c r="R116" s="16">
        <v>20</v>
      </c>
      <c r="S116" s="16">
        <v>888</v>
      </c>
      <c r="T116" s="16" t="s">
        <v>666</v>
      </c>
      <c r="U116" s="16">
        <v>46218</v>
      </c>
    </row>
    <row r="117" spans="1:21" s="18" customFormat="1">
      <c r="A117" s="16" t="s">
        <v>735</v>
      </c>
      <c r="B117" s="16" t="s">
        <v>661</v>
      </c>
      <c r="C117" s="16" t="s">
        <v>622</v>
      </c>
      <c r="D117" s="16" t="s">
        <v>736</v>
      </c>
      <c r="E117" s="16" t="s">
        <v>737</v>
      </c>
      <c r="F117" s="16" t="s">
        <v>738</v>
      </c>
      <c r="G117" s="16">
        <v>6</v>
      </c>
      <c r="H117" s="18">
        <v>24</v>
      </c>
      <c r="I117" s="16">
        <v>1</v>
      </c>
      <c r="J117" s="16" t="s">
        <v>665</v>
      </c>
      <c r="K117" s="27">
        <v>201806</v>
      </c>
      <c r="L117" s="16">
        <v>2</v>
      </c>
      <c r="M117" s="16" t="s">
        <v>70</v>
      </c>
      <c r="N117" s="16">
        <v>0</v>
      </c>
      <c r="O117" s="16">
        <v>20</v>
      </c>
      <c r="P117" s="16">
        <v>999</v>
      </c>
      <c r="Q117" s="16">
        <v>0</v>
      </c>
      <c r="R117" s="16">
        <v>20</v>
      </c>
      <c r="S117" s="16">
        <v>888</v>
      </c>
      <c r="T117" s="16" t="s">
        <v>666</v>
      </c>
      <c r="U117" s="16">
        <v>46219</v>
      </c>
    </row>
    <row r="118" spans="1:21" s="18" customFormat="1">
      <c r="A118" s="16" t="s">
        <v>739</v>
      </c>
      <c r="B118" s="16" t="s">
        <v>661</v>
      </c>
      <c r="C118" s="16" t="s">
        <v>622</v>
      </c>
      <c r="D118" s="16" t="s">
        <v>740</v>
      </c>
      <c r="E118" s="16" t="s">
        <v>741</v>
      </c>
      <c r="F118" s="16" t="s">
        <v>742</v>
      </c>
      <c r="G118" s="16">
        <v>6</v>
      </c>
      <c r="H118" s="18">
        <v>24</v>
      </c>
      <c r="I118" s="16">
        <v>1</v>
      </c>
      <c r="J118" s="16" t="s">
        <v>665</v>
      </c>
      <c r="K118" s="27">
        <v>501306</v>
      </c>
      <c r="L118" s="16">
        <v>2</v>
      </c>
      <c r="M118" s="16" t="s">
        <v>70</v>
      </c>
      <c r="N118" s="16">
        <v>0</v>
      </c>
      <c r="O118" s="16">
        <v>20</v>
      </c>
      <c r="P118" s="16">
        <v>999</v>
      </c>
      <c r="Q118" s="16">
        <v>0</v>
      </c>
      <c r="R118" s="16">
        <v>20</v>
      </c>
      <c r="S118" s="16">
        <v>888</v>
      </c>
      <c r="T118" s="16" t="s">
        <v>666</v>
      </c>
      <c r="U118" s="16">
        <v>46220</v>
      </c>
    </row>
    <row r="119" spans="1:21" s="18" customFormat="1">
      <c r="A119" s="16" t="s">
        <v>743</v>
      </c>
      <c r="B119" s="16" t="s">
        <v>661</v>
      </c>
      <c r="C119" s="16" t="s">
        <v>622</v>
      </c>
      <c r="D119" s="16" t="s">
        <v>744</v>
      </c>
      <c r="E119" s="16" t="s">
        <v>745</v>
      </c>
      <c r="F119" s="16" t="s">
        <v>746</v>
      </c>
      <c r="G119" s="16">
        <v>6</v>
      </c>
      <c r="H119" s="18">
        <v>24</v>
      </c>
      <c r="I119" s="16">
        <v>1</v>
      </c>
      <c r="J119" s="16" t="s">
        <v>665</v>
      </c>
      <c r="K119" s="27">
        <v>401406</v>
      </c>
      <c r="L119" s="16">
        <v>2</v>
      </c>
      <c r="M119" s="16" t="s">
        <v>70</v>
      </c>
      <c r="N119" s="16">
        <v>0</v>
      </c>
      <c r="O119" s="16">
        <v>20</v>
      </c>
      <c r="P119" s="16">
        <v>999</v>
      </c>
      <c r="Q119" s="16">
        <v>0</v>
      </c>
      <c r="R119" s="16">
        <v>20</v>
      </c>
      <c r="S119" s="16">
        <v>888</v>
      </c>
      <c r="T119" s="16" t="s">
        <v>666</v>
      </c>
      <c r="U119" s="16">
        <v>46221</v>
      </c>
    </row>
    <row r="120" spans="1:21" s="18" customFormat="1">
      <c r="A120" s="16" t="s">
        <v>747</v>
      </c>
      <c r="B120" s="16" t="s">
        <v>661</v>
      </c>
      <c r="C120" s="16" t="s">
        <v>622</v>
      </c>
      <c r="D120" s="16" t="s">
        <v>748</v>
      </c>
      <c r="E120" s="16" t="s">
        <v>749</v>
      </c>
      <c r="F120" s="16" t="s">
        <v>750</v>
      </c>
      <c r="G120" s="16">
        <v>6</v>
      </c>
      <c r="H120" s="18">
        <v>24</v>
      </c>
      <c r="I120" s="16">
        <v>1</v>
      </c>
      <c r="J120" s="16" t="s">
        <v>665</v>
      </c>
      <c r="K120" s="27">
        <v>102306</v>
      </c>
      <c r="L120" s="16">
        <v>2</v>
      </c>
      <c r="M120" s="16" t="s">
        <v>70</v>
      </c>
      <c r="N120" s="16">
        <v>0</v>
      </c>
      <c r="O120" s="16">
        <v>20</v>
      </c>
      <c r="P120" s="16">
        <v>999</v>
      </c>
      <c r="Q120" s="16">
        <v>0</v>
      </c>
      <c r="R120" s="16">
        <v>20</v>
      </c>
      <c r="S120" s="16">
        <v>888</v>
      </c>
      <c r="T120" s="16" t="s">
        <v>666</v>
      </c>
      <c r="U120" s="16">
        <v>46222</v>
      </c>
    </row>
    <row r="121" spans="1:21" s="18" customFormat="1">
      <c r="A121" s="16" t="s">
        <v>751</v>
      </c>
      <c r="B121" s="16" t="s">
        <v>661</v>
      </c>
      <c r="C121" s="16" t="s">
        <v>622</v>
      </c>
      <c r="D121" s="16" t="s">
        <v>752</v>
      </c>
      <c r="E121" s="16" t="s">
        <v>753</v>
      </c>
      <c r="F121" s="16" t="s">
        <v>754</v>
      </c>
      <c r="G121" s="16">
        <v>6</v>
      </c>
      <c r="H121" s="18">
        <v>24</v>
      </c>
      <c r="I121" s="16">
        <v>1</v>
      </c>
      <c r="J121" s="16" t="s">
        <v>665</v>
      </c>
      <c r="K121" s="27">
        <v>501006</v>
      </c>
      <c r="L121" s="16">
        <v>2</v>
      </c>
      <c r="M121" s="16" t="s">
        <v>70</v>
      </c>
      <c r="N121" s="16">
        <v>0</v>
      </c>
      <c r="O121" s="16">
        <v>20</v>
      </c>
      <c r="P121" s="16">
        <v>999</v>
      </c>
      <c r="Q121" s="16">
        <v>0</v>
      </c>
      <c r="R121" s="16">
        <v>20</v>
      </c>
      <c r="S121" s="16">
        <v>888</v>
      </c>
      <c r="T121" s="16" t="s">
        <v>666</v>
      </c>
      <c r="U121" s="16">
        <v>46223</v>
      </c>
    </row>
    <row r="122" spans="1:21" s="18" customFormat="1">
      <c r="A122" s="16" t="s">
        <v>755</v>
      </c>
      <c r="B122" s="16" t="s">
        <v>661</v>
      </c>
      <c r="C122" s="16" t="s">
        <v>622</v>
      </c>
      <c r="D122" s="16" t="s">
        <v>756</v>
      </c>
      <c r="E122" s="16" t="s">
        <v>757</v>
      </c>
      <c r="F122" s="16" t="s">
        <v>758</v>
      </c>
      <c r="G122" s="16">
        <v>6</v>
      </c>
      <c r="H122" s="18">
        <v>24</v>
      </c>
      <c r="I122" s="16">
        <v>1</v>
      </c>
      <c r="J122" s="16" t="s">
        <v>665</v>
      </c>
      <c r="K122" s="27">
        <v>401006</v>
      </c>
      <c r="L122" s="16">
        <v>2</v>
      </c>
      <c r="M122" s="16" t="s">
        <v>70</v>
      </c>
      <c r="N122" s="16">
        <v>0</v>
      </c>
      <c r="O122" s="16">
        <v>20</v>
      </c>
      <c r="P122" s="16">
        <v>999</v>
      </c>
      <c r="Q122" s="16">
        <v>0</v>
      </c>
      <c r="R122" s="16">
        <v>20</v>
      </c>
      <c r="S122" s="16">
        <v>888</v>
      </c>
      <c r="T122" s="16" t="s">
        <v>666</v>
      </c>
      <c r="U122" s="16">
        <v>46224</v>
      </c>
    </row>
    <row r="123" spans="1:21" s="18" customFormat="1">
      <c r="A123" s="16" t="s">
        <v>759</v>
      </c>
      <c r="B123" s="16" t="s">
        <v>661</v>
      </c>
      <c r="C123" s="16" t="s">
        <v>622</v>
      </c>
      <c r="D123" s="16" t="s">
        <v>760</v>
      </c>
      <c r="E123" s="16" t="s">
        <v>761</v>
      </c>
      <c r="F123" s="16" t="s">
        <v>762</v>
      </c>
      <c r="G123" s="16">
        <v>6</v>
      </c>
      <c r="H123" s="18">
        <v>24</v>
      </c>
      <c r="I123" s="16">
        <v>1</v>
      </c>
      <c r="J123" s="16" t="s">
        <v>665</v>
      </c>
      <c r="K123" s="27">
        <v>400806</v>
      </c>
      <c r="L123" s="16">
        <v>2</v>
      </c>
      <c r="M123" s="16" t="s">
        <v>70</v>
      </c>
      <c r="N123" s="16">
        <v>0</v>
      </c>
      <c r="O123" s="16">
        <v>20</v>
      </c>
      <c r="P123" s="16">
        <v>999</v>
      </c>
      <c r="Q123" s="16">
        <v>0</v>
      </c>
      <c r="R123" s="16">
        <v>20</v>
      </c>
      <c r="S123" s="16">
        <v>888</v>
      </c>
      <c r="T123" s="16" t="s">
        <v>666</v>
      </c>
      <c r="U123" s="16">
        <v>46225</v>
      </c>
    </row>
    <row r="124" spans="1:21" s="18" customFormat="1">
      <c r="A124" s="16" t="s">
        <v>763</v>
      </c>
      <c r="B124" s="16" t="s">
        <v>661</v>
      </c>
      <c r="C124" s="16" t="s">
        <v>622</v>
      </c>
      <c r="D124" s="16" t="s">
        <v>764</v>
      </c>
      <c r="E124" s="16" t="s">
        <v>765</v>
      </c>
      <c r="F124" s="16" t="s">
        <v>766</v>
      </c>
      <c r="G124" s="16">
        <v>6</v>
      </c>
      <c r="H124" s="18">
        <v>24</v>
      </c>
      <c r="I124" s="16">
        <v>1</v>
      </c>
      <c r="J124" s="16" t="s">
        <v>665</v>
      </c>
      <c r="K124" s="27">
        <v>401306</v>
      </c>
      <c r="L124" s="16">
        <v>2</v>
      </c>
      <c r="M124" s="16" t="s">
        <v>70</v>
      </c>
      <c r="N124" s="16">
        <v>0</v>
      </c>
      <c r="O124" s="16">
        <v>20</v>
      </c>
      <c r="P124" s="16">
        <v>999</v>
      </c>
      <c r="Q124" s="16">
        <v>0</v>
      </c>
      <c r="R124" s="16">
        <v>20</v>
      </c>
      <c r="S124" s="16">
        <v>888</v>
      </c>
      <c r="T124" s="16" t="s">
        <v>666</v>
      </c>
      <c r="U124" s="16">
        <v>46226</v>
      </c>
    </row>
    <row r="125" spans="1:21" s="18" customFormat="1">
      <c r="A125" s="16" t="s">
        <v>767</v>
      </c>
      <c r="B125" s="16" t="s">
        <v>661</v>
      </c>
      <c r="C125" s="16" t="s">
        <v>622</v>
      </c>
      <c r="D125" s="16" t="s">
        <v>768</v>
      </c>
      <c r="E125" s="16" t="s">
        <v>769</v>
      </c>
      <c r="F125" s="16" t="s">
        <v>770</v>
      </c>
      <c r="G125" s="16">
        <v>6</v>
      </c>
      <c r="H125" s="18">
        <v>24</v>
      </c>
      <c r="I125" s="16">
        <v>1</v>
      </c>
      <c r="J125" s="16" t="s">
        <v>665</v>
      </c>
      <c r="K125" s="27">
        <v>500806</v>
      </c>
      <c r="L125" s="16">
        <v>2</v>
      </c>
      <c r="M125" s="16" t="s">
        <v>70</v>
      </c>
      <c r="N125" s="16">
        <v>0</v>
      </c>
      <c r="O125" s="16">
        <v>20</v>
      </c>
      <c r="P125" s="16">
        <v>999</v>
      </c>
      <c r="Q125" s="16">
        <v>0</v>
      </c>
      <c r="R125" s="16">
        <v>20</v>
      </c>
      <c r="S125" s="16">
        <v>888</v>
      </c>
      <c r="T125" s="16" t="s">
        <v>666</v>
      </c>
      <c r="U125" s="16">
        <v>46227</v>
      </c>
    </row>
    <row r="126" spans="1:21" s="18" customFormat="1">
      <c r="A126" s="16" t="s">
        <v>771</v>
      </c>
      <c r="B126" s="16" t="s">
        <v>661</v>
      </c>
      <c r="C126" s="16" t="s">
        <v>622</v>
      </c>
      <c r="D126" s="16" t="s">
        <v>772</v>
      </c>
      <c r="E126" s="16" t="s">
        <v>773</v>
      </c>
      <c r="F126" s="16" t="s">
        <v>774</v>
      </c>
      <c r="G126" s="16">
        <v>6</v>
      </c>
      <c r="H126" s="18">
        <v>24</v>
      </c>
      <c r="I126" s="16">
        <v>1</v>
      </c>
      <c r="J126" s="16" t="s">
        <v>665</v>
      </c>
      <c r="K126" s="27">
        <v>501406</v>
      </c>
      <c r="L126" s="16">
        <v>2</v>
      </c>
      <c r="M126" s="16" t="s">
        <v>70</v>
      </c>
      <c r="N126" s="16">
        <v>0</v>
      </c>
      <c r="O126" s="16">
        <v>20</v>
      </c>
      <c r="P126" s="16">
        <v>999</v>
      </c>
      <c r="Q126" s="16">
        <v>0</v>
      </c>
      <c r="R126" s="16">
        <v>20</v>
      </c>
      <c r="S126" s="16">
        <v>888</v>
      </c>
      <c r="T126" s="16" t="s">
        <v>666</v>
      </c>
      <c r="U126" s="16">
        <v>46228</v>
      </c>
    </row>
    <row r="127" spans="1:21" s="18" customFormat="1">
      <c r="A127" s="16" t="s">
        <v>775</v>
      </c>
      <c r="B127" s="16" t="s">
        <v>661</v>
      </c>
      <c r="C127" s="16" t="s">
        <v>622</v>
      </c>
      <c r="D127" s="16" t="s">
        <v>776</v>
      </c>
      <c r="E127" s="16" t="s">
        <v>777</v>
      </c>
      <c r="F127" s="16" t="s">
        <v>778</v>
      </c>
      <c r="G127" s="16">
        <v>6</v>
      </c>
      <c r="H127" s="18">
        <v>24</v>
      </c>
      <c r="I127" s="16">
        <v>1</v>
      </c>
      <c r="J127" s="16" t="s">
        <v>665</v>
      </c>
      <c r="K127" s="27">
        <v>301606</v>
      </c>
      <c r="L127" s="16">
        <v>2</v>
      </c>
      <c r="M127" s="16" t="s">
        <v>70</v>
      </c>
      <c r="N127" s="16">
        <v>0</v>
      </c>
      <c r="O127" s="16">
        <v>20</v>
      </c>
      <c r="P127" s="16">
        <v>999</v>
      </c>
      <c r="Q127" s="16">
        <v>0</v>
      </c>
      <c r="R127" s="16">
        <v>20</v>
      </c>
      <c r="S127" s="16">
        <v>888</v>
      </c>
      <c r="T127" s="16" t="s">
        <v>666</v>
      </c>
      <c r="U127" s="16">
        <v>46229</v>
      </c>
    </row>
    <row r="128" spans="1:21" s="18" customFormat="1">
      <c r="A128" s="16" t="s">
        <v>779</v>
      </c>
      <c r="B128" s="16" t="s">
        <v>661</v>
      </c>
      <c r="C128" s="16" t="s">
        <v>622</v>
      </c>
      <c r="D128" s="16" t="s">
        <v>780</v>
      </c>
      <c r="E128" s="16" t="s">
        <v>781</v>
      </c>
      <c r="F128" s="16" t="s">
        <v>782</v>
      </c>
      <c r="G128" s="16">
        <v>6</v>
      </c>
      <c r="H128" s="18">
        <v>24</v>
      </c>
      <c r="I128" s="16">
        <v>1</v>
      </c>
      <c r="J128" s="16" t="s">
        <v>665</v>
      </c>
      <c r="K128" s="27">
        <v>201506</v>
      </c>
      <c r="L128" s="16">
        <v>2</v>
      </c>
      <c r="M128" s="16" t="s">
        <v>70</v>
      </c>
      <c r="N128" s="16">
        <v>0</v>
      </c>
      <c r="O128" s="16">
        <v>20</v>
      </c>
      <c r="P128" s="16">
        <v>999</v>
      </c>
      <c r="Q128" s="16">
        <v>0</v>
      </c>
      <c r="R128" s="16">
        <v>20</v>
      </c>
      <c r="S128" s="16">
        <v>888</v>
      </c>
      <c r="T128" s="16" t="s">
        <v>666</v>
      </c>
      <c r="U128" s="16">
        <v>46230</v>
      </c>
    </row>
    <row r="129" spans="1:21" s="18" customFormat="1">
      <c r="A129" s="16" t="s">
        <v>783</v>
      </c>
      <c r="B129" s="16" t="s">
        <v>661</v>
      </c>
      <c r="C129" s="16" t="s">
        <v>622</v>
      </c>
      <c r="D129" s="16" t="s">
        <v>784</v>
      </c>
      <c r="E129" s="16" t="s">
        <v>785</v>
      </c>
      <c r="F129" s="16" t="s">
        <v>786</v>
      </c>
      <c r="G129" s="16">
        <v>6</v>
      </c>
      <c r="H129" s="18">
        <v>24</v>
      </c>
      <c r="I129" s="16">
        <v>1</v>
      </c>
      <c r="J129" s="16" t="s">
        <v>665</v>
      </c>
      <c r="K129" s="27">
        <v>202306</v>
      </c>
      <c r="L129" s="16">
        <v>2</v>
      </c>
      <c r="M129" s="16" t="s">
        <v>70</v>
      </c>
      <c r="N129" s="16">
        <v>0</v>
      </c>
      <c r="O129" s="16">
        <v>20</v>
      </c>
      <c r="P129" s="16">
        <v>999</v>
      </c>
      <c r="Q129" s="16">
        <v>0</v>
      </c>
      <c r="R129" s="16">
        <v>20</v>
      </c>
      <c r="S129" s="16">
        <v>888</v>
      </c>
      <c r="T129" s="16" t="s">
        <v>666</v>
      </c>
      <c r="U129" s="16">
        <v>46231</v>
      </c>
    </row>
    <row r="130" spans="1:21" s="18" customFormat="1">
      <c r="A130" s="16" t="s">
        <v>787</v>
      </c>
      <c r="B130" s="16" t="s">
        <v>661</v>
      </c>
      <c r="C130" s="16" t="s">
        <v>622</v>
      </c>
      <c r="D130" s="16" t="s">
        <v>788</v>
      </c>
      <c r="E130" s="16" t="s">
        <v>789</v>
      </c>
      <c r="F130" s="16" t="s">
        <v>790</v>
      </c>
      <c r="G130" s="16">
        <v>6</v>
      </c>
      <c r="H130" s="18">
        <v>24</v>
      </c>
      <c r="I130" s="16">
        <v>1</v>
      </c>
      <c r="J130" s="16" t="s">
        <v>665</v>
      </c>
      <c r="K130" s="27">
        <v>202006</v>
      </c>
      <c r="L130" s="16">
        <v>2</v>
      </c>
      <c r="M130" s="16" t="s">
        <v>70</v>
      </c>
      <c r="N130" s="16">
        <v>0</v>
      </c>
      <c r="O130" s="16">
        <v>20</v>
      </c>
      <c r="P130" s="16">
        <v>999</v>
      </c>
      <c r="Q130" s="16">
        <v>0</v>
      </c>
      <c r="R130" s="16">
        <v>20</v>
      </c>
      <c r="S130" s="16">
        <v>888</v>
      </c>
      <c r="T130" s="16" t="s">
        <v>666</v>
      </c>
      <c r="U130" s="16">
        <v>46232</v>
      </c>
    </row>
    <row r="131" spans="1:21" s="18" customFormat="1">
      <c r="A131" s="16" t="s">
        <v>791</v>
      </c>
      <c r="B131" s="16" t="s">
        <v>661</v>
      </c>
      <c r="C131" s="16" t="s">
        <v>622</v>
      </c>
      <c r="D131" s="16" t="s">
        <v>792</v>
      </c>
      <c r="E131" s="16" t="s">
        <v>793</v>
      </c>
      <c r="F131" s="16" t="s">
        <v>794</v>
      </c>
      <c r="G131" s="16">
        <v>6</v>
      </c>
      <c r="H131" s="18">
        <v>24</v>
      </c>
      <c r="I131" s="16">
        <v>1</v>
      </c>
      <c r="J131" s="16" t="s">
        <v>665</v>
      </c>
      <c r="K131" s="27">
        <v>101406</v>
      </c>
      <c r="L131" s="16">
        <v>2</v>
      </c>
      <c r="M131" s="16" t="s">
        <v>70</v>
      </c>
      <c r="N131" s="16">
        <v>0</v>
      </c>
      <c r="O131" s="16">
        <v>20</v>
      </c>
      <c r="P131" s="16">
        <v>999</v>
      </c>
      <c r="Q131" s="16">
        <v>0</v>
      </c>
      <c r="R131" s="16">
        <v>20</v>
      </c>
      <c r="S131" s="16">
        <v>888</v>
      </c>
      <c r="T131" s="16" t="s">
        <v>666</v>
      </c>
      <c r="U131" s="16">
        <v>46233</v>
      </c>
    </row>
    <row r="132" spans="1:21" s="18" customFormat="1">
      <c r="A132" s="16" t="s">
        <v>795</v>
      </c>
      <c r="B132" s="16" t="s">
        <v>661</v>
      </c>
      <c r="C132" s="16" t="s">
        <v>622</v>
      </c>
      <c r="D132" s="16" t="s">
        <v>796</v>
      </c>
      <c r="E132" s="16" t="s">
        <v>797</v>
      </c>
      <c r="F132" s="16" t="s">
        <v>798</v>
      </c>
      <c r="G132" s="16">
        <v>6</v>
      </c>
      <c r="H132" s="18">
        <v>24</v>
      </c>
      <c r="I132" s="16">
        <v>1</v>
      </c>
      <c r="J132" s="16" t="s">
        <v>665</v>
      </c>
      <c r="K132" s="27">
        <v>202406</v>
      </c>
      <c r="L132" s="16">
        <v>2</v>
      </c>
      <c r="M132" s="16" t="s">
        <v>70</v>
      </c>
      <c r="N132" s="16">
        <v>0</v>
      </c>
      <c r="O132" s="16">
        <v>20</v>
      </c>
      <c r="P132" s="16">
        <v>999</v>
      </c>
      <c r="Q132" s="16">
        <v>0</v>
      </c>
      <c r="R132" s="16">
        <v>20</v>
      </c>
      <c r="S132" s="16">
        <v>888</v>
      </c>
      <c r="T132" s="16" t="s">
        <v>666</v>
      </c>
      <c r="U132" s="16" t="s">
        <v>799</v>
      </c>
    </row>
    <row r="133" spans="1:21" s="21" customFormat="1">
      <c r="A133" s="39" t="s">
        <v>800</v>
      </c>
      <c r="B133" s="39" t="s">
        <v>661</v>
      </c>
      <c r="C133" s="39" t="s">
        <v>622</v>
      </c>
      <c r="D133" s="39" t="s">
        <v>801</v>
      </c>
      <c r="E133" s="39" t="s">
        <v>802</v>
      </c>
      <c r="F133" s="39" t="s">
        <v>803</v>
      </c>
      <c r="G133" s="39">
        <v>6</v>
      </c>
      <c r="H133" s="21">
        <v>24</v>
      </c>
      <c r="I133" s="39">
        <v>1</v>
      </c>
      <c r="J133" s="39" t="s">
        <v>665</v>
      </c>
      <c r="K133" s="38">
        <v>302106</v>
      </c>
      <c r="L133" s="39">
        <v>2</v>
      </c>
      <c r="M133" s="39" t="s">
        <v>70</v>
      </c>
      <c r="N133" s="39">
        <v>0</v>
      </c>
      <c r="O133" s="39">
        <v>20</v>
      </c>
      <c r="P133" s="39">
        <v>999</v>
      </c>
      <c r="Q133" s="39">
        <v>0</v>
      </c>
      <c r="R133" s="39">
        <v>20</v>
      </c>
      <c r="S133" s="39">
        <v>888</v>
      </c>
      <c r="T133" s="39" t="s">
        <v>666</v>
      </c>
      <c r="U133" s="39" t="s">
        <v>804</v>
      </c>
    </row>
    <row r="134" spans="1:21" s="21" customFormat="1">
      <c r="A134" s="39" t="s">
        <v>805</v>
      </c>
      <c r="B134" s="39" t="s">
        <v>661</v>
      </c>
      <c r="C134" s="39" t="s">
        <v>622</v>
      </c>
      <c r="D134" s="39" t="s">
        <v>806</v>
      </c>
      <c r="E134" s="39" t="s">
        <v>807</v>
      </c>
      <c r="F134" s="39" t="s">
        <v>808</v>
      </c>
      <c r="G134" s="39">
        <v>6</v>
      </c>
      <c r="H134" s="21">
        <v>24</v>
      </c>
      <c r="I134" s="39">
        <v>1</v>
      </c>
      <c r="J134" s="39" t="s">
        <v>665</v>
      </c>
      <c r="K134" s="38">
        <v>302306</v>
      </c>
      <c r="L134" s="39">
        <v>2</v>
      </c>
      <c r="M134" s="39" t="s">
        <v>70</v>
      </c>
      <c r="N134" s="39">
        <v>0</v>
      </c>
      <c r="O134" s="39">
        <v>20</v>
      </c>
      <c r="P134" s="39">
        <v>999</v>
      </c>
      <c r="Q134" s="39">
        <v>0</v>
      </c>
      <c r="R134" s="39">
        <v>20</v>
      </c>
      <c r="S134" s="39">
        <v>888</v>
      </c>
      <c r="T134" s="39" t="s">
        <v>666</v>
      </c>
      <c r="U134" s="39" t="s">
        <v>809</v>
      </c>
    </row>
    <row r="135" spans="1:21" s="21" customFormat="1">
      <c r="A135" s="39" t="s">
        <v>810</v>
      </c>
      <c r="B135" s="39" t="s">
        <v>661</v>
      </c>
      <c r="C135" s="39" t="s">
        <v>622</v>
      </c>
      <c r="D135" s="39" t="s">
        <v>811</v>
      </c>
      <c r="E135" s="39" t="s">
        <v>812</v>
      </c>
      <c r="F135" s="39" t="s">
        <v>813</v>
      </c>
      <c r="G135" s="39">
        <v>6</v>
      </c>
      <c r="H135" s="21">
        <v>24</v>
      </c>
      <c r="I135" s="39">
        <v>1</v>
      </c>
      <c r="J135" s="39" t="s">
        <v>665</v>
      </c>
      <c r="K135" s="38">
        <v>202106</v>
      </c>
      <c r="L135" s="39">
        <v>2</v>
      </c>
      <c r="M135" s="39" t="s">
        <v>70</v>
      </c>
      <c r="N135" s="39">
        <v>0</v>
      </c>
      <c r="O135" s="39">
        <v>20</v>
      </c>
      <c r="P135" s="39">
        <v>999</v>
      </c>
      <c r="Q135" s="39">
        <v>0</v>
      </c>
      <c r="R135" s="39">
        <v>20</v>
      </c>
      <c r="S135" s="39">
        <v>888</v>
      </c>
      <c r="T135" s="39" t="s">
        <v>666</v>
      </c>
      <c r="U135" s="39" t="s">
        <v>814</v>
      </c>
    </row>
    <row r="136" spans="1:21" s="21" customFormat="1">
      <c r="A136" s="39" t="s">
        <v>815</v>
      </c>
      <c r="B136" s="39" t="s">
        <v>661</v>
      </c>
      <c r="C136" s="39" t="s">
        <v>622</v>
      </c>
      <c r="D136" s="39" t="s">
        <v>816</v>
      </c>
      <c r="E136" s="39" t="s">
        <v>817</v>
      </c>
      <c r="F136" s="39" t="s">
        <v>818</v>
      </c>
      <c r="G136" s="39">
        <v>6</v>
      </c>
      <c r="H136" s="21">
        <v>24</v>
      </c>
      <c r="I136" s="39">
        <v>1</v>
      </c>
      <c r="J136" s="39" t="s">
        <v>665</v>
      </c>
      <c r="K136" s="38">
        <v>101806</v>
      </c>
      <c r="L136" s="39">
        <v>2</v>
      </c>
      <c r="M136" s="39" t="s">
        <v>70</v>
      </c>
      <c r="N136" s="39">
        <v>0</v>
      </c>
      <c r="O136" s="39">
        <v>20</v>
      </c>
      <c r="P136" s="39">
        <v>999</v>
      </c>
      <c r="Q136" s="39">
        <v>0</v>
      </c>
      <c r="R136" s="39">
        <v>20</v>
      </c>
      <c r="S136" s="39">
        <v>888</v>
      </c>
      <c r="T136" s="39" t="s">
        <v>666</v>
      </c>
      <c r="U136" s="39" t="s">
        <v>819</v>
      </c>
    </row>
    <row r="137" spans="1:21" s="21" customFormat="1">
      <c r="A137" s="39" t="s">
        <v>820</v>
      </c>
      <c r="B137" s="39" t="s">
        <v>661</v>
      </c>
      <c r="C137" s="39" t="s">
        <v>622</v>
      </c>
      <c r="D137" s="39" t="s">
        <v>821</v>
      </c>
      <c r="E137" s="39" t="s">
        <v>822</v>
      </c>
      <c r="F137" s="39" t="s">
        <v>823</v>
      </c>
      <c r="G137" s="39">
        <v>6</v>
      </c>
      <c r="H137" s="21">
        <v>24</v>
      </c>
      <c r="I137" s="39">
        <v>1</v>
      </c>
      <c r="J137" s="39" t="s">
        <v>665</v>
      </c>
      <c r="K137" s="38">
        <v>301706</v>
      </c>
      <c r="L137" s="39">
        <v>2</v>
      </c>
      <c r="M137" s="39" t="s">
        <v>70</v>
      </c>
      <c r="N137" s="39">
        <v>0</v>
      </c>
      <c r="O137" s="39">
        <v>20</v>
      </c>
      <c r="P137" s="39">
        <v>999</v>
      </c>
      <c r="Q137" s="39">
        <v>0</v>
      </c>
      <c r="R137" s="39">
        <v>20</v>
      </c>
      <c r="S137" s="39">
        <v>888</v>
      </c>
      <c r="T137" s="39" t="s">
        <v>666</v>
      </c>
      <c r="U137" s="39" t="s">
        <v>824</v>
      </c>
    </row>
    <row r="138" spans="1:21" s="21" customFormat="1">
      <c r="A138" s="39" t="s">
        <v>825</v>
      </c>
      <c r="B138" s="39" t="s">
        <v>661</v>
      </c>
      <c r="C138" s="39" t="s">
        <v>622</v>
      </c>
      <c r="D138" s="39" t="s">
        <v>826</v>
      </c>
      <c r="E138" s="39" t="s">
        <v>827</v>
      </c>
      <c r="F138" s="39" t="s">
        <v>828</v>
      </c>
      <c r="G138" s="39">
        <v>6</v>
      </c>
      <c r="H138" s="21">
        <v>24</v>
      </c>
      <c r="I138" s="39">
        <v>1</v>
      </c>
      <c r="J138" s="39" t="s">
        <v>665</v>
      </c>
      <c r="K138" s="38">
        <v>501506</v>
      </c>
      <c r="L138" s="39">
        <v>2</v>
      </c>
      <c r="M138" s="39" t="s">
        <v>70</v>
      </c>
      <c r="N138" s="39">
        <v>0</v>
      </c>
      <c r="O138" s="39">
        <v>20</v>
      </c>
      <c r="P138" s="39">
        <v>999</v>
      </c>
      <c r="Q138" s="39">
        <v>0</v>
      </c>
      <c r="R138" s="39">
        <v>20</v>
      </c>
      <c r="S138" s="39">
        <v>888</v>
      </c>
      <c r="T138" s="39" t="s">
        <v>666</v>
      </c>
      <c r="U138" s="39" t="s">
        <v>829</v>
      </c>
    </row>
    <row r="139" spans="1:21" s="21" customFormat="1">
      <c r="A139" s="39" t="s">
        <v>830</v>
      </c>
      <c r="B139" s="39" t="s">
        <v>661</v>
      </c>
      <c r="C139" s="39" t="s">
        <v>622</v>
      </c>
      <c r="D139" s="39" t="s">
        <v>831</v>
      </c>
      <c r="E139" s="39" t="s">
        <v>832</v>
      </c>
      <c r="F139" s="39" t="s">
        <v>833</v>
      </c>
      <c r="G139" s="39">
        <v>6</v>
      </c>
      <c r="H139" s="21">
        <v>24</v>
      </c>
      <c r="I139" s="39">
        <v>1</v>
      </c>
      <c r="J139" s="39" t="s">
        <v>665</v>
      </c>
      <c r="K139" s="38">
        <v>501606</v>
      </c>
      <c r="L139" s="39">
        <v>2</v>
      </c>
      <c r="M139" s="39" t="s">
        <v>70</v>
      </c>
      <c r="N139" s="39">
        <v>0</v>
      </c>
      <c r="O139" s="39">
        <v>20</v>
      </c>
      <c r="P139" s="39">
        <v>999</v>
      </c>
      <c r="Q139" s="39">
        <v>0</v>
      </c>
      <c r="R139" s="39">
        <v>20</v>
      </c>
      <c r="S139" s="39">
        <v>888</v>
      </c>
      <c r="T139" s="39" t="s">
        <v>666</v>
      </c>
      <c r="U139" s="39" t="s">
        <v>834</v>
      </c>
    </row>
    <row r="140" spans="1:21" s="21" customFormat="1">
      <c r="A140" s="39" t="s">
        <v>835</v>
      </c>
      <c r="B140" s="39" t="s">
        <v>661</v>
      </c>
      <c r="C140" s="39" t="s">
        <v>622</v>
      </c>
      <c r="D140" s="39" t="s">
        <v>836</v>
      </c>
      <c r="E140" s="39" t="s">
        <v>837</v>
      </c>
      <c r="F140" s="39" t="s">
        <v>838</v>
      </c>
      <c r="G140" s="39">
        <v>6</v>
      </c>
      <c r="H140" s="21">
        <v>24</v>
      </c>
      <c r="I140" s="39">
        <v>1</v>
      </c>
      <c r="J140" s="39" t="s">
        <v>665</v>
      </c>
      <c r="K140" s="38">
        <v>401506</v>
      </c>
      <c r="L140" s="39">
        <v>2</v>
      </c>
      <c r="M140" s="39" t="s">
        <v>70</v>
      </c>
      <c r="N140" s="39">
        <v>0</v>
      </c>
      <c r="O140" s="39">
        <v>20</v>
      </c>
      <c r="P140" s="39">
        <v>999</v>
      </c>
      <c r="Q140" s="39">
        <v>0</v>
      </c>
      <c r="R140" s="39">
        <v>20</v>
      </c>
      <c r="S140" s="39">
        <v>888</v>
      </c>
      <c r="T140" s="39" t="s">
        <v>666</v>
      </c>
      <c r="U140" s="39" t="s">
        <v>839</v>
      </c>
    </row>
    <row r="141" spans="1:21" s="21" customFormat="1">
      <c r="A141" s="39" t="s">
        <v>840</v>
      </c>
      <c r="B141" s="39" t="s">
        <v>661</v>
      </c>
      <c r="C141" s="39" t="s">
        <v>622</v>
      </c>
      <c r="D141" s="39" t="s">
        <v>841</v>
      </c>
      <c r="E141" s="39" t="s">
        <v>842</v>
      </c>
      <c r="F141" s="39" t="s">
        <v>843</v>
      </c>
      <c r="G141" s="39">
        <v>6</v>
      </c>
      <c r="H141" s="21">
        <v>24</v>
      </c>
      <c r="I141" s="39">
        <v>1</v>
      </c>
      <c r="J141" s="39" t="s">
        <v>665</v>
      </c>
      <c r="K141" s="38">
        <v>401606</v>
      </c>
      <c r="L141" s="39">
        <v>2</v>
      </c>
      <c r="M141" s="39" t="s">
        <v>70</v>
      </c>
      <c r="N141" s="39">
        <v>0</v>
      </c>
      <c r="O141" s="39">
        <v>20</v>
      </c>
      <c r="P141" s="39">
        <v>999</v>
      </c>
      <c r="Q141" s="39">
        <v>0</v>
      </c>
      <c r="R141" s="39">
        <v>20</v>
      </c>
      <c r="S141" s="39">
        <v>888</v>
      </c>
      <c r="T141" s="39" t="s">
        <v>666</v>
      </c>
      <c r="U141" s="39" t="s">
        <v>844</v>
      </c>
    </row>
    <row r="142" spans="1:21" s="21" customFormat="1">
      <c r="A142" s="39" t="s">
        <v>845</v>
      </c>
      <c r="B142" s="39" t="s">
        <v>661</v>
      </c>
      <c r="C142" s="39" t="s">
        <v>622</v>
      </c>
      <c r="D142" s="39" t="s">
        <v>846</v>
      </c>
      <c r="E142" s="39" t="s">
        <v>847</v>
      </c>
      <c r="F142" s="39" t="s">
        <v>848</v>
      </c>
      <c r="G142" s="39">
        <v>6</v>
      </c>
      <c r="H142" s="21">
        <v>24</v>
      </c>
      <c r="I142" s="39">
        <v>1</v>
      </c>
      <c r="J142" s="39" t="s">
        <v>665</v>
      </c>
      <c r="K142" s="38">
        <v>401706</v>
      </c>
      <c r="L142" s="39">
        <v>2</v>
      </c>
      <c r="M142" s="39" t="s">
        <v>70</v>
      </c>
      <c r="N142" s="39">
        <v>0</v>
      </c>
      <c r="O142" s="39">
        <v>20</v>
      </c>
      <c r="P142" s="39">
        <v>999</v>
      </c>
      <c r="Q142" s="39">
        <v>0</v>
      </c>
      <c r="R142" s="39">
        <v>20</v>
      </c>
      <c r="S142" s="39">
        <v>888</v>
      </c>
      <c r="T142" s="39" t="s">
        <v>666</v>
      </c>
      <c r="U142" s="39" t="s">
        <v>849</v>
      </c>
    </row>
    <row r="143" spans="1:21" s="21" customFormat="1">
      <c r="A143" s="39" t="s">
        <v>850</v>
      </c>
      <c r="B143" s="39" t="s">
        <v>661</v>
      </c>
      <c r="C143" s="39" t="s">
        <v>622</v>
      </c>
      <c r="D143" s="39" t="s">
        <v>851</v>
      </c>
      <c r="E143" s="39" t="s">
        <v>852</v>
      </c>
      <c r="F143" s="39" t="s">
        <v>853</v>
      </c>
      <c r="G143" s="39">
        <v>6</v>
      </c>
      <c r="H143" s="21">
        <v>24</v>
      </c>
      <c r="I143" s="39">
        <v>1</v>
      </c>
      <c r="J143" s="39" t="s">
        <v>665</v>
      </c>
      <c r="K143" s="38">
        <v>202506</v>
      </c>
      <c r="L143" s="39">
        <v>2</v>
      </c>
      <c r="M143" s="39" t="s">
        <v>70</v>
      </c>
      <c r="N143" s="39">
        <v>0</v>
      </c>
      <c r="O143" s="39">
        <v>20</v>
      </c>
      <c r="P143" s="39">
        <v>999</v>
      </c>
      <c r="Q143" s="39">
        <v>0</v>
      </c>
      <c r="R143" s="39">
        <v>20</v>
      </c>
      <c r="S143" s="39">
        <v>888</v>
      </c>
      <c r="T143" s="39" t="s">
        <v>666</v>
      </c>
      <c r="U143" s="39" t="s">
        <v>854</v>
      </c>
    </row>
    <row r="144" spans="1:21" s="21" customFormat="1">
      <c r="A144" s="39" t="s">
        <v>855</v>
      </c>
      <c r="B144" s="39" t="s">
        <v>661</v>
      </c>
      <c r="C144" s="39" t="s">
        <v>622</v>
      </c>
      <c r="D144" s="39" t="s">
        <v>856</v>
      </c>
      <c r="E144" s="39" t="s">
        <v>857</v>
      </c>
      <c r="F144" s="39" t="s">
        <v>858</v>
      </c>
      <c r="G144" s="39">
        <v>6</v>
      </c>
      <c r="H144" s="21">
        <v>24</v>
      </c>
      <c r="I144" s="39">
        <v>1</v>
      </c>
      <c r="J144" s="39" t="s">
        <v>665</v>
      </c>
      <c r="K144" s="38">
        <v>501706</v>
      </c>
      <c r="L144" s="39">
        <v>2</v>
      </c>
      <c r="M144" s="39" t="s">
        <v>70</v>
      </c>
      <c r="N144" s="39">
        <v>0</v>
      </c>
      <c r="O144" s="39">
        <v>20</v>
      </c>
      <c r="P144" s="39">
        <v>999</v>
      </c>
      <c r="Q144" s="39">
        <v>0</v>
      </c>
      <c r="R144" s="39">
        <v>20</v>
      </c>
      <c r="S144" s="39">
        <v>888</v>
      </c>
      <c r="T144" s="39" t="s">
        <v>666</v>
      </c>
      <c r="U144" s="39" t="s">
        <v>859</v>
      </c>
    </row>
    <row r="145" spans="1:21" s="21" customFormat="1">
      <c r="A145" s="39" t="s">
        <v>860</v>
      </c>
      <c r="B145" s="39" t="s">
        <v>661</v>
      </c>
      <c r="C145" s="39" t="s">
        <v>622</v>
      </c>
      <c r="D145" s="39" t="s">
        <v>861</v>
      </c>
      <c r="E145" s="39" t="s">
        <v>862</v>
      </c>
      <c r="F145" s="39" t="s">
        <v>863</v>
      </c>
      <c r="G145" s="39">
        <v>6</v>
      </c>
      <c r="H145" s="21">
        <v>24</v>
      </c>
      <c r="I145" s="39">
        <v>1</v>
      </c>
      <c r="J145" s="39" t="s">
        <v>665</v>
      </c>
      <c r="K145" s="38">
        <v>401906</v>
      </c>
      <c r="L145" s="39">
        <v>2</v>
      </c>
      <c r="M145" s="39" t="s">
        <v>70</v>
      </c>
      <c r="N145" s="39">
        <v>0</v>
      </c>
      <c r="O145" s="39">
        <v>20</v>
      </c>
      <c r="P145" s="39">
        <v>999</v>
      </c>
      <c r="Q145" s="39">
        <v>0</v>
      </c>
      <c r="R145" s="39">
        <v>20</v>
      </c>
      <c r="S145" s="39">
        <v>888</v>
      </c>
      <c r="T145" s="39" t="s">
        <v>666</v>
      </c>
      <c r="U145" s="39" t="s">
        <v>864</v>
      </c>
    </row>
    <row r="146" spans="1:21" s="21" customFormat="1">
      <c r="A146" s="39" t="s">
        <v>865</v>
      </c>
      <c r="B146" s="39" t="s">
        <v>661</v>
      </c>
      <c r="C146" s="39" t="s">
        <v>622</v>
      </c>
      <c r="D146" s="39" t="s">
        <v>866</v>
      </c>
      <c r="E146" s="39" t="s">
        <v>867</v>
      </c>
      <c r="F146" s="39" t="s">
        <v>868</v>
      </c>
      <c r="G146" s="39">
        <v>6</v>
      </c>
      <c r="H146" s="21">
        <v>24</v>
      </c>
      <c r="I146" s="39">
        <v>1</v>
      </c>
      <c r="J146" s="39" t="s">
        <v>665</v>
      </c>
      <c r="K146" s="38">
        <v>600106</v>
      </c>
      <c r="L146" s="39">
        <v>2</v>
      </c>
      <c r="M146" s="39" t="s">
        <v>70</v>
      </c>
      <c r="N146" s="39">
        <v>0</v>
      </c>
      <c r="O146" s="39">
        <v>20</v>
      </c>
      <c r="P146" s="39">
        <v>999</v>
      </c>
      <c r="Q146" s="39">
        <v>0</v>
      </c>
      <c r="R146" s="39">
        <v>20</v>
      </c>
      <c r="S146" s="39">
        <v>888</v>
      </c>
      <c r="T146" s="39" t="s">
        <v>666</v>
      </c>
      <c r="U146" s="39" t="s">
        <v>869</v>
      </c>
    </row>
    <row r="147" spans="1:21" s="21" customFormat="1">
      <c r="A147" s="39" t="s">
        <v>870</v>
      </c>
      <c r="B147" s="39" t="s">
        <v>661</v>
      </c>
      <c r="C147" s="39" t="s">
        <v>622</v>
      </c>
      <c r="D147" s="39" t="s">
        <v>871</v>
      </c>
      <c r="E147" s="39" t="s">
        <v>872</v>
      </c>
      <c r="F147" s="39" t="s">
        <v>873</v>
      </c>
      <c r="G147" s="39">
        <v>6</v>
      </c>
      <c r="H147" s="21">
        <v>24</v>
      </c>
      <c r="I147" s="39">
        <v>1</v>
      </c>
      <c r="J147" s="39" t="s">
        <v>665</v>
      </c>
      <c r="K147" s="38">
        <v>302406</v>
      </c>
      <c r="L147" s="39">
        <v>2</v>
      </c>
      <c r="M147" s="39" t="s">
        <v>70</v>
      </c>
      <c r="N147" s="39">
        <v>0</v>
      </c>
      <c r="O147" s="39">
        <v>20</v>
      </c>
      <c r="P147" s="39">
        <v>999</v>
      </c>
      <c r="Q147" s="39">
        <v>0</v>
      </c>
      <c r="R147" s="39">
        <v>20</v>
      </c>
      <c r="S147" s="39">
        <v>888</v>
      </c>
      <c r="T147" s="39" t="s">
        <v>666</v>
      </c>
      <c r="U147" s="39" t="s">
        <v>874</v>
      </c>
    </row>
    <row r="148" spans="1:21" s="22" customFormat="1">
      <c r="A148" s="25" t="s">
        <v>875</v>
      </c>
      <c r="B148" s="25" t="s">
        <v>661</v>
      </c>
      <c r="C148" s="25" t="s">
        <v>622</v>
      </c>
      <c r="D148" s="25" t="s">
        <v>662</v>
      </c>
      <c r="E148" s="25" t="s">
        <v>663</v>
      </c>
      <c r="F148" s="25" t="s">
        <v>664</v>
      </c>
      <c r="G148" s="25">
        <v>6</v>
      </c>
      <c r="H148" s="22">
        <v>24</v>
      </c>
      <c r="I148" s="25">
        <v>1</v>
      </c>
      <c r="J148" s="25" t="s">
        <v>665</v>
      </c>
      <c r="K148" s="42">
        <v>102107</v>
      </c>
      <c r="L148" s="25">
        <v>2</v>
      </c>
      <c r="M148" s="25" t="s">
        <v>70</v>
      </c>
      <c r="N148" s="25">
        <v>0</v>
      </c>
      <c r="O148" s="25">
        <v>20</v>
      </c>
      <c r="P148" s="25">
        <v>999</v>
      </c>
      <c r="Q148" s="25">
        <v>0</v>
      </c>
      <c r="R148" s="25">
        <v>20</v>
      </c>
      <c r="S148" s="25">
        <v>888</v>
      </c>
      <c r="T148" s="25" t="s">
        <v>876</v>
      </c>
      <c r="U148" s="25" t="s">
        <v>877</v>
      </c>
    </row>
    <row r="149" spans="1:21" s="22" customFormat="1">
      <c r="A149" s="25" t="s">
        <v>878</v>
      </c>
      <c r="B149" s="25" t="s">
        <v>661</v>
      </c>
      <c r="C149" s="25" t="s">
        <v>622</v>
      </c>
      <c r="D149" s="25" t="s">
        <v>668</v>
      </c>
      <c r="E149" s="25" t="s">
        <v>669</v>
      </c>
      <c r="F149" s="25" t="s">
        <v>670</v>
      </c>
      <c r="G149" s="25">
        <v>6</v>
      </c>
      <c r="H149" s="22">
        <v>24</v>
      </c>
      <c r="I149" s="25">
        <v>1</v>
      </c>
      <c r="J149" s="25" t="s">
        <v>665</v>
      </c>
      <c r="K149" s="42">
        <v>201707</v>
      </c>
      <c r="L149" s="25">
        <v>2</v>
      </c>
      <c r="M149" s="25" t="s">
        <v>70</v>
      </c>
      <c r="N149" s="25">
        <v>0</v>
      </c>
      <c r="O149" s="25">
        <v>20</v>
      </c>
      <c r="P149" s="25">
        <v>999</v>
      </c>
      <c r="Q149" s="25">
        <v>0</v>
      </c>
      <c r="R149" s="25">
        <v>20</v>
      </c>
      <c r="S149" s="25">
        <v>888</v>
      </c>
      <c r="T149" s="25" t="s">
        <v>876</v>
      </c>
      <c r="U149" s="25" t="s">
        <v>879</v>
      </c>
    </row>
    <row r="150" spans="1:21" s="22" customFormat="1">
      <c r="A150" s="25" t="s">
        <v>880</v>
      </c>
      <c r="B150" s="25" t="s">
        <v>661</v>
      </c>
      <c r="C150" s="25" t="s">
        <v>622</v>
      </c>
      <c r="D150" s="25" t="s">
        <v>672</v>
      </c>
      <c r="E150" s="25" t="s">
        <v>673</v>
      </c>
      <c r="F150" s="25" t="s">
        <v>674</v>
      </c>
      <c r="G150" s="25">
        <v>6</v>
      </c>
      <c r="H150" s="22">
        <v>24</v>
      </c>
      <c r="I150" s="25">
        <v>1</v>
      </c>
      <c r="J150" s="25" t="s">
        <v>665</v>
      </c>
      <c r="K150" s="42">
        <v>301407</v>
      </c>
      <c r="L150" s="25">
        <v>2</v>
      </c>
      <c r="M150" s="25" t="s">
        <v>70</v>
      </c>
      <c r="N150" s="25">
        <v>0</v>
      </c>
      <c r="O150" s="25">
        <v>20</v>
      </c>
      <c r="P150" s="25">
        <v>999</v>
      </c>
      <c r="Q150" s="25">
        <v>0</v>
      </c>
      <c r="R150" s="25">
        <v>20</v>
      </c>
      <c r="S150" s="25">
        <v>888</v>
      </c>
      <c r="T150" s="25" t="s">
        <v>876</v>
      </c>
      <c r="U150" s="25" t="s">
        <v>881</v>
      </c>
    </row>
    <row r="151" spans="1:21" s="22" customFormat="1">
      <c r="A151" s="25" t="s">
        <v>882</v>
      </c>
      <c r="B151" s="25" t="s">
        <v>661</v>
      </c>
      <c r="C151" s="25" t="s">
        <v>622</v>
      </c>
      <c r="D151" s="25" t="s">
        <v>676</v>
      </c>
      <c r="E151" s="25" t="s">
        <v>677</v>
      </c>
      <c r="F151" s="25" t="s">
        <v>678</v>
      </c>
      <c r="G151" s="25">
        <v>6</v>
      </c>
      <c r="H151" s="22">
        <v>24</v>
      </c>
      <c r="I151" s="25">
        <v>1</v>
      </c>
      <c r="J151" s="25" t="s">
        <v>665</v>
      </c>
      <c r="K151" s="42">
        <v>400607</v>
      </c>
      <c r="L151" s="25">
        <v>2</v>
      </c>
      <c r="M151" s="25" t="s">
        <v>70</v>
      </c>
      <c r="N151" s="25">
        <v>0</v>
      </c>
      <c r="O151" s="25">
        <v>20</v>
      </c>
      <c r="P151" s="25">
        <v>999</v>
      </c>
      <c r="Q151" s="25">
        <v>0</v>
      </c>
      <c r="R151" s="25">
        <v>20</v>
      </c>
      <c r="S151" s="25">
        <v>888</v>
      </c>
      <c r="T151" s="25" t="s">
        <v>876</v>
      </c>
      <c r="U151" s="25" t="s">
        <v>883</v>
      </c>
    </row>
    <row r="152" spans="1:21" s="22" customFormat="1">
      <c r="A152" s="25" t="s">
        <v>884</v>
      </c>
      <c r="B152" s="25" t="s">
        <v>661</v>
      </c>
      <c r="C152" s="25" t="s">
        <v>622</v>
      </c>
      <c r="D152" s="25" t="s">
        <v>680</v>
      </c>
      <c r="E152" s="25" t="s">
        <v>681</v>
      </c>
      <c r="F152" s="25" t="s">
        <v>682</v>
      </c>
      <c r="G152" s="25">
        <v>6</v>
      </c>
      <c r="H152" s="22">
        <v>24</v>
      </c>
      <c r="I152" s="25">
        <v>1</v>
      </c>
      <c r="J152" s="25" t="s">
        <v>665</v>
      </c>
      <c r="K152" s="42">
        <v>501207</v>
      </c>
      <c r="L152" s="25">
        <v>2</v>
      </c>
      <c r="M152" s="25" t="s">
        <v>70</v>
      </c>
      <c r="N152" s="25">
        <v>0</v>
      </c>
      <c r="O152" s="25">
        <v>20</v>
      </c>
      <c r="P152" s="25">
        <v>999</v>
      </c>
      <c r="Q152" s="25">
        <v>0</v>
      </c>
      <c r="R152" s="25">
        <v>20</v>
      </c>
      <c r="S152" s="25">
        <v>888</v>
      </c>
      <c r="T152" s="25" t="s">
        <v>876</v>
      </c>
      <c r="U152" s="25" t="s">
        <v>885</v>
      </c>
    </row>
    <row r="153" spans="1:21" s="22" customFormat="1">
      <c r="A153" s="25" t="s">
        <v>886</v>
      </c>
      <c r="B153" s="25" t="s">
        <v>661</v>
      </c>
      <c r="C153" s="25" t="s">
        <v>622</v>
      </c>
      <c r="D153" s="25" t="s">
        <v>684</v>
      </c>
      <c r="E153" s="25" t="s">
        <v>685</v>
      </c>
      <c r="F153" s="25" t="s">
        <v>686</v>
      </c>
      <c r="G153" s="25">
        <v>6</v>
      </c>
      <c r="H153" s="22">
        <v>24</v>
      </c>
      <c r="I153" s="25">
        <v>1</v>
      </c>
      <c r="J153" s="25" t="s">
        <v>665</v>
      </c>
      <c r="K153" s="42">
        <v>101707</v>
      </c>
      <c r="L153" s="25">
        <v>2</v>
      </c>
      <c r="M153" s="25" t="s">
        <v>70</v>
      </c>
      <c r="N153" s="25">
        <v>0</v>
      </c>
      <c r="O153" s="25">
        <v>20</v>
      </c>
      <c r="P153" s="25">
        <v>999</v>
      </c>
      <c r="Q153" s="25">
        <v>0</v>
      </c>
      <c r="R153" s="25">
        <v>20</v>
      </c>
      <c r="S153" s="25">
        <v>888</v>
      </c>
      <c r="T153" s="25" t="s">
        <v>876</v>
      </c>
      <c r="U153" s="25" t="s">
        <v>887</v>
      </c>
    </row>
    <row r="154" spans="1:21" s="22" customFormat="1">
      <c r="A154" s="25" t="s">
        <v>888</v>
      </c>
      <c r="B154" s="25" t="s">
        <v>661</v>
      </c>
      <c r="C154" s="25" t="s">
        <v>622</v>
      </c>
      <c r="D154" s="25" t="s">
        <v>688</v>
      </c>
      <c r="E154" s="25" t="s">
        <v>689</v>
      </c>
      <c r="F154" s="25" t="s">
        <v>690</v>
      </c>
      <c r="G154" s="25">
        <v>6</v>
      </c>
      <c r="H154" s="22">
        <v>24</v>
      </c>
      <c r="I154" s="25">
        <v>1</v>
      </c>
      <c r="J154" s="25" t="s">
        <v>665</v>
      </c>
      <c r="K154" s="42">
        <v>201407</v>
      </c>
      <c r="L154" s="25">
        <v>2</v>
      </c>
      <c r="M154" s="25" t="s">
        <v>70</v>
      </c>
      <c r="N154" s="25">
        <v>0</v>
      </c>
      <c r="O154" s="25">
        <v>20</v>
      </c>
      <c r="P154" s="25">
        <v>999</v>
      </c>
      <c r="Q154" s="25">
        <v>0</v>
      </c>
      <c r="R154" s="25">
        <v>20</v>
      </c>
      <c r="S154" s="25">
        <v>888</v>
      </c>
      <c r="T154" s="25" t="s">
        <v>876</v>
      </c>
      <c r="U154" s="25" t="s">
        <v>889</v>
      </c>
    </row>
    <row r="155" spans="1:21" s="22" customFormat="1">
      <c r="A155" s="25" t="s">
        <v>890</v>
      </c>
      <c r="B155" s="25" t="s">
        <v>661</v>
      </c>
      <c r="C155" s="25" t="s">
        <v>622</v>
      </c>
      <c r="D155" s="25" t="s">
        <v>692</v>
      </c>
      <c r="E155" s="25" t="s">
        <v>693</v>
      </c>
      <c r="F155" s="25" t="s">
        <v>694</v>
      </c>
      <c r="G155" s="25">
        <v>6</v>
      </c>
      <c r="H155" s="22">
        <v>24</v>
      </c>
      <c r="I155" s="25">
        <v>1</v>
      </c>
      <c r="J155" s="25" t="s">
        <v>665</v>
      </c>
      <c r="K155" s="42">
        <v>301507</v>
      </c>
      <c r="L155" s="25">
        <v>2</v>
      </c>
      <c r="M155" s="25" t="s">
        <v>70</v>
      </c>
      <c r="N155" s="25">
        <v>0</v>
      </c>
      <c r="O155" s="25">
        <v>20</v>
      </c>
      <c r="P155" s="25">
        <v>999</v>
      </c>
      <c r="Q155" s="25">
        <v>0</v>
      </c>
      <c r="R155" s="25">
        <v>20</v>
      </c>
      <c r="S155" s="25">
        <v>888</v>
      </c>
      <c r="T155" s="25" t="s">
        <v>876</v>
      </c>
      <c r="U155" s="25" t="s">
        <v>891</v>
      </c>
    </row>
    <row r="156" spans="1:21" s="22" customFormat="1">
      <c r="A156" s="25" t="s">
        <v>892</v>
      </c>
      <c r="B156" s="25" t="s">
        <v>661</v>
      </c>
      <c r="C156" s="25" t="s">
        <v>622</v>
      </c>
      <c r="D156" s="25" t="s">
        <v>696</v>
      </c>
      <c r="E156" s="25" t="s">
        <v>697</v>
      </c>
      <c r="F156" s="25" t="s">
        <v>698</v>
      </c>
      <c r="G156" s="25">
        <v>6</v>
      </c>
      <c r="H156" s="22">
        <v>24</v>
      </c>
      <c r="I156" s="25">
        <v>1</v>
      </c>
      <c r="J156" s="25" t="s">
        <v>665</v>
      </c>
      <c r="K156" s="42">
        <v>400707</v>
      </c>
      <c r="L156" s="25">
        <v>2</v>
      </c>
      <c r="M156" s="25" t="s">
        <v>70</v>
      </c>
      <c r="N156" s="25">
        <v>0</v>
      </c>
      <c r="O156" s="25">
        <v>20</v>
      </c>
      <c r="P156" s="25">
        <v>999</v>
      </c>
      <c r="Q156" s="25">
        <v>0</v>
      </c>
      <c r="R156" s="25">
        <v>20</v>
      </c>
      <c r="S156" s="25">
        <v>888</v>
      </c>
      <c r="T156" s="25" t="s">
        <v>876</v>
      </c>
      <c r="U156" s="25" t="s">
        <v>893</v>
      </c>
    </row>
    <row r="157" spans="1:21" s="22" customFormat="1">
      <c r="A157" s="25" t="s">
        <v>894</v>
      </c>
      <c r="B157" s="25" t="s">
        <v>661</v>
      </c>
      <c r="C157" s="25" t="s">
        <v>622</v>
      </c>
      <c r="D157" s="25" t="s">
        <v>700</v>
      </c>
      <c r="E157" s="25" t="s">
        <v>701</v>
      </c>
      <c r="F157" s="25" t="s">
        <v>702</v>
      </c>
      <c r="G157" s="25">
        <v>6</v>
      </c>
      <c r="H157" s="22">
        <v>24</v>
      </c>
      <c r="I157" s="25">
        <v>1</v>
      </c>
      <c r="J157" s="25" t="s">
        <v>665</v>
      </c>
      <c r="K157" s="42">
        <v>500707</v>
      </c>
      <c r="L157" s="25">
        <v>2</v>
      </c>
      <c r="M157" s="25" t="s">
        <v>70</v>
      </c>
      <c r="N157" s="25">
        <v>0</v>
      </c>
      <c r="O157" s="25">
        <v>20</v>
      </c>
      <c r="P157" s="25">
        <v>999</v>
      </c>
      <c r="Q157" s="25">
        <v>0</v>
      </c>
      <c r="R157" s="25">
        <v>20</v>
      </c>
      <c r="S157" s="25">
        <v>888</v>
      </c>
      <c r="T157" s="25" t="s">
        <v>876</v>
      </c>
      <c r="U157" s="25" t="s">
        <v>895</v>
      </c>
    </row>
    <row r="158" spans="1:21" s="22" customFormat="1">
      <c r="A158" s="25" t="s">
        <v>896</v>
      </c>
      <c r="B158" s="25" t="s">
        <v>661</v>
      </c>
      <c r="C158" s="25" t="s">
        <v>622</v>
      </c>
      <c r="D158" s="25" t="s">
        <v>704</v>
      </c>
      <c r="E158" s="25" t="s">
        <v>705</v>
      </c>
      <c r="F158" s="25" t="s">
        <v>706</v>
      </c>
      <c r="G158" s="25">
        <v>6</v>
      </c>
      <c r="H158" s="22">
        <v>24</v>
      </c>
      <c r="I158" s="25">
        <v>1</v>
      </c>
      <c r="J158" s="25" t="s">
        <v>665</v>
      </c>
      <c r="K158" s="42">
        <v>101607</v>
      </c>
      <c r="L158" s="25">
        <v>2</v>
      </c>
      <c r="M158" s="25" t="s">
        <v>70</v>
      </c>
      <c r="N158" s="25">
        <v>0</v>
      </c>
      <c r="O158" s="25">
        <v>20</v>
      </c>
      <c r="P158" s="25">
        <v>999</v>
      </c>
      <c r="Q158" s="25">
        <v>0</v>
      </c>
      <c r="R158" s="25">
        <v>20</v>
      </c>
      <c r="S158" s="25">
        <v>888</v>
      </c>
      <c r="T158" s="25" t="s">
        <v>876</v>
      </c>
      <c r="U158" s="25" t="s">
        <v>897</v>
      </c>
    </row>
    <row r="159" spans="1:21" s="22" customFormat="1">
      <c r="A159" s="25" t="s">
        <v>898</v>
      </c>
      <c r="B159" s="25" t="s">
        <v>661</v>
      </c>
      <c r="C159" s="25" t="s">
        <v>622</v>
      </c>
      <c r="D159" s="25" t="s">
        <v>708</v>
      </c>
      <c r="E159" s="25" t="s">
        <v>709</v>
      </c>
      <c r="F159" s="25" t="s">
        <v>710</v>
      </c>
      <c r="G159" s="25">
        <v>6</v>
      </c>
      <c r="H159" s="22">
        <v>24</v>
      </c>
      <c r="I159" s="25">
        <v>1</v>
      </c>
      <c r="J159" s="25" t="s">
        <v>665</v>
      </c>
      <c r="K159" s="42">
        <v>401207</v>
      </c>
      <c r="L159" s="25">
        <v>2</v>
      </c>
      <c r="M159" s="25" t="s">
        <v>70</v>
      </c>
      <c r="N159" s="25">
        <v>0</v>
      </c>
      <c r="O159" s="25">
        <v>20</v>
      </c>
      <c r="P159" s="25">
        <v>999</v>
      </c>
      <c r="Q159" s="25">
        <v>0</v>
      </c>
      <c r="R159" s="25">
        <v>20</v>
      </c>
      <c r="S159" s="25">
        <v>888</v>
      </c>
      <c r="T159" s="25" t="s">
        <v>876</v>
      </c>
      <c r="U159" s="25" t="s">
        <v>899</v>
      </c>
    </row>
    <row r="160" spans="1:21" s="22" customFormat="1">
      <c r="A160" s="25" t="s">
        <v>900</v>
      </c>
      <c r="B160" s="25" t="s">
        <v>661</v>
      </c>
      <c r="C160" s="25" t="s">
        <v>622</v>
      </c>
      <c r="D160" s="25" t="s">
        <v>712</v>
      </c>
      <c r="E160" s="25" t="s">
        <v>713</v>
      </c>
      <c r="F160" s="25" t="s">
        <v>714</v>
      </c>
      <c r="G160" s="25">
        <v>6</v>
      </c>
      <c r="H160" s="22">
        <v>24</v>
      </c>
      <c r="I160" s="25">
        <v>1</v>
      </c>
      <c r="J160" s="25" t="s">
        <v>665</v>
      </c>
      <c r="K160" s="42">
        <v>102007</v>
      </c>
      <c r="L160" s="25">
        <v>2</v>
      </c>
      <c r="M160" s="25" t="s">
        <v>70</v>
      </c>
      <c r="N160" s="25">
        <v>0</v>
      </c>
      <c r="O160" s="25">
        <v>20</v>
      </c>
      <c r="P160" s="25">
        <v>999</v>
      </c>
      <c r="Q160" s="25">
        <v>0</v>
      </c>
      <c r="R160" s="25">
        <v>20</v>
      </c>
      <c r="S160" s="25">
        <v>888</v>
      </c>
      <c r="T160" s="25" t="s">
        <v>876</v>
      </c>
      <c r="U160" s="25" t="s">
        <v>901</v>
      </c>
    </row>
    <row r="161" spans="1:21" s="22" customFormat="1">
      <c r="A161" s="25" t="s">
        <v>902</v>
      </c>
      <c r="B161" s="25" t="s">
        <v>661</v>
      </c>
      <c r="C161" s="25" t="s">
        <v>622</v>
      </c>
      <c r="D161" s="25" t="s">
        <v>716</v>
      </c>
      <c r="E161" s="25" t="s">
        <v>717</v>
      </c>
      <c r="F161" s="25" t="s">
        <v>718</v>
      </c>
      <c r="G161" s="25">
        <v>6</v>
      </c>
      <c r="H161" s="22">
        <v>24</v>
      </c>
      <c r="I161" s="25">
        <v>1</v>
      </c>
      <c r="J161" s="25" t="s">
        <v>665</v>
      </c>
      <c r="K161" s="42">
        <v>500607</v>
      </c>
      <c r="L161" s="25">
        <v>2</v>
      </c>
      <c r="M161" s="25" t="s">
        <v>70</v>
      </c>
      <c r="N161" s="25">
        <v>0</v>
      </c>
      <c r="O161" s="25">
        <v>20</v>
      </c>
      <c r="P161" s="25">
        <v>999</v>
      </c>
      <c r="Q161" s="25">
        <v>0</v>
      </c>
      <c r="R161" s="25">
        <v>20</v>
      </c>
      <c r="S161" s="25">
        <v>888</v>
      </c>
      <c r="T161" s="25" t="s">
        <v>876</v>
      </c>
      <c r="U161" s="25" t="s">
        <v>903</v>
      </c>
    </row>
    <row r="162" spans="1:21" s="22" customFormat="1">
      <c r="A162" s="25" t="s">
        <v>904</v>
      </c>
      <c r="B162" s="25" t="s">
        <v>661</v>
      </c>
      <c r="C162" s="25" t="s">
        <v>622</v>
      </c>
      <c r="D162" s="25" t="s">
        <v>720</v>
      </c>
      <c r="E162" s="25" t="s">
        <v>721</v>
      </c>
      <c r="F162" s="25" t="s">
        <v>722</v>
      </c>
      <c r="G162" s="25">
        <v>6</v>
      </c>
      <c r="H162" s="22">
        <v>24</v>
      </c>
      <c r="I162" s="25">
        <v>1</v>
      </c>
      <c r="J162" s="25" t="s">
        <v>665</v>
      </c>
      <c r="K162" s="42">
        <v>400907</v>
      </c>
      <c r="L162" s="25">
        <v>2</v>
      </c>
      <c r="M162" s="25" t="s">
        <v>70</v>
      </c>
      <c r="N162" s="25">
        <v>0</v>
      </c>
      <c r="O162" s="25">
        <v>20</v>
      </c>
      <c r="P162" s="25">
        <v>999</v>
      </c>
      <c r="Q162" s="25">
        <v>0</v>
      </c>
      <c r="R162" s="25">
        <v>20</v>
      </c>
      <c r="S162" s="25">
        <v>888</v>
      </c>
      <c r="T162" s="25" t="s">
        <v>876</v>
      </c>
      <c r="U162" s="25" t="s">
        <v>905</v>
      </c>
    </row>
    <row r="163" spans="1:21" s="22" customFormat="1">
      <c r="A163" s="25" t="s">
        <v>906</v>
      </c>
      <c r="B163" s="25" t="s">
        <v>661</v>
      </c>
      <c r="C163" s="25" t="s">
        <v>622</v>
      </c>
      <c r="D163" s="25" t="s">
        <v>724</v>
      </c>
      <c r="E163" s="25" t="s">
        <v>725</v>
      </c>
      <c r="F163" s="25" t="s">
        <v>726</v>
      </c>
      <c r="G163" s="25">
        <v>6</v>
      </c>
      <c r="H163" s="22">
        <v>24</v>
      </c>
      <c r="I163" s="25">
        <v>1</v>
      </c>
      <c r="J163" s="25" t="s">
        <v>665</v>
      </c>
      <c r="K163" s="42">
        <v>302007</v>
      </c>
      <c r="L163" s="25">
        <v>2</v>
      </c>
      <c r="M163" s="25" t="s">
        <v>70</v>
      </c>
      <c r="N163" s="25">
        <v>0</v>
      </c>
      <c r="O163" s="25">
        <v>20</v>
      </c>
      <c r="P163" s="25">
        <v>999</v>
      </c>
      <c r="Q163" s="25">
        <v>0</v>
      </c>
      <c r="R163" s="25">
        <v>20</v>
      </c>
      <c r="S163" s="25">
        <v>888</v>
      </c>
      <c r="T163" s="25" t="s">
        <v>876</v>
      </c>
      <c r="U163" s="25" t="s">
        <v>907</v>
      </c>
    </row>
    <row r="164" spans="1:21" s="22" customFormat="1">
      <c r="A164" s="25" t="s">
        <v>908</v>
      </c>
      <c r="B164" s="25" t="s">
        <v>661</v>
      </c>
      <c r="C164" s="25" t="s">
        <v>622</v>
      </c>
      <c r="D164" s="25" t="s">
        <v>728</v>
      </c>
      <c r="E164" s="25" t="s">
        <v>729</v>
      </c>
      <c r="F164" s="25" t="s">
        <v>730</v>
      </c>
      <c r="G164" s="25">
        <v>6</v>
      </c>
      <c r="H164" s="22">
        <v>24</v>
      </c>
      <c r="I164" s="25">
        <v>1</v>
      </c>
      <c r="J164" s="25" t="s">
        <v>665</v>
      </c>
      <c r="K164" s="42">
        <v>500907</v>
      </c>
      <c r="L164" s="25">
        <v>2</v>
      </c>
      <c r="M164" s="25" t="s">
        <v>70</v>
      </c>
      <c r="N164" s="25">
        <v>0</v>
      </c>
      <c r="O164" s="25">
        <v>20</v>
      </c>
      <c r="P164" s="25">
        <v>999</v>
      </c>
      <c r="Q164" s="25">
        <v>0</v>
      </c>
      <c r="R164" s="25">
        <v>20</v>
      </c>
      <c r="S164" s="25">
        <v>888</v>
      </c>
      <c r="T164" s="25" t="s">
        <v>876</v>
      </c>
      <c r="U164" s="25" t="s">
        <v>909</v>
      </c>
    </row>
    <row r="165" spans="1:21" s="22" customFormat="1">
      <c r="A165" s="25" t="s">
        <v>910</v>
      </c>
      <c r="B165" s="25" t="s">
        <v>661</v>
      </c>
      <c r="C165" s="25" t="s">
        <v>622</v>
      </c>
      <c r="D165" s="25" t="s">
        <v>732</v>
      </c>
      <c r="E165" s="25" t="s">
        <v>733</v>
      </c>
      <c r="F165" s="25" t="s">
        <v>734</v>
      </c>
      <c r="G165" s="25">
        <v>6</v>
      </c>
      <c r="H165" s="22">
        <v>24</v>
      </c>
      <c r="I165" s="25">
        <v>1</v>
      </c>
      <c r="J165" s="25" t="s">
        <v>665</v>
      </c>
      <c r="K165" s="42">
        <v>302207</v>
      </c>
      <c r="L165" s="25">
        <v>2</v>
      </c>
      <c r="M165" s="25" t="s">
        <v>70</v>
      </c>
      <c r="N165" s="25">
        <v>0</v>
      </c>
      <c r="O165" s="25">
        <v>20</v>
      </c>
      <c r="P165" s="25">
        <v>999</v>
      </c>
      <c r="Q165" s="25">
        <v>0</v>
      </c>
      <c r="R165" s="25">
        <v>20</v>
      </c>
      <c r="S165" s="25">
        <v>888</v>
      </c>
      <c r="T165" s="25" t="s">
        <v>876</v>
      </c>
      <c r="U165" s="25" t="s">
        <v>911</v>
      </c>
    </row>
    <row r="166" spans="1:21" s="22" customFormat="1">
      <c r="A166" s="25" t="s">
        <v>912</v>
      </c>
      <c r="B166" s="25" t="s">
        <v>661</v>
      </c>
      <c r="C166" s="25" t="s">
        <v>622</v>
      </c>
      <c r="D166" s="25" t="s">
        <v>736</v>
      </c>
      <c r="E166" s="25" t="s">
        <v>737</v>
      </c>
      <c r="F166" s="25" t="s">
        <v>738</v>
      </c>
      <c r="G166" s="25">
        <v>6</v>
      </c>
      <c r="H166" s="22">
        <v>24</v>
      </c>
      <c r="I166" s="25">
        <v>1</v>
      </c>
      <c r="J166" s="25" t="s">
        <v>665</v>
      </c>
      <c r="K166" s="42">
        <v>201807</v>
      </c>
      <c r="L166" s="25">
        <v>2</v>
      </c>
      <c r="M166" s="25" t="s">
        <v>70</v>
      </c>
      <c r="N166" s="25">
        <v>0</v>
      </c>
      <c r="O166" s="25">
        <v>20</v>
      </c>
      <c r="P166" s="25">
        <v>999</v>
      </c>
      <c r="Q166" s="25">
        <v>0</v>
      </c>
      <c r="R166" s="25">
        <v>20</v>
      </c>
      <c r="S166" s="25">
        <v>888</v>
      </c>
      <c r="T166" s="25" t="s">
        <v>876</v>
      </c>
      <c r="U166" s="25" t="s">
        <v>913</v>
      </c>
    </row>
    <row r="167" spans="1:21" s="22" customFormat="1">
      <c r="A167" s="25" t="s">
        <v>914</v>
      </c>
      <c r="B167" s="25" t="s">
        <v>661</v>
      </c>
      <c r="C167" s="25" t="s">
        <v>622</v>
      </c>
      <c r="D167" s="25" t="s">
        <v>740</v>
      </c>
      <c r="E167" s="25" t="s">
        <v>741</v>
      </c>
      <c r="F167" s="25" t="s">
        <v>742</v>
      </c>
      <c r="G167" s="25">
        <v>6</v>
      </c>
      <c r="H167" s="22">
        <v>24</v>
      </c>
      <c r="I167" s="25">
        <v>1</v>
      </c>
      <c r="J167" s="25" t="s">
        <v>665</v>
      </c>
      <c r="K167" s="42">
        <v>501307</v>
      </c>
      <c r="L167" s="25">
        <v>2</v>
      </c>
      <c r="M167" s="25" t="s">
        <v>70</v>
      </c>
      <c r="N167" s="25">
        <v>0</v>
      </c>
      <c r="O167" s="25">
        <v>20</v>
      </c>
      <c r="P167" s="25">
        <v>999</v>
      </c>
      <c r="Q167" s="25">
        <v>0</v>
      </c>
      <c r="R167" s="25">
        <v>20</v>
      </c>
      <c r="S167" s="25">
        <v>888</v>
      </c>
      <c r="T167" s="25" t="s">
        <v>876</v>
      </c>
      <c r="U167" s="25" t="s">
        <v>915</v>
      </c>
    </row>
    <row r="168" spans="1:21" s="22" customFormat="1">
      <c r="A168" s="25" t="s">
        <v>916</v>
      </c>
      <c r="B168" s="25" t="s">
        <v>661</v>
      </c>
      <c r="C168" s="25" t="s">
        <v>622</v>
      </c>
      <c r="D168" s="25" t="s">
        <v>744</v>
      </c>
      <c r="E168" s="25" t="s">
        <v>745</v>
      </c>
      <c r="F168" s="25" t="s">
        <v>746</v>
      </c>
      <c r="G168" s="25">
        <v>6</v>
      </c>
      <c r="H168" s="22">
        <v>24</v>
      </c>
      <c r="I168" s="25">
        <v>1</v>
      </c>
      <c r="J168" s="25" t="s">
        <v>665</v>
      </c>
      <c r="K168" s="42">
        <v>401407</v>
      </c>
      <c r="L168" s="25">
        <v>2</v>
      </c>
      <c r="M168" s="25" t="s">
        <v>70</v>
      </c>
      <c r="N168" s="25">
        <v>0</v>
      </c>
      <c r="O168" s="25">
        <v>20</v>
      </c>
      <c r="P168" s="25">
        <v>999</v>
      </c>
      <c r="Q168" s="25">
        <v>0</v>
      </c>
      <c r="R168" s="25">
        <v>20</v>
      </c>
      <c r="S168" s="25">
        <v>888</v>
      </c>
      <c r="T168" s="25" t="s">
        <v>876</v>
      </c>
      <c r="U168" s="25" t="s">
        <v>917</v>
      </c>
    </row>
    <row r="169" spans="1:21" s="22" customFormat="1">
      <c r="A169" s="25" t="s">
        <v>918</v>
      </c>
      <c r="B169" s="25" t="s">
        <v>661</v>
      </c>
      <c r="C169" s="25" t="s">
        <v>622</v>
      </c>
      <c r="D169" s="25" t="s">
        <v>748</v>
      </c>
      <c r="E169" s="25" t="s">
        <v>749</v>
      </c>
      <c r="F169" s="25" t="s">
        <v>750</v>
      </c>
      <c r="G169" s="25">
        <v>6</v>
      </c>
      <c r="H169" s="22">
        <v>24</v>
      </c>
      <c r="I169" s="25">
        <v>1</v>
      </c>
      <c r="J169" s="25" t="s">
        <v>665</v>
      </c>
      <c r="K169" s="42">
        <v>102307</v>
      </c>
      <c r="L169" s="25">
        <v>2</v>
      </c>
      <c r="M169" s="25" t="s">
        <v>70</v>
      </c>
      <c r="N169" s="25">
        <v>0</v>
      </c>
      <c r="O169" s="25">
        <v>20</v>
      </c>
      <c r="P169" s="25">
        <v>999</v>
      </c>
      <c r="Q169" s="25">
        <v>0</v>
      </c>
      <c r="R169" s="25">
        <v>20</v>
      </c>
      <c r="S169" s="25">
        <v>888</v>
      </c>
      <c r="T169" s="25" t="s">
        <v>876</v>
      </c>
      <c r="U169" s="25" t="s">
        <v>919</v>
      </c>
    </row>
    <row r="170" spans="1:21" s="22" customFormat="1">
      <c r="A170" s="25" t="s">
        <v>920</v>
      </c>
      <c r="B170" s="25" t="s">
        <v>661</v>
      </c>
      <c r="C170" s="25" t="s">
        <v>622</v>
      </c>
      <c r="D170" s="25" t="s">
        <v>752</v>
      </c>
      <c r="E170" s="25" t="s">
        <v>753</v>
      </c>
      <c r="F170" s="25" t="s">
        <v>754</v>
      </c>
      <c r="G170" s="25">
        <v>6</v>
      </c>
      <c r="H170" s="22">
        <v>24</v>
      </c>
      <c r="I170" s="25">
        <v>1</v>
      </c>
      <c r="J170" s="25" t="s">
        <v>665</v>
      </c>
      <c r="K170" s="42">
        <v>501007</v>
      </c>
      <c r="L170" s="25">
        <v>2</v>
      </c>
      <c r="M170" s="25" t="s">
        <v>70</v>
      </c>
      <c r="N170" s="25">
        <v>0</v>
      </c>
      <c r="O170" s="25">
        <v>20</v>
      </c>
      <c r="P170" s="25">
        <v>999</v>
      </c>
      <c r="Q170" s="25">
        <v>0</v>
      </c>
      <c r="R170" s="25">
        <v>20</v>
      </c>
      <c r="S170" s="25">
        <v>888</v>
      </c>
      <c r="T170" s="25" t="s">
        <v>876</v>
      </c>
      <c r="U170" s="25" t="s">
        <v>921</v>
      </c>
    </row>
    <row r="171" spans="1:21" s="22" customFormat="1">
      <c r="A171" s="25" t="s">
        <v>922</v>
      </c>
      <c r="B171" s="25" t="s">
        <v>661</v>
      </c>
      <c r="C171" s="25" t="s">
        <v>622</v>
      </c>
      <c r="D171" s="25" t="s">
        <v>756</v>
      </c>
      <c r="E171" s="25" t="s">
        <v>757</v>
      </c>
      <c r="F171" s="25" t="s">
        <v>758</v>
      </c>
      <c r="G171" s="25">
        <v>6</v>
      </c>
      <c r="H171" s="22">
        <v>24</v>
      </c>
      <c r="I171" s="25">
        <v>1</v>
      </c>
      <c r="J171" s="25" t="s">
        <v>665</v>
      </c>
      <c r="K171" s="42">
        <v>401007</v>
      </c>
      <c r="L171" s="25">
        <v>2</v>
      </c>
      <c r="M171" s="25" t="s">
        <v>70</v>
      </c>
      <c r="N171" s="25">
        <v>0</v>
      </c>
      <c r="O171" s="25">
        <v>20</v>
      </c>
      <c r="P171" s="25">
        <v>999</v>
      </c>
      <c r="Q171" s="25">
        <v>0</v>
      </c>
      <c r="R171" s="25">
        <v>20</v>
      </c>
      <c r="S171" s="25">
        <v>888</v>
      </c>
      <c r="T171" s="25" t="s">
        <v>876</v>
      </c>
      <c r="U171" s="25" t="s">
        <v>923</v>
      </c>
    </row>
    <row r="172" spans="1:21" s="22" customFormat="1">
      <c r="A172" s="25" t="s">
        <v>924</v>
      </c>
      <c r="B172" s="25" t="s">
        <v>661</v>
      </c>
      <c r="C172" s="25" t="s">
        <v>622</v>
      </c>
      <c r="D172" s="25" t="s">
        <v>760</v>
      </c>
      <c r="E172" s="25" t="s">
        <v>761</v>
      </c>
      <c r="F172" s="25" t="s">
        <v>762</v>
      </c>
      <c r="G172" s="25">
        <v>6</v>
      </c>
      <c r="H172" s="22">
        <v>24</v>
      </c>
      <c r="I172" s="25">
        <v>1</v>
      </c>
      <c r="J172" s="25" t="s">
        <v>665</v>
      </c>
      <c r="K172" s="42">
        <v>400807</v>
      </c>
      <c r="L172" s="25">
        <v>2</v>
      </c>
      <c r="M172" s="25" t="s">
        <v>70</v>
      </c>
      <c r="N172" s="25">
        <v>0</v>
      </c>
      <c r="O172" s="25">
        <v>20</v>
      </c>
      <c r="P172" s="25">
        <v>999</v>
      </c>
      <c r="Q172" s="25">
        <v>0</v>
      </c>
      <c r="R172" s="25">
        <v>20</v>
      </c>
      <c r="S172" s="25">
        <v>888</v>
      </c>
      <c r="T172" s="25" t="s">
        <v>876</v>
      </c>
      <c r="U172" s="25" t="s">
        <v>925</v>
      </c>
    </row>
    <row r="173" spans="1:21" s="22" customFormat="1">
      <c r="A173" s="25" t="s">
        <v>926</v>
      </c>
      <c r="B173" s="25" t="s">
        <v>661</v>
      </c>
      <c r="C173" s="25" t="s">
        <v>622</v>
      </c>
      <c r="D173" s="25" t="s">
        <v>764</v>
      </c>
      <c r="E173" s="25" t="s">
        <v>765</v>
      </c>
      <c r="F173" s="25" t="s">
        <v>766</v>
      </c>
      <c r="G173" s="25">
        <v>6</v>
      </c>
      <c r="H173" s="22">
        <v>24</v>
      </c>
      <c r="I173" s="25">
        <v>1</v>
      </c>
      <c r="J173" s="25" t="s">
        <v>665</v>
      </c>
      <c r="K173" s="42">
        <v>401307</v>
      </c>
      <c r="L173" s="25">
        <v>2</v>
      </c>
      <c r="M173" s="25" t="s">
        <v>70</v>
      </c>
      <c r="N173" s="25">
        <v>0</v>
      </c>
      <c r="O173" s="25">
        <v>20</v>
      </c>
      <c r="P173" s="25">
        <v>999</v>
      </c>
      <c r="Q173" s="25">
        <v>0</v>
      </c>
      <c r="R173" s="25">
        <v>20</v>
      </c>
      <c r="S173" s="25">
        <v>888</v>
      </c>
      <c r="T173" s="25" t="s">
        <v>876</v>
      </c>
      <c r="U173" s="25" t="s">
        <v>927</v>
      </c>
    </row>
    <row r="174" spans="1:21" s="22" customFormat="1">
      <c r="A174" s="25" t="s">
        <v>928</v>
      </c>
      <c r="B174" s="25" t="s">
        <v>661</v>
      </c>
      <c r="C174" s="25" t="s">
        <v>622</v>
      </c>
      <c r="D174" s="25" t="s">
        <v>768</v>
      </c>
      <c r="E174" s="25" t="s">
        <v>769</v>
      </c>
      <c r="F174" s="25" t="s">
        <v>770</v>
      </c>
      <c r="G174" s="25">
        <v>6</v>
      </c>
      <c r="H174" s="22">
        <v>24</v>
      </c>
      <c r="I174" s="25">
        <v>1</v>
      </c>
      <c r="J174" s="25" t="s">
        <v>665</v>
      </c>
      <c r="K174" s="42">
        <v>500807</v>
      </c>
      <c r="L174" s="25">
        <v>2</v>
      </c>
      <c r="M174" s="25" t="s">
        <v>70</v>
      </c>
      <c r="N174" s="25">
        <v>0</v>
      </c>
      <c r="O174" s="25">
        <v>20</v>
      </c>
      <c r="P174" s="25">
        <v>999</v>
      </c>
      <c r="Q174" s="25">
        <v>0</v>
      </c>
      <c r="R174" s="25">
        <v>20</v>
      </c>
      <c r="S174" s="25">
        <v>888</v>
      </c>
      <c r="T174" s="25" t="s">
        <v>876</v>
      </c>
      <c r="U174" s="25" t="s">
        <v>929</v>
      </c>
    </row>
    <row r="175" spans="1:21" s="22" customFormat="1">
      <c r="A175" s="25" t="s">
        <v>930</v>
      </c>
      <c r="B175" s="25" t="s">
        <v>661</v>
      </c>
      <c r="C175" s="25" t="s">
        <v>622</v>
      </c>
      <c r="D175" s="25" t="s">
        <v>772</v>
      </c>
      <c r="E175" s="25" t="s">
        <v>773</v>
      </c>
      <c r="F175" s="25" t="s">
        <v>774</v>
      </c>
      <c r="G175" s="25">
        <v>6</v>
      </c>
      <c r="H175" s="22">
        <v>24</v>
      </c>
      <c r="I175" s="25">
        <v>1</v>
      </c>
      <c r="J175" s="25" t="s">
        <v>665</v>
      </c>
      <c r="K175" s="42">
        <v>501407</v>
      </c>
      <c r="L175" s="25">
        <v>2</v>
      </c>
      <c r="M175" s="25" t="s">
        <v>70</v>
      </c>
      <c r="N175" s="25">
        <v>0</v>
      </c>
      <c r="O175" s="25">
        <v>20</v>
      </c>
      <c r="P175" s="25">
        <v>999</v>
      </c>
      <c r="Q175" s="25">
        <v>0</v>
      </c>
      <c r="R175" s="25">
        <v>20</v>
      </c>
      <c r="S175" s="25">
        <v>888</v>
      </c>
      <c r="T175" s="25" t="s">
        <v>876</v>
      </c>
      <c r="U175" s="25" t="s">
        <v>931</v>
      </c>
    </row>
    <row r="176" spans="1:21" s="22" customFormat="1">
      <c r="A176" s="25" t="s">
        <v>932</v>
      </c>
      <c r="B176" s="25" t="s">
        <v>661</v>
      </c>
      <c r="C176" s="25" t="s">
        <v>622</v>
      </c>
      <c r="D176" s="25" t="s">
        <v>776</v>
      </c>
      <c r="E176" s="25" t="s">
        <v>777</v>
      </c>
      <c r="F176" s="25" t="s">
        <v>778</v>
      </c>
      <c r="G176" s="25">
        <v>6</v>
      </c>
      <c r="H176" s="22">
        <v>24</v>
      </c>
      <c r="I176" s="25">
        <v>1</v>
      </c>
      <c r="J176" s="25" t="s">
        <v>665</v>
      </c>
      <c r="K176" s="42">
        <v>301607</v>
      </c>
      <c r="L176" s="25">
        <v>2</v>
      </c>
      <c r="M176" s="25" t="s">
        <v>70</v>
      </c>
      <c r="N176" s="25">
        <v>0</v>
      </c>
      <c r="O176" s="25">
        <v>20</v>
      </c>
      <c r="P176" s="25">
        <v>999</v>
      </c>
      <c r="Q176" s="25">
        <v>0</v>
      </c>
      <c r="R176" s="25">
        <v>20</v>
      </c>
      <c r="S176" s="25">
        <v>888</v>
      </c>
      <c r="T176" s="25" t="s">
        <v>876</v>
      </c>
      <c r="U176" s="25" t="s">
        <v>933</v>
      </c>
    </row>
    <row r="177" spans="1:21" s="22" customFormat="1">
      <c r="A177" s="25" t="s">
        <v>934</v>
      </c>
      <c r="B177" s="25" t="s">
        <v>661</v>
      </c>
      <c r="C177" s="25" t="s">
        <v>622</v>
      </c>
      <c r="D177" s="25" t="s">
        <v>780</v>
      </c>
      <c r="E177" s="25" t="s">
        <v>781</v>
      </c>
      <c r="F177" s="25" t="s">
        <v>782</v>
      </c>
      <c r="G177" s="25">
        <v>6</v>
      </c>
      <c r="H177" s="22">
        <v>24</v>
      </c>
      <c r="I177" s="25">
        <v>1</v>
      </c>
      <c r="J177" s="25" t="s">
        <v>665</v>
      </c>
      <c r="K177" s="42">
        <v>201507</v>
      </c>
      <c r="L177" s="25">
        <v>2</v>
      </c>
      <c r="M177" s="25" t="s">
        <v>70</v>
      </c>
      <c r="N177" s="25">
        <v>0</v>
      </c>
      <c r="O177" s="25">
        <v>20</v>
      </c>
      <c r="P177" s="25">
        <v>999</v>
      </c>
      <c r="Q177" s="25">
        <v>0</v>
      </c>
      <c r="R177" s="25">
        <v>20</v>
      </c>
      <c r="S177" s="25">
        <v>888</v>
      </c>
      <c r="T177" s="25" t="s">
        <v>876</v>
      </c>
      <c r="U177" s="25" t="s">
        <v>935</v>
      </c>
    </row>
    <row r="178" spans="1:21" s="22" customFormat="1">
      <c r="A178" s="25" t="s">
        <v>936</v>
      </c>
      <c r="B178" s="25" t="s">
        <v>661</v>
      </c>
      <c r="C178" s="25" t="s">
        <v>622</v>
      </c>
      <c r="D178" s="25" t="s">
        <v>784</v>
      </c>
      <c r="E178" s="25" t="s">
        <v>785</v>
      </c>
      <c r="F178" s="25" t="s">
        <v>786</v>
      </c>
      <c r="G178" s="25">
        <v>6</v>
      </c>
      <c r="H178" s="22">
        <v>24</v>
      </c>
      <c r="I178" s="25">
        <v>1</v>
      </c>
      <c r="J178" s="25" t="s">
        <v>665</v>
      </c>
      <c r="K178" s="42">
        <v>202307</v>
      </c>
      <c r="L178" s="25">
        <v>2</v>
      </c>
      <c r="M178" s="25" t="s">
        <v>70</v>
      </c>
      <c r="N178" s="25">
        <v>0</v>
      </c>
      <c r="O178" s="25">
        <v>20</v>
      </c>
      <c r="P178" s="25">
        <v>999</v>
      </c>
      <c r="Q178" s="25">
        <v>0</v>
      </c>
      <c r="R178" s="25">
        <v>20</v>
      </c>
      <c r="S178" s="25">
        <v>888</v>
      </c>
      <c r="T178" s="25" t="s">
        <v>876</v>
      </c>
      <c r="U178" s="25" t="s">
        <v>937</v>
      </c>
    </row>
    <row r="179" spans="1:21" s="22" customFormat="1">
      <c r="A179" s="25" t="s">
        <v>938</v>
      </c>
      <c r="B179" s="25" t="s">
        <v>661</v>
      </c>
      <c r="C179" s="25" t="s">
        <v>622</v>
      </c>
      <c r="D179" s="25" t="s">
        <v>788</v>
      </c>
      <c r="E179" s="25" t="s">
        <v>789</v>
      </c>
      <c r="F179" s="25" t="s">
        <v>790</v>
      </c>
      <c r="G179" s="25">
        <v>6</v>
      </c>
      <c r="H179" s="22">
        <v>24</v>
      </c>
      <c r="I179" s="25">
        <v>1</v>
      </c>
      <c r="J179" s="25" t="s">
        <v>665</v>
      </c>
      <c r="K179" s="42">
        <v>202007</v>
      </c>
      <c r="L179" s="25">
        <v>2</v>
      </c>
      <c r="M179" s="25" t="s">
        <v>70</v>
      </c>
      <c r="N179" s="25">
        <v>0</v>
      </c>
      <c r="O179" s="25">
        <v>20</v>
      </c>
      <c r="P179" s="25">
        <v>999</v>
      </c>
      <c r="Q179" s="25">
        <v>0</v>
      </c>
      <c r="R179" s="25">
        <v>20</v>
      </c>
      <c r="S179" s="25">
        <v>888</v>
      </c>
      <c r="T179" s="25" t="s">
        <v>876</v>
      </c>
      <c r="U179" s="25" t="s">
        <v>939</v>
      </c>
    </row>
    <row r="180" spans="1:21" s="22" customFormat="1">
      <c r="A180" s="25" t="s">
        <v>940</v>
      </c>
      <c r="B180" s="25" t="s">
        <v>661</v>
      </c>
      <c r="C180" s="25" t="s">
        <v>622</v>
      </c>
      <c r="D180" s="25" t="s">
        <v>792</v>
      </c>
      <c r="E180" s="25" t="s">
        <v>793</v>
      </c>
      <c r="F180" s="25" t="s">
        <v>794</v>
      </c>
      <c r="G180" s="25">
        <v>6</v>
      </c>
      <c r="H180" s="22">
        <v>24</v>
      </c>
      <c r="I180" s="25">
        <v>1</v>
      </c>
      <c r="J180" s="25" t="s">
        <v>665</v>
      </c>
      <c r="K180" s="42">
        <v>101407</v>
      </c>
      <c r="L180" s="25">
        <v>2</v>
      </c>
      <c r="M180" s="25" t="s">
        <v>70</v>
      </c>
      <c r="N180" s="25">
        <v>0</v>
      </c>
      <c r="O180" s="25">
        <v>20</v>
      </c>
      <c r="P180" s="25">
        <v>999</v>
      </c>
      <c r="Q180" s="25">
        <v>0</v>
      </c>
      <c r="R180" s="25">
        <v>20</v>
      </c>
      <c r="S180" s="25">
        <v>888</v>
      </c>
      <c r="T180" s="25" t="s">
        <v>876</v>
      </c>
      <c r="U180" s="25" t="s">
        <v>941</v>
      </c>
    </row>
    <row r="181" spans="1:21" s="22" customFormat="1">
      <c r="A181" s="25" t="s">
        <v>942</v>
      </c>
      <c r="B181" s="25" t="s">
        <v>661</v>
      </c>
      <c r="C181" s="25" t="s">
        <v>622</v>
      </c>
      <c r="D181" s="25" t="s">
        <v>796</v>
      </c>
      <c r="E181" s="25" t="s">
        <v>797</v>
      </c>
      <c r="F181" s="25" t="s">
        <v>798</v>
      </c>
      <c r="G181" s="25">
        <v>6</v>
      </c>
      <c r="H181" s="22">
        <v>24</v>
      </c>
      <c r="I181" s="25">
        <v>1</v>
      </c>
      <c r="J181" s="25" t="s">
        <v>665</v>
      </c>
      <c r="K181" s="42">
        <v>202407</v>
      </c>
      <c r="L181" s="25">
        <v>2</v>
      </c>
      <c r="M181" s="25" t="s">
        <v>70</v>
      </c>
      <c r="N181" s="25">
        <v>0</v>
      </c>
      <c r="O181" s="25">
        <v>20</v>
      </c>
      <c r="P181" s="25">
        <v>999</v>
      </c>
      <c r="Q181" s="25">
        <v>0</v>
      </c>
      <c r="R181" s="25">
        <v>20</v>
      </c>
      <c r="S181" s="25">
        <v>888</v>
      </c>
      <c r="T181" s="25" t="s">
        <v>876</v>
      </c>
      <c r="U181" s="25" t="s">
        <v>943</v>
      </c>
    </row>
    <row r="182" spans="1:21" s="22" customFormat="1">
      <c r="A182" s="25" t="s">
        <v>944</v>
      </c>
      <c r="B182" s="25" t="s">
        <v>661</v>
      </c>
      <c r="C182" s="25" t="s">
        <v>622</v>
      </c>
      <c r="D182" s="25" t="s">
        <v>801</v>
      </c>
      <c r="E182" s="25" t="s">
        <v>802</v>
      </c>
      <c r="F182" s="25" t="s">
        <v>803</v>
      </c>
      <c r="G182" s="25">
        <v>6</v>
      </c>
      <c r="H182" s="22">
        <v>24</v>
      </c>
      <c r="I182" s="25">
        <v>1</v>
      </c>
      <c r="J182" s="25" t="s">
        <v>665</v>
      </c>
      <c r="K182" s="42">
        <v>302107</v>
      </c>
      <c r="L182" s="25">
        <v>2</v>
      </c>
      <c r="M182" s="25" t="s">
        <v>70</v>
      </c>
      <c r="N182" s="25">
        <v>0</v>
      </c>
      <c r="O182" s="25">
        <v>20</v>
      </c>
      <c r="P182" s="25">
        <v>999</v>
      </c>
      <c r="Q182" s="25">
        <v>0</v>
      </c>
      <c r="R182" s="25">
        <v>20</v>
      </c>
      <c r="S182" s="25">
        <v>888</v>
      </c>
      <c r="T182" s="25" t="s">
        <v>876</v>
      </c>
      <c r="U182" s="25" t="s">
        <v>945</v>
      </c>
    </row>
    <row r="183" spans="1:21" s="22" customFormat="1">
      <c r="A183" s="25" t="s">
        <v>946</v>
      </c>
      <c r="B183" s="25" t="s">
        <v>661</v>
      </c>
      <c r="C183" s="25" t="s">
        <v>622</v>
      </c>
      <c r="D183" s="25" t="s">
        <v>806</v>
      </c>
      <c r="E183" s="25" t="s">
        <v>807</v>
      </c>
      <c r="F183" s="25" t="s">
        <v>808</v>
      </c>
      <c r="G183" s="25">
        <v>6</v>
      </c>
      <c r="H183" s="22">
        <v>24</v>
      </c>
      <c r="I183" s="25">
        <v>1</v>
      </c>
      <c r="J183" s="25" t="s">
        <v>665</v>
      </c>
      <c r="K183" s="42">
        <v>302307</v>
      </c>
      <c r="L183" s="25">
        <v>2</v>
      </c>
      <c r="M183" s="25" t="s">
        <v>70</v>
      </c>
      <c r="N183" s="25">
        <v>0</v>
      </c>
      <c r="O183" s="25">
        <v>20</v>
      </c>
      <c r="P183" s="25">
        <v>999</v>
      </c>
      <c r="Q183" s="25">
        <v>0</v>
      </c>
      <c r="R183" s="25">
        <v>20</v>
      </c>
      <c r="S183" s="25">
        <v>888</v>
      </c>
      <c r="T183" s="25" t="s">
        <v>876</v>
      </c>
      <c r="U183" s="25" t="s">
        <v>947</v>
      </c>
    </row>
    <row r="184" spans="1:21" s="22" customFormat="1">
      <c r="A184" s="25" t="s">
        <v>948</v>
      </c>
      <c r="B184" s="25" t="s">
        <v>661</v>
      </c>
      <c r="C184" s="25" t="s">
        <v>622</v>
      </c>
      <c r="D184" s="25" t="s">
        <v>811</v>
      </c>
      <c r="E184" s="25" t="s">
        <v>812</v>
      </c>
      <c r="F184" s="25" t="s">
        <v>813</v>
      </c>
      <c r="G184" s="25">
        <v>6</v>
      </c>
      <c r="H184" s="22">
        <v>24</v>
      </c>
      <c r="I184" s="25">
        <v>1</v>
      </c>
      <c r="J184" s="25" t="s">
        <v>665</v>
      </c>
      <c r="K184" s="42">
        <v>202107</v>
      </c>
      <c r="L184" s="25">
        <v>2</v>
      </c>
      <c r="M184" s="25" t="s">
        <v>70</v>
      </c>
      <c r="N184" s="25">
        <v>0</v>
      </c>
      <c r="O184" s="25">
        <v>20</v>
      </c>
      <c r="P184" s="25">
        <v>999</v>
      </c>
      <c r="Q184" s="25">
        <v>0</v>
      </c>
      <c r="R184" s="25">
        <v>20</v>
      </c>
      <c r="S184" s="25">
        <v>888</v>
      </c>
      <c r="T184" s="25" t="s">
        <v>876</v>
      </c>
      <c r="U184" s="25" t="s">
        <v>949</v>
      </c>
    </row>
    <row r="185" spans="1:21" s="22" customFormat="1">
      <c r="A185" s="25" t="s">
        <v>950</v>
      </c>
      <c r="B185" s="25" t="s">
        <v>661</v>
      </c>
      <c r="C185" s="25" t="s">
        <v>622</v>
      </c>
      <c r="D185" s="25" t="s">
        <v>816</v>
      </c>
      <c r="E185" s="25" t="s">
        <v>817</v>
      </c>
      <c r="F185" s="25" t="s">
        <v>818</v>
      </c>
      <c r="G185" s="25">
        <v>6</v>
      </c>
      <c r="H185" s="22">
        <v>24</v>
      </c>
      <c r="I185" s="25">
        <v>1</v>
      </c>
      <c r="J185" s="25" t="s">
        <v>665</v>
      </c>
      <c r="K185" s="42">
        <v>101807</v>
      </c>
      <c r="L185" s="25">
        <v>2</v>
      </c>
      <c r="M185" s="25" t="s">
        <v>70</v>
      </c>
      <c r="N185" s="25">
        <v>0</v>
      </c>
      <c r="O185" s="25">
        <v>20</v>
      </c>
      <c r="P185" s="25">
        <v>999</v>
      </c>
      <c r="Q185" s="25">
        <v>0</v>
      </c>
      <c r="R185" s="25">
        <v>20</v>
      </c>
      <c r="S185" s="25">
        <v>888</v>
      </c>
      <c r="T185" s="25" t="s">
        <v>876</v>
      </c>
      <c r="U185" s="25" t="s">
        <v>951</v>
      </c>
    </row>
    <row r="186" spans="1:21" s="22" customFormat="1">
      <c r="A186" s="25" t="s">
        <v>952</v>
      </c>
      <c r="B186" s="25" t="s">
        <v>661</v>
      </c>
      <c r="C186" s="25" t="s">
        <v>622</v>
      </c>
      <c r="D186" s="25" t="s">
        <v>821</v>
      </c>
      <c r="E186" s="25" t="s">
        <v>953</v>
      </c>
      <c r="F186" s="25" t="s">
        <v>823</v>
      </c>
      <c r="G186" s="25">
        <v>6</v>
      </c>
      <c r="H186" s="22">
        <v>24</v>
      </c>
      <c r="I186" s="25">
        <v>1</v>
      </c>
      <c r="J186" s="25" t="s">
        <v>665</v>
      </c>
      <c r="K186" s="42">
        <v>301707</v>
      </c>
      <c r="L186" s="25">
        <v>2</v>
      </c>
      <c r="M186" s="25" t="s">
        <v>70</v>
      </c>
      <c r="N186" s="25">
        <v>0</v>
      </c>
      <c r="O186" s="25">
        <v>20</v>
      </c>
      <c r="P186" s="25">
        <v>999</v>
      </c>
      <c r="Q186" s="25">
        <v>0</v>
      </c>
      <c r="R186" s="25">
        <v>20</v>
      </c>
      <c r="S186" s="25">
        <v>888</v>
      </c>
      <c r="T186" s="25" t="s">
        <v>876</v>
      </c>
      <c r="U186" s="25" t="s">
        <v>954</v>
      </c>
    </row>
    <row r="187" spans="1:21" s="22" customFormat="1">
      <c r="A187" s="25" t="s">
        <v>955</v>
      </c>
      <c r="B187" s="25" t="s">
        <v>661</v>
      </c>
      <c r="C187" s="25" t="s">
        <v>622</v>
      </c>
      <c r="D187" s="25" t="s">
        <v>826</v>
      </c>
      <c r="E187" s="25" t="s">
        <v>827</v>
      </c>
      <c r="F187" s="25" t="s">
        <v>828</v>
      </c>
      <c r="G187" s="25">
        <v>6</v>
      </c>
      <c r="H187" s="22">
        <v>24</v>
      </c>
      <c r="I187" s="25">
        <v>1</v>
      </c>
      <c r="J187" s="25" t="s">
        <v>665</v>
      </c>
      <c r="K187" s="42">
        <v>501507</v>
      </c>
      <c r="L187" s="25">
        <v>2</v>
      </c>
      <c r="M187" s="25" t="s">
        <v>70</v>
      </c>
      <c r="N187" s="25">
        <v>0</v>
      </c>
      <c r="O187" s="25">
        <v>20</v>
      </c>
      <c r="P187" s="25">
        <v>999</v>
      </c>
      <c r="Q187" s="25">
        <v>0</v>
      </c>
      <c r="R187" s="25">
        <v>20</v>
      </c>
      <c r="S187" s="25">
        <v>888</v>
      </c>
      <c r="T187" s="25" t="s">
        <v>876</v>
      </c>
      <c r="U187" s="25" t="s">
        <v>956</v>
      </c>
    </row>
    <row r="188" spans="1:21" s="22" customFormat="1">
      <c r="A188" s="25" t="s">
        <v>957</v>
      </c>
      <c r="B188" s="25" t="s">
        <v>661</v>
      </c>
      <c r="C188" s="25" t="s">
        <v>622</v>
      </c>
      <c r="D188" s="25" t="s">
        <v>831</v>
      </c>
      <c r="E188" s="25" t="s">
        <v>832</v>
      </c>
      <c r="F188" s="25" t="s">
        <v>833</v>
      </c>
      <c r="G188" s="25">
        <v>6</v>
      </c>
      <c r="H188" s="22">
        <v>24</v>
      </c>
      <c r="I188" s="25">
        <v>1</v>
      </c>
      <c r="J188" s="25" t="s">
        <v>665</v>
      </c>
      <c r="K188" s="42">
        <v>501607</v>
      </c>
      <c r="L188" s="25">
        <v>2</v>
      </c>
      <c r="M188" s="25" t="s">
        <v>70</v>
      </c>
      <c r="N188" s="25">
        <v>0</v>
      </c>
      <c r="O188" s="25">
        <v>20</v>
      </c>
      <c r="P188" s="25">
        <v>999</v>
      </c>
      <c r="Q188" s="25">
        <v>0</v>
      </c>
      <c r="R188" s="25">
        <v>20</v>
      </c>
      <c r="S188" s="25">
        <v>888</v>
      </c>
      <c r="T188" s="25" t="s">
        <v>876</v>
      </c>
      <c r="U188" s="25" t="s">
        <v>958</v>
      </c>
    </row>
    <row r="189" spans="1:21" s="22" customFormat="1">
      <c r="A189" s="25" t="s">
        <v>959</v>
      </c>
      <c r="B189" s="25" t="s">
        <v>661</v>
      </c>
      <c r="C189" s="25" t="s">
        <v>622</v>
      </c>
      <c r="D189" s="25" t="s">
        <v>836</v>
      </c>
      <c r="E189" s="25" t="s">
        <v>960</v>
      </c>
      <c r="F189" s="25" t="s">
        <v>838</v>
      </c>
      <c r="G189" s="25">
        <v>6</v>
      </c>
      <c r="H189" s="22">
        <v>24</v>
      </c>
      <c r="I189" s="25">
        <v>1</v>
      </c>
      <c r="J189" s="25" t="s">
        <v>665</v>
      </c>
      <c r="K189" s="42">
        <v>401507</v>
      </c>
      <c r="L189" s="25">
        <v>2</v>
      </c>
      <c r="M189" s="25" t="s">
        <v>70</v>
      </c>
      <c r="N189" s="25">
        <v>0</v>
      </c>
      <c r="O189" s="25">
        <v>20</v>
      </c>
      <c r="P189" s="25">
        <v>999</v>
      </c>
      <c r="Q189" s="25">
        <v>0</v>
      </c>
      <c r="R189" s="25">
        <v>20</v>
      </c>
      <c r="S189" s="25">
        <v>888</v>
      </c>
      <c r="T189" s="25" t="s">
        <v>876</v>
      </c>
      <c r="U189" s="25" t="s">
        <v>961</v>
      </c>
    </row>
    <row r="190" spans="1:21" s="22" customFormat="1">
      <c r="A190" s="25" t="s">
        <v>962</v>
      </c>
      <c r="B190" s="25" t="s">
        <v>661</v>
      </c>
      <c r="C190" s="25" t="s">
        <v>622</v>
      </c>
      <c r="D190" s="25" t="s">
        <v>841</v>
      </c>
      <c r="E190" s="25" t="s">
        <v>842</v>
      </c>
      <c r="F190" s="25" t="s">
        <v>843</v>
      </c>
      <c r="G190" s="25">
        <v>6</v>
      </c>
      <c r="H190" s="22">
        <v>24</v>
      </c>
      <c r="I190" s="25">
        <v>1</v>
      </c>
      <c r="J190" s="25" t="s">
        <v>665</v>
      </c>
      <c r="K190" s="42">
        <v>401607</v>
      </c>
      <c r="L190" s="25">
        <v>2</v>
      </c>
      <c r="M190" s="25" t="s">
        <v>70</v>
      </c>
      <c r="N190" s="25">
        <v>0</v>
      </c>
      <c r="O190" s="25">
        <v>20</v>
      </c>
      <c r="P190" s="25">
        <v>999</v>
      </c>
      <c r="Q190" s="25">
        <v>0</v>
      </c>
      <c r="R190" s="25">
        <v>20</v>
      </c>
      <c r="S190" s="25">
        <v>888</v>
      </c>
      <c r="T190" s="25" t="s">
        <v>876</v>
      </c>
      <c r="U190" s="25" t="s">
        <v>963</v>
      </c>
    </row>
    <row r="191" spans="1:21" s="22" customFormat="1">
      <c r="A191" s="25" t="s">
        <v>964</v>
      </c>
      <c r="B191" s="25" t="s">
        <v>661</v>
      </c>
      <c r="C191" s="25" t="s">
        <v>622</v>
      </c>
      <c r="D191" s="25" t="s">
        <v>846</v>
      </c>
      <c r="E191" s="25" t="s">
        <v>847</v>
      </c>
      <c r="F191" s="25" t="s">
        <v>965</v>
      </c>
      <c r="G191" s="25">
        <v>6</v>
      </c>
      <c r="H191" s="22">
        <v>24</v>
      </c>
      <c r="I191" s="25">
        <v>1</v>
      </c>
      <c r="J191" s="25" t="s">
        <v>665</v>
      </c>
      <c r="K191" s="42">
        <v>401707</v>
      </c>
      <c r="L191" s="25">
        <v>2</v>
      </c>
      <c r="M191" s="25" t="s">
        <v>70</v>
      </c>
      <c r="N191" s="25">
        <v>0</v>
      </c>
      <c r="O191" s="25">
        <v>20</v>
      </c>
      <c r="P191" s="25">
        <v>999</v>
      </c>
      <c r="Q191" s="25">
        <v>0</v>
      </c>
      <c r="R191" s="25">
        <v>20</v>
      </c>
      <c r="S191" s="25">
        <v>888</v>
      </c>
      <c r="T191" s="25" t="s">
        <v>876</v>
      </c>
      <c r="U191" s="25" t="s">
        <v>966</v>
      </c>
    </row>
    <row r="192" spans="1:21" s="22" customFormat="1">
      <c r="A192" s="25" t="s">
        <v>967</v>
      </c>
      <c r="B192" s="25" t="s">
        <v>661</v>
      </c>
      <c r="C192" s="25" t="s">
        <v>622</v>
      </c>
      <c r="D192" s="25" t="s">
        <v>851</v>
      </c>
      <c r="E192" s="25" t="s">
        <v>852</v>
      </c>
      <c r="F192" s="25" t="s">
        <v>853</v>
      </c>
      <c r="G192" s="25">
        <v>6</v>
      </c>
      <c r="H192" s="22">
        <v>24</v>
      </c>
      <c r="I192" s="25">
        <v>1</v>
      </c>
      <c r="J192" s="25" t="s">
        <v>665</v>
      </c>
      <c r="K192" s="42">
        <v>202507</v>
      </c>
      <c r="L192" s="25">
        <v>2</v>
      </c>
      <c r="M192" s="25" t="s">
        <v>70</v>
      </c>
      <c r="N192" s="25">
        <v>0</v>
      </c>
      <c r="O192" s="25">
        <v>20</v>
      </c>
      <c r="P192" s="25">
        <v>999</v>
      </c>
      <c r="Q192" s="25">
        <v>0</v>
      </c>
      <c r="R192" s="25">
        <v>20</v>
      </c>
      <c r="S192" s="25">
        <v>888</v>
      </c>
      <c r="T192" s="25" t="s">
        <v>876</v>
      </c>
      <c r="U192" s="25" t="s">
        <v>968</v>
      </c>
    </row>
    <row r="193" spans="1:21" s="22" customFormat="1">
      <c r="A193" s="25" t="s">
        <v>969</v>
      </c>
      <c r="B193" s="25" t="s">
        <v>661</v>
      </c>
      <c r="C193" s="25" t="s">
        <v>622</v>
      </c>
      <c r="D193" s="25" t="s">
        <v>856</v>
      </c>
      <c r="E193" s="25" t="s">
        <v>857</v>
      </c>
      <c r="F193" s="25" t="s">
        <v>858</v>
      </c>
      <c r="G193" s="25">
        <v>6</v>
      </c>
      <c r="H193" s="22">
        <v>24</v>
      </c>
      <c r="I193" s="25">
        <v>1</v>
      </c>
      <c r="J193" s="25" t="s">
        <v>665</v>
      </c>
      <c r="K193" s="42">
        <v>501707</v>
      </c>
      <c r="L193" s="25">
        <v>2</v>
      </c>
      <c r="M193" s="25" t="s">
        <v>70</v>
      </c>
      <c r="N193" s="25">
        <v>0</v>
      </c>
      <c r="O193" s="25">
        <v>20</v>
      </c>
      <c r="P193" s="25">
        <v>999</v>
      </c>
      <c r="Q193" s="25">
        <v>0</v>
      </c>
      <c r="R193" s="25">
        <v>20</v>
      </c>
      <c r="S193" s="25">
        <v>888</v>
      </c>
      <c r="T193" s="25" t="s">
        <v>876</v>
      </c>
      <c r="U193" s="25" t="s">
        <v>970</v>
      </c>
    </row>
    <row r="194" spans="1:21" s="22" customFormat="1">
      <c r="A194" s="25" t="s">
        <v>971</v>
      </c>
      <c r="B194" s="25" t="s">
        <v>661</v>
      </c>
      <c r="C194" s="25" t="s">
        <v>622</v>
      </c>
      <c r="D194" s="25" t="s">
        <v>861</v>
      </c>
      <c r="E194" s="25" t="s">
        <v>862</v>
      </c>
      <c r="F194" s="25" t="s">
        <v>863</v>
      </c>
      <c r="G194" s="25">
        <v>6</v>
      </c>
      <c r="H194" s="22">
        <v>24</v>
      </c>
      <c r="I194" s="25">
        <v>1</v>
      </c>
      <c r="J194" s="25" t="s">
        <v>665</v>
      </c>
      <c r="K194" s="42">
        <v>401907</v>
      </c>
      <c r="L194" s="25">
        <v>2</v>
      </c>
      <c r="M194" s="25" t="s">
        <v>70</v>
      </c>
      <c r="N194" s="25">
        <v>0</v>
      </c>
      <c r="O194" s="25">
        <v>20</v>
      </c>
      <c r="P194" s="25">
        <v>999</v>
      </c>
      <c r="Q194" s="25">
        <v>0</v>
      </c>
      <c r="R194" s="25">
        <v>20</v>
      </c>
      <c r="S194" s="25">
        <v>888</v>
      </c>
      <c r="T194" s="25" t="s">
        <v>876</v>
      </c>
      <c r="U194" s="25" t="s">
        <v>972</v>
      </c>
    </row>
    <row r="195" spans="1:21" s="22" customFormat="1">
      <c r="A195" s="25" t="s">
        <v>973</v>
      </c>
      <c r="B195" s="25" t="s">
        <v>661</v>
      </c>
      <c r="C195" s="25" t="s">
        <v>622</v>
      </c>
      <c r="D195" s="25" t="s">
        <v>866</v>
      </c>
      <c r="E195" s="25" t="s">
        <v>867</v>
      </c>
      <c r="F195" s="25" t="s">
        <v>868</v>
      </c>
      <c r="G195" s="25">
        <v>6</v>
      </c>
      <c r="H195" s="22">
        <v>24</v>
      </c>
      <c r="I195" s="25">
        <v>1</v>
      </c>
      <c r="J195" s="25" t="s">
        <v>665</v>
      </c>
      <c r="K195" s="42">
        <v>600107</v>
      </c>
      <c r="L195" s="25">
        <v>2</v>
      </c>
      <c r="M195" s="25" t="s">
        <v>70</v>
      </c>
      <c r="N195" s="25">
        <v>0</v>
      </c>
      <c r="O195" s="25">
        <v>20</v>
      </c>
      <c r="P195" s="25">
        <v>999</v>
      </c>
      <c r="Q195" s="25">
        <v>0</v>
      </c>
      <c r="R195" s="25">
        <v>20</v>
      </c>
      <c r="S195" s="25">
        <v>888</v>
      </c>
      <c r="T195" s="25" t="s">
        <v>876</v>
      </c>
      <c r="U195" s="25" t="s">
        <v>974</v>
      </c>
    </row>
    <row r="196" spans="1:21" s="22" customFormat="1">
      <c r="A196" s="25" t="s">
        <v>975</v>
      </c>
      <c r="B196" s="25" t="s">
        <v>661</v>
      </c>
      <c r="C196" s="25" t="s">
        <v>622</v>
      </c>
      <c r="D196" s="25" t="s">
        <v>871</v>
      </c>
      <c r="E196" s="39" t="s">
        <v>872</v>
      </c>
      <c r="F196" s="39" t="s">
        <v>873</v>
      </c>
      <c r="G196" s="25">
        <v>6</v>
      </c>
      <c r="H196" s="22">
        <v>24</v>
      </c>
      <c r="I196" s="25">
        <v>1</v>
      </c>
      <c r="J196" s="25" t="s">
        <v>665</v>
      </c>
      <c r="K196" s="38">
        <v>302407</v>
      </c>
      <c r="L196" s="25">
        <v>2</v>
      </c>
      <c r="M196" s="25" t="s">
        <v>70</v>
      </c>
      <c r="N196" s="25">
        <v>0</v>
      </c>
      <c r="O196" s="25">
        <v>20</v>
      </c>
      <c r="P196" s="25">
        <v>999</v>
      </c>
      <c r="Q196" s="25">
        <v>0</v>
      </c>
      <c r="R196" s="25">
        <v>20</v>
      </c>
      <c r="S196" s="25">
        <v>888</v>
      </c>
      <c r="T196" s="25" t="s">
        <v>876</v>
      </c>
      <c r="U196" s="25" t="s">
        <v>976</v>
      </c>
    </row>
    <row r="197" spans="1:21" s="18" customFormat="1">
      <c r="A197" s="16" t="s">
        <v>977</v>
      </c>
      <c r="B197" s="16" t="s">
        <v>978</v>
      </c>
      <c r="C197" s="16" t="s">
        <v>622</v>
      </c>
      <c r="D197" s="16" t="s">
        <v>979</v>
      </c>
      <c r="E197" s="16" t="s">
        <v>980</v>
      </c>
      <c r="F197" s="16" t="s">
        <v>981</v>
      </c>
      <c r="G197" s="16">
        <v>6</v>
      </c>
      <c r="H197" s="18">
        <v>24</v>
      </c>
      <c r="I197" s="16" t="s">
        <v>70</v>
      </c>
      <c r="J197" s="16" t="s">
        <v>982</v>
      </c>
      <c r="K197" s="27">
        <v>10001</v>
      </c>
      <c r="L197" s="16">
        <v>2</v>
      </c>
      <c r="M197" s="16" t="s">
        <v>70</v>
      </c>
      <c r="N197" s="16">
        <v>0</v>
      </c>
      <c r="O197" s="16">
        <v>20</v>
      </c>
      <c r="P197" s="16">
        <v>999</v>
      </c>
      <c r="Q197" s="16">
        <v>0</v>
      </c>
      <c r="R197" s="16">
        <v>20</v>
      </c>
      <c r="S197" s="16">
        <v>888</v>
      </c>
      <c r="T197" s="16" t="s">
        <v>983</v>
      </c>
      <c r="U197" s="16" t="s">
        <v>984</v>
      </c>
    </row>
    <row r="198" spans="1:21" s="18" customFormat="1">
      <c r="A198" s="16" t="s">
        <v>985</v>
      </c>
      <c r="B198" s="16" t="s">
        <v>986</v>
      </c>
      <c r="C198" s="16" t="s">
        <v>622</v>
      </c>
      <c r="D198" s="16" t="s">
        <v>987</v>
      </c>
      <c r="E198" s="16" t="s">
        <v>988</v>
      </c>
      <c r="F198" s="16" t="s">
        <v>989</v>
      </c>
      <c r="G198" s="16">
        <v>6</v>
      </c>
      <c r="H198" s="18">
        <v>24</v>
      </c>
      <c r="I198" s="16" t="s">
        <v>70</v>
      </c>
      <c r="J198" s="16" t="s">
        <v>990</v>
      </c>
      <c r="K198" s="27">
        <v>0</v>
      </c>
      <c r="L198" s="16">
        <v>2</v>
      </c>
      <c r="M198" s="16" t="s">
        <v>70</v>
      </c>
      <c r="N198" s="16">
        <v>0</v>
      </c>
      <c r="O198" s="16">
        <v>20</v>
      </c>
      <c r="P198" s="16">
        <v>999</v>
      </c>
      <c r="Q198" s="16">
        <v>0</v>
      </c>
      <c r="R198" s="16">
        <v>20</v>
      </c>
      <c r="S198" s="16">
        <v>888</v>
      </c>
      <c r="T198" s="16" t="s">
        <v>991</v>
      </c>
      <c r="U198" s="16" t="s">
        <v>992</v>
      </c>
    </row>
    <row r="199" spans="1:21" s="21" customFormat="1">
      <c r="A199" s="21">
        <v>250001</v>
      </c>
      <c r="B199" s="39" t="s">
        <v>993</v>
      </c>
      <c r="C199" s="39" t="s">
        <v>248</v>
      </c>
      <c r="D199" s="55" t="s">
        <v>994</v>
      </c>
      <c r="E199" s="40"/>
      <c r="F199" s="40"/>
      <c r="G199" s="21">
        <v>6</v>
      </c>
      <c r="H199" s="21">
        <v>24</v>
      </c>
      <c r="I199" s="21">
        <v>1</v>
      </c>
      <c r="J199" s="21">
        <v>605</v>
      </c>
      <c r="K199" s="38">
        <v>0</v>
      </c>
      <c r="L199" s="21">
        <v>2</v>
      </c>
      <c r="M199" s="21">
        <v>1</v>
      </c>
      <c r="N199" s="21">
        <v>0</v>
      </c>
      <c r="O199" s="21">
        <v>20</v>
      </c>
      <c r="P199" s="21">
        <v>999</v>
      </c>
      <c r="Q199" s="21">
        <v>0</v>
      </c>
      <c r="R199" s="21">
        <v>20</v>
      </c>
      <c r="S199" s="21">
        <v>888</v>
      </c>
      <c r="T199" s="21" t="s">
        <v>995</v>
      </c>
      <c r="U199" s="21">
        <v>46911</v>
      </c>
    </row>
    <row r="200" spans="1:21" s="21" customFormat="1">
      <c r="A200" s="21">
        <v>250002</v>
      </c>
      <c r="B200" s="39" t="s">
        <v>993</v>
      </c>
      <c r="C200" s="39" t="s">
        <v>248</v>
      </c>
      <c r="D200" s="55" t="s">
        <v>994</v>
      </c>
      <c r="E200" s="40"/>
      <c r="F200" s="40"/>
      <c r="G200" s="21">
        <v>6</v>
      </c>
      <c r="H200" s="21">
        <v>24</v>
      </c>
      <c r="I200" s="21">
        <v>1</v>
      </c>
      <c r="J200" s="21">
        <v>605</v>
      </c>
      <c r="K200" s="38">
        <v>0</v>
      </c>
      <c r="L200" s="21">
        <v>2</v>
      </c>
      <c r="M200" s="21">
        <v>1</v>
      </c>
      <c r="N200" s="21">
        <v>0</v>
      </c>
      <c r="O200" s="21">
        <v>20</v>
      </c>
      <c r="P200" s="21">
        <v>999</v>
      </c>
      <c r="Q200" s="21">
        <v>0</v>
      </c>
      <c r="R200" s="21">
        <v>20</v>
      </c>
      <c r="S200" s="21">
        <v>888</v>
      </c>
      <c r="T200" s="21" t="s">
        <v>995</v>
      </c>
      <c r="U200" s="21">
        <v>46912</v>
      </c>
    </row>
    <row r="201" spans="1:21" s="21" customFormat="1">
      <c r="A201" s="21">
        <v>250003</v>
      </c>
      <c r="B201" s="39" t="s">
        <v>993</v>
      </c>
      <c r="C201" s="39" t="s">
        <v>316</v>
      </c>
      <c r="D201" s="55" t="s">
        <v>996</v>
      </c>
      <c r="E201" s="40"/>
      <c r="F201" s="40"/>
      <c r="G201" s="21">
        <v>6</v>
      </c>
      <c r="H201" s="21">
        <v>24</v>
      </c>
      <c r="I201" s="21">
        <v>1</v>
      </c>
      <c r="J201" s="21">
        <v>605</v>
      </c>
      <c r="K201" s="38">
        <v>1</v>
      </c>
      <c r="L201" s="21">
        <v>2</v>
      </c>
      <c r="M201" s="21">
        <v>1</v>
      </c>
      <c r="N201" s="21">
        <v>0</v>
      </c>
      <c r="O201" s="21">
        <v>20</v>
      </c>
      <c r="P201" s="21">
        <v>999</v>
      </c>
      <c r="Q201" s="21">
        <v>0</v>
      </c>
      <c r="R201" s="21">
        <v>20</v>
      </c>
      <c r="S201" s="21">
        <v>888</v>
      </c>
      <c r="T201" s="21" t="s">
        <v>995</v>
      </c>
      <c r="U201" s="21">
        <v>46913</v>
      </c>
    </row>
    <row r="202" spans="1:21" s="21" customFormat="1">
      <c r="A202" s="21">
        <v>250004</v>
      </c>
      <c r="B202" s="39" t="s">
        <v>993</v>
      </c>
      <c r="C202" s="39" t="s">
        <v>622</v>
      </c>
      <c r="D202" s="55" t="s">
        <v>997</v>
      </c>
      <c r="E202" s="40"/>
      <c r="F202" s="40"/>
      <c r="G202" s="21">
        <v>6</v>
      </c>
      <c r="H202" s="21">
        <v>24</v>
      </c>
      <c r="I202" s="21">
        <v>1</v>
      </c>
      <c r="J202" s="21">
        <v>605</v>
      </c>
      <c r="K202" s="38">
        <v>2</v>
      </c>
      <c r="L202" s="21">
        <v>2</v>
      </c>
      <c r="M202" s="21">
        <v>1</v>
      </c>
      <c r="N202" s="21">
        <v>0</v>
      </c>
      <c r="O202" s="21">
        <v>20</v>
      </c>
      <c r="P202" s="21">
        <v>999</v>
      </c>
      <c r="Q202" s="21">
        <v>0</v>
      </c>
      <c r="R202" s="21">
        <v>20</v>
      </c>
      <c r="S202" s="21">
        <v>888</v>
      </c>
      <c r="T202" s="21" t="s">
        <v>995</v>
      </c>
      <c r="U202" s="21">
        <v>46914</v>
      </c>
    </row>
    <row r="203" spans="1:21">
      <c r="A203">
        <v>260001</v>
      </c>
      <c r="B203" s="56" t="s">
        <v>998</v>
      </c>
      <c r="C203">
        <v>215000</v>
      </c>
      <c r="D203" s="55" t="s">
        <v>999</v>
      </c>
      <c r="E203" s="9" t="s">
        <v>1000</v>
      </c>
      <c r="G203">
        <v>6</v>
      </c>
      <c r="H203">
        <v>24</v>
      </c>
      <c r="I203">
        <v>1</v>
      </c>
      <c r="J203">
        <v>5001</v>
      </c>
      <c r="K203" s="4">
        <v>5</v>
      </c>
      <c r="L203">
        <v>2</v>
      </c>
      <c r="M203">
        <v>1</v>
      </c>
      <c r="N203">
        <v>0</v>
      </c>
      <c r="O203">
        <v>20</v>
      </c>
      <c r="P203">
        <v>999</v>
      </c>
      <c r="Q203">
        <v>0</v>
      </c>
      <c r="R203">
        <v>20</v>
      </c>
      <c r="S203">
        <v>888</v>
      </c>
      <c r="T203" s="21" t="s">
        <v>1001</v>
      </c>
      <c r="U203" s="21">
        <v>46915</v>
      </c>
    </row>
    <row r="204" spans="1:21">
      <c r="A204">
        <v>260002</v>
      </c>
      <c r="B204" s="56" t="s">
        <v>998</v>
      </c>
      <c r="C204">
        <v>215000</v>
      </c>
      <c r="D204" s="55" t="s">
        <v>999</v>
      </c>
      <c r="E204" s="9" t="s">
        <v>1000</v>
      </c>
      <c r="G204">
        <v>6</v>
      </c>
      <c r="H204">
        <v>24</v>
      </c>
      <c r="I204">
        <v>1</v>
      </c>
      <c r="J204">
        <v>5001</v>
      </c>
      <c r="K204" s="4">
        <v>10</v>
      </c>
      <c r="L204">
        <v>2</v>
      </c>
      <c r="M204">
        <v>1</v>
      </c>
      <c r="N204">
        <v>0</v>
      </c>
      <c r="O204">
        <v>20</v>
      </c>
      <c r="P204">
        <v>999</v>
      </c>
      <c r="Q204">
        <v>0</v>
      </c>
      <c r="R204">
        <v>20</v>
      </c>
      <c r="S204">
        <v>888</v>
      </c>
      <c r="T204" s="21" t="s">
        <v>1002</v>
      </c>
      <c r="U204" s="21">
        <v>46916</v>
      </c>
    </row>
    <row r="205" spans="1:21">
      <c r="A205">
        <v>260003</v>
      </c>
      <c r="B205" s="56" t="s">
        <v>998</v>
      </c>
      <c r="C205">
        <v>215000</v>
      </c>
      <c r="D205" s="55" t="s">
        <v>999</v>
      </c>
      <c r="E205" s="9" t="s">
        <v>1000</v>
      </c>
      <c r="G205">
        <v>6</v>
      </c>
      <c r="H205">
        <v>24</v>
      </c>
      <c r="I205">
        <v>1</v>
      </c>
      <c r="J205">
        <v>5001</v>
      </c>
      <c r="K205" s="4">
        <v>20</v>
      </c>
      <c r="L205">
        <v>2</v>
      </c>
      <c r="M205">
        <v>1</v>
      </c>
      <c r="N205">
        <v>0</v>
      </c>
      <c r="O205">
        <v>20</v>
      </c>
      <c r="P205">
        <v>999</v>
      </c>
      <c r="Q205">
        <v>0</v>
      </c>
      <c r="R205">
        <v>20</v>
      </c>
      <c r="S205">
        <v>888</v>
      </c>
      <c r="T205" s="21" t="s">
        <v>1003</v>
      </c>
      <c r="U205" s="21">
        <v>46917</v>
      </c>
    </row>
    <row r="206" spans="1:21">
      <c r="A206">
        <v>270001</v>
      </c>
      <c r="B206" s="56" t="s">
        <v>998</v>
      </c>
      <c r="C206">
        <v>215000</v>
      </c>
      <c r="D206" s="55" t="s">
        <v>1004</v>
      </c>
      <c r="E206" s="9" t="s">
        <v>1005</v>
      </c>
      <c r="G206">
        <v>6</v>
      </c>
      <c r="H206">
        <v>24</v>
      </c>
      <c r="I206">
        <v>1</v>
      </c>
      <c r="J206">
        <v>5002</v>
      </c>
      <c r="K206" s="4">
        <v>5</v>
      </c>
      <c r="L206">
        <v>2</v>
      </c>
      <c r="M206">
        <v>1</v>
      </c>
      <c r="N206">
        <v>0</v>
      </c>
      <c r="O206">
        <v>20</v>
      </c>
      <c r="P206">
        <v>999</v>
      </c>
      <c r="Q206">
        <v>0</v>
      </c>
      <c r="R206">
        <v>20</v>
      </c>
      <c r="S206">
        <v>888</v>
      </c>
      <c r="T206" s="21" t="s">
        <v>1006</v>
      </c>
      <c r="U206" s="21">
        <v>46918</v>
      </c>
    </row>
    <row r="207" spans="1:21">
      <c r="A207">
        <v>270002</v>
      </c>
      <c r="B207" s="56" t="s">
        <v>998</v>
      </c>
      <c r="C207">
        <v>215000</v>
      </c>
      <c r="D207" s="55" t="s">
        <v>1004</v>
      </c>
      <c r="E207" s="9" t="s">
        <v>1005</v>
      </c>
      <c r="G207">
        <v>6</v>
      </c>
      <c r="H207">
        <v>24</v>
      </c>
      <c r="I207">
        <v>1</v>
      </c>
      <c r="J207">
        <v>5002</v>
      </c>
      <c r="K207" s="4">
        <v>10</v>
      </c>
      <c r="L207">
        <v>2</v>
      </c>
      <c r="M207">
        <v>1</v>
      </c>
      <c r="N207">
        <v>0</v>
      </c>
      <c r="O207">
        <v>20</v>
      </c>
      <c r="P207">
        <v>999</v>
      </c>
      <c r="Q207">
        <v>0</v>
      </c>
      <c r="R207">
        <v>20</v>
      </c>
      <c r="S207">
        <v>888</v>
      </c>
      <c r="T207" s="21" t="s">
        <v>1007</v>
      </c>
      <c r="U207" s="21">
        <v>46919</v>
      </c>
    </row>
    <row r="208" spans="1:21">
      <c r="A208">
        <v>270003</v>
      </c>
      <c r="B208" s="56" t="s">
        <v>998</v>
      </c>
      <c r="C208">
        <v>215000</v>
      </c>
      <c r="D208" s="55" t="s">
        <v>1004</v>
      </c>
      <c r="E208" s="9" t="s">
        <v>1005</v>
      </c>
      <c r="G208">
        <v>6</v>
      </c>
      <c r="H208">
        <v>24</v>
      </c>
      <c r="I208">
        <v>1</v>
      </c>
      <c r="J208">
        <v>5002</v>
      </c>
      <c r="K208" s="4">
        <v>20</v>
      </c>
      <c r="L208">
        <v>2</v>
      </c>
      <c r="M208">
        <v>1</v>
      </c>
      <c r="N208">
        <v>0</v>
      </c>
      <c r="O208">
        <v>20</v>
      </c>
      <c r="P208">
        <v>999</v>
      </c>
      <c r="Q208">
        <v>0</v>
      </c>
      <c r="R208">
        <v>20</v>
      </c>
      <c r="S208">
        <v>888</v>
      </c>
      <c r="T208" s="21" t="s">
        <v>1008</v>
      </c>
      <c r="U208" s="21">
        <v>46920</v>
      </c>
    </row>
  </sheetData>
  <conditionalFormatting sqref="U17">
    <cfRule type="duplicateValues" dxfId="34" priority="1"/>
    <cfRule type="duplicateValues" dxfId="33" priority="2"/>
    <cfRule type="duplicateValues" dxfId="32" priority="3"/>
    <cfRule type="cellIs" dxfId="31" priority="4" operator="equal">
      <formula>110509</formula>
    </cfRule>
  </conditionalFormatting>
  <pageMargins left="0.7" right="0.7" top="0.75" bottom="0.75" header="0.3" footer="0.3"/>
  <pageSetup paperSize="9" orientation="portrait" horizontalDpi="300" verticalDpi="30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G32"/>
  <sheetViews>
    <sheetView workbookViewId="0">
      <selection activeCell="G1" sqref="G1:G32"/>
    </sheetView>
  </sheetViews>
  <sheetFormatPr defaultColWidth="9" defaultRowHeight="15"/>
  <cols>
    <col min="1" max="1" width="49.5703125" customWidth="1"/>
    <col min="4" max="4" width="11" customWidth="1"/>
    <col min="7" max="7" width="41" customWidth="1"/>
  </cols>
  <sheetData>
    <row r="1" spans="1:7" ht="16.5">
      <c r="A1" s="16" t="s">
        <v>467</v>
      </c>
      <c r="C1" t="s">
        <v>1009</v>
      </c>
      <c r="D1" s="1" t="s">
        <v>1010</v>
      </c>
      <c r="E1" t="s">
        <v>1011</v>
      </c>
      <c r="G1" t="str">
        <f>C1&amp;D1&amp;E1</f>
        <v>元宝*6480，龙王篓，仙玉*4w，金币*3000w</v>
      </c>
    </row>
    <row r="2" spans="1:7" ht="16.5">
      <c r="A2" s="16" t="s">
        <v>467</v>
      </c>
      <c r="C2" t="s">
        <v>1012</v>
      </c>
      <c r="D2" s="1" t="s">
        <v>1013</v>
      </c>
      <c r="E2" t="s">
        <v>1011</v>
      </c>
      <c r="G2" t="str">
        <f t="shared" ref="G2:G32" si="0">C2&amp;D2&amp;E2</f>
        <v>元宝*6481，精金铜钱，仙玉*4w，金币*3000w</v>
      </c>
    </row>
    <row r="3" spans="1:7" ht="16.5">
      <c r="A3" s="16" t="s">
        <v>467</v>
      </c>
      <c r="C3" t="s">
        <v>1014</v>
      </c>
      <c r="D3" s="1" t="s">
        <v>1015</v>
      </c>
      <c r="E3" t="s">
        <v>1011</v>
      </c>
      <c r="G3" t="str">
        <f t="shared" si="0"/>
        <v>元宝*6482，火缨枪，仙玉*4w，金币*3000w</v>
      </c>
    </row>
    <row r="4" spans="1:7" ht="16.5">
      <c r="A4" s="16" t="s">
        <v>467</v>
      </c>
      <c r="C4" t="s">
        <v>1016</v>
      </c>
      <c r="D4" s="1" t="s">
        <v>1017</v>
      </c>
      <c r="E4" t="s">
        <v>1011</v>
      </c>
      <c r="G4" t="str">
        <f t="shared" si="0"/>
        <v>元宝*6483，太虚神甲，仙玉*4w，金币*3000w</v>
      </c>
    </row>
    <row r="5" spans="1:7" ht="16.5">
      <c r="A5" s="16" t="s">
        <v>467</v>
      </c>
      <c r="C5" t="s">
        <v>1018</v>
      </c>
      <c r="D5" s="1" t="s">
        <v>1019</v>
      </c>
      <c r="E5" t="s">
        <v>1011</v>
      </c>
      <c r="G5" t="str">
        <f t="shared" si="0"/>
        <v>元宝*6484，东皇钟，仙玉*4w，金币*3000w</v>
      </c>
    </row>
    <row r="6" spans="1:7" ht="16.5">
      <c r="A6" s="16" t="s">
        <v>467</v>
      </c>
      <c r="C6" t="s">
        <v>1020</v>
      </c>
      <c r="D6" s="1" t="s">
        <v>1021</v>
      </c>
      <c r="E6" t="s">
        <v>1011</v>
      </c>
      <c r="G6" t="str">
        <f t="shared" si="0"/>
        <v>元宝*6485，落日弓，仙玉*4w，金币*3000w</v>
      </c>
    </row>
    <row r="7" spans="1:7" ht="16.5">
      <c r="A7" s="16" t="s">
        <v>467</v>
      </c>
      <c r="C7" t="s">
        <v>1022</v>
      </c>
      <c r="D7" s="1" t="s">
        <v>1023</v>
      </c>
      <c r="E7" t="s">
        <v>1011</v>
      </c>
      <c r="G7" t="str">
        <f t="shared" si="0"/>
        <v>元宝*6486，上宝沁金耙，仙玉*4w，金币*3000w</v>
      </c>
    </row>
    <row r="8" spans="1:7" ht="16.5">
      <c r="A8" s="16" t="s">
        <v>467</v>
      </c>
      <c r="C8" t="s">
        <v>1024</v>
      </c>
      <c r="D8" s="1" t="s">
        <v>1025</v>
      </c>
      <c r="E8" t="s">
        <v>1011</v>
      </c>
      <c r="G8" t="str">
        <f t="shared" si="0"/>
        <v>元宝*6487，彩云飘，仙玉*4w，金币*3000w</v>
      </c>
    </row>
    <row r="9" spans="1:7" ht="16.5">
      <c r="A9" s="16" t="s">
        <v>467</v>
      </c>
      <c r="C9" t="s">
        <v>1026</v>
      </c>
      <c r="D9" s="1" t="s">
        <v>1027</v>
      </c>
      <c r="E9" t="s">
        <v>1011</v>
      </c>
      <c r="G9" t="str">
        <f t="shared" si="0"/>
        <v>元宝*6488，神农鼎，仙玉*4w，金币*3000w</v>
      </c>
    </row>
    <row r="10" spans="1:7" ht="16.5">
      <c r="A10" s="16" t="s">
        <v>467</v>
      </c>
      <c r="C10" t="s">
        <v>1028</v>
      </c>
      <c r="D10" s="1" t="s">
        <v>1029</v>
      </c>
      <c r="E10" t="s">
        <v>1011</v>
      </c>
      <c r="G10" t="str">
        <f t="shared" si="0"/>
        <v>元宝*6489，忘忧，仙玉*4w，金币*3000w</v>
      </c>
    </row>
    <row r="11" spans="1:7" ht="16.5">
      <c r="A11" s="16" t="s">
        <v>467</v>
      </c>
      <c r="C11" t="s">
        <v>1030</v>
      </c>
      <c r="D11" s="1" t="s">
        <v>1031</v>
      </c>
      <c r="E11" t="s">
        <v>1011</v>
      </c>
      <c r="G11" t="str">
        <f t="shared" si="0"/>
        <v>元宝*6490，月华，仙玉*4w，金币*3000w</v>
      </c>
    </row>
    <row r="12" spans="1:7" ht="16.5">
      <c r="A12" s="16" t="s">
        <v>467</v>
      </c>
      <c r="C12" t="s">
        <v>1032</v>
      </c>
      <c r="D12" s="1" t="s">
        <v>1033</v>
      </c>
      <c r="E12" t="s">
        <v>1011</v>
      </c>
      <c r="G12" t="str">
        <f t="shared" si="0"/>
        <v>元宝*6491，老龙布雨，仙玉*4w，金币*3000w</v>
      </c>
    </row>
    <row r="13" spans="1:7" ht="16.5">
      <c r="A13" s="16" t="s">
        <v>467</v>
      </c>
      <c r="C13" t="s">
        <v>1034</v>
      </c>
      <c r="D13" s="1" t="s">
        <v>1035</v>
      </c>
      <c r="E13" t="s">
        <v>1011</v>
      </c>
      <c r="G13" t="str">
        <f t="shared" si="0"/>
        <v>元宝*6492，混天绫，仙玉*4w，金币*3000w</v>
      </c>
    </row>
    <row r="14" spans="1:7" ht="16.5">
      <c r="A14" s="16" t="s">
        <v>467</v>
      </c>
      <c r="C14" t="s">
        <v>1036</v>
      </c>
      <c r="D14" s="1" t="s">
        <v>1037</v>
      </c>
      <c r="E14" t="s">
        <v>1011</v>
      </c>
      <c r="G14" t="str">
        <f t="shared" si="0"/>
        <v>元宝*6493，虎魄刀，仙玉*4w，金币*3000w</v>
      </c>
    </row>
    <row r="15" spans="1:7" ht="16.5">
      <c r="A15" s="16" t="s">
        <v>467</v>
      </c>
      <c r="C15" t="s">
        <v>1038</v>
      </c>
      <c r="D15" s="1" t="s">
        <v>1039</v>
      </c>
      <c r="E15" t="s">
        <v>1011</v>
      </c>
      <c r="G15" t="str">
        <f t="shared" si="0"/>
        <v>元宝*6494，梦境遗珠，仙玉*4w，金币*3000w</v>
      </c>
    </row>
    <row r="16" spans="1:7" ht="16.5">
      <c r="A16" s="16" t="s">
        <v>467</v>
      </c>
      <c r="C16" t="s">
        <v>1040</v>
      </c>
      <c r="D16" s="1" t="s">
        <v>1041</v>
      </c>
      <c r="E16" t="s">
        <v>1011</v>
      </c>
      <c r="G16" t="str">
        <f t="shared" si="0"/>
        <v>元宝*6495，海盐珍珠蚌，仙玉*4w，金币*3000w</v>
      </c>
    </row>
    <row r="17" spans="1:7" ht="16.5">
      <c r="A17" s="16" t="s">
        <v>467</v>
      </c>
      <c r="C17" t="s">
        <v>1042</v>
      </c>
      <c r="D17" s="1" t="s">
        <v>1043</v>
      </c>
      <c r="E17" t="s">
        <v>1011</v>
      </c>
      <c r="G17" t="str">
        <f t="shared" si="0"/>
        <v>元宝*6496，随心铁杆兵，仙玉*4w，金币*3000w</v>
      </c>
    </row>
    <row r="18" spans="1:7" ht="16.5">
      <c r="A18" s="16" t="s">
        <v>467</v>
      </c>
      <c r="C18" t="s">
        <v>1044</v>
      </c>
      <c r="D18" s="1" t="s">
        <v>1045</v>
      </c>
      <c r="E18" t="s">
        <v>1011</v>
      </c>
      <c r="G18" t="str">
        <f t="shared" si="0"/>
        <v>元宝*6497，浮世清欢，仙玉*4w，金币*3000w</v>
      </c>
    </row>
    <row r="19" spans="1:7" ht="16.5">
      <c r="A19" s="16" t="s">
        <v>467</v>
      </c>
      <c r="C19" t="s">
        <v>1046</v>
      </c>
      <c r="D19" s="1" t="s">
        <v>1047</v>
      </c>
      <c r="E19" t="s">
        <v>1011</v>
      </c>
      <c r="G19" t="str">
        <f t="shared" si="0"/>
        <v>元宝*6498，如意金箍棒，仙玉*4w，金币*3000w</v>
      </c>
    </row>
    <row r="20" spans="1:7" ht="16.5">
      <c r="A20" s="16" t="s">
        <v>467</v>
      </c>
      <c r="C20" t="s">
        <v>1048</v>
      </c>
      <c r="D20" s="1" t="s">
        <v>1049</v>
      </c>
      <c r="E20" t="s">
        <v>1011</v>
      </c>
      <c r="G20" t="str">
        <f t="shared" si="0"/>
        <v>元宝*6499，永夜，仙玉*4w，金币*3000w</v>
      </c>
    </row>
    <row r="21" spans="1:7" ht="16.5">
      <c r="A21" s="16" t="s">
        <v>467</v>
      </c>
      <c r="C21" t="s">
        <v>1050</v>
      </c>
      <c r="D21" s="3" t="s">
        <v>1051</v>
      </c>
      <c r="E21" t="s">
        <v>1011</v>
      </c>
      <c r="G21" t="str">
        <f t="shared" si="0"/>
        <v>元宝*6500，雪花翎，仙玉*4w，金币*3000w</v>
      </c>
    </row>
    <row r="22" spans="1:7" ht="16.5">
      <c r="A22" s="16" t="s">
        <v>467</v>
      </c>
      <c r="C22" t="s">
        <v>1052</v>
      </c>
      <c r="D22" s="1" t="s">
        <v>1053</v>
      </c>
      <c r="E22" t="s">
        <v>1011</v>
      </c>
      <c r="G22" t="str">
        <f t="shared" si="0"/>
        <v>元宝*6501，剑匣，仙玉*4w，金币*3000w</v>
      </c>
    </row>
    <row r="23" spans="1:7" ht="16.5">
      <c r="A23" s="16" t="s">
        <v>467</v>
      </c>
      <c r="C23" t="s">
        <v>1054</v>
      </c>
      <c r="D23" s="3" t="s">
        <v>1055</v>
      </c>
      <c r="E23" t="s">
        <v>1011</v>
      </c>
      <c r="G23" t="str">
        <f t="shared" si="0"/>
        <v>元宝*6502，斩魂，仙玉*4w，金币*3000w</v>
      </c>
    </row>
    <row r="24" spans="1:7" ht="16.5">
      <c r="A24" s="16" t="s">
        <v>467</v>
      </c>
      <c r="C24" t="s">
        <v>1056</v>
      </c>
      <c r="D24" s="1" t="s">
        <v>1057</v>
      </c>
      <c r="E24" t="s">
        <v>1011</v>
      </c>
      <c r="G24" t="str">
        <f t="shared" si="0"/>
        <v>元宝*6503，螭龙印，仙玉*4w，金币*3000w</v>
      </c>
    </row>
    <row r="25" spans="1:7" ht="16.5">
      <c r="A25" s="16" t="s">
        <v>467</v>
      </c>
      <c r="C25" t="s">
        <v>1058</v>
      </c>
      <c r="D25" s="3" t="s">
        <v>1059</v>
      </c>
      <c r="E25" t="s">
        <v>1011</v>
      </c>
      <c r="G25" t="str">
        <f t="shared" si="0"/>
        <v>元宝*6504，五彩神石，仙玉*4w，金币*3000w</v>
      </c>
    </row>
    <row r="26" spans="1:7" ht="16.5">
      <c r="A26" s="16" t="s">
        <v>467</v>
      </c>
      <c r="C26" t="s">
        <v>1060</v>
      </c>
      <c r="D26" s="1" t="s">
        <v>1061</v>
      </c>
      <c r="E26" t="s">
        <v>1011</v>
      </c>
      <c r="G26" t="str">
        <f t="shared" si="0"/>
        <v>元宝*6505，玄火鉴，仙玉*4w，金币*3000w</v>
      </c>
    </row>
    <row r="27" spans="1:7" ht="16.5">
      <c r="A27" s="16" t="s">
        <v>467</v>
      </c>
      <c r="C27" t="s">
        <v>1062</v>
      </c>
      <c r="D27" s="17" t="s">
        <v>1063</v>
      </c>
      <c r="E27" t="s">
        <v>1011</v>
      </c>
      <c r="G27" t="str">
        <f t="shared" si="0"/>
        <v>元宝*6506，干戚，仙玉*4w，金币*3000w</v>
      </c>
    </row>
    <row r="28" spans="1:7" ht="16.5">
      <c r="A28" s="16" t="s">
        <v>467</v>
      </c>
      <c r="C28" t="s">
        <v>1064</v>
      </c>
      <c r="D28" s="1" t="s">
        <v>1065</v>
      </c>
      <c r="E28" t="s">
        <v>1011</v>
      </c>
      <c r="G28" t="str">
        <f t="shared" si="0"/>
        <v>元宝*6507，暮光，仙玉*4w，金币*3000w</v>
      </c>
    </row>
    <row r="29" spans="1:7" ht="16.5">
      <c r="A29" s="16" t="s">
        <v>467</v>
      </c>
      <c r="C29" t="s">
        <v>1066</v>
      </c>
      <c r="D29" s="17" t="s">
        <v>1067</v>
      </c>
      <c r="E29" t="s">
        <v>1011</v>
      </c>
      <c r="G29" t="str">
        <f t="shared" si="0"/>
        <v>元宝*6508，猩红之眸，仙玉*4w，金币*3000w</v>
      </c>
    </row>
    <row r="30" spans="1:7" ht="16.5">
      <c r="A30" s="16" t="s">
        <v>467</v>
      </c>
      <c r="C30" t="s">
        <v>1068</v>
      </c>
      <c r="D30" s="1" t="s">
        <v>1069</v>
      </c>
      <c r="E30" t="s">
        <v>1011</v>
      </c>
      <c r="G30" t="str">
        <f t="shared" si="0"/>
        <v>元宝*6509，梭罗宝杖，仙玉*4w，金币*3000w</v>
      </c>
    </row>
    <row r="31" spans="1:7" ht="16.5">
      <c r="A31" s="16" t="s">
        <v>467</v>
      </c>
      <c r="C31" t="s">
        <v>1070</v>
      </c>
      <c r="D31" s="17" t="s">
        <v>1071</v>
      </c>
      <c r="E31" t="s">
        <v>1011</v>
      </c>
      <c r="G31" t="str">
        <f t="shared" si="0"/>
        <v>元宝*6510，海洋之心，仙玉*4w，金币*3000w</v>
      </c>
    </row>
    <row r="32" spans="1:7" ht="16.5">
      <c r="A32" s="16" t="s">
        <v>467</v>
      </c>
      <c r="C32" t="s">
        <v>1072</v>
      </c>
      <c r="D32" s="1" t="s">
        <v>1073</v>
      </c>
      <c r="E32" t="s">
        <v>1011</v>
      </c>
      <c r="G32" t="str">
        <f t="shared" si="0"/>
        <v>元宝*6511，青萍，仙玉*4w，金币*3000w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D8"/>
  <sheetViews>
    <sheetView workbookViewId="0">
      <selection activeCell="B34" sqref="B34"/>
    </sheetView>
  </sheetViews>
  <sheetFormatPr defaultColWidth="9" defaultRowHeight="15"/>
  <cols>
    <col min="2" max="2" width="7.42578125" customWidth="1"/>
    <col min="3" max="4" width="12.85546875" customWidth="1"/>
  </cols>
  <sheetData>
    <row r="1" spans="1:4">
      <c r="A1" s="15" t="s">
        <v>0</v>
      </c>
      <c r="B1" s="15" t="s">
        <v>1074</v>
      </c>
      <c r="C1" t="s">
        <v>63</v>
      </c>
      <c r="D1" t="s">
        <v>64</v>
      </c>
    </row>
    <row r="2" spans="1:4">
      <c r="A2" s="15">
        <v>1</v>
      </c>
      <c r="B2" s="15">
        <v>550003</v>
      </c>
      <c r="C2">
        <v>1</v>
      </c>
      <c r="D2">
        <v>9999</v>
      </c>
    </row>
    <row r="3" spans="1:4">
      <c r="A3" s="15">
        <v>2</v>
      </c>
      <c r="B3" s="15">
        <v>550004</v>
      </c>
      <c r="C3">
        <v>1</v>
      </c>
      <c r="D3">
        <v>9999</v>
      </c>
    </row>
    <row r="4" spans="1:4">
      <c r="A4" s="15">
        <v>3</v>
      </c>
      <c r="B4" s="15">
        <v>550005</v>
      </c>
      <c r="C4">
        <v>1</v>
      </c>
      <c r="D4">
        <v>9999</v>
      </c>
    </row>
    <row r="5" spans="1:4">
      <c r="A5" s="15">
        <v>4</v>
      </c>
      <c r="B5" s="15">
        <v>550006</v>
      </c>
      <c r="C5">
        <v>1</v>
      </c>
      <c r="D5">
        <v>9999</v>
      </c>
    </row>
    <row r="6" spans="1:4">
      <c r="A6" s="15">
        <v>5</v>
      </c>
      <c r="B6" s="15">
        <v>550007</v>
      </c>
      <c r="C6">
        <v>1</v>
      </c>
      <c r="D6">
        <v>9999</v>
      </c>
    </row>
    <row r="7" spans="1:4">
      <c r="A7" s="15">
        <v>6</v>
      </c>
      <c r="B7" s="15">
        <v>550008</v>
      </c>
      <c r="C7">
        <v>1</v>
      </c>
      <c r="D7">
        <v>9999</v>
      </c>
    </row>
    <row r="8" spans="1:4">
      <c r="A8" s="15">
        <v>7</v>
      </c>
      <c r="B8" s="15">
        <v>550009</v>
      </c>
      <c r="C8">
        <v>1</v>
      </c>
      <c r="D8">
        <v>9999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9"/>
  <dimension ref="A1:J16"/>
  <sheetViews>
    <sheetView workbookViewId="0">
      <selection activeCell="C16" sqref="C16"/>
    </sheetView>
  </sheetViews>
  <sheetFormatPr defaultColWidth="9" defaultRowHeight="15"/>
  <cols>
    <col min="3" max="3" width="41.85546875" customWidth="1"/>
    <col min="8" max="8" width="13" customWidth="1"/>
  </cols>
  <sheetData>
    <row r="1" spans="1:10" ht="16.5">
      <c r="A1" s="4" t="s">
        <v>0</v>
      </c>
      <c r="B1" s="4" t="s">
        <v>1075</v>
      </c>
      <c r="C1" s="4" t="s">
        <v>322</v>
      </c>
      <c r="D1" s="4" t="s">
        <v>370</v>
      </c>
      <c r="E1" s="4" t="s">
        <v>370</v>
      </c>
      <c r="F1" s="4" t="s">
        <v>370</v>
      </c>
      <c r="G1" s="4" t="s">
        <v>370</v>
      </c>
      <c r="H1" s="4" t="s">
        <v>370</v>
      </c>
      <c r="I1" s="4" t="s">
        <v>370</v>
      </c>
    </row>
    <row r="2" spans="1:10" ht="16.5">
      <c r="A2" s="4">
        <v>1001</v>
      </c>
      <c r="B2" s="4">
        <v>1</v>
      </c>
      <c r="C2" s="9" t="s">
        <v>1076</v>
      </c>
      <c r="D2" t="s">
        <v>104</v>
      </c>
      <c r="E2">
        <v>200000</v>
      </c>
      <c r="F2" t="s">
        <v>112</v>
      </c>
      <c r="G2">
        <v>200000</v>
      </c>
      <c r="H2" t="s">
        <v>113</v>
      </c>
      <c r="I2">
        <v>250</v>
      </c>
      <c r="J2">
        <v>100001</v>
      </c>
    </row>
    <row r="3" spans="1:10" ht="16.5">
      <c r="A3" s="4">
        <v>1002</v>
      </c>
      <c r="B3" s="4">
        <v>2</v>
      </c>
      <c r="C3" s="9" t="s">
        <v>1077</v>
      </c>
      <c r="E3">
        <v>400000</v>
      </c>
      <c r="G3">
        <v>400000</v>
      </c>
      <c r="H3" t="s">
        <v>103</v>
      </c>
      <c r="I3">
        <v>2</v>
      </c>
      <c r="J3">
        <v>100022</v>
      </c>
    </row>
    <row r="4" spans="1:10" ht="16.5">
      <c r="A4" s="4">
        <v>1003</v>
      </c>
      <c r="B4" s="4">
        <v>3</v>
      </c>
      <c r="C4" s="9" t="s">
        <v>1078</v>
      </c>
      <c r="E4">
        <v>600000</v>
      </c>
      <c r="G4">
        <v>600000</v>
      </c>
      <c r="H4" t="s">
        <v>89</v>
      </c>
      <c r="I4">
        <v>8</v>
      </c>
      <c r="J4">
        <v>100027</v>
      </c>
    </row>
    <row r="5" spans="1:10" ht="16.5">
      <c r="A5" s="4">
        <v>1004</v>
      </c>
      <c r="B5" s="4">
        <v>4</v>
      </c>
      <c r="C5" s="9" t="s">
        <v>1079</v>
      </c>
      <c r="E5">
        <v>800000</v>
      </c>
      <c r="G5">
        <v>800000</v>
      </c>
      <c r="H5" t="s">
        <v>1080</v>
      </c>
      <c r="I5">
        <v>8</v>
      </c>
      <c r="J5">
        <v>100005</v>
      </c>
    </row>
    <row r="6" spans="1:10" ht="16.5">
      <c r="A6" s="4">
        <v>1005</v>
      </c>
      <c r="B6" s="4">
        <v>5</v>
      </c>
      <c r="C6" s="9" t="s">
        <v>1081</v>
      </c>
      <c r="E6">
        <v>1000000</v>
      </c>
      <c r="G6">
        <v>1000000</v>
      </c>
      <c r="H6" t="s">
        <v>161</v>
      </c>
      <c r="I6">
        <v>1</v>
      </c>
      <c r="J6">
        <v>100025</v>
      </c>
    </row>
    <row r="7" spans="1:10" ht="16.5">
      <c r="A7" s="4">
        <v>1006</v>
      </c>
      <c r="B7" s="4">
        <v>6</v>
      </c>
      <c r="C7" s="9" t="s">
        <v>1082</v>
      </c>
      <c r="E7">
        <v>1200000</v>
      </c>
      <c r="G7">
        <v>1200000</v>
      </c>
      <c r="H7" t="s">
        <v>103</v>
      </c>
      <c r="I7">
        <v>10</v>
      </c>
      <c r="J7">
        <v>100022</v>
      </c>
    </row>
    <row r="8" spans="1:10" ht="16.5">
      <c r="A8" s="4">
        <v>1007</v>
      </c>
      <c r="B8" s="4">
        <v>7</v>
      </c>
      <c r="C8" s="9" t="s">
        <v>1083</v>
      </c>
      <c r="E8">
        <v>1400000</v>
      </c>
      <c r="G8">
        <v>1400000</v>
      </c>
      <c r="H8" t="s">
        <v>1084</v>
      </c>
      <c r="I8">
        <v>50</v>
      </c>
      <c r="J8">
        <v>606002</v>
      </c>
    </row>
    <row r="9" spans="1:10" ht="16.5">
      <c r="A9" s="4">
        <v>1008</v>
      </c>
      <c r="B9" s="4">
        <v>8</v>
      </c>
      <c r="C9" s="9" t="s">
        <v>1085</v>
      </c>
      <c r="E9">
        <v>1600000</v>
      </c>
      <c r="G9">
        <v>1600000</v>
      </c>
      <c r="H9" t="s">
        <v>113</v>
      </c>
      <c r="I9">
        <v>500</v>
      </c>
      <c r="J9">
        <v>100001</v>
      </c>
    </row>
    <row r="10" spans="1:10" ht="16.5">
      <c r="A10" s="4">
        <v>1009</v>
      </c>
      <c r="B10" s="4">
        <v>9</v>
      </c>
      <c r="C10" s="9" t="s">
        <v>1086</v>
      </c>
      <c r="E10">
        <v>1800000</v>
      </c>
      <c r="G10">
        <v>1800000</v>
      </c>
      <c r="H10" t="s">
        <v>116</v>
      </c>
      <c r="I10">
        <v>300</v>
      </c>
      <c r="J10">
        <v>100004</v>
      </c>
    </row>
    <row r="11" spans="1:10" ht="16.5">
      <c r="A11" s="4">
        <v>1010</v>
      </c>
      <c r="B11" s="4">
        <v>10</v>
      </c>
      <c r="C11" s="9" t="s">
        <v>1087</v>
      </c>
      <c r="E11">
        <v>2000000</v>
      </c>
      <c r="G11">
        <v>2000000</v>
      </c>
      <c r="H11" t="s">
        <v>161</v>
      </c>
      <c r="I11">
        <v>1</v>
      </c>
      <c r="J11">
        <v>100025</v>
      </c>
    </row>
    <row r="12" spans="1:10" ht="16.5">
      <c r="A12" s="4">
        <v>1011</v>
      </c>
      <c r="B12" s="4">
        <v>11</v>
      </c>
      <c r="C12" s="9" t="s">
        <v>1088</v>
      </c>
      <c r="E12">
        <v>2200000</v>
      </c>
      <c r="G12">
        <v>2200000</v>
      </c>
      <c r="H12" t="s">
        <v>1080</v>
      </c>
      <c r="I12">
        <v>12</v>
      </c>
      <c r="J12">
        <v>100005</v>
      </c>
    </row>
    <row r="13" spans="1:10" ht="16.5">
      <c r="A13" s="4">
        <v>1012</v>
      </c>
      <c r="B13" s="4">
        <v>12</v>
      </c>
      <c r="C13" s="9" t="s">
        <v>1089</v>
      </c>
      <c r="E13">
        <v>2400000</v>
      </c>
      <c r="G13">
        <v>2400000</v>
      </c>
      <c r="H13" t="s">
        <v>1090</v>
      </c>
      <c r="I13">
        <v>1</v>
      </c>
      <c r="J13">
        <v>100006</v>
      </c>
    </row>
    <row r="14" spans="1:10" ht="16.5">
      <c r="A14" s="4">
        <v>1013</v>
      </c>
      <c r="B14" s="4">
        <v>13</v>
      </c>
      <c r="C14" s="9" t="s">
        <v>1091</v>
      </c>
      <c r="E14">
        <v>2600000</v>
      </c>
      <c r="G14">
        <v>2600000</v>
      </c>
      <c r="H14" t="s">
        <v>1084</v>
      </c>
      <c r="I14">
        <v>50</v>
      </c>
      <c r="J14">
        <v>606002</v>
      </c>
    </row>
    <row r="15" spans="1:10" ht="16.5">
      <c r="A15" s="4">
        <v>1014</v>
      </c>
      <c r="B15" s="4">
        <v>14</v>
      </c>
      <c r="C15" s="9" t="s">
        <v>1092</v>
      </c>
      <c r="E15">
        <v>2800000</v>
      </c>
      <c r="G15">
        <v>2800000</v>
      </c>
      <c r="H15" t="s">
        <v>1093</v>
      </c>
      <c r="I15">
        <v>100</v>
      </c>
      <c r="J15">
        <v>100002</v>
      </c>
    </row>
    <row r="16" spans="1:10" ht="16.5">
      <c r="A16" s="4">
        <v>1015</v>
      </c>
      <c r="B16" s="4">
        <v>15</v>
      </c>
      <c r="C16" s="9" t="s">
        <v>1094</v>
      </c>
      <c r="E16">
        <v>3000000</v>
      </c>
      <c r="G16">
        <v>3000000</v>
      </c>
      <c r="H16" t="s">
        <v>1084</v>
      </c>
      <c r="I16">
        <v>50</v>
      </c>
      <c r="J16">
        <v>606002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/>
  <dimension ref="A1:N13"/>
  <sheetViews>
    <sheetView workbookViewId="0">
      <selection activeCell="B13" sqref="B13"/>
    </sheetView>
  </sheetViews>
  <sheetFormatPr defaultColWidth="9" defaultRowHeight="16.5"/>
  <cols>
    <col min="1" max="1" width="6.28515625" style="9" customWidth="1"/>
    <col min="2" max="2" width="9.28515625" style="9" customWidth="1"/>
    <col min="3" max="3" width="51.85546875" style="9" customWidth="1"/>
    <col min="4" max="5" width="13.28515625" style="9" customWidth="1"/>
    <col min="6" max="6" width="46.140625" style="9" customWidth="1"/>
    <col min="7" max="7" width="11.5703125" style="9" customWidth="1"/>
    <col min="8" max="8" width="12.85546875" style="9" customWidth="1"/>
    <col min="9" max="10" width="9" style="9"/>
    <col min="11" max="11" width="9.5703125" style="9" customWidth="1"/>
    <col min="12" max="12" width="9" style="9"/>
    <col min="13" max="13" width="7" style="9" customWidth="1"/>
    <col min="14" max="14" width="10.5703125" style="9" customWidth="1"/>
    <col min="15" max="16384" width="9" style="9"/>
  </cols>
  <sheetData>
    <row r="1" spans="1:14">
      <c r="A1" s="9" t="s">
        <v>0</v>
      </c>
      <c r="B1" s="9" t="s">
        <v>1095</v>
      </c>
      <c r="C1" s="9" t="s">
        <v>322</v>
      </c>
      <c r="D1" s="9" t="s">
        <v>63</v>
      </c>
      <c r="E1" s="9" t="s">
        <v>64</v>
      </c>
      <c r="F1" s="9" t="s">
        <v>370</v>
      </c>
    </row>
    <row r="2" spans="1:14">
      <c r="A2" s="9" t="s">
        <v>1096</v>
      </c>
      <c r="B2" s="9" t="s">
        <v>1097</v>
      </c>
      <c r="C2" s="10" t="s">
        <v>1098</v>
      </c>
      <c r="D2" s="9" t="s">
        <v>70</v>
      </c>
      <c r="E2" s="9" t="s">
        <v>1099</v>
      </c>
      <c r="F2" s="5" t="s">
        <v>1100</v>
      </c>
      <c r="K2" s="11"/>
      <c r="L2" s="12"/>
    </row>
    <row r="3" spans="1:14">
      <c r="A3" s="9" t="s">
        <v>1101</v>
      </c>
      <c r="B3" s="9" t="s">
        <v>1097</v>
      </c>
      <c r="C3" s="10" t="s">
        <v>1102</v>
      </c>
      <c r="D3" s="9" t="s">
        <v>1103</v>
      </c>
      <c r="E3" s="9" t="s">
        <v>1104</v>
      </c>
      <c r="F3" s="5" t="s">
        <v>1105</v>
      </c>
      <c r="K3" s="11"/>
      <c r="L3" s="12"/>
    </row>
    <row r="4" spans="1:14">
      <c r="A4" s="9" t="s">
        <v>1106</v>
      </c>
      <c r="B4" s="9" t="s">
        <v>1097</v>
      </c>
      <c r="C4" s="10" t="s">
        <v>1107</v>
      </c>
      <c r="D4" s="9" t="s">
        <v>1108</v>
      </c>
      <c r="E4" s="9" t="s">
        <v>625</v>
      </c>
      <c r="F4" s="5" t="s">
        <v>1109</v>
      </c>
      <c r="J4" s="11"/>
      <c r="K4" s="11"/>
      <c r="L4" s="12"/>
      <c r="M4" s="11"/>
      <c r="N4" s="12"/>
    </row>
    <row r="5" spans="1:14">
      <c r="A5" s="9" t="s">
        <v>1110</v>
      </c>
      <c r="B5" s="9" t="s">
        <v>1097</v>
      </c>
      <c r="C5" s="10" t="s">
        <v>1111</v>
      </c>
      <c r="D5" s="9" t="s">
        <v>1112</v>
      </c>
      <c r="E5" s="9" t="s">
        <v>1113</v>
      </c>
      <c r="F5" s="5" t="s">
        <v>1114</v>
      </c>
      <c r="K5" s="13"/>
      <c r="L5" s="14"/>
      <c r="M5" s="11"/>
      <c r="N5" s="12"/>
    </row>
    <row r="6" spans="1:14">
      <c r="A6" s="9" t="s">
        <v>1115</v>
      </c>
      <c r="B6" s="9" t="s">
        <v>1116</v>
      </c>
      <c r="C6" s="10" t="s">
        <v>1117</v>
      </c>
      <c r="D6" s="9" t="s">
        <v>70</v>
      </c>
      <c r="E6" s="9" t="s">
        <v>1099</v>
      </c>
      <c r="F6" s="9" t="s">
        <v>1118</v>
      </c>
      <c r="K6" s="11"/>
      <c r="L6" s="12"/>
    </row>
    <row r="7" spans="1:14">
      <c r="A7" s="9">
        <v>2002</v>
      </c>
      <c r="B7" s="9" t="s">
        <v>1116</v>
      </c>
      <c r="C7" s="10" t="s">
        <v>1119</v>
      </c>
      <c r="D7" s="9" t="s">
        <v>1103</v>
      </c>
      <c r="E7" s="9" t="s">
        <v>1104</v>
      </c>
      <c r="F7" s="9" t="s">
        <v>1120</v>
      </c>
      <c r="K7" s="11"/>
      <c r="L7" s="12"/>
    </row>
    <row r="8" spans="1:14">
      <c r="A8" s="9">
        <v>2003</v>
      </c>
      <c r="B8" s="9" t="s">
        <v>1116</v>
      </c>
      <c r="C8" s="10" t="s">
        <v>1121</v>
      </c>
      <c r="D8" s="9" t="s">
        <v>1108</v>
      </c>
      <c r="E8" s="9" t="s">
        <v>625</v>
      </c>
      <c r="F8" s="9" t="s">
        <v>1122</v>
      </c>
      <c r="K8" s="11"/>
      <c r="L8" s="12"/>
    </row>
    <row r="9" spans="1:14">
      <c r="A9" s="9">
        <v>2004</v>
      </c>
      <c r="B9" s="9" t="s">
        <v>1116</v>
      </c>
      <c r="C9" s="10" t="s">
        <v>1123</v>
      </c>
      <c r="D9" s="9" t="s">
        <v>1112</v>
      </c>
      <c r="E9" s="9" t="s">
        <v>1113</v>
      </c>
      <c r="F9" s="9" t="s">
        <v>1124</v>
      </c>
      <c r="K9" s="11"/>
      <c r="L9" s="12"/>
    </row>
    <row r="10" spans="1:14">
      <c r="A10" s="9" t="s">
        <v>1125</v>
      </c>
      <c r="B10" s="9" t="s">
        <v>1126</v>
      </c>
      <c r="C10" s="10" t="s">
        <v>1127</v>
      </c>
      <c r="D10" s="9" t="s">
        <v>70</v>
      </c>
      <c r="E10" s="9" t="s">
        <v>1099</v>
      </c>
      <c r="F10" s="9" t="s">
        <v>1128</v>
      </c>
      <c r="K10" s="11"/>
      <c r="L10" s="12"/>
    </row>
    <row r="11" spans="1:14">
      <c r="A11" s="9" t="s">
        <v>1129</v>
      </c>
      <c r="B11" s="9" t="s">
        <v>1126</v>
      </c>
      <c r="C11" s="10" t="s">
        <v>1130</v>
      </c>
      <c r="D11" s="9" t="s">
        <v>1103</v>
      </c>
      <c r="E11" s="9" t="s">
        <v>1104</v>
      </c>
      <c r="F11" s="9" t="s">
        <v>1131</v>
      </c>
      <c r="K11" s="11"/>
      <c r="L11" s="12"/>
    </row>
    <row r="12" spans="1:14">
      <c r="A12" s="9" t="s">
        <v>1132</v>
      </c>
      <c r="B12" s="9" t="s">
        <v>1126</v>
      </c>
      <c r="C12" s="10" t="s">
        <v>1133</v>
      </c>
      <c r="D12" s="9" t="s">
        <v>1108</v>
      </c>
      <c r="E12" s="9" t="s">
        <v>625</v>
      </c>
      <c r="F12" s="9" t="s">
        <v>1134</v>
      </c>
    </row>
    <row r="13" spans="1:14">
      <c r="A13" s="9" t="s">
        <v>1135</v>
      </c>
      <c r="B13" s="9" t="s">
        <v>1126</v>
      </c>
      <c r="C13" s="10" t="s">
        <v>1136</v>
      </c>
      <c r="D13" s="9" t="s">
        <v>1112</v>
      </c>
      <c r="E13" s="9" t="s">
        <v>1113</v>
      </c>
      <c r="F13" s="9" t="s">
        <v>1137</v>
      </c>
    </row>
  </sheetData>
  <conditionalFormatting sqref="J4">
    <cfRule type="duplicateValues" dxfId="30" priority="27"/>
    <cfRule type="duplicateValues" dxfId="29" priority="28"/>
    <cfRule type="duplicateValues" dxfId="28" priority="29"/>
    <cfRule type="duplicateValues" dxfId="27" priority="30"/>
    <cfRule type="duplicateValues" dxfId="26" priority="31"/>
  </conditionalFormatting>
  <conditionalFormatting sqref="K2:K4">
    <cfRule type="duplicateValues" dxfId="25" priority="17"/>
    <cfRule type="duplicateValues" dxfId="24" priority="18"/>
    <cfRule type="duplicateValues" dxfId="23" priority="19"/>
    <cfRule type="duplicateValues" dxfId="22" priority="20"/>
    <cfRule type="duplicateValues" dxfId="21" priority="21"/>
  </conditionalFormatting>
  <conditionalFormatting sqref="K5">
    <cfRule type="duplicateValues" dxfId="20" priority="80"/>
  </conditionalFormatting>
  <conditionalFormatting sqref="K5:K6">
    <cfRule type="duplicateValues" dxfId="19" priority="81"/>
    <cfRule type="duplicateValues" dxfId="18" priority="83"/>
    <cfRule type="duplicateValues" dxfId="17" priority="84"/>
    <cfRule type="duplicateValues" dxfId="16" priority="87"/>
  </conditionalFormatting>
  <conditionalFormatting sqref="K6">
    <cfRule type="duplicateValues" dxfId="15" priority="32"/>
  </conditionalFormatting>
  <conditionalFormatting sqref="K7">
    <cfRule type="duplicateValues" dxfId="14" priority="6"/>
    <cfRule type="duplicateValues" dxfId="13" priority="7"/>
    <cfRule type="duplicateValues" dxfId="12" priority="8"/>
    <cfRule type="duplicateValues" dxfId="11" priority="9"/>
    <cfRule type="duplicateValues" dxfId="10" priority="10"/>
  </conditionalFormatting>
  <conditionalFormatting sqref="K8:K11">
    <cfRule type="duplicateValues" dxfId="9" priority="88"/>
    <cfRule type="duplicateValues" dxfId="8" priority="90"/>
    <cfRule type="duplicateValues" dxfId="7" priority="92"/>
    <cfRule type="duplicateValues" dxfId="6" priority="93"/>
    <cfRule type="duplicateValues" dxfId="5" priority="96"/>
  </conditionalFormatting>
  <conditionalFormatting sqref="M4:M5">
    <cfRule type="duplicateValues" dxfId="4" priority="75"/>
    <cfRule type="duplicateValues" dxfId="3" priority="76"/>
    <cfRule type="duplicateValues" dxfId="2" priority="77"/>
    <cfRule type="duplicateValues" dxfId="1" priority="78"/>
    <cfRule type="duplicateValues" dxfId="0" priority="79"/>
  </conditionalFormatting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H4"/>
  <sheetViews>
    <sheetView workbookViewId="0">
      <selection activeCell="E4" sqref="E4"/>
    </sheetView>
  </sheetViews>
  <sheetFormatPr defaultColWidth="9" defaultRowHeight="15"/>
  <cols>
    <col min="2" max="2" width="13" customWidth="1"/>
    <col min="3" max="3" width="43.85546875" customWidth="1"/>
  </cols>
  <sheetData>
    <row r="1" spans="1:8">
      <c r="A1" t="s">
        <v>0</v>
      </c>
      <c r="B1" t="s">
        <v>1138</v>
      </c>
      <c r="C1" t="s">
        <v>94</v>
      </c>
      <c r="D1" t="s">
        <v>3</v>
      </c>
      <c r="E1" t="s">
        <v>1139</v>
      </c>
      <c r="F1" t="s">
        <v>1140</v>
      </c>
      <c r="G1" t="s">
        <v>1141</v>
      </c>
      <c r="H1" t="s">
        <v>6</v>
      </c>
    </row>
    <row r="2" spans="1:8" ht="30">
      <c r="A2">
        <v>1</v>
      </c>
      <c r="B2" s="8" t="s">
        <v>1142</v>
      </c>
      <c r="C2" s="7" t="s">
        <v>1143</v>
      </c>
      <c r="D2">
        <v>2000</v>
      </c>
      <c r="E2">
        <v>20000</v>
      </c>
      <c r="F2">
        <v>1</v>
      </c>
      <c r="G2">
        <v>150</v>
      </c>
      <c r="H2">
        <v>27001</v>
      </c>
    </row>
    <row r="3" spans="1:8" ht="45">
      <c r="A3">
        <v>2</v>
      </c>
      <c r="B3" s="8" t="s">
        <v>1144</v>
      </c>
      <c r="C3" s="7" t="s">
        <v>1145</v>
      </c>
      <c r="D3">
        <v>10000</v>
      </c>
      <c r="E3">
        <v>45000</v>
      </c>
      <c r="F3">
        <v>1</v>
      </c>
      <c r="G3">
        <v>80</v>
      </c>
      <c r="H3">
        <v>27002</v>
      </c>
    </row>
    <row r="4" spans="1:8" ht="45">
      <c r="A4">
        <v>3</v>
      </c>
      <c r="B4" s="8" t="s">
        <v>1146</v>
      </c>
      <c r="C4" s="7" t="s">
        <v>1147</v>
      </c>
      <c r="D4">
        <v>35000</v>
      </c>
      <c r="E4">
        <v>115000</v>
      </c>
      <c r="F4">
        <v>1</v>
      </c>
      <c r="G4">
        <v>30</v>
      </c>
      <c r="H4">
        <v>27003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F10"/>
  <sheetViews>
    <sheetView workbookViewId="0">
      <selection activeCell="F11" sqref="F11"/>
    </sheetView>
  </sheetViews>
  <sheetFormatPr defaultColWidth="9" defaultRowHeight="15"/>
  <cols>
    <col min="4" max="4" width="13.85546875" customWidth="1"/>
  </cols>
  <sheetData>
    <row r="1" spans="1:6">
      <c r="A1" t="s">
        <v>0</v>
      </c>
      <c r="B1" t="s">
        <v>1148</v>
      </c>
      <c r="C1" t="s">
        <v>1149</v>
      </c>
      <c r="D1" t="s">
        <v>322</v>
      </c>
    </row>
    <row r="2" spans="1:6">
      <c r="A2">
        <v>1001</v>
      </c>
      <c r="B2">
        <v>1</v>
      </c>
      <c r="C2">
        <v>20</v>
      </c>
      <c r="D2" s="7" t="s">
        <v>1150</v>
      </c>
      <c r="F2" t="s">
        <v>104</v>
      </c>
    </row>
    <row r="3" spans="1:6">
      <c r="A3">
        <v>1002</v>
      </c>
      <c r="B3">
        <v>1</v>
      </c>
      <c r="C3">
        <v>50</v>
      </c>
      <c r="D3" s="7" t="s">
        <v>1151</v>
      </c>
      <c r="F3" t="s">
        <v>112</v>
      </c>
    </row>
    <row r="4" spans="1:6">
      <c r="A4">
        <v>1003</v>
      </c>
      <c r="B4">
        <v>1</v>
      </c>
      <c r="C4">
        <v>100</v>
      </c>
      <c r="D4" s="7" t="s">
        <v>1152</v>
      </c>
      <c r="F4" t="s">
        <v>210</v>
      </c>
    </row>
    <row r="5" spans="1:6">
      <c r="A5">
        <v>2001</v>
      </c>
      <c r="B5">
        <v>2</v>
      </c>
      <c r="C5">
        <v>10</v>
      </c>
      <c r="D5" s="7" t="s">
        <v>1153</v>
      </c>
      <c r="F5" t="s">
        <v>1154</v>
      </c>
    </row>
    <row r="6" spans="1:6">
      <c r="A6">
        <v>2002</v>
      </c>
      <c r="B6">
        <v>2</v>
      </c>
      <c r="C6">
        <v>30</v>
      </c>
      <c r="D6" s="7" t="s">
        <v>1155</v>
      </c>
      <c r="F6" t="s">
        <v>161</v>
      </c>
    </row>
    <row r="7" spans="1:6">
      <c r="A7">
        <v>2003</v>
      </c>
      <c r="B7">
        <v>2</v>
      </c>
      <c r="C7">
        <v>50</v>
      </c>
      <c r="D7" s="7" t="s">
        <v>1156</v>
      </c>
      <c r="F7" t="s">
        <v>130</v>
      </c>
    </row>
    <row r="8" spans="1:6">
      <c r="A8">
        <v>3001</v>
      </c>
      <c r="B8">
        <v>3</v>
      </c>
      <c r="C8">
        <v>5</v>
      </c>
      <c r="D8" s="7" t="s">
        <v>282</v>
      </c>
      <c r="F8" t="s">
        <v>87</v>
      </c>
    </row>
    <row r="9" spans="1:6">
      <c r="A9">
        <v>3002</v>
      </c>
      <c r="B9">
        <v>3</v>
      </c>
      <c r="C9">
        <v>10</v>
      </c>
      <c r="D9" s="7" t="s">
        <v>1157</v>
      </c>
      <c r="F9" t="s">
        <v>113</v>
      </c>
    </row>
    <row r="10" spans="1:6">
      <c r="A10">
        <v>3003</v>
      </c>
      <c r="B10">
        <v>3</v>
      </c>
      <c r="C10">
        <v>20</v>
      </c>
      <c r="D10" s="7" t="s">
        <v>263</v>
      </c>
      <c r="F10" t="s">
        <v>147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F2"/>
  <sheetViews>
    <sheetView workbookViewId="0">
      <selection activeCell="B2" sqref="B2"/>
    </sheetView>
  </sheetViews>
  <sheetFormatPr defaultColWidth="9" defaultRowHeight="15"/>
  <cols>
    <col min="3" max="3" width="61.5703125" customWidth="1"/>
    <col min="4" max="4" width="52.7109375" customWidth="1"/>
    <col min="5" max="5" width="11.5703125" customWidth="1"/>
  </cols>
  <sheetData>
    <row r="1" spans="1:6">
      <c r="A1" t="s">
        <v>0</v>
      </c>
      <c r="B1" t="s">
        <v>3</v>
      </c>
      <c r="C1" t="s">
        <v>250</v>
      </c>
      <c r="D1" t="s">
        <v>1158</v>
      </c>
      <c r="E1" t="s">
        <v>1159</v>
      </c>
      <c r="F1" t="s">
        <v>6</v>
      </c>
    </row>
    <row r="2" spans="1:6" ht="16.5">
      <c r="A2">
        <v>1</v>
      </c>
      <c r="B2" s="7" t="s">
        <v>1116</v>
      </c>
      <c r="C2" s="7" t="s">
        <v>1160</v>
      </c>
      <c r="D2" s="7" t="s">
        <v>1161</v>
      </c>
      <c r="E2" s="7" t="s">
        <v>90</v>
      </c>
      <c r="F2" s="4">
        <v>31001</v>
      </c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J11"/>
  <sheetViews>
    <sheetView workbookViewId="0">
      <selection activeCell="F21" sqref="F21"/>
    </sheetView>
  </sheetViews>
  <sheetFormatPr defaultColWidth="9" defaultRowHeight="15"/>
  <cols>
    <col min="1" max="1" width="9.5703125" style="1" customWidth="1"/>
    <col min="2" max="2" width="60.28515625" style="2" customWidth="1"/>
    <col min="3" max="4" width="9" style="3"/>
    <col min="5" max="5" width="9" style="1"/>
    <col min="6" max="6" width="14.7109375" style="1" customWidth="1"/>
    <col min="7" max="7" width="13.7109375" style="1" customWidth="1"/>
    <col min="8" max="8" width="9" style="1"/>
    <col min="9" max="9" width="16.28515625" style="1" customWidth="1"/>
    <col min="10" max="10" width="26.5703125" style="1" customWidth="1"/>
    <col min="11" max="11" width="15" style="1" customWidth="1"/>
    <col min="12" max="16384" width="9" style="1"/>
  </cols>
  <sheetData>
    <row r="1" spans="1:10">
      <c r="A1" s="1" t="s">
        <v>0</v>
      </c>
      <c r="B1" s="2" t="s">
        <v>94</v>
      </c>
      <c r="C1" s="3" t="s">
        <v>3</v>
      </c>
      <c r="D1" s="3" t="s">
        <v>95</v>
      </c>
      <c r="E1" s="1" t="s">
        <v>30</v>
      </c>
      <c r="F1" s="1" t="s">
        <v>1162</v>
      </c>
      <c r="G1" s="1" t="s">
        <v>1163</v>
      </c>
      <c r="H1" s="1" t="s">
        <v>6</v>
      </c>
      <c r="I1" s="1" t="s">
        <v>1164</v>
      </c>
      <c r="J1" s="1" t="s">
        <v>1165</v>
      </c>
    </row>
    <row r="2" spans="1:10">
      <c r="A2" s="1">
        <v>10001</v>
      </c>
      <c r="B2" s="2" t="s">
        <v>99</v>
      </c>
      <c r="C2" s="3">
        <v>0</v>
      </c>
      <c r="D2" s="3">
        <v>1</v>
      </c>
      <c r="E2" s="1">
        <v>1</v>
      </c>
    </row>
    <row r="3" spans="1:10" ht="16.5">
      <c r="A3" s="1">
        <v>10002</v>
      </c>
      <c r="B3" s="2" t="s">
        <v>1166</v>
      </c>
      <c r="C3" s="3">
        <v>2000</v>
      </c>
      <c r="D3" s="3">
        <v>1</v>
      </c>
      <c r="E3" s="1">
        <v>2</v>
      </c>
      <c r="H3" s="4">
        <v>39001</v>
      </c>
    </row>
    <row r="4" spans="1:10" ht="16.5">
      <c r="A4" s="1">
        <v>10003</v>
      </c>
      <c r="B4" s="5" t="s">
        <v>1167</v>
      </c>
      <c r="C4" s="3">
        <v>10000</v>
      </c>
      <c r="D4" s="3">
        <v>3</v>
      </c>
      <c r="E4" s="1">
        <v>4</v>
      </c>
      <c r="H4" s="4">
        <v>39002</v>
      </c>
    </row>
    <row r="5" spans="1:10" ht="16.5">
      <c r="A5" s="1">
        <v>10004</v>
      </c>
      <c r="B5" s="5" t="s">
        <v>1168</v>
      </c>
      <c r="C5" s="3">
        <v>25000</v>
      </c>
      <c r="D5" s="3">
        <v>3</v>
      </c>
      <c r="E5" s="1">
        <v>5</v>
      </c>
      <c r="H5" s="4">
        <v>39003</v>
      </c>
    </row>
    <row r="6" spans="1:10" ht="16.5">
      <c r="A6" s="1">
        <v>10005</v>
      </c>
      <c r="B6" s="6" t="s">
        <v>1169</v>
      </c>
      <c r="C6" s="3">
        <v>45000</v>
      </c>
      <c r="D6" s="3">
        <v>3</v>
      </c>
      <c r="E6" s="1">
        <v>10</v>
      </c>
      <c r="H6" s="4">
        <v>39004</v>
      </c>
    </row>
    <row r="7" spans="1:10" ht="16.5">
      <c r="A7" s="1">
        <v>10006</v>
      </c>
      <c r="B7" s="5" t="s">
        <v>1170</v>
      </c>
      <c r="C7" s="3">
        <v>115000</v>
      </c>
      <c r="D7" s="3">
        <v>3</v>
      </c>
      <c r="E7" s="1">
        <v>11</v>
      </c>
      <c r="H7" s="4">
        <v>39005</v>
      </c>
    </row>
    <row r="8" spans="1:10" ht="16.5">
      <c r="A8" s="1">
        <v>10007</v>
      </c>
      <c r="B8" s="6" t="s">
        <v>1171</v>
      </c>
      <c r="C8" s="3">
        <v>115000</v>
      </c>
      <c r="D8" s="3">
        <v>3</v>
      </c>
      <c r="E8" s="1">
        <v>13</v>
      </c>
      <c r="H8" s="4">
        <v>39006</v>
      </c>
    </row>
    <row r="9" spans="1:10" ht="16.5">
      <c r="A9" s="1">
        <v>10008</v>
      </c>
      <c r="B9" s="5" t="s">
        <v>1172</v>
      </c>
      <c r="C9" s="3">
        <v>215000</v>
      </c>
      <c r="D9" s="3">
        <v>3</v>
      </c>
      <c r="E9" s="1">
        <v>14</v>
      </c>
      <c r="H9" s="4">
        <v>39007</v>
      </c>
      <c r="I9" s="5" t="s">
        <v>1173</v>
      </c>
    </row>
    <row r="10" spans="1:10" ht="16.5">
      <c r="A10" s="1">
        <v>10009</v>
      </c>
      <c r="B10" s="5" t="s">
        <v>1174</v>
      </c>
      <c r="C10" s="3">
        <v>215000</v>
      </c>
      <c r="D10" s="3">
        <v>3</v>
      </c>
      <c r="E10" s="1">
        <v>15</v>
      </c>
      <c r="H10" s="4">
        <v>39008</v>
      </c>
      <c r="I10" s="5" t="s">
        <v>1175</v>
      </c>
    </row>
    <row r="11" spans="1:10" ht="16.5">
      <c r="A11" s="1">
        <v>10010</v>
      </c>
      <c r="B11" s="6" t="s">
        <v>1176</v>
      </c>
      <c r="C11" s="3">
        <v>215000</v>
      </c>
      <c r="D11" s="3">
        <v>3</v>
      </c>
      <c r="E11" s="1">
        <v>16</v>
      </c>
      <c r="H11" s="4">
        <v>39009</v>
      </c>
      <c r="I11" t="s">
        <v>1177</v>
      </c>
      <c r="J11"/>
    </row>
  </sheetData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付费充值</vt:lpstr>
      <vt:lpstr>特权商城</vt:lpstr>
      <vt:lpstr>每日礼包</vt:lpstr>
      <vt:lpstr>每日礼奖品池</vt:lpstr>
      <vt:lpstr>周限购商城</vt:lpstr>
      <vt:lpstr>月限购商城</vt:lpstr>
      <vt:lpstr>月卡</vt:lpstr>
      <vt:lpstr>成长基金</vt:lpstr>
      <vt:lpstr>爬塔基金</vt:lpstr>
      <vt:lpstr>种族塔基金</vt:lpstr>
      <vt:lpstr>快速作战基金</vt:lpstr>
      <vt:lpstr>月基金</vt:lpstr>
      <vt:lpstr>月基金奖励分组</vt:lpstr>
      <vt:lpstr>月基金奖励</vt:lpstr>
      <vt:lpstr>钜惠礼包</vt:lpstr>
      <vt:lpstr>Sheet1</vt:lpstr>
      <vt:lpstr>每日累充</vt:lpstr>
      <vt:lpstr>积天豪礼</vt:lpstr>
      <vt:lpstr>每日首充</vt:lpstr>
      <vt:lpstr>全服限购商品</vt:lpstr>
      <vt:lpstr>全服限购次数奖励</vt:lpstr>
      <vt:lpstr>超级特权</vt:lpstr>
      <vt:lpstr>周末限购商城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2024-01-10T14:37:24Z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1033-12.2.0.13266</vt:lpwstr>
  </property>
  <property fmtid="{D5CDD505-2E9C-101B-9397-08002B2CF9AE}" pid="3" name="ICV">
    <vt:lpwstr>52BFBAAE417F4F7EA1154197ECBE7405</vt:lpwstr>
  </property>
</Properties>
</file>