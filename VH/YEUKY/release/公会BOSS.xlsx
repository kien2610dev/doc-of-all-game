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ADMINI~1\AppData\Local\Temp\BvSshSftp\Bv001f9e\Bv002647\"/>
    </mc:Choice>
  </mc:AlternateContent>
  <xr:revisionPtr revIDLastSave="0" documentId="13_ncr:1_{FFEF777C-D878-4870-983A-88FB42D22E6E}" xr6:coauthVersionLast="47" xr6:coauthVersionMax="47" xr10:uidLastSave="{00000000-0000-0000-0000-000000000000}"/>
  <bookViews>
    <workbookView xWindow="600" yWindow="540" windowWidth="28170" windowHeight="13245" xr2:uid="{00000000-000D-0000-FFFF-FFFF00000000}"/>
  </bookViews>
  <sheets>
    <sheet name="公会BOSS关卡" sheetId="1" r:id="rId1"/>
  </sheets>
  <calcPr calcId="181029"/>
</workbook>
</file>

<file path=xl/calcChain.xml><?xml version="1.0" encoding="utf-8"?>
<calcChain xmlns="http://schemas.openxmlformats.org/spreadsheetml/2006/main">
  <c r="L112" i="1" l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K112" i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L101" i="1"/>
  <c r="K101" i="1"/>
</calcChain>
</file>

<file path=xl/sharedStrings.xml><?xml version="1.0" encoding="utf-8"?>
<sst xmlns="http://schemas.openxmlformats.org/spreadsheetml/2006/main" count="574" uniqueCount="310">
  <si>
    <t>第几关</t>
  </si>
  <si>
    <t>章节名</t>
  </si>
  <si>
    <t>怪物英雄实例ID</t>
  </si>
  <si>
    <t>英雄ID</t>
  </si>
  <si>
    <t>BOSS名字</t>
  </si>
  <si>
    <t>BOSS血量</t>
  </si>
  <si>
    <t>伤害奖励帮贡</t>
  </si>
  <si>
    <t>伤害奖励m0</t>
  </si>
  <si>
    <t>击杀奖励帮贡</t>
  </si>
  <si>
    <t>击杀奖励公会经验</t>
  </si>
  <si>
    <t>榜单总奖励m0</t>
  </si>
  <si>
    <t>榜单总奖励帮贡</t>
  </si>
  <si>
    <t>地图ID</t>
  </si>
  <si>
    <t>battle_bg5</t>
  </si>
  <si>
    <t>Chương 1</t>
  </si>
  <si>
    <t>Chương 2</t>
  </si>
  <si>
    <t>Chương 3</t>
  </si>
  <si>
    <t>Chương 4</t>
  </si>
  <si>
    <t>Chương 5</t>
  </si>
  <si>
    <t>Chương 6</t>
  </si>
  <si>
    <t>Chương 7</t>
  </si>
  <si>
    <t>Chương 8</t>
  </si>
  <si>
    <t>Chương 9</t>
  </si>
  <si>
    <t>Chương 10</t>
  </si>
  <si>
    <t>Chương 11</t>
  </si>
  <si>
    <t>Chương 12</t>
  </si>
  <si>
    <t>Chương 13</t>
  </si>
  <si>
    <t>Chương 14</t>
  </si>
  <si>
    <t>Chương 15</t>
  </si>
  <si>
    <t>Chương 16</t>
  </si>
  <si>
    <t>Chương 17</t>
  </si>
  <si>
    <t>Chương 18</t>
  </si>
  <si>
    <t>Chương 19</t>
  </si>
  <si>
    <t>Chương 20</t>
  </si>
  <si>
    <t>Chương 21</t>
  </si>
  <si>
    <t>Chương 22</t>
  </si>
  <si>
    <t>Chương 23</t>
  </si>
  <si>
    <t>Chương 24</t>
  </si>
  <si>
    <t>Chương 25</t>
  </si>
  <si>
    <t>Chương 26</t>
  </si>
  <si>
    <t>Chương 27</t>
  </si>
  <si>
    <t>Chương 28</t>
  </si>
  <si>
    <t>Chương 29</t>
  </si>
  <si>
    <t>Chương 30</t>
  </si>
  <si>
    <t>Chương 31</t>
  </si>
  <si>
    <t>Chương 32</t>
  </si>
  <si>
    <t>Chương 33</t>
  </si>
  <si>
    <t>Chương 34</t>
  </si>
  <si>
    <t>Chương 35</t>
  </si>
  <si>
    <t>Chương 36</t>
  </si>
  <si>
    <t>Chương 37</t>
  </si>
  <si>
    <t>Chương 38</t>
  </si>
  <si>
    <t>Chương 39</t>
  </si>
  <si>
    <t>Chương 40</t>
  </si>
  <si>
    <t>Chương 41</t>
  </si>
  <si>
    <t>Chương 42</t>
  </si>
  <si>
    <t>Chương 43</t>
  </si>
  <si>
    <t>Chương 44</t>
  </si>
  <si>
    <t>Chương 45</t>
  </si>
  <si>
    <t>Chương 46</t>
  </si>
  <si>
    <t>Chương 47</t>
  </si>
  <si>
    <t>Chương 48</t>
  </si>
  <si>
    <t>Chương 49</t>
  </si>
  <si>
    <t>Chương 50</t>
  </si>
  <si>
    <t>Chương 51</t>
  </si>
  <si>
    <t>Chương 52</t>
  </si>
  <si>
    <t>Chương 53</t>
  </si>
  <si>
    <t>Chương 54</t>
  </si>
  <si>
    <t>Chương 55</t>
  </si>
  <si>
    <t>Chương 56</t>
  </si>
  <si>
    <t>Chương 57</t>
  </si>
  <si>
    <t>Chương 58</t>
  </si>
  <si>
    <t>Chương 59</t>
  </si>
  <si>
    <t>Chương 60</t>
  </si>
  <si>
    <t>Chương 61</t>
  </si>
  <si>
    <t>Chương 62</t>
  </si>
  <si>
    <t>Chương 63</t>
  </si>
  <si>
    <t>Chương 64</t>
  </si>
  <si>
    <t>Chương 65</t>
  </si>
  <si>
    <t>Chương 66</t>
  </si>
  <si>
    <t>Chương 67</t>
  </si>
  <si>
    <t>Chương 68</t>
  </si>
  <si>
    <t>Chương 69</t>
  </si>
  <si>
    <t>Chương 70</t>
  </si>
  <si>
    <t>Chương 71</t>
  </si>
  <si>
    <t>Chương 72</t>
  </si>
  <si>
    <t>Chương 73</t>
  </si>
  <si>
    <t>Chương 74</t>
  </si>
  <si>
    <t>Chương 75</t>
  </si>
  <si>
    <t>Chương 76</t>
  </si>
  <si>
    <t>Chương 77</t>
  </si>
  <si>
    <t>Chương 78</t>
  </si>
  <si>
    <t>Chương 79</t>
  </si>
  <si>
    <t>Chương 80</t>
  </si>
  <si>
    <t>Chương 81</t>
  </si>
  <si>
    <t>Chương 82</t>
  </si>
  <si>
    <t>Chương 83</t>
  </si>
  <si>
    <t>Chương 84</t>
  </si>
  <si>
    <t>Chương 85</t>
  </si>
  <si>
    <t>Chương 86</t>
  </si>
  <si>
    <t>Chương 87</t>
  </si>
  <si>
    <t>Chương 88</t>
  </si>
  <si>
    <t>Chương 89</t>
  </si>
  <si>
    <t>Chương 90</t>
  </si>
  <si>
    <t>Chương 91</t>
  </si>
  <si>
    <t>Chương 92</t>
  </si>
  <si>
    <t>Chương 93</t>
  </si>
  <si>
    <t>Chương 94</t>
  </si>
  <si>
    <t>Chương 95</t>
  </si>
  <si>
    <t>Chương 96</t>
  </si>
  <si>
    <t>Chương 97</t>
  </si>
  <si>
    <t>Chương 98</t>
  </si>
  <si>
    <t>Chương 99</t>
  </si>
  <si>
    <t>Chương 100</t>
  </si>
  <si>
    <t>Chương 101</t>
  </si>
  <si>
    <t>Chương 102</t>
  </si>
  <si>
    <t>Chương 103</t>
  </si>
  <si>
    <t>Chương 104</t>
  </si>
  <si>
    <t>Chương 105</t>
  </si>
  <si>
    <t>Chương 106</t>
  </si>
  <si>
    <t>Chương 107</t>
  </si>
  <si>
    <t>Chương 108</t>
  </si>
  <si>
    <t>Chương 109</t>
  </si>
  <si>
    <t>Chương 110</t>
  </si>
  <si>
    <t>Chương 111</t>
  </si>
  <si>
    <t>Chương 112</t>
  </si>
  <si>
    <t>Chương 113</t>
  </si>
  <si>
    <t>Chương 114</t>
  </si>
  <si>
    <t>Chương 115</t>
  </si>
  <si>
    <t>Chương 116</t>
  </si>
  <si>
    <t>Chương 117</t>
  </si>
  <si>
    <t>Chương 118</t>
  </si>
  <si>
    <t>Chương 119</t>
  </si>
  <si>
    <t>Chương 120</t>
  </si>
  <si>
    <t>Chương 121</t>
  </si>
  <si>
    <t>Chương 122</t>
  </si>
  <si>
    <t>Chương 123</t>
  </si>
  <si>
    <t>Chương 124</t>
  </si>
  <si>
    <t>Chương 125</t>
  </si>
  <si>
    <t>Chương 126</t>
  </si>
  <si>
    <t>Chương 127</t>
  </si>
  <si>
    <t>Chương 128</t>
  </si>
  <si>
    <t>Chương 129</t>
  </si>
  <si>
    <t>Chương 130</t>
  </si>
  <si>
    <t>Chương 131</t>
  </si>
  <si>
    <t>Chương 132</t>
  </si>
  <si>
    <t>Chương 133</t>
  </si>
  <si>
    <t>Chương 134</t>
  </si>
  <si>
    <t>Chương 135</t>
  </si>
  <si>
    <t>Chương 136</t>
  </si>
  <si>
    <t>Chương 137</t>
  </si>
  <si>
    <t>Chương 138</t>
  </si>
  <si>
    <t>Chương 139</t>
  </si>
  <si>
    <t>Chương 140</t>
  </si>
  <si>
    <t>Chương 141</t>
  </si>
  <si>
    <t>Chương 142</t>
  </si>
  <si>
    <t>Chương 143</t>
  </si>
  <si>
    <t>Chương 144</t>
  </si>
  <si>
    <t>Chương 145</t>
  </si>
  <si>
    <t>Chương 146</t>
  </si>
  <si>
    <t>Chương 147</t>
  </si>
  <si>
    <t>Chương 148</t>
  </si>
  <si>
    <t>Chương 149</t>
  </si>
  <si>
    <t>Chương 150</t>
  </si>
  <si>
    <t>Chương 151</t>
  </si>
  <si>
    <t>Chương 152</t>
  </si>
  <si>
    <t>Chương 153</t>
  </si>
  <si>
    <t>Chương 154</t>
  </si>
  <si>
    <t>Chương 155</t>
  </si>
  <si>
    <t>Chương 156</t>
  </si>
  <si>
    <t>Chương 157</t>
  </si>
  <si>
    <t>Chương 158</t>
  </si>
  <si>
    <t>Chương 159</t>
  </si>
  <si>
    <t>Chương 160</t>
  </si>
  <si>
    <t>Chương 161</t>
  </si>
  <si>
    <t>Chương 162</t>
  </si>
  <si>
    <t>Chương 163</t>
  </si>
  <si>
    <t>Chương 164</t>
  </si>
  <si>
    <t>Chương 165</t>
  </si>
  <si>
    <t>Chương 166</t>
  </si>
  <si>
    <t>Chương 167</t>
  </si>
  <si>
    <t>Chương 168</t>
  </si>
  <si>
    <t>Chương 169</t>
  </si>
  <si>
    <t>Chương 170</t>
  </si>
  <si>
    <t>Chương 171</t>
  </si>
  <si>
    <t>Chương 172</t>
  </si>
  <si>
    <t>Chương 173</t>
  </si>
  <si>
    <t>Chương 174</t>
  </si>
  <si>
    <t>Chương 175</t>
  </si>
  <si>
    <t>Chương 176</t>
  </si>
  <si>
    <t>Chương 177</t>
  </si>
  <si>
    <t>Chương 178</t>
  </si>
  <si>
    <t>Chương 179</t>
  </si>
  <si>
    <t>Chương 180</t>
  </si>
  <si>
    <t>Chương 181</t>
  </si>
  <si>
    <t>Chương 182</t>
  </si>
  <si>
    <t>Chương 183</t>
  </si>
  <si>
    <t>Chương 184</t>
  </si>
  <si>
    <t>Chương 185</t>
  </si>
  <si>
    <t>Chương 186</t>
  </si>
  <si>
    <t>Chương 187</t>
  </si>
  <si>
    <t>Thỏ Ngọc</t>
  </si>
  <si>
    <t>Bạch Long</t>
  </si>
  <si>
    <t>Trước Điện Cấm Vệ</t>
  </si>
  <si>
    <t>Hoàng Tuyền</t>
  </si>
  <si>
    <t>Lý Tĩnh</t>
  </si>
  <si>
    <t>Hằng Nga</t>
  </si>
  <si>
    <t>Phá Quân</t>
  </si>
  <si>
    <t>Hồn Thiên Đại Thánh</t>
  </si>
  <si>
    <t>Bạch Cốt Phu Nhân</t>
  </si>
  <si>
    <t>Hoàng Phi Hổ</t>
  </si>
  <si>
    <t>Thân Công Báo</t>
  </si>
  <si>
    <t>Kim Ô</t>
  </si>
  <si>
    <t>Hắc Vô Thường</t>
  </si>
  <si>
    <t>Bạch Vô Thường</t>
  </si>
  <si>
    <t>Diêm Quân</t>
  </si>
  <si>
    <t>Chức Nữ</t>
  </si>
  <si>
    <t>Quỷ Tướng</t>
  </si>
  <si>
    <t>Lạc Thần</t>
  </si>
  <si>
    <t>Lôi Chấn Tử</t>
  </si>
  <si>
    <t>Thái Bạch Kim Tinh</t>
  </si>
  <si>
    <t>Vũ Sư</t>
  </si>
  <si>
    <t>Thiên Bồng Nguyên Soái</t>
  </si>
  <si>
    <t>Ðát Kỷ</t>
  </si>
  <si>
    <t>Nữ Bạt</t>
  </si>
  <si>
    <t>Nữ Oa</t>
  </si>
  <si>
    <t>Quyển Liêm Đại Tướng</t>
  </si>
  <si>
    <t>Odin</t>
  </si>
  <si>
    <t>Zeus</t>
  </si>
  <si>
    <t>Phan</t>
  </si>
  <si>
    <t>Hella</t>
  </si>
  <si>
    <t>Mị Ma Nữ Vương</t>
  </si>
  <si>
    <t>Ares</t>
  </si>
  <si>
    <t>Titan</t>
  </si>
  <si>
    <t>Medusa</t>
  </si>
  <si>
    <t>Xà Nữ Mực Toa</t>
  </si>
  <si>
    <t>Thần Linh Đại Tế Ti</t>
  </si>
  <si>
    <t>Sphinx</t>
  </si>
  <si>
    <t>Athena</t>
  </si>
  <si>
    <t>Poseidon</t>
  </si>
  <si>
    <t>Băng Sương Cự Long</t>
  </si>
  <si>
    <t>Thiếu Niên Merlin</t>
  </si>
  <si>
    <t>Hải Ninh Phù</t>
  </si>
  <si>
    <t>Phoenix</t>
  </si>
  <si>
    <t>Prometheus</t>
  </si>
  <si>
    <t>Loki</t>
  </si>
  <si>
    <t>Sí Thiên Sứ</t>
  </si>
  <si>
    <t>Kiếm Hào Thẻ Tán</t>
  </si>
  <si>
    <t>Hút Máu Bá Tước</t>
  </si>
  <si>
    <t>Valkyrie</t>
  </si>
  <si>
    <t>Viêm Ma Chi Vương</t>
  </si>
  <si>
    <t>Apollo</t>
  </si>
  <si>
    <t>Gaia</t>
  </si>
  <si>
    <t>Rafael</t>
  </si>
  <si>
    <t>Finney Ngươi</t>
  </si>
  <si>
    <t>Ngải Lôi Ria</t>
  </si>
  <si>
    <t>Hera</t>
  </si>
  <si>
    <t>Kiran Thôi Ngươi</t>
  </si>
  <si>
    <t>Venus</t>
  </si>
  <si>
    <t>Abaddon</t>
  </si>
  <si>
    <t>Pandora</t>
  </si>
  <si>
    <t>Hades</t>
  </si>
  <si>
    <t>Phái Sith</t>
  </si>
  <si>
    <t>Naga Công Chúa</t>
  </si>
  <si>
    <t>Anubis</t>
  </si>
  <si>
    <t>Hình Thiên</t>
  </si>
  <si>
    <t>Chúc Long</t>
  </si>
  <si>
    <t>Hậu Nghệ</t>
  </si>
  <si>
    <t>Khương Tử Nha</t>
  </si>
  <si>
    <t>Huyền Trang</t>
  </si>
  <si>
    <t>Hoa Mộc Lan</t>
  </si>
  <si>
    <t>Ngọc Đế</t>
  </si>
  <si>
    <t>Đặng Thiền Ngọc</t>
  </si>
  <si>
    <t>Cơ Phát</t>
  </si>
  <si>
    <t>Na Tra</t>
  </si>
  <si>
    <t>Nam Cực Tiên Tử</t>
  </si>
  <si>
    <t>Lộc Duyên Thượng Tiên</t>
  </si>
  <si>
    <t>Đấu Chiến Thắng Phật</t>
  </si>
  <si>
    <t>Thông Thiên Giáo Chủ</t>
  </si>
  <si>
    <t>Nguyên Thủy Thiên Tôn</t>
  </si>
  <si>
    <t>Vân Trung Tử</t>
  </si>
  <si>
    <t>Hồng Hài Nhi</t>
  </si>
  <si>
    <t>Thạch Cơ</t>
  </si>
  <si>
    <t>Hỗn Thiên Đại Thánh</t>
  </si>
  <si>
    <t>Ngưu Ma Vương</t>
  </si>
  <si>
    <t>Giơ Cao Thương</t>
  </si>
  <si>
    <t>Ngao Bính</t>
  </si>
  <si>
    <t>Bàn Cổ</t>
  </si>
  <si>
    <t>Thần Nông</t>
  </si>
  <si>
    <t>Côn</t>
  </si>
  <si>
    <t>Cộng Công</t>
  </si>
  <si>
    <t>Chúc Dung</t>
  </si>
  <si>
    <t>Cửu Thiên Huyền Nữ</t>
  </si>
  <si>
    <t>Xi Vưu</t>
  </si>
  <si>
    <t>Mạnh Bà</t>
  </si>
  <si>
    <t>Ma · Ngộ Không</t>
  </si>
  <si>
    <t>Đông Hoàng Thái Nhất</t>
  </si>
  <si>
    <t>Dạ Mị</t>
  </si>
  <si>
    <t>Man Châu</t>
  </si>
  <si>
    <t>Dương Tiễn</t>
  </si>
  <si>
    <t>Mẹ Tổ</t>
  </si>
  <si>
    <t>Tam Thánh Mẫu</t>
  </si>
  <si>
    <t>Phách Rồng</t>
  </si>
  <si>
    <t>Tây Vương Mẫu</t>
  </si>
  <si>
    <t>Linh Môi Ma Nữ</t>
  </si>
  <si>
    <t>Minh Hà</t>
  </si>
  <si>
    <t>Vô Thiên</t>
  </si>
  <si>
    <t>Tu La</t>
  </si>
  <si>
    <t>Ảnh</t>
  </si>
  <si>
    <t>Viêm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</si>
</sst>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  <charset val="134"/>
      <scheme val="minor"/>
    </font>
    <font>
      <sz val="11"/>
      <color theme="1"/>
      <name val="Arial"/>
      <family val="2"/>
      <scheme val="minor"/>
    </font>
    <font>
      <b/>
      <sz val="11"/>
      <color rgb="FFFA7D00"/>
      <name val="Arial"/>
      <family val="3"/>
      <charset val="134"/>
      <scheme val="minor"/>
    </font>
    <font>
      <sz val="11"/>
      <color rgb="FF000000"/>
      <name val="Arial"/>
      <family val="3"/>
      <charset val="134"/>
      <scheme val="minor"/>
    </font>
    <font>
      <sz val="11"/>
      <color rgb="FFFF0000"/>
      <name val="Arial"/>
      <family val="3"/>
      <charset val="134"/>
      <scheme val="minor"/>
    </font>
    <font>
      <sz val="11"/>
      <name val="Arial"/>
      <family val="3"/>
      <charset val="134"/>
      <scheme val="minor"/>
    </font>
    <font>
      <sz val="9"/>
      <name val="Arial"/>
      <family val="3"/>
      <charset val="134"/>
      <scheme val="minor"/>
    </font>
    <font>
      <sz val="11"/>
      <color rgb="FF000000"/>
      <name val="&amp;Quot"/>
    </font>
  </fonts>
  <fills count="2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CC66FF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3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/>
    <xf numFmtId="0" fontId="2" fillId="2" borderId="1" xfId="1" applyAlignment="1"/>
    <xf numFmtId="49" fontId="2" fillId="2" borderId="1" xfId="1" applyNumberFormat="1" applyAlignment="1"/>
    <xf numFmtId="0" fontId="0" fillId="0" borderId="0" xfId="0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2" fillId="2" borderId="2" xfId="1" applyBorder="1" applyAlignment="1"/>
    <xf numFmtId="0" fontId="3" fillId="6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right" vertical="center"/>
    </xf>
    <xf numFmtId="0" fontId="3" fillId="10" borderId="0" xfId="0" applyFont="1" applyFill="1" applyAlignment="1">
      <alignment horizontal="right" vertical="center"/>
    </xf>
    <xf numFmtId="0" fontId="3" fillId="11" borderId="0" xfId="0" applyFont="1" applyFill="1" applyAlignment="1">
      <alignment horizontal="right" vertical="center"/>
    </xf>
    <xf numFmtId="0" fontId="3" fillId="12" borderId="0" xfId="0" applyFont="1" applyFill="1" applyAlignment="1">
      <alignment horizontal="right" vertical="center"/>
    </xf>
    <xf numFmtId="0" fontId="3" fillId="13" borderId="0" xfId="0" applyFont="1" applyFill="1" applyAlignment="1">
      <alignment horizontal="right" vertical="center"/>
    </xf>
    <xf numFmtId="0" fontId="3" fillId="14" borderId="0" xfId="0" applyFont="1" applyFill="1" applyAlignment="1">
      <alignment horizontal="right" vertical="center"/>
    </xf>
    <xf numFmtId="0" fontId="3" fillId="15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0" fontId="3" fillId="16" borderId="0" xfId="0" applyFont="1" applyFill="1" applyAlignment="1">
      <alignment horizontal="right" vertical="center"/>
    </xf>
    <xf numFmtId="0" fontId="3" fillId="17" borderId="0" xfId="0" applyFont="1" applyFill="1" applyAlignment="1">
      <alignment horizontal="right" vertical="center"/>
    </xf>
    <xf numFmtId="0" fontId="3" fillId="18" borderId="0" xfId="0" applyFont="1" applyFill="1" applyAlignment="1">
      <alignment horizontal="right" vertical="center"/>
    </xf>
    <xf numFmtId="0" fontId="3" fillId="19" borderId="0" xfId="0" applyFont="1" applyFill="1" applyAlignment="1">
      <alignment horizontal="right" vertical="center"/>
    </xf>
    <xf numFmtId="0" fontId="3" fillId="20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21" borderId="0" xfId="0" applyFont="1" applyFill="1" applyAlignment="1">
      <alignment horizontal="right" vertical="center"/>
    </xf>
    <xf numFmtId="0" fontId="5" fillId="22" borderId="0" xfId="0" applyFont="1" applyFill="1" applyAlignment="1">
      <alignment horizontal="right" vertical="center"/>
    </xf>
    <xf numFmtId="0" fontId="0" fillId="22" borderId="0" xfId="0" applyFill="1" applyAlignment="1">
      <alignment vertical="center"/>
    </xf>
    <xf numFmtId="0" fontId="4" fillId="23" borderId="0" xfId="0" applyFont="1" applyFill="1" applyAlignment="1">
      <alignment horizontal="right" vertical="center"/>
    </xf>
    <xf numFmtId="0" fontId="0" fillId="24" borderId="0" xfId="0" applyFill="1" applyAlignment="1">
      <alignment horizontal="right" vertical="center"/>
    </xf>
    <xf numFmtId="0" fontId="0" fillId="25" borderId="0" xfId="0" applyFill="1" applyAlignment="1">
      <alignment horizontal="right" vertical="center"/>
    </xf>
    <xf numFmtId="0" fontId="0" fillId="26" borderId="0" xfId="0" applyFill="1" applyAlignment="1">
      <alignment horizontal="right" vertical="center"/>
    </xf>
    <xf numFmtId="0" fontId="1" fillId="0" borderId="0" xfId="0" applyFont="1"/>
    <xf numFmtId="0" fontId="7" fillId="27" borderId="0" xfId="0" applyFont="1" applyFill="1" applyAlignment="1">
      <alignment vertical="center" wrapText="1"/>
    </xf>
    <xf numFmtId="0" fontId="7" fillId="27" borderId="0" xfId="0" applyFont="1" applyFill="1" applyAlignment="1">
      <alignment horizontal="left" vertical="center" wrapText="1"/>
    </xf>
  </cellXfs>
  <cellStyles count="2">
    <cellStyle name="Bình thường" xfId="0" builtinId="0"/>
    <cellStyle name="Tính toán" xfId="1" builtinId="22"/>
  </cellStyles>
  <dxfs count="20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0000"/>
        </patternFill>
      </fill>
    </dxf>
    <dxf>
      <fill>
        <patternFill patternType="solid">
          <bgColor theme="7" tint="0.39985351115451523"/>
        </patternFill>
      </fill>
    </dxf>
    <dxf>
      <fill>
        <patternFill patternType="solid">
          <bgColor theme="9" tint="0.3998535111545152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8"/>
  <sheetViews>
    <sheetView tabSelected="1" workbookViewId="0">
      <pane xSplit="2" ySplit="1" topLeftCell="C173" activePane="bottomRight" state="frozen"/>
      <selection pane="topRight"/>
      <selection pane="bottomLeft"/>
      <selection pane="bottomRight" activeCell="E187" sqref="E187"/>
    </sheetView>
  </sheetViews>
  <sheetFormatPr defaultColWidth="9" defaultRowHeight="14.25"/>
  <cols>
    <col min="2" max="2" width="16.5" customWidth="1"/>
    <col min="3" max="3" width="15.25" customWidth="1"/>
    <col min="4" max="4" width="15.25" style="1" customWidth="1"/>
    <col min="5" max="5" width="22.5" style="2" customWidth="1"/>
    <col min="6" max="6" width="12.625" style="3" customWidth="1"/>
    <col min="7" max="7" width="13.25" customWidth="1"/>
    <col min="8" max="8" width="11.75" customWidth="1"/>
    <col min="9" max="9" width="12.875" customWidth="1"/>
    <col min="10" max="10" width="15.75" customWidth="1"/>
    <col min="11" max="11" width="14.375" customWidth="1"/>
    <col min="12" max="12" width="16.625" customWidth="1"/>
    <col min="13" max="13" width="16.25" customWidth="1"/>
    <col min="14" max="14" width="10.5" bestFit="1" customWidth="1"/>
  </cols>
  <sheetData>
    <row r="1" spans="1:13" ht="15">
      <c r="A1" s="4" t="s">
        <v>0</v>
      </c>
      <c r="B1" t="s">
        <v>1</v>
      </c>
      <c r="C1" s="4" t="s">
        <v>2</v>
      </c>
      <c r="D1" s="1" t="s">
        <v>3</v>
      </c>
      <c r="E1" s="2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0" t="s">
        <v>10</v>
      </c>
      <c r="L1" s="10" t="s">
        <v>11</v>
      </c>
      <c r="M1" s="10" t="s">
        <v>12</v>
      </c>
    </row>
    <row r="2" spans="1:13">
      <c r="A2">
        <v>1</v>
      </c>
      <c r="B2" s="35" t="s">
        <v>14</v>
      </c>
      <c r="C2">
        <v>6001</v>
      </c>
      <c r="D2" s="6">
        <v>300701</v>
      </c>
      <c r="E2" s="36" t="s">
        <v>201</v>
      </c>
      <c r="F2" s="3">
        <v>1000000</v>
      </c>
      <c r="G2">
        <v>36</v>
      </c>
      <c r="H2">
        <v>36000</v>
      </c>
      <c r="I2">
        <v>200</v>
      </c>
      <c r="J2">
        <v>100</v>
      </c>
      <c r="K2">
        <v>240000</v>
      </c>
      <c r="L2">
        <v>10000</v>
      </c>
      <c r="M2" t="s">
        <v>13</v>
      </c>
    </row>
    <row r="3" spans="1:13">
      <c r="A3">
        <v>2</v>
      </c>
      <c r="B3" s="35" t="s">
        <v>15</v>
      </c>
      <c r="C3">
        <v>6002</v>
      </c>
      <c r="D3" s="6">
        <v>200801</v>
      </c>
      <c r="E3" s="36" t="s">
        <v>202</v>
      </c>
      <c r="F3" s="3">
        <v>2000000</v>
      </c>
      <c r="G3">
        <v>40</v>
      </c>
      <c r="H3">
        <v>40000</v>
      </c>
      <c r="I3">
        <v>200</v>
      </c>
      <c r="J3">
        <v>100</v>
      </c>
      <c r="K3">
        <v>260000</v>
      </c>
      <c r="L3">
        <v>20000</v>
      </c>
      <c r="M3" t="s">
        <v>13</v>
      </c>
    </row>
    <row r="4" spans="1:13" ht="28.5">
      <c r="A4">
        <v>3</v>
      </c>
      <c r="B4" s="35" t="s">
        <v>16</v>
      </c>
      <c r="C4">
        <v>6003</v>
      </c>
      <c r="D4" s="6">
        <v>100601</v>
      </c>
      <c r="E4" s="36" t="s">
        <v>203</v>
      </c>
      <c r="F4" s="3">
        <v>3000000</v>
      </c>
      <c r="G4">
        <v>44</v>
      </c>
      <c r="H4">
        <v>44000</v>
      </c>
      <c r="I4">
        <v>200</v>
      </c>
      <c r="J4">
        <v>100</v>
      </c>
      <c r="K4">
        <v>280000</v>
      </c>
      <c r="L4">
        <v>30000</v>
      </c>
      <c r="M4" t="s">
        <v>13</v>
      </c>
    </row>
    <row r="5" spans="1:13" ht="28.5">
      <c r="A5">
        <v>4</v>
      </c>
      <c r="B5" s="35" t="s">
        <v>17</v>
      </c>
      <c r="C5">
        <v>6004</v>
      </c>
      <c r="D5" s="6">
        <v>501001</v>
      </c>
      <c r="E5" s="36" t="s">
        <v>204</v>
      </c>
      <c r="F5" s="3">
        <v>4000000</v>
      </c>
      <c r="G5">
        <v>48</v>
      </c>
      <c r="H5">
        <v>48000</v>
      </c>
      <c r="I5">
        <v>200</v>
      </c>
      <c r="J5">
        <v>100</v>
      </c>
      <c r="K5">
        <v>300000</v>
      </c>
      <c r="L5">
        <v>40000</v>
      </c>
      <c r="M5" t="s">
        <v>13</v>
      </c>
    </row>
    <row r="6" spans="1:13">
      <c r="A6">
        <v>5</v>
      </c>
      <c r="B6" s="35" t="s">
        <v>18</v>
      </c>
      <c r="C6">
        <v>6005</v>
      </c>
      <c r="D6" s="6">
        <v>101401</v>
      </c>
      <c r="E6" s="36" t="s">
        <v>205</v>
      </c>
      <c r="F6" s="3">
        <v>5000000</v>
      </c>
      <c r="G6">
        <v>52</v>
      </c>
      <c r="H6">
        <v>52000</v>
      </c>
      <c r="I6">
        <v>200</v>
      </c>
      <c r="J6">
        <v>100</v>
      </c>
      <c r="K6">
        <v>320000</v>
      </c>
      <c r="L6">
        <v>50000</v>
      </c>
      <c r="M6" t="s">
        <v>13</v>
      </c>
    </row>
    <row r="7" spans="1:13">
      <c r="A7">
        <v>6</v>
      </c>
      <c r="B7" s="35" t="s">
        <v>19</v>
      </c>
      <c r="C7">
        <v>6006</v>
      </c>
      <c r="D7" s="6">
        <v>101601</v>
      </c>
      <c r="E7" s="36" t="s">
        <v>206</v>
      </c>
      <c r="F7" s="3">
        <v>6000000</v>
      </c>
      <c r="G7">
        <v>56</v>
      </c>
      <c r="H7">
        <v>56000</v>
      </c>
      <c r="I7">
        <v>200</v>
      </c>
      <c r="J7">
        <v>100</v>
      </c>
      <c r="K7">
        <v>340000</v>
      </c>
      <c r="L7">
        <v>60000</v>
      </c>
      <c r="M7" t="s">
        <v>13</v>
      </c>
    </row>
    <row r="8" spans="1:13">
      <c r="A8">
        <v>7</v>
      </c>
      <c r="B8" s="35" t="s">
        <v>20</v>
      </c>
      <c r="C8">
        <v>6007</v>
      </c>
      <c r="D8" s="6">
        <v>500301</v>
      </c>
      <c r="E8" s="36" t="s">
        <v>207</v>
      </c>
      <c r="F8" s="3">
        <v>7000000</v>
      </c>
      <c r="G8">
        <v>60</v>
      </c>
      <c r="H8">
        <v>60000</v>
      </c>
      <c r="I8">
        <v>200</v>
      </c>
      <c r="J8">
        <v>100</v>
      </c>
      <c r="K8">
        <v>360000</v>
      </c>
      <c r="L8">
        <v>70000</v>
      </c>
      <c r="M8" t="s">
        <v>13</v>
      </c>
    </row>
    <row r="9" spans="1:13" ht="28.5">
      <c r="A9">
        <v>8</v>
      </c>
      <c r="B9" s="35" t="s">
        <v>21</v>
      </c>
      <c r="C9">
        <v>6008</v>
      </c>
      <c r="D9" s="6">
        <v>301601</v>
      </c>
      <c r="E9" s="36" t="s">
        <v>208</v>
      </c>
      <c r="F9" s="3">
        <v>8000000</v>
      </c>
      <c r="G9">
        <v>64</v>
      </c>
      <c r="H9">
        <v>64000</v>
      </c>
      <c r="I9">
        <v>200</v>
      </c>
      <c r="J9">
        <v>100</v>
      </c>
      <c r="K9">
        <v>380000</v>
      </c>
      <c r="L9">
        <v>80000</v>
      </c>
      <c r="M9" t="s">
        <v>13</v>
      </c>
    </row>
    <row r="10" spans="1:13" ht="28.5">
      <c r="A10">
        <v>9</v>
      </c>
      <c r="B10" s="35" t="s">
        <v>22</v>
      </c>
      <c r="C10">
        <v>6009</v>
      </c>
      <c r="D10" s="6">
        <v>302101</v>
      </c>
      <c r="E10" s="36" t="s">
        <v>209</v>
      </c>
      <c r="F10" s="3">
        <v>9000000</v>
      </c>
      <c r="G10">
        <v>68</v>
      </c>
      <c r="H10">
        <v>68000</v>
      </c>
      <c r="I10">
        <v>200</v>
      </c>
      <c r="J10">
        <v>100</v>
      </c>
      <c r="K10">
        <v>400000</v>
      </c>
      <c r="L10">
        <v>90000</v>
      </c>
      <c r="M10" t="s">
        <v>13</v>
      </c>
    </row>
    <row r="11" spans="1:13" ht="28.5">
      <c r="A11">
        <v>10</v>
      </c>
      <c r="B11" s="35" t="s">
        <v>23</v>
      </c>
      <c r="C11">
        <v>6010</v>
      </c>
      <c r="D11" s="6">
        <v>501001</v>
      </c>
      <c r="E11" s="36" t="s">
        <v>204</v>
      </c>
      <c r="F11" s="3">
        <v>10000000</v>
      </c>
      <c r="G11">
        <v>72</v>
      </c>
      <c r="H11">
        <v>72000</v>
      </c>
      <c r="I11">
        <v>200</v>
      </c>
      <c r="J11">
        <v>100</v>
      </c>
      <c r="K11">
        <v>440000</v>
      </c>
      <c r="L11">
        <v>100000</v>
      </c>
      <c r="M11" t="s">
        <v>13</v>
      </c>
    </row>
    <row r="12" spans="1:13" ht="28.5">
      <c r="A12">
        <v>11</v>
      </c>
      <c r="B12" s="35" t="s">
        <v>24</v>
      </c>
      <c r="C12">
        <v>6011</v>
      </c>
      <c r="D12" s="1">
        <v>100901</v>
      </c>
      <c r="E12" s="36" t="s">
        <v>210</v>
      </c>
      <c r="F12" s="3">
        <v>12000000</v>
      </c>
      <c r="G12">
        <v>76</v>
      </c>
      <c r="H12">
        <v>76000</v>
      </c>
      <c r="I12">
        <v>200</v>
      </c>
      <c r="J12">
        <v>100</v>
      </c>
      <c r="K12">
        <v>480000</v>
      </c>
      <c r="L12">
        <v>110000</v>
      </c>
      <c r="M12" t="s">
        <v>13</v>
      </c>
    </row>
    <row r="13" spans="1:13" ht="28.5">
      <c r="A13">
        <v>12</v>
      </c>
      <c r="B13" s="35" t="s">
        <v>25</v>
      </c>
      <c r="C13">
        <v>6012</v>
      </c>
      <c r="D13" s="1">
        <v>101301</v>
      </c>
      <c r="E13" s="36" t="s">
        <v>211</v>
      </c>
      <c r="F13" s="3">
        <v>14000000</v>
      </c>
      <c r="G13">
        <v>80</v>
      </c>
      <c r="H13">
        <v>80000</v>
      </c>
      <c r="I13">
        <v>200</v>
      </c>
      <c r="J13">
        <v>100</v>
      </c>
      <c r="K13">
        <v>520000</v>
      </c>
      <c r="L13">
        <v>120000</v>
      </c>
      <c r="M13" t="s">
        <v>13</v>
      </c>
    </row>
    <row r="14" spans="1:13">
      <c r="A14">
        <v>13</v>
      </c>
      <c r="B14" s="35" t="s">
        <v>26</v>
      </c>
      <c r="C14">
        <v>6013</v>
      </c>
      <c r="D14" s="1">
        <v>301901</v>
      </c>
      <c r="E14" s="36" t="s">
        <v>212</v>
      </c>
      <c r="F14" s="3">
        <v>16000000</v>
      </c>
      <c r="G14">
        <v>84</v>
      </c>
      <c r="H14">
        <v>84000</v>
      </c>
      <c r="I14">
        <v>200</v>
      </c>
      <c r="J14">
        <v>100</v>
      </c>
      <c r="K14">
        <v>560000</v>
      </c>
      <c r="L14">
        <v>130000</v>
      </c>
      <c r="M14" t="s">
        <v>13</v>
      </c>
    </row>
    <row r="15" spans="1:13" ht="28.5">
      <c r="A15">
        <v>14</v>
      </c>
      <c r="B15" s="35" t="s">
        <v>27</v>
      </c>
      <c r="C15">
        <v>6014</v>
      </c>
      <c r="D15" s="1">
        <v>500401</v>
      </c>
      <c r="E15" s="36" t="s">
        <v>213</v>
      </c>
      <c r="F15" s="3">
        <v>18000000</v>
      </c>
      <c r="G15">
        <v>88</v>
      </c>
      <c r="H15">
        <v>88000</v>
      </c>
      <c r="I15">
        <v>200</v>
      </c>
      <c r="J15">
        <v>100</v>
      </c>
      <c r="K15">
        <v>600000</v>
      </c>
      <c r="L15">
        <v>140000</v>
      </c>
      <c r="M15" t="s">
        <v>13</v>
      </c>
    </row>
    <row r="16" spans="1:13" ht="28.5">
      <c r="A16">
        <v>15</v>
      </c>
      <c r="B16" s="35" t="s">
        <v>28</v>
      </c>
      <c r="C16">
        <v>6015</v>
      </c>
      <c r="D16" s="1">
        <v>500501</v>
      </c>
      <c r="E16" s="36" t="s">
        <v>214</v>
      </c>
      <c r="F16" s="3">
        <v>20000000</v>
      </c>
      <c r="G16">
        <v>92</v>
      </c>
      <c r="H16">
        <v>92000</v>
      </c>
      <c r="I16">
        <v>200</v>
      </c>
      <c r="J16">
        <v>100</v>
      </c>
      <c r="K16">
        <v>640000</v>
      </c>
      <c r="L16">
        <v>150000</v>
      </c>
      <c r="M16" t="s">
        <v>13</v>
      </c>
    </row>
    <row r="17" spans="1:13">
      <c r="A17">
        <v>16</v>
      </c>
      <c r="B17" s="35" t="s">
        <v>29</v>
      </c>
      <c r="C17">
        <v>6016</v>
      </c>
      <c r="D17" s="1">
        <v>501101</v>
      </c>
      <c r="E17" s="36" t="s">
        <v>215</v>
      </c>
      <c r="F17" s="3">
        <v>22000000</v>
      </c>
      <c r="G17">
        <v>96</v>
      </c>
      <c r="H17">
        <v>96000</v>
      </c>
      <c r="I17">
        <v>200</v>
      </c>
      <c r="J17">
        <v>100</v>
      </c>
      <c r="K17">
        <v>680000</v>
      </c>
      <c r="L17">
        <v>160000</v>
      </c>
      <c r="M17" t="s">
        <v>13</v>
      </c>
    </row>
    <row r="18" spans="1:13">
      <c r="A18">
        <v>17</v>
      </c>
      <c r="B18" s="35" t="s">
        <v>30</v>
      </c>
      <c r="C18">
        <v>6017</v>
      </c>
      <c r="D18" s="6">
        <v>201101</v>
      </c>
      <c r="E18" s="36" t="s">
        <v>216</v>
      </c>
      <c r="F18" s="3">
        <v>24000000</v>
      </c>
      <c r="G18">
        <v>100</v>
      </c>
      <c r="H18">
        <v>100000</v>
      </c>
      <c r="I18">
        <v>200</v>
      </c>
      <c r="J18">
        <v>100</v>
      </c>
      <c r="K18">
        <v>720000</v>
      </c>
      <c r="L18">
        <v>170000</v>
      </c>
      <c r="M18" t="s">
        <v>13</v>
      </c>
    </row>
    <row r="19" spans="1:13">
      <c r="A19">
        <v>18</v>
      </c>
      <c r="B19" s="35" t="s">
        <v>31</v>
      </c>
      <c r="C19">
        <v>6018</v>
      </c>
      <c r="D19" s="6">
        <v>301001</v>
      </c>
      <c r="E19" s="36" t="s">
        <v>217</v>
      </c>
      <c r="F19" s="3">
        <v>26000000</v>
      </c>
      <c r="G19">
        <v>104</v>
      </c>
      <c r="H19">
        <v>104000</v>
      </c>
      <c r="I19">
        <v>200</v>
      </c>
      <c r="J19">
        <v>100</v>
      </c>
      <c r="K19">
        <v>760000</v>
      </c>
      <c r="L19">
        <v>180000</v>
      </c>
      <c r="M19" t="s">
        <v>13</v>
      </c>
    </row>
    <row r="20" spans="1:13">
      <c r="A20">
        <v>19</v>
      </c>
      <c r="B20" s="35" t="s">
        <v>32</v>
      </c>
      <c r="C20">
        <v>6019</v>
      </c>
      <c r="D20" s="6">
        <v>400501</v>
      </c>
      <c r="E20" s="36" t="s">
        <v>218</v>
      </c>
      <c r="F20" s="3">
        <v>28000000</v>
      </c>
      <c r="G20">
        <v>108</v>
      </c>
      <c r="H20">
        <v>108000</v>
      </c>
      <c r="I20">
        <v>200</v>
      </c>
      <c r="J20">
        <v>100</v>
      </c>
      <c r="K20">
        <v>800000</v>
      </c>
      <c r="L20">
        <v>190000</v>
      </c>
      <c r="M20" t="s">
        <v>13</v>
      </c>
    </row>
    <row r="21" spans="1:13" ht="28.5">
      <c r="A21">
        <v>20</v>
      </c>
      <c r="B21" s="35" t="s">
        <v>33</v>
      </c>
      <c r="C21">
        <v>6020</v>
      </c>
      <c r="D21" s="1">
        <v>102201</v>
      </c>
      <c r="E21" s="36" t="s">
        <v>219</v>
      </c>
      <c r="F21" s="3">
        <v>30000000</v>
      </c>
      <c r="G21">
        <v>108</v>
      </c>
      <c r="H21">
        <v>108000</v>
      </c>
      <c r="I21">
        <v>200</v>
      </c>
      <c r="J21">
        <v>100</v>
      </c>
      <c r="K21">
        <v>878000</v>
      </c>
      <c r="L21">
        <v>200000</v>
      </c>
      <c r="M21" t="s">
        <v>13</v>
      </c>
    </row>
    <row r="22" spans="1:13" ht="28.5">
      <c r="A22">
        <v>21</v>
      </c>
      <c r="B22" s="35" t="s">
        <v>34</v>
      </c>
      <c r="C22">
        <v>6021</v>
      </c>
      <c r="D22" s="1">
        <v>200901</v>
      </c>
      <c r="E22" s="36" t="s">
        <v>220</v>
      </c>
      <c r="F22" s="3">
        <v>33000000</v>
      </c>
      <c r="G22">
        <v>108</v>
      </c>
      <c r="H22">
        <v>108000</v>
      </c>
      <c r="I22">
        <v>200</v>
      </c>
      <c r="J22">
        <v>100</v>
      </c>
      <c r="K22">
        <v>887000</v>
      </c>
      <c r="L22">
        <v>201000</v>
      </c>
      <c r="M22" t="s">
        <v>13</v>
      </c>
    </row>
    <row r="23" spans="1:13">
      <c r="A23">
        <v>22</v>
      </c>
      <c r="B23" s="35" t="s">
        <v>35</v>
      </c>
      <c r="C23">
        <v>6022</v>
      </c>
      <c r="D23" s="1">
        <v>201301</v>
      </c>
      <c r="E23" s="36" t="s">
        <v>221</v>
      </c>
      <c r="F23" s="3">
        <v>36000000</v>
      </c>
      <c r="G23">
        <v>108</v>
      </c>
      <c r="H23">
        <v>108000</v>
      </c>
      <c r="I23">
        <v>200</v>
      </c>
      <c r="J23">
        <v>100</v>
      </c>
      <c r="K23">
        <v>896000</v>
      </c>
      <c r="L23">
        <v>203500</v>
      </c>
      <c r="M23" t="s">
        <v>13</v>
      </c>
    </row>
    <row r="24" spans="1:13">
      <c r="A24">
        <v>23</v>
      </c>
      <c r="B24" s="35" t="s">
        <v>36</v>
      </c>
      <c r="C24">
        <v>6023</v>
      </c>
      <c r="D24" s="6">
        <v>500301</v>
      </c>
      <c r="E24" s="36" t="s">
        <v>207</v>
      </c>
      <c r="F24" s="3">
        <v>39000000</v>
      </c>
      <c r="G24">
        <v>108</v>
      </c>
      <c r="H24">
        <v>108000</v>
      </c>
      <c r="I24">
        <v>200</v>
      </c>
      <c r="J24">
        <v>100</v>
      </c>
      <c r="K24">
        <v>905000</v>
      </c>
      <c r="L24">
        <v>206000</v>
      </c>
      <c r="M24" t="s">
        <v>13</v>
      </c>
    </row>
    <row r="25" spans="1:13" ht="42.75">
      <c r="A25">
        <v>24</v>
      </c>
      <c r="B25" s="35" t="s">
        <v>37</v>
      </c>
      <c r="C25">
        <v>6024</v>
      </c>
      <c r="D25" s="6">
        <v>201401</v>
      </c>
      <c r="E25" s="36" t="s">
        <v>222</v>
      </c>
      <c r="F25" s="3">
        <v>42000000</v>
      </c>
      <c r="G25">
        <v>108</v>
      </c>
      <c r="H25">
        <v>108000</v>
      </c>
      <c r="I25">
        <v>200</v>
      </c>
      <c r="J25">
        <v>100</v>
      </c>
      <c r="K25">
        <v>914000</v>
      </c>
      <c r="L25">
        <v>208500</v>
      </c>
      <c r="M25" t="s">
        <v>13</v>
      </c>
    </row>
    <row r="26" spans="1:13">
      <c r="A26">
        <v>25</v>
      </c>
      <c r="B26" s="35" t="s">
        <v>38</v>
      </c>
      <c r="C26">
        <v>6025</v>
      </c>
      <c r="D26" s="6">
        <v>302201</v>
      </c>
      <c r="E26" s="36" t="s">
        <v>223</v>
      </c>
      <c r="F26" s="3">
        <v>45000000</v>
      </c>
      <c r="G26">
        <v>108</v>
      </c>
      <c r="H26">
        <v>108000</v>
      </c>
      <c r="I26">
        <v>200</v>
      </c>
      <c r="J26">
        <v>100</v>
      </c>
      <c r="K26">
        <v>923000</v>
      </c>
      <c r="L26">
        <v>211000</v>
      </c>
      <c r="M26" t="s">
        <v>13</v>
      </c>
    </row>
    <row r="27" spans="1:13">
      <c r="A27">
        <v>26</v>
      </c>
      <c r="B27" s="35" t="s">
        <v>39</v>
      </c>
      <c r="C27">
        <v>6026</v>
      </c>
      <c r="D27" s="6">
        <v>400301</v>
      </c>
      <c r="E27" s="36" t="s">
        <v>224</v>
      </c>
      <c r="F27" s="3">
        <v>48000000</v>
      </c>
      <c r="G27">
        <v>108</v>
      </c>
      <c r="H27">
        <v>108000</v>
      </c>
      <c r="I27">
        <v>200</v>
      </c>
      <c r="J27">
        <v>100</v>
      </c>
      <c r="K27">
        <v>932000</v>
      </c>
      <c r="L27">
        <v>213500</v>
      </c>
      <c r="M27" t="s">
        <v>13</v>
      </c>
    </row>
    <row r="28" spans="1:13">
      <c r="A28">
        <v>27</v>
      </c>
      <c r="B28" s="35" t="s">
        <v>40</v>
      </c>
      <c r="C28">
        <v>6027</v>
      </c>
      <c r="D28" s="6">
        <v>400801</v>
      </c>
      <c r="E28" s="36" t="s">
        <v>225</v>
      </c>
      <c r="F28" s="3">
        <v>51000000</v>
      </c>
      <c r="G28">
        <v>108</v>
      </c>
      <c r="H28">
        <v>108000</v>
      </c>
      <c r="I28">
        <v>200</v>
      </c>
      <c r="J28">
        <v>100</v>
      </c>
      <c r="K28">
        <v>941000</v>
      </c>
      <c r="L28">
        <v>216000</v>
      </c>
      <c r="M28" t="s">
        <v>13</v>
      </c>
    </row>
    <row r="29" spans="1:13" ht="28.5">
      <c r="A29">
        <v>28</v>
      </c>
      <c r="B29" s="35" t="s">
        <v>41</v>
      </c>
      <c r="C29">
        <v>6028</v>
      </c>
      <c r="D29" s="6">
        <v>501001</v>
      </c>
      <c r="E29" s="36" t="s">
        <v>204</v>
      </c>
      <c r="F29" s="3">
        <v>54000000</v>
      </c>
      <c r="G29">
        <v>108</v>
      </c>
      <c r="H29">
        <v>108000</v>
      </c>
      <c r="I29">
        <v>200</v>
      </c>
      <c r="J29">
        <v>100</v>
      </c>
      <c r="K29">
        <v>950000</v>
      </c>
      <c r="L29">
        <v>218500</v>
      </c>
      <c r="M29" t="s">
        <v>13</v>
      </c>
    </row>
    <row r="30" spans="1:13" ht="28.5">
      <c r="A30">
        <v>29</v>
      </c>
      <c r="B30" s="35" t="s">
        <v>42</v>
      </c>
      <c r="C30">
        <v>6029</v>
      </c>
      <c r="D30" s="1">
        <v>100901</v>
      </c>
      <c r="E30" s="36" t="s">
        <v>210</v>
      </c>
      <c r="F30" s="3">
        <v>57000000</v>
      </c>
      <c r="G30">
        <v>108</v>
      </c>
      <c r="H30">
        <v>108000</v>
      </c>
      <c r="I30">
        <v>200</v>
      </c>
      <c r="J30">
        <v>100</v>
      </c>
      <c r="K30">
        <v>959000</v>
      </c>
      <c r="L30">
        <v>221000</v>
      </c>
      <c r="M30" t="s">
        <v>13</v>
      </c>
    </row>
    <row r="31" spans="1:13" ht="28.5">
      <c r="A31">
        <v>30</v>
      </c>
      <c r="B31" s="35" t="s">
        <v>43</v>
      </c>
      <c r="C31">
        <v>6030</v>
      </c>
      <c r="D31" s="1">
        <v>101301</v>
      </c>
      <c r="E31" s="36" t="s">
        <v>211</v>
      </c>
      <c r="F31" s="3">
        <v>60000000</v>
      </c>
      <c r="G31">
        <v>108</v>
      </c>
      <c r="H31">
        <v>108000</v>
      </c>
      <c r="I31">
        <v>200</v>
      </c>
      <c r="J31">
        <v>100</v>
      </c>
      <c r="K31">
        <v>996000</v>
      </c>
      <c r="L31">
        <v>223500</v>
      </c>
      <c r="M31" t="s">
        <v>13</v>
      </c>
    </row>
    <row r="32" spans="1:13">
      <c r="A32">
        <v>31</v>
      </c>
      <c r="B32" s="35" t="s">
        <v>44</v>
      </c>
      <c r="C32">
        <v>6031</v>
      </c>
      <c r="D32" s="1">
        <v>301901</v>
      </c>
      <c r="E32" s="36" t="s">
        <v>212</v>
      </c>
      <c r="F32" s="3">
        <v>66000000</v>
      </c>
      <c r="G32">
        <v>108</v>
      </c>
      <c r="H32">
        <v>108000</v>
      </c>
      <c r="I32">
        <v>200</v>
      </c>
      <c r="J32">
        <v>100</v>
      </c>
      <c r="K32">
        <v>1003000</v>
      </c>
      <c r="L32">
        <v>226000</v>
      </c>
      <c r="M32" t="s">
        <v>13</v>
      </c>
    </row>
    <row r="33" spans="1:13" ht="28.5">
      <c r="A33">
        <v>32</v>
      </c>
      <c r="B33" s="35" t="s">
        <v>45</v>
      </c>
      <c r="C33">
        <v>6032</v>
      </c>
      <c r="D33" s="1">
        <v>500401</v>
      </c>
      <c r="E33" s="36" t="s">
        <v>213</v>
      </c>
      <c r="F33" s="3">
        <v>72000000</v>
      </c>
      <c r="G33">
        <v>108</v>
      </c>
      <c r="H33">
        <v>108000</v>
      </c>
      <c r="I33">
        <v>200</v>
      </c>
      <c r="J33">
        <v>100</v>
      </c>
      <c r="K33">
        <v>1010000</v>
      </c>
      <c r="L33">
        <v>228500</v>
      </c>
      <c r="M33" t="s">
        <v>13</v>
      </c>
    </row>
    <row r="34" spans="1:13" ht="28.5">
      <c r="A34">
        <v>33</v>
      </c>
      <c r="B34" s="35" t="s">
        <v>46</v>
      </c>
      <c r="C34">
        <v>6033</v>
      </c>
      <c r="D34" s="1">
        <v>500501</v>
      </c>
      <c r="E34" s="36" t="s">
        <v>214</v>
      </c>
      <c r="F34" s="3">
        <v>78000000</v>
      </c>
      <c r="G34">
        <v>108</v>
      </c>
      <c r="H34">
        <v>108000</v>
      </c>
      <c r="I34">
        <v>200</v>
      </c>
      <c r="J34">
        <v>100</v>
      </c>
      <c r="K34">
        <v>1017000</v>
      </c>
      <c r="L34">
        <v>231000</v>
      </c>
      <c r="M34" t="s">
        <v>13</v>
      </c>
    </row>
    <row r="35" spans="1:13">
      <c r="A35">
        <v>34</v>
      </c>
      <c r="B35" s="35" t="s">
        <v>47</v>
      </c>
      <c r="C35">
        <v>6034</v>
      </c>
      <c r="D35" s="1">
        <v>501101</v>
      </c>
      <c r="E35" s="36" t="s">
        <v>215</v>
      </c>
      <c r="F35" s="3">
        <v>84000000</v>
      </c>
      <c r="G35">
        <v>108</v>
      </c>
      <c r="H35">
        <v>108000</v>
      </c>
      <c r="I35">
        <v>200</v>
      </c>
      <c r="J35">
        <v>100</v>
      </c>
      <c r="K35">
        <v>1024000</v>
      </c>
      <c r="L35">
        <v>233500</v>
      </c>
      <c r="M35" t="s">
        <v>13</v>
      </c>
    </row>
    <row r="36" spans="1:13">
      <c r="A36">
        <v>35</v>
      </c>
      <c r="B36" s="35" t="s">
        <v>48</v>
      </c>
      <c r="C36">
        <v>6035</v>
      </c>
      <c r="D36" s="6">
        <v>201101</v>
      </c>
      <c r="E36" s="36" t="s">
        <v>216</v>
      </c>
      <c r="F36" s="3">
        <v>90000000</v>
      </c>
      <c r="G36">
        <v>108</v>
      </c>
      <c r="H36">
        <v>108000</v>
      </c>
      <c r="I36">
        <v>200</v>
      </c>
      <c r="J36">
        <v>100</v>
      </c>
      <c r="K36">
        <v>1031000</v>
      </c>
      <c r="L36">
        <v>236000</v>
      </c>
      <c r="M36" t="s">
        <v>13</v>
      </c>
    </row>
    <row r="37" spans="1:13">
      <c r="A37">
        <v>36</v>
      </c>
      <c r="B37" s="35" t="s">
        <v>49</v>
      </c>
      <c r="C37">
        <v>6036</v>
      </c>
      <c r="D37" s="6">
        <v>301001</v>
      </c>
      <c r="E37" s="36" t="s">
        <v>217</v>
      </c>
      <c r="F37" s="3">
        <v>96000000</v>
      </c>
      <c r="G37">
        <v>108</v>
      </c>
      <c r="H37">
        <v>108000</v>
      </c>
      <c r="I37">
        <v>200</v>
      </c>
      <c r="J37">
        <v>100</v>
      </c>
      <c r="K37">
        <v>1038000</v>
      </c>
      <c r="L37">
        <v>238500</v>
      </c>
      <c r="M37" t="s">
        <v>13</v>
      </c>
    </row>
    <row r="38" spans="1:13">
      <c r="A38">
        <v>37</v>
      </c>
      <c r="B38" s="35" t="s">
        <v>50</v>
      </c>
      <c r="C38">
        <v>6037</v>
      </c>
      <c r="D38" s="6">
        <v>400501</v>
      </c>
      <c r="E38" s="36" t="s">
        <v>218</v>
      </c>
      <c r="F38" s="3">
        <v>102000000</v>
      </c>
      <c r="G38">
        <v>108</v>
      </c>
      <c r="H38">
        <v>108000</v>
      </c>
      <c r="I38">
        <v>200</v>
      </c>
      <c r="J38">
        <v>100</v>
      </c>
      <c r="K38">
        <v>1045000</v>
      </c>
      <c r="L38">
        <v>241000</v>
      </c>
      <c r="M38" t="s">
        <v>13</v>
      </c>
    </row>
    <row r="39" spans="1:13" ht="28.5">
      <c r="A39">
        <v>38</v>
      </c>
      <c r="B39" s="35" t="s">
        <v>51</v>
      </c>
      <c r="C39">
        <v>6038</v>
      </c>
      <c r="D39" s="1">
        <v>102201</v>
      </c>
      <c r="E39" s="36" t="s">
        <v>219</v>
      </c>
      <c r="F39" s="3">
        <v>108000000</v>
      </c>
      <c r="G39">
        <v>108</v>
      </c>
      <c r="H39">
        <v>108000</v>
      </c>
      <c r="I39">
        <v>200</v>
      </c>
      <c r="J39">
        <v>100</v>
      </c>
      <c r="K39">
        <v>1052000</v>
      </c>
      <c r="L39">
        <v>243500</v>
      </c>
      <c r="M39" t="s">
        <v>13</v>
      </c>
    </row>
    <row r="40" spans="1:13" ht="28.5">
      <c r="A40">
        <v>39</v>
      </c>
      <c r="B40" s="35" t="s">
        <v>52</v>
      </c>
      <c r="C40">
        <v>6039</v>
      </c>
      <c r="D40" s="1">
        <v>200901</v>
      </c>
      <c r="E40" s="36" t="s">
        <v>220</v>
      </c>
      <c r="F40" s="3">
        <v>114000000</v>
      </c>
      <c r="G40">
        <v>108</v>
      </c>
      <c r="H40">
        <v>108000</v>
      </c>
      <c r="I40">
        <v>200</v>
      </c>
      <c r="J40">
        <v>100</v>
      </c>
      <c r="K40">
        <v>1059000</v>
      </c>
      <c r="L40">
        <v>246000</v>
      </c>
      <c r="M40" t="s">
        <v>13</v>
      </c>
    </row>
    <row r="41" spans="1:13">
      <c r="A41">
        <v>40</v>
      </c>
      <c r="B41" s="35" t="s">
        <v>53</v>
      </c>
      <c r="C41">
        <v>6040</v>
      </c>
      <c r="D41" s="1">
        <v>201301</v>
      </c>
      <c r="E41" s="36" t="s">
        <v>221</v>
      </c>
      <c r="F41" s="3">
        <v>120000000</v>
      </c>
      <c r="G41">
        <v>108</v>
      </c>
      <c r="H41">
        <v>108000</v>
      </c>
      <c r="I41">
        <v>200</v>
      </c>
      <c r="J41">
        <v>100</v>
      </c>
      <c r="K41">
        <v>1065000</v>
      </c>
      <c r="L41">
        <v>248500</v>
      </c>
      <c r="M41" t="s">
        <v>13</v>
      </c>
    </row>
    <row r="42" spans="1:13">
      <c r="A42">
        <v>41</v>
      </c>
      <c r="B42" s="35" t="s">
        <v>54</v>
      </c>
      <c r="C42">
        <v>6041</v>
      </c>
      <c r="D42" s="6">
        <v>500301</v>
      </c>
      <c r="E42" s="36" t="s">
        <v>207</v>
      </c>
      <c r="F42" s="3">
        <v>140000000</v>
      </c>
      <c r="G42">
        <v>108</v>
      </c>
      <c r="H42">
        <v>108000</v>
      </c>
      <c r="I42">
        <v>200</v>
      </c>
      <c r="J42">
        <v>100</v>
      </c>
      <c r="K42">
        <v>1071000</v>
      </c>
      <c r="L42">
        <v>251000</v>
      </c>
      <c r="M42" t="s">
        <v>13</v>
      </c>
    </row>
    <row r="43" spans="1:13" ht="42.75">
      <c r="A43">
        <v>42</v>
      </c>
      <c r="B43" s="35" t="s">
        <v>55</v>
      </c>
      <c r="C43">
        <v>6042</v>
      </c>
      <c r="D43" s="6">
        <v>201501</v>
      </c>
      <c r="E43" s="36" t="s">
        <v>226</v>
      </c>
      <c r="F43" s="3">
        <v>160000000</v>
      </c>
      <c r="G43">
        <v>108</v>
      </c>
      <c r="H43">
        <v>108000</v>
      </c>
      <c r="I43">
        <v>200</v>
      </c>
      <c r="J43">
        <v>100</v>
      </c>
      <c r="K43">
        <v>1077000</v>
      </c>
      <c r="L43">
        <v>253500</v>
      </c>
      <c r="M43" t="s">
        <v>13</v>
      </c>
    </row>
    <row r="44" spans="1:13">
      <c r="A44">
        <v>43</v>
      </c>
      <c r="B44" s="35" t="s">
        <v>56</v>
      </c>
      <c r="C44">
        <v>6043</v>
      </c>
      <c r="D44" s="6">
        <v>302201</v>
      </c>
      <c r="E44" s="36" t="s">
        <v>223</v>
      </c>
      <c r="F44" s="3">
        <v>180000000</v>
      </c>
      <c r="G44">
        <v>108</v>
      </c>
      <c r="H44">
        <v>108000</v>
      </c>
      <c r="I44">
        <v>200</v>
      </c>
      <c r="J44">
        <v>100</v>
      </c>
      <c r="K44">
        <v>1083000</v>
      </c>
      <c r="L44">
        <v>256000</v>
      </c>
      <c r="M44" t="s">
        <v>13</v>
      </c>
    </row>
    <row r="45" spans="1:13">
      <c r="A45">
        <v>44</v>
      </c>
      <c r="B45" s="35" t="s">
        <v>57</v>
      </c>
      <c r="C45">
        <v>6044</v>
      </c>
      <c r="D45" s="6">
        <v>400301</v>
      </c>
      <c r="E45" s="36" t="s">
        <v>224</v>
      </c>
      <c r="F45" s="3">
        <v>200000000</v>
      </c>
      <c r="G45">
        <v>108</v>
      </c>
      <c r="H45">
        <v>108000</v>
      </c>
      <c r="I45">
        <v>200</v>
      </c>
      <c r="J45">
        <v>100</v>
      </c>
      <c r="K45">
        <v>1089000</v>
      </c>
      <c r="L45">
        <v>258500</v>
      </c>
      <c r="M45" t="s">
        <v>13</v>
      </c>
    </row>
    <row r="46" spans="1:13">
      <c r="A46">
        <v>45</v>
      </c>
      <c r="B46" s="35" t="s">
        <v>58</v>
      </c>
      <c r="C46">
        <v>6045</v>
      </c>
      <c r="D46" s="6">
        <v>400801</v>
      </c>
      <c r="E46" s="36" t="s">
        <v>225</v>
      </c>
      <c r="F46" s="3">
        <v>220000000</v>
      </c>
      <c r="G46">
        <v>108</v>
      </c>
      <c r="H46">
        <v>108000</v>
      </c>
      <c r="I46">
        <v>200</v>
      </c>
      <c r="J46">
        <v>100</v>
      </c>
      <c r="K46">
        <v>1095000</v>
      </c>
      <c r="L46">
        <v>261000</v>
      </c>
      <c r="M46" t="s">
        <v>13</v>
      </c>
    </row>
    <row r="47" spans="1:13" ht="28.5">
      <c r="A47">
        <v>46</v>
      </c>
      <c r="B47" s="35" t="s">
        <v>59</v>
      </c>
      <c r="C47">
        <v>6046</v>
      </c>
      <c r="D47" s="6">
        <v>501001</v>
      </c>
      <c r="E47" s="36" t="s">
        <v>204</v>
      </c>
      <c r="F47" s="3">
        <v>240000000</v>
      </c>
      <c r="G47">
        <v>108</v>
      </c>
      <c r="H47">
        <v>108000</v>
      </c>
      <c r="I47">
        <v>200</v>
      </c>
      <c r="J47">
        <v>100</v>
      </c>
      <c r="K47">
        <v>1101000</v>
      </c>
      <c r="L47">
        <v>263500</v>
      </c>
      <c r="M47" t="s">
        <v>13</v>
      </c>
    </row>
    <row r="48" spans="1:13" ht="28.5">
      <c r="A48">
        <v>47</v>
      </c>
      <c r="B48" s="35" t="s">
        <v>60</v>
      </c>
      <c r="C48">
        <v>6047</v>
      </c>
      <c r="D48" s="1">
        <v>100901</v>
      </c>
      <c r="E48" s="36" t="s">
        <v>210</v>
      </c>
      <c r="F48" s="3">
        <v>260000000</v>
      </c>
      <c r="G48">
        <v>108</v>
      </c>
      <c r="H48">
        <v>108000</v>
      </c>
      <c r="I48">
        <v>200</v>
      </c>
      <c r="J48">
        <v>100</v>
      </c>
      <c r="K48">
        <v>1107000</v>
      </c>
      <c r="L48">
        <v>266000</v>
      </c>
      <c r="M48" t="s">
        <v>13</v>
      </c>
    </row>
    <row r="49" spans="1:13" ht="28.5">
      <c r="A49">
        <v>48</v>
      </c>
      <c r="B49" s="35" t="s">
        <v>61</v>
      </c>
      <c r="C49">
        <v>6048</v>
      </c>
      <c r="D49" s="1">
        <v>101301</v>
      </c>
      <c r="E49" s="36" t="s">
        <v>211</v>
      </c>
      <c r="F49" s="3">
        <v>280000000</v>
      </c>
      <c r="G49">
        <v>108</v>
      </c>
      <c r="H49">
        <v>108000</v>
      </c>
      <c r="I49">
        <v>200</v>
      </c>
      <c r="J49">
        <v>100</v>
      </c>
      <c r="K49">
        <v>1113000</v>
      </c>
      <c r="L49">
        <v>268500</v>
      </c>
      <c r="M49" t="s">
        <v>13</v>
      </c>
    </row>
    <row r="50" spans="1:13">
      <c r="A50">
        <v>49</v>
      </c>
      <c r="B50" s="35" t="s">
        <v>62</v>
      </c>
      <c r="C50">
        <v>6049</v>
      </c>
      <c r="D50" s="1">
        <v>301901</v>
      </c>
      <c r="E50" s="36" t="s">
        <v>212</v>
      </c>
      <c r="F50" s="3">
        <v>300000000</v>
      </c>
      <c r="G50">
        <v>108</v>
      </c>
      <c r="H50">
        <v>108000</v>
      </c>
      <c r="I50">
        <v>200</v>
      </c>
      <c r="J50">
        <v>100</v>
      </c>
      <c r="K50">
        <v>1119000</v>
      </c>
      <c r="L50">
        <v>271000</v>
      </c>
      <c r="M50" t="s">
        <v>13</v>
      </c>
    </row>
    <row r="51" spans="1:13" ht="28.5">
      <c r="A51">
        <v>50</v>
      </c>
      <c r="B51" s="35" t="s">
        <v>63</v>
      </c>
      <c r="C51">
        <v>6050</v>
      </c>
      <c r="D51" s="1">
        <v>500401</v>
      </c>
      <c r="E51" s="36" t="s">
        <v>213</v>
      </c>
      <c r="F51" s="3">
        <v>330000000</v>
      </c>
      <c r="G51">
        <v>108</v>
      </c>
      <c r="H51">
        <v>108000</v>
      </c>
      <c r="I51">
        <v>200</v>
      </c>
      <c r="J51">
        <v>100</v>
      </c>
      <c r="K51">
        <v>1125000</v>
      </c>
      <c r="L51">
        <v>273500</v>
      </c>
      <c r="M51" t="s">
        <v>13</v>
      </c>
    </row>
    <row r="52" spans="1:13" ht="28.5">
      <c r="A52">
        <v>51</v>
      </c>
      <c r="B52" s="35" t="s">
        <v>64</v>
      </c>
      <c r="C52">
        <v>6051</v>
      </c>
      <c r="D52" s="1">
        <v>500501</v>
      </c>
      <c r="E52" s="36" t="s">
        <v>214</v>
      </c>
      <c r="F52" s="3">
        <v>360000000</v>
      </c>
      <c r="G52">
        <v>108</v>
      </c>
      <c r="H52">
        <v>108000</v>
      </c>
      <c r="I52">
        <v>200</v>
      </c>
      <c r="J52">
        <v>100</v>
      </c>
      <c r="K52">
        <v>1131000</v>
      </c>
      <c r="L52">
        <v>276000</v>
      </c>
      <c r="M52" t="s">
        <v>13</v>
      </c>
    </row>
    <row r="53" spans="1:13">
      <c r="A53">
        <v>52</v>
      </c>
      <c r="B53" s="35" t="s">
        <v>65</v>
      </c>
      <c r="C53">
        <v>6052</v>
      </c>
      <c r="D53" s="1">
        <v>501101</v>
      </c>
      <c r="E53" s="36" t="s">
        <v>215</v>
      </c>
      <c r="F53" s="3">
        <v>390000000</v>
      </c>
      <c r="G53">
        <v>108</v>
      </c>
      <c r="H53">
        <v>108000</v>
      </c>
      <c r="I53">
        <v>200</v>
      </c>
      <c r="J53">
        <v>100</v>
      </c>
      <c r="K53">
        <v>1137000</v>
      </c>
      <c r="L53">
        <v>278500</v>
      </c>
      <c r="M53" t="s">
        <v>13</v>
      </c>
    </row>
    <row r="54" spans="1:13">
      <c r="A54">
        <v>53</v>
      </c>
      <c r="B54" s="35" t="s">
        <v>66</v>
      </c>
      <c r="C54">
        <v>6053</v>
      </c>
      <c r="D54" s="6">
        <v>201101</v>
      </c>
      <c r="E54" s="36" t="s">
        <v>216</v>
      </c>
      <c r="F54" s="3">
        <v>420000000</v>
      </c>
      <c r="G54">
        <v>108</v>
      </c>
      <c r="H54">
        <v>108000</v>
      </c>
      <c r="I54">
        <v>200</v>
      </c>
      <c r="J54">
        <v>100</v>
      </c>
      <c r="K54">
        <v>1143000</v>
      </c>
      <c r="L54">
        <v>281000</v>
      </c>
      <c r="M54" t="s">
        <v>13</v>
      </c>
    </row>
    <row r="55" spans="1:13">
      <c r="A55">
        <v>54</v>
      </c>
      <c r="B55" s="35" t="s">
        <v>67</v>
      </c>
      <c r="C55">
        <v>6054</v>
      </c>
      <c r="D55" s="6">
        <v>301001</v>
      </c>
      <c r="E55" s="36" t="s">
        <v>217</v>
      </c>
      <c r="F55" s="3">
        <v>450000000</v>
      </c>
      <c r="G55">
        <v>108</v>
      </c>
      <c r="H55">
        <v>108000</v>
      </c>
      <c r="I55">
        <v>200</v>
      </c>
      <c r="J55">
        <v>100</v>
      </c>
      <c r="K55">
        <v>1149000</v>
      </c>
      <c r="L55">
        <v>283500</v>
      </c>
      <c r="M55" t="s">
        <v>13</v>
      </c>
    </row>
    <row r="56" spans="1:13">
      <c r="A56">
        <v>55</v>
      </c>
      <c r="B56" s="35" t="s">
        <v>68</v>
      </c>
      <c r="C56">
        <v>6055</v>
      </c>
      <c r="D56" s="6">
        <v>400501</v>
      </c>
      <c r="E56" s="36" t="s">
        <v>218</v>
      </c>
      <c r="F56" s="3">
        <v>480000000</v>
      </c>
      <c r="G56">
        <v>108</v>
      </c>
      <c r="H56">
        <v>108000</v>
      </c>
      <c r="I56">
        <v>200</v>
      </c>
      <c r="J56">
        <v>100</v>
      </c>
      <c r="K56">
        <v>1155000</v>
      </c>
      <c r="L56">
        <v>286000</v>
      </c>
      <c r="M56" t="s">
        <v>13</v>
      </c>
    </row>
    <row r="57" spans="1:13" ht="28.5">
      <c r="A57">
        <v>56</v>
      </c>
      <c r="B57" s="35" t="s">
        <v>69</v>
      </c>
      <c r="C57">
        <v>6056</v>
      </c>
      <c r="D57" s="1">
        <v>102201</v>
      </c>
      <c r="E57" s="36" t="s">
        <v>219</v>
      </c>
      <c r="F57" s="3">
        <v>510000000</v>
      </c>
      <c r="G57">
        <v>108</v>
      </c>
      <c r="H57">
        <v>108000</v>
      </c>
      <c r="I57">
        <v>200</v>
      </c>
      <c r="J57">
        <v>100</v>
      </c>
      <c r="K57">
        <v>1161000</v>
      </c>
      <c r="L57">
        <v>288500</v>
      </c>
      <c r="M57" t="s">
        <v>13</v>
      </c>
    </row>
    <row r="58" spans="1:13" ht="28.5">
      <c r="A58">
        <v>57</v>
      </c>
      <c r="B58" s="35" t="s">
        <v>70</v>
      </c>
      <c r="C58">
        <v>6057</v>
      </c>
      <c r="D58" s="1">
        <v>200901</v>
      </c>
      <c r="E58" s="36" t="s">
        <v>220</v>
      </c>
      <c r="F58" s="3">
        <v>540000000</v>
      </c>
      <c r="G58">
        <v>108</v>
      </c>
      <c r="H58">
        <v>108000</v>
      </c>
      <c r="I58">
        <v>200</v>
      </c>
      <c r="J58">
        <v>100</v>
      </c>
      <c r="K58">
        <v>1167000</v>
      </c>
      <c r="L58">
        <v>291000</v>
      </c>
      <c r="M58" t="s">
        <v>13</v>
      </c>
    </row>
    <row r="59" spans="1:13">
      <c r="A59">
        <v>58</v>
      </c>
      <c r="B59" s="35" t="s">
        <v>71</v>
      </c>
      <c r="C59">
        <v>6058</v>
      </c>
      <c r="D59" s="1">
        <v>201301</v>
      </c>
      <c r="E59" s="36" t="s">
        <v>221</v>
      </c>
      <c r="F59" s="3">
        <v>570000000</v>
      </c>
      <c r="G59">
        <v>108</v>
      </c>
      <c r="H59">
        <v>108000</v>
      </c>
      <c r="I59">
        <v>200</v>
      </c>
      <c r="J59">
        <v>100</v>
      </c>
      <c r="K59">
        <v>1173000</v>
      </c>
      <c r="L59">
        <v>293500</v>
      </c>
      <c r="M59" t="s">
        <v>13</v>
      </c>
    </row>
    <row r="60" spans="1:13">
      <c r="A60">
        <v>59</v>
      </c>
      <c r="B60" s="35" t="s">
        <v>72</v>
      </c>
      <c r="C60">
        <v>6059</v>
      </c>
      <c r="D60" s="7">
        <v>101406</v>
      </c>
      <c r="E60" s="36" t="s">
        <v>227</v>
      </c>
      <c r="F60" s="3">
        <v>600000000</v>
      </c>
      <c r="G60">
        <v>108</v>
      </c>
      <c r="H60">
        <v>108000</v>
      </c>
      <c r="I60">
        <v>200</v>
      </c>
      <c r="J60">
        <v>100</v>
      </c>
      <c r="K60">
        <v>1179000</v>
      </c>
      <c r="L60">
        <v>296000</v>
      </c>
      <c r="M60" t="s">
        <v>13</v>
      </c>
    </row>
    <row r="61" spans="1:13">
      <c r="A61">
        <v>60</v>
      </c>
      <c r="B61" s="35" t="s">
        <v>73</v>
      </c>
      <c r="C61">
        <v>6060</v>
      </c>
      <c r="D61" s="8">
        <v>401306</v>
      </c>
      <c r="E61" s="36" t="s">
        <v>228</v>
      </c>
      <c r="F61" s="3">
        <v>660000000</v>
      </c>
      <c r="G61">
        <v>108</v>
      </c>
      <c r="H61">
        <v>108000</v>
      </c>
      <c r="I61">
        <v>200</v>
      </c>
      <c r="J61">
        <v>100</v>
      </c>
      <c r="K61">
        <v>1185000</v>
      </c>
      <c r="L61">
        <v>298500</v>
      </c>
      <c r="M61" t="s">
        <v>13</v>
      </c>
    </row>
    <row r="62" spans="1:13">
      <c r="A62">
        <v>61</v>
      </c>
      <c r="B62" s="35" t="s">
        <v>74</v>
      </c>
      <c r="C62">
        <v>6061</v>
      </c>
      <c r="D62" s="7">
        <v>101606</v>
      </c>
      <c r="E62" s="36" t="s">
        <v>229</v>
      </c>
      <c r="F62" s="3">
        <v>720000000</v>
      </c>
      <c r="G62">
        <v>108</v>
      </c>
      <c r="H62">
        <v>108000</v>
      </c>
      <c r="I62">
        <v>200</v>
      </c>
      <c r="J62">
        <v>100</v>
      </c>
      <c r="K62">
        <v>1191000</v>
      </c>
      <c r="L62">
        <v>301000</v>
      </c>
      <c r="M62" t="s">
        <v>13</v>
      </c>
    </row>
    <row r="63" spans="1:13">
      <c r="A63">
        <v>62</v>
      </c>
      <c r="B63" s="35" t="s">
        <v>75</v>
      </c>
      <c r="C63">
        <v>6062</v>
      </c>
      <c r="D63" s="9">
        <v>501006</v>
      </c>
      <c r="E63" s="36" t="s">
        <v>230</v>
      </c>
      <c r="F63" s="3">
        <v>780000000</v>
      </c>
      <c r="G63">
        <v>108</v>
      </c>
      <c r="H63">
        <v>108000</v>
      </c>
      <c r="I63">
        <v>200</v>
      </c>
      <c r="J63">
        <v>100</v>
      </c>
      <c r="K63">
        <v>1197000</v>
      </c>
      <c r="L63">
        <v>303500</v>
      </c>
      <c r="M63" t="s">
        <v>13</v>
      </c>
    </row>
    <row r="64" spans="1:13" ht="28.5">
      <c r="A64">
        <v>63</v>
      </c>
      <c r="B64" s="35" t="s">
        <v>76</v>
      </c>
      <c r="C64">
        <v>6063</v>
      </c>
      <c r="D64" s="7">
        <v>101806</v>
      </c>
      <c r="E64" s="36" t="s">
        <v>231</v>
      </c>
      <c r="F64" s="3">
        <v>840000000</v>
      </c>
      <c r="G64">
        <v>108</v>
      </c>
      <c r="H64">
        <v>108000</v>
      </c>
      <c r="I64">
        <v>200</v>
      </c>
      <c r="J64">
        <v>100</v>
      </c>
      <c r="K64">
        <v>1203000</v>
      </c>
      <c r="L64">
        <v>306000</v>
      </c>
      <c r="M64" t="s">
        <v>13</v>
      </c>
    </row>
    <row r="65" spans="1:13">
      <c r="A65">
        <v>64</v>
      </c>
      <c r="B65" s="35" t="s">
        <v>77</v>
      </c>
      <c r="C65">
        <v>6064</v>
      </c>
      <c r="D65" s="11">
        <v>201406</v>
      </c>
      <c r="E65" s="36" t="s">
        <v>232</v>
      </c>
      <c r="F65" s="3">
        <v>900000000</v>
      </c>
      <c r="G65">
        <v>108</v>
      </c>
      <c r="H65">
        <v>108000</v>
      </c>
      <c r="I65">
        <v>200</v>
      </c>
      <c r="J65">
        <v>100</v>
      </c>
      <c r="K65">
        <v>1209000</v>
      </c>
      <c r="L65">
        <v>308500</v>
      </c>
      <c r="M65" t="s">
        <v>13</v>
      </c>
    </row>
    <row r="66" spans="1:13">
      <c r="A66">
        <v>65</v>
      </c>
      <c r="B66" s="35" t="s">
        <v>78</v>
      </c>
      <c r="C66">
        <v>6065</v>
      </c>
      <c r="D66" s="12">
        <v>201506</v>
      </c>
      <c r="E66" s="36" t="s">
        <v>233</v>
      </c>
      <c r="F66" s="3">
        <v>960000000</v>
      </c>
      <c r="G66">
        <v>108</v>
      </c>
      <c r="H66">
        <v>108000</v>
      </c>
      <c r="I66">
        <v>200</v>
      </c>
      <c r="J66">
        <v>100</v>
      </c>
      <c r="K66">
        <v>1215000</v>
      </c>
      <c r="L66">
        <v>311000</v>
      </c>
      <c r="M66" t="s">
        <v>13</v>
      </c>
    </row>
    <row r="67" spans="1:13">
      <c r="A67">
        <v>66</v>
      </c>
      <c r="B67" s="35" t="s">
        <v>79</v>
      </c>
      <c r="C67">
        <v>6066</v>
      </c>
      <c r="D67" s="7">
        <v>102206</v>
      </c>
      <c r="E67" s="36" t="s">
        <v>234</v>
      </c>
      <c r="F67" s="3">
        <v>1000000000</v>
      </c>
      <c r="G67">
        <v>108</v>
      </c>
      <c r="H67">
        <v>108000</v>
      </c>
      <c r="I67">
        <v>200</v>
      </c>
      <c r="J67">
        <v>100</v>
      </c>
      <c r="K67">
        <v>1221000</v>
      </c>
      <c r="L67">
        <v>313500</v>
      </c>
      <c r="M67" t="s">
        <v>13</v>
      </c>
    </row>
    <row r="68" spans="1:13" ht="28.5">
      <c r="A68">
        <v>67</v>
      </c>
      <c r="B68" s="35" t="s">
        <v>80</v>
      </c>
      <c r="C68">
        <v>6067</v>
      </c>
      <c r="D68" s="13">
        <v>501106</v>
      </c>
      <c r="E68" s="36" t="s">
        <v>235</v>
      </c>
      <c r="F68" s="3">
        <v>1100000000</v>
      </c>
      <c r="G68">
        <v>108</v>
      </c>
      <c r="H68">
        <v>108000</v>
      </c>
      <c r="I68">
        <v>200</v>
      </c>
      <c r="J68">
        <v>100</v>
      </c>
      <c r="K68">
        <v>1227000</v>
      </c>
      <c r="L68">
        <v>316000</v>
      </c>
      <c r="M68" t="s">
        <v>13</v>
      </c>
    </row>
    <row r="69" spans="1:13" ht="28.5">
      <c r="A69">
        <v>68</v>
      </c>
      <c r="B69" s="35" t="s">
        <v>81</v>
      </c>
      <c r="C69">
        <v>6068</v>
      </c>
      <c r="D69" s="14">
        <v>400906</v>
      </c>
      <c r="E69" s="36" t="s">
        <v>236</v>
      </c>
      <c r="F69" s="3">
        <v>1200000000</v>
      </c>
      <c r="G69">
        <v>108</v>
      </c>
      <c r="H69">
        <v>108000</v>
      </c>
      <c r="I69">
        <v>200</v>
      </c>
      <c r="J69">
        <v>100</v>
      </c>
      <c r="K69">
        <v>1233000</v>
      </c>
      <c r="L69">
        <v>318500</v>
      </c>
      <c r="M69" t="s">
        <v>13</v>
      </c>
    </row>
    <row r="70" spans="1:13">
      <c r="A70">
        <v>69</v>
      </c>
      <c r="B70" s="35" t="s">
        <v>82</v>
      </c>
      <c r="C70">
        <v>6069</v>
      </c>
      <c r="D70" s="7">
        <v>102006</v>
      </c>
      <c r="E70" s="36" t="s">
        <v>237</v>
      </c>
      <c r="F70" s="3">
        <v>1300000000</v>
      </c>
      <c r="G70">
        <v>108</v>
      </c>
      <c r="H70">
        <v>108000</v>
      </c>
      <c r="I70">
        <v>200</v>
      </c>
      <c r="J70">
        <v>100</v>
      </c>
      <c r="K70">
        <v>1239000</v>
      </c>
      <c r="L70">
        <v>321000</v>
      </c>
      <c r="M70" t="s">
        <v>13</v>
      </c>
    </row>
    <row r="71" spans="1:13">
      <c r="A71">
        <v>70</v>
      </c>
      <c r="B71" s="35" t="s">
        <v>83</v>
      </c>
      <c r="C71">
        <v>6070</v>
      </c>
      <c r="D71" s="15">
        <v>102106</v>
      </c>
      <c r="E71" s="36" t="s">
        <v>238</v>
      </c>
      <c r="F71" s="3">
        <v>1400000000</v>
      </c>
      <c r="G71">
        <v>108</v>
      </c>
      <c r="H71">
        <v>108000</v>
      </c>
      <c r="I71">
        <v>200</v>
      </c>
      <c r="J71">
        <v>100</v>
      </c>
      <c r="K71">
        <v>1245000</v>
      </c>
      <c r="L71">
        <v>323500</v>
      </c>
      <c r="M71" t="s">
        <v>13</v>
      </c>
    </row>
    <row r="72" spans="1:13">
      <c r="A72">
        <v>71</v>
      </c>
      <c r="B72" s="35" t="s">
        <v>84</v>
      </c>
      <c r="C72">
        <v>6071</v>
      </c>
      <c r="D72" s="11">
        <v>201806</v>
      </c>
      <c r="E72" s="36" t="s">
        <v>239</v>
      </c>
      <c r="F72" s="3">
        <v>1500000000</v>
      </c>
      <c r="G72">
        <v>108</v>
      </c>
      <c r="H72">
        <v>108000</v>
      </c>
      <c r="I72">
        <v>200</v>
      </c>
      <c r="J72">
        <v>100</v>
      </c>
      <c r="K72">
        <v>1251000</v>
      </c>
      <c r="L72">
        <v>326000</v>
      </c>
      <c r="M72" t="s">
        <v>13</v>
      </c>
    </row>
    <row r="73" spans="1:13" ht="42.75">
      <c r="A73">
        <v>72</v>
      </c>
      <c r="B73" s="35" t="s">
        <v>85</v>
      </c>
      <c r="C73">
        <v>6072</v>
      </c>
      <c r="D73" s="16">
        <v>202006</v>
      </c>
      <c r="E73" s="36" t="s">
        <v>240</v>
      </c>
      <c r="F73" s="3">
        <v>1600000000</v>
      </c>
      <c r="G73">
        <v>108</v>
      </c>
      <c r="H73">
        <v>108000</v>
      </c>
      <c r="I73">
        <v>200</v>
      </c>
      <c r="J73">
        <v>100</v>
      </c>
      <c r="K73">
        <v>1257000</v>
      </c>
      <c r="L73">
        <v>328500</v>
      </c>
      <c r="M73" t="s">
        <v>13</v>
      </c>
    </row>
    <row r="74" spans="1:13" ht="28.5">
      <c r="A74">
        <v>73</v>
      </c>
      <c r="B74" s="35" t="s">
        <v>86</v>
      </c>
      <c r="C74">
        <v>6073</v>
      </c>
      <c r="D74" s="17">
        <v>202106</v>
      </c>
      <c r="E74" s="36" t="s">
        <v>241</v>
      </c>
      <c r="F74" s="3">
        <v>1700000000</v>
      </c>
      <c r="G74">
        <v>108</v>
      </c>
      <c r="H74">
        <v>108000</v>
      </c>
      <c r="I74">
        <v>200</v>
      </c>
      <c r="J74">
        <v>100</v>
      </c>
      <c r="K74">
        <v>1263000</v>
      </c>
      <c r="L74">
        <v>331000</v>
      </c>
      <c r="M74" t="s">
        <v>13</v>
      </c>
    </row>
    <row r="75" spans="1:13" ht="28.5">
      <c r="A75">
        <v>74</v>
      </c>
      <c r="B75" s="35" t="s">
        <v>87</v>
      </c>
      <c r="C75">
        <v>6074</v>
      </c>
      <c r="D75" s="18">
        <v>202206</v>
      </c>
      <c r="E75" s="36" t="s">
        <v>242</v>
      </c>
      <c r="F75" s="3">
        <v>1800000000</v>
      </c>
      <c r="G75">
        <v>108</v>
      </c>
      <c r="H75">
        <v>108000</v>
      </c>
      <c r="I75">
        <v>200</v>
      </c>
      <c r="J75">
        <v>100</v>
      </c>
      <c r="K75">
        <v>1269000</v>
      </c>
      <c r="L75">
        <v>333500</v>
      </c>
      <c r="M75" t="s">
        <v>13</v>
      </c>
    </row>
    <row r="76" spans="1:13">
      <c r="A76">
        <v>75</v>
      </c>
      <c r="B76" s="35" t="s">
        <v>88</v>
      </c>
      <c r="C76">
        <v>6075</v>
      </c>
      <c r="D76" s="9">
        <v>301406</v>
      </c>
      <c r="E76" s="36" t="s">
        <v>243</v>
      </c>
      <c r="F76" s="3">
        <v>1900000000</v>
      </c>
      <c r="G76">
        <v>108</v>
      </c>
      <c r="H76">
        <v>108000</v>
      </c>
      <c r="I76">
        <v>200</v>
      </c>
      <c r="J76">
        <v>100</v>
      </c>
      <c r="K76">
        <v>1275000</v>
      </c>
      <c r="L76">
        <v>336000</v>
      </c>
      <c r="M76" t="s">
        <v>13</v>
      </c>
    </row>
    <row r="77" spans="1:13">
      <c r="A77">
        <v>76</v>
      </c>
      <c r="B77" s="35" t="s">
        <v>89</v>
      </c>
      <c r="C77">
        <v>6076</v>
      </c>
      <c r="D77" s="13">
        <v>301506</v>
      </c>
      <c r="E77" s="36" t="s">
        <v>244</v>
      </c>
      <c r="F77" s="3">
        <v>2000000000</v>
      </c>
      <c r="G77">
        <v>108</v>
      </c>
      <c r="H77">
        <v>108000</v>
      </c>
      <c r="I77">
        <v>200</v>
      </c>
      <c r="J77">
        <v>100</v>
      </c>
      <c r="K77">
        <v>1281000</v>
      </c>
      <c r="L77">
        <v>338500</v>
      </c>
      <c r="M77" t="s">
        <v>13</v>
      </c>
    </row>
    <row r="78" spans="1:13">
      <c r="A78">
        <v>77</v>
      </c>
      <c r="B78" s="35" t="s">
        <v>90</v>
      </c>
      <c r="C78">
        <v>6077</v>
      </c>
      <c r="D78" s="9">
        <v>301606</v>
      </c>
      <c r="E78" s="36" t="s">
        <v>245</v>
      </c>
      <c r="F78" s="3">
        <v>2100000000</v>
      </c>
      <c r="G78">
        <v>108</v>
      </c>
      <c r="H78">
        <v>108000</v>
      </c>
      <c r="I78">
        <v>200</v>
      </c>
      <c r="J78">
        <v>100</v>
      </c>
      <c r="K78">
        <v>1287000</v>
      </c>
      <c r="L78">
        <v>341000</v>
      </c>
      <c r="M78" t="s">
        <v>13</v>
      </c>
    </row>
    <row r="79" spans="1:13">
      <c r="A79">
        <v>78</v>
      </c>
      <c r="B79" s="35" t="s">
        <v>91</v>
      </c>
      <c r="C79">
        <v>6078</v>
      </c>
      <c r="D79" s="19">
        <v>301706</v>
      </c>
      <c r="E79" s="36" t="s">
        <v>246</v>
      </c>
      <c r="F79" s="3">
        <v>2200000000</v>
      </c>
      <c r="G79">
        <v>108</v>
      </c>
      <c r="H79">
        <v>108000</v>
      </c>
      <c r="I79">
        <v>200</v>
      </c>
      <c r="J79">
        <v>100</v>
      </c>
      <c r="K79">
        <v>1293000</v>
      </c>
      <c r="L79">
        <v>343500</v>
      </c>
      <c r="M79" t="s">
        <v>13</v>
      </c>
    </row>
    <row r="80" spans="1:13" ht="28.5">
      <c r="A80">
        <v>79</v>
      </c>
      <c r="B80" s="35" t="s">
        <v>92</v>
      </c>
      <c r="C80">
        <v>6079</v>
      </c>
      <c r="D80" s="13">
        <v>301806</v>
      </c>
      <c r="E80" s="36" t="s">
        <v>247</v>
      </c>
      <c r="F80" s="3">
        <v>2300000000</v>
      </c>
      <c r="G80">
        <v>108</v>
      </c>
      <c r="H80">
        <v>108000</v>
      </c>
      <c r="I80">
        <v>200</v>
      </c>
      <c r="J80">
        <v>100</v>
      </c>
      <c r="K80">
        <v>1299000</v>
      </c>
      <c r="L80">
        <v>346000</v>
      </c>
      <c r="M80" t="s">
        <v>13</v>
      </c>
    </row>
    <row r="81" spans="1:13" ht="28.5">
      <c r="A81">
        <v>80</v>
      </c>
      <c r="B81" s="35" t="s">
        <v>93</v>
      </c>
      <c r="C81">
        <v>6080</v>
      </c>
      <c r="D81" s="9">
        <v>301906</v>
      </c>
      <c r="E81" s="36" t="s">
        <v>248</v>
      </c>
      <c r="F81" s="3">
        <v>2400000000</v>
      </c>
      <c r="G81">
        <v>108</v>
      </c>
      <c r="H81">
        <v>108000</v>
      </c>
      <c r="I81">
        <v>200</v>
      </c>
      <c r="J81">
        <v>100</v>
      </c>
      <c r="K81">
        <v>1305000</v>
      </c>
      <c r="L81">
        <v>348500</v>
      </c>
      <c r="M81" t="s">
        <v>13</v>
      </c>
    </row>
    <row r="82" spans="1:13">
      <c r="A82">
        <v>81</v>
      </c>
      <c r="B82" s="35" t="s">
        <v>94</v>
      </c>
      <c r="C82">
        <v>6081</v>
      </c>
      <c r="D82" s="13">
        <v>302006</v>
      </c>
      <c r="E82" s="36" t="s">
        <v>249</v>
      </c>
      <c r="F82" s="3">
        <v>2500000000</v>
      </c>
      <c r="G82">
        <v>108</v>
      </c>
      <c r="H82">
        <v>108000</v>
      </c>
      <c r="I82">
        <v>200</v>
      </c>
      <c r="J82">
        <v>100</v>
      </c>
      <c r="K82">
        <v>1311000</v>
      </c>
      <c r="L82">
        <v>351000</v>
      </c>
      <c r="M82" t="s">
        <v>13</v>
      </c>
    </row>
    <row r="83" spans="1:13" ht="28.5">
      <c r="A83">
        <v>82</v>
      </c>
      <c r="B83" s="35" t="s">
        <v>95</v>
      </c>
      <c r="C83">
        <v>6082</v>
      </c>
      <c r="D83" s="9">
        <v>302106</v>
      </c>
      <c r="E83" s="36" t="s">
        <v>250</v>
      </c>
      <c r="F83" s="3">
        <v>2600000000</v>
      </c>
      <c r="G83">
        <v>108</v>
      </c>
      <c r="H83">
        <v>108000</v>
      </c>
      <c r="I83">
        <v>200</v>
      </c>
      <c r="J83">
        <v>100</v>
      </c>
      <c r="K83">
        <v>1317000</v>
      </c>
      <c r="L83">
        <v>353500</v>
      </c>
      <c r="M83" t="s">
        <v>13</v>
      </c>
    </row>
    <row r="84" spans="1:13">
      <c r="A84">
        <v>83</v>
      </c>
      <c r="B84" s="35" t="s">
        <v>96</v>
      </c>
      <c r="C84">
        <v>6083</v>
      </c>
      <c r="D84" s="20">
        <v>302206</v>
      </c>
      <c r="E84" s="36" t="s">
        <v>251</v>
      </c>
      <c r="F84" s="3">
        <v>2700000000</v>
      </c>
      <c r="G84">
        <v>108</v>
      </c>
      <c r="H84">
        <v>108000</v>
      </c>
      <c r="I84">
        <v>200</v>
      </c>
      <c r="J84">
        <v>100</v>
      </c>
      <c r="K84">
        <v>1323000</v>
      </c>
      <c r="L84">
        <v>356000</v>
      </c>
      <c r="M84" t="s">
        <v>13</v>
      </c>
    </row>
    <row r="85" spans="1:13">
      <c r="A85">
        <v>84</v>
      </c>
      <c r="B85" s="35" t="s">
        <v>97</v>
      </c>
      <c r="C85">
        <v>6084</v>
      </c>
      <c r="D85" s="21">
        <v>400606</v>
      </c>
      <c r="E85" s="36" t="s">
        <v>252</v>
      </c>
      <c r="F85" s="3">
        <v>2800000000</v>
      </c>
      <c r="G85">
        <v>108</v>
      </c>
      <c r="H85">
        <v>108000</v>
      </c>
      <c r="I85">
        <v>200</v>
      </c>
      <c r="J85">
        <v>100</v>
      </c>
      <c r="K85">
        <v>1329000</v>
      </c>
      <c r="L85">
        <v>358500</v>
      </c>
      <c r="M85" t="s">
        <v>13</v>
      </c>
    </row>
    <row r="86" spans="1:13">
      <c r="A86">
        <v>85</v>
      </c>
      <c r="B86" s="35" t="s">
        <v>98</v>
      </c>
      <c r="C86">
        <v>6085</v>
      </c>
      <c r="D86" s="22">
        <v>400706</v>
      </c>
      <c r="E86" s="36" t="s">
        <v>253</v>
      </c>
      <c r="F86" s="3">
        <v>2900000000</v>
      </c>
      <c r="G86">
        <v>108</v>
      </c>
      <c r="H86">
        <v>108000</v>
      </c>
      <c r="I86">
        <v>200</v>
      </c>
      <c r="J86">
        <v>100</v>
      </c>
      <c r="K86">
        <v>1335000</v>
      </c>
      <c r="L86">
        <v>361000</v>
      </c>
      <c r="M86" t="s">
        <v>13</v>
      </c>
    </row>
    <row r="87" spans="1:13" ht="28.5">
      <c r="A87">
        <v>86</v>
      </c>
      <c r="B87" s="35" t="s">
        <v>99</v>
      </c>
      <c r="C87">
        <v>6086</v>
      </c>
      <c r="D87" s="23">
        <v>101706</v>
      </c>
      <c r="E87" s="36" t="s">
        <v>254</v>
      </c>
      <c r="F87" s="3">
        <v>3000000000</v>
      </c>
      <c r="G87">
        <v>108</v>
      </c>
      <c r="H87">
        <v>108000</v>
      </c>
      <c r="I87">
        <v>200</v>
      </c>
      <c r="J87">
        <v>100</v>
      </c>
      <c r="K87">
        <v>1341000</v>
      </c>
      <c r="L87">
        <v>363500</v>
      </c>
      <c r="M87" t="s">
        <v>13</v>
      </c>
    </row>
    <row r="88" spans="1:13">
      <c r="A88">
        <v>87</v>
      </c>
      <c r="B88" s="35" t="s">
        <v>100</v>
      </c>
      <c r="C88">
        <v>6087</v>
      </c>
      <c r="D88" s="8">
        <v>400806</v>
      </c>
      <c r="E88" s="36" t="s">
        <v>255</v>
      </c>
      <c r="F88" s="3">
        <v>3100000000</v>
      </c>
      <c r="G88">
        <v>108</v>
      </c>
      <c r="H88">
        <v>108000</v>
      </c>
      <c r="I88">
        <v>200</v>
      </c>
      <c r="J88">
        <v>100</v>
      </c>
      <c r="K88">
        <v>1347000</v>
      </c>
      <c r="L88">
        <v>366000</v>
      </c>
      <c r="M88" t="s">
        <v>13</v>
      </c>
    </row>
    <row r="89" spans="1:13">
      <c r="A89">
        <v>88</v>
      </c>
      <c r="B89" s="35" t="s">
        <v>101</v>
      </c>
      <c r="C89">
        <v>6088</v>
      </c>
      <c r="D89" s="22">
        <v>401206</v>
      </c>
      <c r="E89" s="36" t="s">
        <v>256</v>
      </c>
      <c r="F89" s="3">
        <v>3200000000</v>
      </c>
      <c r="G89">
        <v>108</v>
      </c>
      <c r="H89">
        <v>108000</v>
      </c>
      <c r="I89">
        <v>200</v>
      </c>
      <c r="J89">
        <v>100</v>
      </c>
      <c r="K89">
        <v>1353000</v>
      </c>
      <c r="L89">
        <v>368500</v>
      </c>
      <c r="M89" t="s">
        <v>13</v>
      </c>
    </row>
    <row r="90" spans="1:13" ht="28.5">
      <c r="A90">
        <v>89</v>
      </c>
      <c r="B90" s="35" t="s">
        <v>102</v>
      </c>
      <c r="C90">
        <v>6089</v>
      </c>
      <c r="D90" s="23">
        <v>101506</v>
      </c>
      <c r="E90" s="36" t="s">
        <v>257</v>
      </c>
      <c r="F90" s="3">
        <v>3300000000</v>
      </c>
      <c r="G90">
        <v>108</v>
      </c>
      <c r="H90">
        <v>108000</v>
      </c>
      <c r="I90">
        <v>200</v>
      </c>
      <c r="J90">
        <v>100</v>
      </c>
      <c r="K90">
        <v>1359000</v>
      </c>
      <c r="L90">
        <v>371000</v>
      </c>
      <c r="M90" t="s">
        <v>13</v>
      </c>
    </row>
    <row r="91" spans="1:13">
      <c r="A91">
        <v>90</v>
      </c>
      <c r="B91" s="35" t="s">
        <v>103</v>
      </c>
      <c r="C91">
        <v>6090</v>
      </c>
      <c r="D91" s="22">
        <v>401406</v>
      </c>
      <c r="E91" s="36" t="s">
        <v>258</v>
      </c>
      <c r="F91" s="3">
        <v>3400000000</v>
      </c>
      <c r="G91">
        <v>108</v>
      </c>
      <c r="H91">
        <v>108000</v>
      </c>
      <c r="I91">
        <v>200</v>
      </c>
      <c r="J91">
        <v>100</v>
      </c>
      <c r="K91">
        <v>1365000</v>
      </c>
      <c r="L91">
        <v>373500</v>
      </c>
      <c r="M91" t="s">
        <v>13</v>
      </c>
    </row>
    <row r="92" spans="1:13">
      <c r="A92">
        <v>91</v>
      </c>
      <c r="B92" s="35" t="s">
        <v>104</v>
      </c>
      <c r="C92">
        <v>6091</v>
      </c>
      <c r="D92" s="24">
        <v>500606</v>
      </c>
      <c r="E92" s="36" t="s">
        <v>259</v>
      </c>
      <c r="F92" s="3">
        <v>3500000000</v>
      </c>
      <c r="G92">
        <v>108</v>
      </c>
      <c r="H92">
        <v>108000</v>
      </c>
      <c r="I92">
        <v>200</v>
      </c>
      <c r="J92">
        <v>100</v>
      </c>
      <c r="K92">
        <v>1371000</v>
      </c>
      <c r="L92">
        <v>376000</v>
      </c>
      <c r="M92" t="s">
        <v>13</v>
      </c>
    </row>
    <row r="93" spans="1:13">
      <c r="A93">
        <v>92</v>
      </c>
      <c r="B93" s="35" t="s">
        <v>105</v>
      </c>
      <c r="C93">
        <v>6092</v>
      </c>
      <c r="D93" s="20">
        <v>500706</v>
      </c>
      <c r="E93" s="36" t="s">
        <v>260</v>
      </c>
      <c r="F93" s="3">
        <v>3600000000</v>
      </c>
      <c r="G93">
        <v>108</v>
      </c>
      <c r="H93">
        <v>108000</v>
      </c>
      <c r="I93">
        <v>200</v>
      </c>
      <c r="J93">
        <v>100</v>
      </c>
      <c r="K93">
        <v>1377000</v>
      </c>
      <c r="L93">
        <v>378500</v>
      </c>
      <c r="M93" t="s">
        <v>13</v>
      </c>
    </row>
    <row r="94" spans="1:13">
      <c r="A94">
        <v>93</v>
      </c>
      <c r="B94" s="35" t="s">
        <v>106</v>
      </c>
      <c r="C94">
        <v>6093</v>
      </c>
      <c r="D94" s="13">
        <v>500906</v>
      </c>
      <c r="E94" s="36" t="s">
        <v>261</v>
      </c>
      <c r="F94" s="3">
        <v>3700000000</v>
      </c>
      <c r="G94">
        <v>108</v>
      </c>
      <c r="H94">
        <v>108000</v>
      </c>
      <c r="I94">
        <v>200</v>
      </c>
      <c r="J94">
        <v>100</v>
      </c>
      <c r="K94">
        <v>1383000</v>
      </c>
      <c r="L94">
        <v>381000</v>
      </c>
      <c r="M94" t="s">
        <v>13</v>
      </c>
    </row>
    <row r="95" spans="1:13">
      <c r="A95">
        <v>94</v>
      </c>
      <c r="B95" s="35" t="s">
        <v>107</v>
      </c>
      <c r="C95">
        <v>6094</v>
      </c>
      <c r="D95" s="25">
        <v>201606</v>
      </c>
      <c r="E95" s="36" t="s">
        <v>262</v>
      </c>
      <c r="F95" s="3">
        <v>3800000000</v>
      </c>
      <c r="G95">
        <v>108</v>
      </c>
      <c r="H95">
        <v>108000</v>
      </c>
      <c r="I95">
        <v>200</v>
      </c>
      <c r="J95">
        <v>100</v>
      </c>
      <c r="K95">
        <v>1389000</v>
      </c>
      <c r="L95">
        <v>383500</v>
      </c>
      <c r="M95" t="s">
        <v>13</v>
      </c>
    </row>
    <row r="96" spans="1:13" ht="28.5">
      <c r="A96">
        <v>95</v>
      </c>
      <c r="B96" s="35" t="s">
        <v>108</v>
      </c>
      <c r="C96">
        <v>6095</v>
      </c>
      <c r="D96" s="26">
        <v>201706</v>
      </c>
      <c r="E96" s="36" t="s">
        <v>263</v>
      </c>
      <c r="F96" s="3">
        <v>3900000000</v>
      </c>
      <c r="G96">
        <v>108</v>
      </c>
      <c r="H96">
        <v>108000</v>
      </c>
      <c r="I96">
        <v>200</v>
      </c>
      <c r="J96">
        <v>100</v>
      </c>
      <c r="K96">
        <v>1395000</v>
      </c>
      <c r="L96">
        <v>386000</v>
      </c>
      <c r="M96" t="s">
        <v>13</v>
      </c>
    </row>
    <row r="97" spans="1:13">
      <c r="A97">
        <v>96</v>
      </c>
      <c r="B97" s="35" t="s">
        <v>109</v>
      </c>
      <c r="C97">
        <v>6096</v>
      </c>
      <c r="D97" s="9">
        <v>501206</v>
      </c>
      <c r="E97" s="36" t="s">
        <v>264</v>
      </c>
      <c r="F97" s="3">
        <v>4000000000</v>
      </c>
      <c r="G97">
        <v>108</v>
      </c>
      <c r="H97">
        <v>108000</v>
      </c>
      <c r="I97">
        <v>200</v>
      </c>
      <c r="J97">
        <v>100</v>
      </c>
      <c r="K97">
        <v>1401000</v>
      </c>
      <c r="L97">
        <v>388500</v>
      </c>
      <c r="M97" t="s">
        <v>13</v>
      </c>
    </row>
    <row r="98" spans="1:13">
      <c r="A98">
        <v>97</v>
      </c>
      <c r="B98" s="35" t="s">
        <v>110</v>
      </c>
      <c r="C98">
        <v>6097</v>
      </c>
      <c r="D98" s="22">
        <v>400706</v>
      </c>
      <c r="E98" s="36" t="s">
        <v>253</v>
      </c>
      <c r="F98" s="3">
        <v>4100000000</v>
      </c>
      <c r="G98">
        <v>108</v>
      </c>
      <c r="H98">
        <v>108000</v>
      </c>
      <c r="I98">
        <v>200</v>
      </c>
      <c r="J98">
        <v>100</v>
      </c>
      <c r="K98">
        <v>1407000</v>
      </c>
      <c r="L98">
        <v>391000</v>
      </c>
      <c r="M98" t="s">
        <v>13</v>
      </c>
    </row>
    <row r="99" spans="1:13">
      <c r="A99">
        <v>98</v>
      </c>
      <c r="B99" s="35" t="s">
        <v>111</v>
      </c>
      <c r="C99">
        <v>6098</v>
      </c>
      <c r="D99" s="27">
        <v>401306</v>
      </c>
      <c r="E99" s="36" t="s">
        <v>228</v>
      </c>
      <c r="F99" s="3">
        <v>4200000000</v>
      </c>
      <c r="G99">
        <v>108</v>
      </c>
      <c r="H99">
        <v>108000</v>
      </c>
      <c r="I99">
        <v>200</v>
      </c>
      <c r="J99">
        <v>100</v>
      </c>
      <c r="K99">
        <v>1413000</v>
      </c>
      <c r="L99">
        <v>393500</v>
      </c>
      <c r="M99" t="s">
        <v>13</v>
      </c>
    </row>
    <row r="100" spans="1:13">
      <c r="A100">
        <v>99</v>
      </c>
      <c r="B100" s="35" t="s">
        <v>112</v>
      </c>
      <c r="C100">
        <v>6099</v>
      </c>
      <c r="D100" s="28">
        <v>401206</v>
      </c>
      <c r="E100" s="36" t="s">
        <v>256</v>
      </c>
      <c r="F100" s="3">
        <v>4300000000</v>
      </c>
      <c r="G100">
        <v>108</v>
      </c>
      <c r="H100">
        <v>108000</v>
      </c>
      <c r="I100">
        <v>200</v>
      </c>
      <c r="J100">
        <v>100</v>
      </c>
      <c r="K100">
        <v>1419000</v>
      </c>
      <c r="L100">
        <v>396000</v>
      </c>
      <c r="M100" t="s">
        <v>13</v>
      </c>
    </row>
    <row r="101" spans="1:13" ht="28.5">
      <c r="A101">
        <v>100</v>
      </c>
      <c r="B101" s="35" t="s">
        <v>113</v>
      </c>
      <c r="C101">
        <v>6100</v>
      </c>
      <c r="D101" s="28">
        <v>400906</v>
      </c>
      <c r="E101" s="36" t="s">
        <v>236</v>
      </c>
      <c r="F101" s="3">
        <v>4400000000</v>
      </c>
      <c r="G101">
        <v>108</v>
      </c>
      <c r="H101">
        <v>108000</v>
      </c>
      <c r="I101">
        <v>200</v>
      </c>
      <c r="J101">
        <v>100</v>
      </c>
      <c r="K101">
        <f t="shared" ref="K101" si="0">K100+8000</f>
        <v>1427000</v>
      </c>
      <c r="L101">
        <f>L100+4000</f>
        <v>400000</v>
      </c>
      <c r="M101" t="s">
        <v>13</v>
      </c>
    </row>
    <row r="102" spans="1:13">
      <c r="A102">
        <v>101</v>
      </c>
      <c r="B102" s="35" t="s">
        <v>114</v>
      </c>
      <c r="C102" s="29">
        <v>6101</v>
      </c>
      <c r="D102" s="30">
        <v>500808</v>
      </c>
      <c r="E102" s="37" t="s">
        <v>265</v>
      </c>
      <c r="F102" s="3">
        <v>5000000000</v>
      </c>
      <c r="G102">
        <v>108</v>
      </c>
      <c r="H102">
        <v>108000</v>
      </c>
      <c r="I102">
        <v>200</v>
      </c>
      <c r="J102">
        <v>100</v>
      </c>
      <c r="K102">
        <v>1435000</v>
      </c>
      <c r="L102">
        <v>404000</v>
      </c>
      <c r="M102" t="s">
        <v>13</v>
      </c>
    </row>
    <row r="103" spans="1:13" ht="28.5">
      <c r="A103">
        <v>102</v>
      </c>
      <c r="B103" s="35" t="s">
        <v>115</v>
      </c>
      <c r="C103" s="29">
        <v>6102</v>
      </c>
      <c r="D103" s="30">
        <v>501008</v>
      </c>
      <c r="E103" s="37" t="s">
        <v>204</v>
      </c>
      <c r="F103" s="3">
        <v>6000000000</v>
      </c>
      <c r="G103">
        <v>108</v>
      </c>
      <c r="H103">
        <v>108000</v>
      </c>
      <c r="I103">
        <v>200</v>
      </c>
      <c r="J103">
        <v>100</v>
      </c>
      <c r="K103">
        <v>1443000</v>
      </c>
      <c r="L103">
        <v>408000</v>
      </c>
      <c r="M103" t="s">
        <v>13</v>
      </c>
    </row>
    <row r="104" spans="1:13">
      <c r="A104">
        <v>103</v>
      </c>
      <c r="B104" s="35" t="s">
        <v>116</v>
      </c>
      <c r="C104" s="29">
        <v>6103</v>
      </c>
      <c r="D104" s="30">
        <v>501309</v>
      </c>
      <c r="E104" s="37" t="s">
        <v>266</v>
      </c>
      <c r="F104" s="3">
        <v>7000000000</v>
      </c>
      <c r="G104">
        <v>108</v>
      </c>
      <c r="H104">
        <v>108000</v>
      </c>
      <c r="I104">
        <v>200</v>
      </c>
      <c r="J104">
        <v>100</v>
      </c>
      <c r="K104">
        <v>1451000</v>
      </c>
      <c r="L104">
        <v>412000</v>
      </c>
      <c r="M104" t="s">
        <v>13</v>
      </c>
    </row>
    <row r="105" spans="1:13">
      <c r="A105">
        <v>104</v>
      </c>
      <c r="B105" s="35" t="s">
        <v>117</v>
      </c>
      <c r="C105" s="29">
        <v>6104</v>
      </c>
      <c r="D105" s="30">
        <v>202308</v>
      </c>
      <c r="E105" s="37" t="s">
        <v>202</v>
      </c>
      <c r="F105" s="3">
        <v>8000000000</v>
      </c>
      <c r="G105">
        <v>108</v>
      </c>
      <c r="H105">
        <v>108000</v>
      </c>
      <c r="I105">
        <v>200</v>
      </c>
      <c r="J105">
        <v>100</v>
      </c>
      <c r="K105">
        <v>1459000</v>
      </c>
      <c r="L105">
        <v>416000</v>
      </c>
      <c r="M105" t="s">
        <v>13</v>
      </c>
    </row>
    <row r="106" spans="1:13">
      <c r="A106">
        <v>105</v>
      </c>
      <c r="B106" s="35" t="s">
        <v>118</v>
      </c>
      <c r="C106" s="29">
        <v>6105</v>
      </c>
      <c r="D106" s="30">
        <v>101708</v>
      </c>
      <c r="E106" s="37" t="s">
        <v>267</v>
      </c>
      <c r="F106" s="3">
        <v>9500000000</v>
      </c>
      <c r="G106">
        <v>108</v>
      </c>
      <c r="H106">
        <v>108000</v>
      </c>
      <c r="I106">
        <v>200</v>
      </c>
      <c r="J106">
        <v>100</v>
      </c>
      <c r="K106">
        <v>1467000</v>
      </c>
      <c r="L106">
        <v>420000</v>
      </c>
      <c r="M106" t="s">
        <v>13</v>
      </c>
    </row>
    <row r="107" spans="1:13" ht="28.5">
      <c r="A107">
        <v>106</v>
      </c>
      <c r="B107" s="35" t="s">
        <v>119</v>
      </c>
      <c r="C107" s="29">
        <v>6106</v>
      </c>
      <c r="D107" s="30">
        <v>102108</v>
      </c>
      <c r="E107" s="37" t="s">
        <v>268</v>
      </c>
      <c r="F107" s="3">
        <v>11000000000</v>
      </c>
      <c r="G107">
        <v>108</v>
      </c>
      <c r="H107">
        <v>108000</v>
      </c>
      <c r="I107">
        <v>200</v>
      </c>
      <c r="J107">
        <v>100</v>
      </c>
      <c r="K107">
        <v>1477000</v>
      </c>
      <c r="L107">
        <v>425000</v>
      </c>
      <c r="M107" t="s">
        <v>13</v>
      </c>
    </row>
    <row r="108" spans="1:13" ht="28.5">
      <c r="A108">
        <v>107</v>
      </c>
      <c r="B108" s="35" t="s">
        <v>120</v>
      </c>
      <c r="C108" s="29">
        <v>6107</v>
      </c>
      <c r="D108" s="30">
        <v>202408</v>
      </c>
      <c r="E108" s="37" t="s">
        <v>269</v>
      </c>
      <c r="F108" s="3">
        <v>12500000000</v>
      </c>
      <c r="G108">
        <v>108</v>
      </c>
      <c r="H108">
        <v>108000</v>
      </c>
      <c r="I108">
        <v>200</v>
      </c>
      <c r="J108">
        <v>100</v>
      </c>
      <c r="K108">
        <v>1487000</v>
      </c>
      <c r="L108">
        <v>430000</v>
      </c>
      <c r="M108" t="s">
        <v>13</v>
      </c>
    </row>
    <row r="109" spans="1:13" ht="28.5">
      <c r="A109">
        <v>108</v>
      </c>
      <c r="B109" s="35" t="s">
        <v>121</v>
      </c>
      <c r="C109" s="29">
        <v>6108</v>
      </c>
      <c r="D109" s="30">
        <v>102308</v>
      </c>
      <c r="E109" s="37" t="s">
        <v>270</v>
      </c>
      <c r="F109" s="3">
        <v>14200000000</v>
      </c>
      <c r="G109">
        <v>108</v>
      </c>
      <c r="H109">
        <v>108000</v>
      </c>
      <c r="I109">
        <v>200</v>
      </c>
      <c r="J109">
        <v>100</v>
      </c>
      <c r="K109">
        <v>1497000</v>
      </c>
      <c r="L109">
        <v>435000</v>
      </c>
      <c r="M109" t="s">
        <v>13</v>
      </c>
    </row>
    <row r="110" spans="1:13">
      <c r="A110">
        <v>109</v>
      </c>
      <c r="B110" s="35" t="s">
        <v>122</v>
      </c>
      <c r="C110" s="29">
        <v>6109</v>
      </c>
      <c r="D110" s="30">
        <v>501309</v>
      </c>
      <c r="E110" s="37" t="s">
        <v>266</v>
      </c>
      <c r="F110" s="3">
        <v>16100000000</v>
      </c>
      <c r="G110">
        <v>108</v>
      </c>
      <c r="H110">
        <v>108000</v>
      </c>
      <c r="I110">
        <v>200</v>
      </c>
      <c r="J110">
        <v>100</v>
      </c>
      <c r="K110">
        <v>1507000</v>
      </c>
      <c r="L110">
        <v>440000</v>
      </c>
      <c r="M110" t="s">
        <v>13</v>
      </c>
    </row>
    <row r="111" spans="1:13">
      <c r="A111">
        <v>110</v>
      </c>
      <c r="B111" s="35" t="s">
        <v>123</v>
      </c>
      <c r="C111" s="29">
        <v>6110</v>
      </c>
      <c r="D111" s="30">
        <v>401008</v>
      </c>
      <c r="E111" s="37" t="s">
        <v>271</v>
      </c>
      <c r="F111" s="2">
        <v>18000000000</v>
      </c>
      <c r="G111">
        <v>108</v>
      </c>
      <c r="H111">
        <v>108000</v>
      </c>
      <c r="I111">
        <v>200</v>
      </c>
      <c r="J111">
        <v>100</v>
      </c>
      <c r="K111">
        <v>1517000</v>
      </c>
      <c r="L111">
        <v>445000</v>
      </c>
      <c r="M111" t="s">
        <v>13</v>
      </c>
    </row>
    <row r="112" spans="1:13">
      <c r="A112">
        <v>111</v>
      </c>
      <c r="B112" s="35" t="s">
        <v>124</v>
      </c>
      <c r="C112" s="29">
        <v>6111</v>
      </c>
      <c r="D112" s="1">
        <v>101409</v>
      </c>
      <c r="E112" s="36" t="s">
        <v>205</v>
      </c>
      <c r="F112" s="2">
        <v>18380000000</v>
      </c>
      <c r="G112">
        <v>108</v>
      </c>
      <c r="H112">
        <v>108000</v>
      </c>
      <c r="I112">
        <v>200</v>
      </c>
      <c r="J112">
        <v>100</v>
      </c>
      <c r="K112">
        <f t="shared" ref="K112:K121" si="1">K111+10000</f>
        <v>1527000</v>
      </c>
      <c r="L112">
        <f t="shared" ref="L112:L121" si="2">L111+5000</f>
        <v>450000</v>
      </c>
      <c r="M112" t="s">
        <v>13</v>
      </c>
    </row>
    <row r="113" spans="1:13" ht="28.5">
      <c r="A113">
        <v>112</v>
      </c>
      <c r="B113" s="35" t="s">
        <v>125</v>
      </c>
      <c r="C113" s="29">
        <v>6112</v>
      </c>
      <c r="D113" s="1">
        <v>101509</v>
      </c>
      <c r="E113" s="36" t="s">
        <v>272</v>
      </c>
      <c r="F113" s="2">
        <v>18760000000</v>
      </c>
      <c r="G113">
        <v>108</v>
      </c>
      <c r="H113">
        <v>108000</v>
      </c>
      <c r="I113">
        <v>200</v>
      </c>
      <c r="J113">
        <v>100</v>
      </c>
      <c r="K113">
        <f t="shared" si="1"/>
        <v>1537000</v>
      </c>
      <c r="L113">
        <f t="shared" si="2"/>
        <v>455000</v>
      </c>
      <c r="M113" t="s">
        <v>13</v>
      </c>
    </row>
    <row r="114" spans="1:13">
      <c r="A114">
        <v>113</v>
      </c>
      <c r="B114" s="35" t="s">
        <v>126</v>
      </c>
      <c r="C114" s="29">
        <v>6113</v>
      </c>
      <c r="D114" s="1">
        <v>101609</v>
      </c>
      <c r="E114" s="36" t="s">
        <v>206</v>
      </c>
      <c r="F114" s="2">
        <v>19140000000</v>
      </c>
      <c r="G114">
        <v>108</v>
      </c>
      <c r="H114">
        <v>108000</v>
      </c>
      <c r="I114">
        <v>200</v>
      </c>
      <c r="J114">
        <v>100</v>
      </c>
      <c r="K114">
        <f t="shared" si="1"/>
        <v>1547000</v>
      </c>
      <c r="L114">
        <f t="shared" si="2"/>
        <v>460000</v>
      </c>
      <c r="M114" t="s">
        <v>13</v>
      </c>
    </row>
    <row r="115" spans="1:13">
      <c r="A115">
        <v>114</v>
      </c>
      <c r="B115" s="35" t="s">
        <v>127</v>
      </c>
      <c r="C115" s="29">
        <v>6114</v>
      </c>
      <c r="D115" s="1">
        <v>101709</v>
      </c>
      <c r="E115" s="36" t="s">
        <v>267</v>
      </c>
      <c r="F115" s="2">
        <v>19520000000</v>
      </c>
      <c r="G115">
        <v>108</v>
      </c>
      <c r="H115">
        <v>108000</v>
      </c>
      <c r="I115">
        <v>200</v>
      </c>
      <c r="J115">
        <v>100</v>
      </c>
      <c r="K115">
        <f t="shared" si="1"/>
        <v>1557000</v>
      </c>
      <c r="L115">
        <f t="shared" si="2"/>
        <v>465000</v>
      </c>
      <c r="M115" t="s">
        <v>13</v>
      </c>
    </row>
    <row r="116" spans="1:13">
      <c r="A116">
        <v>115</v>
      </c>
      <c r="B116" s="35" t="s">
        <v>128</v>
      </c>
      <c r="C116" s="29">
        <v>6115</v>
      </c>
      <c r="D116" s="1">
        <v>101809</v>
      </c>
      <c r="E116" s="36" t="s">
        <v>273</v>
      </c>
      <c r="F116" s="2">
        <v>19900000000</v>
      </c>
      <c r="G116">
        <v>108</v>
      </c>
      <c r="H116">
        <v>108000</v>
      </c>
      <c r="I116">
        <v>200</v>
      </c>
      <c r="J116">
        <v>100</v>
      </c>
      <c r="K116">
        <f t="shared" si="1"/>
        <v>1567000</v>
      </c>
      <c r="L116">
        <f t="shared" si="2"/>
        <v>470000</v>
      </c>
      <c r="M116" t="s">
        <v>13</v>
      </c>
    </row>
    <row r="117" spans="1:13">
      <c r="A117">
        <v>116</v>
      </c>
      <c r="B117" s="35" t="s">
        <v>129</v>
      </c>
      <c r="C117" s="29">
        <v>6116</v>
      </c>
      <c r="D117" s="1">
        <v>102009</v>
      </c>
      <c r="E117" s="36" t="s">
        <v>274</v>
      </c>
      <c r="F117" s="2">
        <v>20280000000</v>
      </c>
      <c r="G117">
        <v>108</v>
      </c>
      <c r="H117">
        <v>108000</v>
      </c>
      <c r="I117">
        <v>200</v>
      </c>
      <c r="J117">
        <v>100</v>
      </c>
      <c r="K117">
        <f t="shared" si="1"/>
        <v>1577000</v>
      </c>
      <c r="L117">
        <f t="shared" si="2"/>
        <v>475000</v>
      </c>
      <c r="M117" t="s">
        <v>13</v>
      </c>
    </row>
    <row r="118" spans="1:13" ht="28.5">
      <c r="A118">
        <v>117</v>
      </c>
      <c r="B118" s="35" t="s">
        <v>130</v>
      </c>
      <c r="C118" s="29">
        <v>6117</v>
      </c>
      <c r="D118" s="1">
        <v>102109</v>
      </c>
      <c r="E118" s="36" t="s">
        <v>268</v>
      </c>
      <c r="F118" s="2">
        <v>20660000000</v>
      </c>
      <c r="G118">
        <v>108</v>
      </c>
      <c r="H118">
        <v>108000</v>
      </c>
      <c r="I118">
        <v>200</v>
      </c>
      <c r="J118">
        <v>100</v>
      </c>
      <c r="K118">
        <f t="shared" si="1"/>
        <v>1587000</v>
      </c>
      <c r="L118">
        <f t="shared" si="2"/>
        <v>480000</v>
      </c>
      <c r="M118" t="s">
        <v>13</v>
      </c>
    </row>
    <row r="119" spans="1:13" ht="28.5">
      <c r="A119">
        <v>118</v>
      </c>
      <c r="B119" s="35" t="s">
        <v>131</v>
      </c>
      <c r="C119" s="29">
        <v>6118</v>
      </c>
      <c r="D119" s="1">
        <v>102209</v>
      </c>
      <c r="E119" s="36" t="s">
        <v>219</v>
      </c>
      <c r="F119" s="2">
        <v>21040000000</v>
      </c>
      <c r="G119">
        <v>108</v>
      </c>
      <c r="H119">
        <v>108000</v>
      </c>
      <c r="I119">
        <v>200</v>
      </c>
      <c r="J119">
        <v>100</v>
      </c>
      <c r="K119">
        <f t="shared" si="1"/>
        <v>1597000</v>
      </c>
      <c r="L119">
        <f t="shared" si="2"/>
        <v>485000</v>
      </c>
      <c r="M119" t="s">
        <v>13</v>
      </c>
    </row>
    <row r="120" spans="1:13" ht="28.5">
      <c r="A120">
        <v>119</v>
      </c>
      <c r="B120" s="35" t="s">
        <v>132</v>
      </c>
      <c r="C120" s="29">
        <v>6119</v>
      </c>
      <c r="D120" s="1">
        <v>102309</v>
      </c>
      <c r="E120" s="36" t="s">
        <v>270</v>
      </c>
      <c r="F120" s="2">
        <v>21420000000</v>
      </c>
      <c r="G120">
        <v>108</v>
      </c>
      <c r="H120">
        <v>108000</v>
      </c>
      <c r="I120">
        <v>200</v>
      </c>
      <c r="J120">
        <v>100</v>
      </c>
      <c r="K120">
        <f t="shared" si="1"/>
        <v>1607000</v>
      </c>
      <c r="L120">
        <f t="shared" si="2"/>
        <v>490000</v>
      </c>
      <c r="M120" t="s">
        <v>13</v>
      </c>
    </row>
    <row r="121" spans="1:13" ht="42.75">
      <c r="A121">
        <v>120</v>
      </c>
      <c r="B121" s="35" t="s">
        <v>133</v>
      </c>
      <c r="C121" s="29">
        <v>6120</v>
      </c>
      <c r="D121" s="1">
        <v>201409</v>
      </c>
      <c r="E121" s="36" t="s">
        <v>222</v>
      </c>
      <c r="F121" s="2">
        <v>21800000000</v>
      </c>
      <c r="G121">
        <v>108</v>
      </c>
      <c r="H121">
        <v>108000</v>
      </c>
      <c r="I121">
        <v>200</v>
      </c>
      <c r="J121">
        <v>100</v>
      </c>
      <c r="K121">
        <f t="shared" si="1"/>
        <v>1617000</v>
      </c>
      <c r="L121">
        <f t="shared" si="2"/>
        <v>495000</v>
      </c>
      <c r="M121" t="s">
        <v>13</v>
      </c>
    </row>
    <row r="122" spans="1:13" ht="42.75">
      <c r="A122">
        <v>121</v>
      </c>
      <c r="B122" s="35" t="s">
        <v>134</v>
      </c>
      <c r="C122" s="29">
        <v>6121</v>
      </c>
      <c r="D122" s="1">
        <v>201509</v>
      </c>
      <c r="E122" s="36" t="s">
        <v>226</v>
      </c>
      <c r="F122" s="2">
        <v>22180000000</v>
      </c>
      <c r="G122">
        <v>108</v>
      </c>
      <c r="H122">
        <v>108000</v>
      </c>
      <c r="I122">
        <v>200</v>
      </c>
      <c r="J122">
        <v>100</v>
      </c>
      <c r="K122">
        <f t="shared" ref="K122:K144" si="3">K121+12000</f>
        <v>1629000</v>
      </c>
      <c r="L122">
        <f>L121+6000</f>
        <v>501000</v>
      </c>
      <c r="M122" t="s">
        <v>13</v>
      </c>
    </row>
    <row r="123" spans="1:13" ht="28.5">
      <c r="A123">
        <v>122</v>
      </c>
      <c r="B123" s="35" t="s">
        <v>135</v>
      </c>
      <c r="C123" s="29">
        <v>6122</v>
      </c>
      <c r="D123" s="1">
        <v>201609</v>
      </c>
      <c r="E123" s="36" t="s">
        <v>275</v>
      </c>
      <c r="F123" s="2">
        <v>22560000000</v>
      </c>
      <c r="G123">
        <v>108</v>
      </c>
      <c r="H123">
        <v>108000</v>
      </c>
      <c r="I123">
        <v>200</v>
      </c>
      <c r="J123">
        <v>100</v>
      </c>
      <c r="K123">
        <f t="shared" si="3"/>
        <v>1641000</v>
      </c>
      <c r="L123">
        <f t="shared" ref="L123:L131" si="4">L122+6000</f>
        <v>507000</v>
      </c>
      <c r="M123" t="s">
        <v>13</v>
      </c>
    </row>
    <row r="124" spans="1:13" ht="42.75">
      <c r="A124">
        <v>123</v>
      </c>
      <c r="B124" s="35" t="s">
        <v>136</v>
      </c>
      <c r="C124" s="29">
        <v>6123</v>
      </c>
      <c r="D124" s="1">
        <v>201709</v>
      </c>
      <c r="E124" s="36" t="s">
        <v>276</v>
      </c>
      <c r="F124" s="2">
        <v>22940000000</v>
      </c>
      <c r="G124">
        <v>108</v>
      </c>
      <c r="H124">
        <v>108000</v>
      </c>
      <c r="I124">
        <v>200</v>
      </c>
      <c r="J124">
        <v>100</v>
      </c>
      <c r="K124">
        <f t="shared" si="3"/>
        <v>1653000</v>
      </c>
      <c r="L124">
        <f t="shared" si="4"/>
        <v>513000</v>
      </c>
      <c r="M124" t="s">
        <v>13</v>
      </c>
    </row>
    <row r="125" spans="1:13" ht="28.5">
      <c r="A125">
        <v>124</v>
      </c>
      <c r="B125" s="35" t="s">
        <v>137</v>
      </c>
      <c r="C125" s="29">
        <v>6124</v>
      </c>
      <c r="D125" s="1">
        <v>201809</v>
      </c>
      <c r="E125" s="36" t="s">
        <v>277</v>
      </c>
      <c r="F125" s="2">
        <v>23320000000</v>
      </c>
      <c r="G125">
        <v>108</v>
      </c>
      <c r="H125">
        <v>108000</v>
      </c>
      <c r="I125">
        <v>200</v>
      </c>
      <c r="J125">
        <v>100</v>
      </c>
      <c r="K125">
        <f t="shared" si="3"/>
        <v>1665000</v>
      </c>
      <c r="L125">
        <f t="shared" si="4"/>
        <v>519000</v>
      </c>
      <c r="M125" t="s">
        <v>13</v>
      </c>
    </row>
    <row r="126" spans="1:13" ht="42.75">
      <c r="A126">
        <v>125</v>
      </c>
      <c r="B126" s="35" t="s">
        <v>138</v>
      </c>
      <c r="C126" s="29">
        <v>6125</v>
      </c>
      <c r="D126" s="1">
        <v>202009</v>
      </c>
      <c r="E126" s="36" t="s">
        <v>278</v>
      </c>
      <c r="F126" s="2">
        <v>23700000000</v>
      </c>
      <c r="G126">
        <v>108</v>
      </c>
      <c r="H126">
        <v>108000</v>
      </c>
      <c r="I126">
        <v>200</v>
      </c>
      <c r="J126">
        <v>100</v>
      </c>
      <c r="K126">
        <f t="shared" si="3"/>
        <v>1677000</v>
      </c>
      <c r="L126">
        <f t="shared" si="4"/>
        <v>525000</v>
      </c>
      <c r="M126" t="s">
        <v>13</v>
      </c>
    </row>
    <row r="127" spans="1:13" ht="42.75">
      <c r="A127">
        <v>126</v>
      </c>
      <c r="B127" s="35" t="s">
        <v>139</v>
      </c>
      <c r="C127" s="29">
        <v>6126</v>
      </c>
      <c r="D127" s="1">
        <v>202109</v>
      </c>
      <c r="E127" s="36" t="s">
        <v>279</v>
      </c>
      <c r="F127" s="2">
        <v>24080000000</v>
      </c>
      <c r="G127">
        <v>108</v>
      </c>
      <c r="H127">
        <v>108000</v>
      </c>
      <c r="I127">
        <v>200</v>
      </c>
      <c r="J127">
        <v>100</v>
      </c>
      <c r="K127">
        <f t="shared" si="3"/>
        <v>1689000</v>
      </c>
      <c r="L127">
        <f t="shared" si="4"/>
        <v>531000</v>
      </c>
      <c r="M127" t="s">
        <v>13</v>
      </c>
    </row>
    <row r="128" spans="1:13" ht="28.5">
      <c r="A128">
        <v>127</v>
      </c>
      <c r="B128" s="35" t="s">
        <v>140</v>
      </c>
      <c r="C128" s="29">
        <v>6127</v>
      </c>
      <c r="D128" s="1">
        <v>202209</v>
      </c>
      <c r="E128" s="36" t="s">
        <v>280</v>
      </c>
      <c r="F128" s="2">
        <v>24460000000</v>
      </c>
      <c r="G128">
        <v>108</v>
      </c>
      <c r="H128">
        <v>108000</v>
      </c>
      <c r="I128">
        <v>200</v>
      </c>
      <c r="J128">
        <v>100</v>
      </c>
      <c r="K128">
        <f t="shared" si="3"/>
        <v>1701000</v>
      </c>
      <c r="L128">
        <f t="shared" si="4"/>
        <v>537000</v>
      </c>
      <c r="M128" t="s">
        <v>13</v>
      </c>
    </row>
    <row r="129" spans="1:13">
      <c r="A129">
        <v>128</v>
      </c>
      <c r="B129" s="35" t="s">
        <v>141</v>
      </c>
      <c r="C129" s="29">
        <v>6128</v>
      </c>
      <c r="D129" s="1">
        <v>202309</v>
      </c>
      <c r="E129" s="36" t="s">
        <v>202</v>
      </c>
      <c r="F129" s="2">
        <v>24840000000</v>
      </c>
      <c r="G129">
        <v>108</v>
      </c>
      <c r="H129">
        <v>108000</v>
      </c>
      <c r="I129">
        <v>200</v>
      </c>
      <c r="J129">
        <v>100</v>
      </c>
      <c r="K129">
        <f t="shared" si="3"/>
        <v>1713000</v>
      </c>
      <c r="L129">
        <f t="shared" si="4"/>
        <v>543000</v>
      </c>
      <c r="M129" t="s">
        <v>13</v>
      </c>
    </row>
    <row r="130" spans="1:13" ht="28.5">
      <c r="A130">
        <v>129</v>
      </c>
      <c r="B130" s="35" t="s">
        <v>142</v>
      </c>
      <c r="C130" s="29">
        <v>6129</v>
      </c>
      <c r="D130" s="1">
        <v>202409</v>
      </c>
      <c r="E130" s="36" t="s">
        <v>269</v>
      </c>
      <c r="F130" s="2">
        <v>25220000000</v>
      </c>
      <c r="G130">
        <v>108</v>
      </c>
      <c r="H130">
        <v>108000</v>
      </c>
      <c r="I130">
        <v>200</v>
      </c>
      <c r="J130">
        <v>100</v>
      </c>
      <c r="K130">
        <f t="shared" si="3"/>
        <v>1725000</v>
      </c>
      <c r="L130">
        <f t="shared" si="4"/>
        <v>549000</v>
      </c>
      <c r="M130" t="s">
        <v>13</v>
      </c>
    </row>
    <row r="131" spans="1:13" ht="28.5">
      <c r="A131">
        <v>130</v>
      </c>
      <c r="B131" s="35" t="s">
        <v>143</v>
      </c>
      <c r="C131" s="29">
        <v>6130</v>
      </c>
      <c r="D131" s="1">
        <v>301409</v>
      </c>
      <c r="E131" s="36" t="s">
        <v>281</v>
      </c>
      <c r="F131" s="2">
        <v>25600000000</v>
      </c>
      <c r="G131">
        <v>108</v>
      </c>
      <c r="H131">
        <v>108000</v>
      </c>
      <c r="I131">
        <v>200</v>
      </c>
      <c r="J131">
        <v>100</v>
      </c>
      <c r="K131">
        <f t="shared" si="3"/>
        <v>1737000</v>
      </c>
      <c r="L131">
        <f t="shared" si="4"/>
        <v>555000</v>
      </c>
      <c r="M131" t="s">
        <v>13</v>
      </c>
    </row>
    <row r="132" spans="1:13">
      <c r="A132">
        <v>131</v>
      </c>
      <c r="B132" s="35" t="s">
        <v>144</v>
      </c>
      <c r="C132" s="29">
        <v>6131</v>
      </c>
      <c r="D132" s="1">
        <v>301509</v>
      </c>
      <c r="E132" s="36" t="s">
        <v>282</v>
      </c>
      <c r="F132" s="2">
        <v>25980000000</v>
      </c>
      <c r="G132">
        <v>108</v>
      </c>
      <c r="H132">
        <v>108000</v>
      </c>
      <c r="I132">
        <v>200</v>
      </c>
      <c r="J132">
        <v>100</v>
      </c>
      <c r="K132">
        <f t="shared" si="3"/>
        <v>1749000</v>
      </c>
      <c r="L132">
        <f t="shared" ref="L132:L188" si="5">L131+6000</f>
        <v>561000</v>
      </c>
      <c r="M132" t="s">
        <v>13</v>
      </c>
    </row>
    <row r="133" spans="1:13" ht="28.5">
      <c r="A133">
        <v>132</v>
      </c>
      <c r="B133" s="35" t="s">
        <v>145</v>
      </c>
      <c r="C133" s="29">
        <v>6132</v>
      </c>
      <c r="D133" s="1">
        <v>301609</v>
      </c>
      <c r="E133" s="36" t="s">
        <v>283</v>
      </c>
      <c r="F133" s="2">
        <v>26360000000</v>
      </c>
      <c r="G133">
        <v>108</v>
      </c>
      <c r="H133">
        <v>108000</v>
      </c>
      <c r="I133">
        <v>200</v>
      </c>
      <c r="J133">
        <v>100</v>
      </c>
      <c r="K133">
        <f t="shared" si="3"/>
        <v>1761000</v>
      </c>
      <c r="L133">
        <f t="shared" si="5"/>
        <v>567000</v>
      </c>
      <c r="M133" t="s">
        <v>13</v>
      </c>
    </row>
    <row r="134" spans="1:13" ht="28.5">
      <c r="A134">
        <v>133</v>
      </c>
      <c r="B134" s="35" t="s">
        <v>146</v>
      </c>
      <c r="C134" s="29">
        <v>6133</v>
      </c>
      <c r="D134" s="1">
        <v>301709</v>
      </c>
      <c r="E134" s="36" t="s">
        <v>284</v>
      </c>
      <c r="F134" s="2">
        <v>26740000000</v>
      </c>
      <c r="G134">
        <v>108</v>
      </c>
      <c r="H134">
        <v>108000</v>
      </c>
      <c r="I134">
        <v>200</v>
      </c>
      <c r="J134">
        <v>100</v>
      </c>
      <c r="K134">
        <f t="shared" si="3"/>
        <v>1773000</v>
      </c>
      <c r="L134">
        <f t="shared" si="5"/>
        <v>573000</v>
      </c>
      <c r="M134" t="s">
        <v>13</v>
      </c>
    </row>
    <row r="135" spans="1:13" ht="28.5">
      <c r="A135">
        <v>134</v>
      </c>
      <c r="B135" s="35" t="s">
        <v>147</v>
      </c>
      <c r="C135" s="29">
        <v>6134</v>
      </c>
      <c r="D135" s="1">
        <v>301809</v>
      </c>
      <c r="E135" s="36" t="s">
        <v>285</v>
      </c>
      <c r="F135" s="2">
        <v>27120000000</v>
      </c>
      <c r="G135">
        <v>108</v>
      </c>
      <c r="H135">
        <v>108000</v>
      </c>
      <c r="I135">
        <v>200</v>
      </c>
      <c r="J135">
        <v>100</v>
      </c>
      <c r="K135">
        <f t="shared" si="3"/>
        <v>1785000</v>
      </c>
      <c r="L135">
        <f t="shared" si="5"/>
        <v>579000</v>
      </c>
      <c r="M135" t="s">
        <v>13</v>
      </c>
    </row>
    <row r="136" spans="1:13">
      <c r="A136">
        <v>135</v>
      </c>
      <c r="B136" s="35" t="s">
        <v>148</v>
      </c>
      <c r="C136" s="29">
        <v>6135</v>
      </c>
      <c r="D136" s="1">
        <v>301909</v>
      </c>
      <c r="E136" s="36" t="s">
        <v>212</v>
      </c>
      <c r="F136" s="2">
        <v>27500000000</v>
      </c>
      <c r="G136">
        <v>108</v>
      </c>
      <c r="H136">
        <v>108000</v>
      </c>
      <c r="I136">
        <v>200</v>
      </c>
      <c r="J136">
        <v>100</v>
      </c>
      <c r="K136">
        <f t="shared" si="3"/>
        <v>1797000</v>
      </c>
      <c r="L136">
        <f t="shared" si="5"/>
        <v>585000</v>
      </c>
      <c r="M136" t="s">
        <v>13</v>
      </c>
    </row>
    <row r="137" spans="1:13">
      <c r="A137">
        <v>136</v>
      </c>
      <c r="B137" s="35" t="s">
        <v>149</v>
      </c>
      <c r="C137" s="29">
        <v>6136</v>
      </c>
      <c r="D137" s="1">
        <v>302009</v>
      </c>
      <c r="E137" s="36" t="s">
        <v>286</v>
      </c>
      <c r="F137" s="2">
        <v>27880000000</v>
      </c>
      <c r="G137">
        <v>108</v>
      </c>
      <c r="H137">
        <v>108000</v>
      </c>
      <c r="I137">
        <v>200</v>
      </c>
      <c r="J137">
        <v>100</v>
      </c>
      <c r="K137">
        <f t="shared" si="3"/>
        <v>1809000</v>
      </c>
      <c r="L137">
        <f t="shared" si="5"/>
        <v>591000</v>
      </c>
      <c r="M137" t="s">
        <v>13</v>
      </c>
    </row>
    <row r="138" spans="1:13" ht="28.5">
      <c r="A138">
        <v>137</v>
      </c>
      <c r="B138" s="35" t="s">
        <v>150</v>
      </c>
      <c r="C138" s="29">
        <v>6137</v>
      </c>
      <c r="D138" s="1">
        <v>302109</v>
      </c>
      <c r="E138" s="36" t="s">
        <v>209</v>
      </c>
      <c r="F138" s="2">
        <v>28260000000</v>
      </c>
      <c r="G138">
        <v>108</v>
      </c>
      <c r="H138">
        <v>108000</v>
      </c>
      <c r="I138">
        <v>200</v>
      </c>
      <c r="J138">
        <v>100</v>
      </c>
      <c r="K138">
        <f t="shared" si="3"/>
        <v>1821000</v>
      </c>
      <c r="L138">
        <f t="shared" si="5"/>
        <v>597000</v>
      </c>
      <c r="M138" t="s">
        <v>13</v>
      </c>
    </row>
    <row r="139" spans="1:13">
      <c r="A139">
        <v>138</v>
      </c>
      <c r="B139" s="35" t="s">
        <v>151</v>
      </c>
      <c r="C139" s="29">
        <v>6138</v>
      </c>
      <c r="D139" s="1">
        <v>302209</v>
      </c>
      <c r="E139" s="36" t="s">
        <v>223</v>
      </c>
      <c r="F139" s="2">
        <v>28640000000</v>
      </c>
      <c r="G139">
        <v>108</v>
      </c>
      <c r="H139">
        <v>108000</v>
      </c>
      <c r="I139">
        <v>200</v>
      </c>
      <c r="J139">
        <v>100</v>
      </c>
      <c r="K139">
        <f t="shared" si="3"/>
        <v>1833000</v>
      </c>
      <c r="L139">
        <f t="shared" si="5"/>
        <v>603000</v>
      </c>
      <c r="M139" t="s">
        <v>13</v>
      </c>
    </row>
    <row r="140" spans="1:13">
      <c r="A140">
        <v>139</v>
      </c>
      <c r="B140" s="35" t="s">
        <v>152</v>
      </c>
      <c r="C140" s="29">
        <v>6139</v>
      </c>
      <c r="D140" s="1">
        <v>400609</v>
      </c>
      <c r="E140" s="36" t="s">
        <v>287</v>
      </c>
      <c r="F140" s="2">
        <v>29020000000</v>
      </c>
      <c r="G140">
        <v>108</v>
      </c>
      <c r="H140">
        <v>108000</v>
      </c>
      <c r="I140">
        <v>200</v>
      </c>
      <c r="J140">
        <v>100</v>
      </c>
      <c r="K140">
        <f t="shared" si="3"/>
        <v>1845000</v>
      </c>
      <c r="L140">
        <f t="shared" si="5"/>
        <v>609000</v>
      </c>
      <c r="M140" t="s">
        <v>13</v>
      </c>
    </row>
    <row r="141" spans="1:13">
      <c r="A141">
        <v>140</v>
      </c>
      <c r="B141" s="35" t="s">
        <v>153</v>
      </c>
      <c r="C141" s="29">
        <v>6140</v>
      </c>
      <c r="D141" s="1">
        <v>400709</v>
      </c>
      <c r="E141" s="36" t="s">
        <v>288</v>
      </c>
      <c r="F141" s="2">
        <v>29400000000</v>
      </c>
      <c r="G141">
        <v>108</v>
      </c>
      <c r="H141">
        <v>108000</v>
      </c>
      <c r="I141">
        <v>200</v>
      </c>
      <c r="J141">
        <v>100</v>
      </c>
      <c r="K141">
        <f t="shared" si="3"/>
        <v>1857000</v>
      </c>
      <c r="L141">
        <f t="shared" si="5"/>
        <v>615000</v>
      </c>
      <c r="M141" t="s">
        <v>13</v>
      </c>
    </row>
    <row r="142" spans="1:13">
      <c r="A142">
        <v>141</v>
      </c>
      <c r="B142" s="35" t="s">
        <v>154</v>
      </c>
      <c r="C142" s="29">
        <v>6141</v>
      </c>
      <c r="D142" s="1">
        <v>400809</v>
      </c>
      <c r="E142" s="36" t="s">
        <v>225</v>
      </c>
      <c r="F142" s="2">
        <v>29780000000</v>
      </c>
      <c r="G142">
        <v>108</v>
      </c>
      <c r="H142">
        <v>108000</v>
      </c>
      <c r="I142">
        <v>200</v>
      </c>
      <c r="J142">
        <v>100</v>
      </c>
      <c r="K142">
        <f t="shared" si="3"/>
        <v>1869000</v>
      </c>
      <c r="L142">
        <f t="shared" si="5"/>
        <v>621000</v>
      </c>
      <c r="M142" t="s">
        <v>13</v>
      </c>
    </row>
    <row r="143" spans="1:13">
      <c r="A143">
        <v>142</v>
      </c>
      <c r="B143" s="35" t="s">
        <v>155</v>
      </c>
      <c r="C143" s="29">
        <v>6142</v>
      </c>
      <c r="D143" s="1">
        <v>400909</v>
      </c>
      <c r="E143" s="36" t="s">
        <v>289</v>
      </c>
      <c r="F143" s="2">
        <v>30160000000</v>
      </c>
      <c r="G143">
        <v>108</v>
      </c>
      <c r="H143">
        <v>108000</v>
      </c>
      <c r="I143">
        <v>200</v>
      </c>
      <c r="J143">
        <v>100</v>
      </c>
      <c r="K143">
        <f t="shared" si="3"/>
        <v>1881000</v>
      </c>
      <c r="L143">
        <f t="shared" si="5"/>
        <v>627000</v>
      </c>
      <c r="M143" t="s">
        <v>13</v>
      </c>
    </row>
    <row r="144" spans="1:13">
      <c r="A144">
        <v>143</v>
      </c>
      <c r="B144" s="35" t="s">
        <v>156</v>
      </c>
      <c r="C144" s="29">
        <v>6143</v>
      </c>
      <c r="D144" s="1">
        <v>401009</v>
      </c>
      <c r="E144" s="36" t="s">
        <v>271</v>
      </c>
      <c r="F144" s="2">
        <v>30540000000</v>
      </c>
      <c r="G144">
        <v>108</v>
      </c>
      <c r="H144">
        <v>108000</v>
      </c>
      <c r="I144">
        <v>200</v>
      </c>
      <c r="J144">
        <v>100</v>
      </c>
      <c r="K144">
        <f t="shared" si="3"/>
        <v>1893000</v>
      </c>
      <c r="L144">
        <f t="shared" si="5"/>
        <v>633000</v>
      </c>
      <c r="M144" t="s">
        <v>13</v>
      </c>
    </row>
    <row r="145" spans="1:13">
      <c r="A145">
        <v>144</v>
      </c>
      <c r="B145" s="35" t="s">
        <v>157</v>
      </c>
      <c r="C145" s="29">
        <v>6144</v>
      </c>
      <c r="D145" s="1">
        <v>401209</v>
      </c>
      <c r="E145" s="36" t="s">
        <v>290</v>
      </c>
      <c r="F145" s="2">
        <v>30920000000</v>
      </c>
      <c r="G145">
        <v>108</v>
      </c>
      <c r="H145">
        <v>108000</v>
      </c>
      <c r="I145">
        <v>200</v>
      </c>
      <c r="J145">
        <v>100</v>
      </c>
      <c r="K145">
        <f t="shared" ref="K145:K188" si="6">K144+12000</f>
        <v>1905000</v>
      </c>
      <c r="L145">
        <f t="shared" si="5"/>
        <v>639000</v>
      </c>
      <c r="M145" t="s">
        <v>13</v>
      </c>
    </row>
    <row r="146" spans="1:13">
      <c r="A146">
        <v>145</v>
      </c>
      <c r="B146" s="35" t="s">
        <v>158</v>
      </c>
      <c r="C146" s="29">
        <v>6145</v>
      </c>
      <c r="D146" s="1">
        <v>401309</v>
      </c>
      <c r="E146" s="36" t="s">
        <v>291</v>
      </c>
      <c r="F146" s="2">
        <v>31300000000</v>
      </c>
      <c r="G146">
        <v>108</v>
      </c>
      <c r="H146">
        <v>108000</v>
      </c>
      <c r="I146">
        <v>200</v>
      </c>
      <c r="J146">
        <v>100</v>
      </c>
      <c r="K146">
        <f t="shared" si="6"/>
        <v>1917000</v>
      </c>
      <c r="L146">
        <f t="shared" si="5"/>
        <v>645000</v>
      </c>
      <c r="M146" t="s">
        <v>13</v>
      </c>
    </row>
    <row r="147" spans="1:13" ht="28.5">
      <c r="A147">
        <v>146</v>
      </c>
      <c r="B147" s="35" t="s">
        <v>159</v>
      </c>
      <c r="C147" s="29">
        <v>6146</v>
      </c>
      <c r="D147" s="1">
        <v>401409</v>
      </c>
      <c r="E147" s="36" t="s">
        <v>292</v>
      </c>
      <c r="F147" s="2">
        <v>31680000000</v>
      </c>
      <c r="G147">
        <v>108</v>
      </c>
      <c r="H147">
        <v>108000</v>
      </c>
      <c r="I147">
        <v>200</v>
      </c>
      <c r="J147">
        <v>100</v>
      </c>
      <c r="K147">
        <f t="shared" si="6"/>
        <v>1929000</v>
      </c>
      <c r="L147">
        <f t="shared" si="5"/>
        <v>651000</v>
      </c>
      <c r="M147" t="s">
        <v>13</v>
      </c>
    </row>
    <row r="148" spans="1:13">
      <c r="A148">
        <v>147</v>
      </c>
      <c r="B148" s="35" t="s">
        <v>160</v>
      </c>
      <c r="C148" s="29">
        <v>6147</v>
      </c>
      <c r="D148" s="1">
        <v>500609</v>
      </c>
      <c r="E148" s="36" t="s">
        <v>293</v>
      </c>
      <c r="F148" s="2">
        <v>32060000000</v>
      </c>
      <c r="G148">
        <v>108</v>
      </c>
      <c r="H148">
        <v>108000</v>
      </c>
      <c r="I148">
        <v>200</v>
      </c>
      <c r="J148">
        <v>100</v>
      </c>
      <c r="K148">
        <f t="shared" si="6"/>
        <v>1941000</v>
      </c>
      <c r="L148">
        <f t="shared" si="5"/>
        <v>657000</v>
      </c>
      <c r="M148" t="s">
        <v>13</v>
      </c>
    </row>
    <row r="149" spans="1:13">
      <c r="A149">
        <v>148</v>
      </c>
      <c r="B149" s="35" t="s">
        <v>161</v>
      </c>
      <c r="C149" s="29">
        <v>6148</v>
      </c>
      <c r="D149" s="1">
        <v>500709</v>
      </c>
      <c r="E149" s="36" t="s">
        <v>294</v>
      </c>
      <c r="F149" s="2">
        <v>32440000000</v>
      </c>
      <c r="G149">
        <v>108</v>
      </c>
      <c r="H149">
        <v>108000</v>
      </c>
      <c r="I149">
        <v>200</v>
      </c>
      <c r="J149">
        <v>100</v>
      </c>
      <c r="K149">
        <f t="shared" si="6"/>
        <v>1953000</v>
      </c>
      <c r="L149">
        <f t="shared" si="5"/>
        <v>663000</v>
      </c>
      <c r="M149" t="s">
        <v>13</v>
      </c>
    </row>
    <row r="150" spans="1:13">
      <c r="A150">
        <v>149</v>
      </c>
      <c r="B150" s="35" t="s">
        <v>162</v>
      </c>
      <c r="C150" s="29">
        <v>6149</v>
      </c>
      <c r="D150" s="1">
        <v>500809</v>
      </c>
      <c r="E150" s="36" t="s">
        <v>265</v>
      </c>
      <c r="F150" s="2">
        <v>32820000000</v>
      </c>
      <c r="G150">
        <v>108</v>
      </c>
      <c r="H150">
        <v>108000</v>
      </c>
      <c r="I150">
        <v>200</v>
      </c>
      <c r="J150">
        <v>100</v>
      </c>
      <c r="K150">
        <f t="shared" si="6"/>
        <v>1965000</v>
      </c>
      <c r="L150">
        <f t="shared" si="5"/>
        <v>669000</v>
      </c>
      <c r="M150" t="s">
        <v>13</v>
      </c>
    </row>
    <row r="151" spans="1:13" ht="28.5">
      <c r="A151">
        <v>150</v>
      </c>
      <c r="B151" s="35" t="s">
        <v>163</v>
      </c>
      <c r="C151" s="29">
        <v>6150</v>
      </c>
      <c r="D151" s="1">
        <v>500909</v>
      </c>
      <c r="E151" s="36" t="s">
        <v>295</v>
      </c>
      <c r="F151" s="2">
        <v>33200000000</v>
      </c>
      <c r="G151">
        <v>108</v>
      </c>
      <c r="H151">
        <v>108000</v>
      </c>
      <c r="I151">
        <v>200</v>
      </c>
      <c r="J151">
        <v>100</v>
      </c>
      <c r="K151">
        <f t="shared" si="6"/>
        <v>1977000</v>
      </c>
      <c r="L151">
        <f t="shared" si="5"/>
        <v>675000</v>
      </c>
      <c r="M151" t="s">
        <v>13</v>
      </c>
    </row>
    <row r="152" spans="1:13" ht="28.5">
      <c r="A152">
        <v>151</v>
      </c>
      <c r="B152" s="35" t="s">
        <v>164</v>
      </c>
      <c r="C152" s="29">
        <v>6151</v>
      </c>
      <c r="D152" s="1">
        <v>501009</v>
      </c>
      <c r="E152" s="36" t="s">
        <v>204</v>
      </c>
      <c r="F152" s="2">
        <v>33580000000</v>
      </c>
      <c r="G152">
        <v>108</v>
      </c>
      <c r="H152">
        <v>108000</v>
      </c>
      <c r="I152">
        <v>200</v>
      </c>
      <c r="J152">
        <v>100</v>
      </c>
      <c r="K152">
        <f t="shared" si="6"/>
        <v>1989000</v>
      </c>
      <c r="L152">
        <f t="shared" si="5"/>
        <v>681000</v>
      </c>
      <c r="M152" t="s">
        <v>13</v>
      </c>
    </row>
    <row r="153" spans="1:13">
      <c r="A153">
        <v>152</v>
      </c>
      <c r="B153" s="35" t="s">
        <v>165</v>
      </c>
      <c r="C153" s="29">
        <v>6152</v>
      </c>
      <c r="D153" s="1">
        <v>501109</v>
      </c>
      <c r="E153" s="36" t="s">
        <v>215</v>
      </c>
      <c r="F153" s="2">
        <v>33960000000</v>
      </c>
      <c r="G153">
        <v>108</v>
      </c>
      <c r="H153">
        <v>108000</v>
      </c>
      <c r="I153">
        <v>200</v>
      </c>
      <c r="J153">
        <v>100</v>
      </c>
      <c r="K153">
        <f t="shared" si="6"/>
        <v>2001000</v>
      </c>
      <c r="L153">
        <f t="shared" si="5"/>
        <v>687000</v>
      </c>
      <c r="M153" t="s">
        <v>13</v>
      </c>
    </row>
    <row r="154" spans="1:13" ht="42.75">
      <c r="A154">
        <v>153</v>
      </c>
      <c r="B154" s="35" t="s">
        <v>166</v>
      </c>
      <c r="C154" s="29">
        <v>6153</v>
      </c>
      <c r="D154" s="1">
        <v>501209</v>
      </c>
      <c r="E154" s="36" t="s">
        <v>296</v>
      </c>
      <c r="F154" s="2">
        <v>34340000000</v>
      </c>
      <c r="G154">
        <v>108</v>
      </c>
      <c r="H154">
        <v>108000</v>
      </c>
      <c r="I154">
        <v>200</v>
      </c>
      <c r="J154">
        <v>100</v>
      </c>
      <c r="K154">
        <f t="shared" si="6"/>
        <v>2013000</v>
      </c>
      <c r="L154">
        <f t="shared" si="5"/>
        <v>693000</v>
      </c>
      <c r="M154" t="s">
        <v>13</v>
      </c>
    </row>
    <row r="155" spans="1:13">
      <c r="A155">
        <v>154</v>
      </c>
      <c r="B155" s="35" t="s">
        <v>167</v>
      </c>
      <c r="C155" s="29">
        <v>6154</v>
      </c>
      <c r="D155" s="1">
        <v>501309</v>
      </c>
      <c r="E155" s="36" t="s">
        <v>266</v>
      </c>
      <c r="F155" s="2">
        <v>34720000000</v>
      </c>
      <c r="G155">
        <v>108</v>
      </c>
      <c r="H155">
        <v>108000</v>
      </c>
      <c r="I155">
        <v>200</v>
      </c>
      <c r="J155">
        <v>100</v>
      </c>
      <c r="K155">
        <f t="shared" si="6"/>
        <v>2025000</v>
      </c>
      <c r="L155">
        <f t="shared" si="5"/>
        <v>699000</v>
      </c>
      <c r="M155" t="s">
        <v>13</v>
      </c>
    </row>
    <row r="156" spans="1:13">
      <c r="A156">
        <v>155</v>
      </c>
      <c r="B156" s="35" t="s">
        <v>168</v>
      </c>
      <c r="C156" s="29">
        <v>6155</v>
      </c>
      <c r="D156" s="1">
        <v>501409</v>
      </c>
      <c r="E156" s="36" t="s">
        <v>297</v>
      </c>
      <c r="F156" s="2">
        <v>35100000000</v>
      </c>
      <c r="G156">
        <v>108</v>
      </c>
      <c r="H156">
        <v>108000</v>
      </c>
      <c r="I156">
        <v>200</v>
      </c>
      <c r="J156">
        <v>100</v>
      </c>
      <c r="K156">
        <f t="shared" si="6"/>
        <v>2037000</v>
      </c>
      <c r="L156">
        <f t="shared" si="5"/>
        <v>705000</v>
      </c>
      <c r="M156" t="s">
        <v>13</v>
      </c>
    </row>
    <row r="157" spans="1:13">
      <c r="A157">
        <v>156</v>
      </c>
      <c r="B157" s="35" t="s">
        <v>169</v>
      </c>
      <c r="C157" s="29">
        <v>6156</v>
      </c>
      <c r="D157" s="31">
        <v>400609</v>
      </c>
      <c r="E157" s="36" t="s">
        <v>287</v>
      </c>
      <c r="F157" s="2">
        <v>35480000000</v>
      </c>
      <c r="G157">
        <v>108</v>
      </c>
      <c r="H157">
        <v>108000</v>
      </c>
      <c r="I157">
        <v>200</v>
      </c>
      <c r="J157">
        <v>100</v>
      </c>
      <c r="K157">
        <f t="shared" si="6"/>
        <v>2049000</v>
      </c>
      <c r="L157">
        <f t="shared" si="5"/>
        <v>711000</v>
      </c>
      <c r="M157" t="s">
        <v>13</v>
      </c>
    </row>
    <row r="158" spans="1:13">
      <c r="A158">
        <v>157</v>
      </c>
      <c r="B158" s="35" t="s">
        <v>170</v>
      </c>
      <c r="C158" s="29">
        <v>6157</v>
      </c>
      <c r="D158" s="32">
        <v>401209</v>
      </c>
      <c r="E158" s="36" t="s">
        <v>290</v>
      </c>
      <c r="F158" s="2">
        <v>35860000000</v>
      </c>
      <c r="G158">
        <v>108</v>
      </c>
      <c r="H158">
        <v>108000</v>
      </c>
      <c r="I158">
        <v>200</v>
      </c>
      <c r="J158">
        <v>100</v>
      </c>
      <c r="K158">
        <f t="shared" si="6"/>
        <v>2061000</v>
      </c>
      <c r="L158">
        <f t="shared" si="5"/>
        <v>717000</v>
      </c>
      <c r="M158" t="s">
        <v>13</v>
      </c>
    </row>
    <row r="159" spans="1:13" ht="28.5">
      <c r="A159">
        <v>158</v>
      </c>
      <c r="B159" s="35" t="s">
        <v>171</v>
      </c>
      <c r="C159" s="29">
        <v>6158</v>
      </c>
      <c r="D159" s="32">
        <v>401409</v>
      </c>
      <c r="E159" s="36" t="s">
        <v>292</v>
      </c>
      <c r="F159" s="2">
        <v>36240000000</v>
      </c>
      <c r="G159">
        <v>108</v>
      </c>
      <c r="H159">
        <v>108000</v>
      </c>
      <c r="I159">
        <v>200</v>
      </c>
      <c r="J159">
        <v>100</v>
      </c>
      <c r="K159">
        <f t="shared" si="6"/>
        <v>2073000</v>
      </c>
      <c r="L159">
        <f t="shared" si="5"/>
        <v>723000</v>
      </c>
      <c r="M159" t="s">
        <v>13</v>
      </c>
    </row>
    <row r="160" spans="1:13">
      <c r="A160">
        <v>159</v>
      </c>
      <c r="B160" s="35" t="s">
        <v>172</v>
      </c>
      <c r="C160" s="29">
        <v>6159</v>
      </c>
      <c r="D160" s="33">
        <v>500709</v>
      </c>
      <c r="E160" s="36" t="s">
        <v>294</v>
      </c>
      <c r="F160" s="2">
        <v>36620000000</v>
      </c>
      <c r="G160">
        <v>108</v>
      </c>
      <c r="H160">
        <v>108000</v>
      </c>
      <c r="I160">
        <v>200</v>
      </c>
      <c r="J160">
        <v>100</v>
      </c>
      <c r="K160">
        <f t="shared" si="6"/>
        <v>2085000</v>
      </c>
      <c r="L160">
        <f t="shared" si="5"/>
        <v>729000</v>
      </c>
      <c r="M160" t="s">
        <v>13</v>
      </c>
    </row>
    <row r="161" spans="1:13">
      <c r="A161">
        <v>160</v>
      </c>
      <c r="B161" s="35" t="s">
        <v>173</v>
      </c>
      <c r="C161" s="29">
        <v>6160</v>
      </c>
      <c r="D161" s="34">
        <v>501409</v>
      </c>
      <c r="E161" s="36" t="s">
        <v>297</v>
      </c>
      <c r="F161" s="2">
        <v>37000000000</v>
      </c>
      <c r="G161">
        <v>108</v>
      </c>
      <c r="H161">
        <v>108000</v>
      </c>
      <c r="I161">
        <v>200</v>
      </c>
      <c r="J161">
        <v>100</v>
      </c>
      <c r="K161">
        <f t="shared" si="6"/>
        <v>2097000</v>
      </c>
      <c r="L161">
        <f t="shared" si="5"/>
        <v>735000</v>
      </c>
      <c r="M161" t="s">
        <v>13</v>
      </c>
    </row>
    <row r="162" spans="1:13">
      <c r="A162">
        <v>161</v>
      </c>
      <c r="B162" s="35" t="s">
        <v>174</v>
      </c>
      <c r="C162" s="29">
        <v>6161</v>
      </c>
      <c r="D162" s="1">
        <v>400609</v>
      </c>
      <c r="E162" s="36" t="s">
        <v>287</v>
      </c>
      <c r="F162" s="3">
        <v>37380000000</v>
      </c>
      <c r="G162">
        <v>108</v>
      </c>
      <c r="H162">
        <v>108000</v>
      </c>
      <c r="I162">
        <v>200</v>
      </c>
      <c r="J162">
        <v>100</v>
      </c>
      <c r="K162">
        <f t="shared" si="6"/>
        <v>2109000</v>
      </c>
      <c r="L162">
        <f t="shared" si="5"/>
        <v>741000</v>
      </c>
      <c r="M162" t="s">
        <v>13</v>
      </c>
    </row>
    <row r="163" spans="1:13">
      <c r="A163">
        <v>162</v>
      </c>
      <c r="B163" s="35" t="s">
        <v>175</v>
      </c>
      <c r="C163" s="29">
        <v>6162</v>
      </c>
      <c r="D163" s="1">
        <v>400809</v>
      </c>
      <c r="E163" s="36" t="s">
        <v>225</v>
      </c>
      <c r="F163" s="3">
        <v>37760000000</v>
      </c>
      <c r="G163">
        <v>108</v>
      </c>
      <c r="H163">
        <v>108000</v>
      </c>
      <c r="I163">
        <v>200</v>
      </c>
      <c r="J163">
        <v>100</v>
      </c>
      <c r="K163">
        <f t="shared" si="6"/>
        <v>2121000</v>
      </c>
      <c r="L163">
        <f t="shared" si="5"/>
        <v>747000</v>
      </c>
      <c r="M163" t="s">
        <v>13</v>
      </c>
    </row>
    <row r="164" spans="1:13">
      <c r="A164">
        <v>163</v>
      </c>
      <c r="B164" s="35" t="s">
        <v>176</v>
      </c>
      <c r="C164" s="29">
        <v>6163</v>
      </c>
      <c r="D164" s="1">
        <v>401009</v>
      </c>
      <c r="E164" s="36" t="s">
        <v>271</v>
      </c>
      <c r="F164" s="3">
        <v>38140000000</v>
      </c>
      <c r="G164">
        <v>108</v>
      </c>
      <c r="H164">
        <v>108000</v>
      </c>
      <c r="I164">
        <v>200</v>
      </c>
      <c r="J164">
        <v>100</v>
      </c>
      <c r="K164">
        <f t="shared" si="6"/>
        <v>2133000</v>
      </c>
      <c r="L164">
        <f t="shared" si="5"/>
        <v>753000</v>
      </c>
      <c r="M164" t="s">
        <v>13</v>
      </c>
    </row>
    <row r="165" spans="1:13">
      <c r="A165">
        <v>164</v>
      </c>
      <c r="B165" s="35" t="s">
        <v>177</v>
      </c>
      <c r="C165" s="29">
        <v>6164</v>
      </c>
      <c r="D165" s="1">
        <v>302409</v>
      </c>
      <c r="E165" s="36" t="s">
        <v>298</v>
      </c>
      <c r="F165" s="3">
        <v>38520000000</v>
      </c>
      <c r="G165">
        <v>108</v>
      </c>
      <c r="H165">
        <v>108000</v>
      </c>
      <c r="I165">
        <v>200</v>
      </c>
      <c r="J165">
        <v>100</v>
      </c>
      <c r="K165">
        <f t="shared" si="6"/>
        <v>2145000</v>
      </c>
      <c r="L165">
        <f t="shared" si="5"/>
        <v>759000</v>
      </c>
      <c r="M165" t="s">
        <v>13</v>
      </c>
    </row>
    <row r="166" spans="1:13">
      <c r="A166">
        <v>165</v>
      </c>
      <c r="B166" s="35" t="s">
        <v>178</v>
      </c>
      <c r="C166" s="29">
        <v>6165</v>
      </c>
      <c r="D166" s="1">
        <v>401209</v>
      </c>
      <c r="E166" s="36" t="s">
        <v>290</v>
      </c>
      <c r="F166" s="3">
        <v>38900000000</v>
      </c>
      <c r="G166">
        <v>108</v>
      </c>
      <c r="H166">
        <v>108000</v>
      </c>
      <c r="I166">
        <v>200</v>
      </c>
      <c r="J166">
        <v>100</v>
      </c>
      <c r="K166">
        <f t="shared" si="6"/>
        <v>2157000</v>
      </c>
      <c r="L166">
        <f t="shared" si="5"/>
        <v>765000</v>
      </c>
      <c r="M166" t="s">
        <v>13</v>
      </c>
    </row>
    <row r="167" spans="1:13">
      <c r="A167">
        <v>166</v>
      </c>
      <c r="B167" s="35" t="s">
        <v>179</v>
      </c>
      <c r="C167" s="29">
        <v>6166</v>
      </c>
      <c r="D167" s="1">
        <v>401309</v>
      </c>
      <c r="E167" s="36" t="s">
        <v>291</v>
      </c>
      <c r="F167" s="3">
        <v>39280000000</v>
      </c>
      <c r="G167">
        <v>108</v>
      </c>
      <c r="H167">
        <v>108000</v>
      </c>
      <c r="I167">
        <v>200</v>
      </c>
      <c r="J167">
        <v>100</v>
      </c>
      <c r="K167">
        <f t="shared" si="6"/>
        <v>2169000</v>
      </c>
      <c r="L167">
        <f t="shared" si="5"/>
        <v>771000</v>
      </c>
      <c r="M167" t="s">
        <v>13</v>
      </c>
    </row>
    <row r="168" spans="1:13" ht="28.5">
      <c r="A168">
        <v>167</v>
      </c>
      <c r="B168" s="35" t="s">
        <v>180</v>
      </c>
      <c r="C168" s="29">
        <v>6167</v>
      </c>
      <c r="D168" s="1">
        <v>401409</v>
      </c>
      <c r="E168" s="36" t="s">
        <v>292</v>
      </c>
      <c r="F168" s="3">
        <v>39660000000</v>
      </c>
      <c r="G168">
        <v>108</v>
      </c>
      <c r="H168">
        <v>108000</v>
      </c>
      <c r="I168">
        <v>200</v>
      </c>
      <c r="J168">
        <v>100</v>
      </c>
      <c r="K168">
        <f t="shared" si="6"/>
        <v>2181000</v>
      </c>
      <c r="L168">
        <f t="shared" si="5"/>
        <v>777000</v>
      </c>
      <c r="M168" t="s">
        <v>13</v>
      </c>
    </row>
    <row r="169" spans="1:13">
      <c r="A169">
        <v>168</v>
      </c>
      <c r="B169" s="35" t="s">
        <v>181</v>
      </c>
      <c r="C169" s="29">
        <v>6168</v>
      </c>
      <c r="D169" s="1">
        <v>401509</v>
      </c>
      <c r="E169" s="36" t="s">
        <v>299</v>
      </c>
      <c r="F169" s="3">
        <v>40040000000</v>
      </c>
      <c r="G169">
        <v>108</v>
      </c>
      <c r="H169">
        <v>108000</v>
      </c>
      <c r="I169">
        <v>200</v>
      </c>
      <c r="J169">
        <v>100</v>
      </c>
      <c r="K169">
        <f t="shared" si="6"/>
        <v>2193000</v>
      </c>
      <c r="L169">
        <f t="shared" si="5"/>
        <v>783000</v>
      </c>
      <c r="M169" t="s">
        <v>13</v>
      </c>
    </row>
    <row r="170" spans="1:13">
      <c r="A170">
        <v>169</v>
      </c>
      <c r="B170" s="35" t="s">
        <v>182</v>
      </c>
      <c r="C170" s="29">
        <v>6169</v>
      </c>
      <c r="D170" s="1">
        <v>401609</v>
      </c>
      <c r="E170" s="36" t="s">
        <v>300</v>
      </c>
      <c r="F170" s="3">
        <v>40420000000</v>
      </c>
      <c r="G170">
        <v>108</v>
      </c>
      <c r="H170">
        <v>108000</v>
      </c>
      <c r="I170">
        <v>200</v>
      </c>
      <c r="J170">
        <v>100</v>
      </c>
      <c r="K170">
        <f t="shared" si="6"/>
        <v>2205000</v>
      </c>
      <c r="L170">
        <f t="shared" si="5"/>
        <v>789000</v>
      </c>
      <c r="M170" t="s">
        <v>13</v>
      </c>
    </row>
    <row r="171" spans="1:13" ht="28.5">
      <c r="A171">
        <v>170</v>
      </c>
      <c r="B171" s="35" t="s">
        <v>183</v>
      </c>
      <c r="C171" s="29">
        <v>6170</v>
      </c>
      <c r="D171" s="1">
        <v>401709</v>
      </c>
      <c r="E171" s="36" t="s">
        <v>301</v>
      </c>
      <c r="F171" s="3">
        <v>40800000000</v>
      </c>
      <c r="G171">
        <v>108</v>
      </c>
      <c r="H171">
        <v>108000</v>
      </c>
      <c r="I171">
        <v>200</v>
      </c>
      <c r="J171">
        <v>100</v>
      </c>
      <c r="K171">
        <f t="shared" si="6"/>
        <v>2217000</v>
      </c>
      <c r="L171">
        <f t="shared" si="5"/>
        <v>795000</v>
      </c>
      <c r="M171" t="s">
        <v>13</v>
      </c>
    </row>
    <row r="172" spans="1:13" ht="28.5">
      <c r="A172">
        <v>171</v>
      </c>
      <c r="B172" s="35" t="s">
        <v>184</v>
      </c>
      <c r="C172" s="29">
        <v>6171</v>
      </c>
      <c r="D172" s="1">
        <v>401809</v>
      </c>
      <c r="E172" s="36" t="s">
        <v>302</v>
      </c>
      <c r="F172" s="3">
        <v>41180000000</v>
      </c>
      <c r="G172">
        <v>108</v>
      </c>
      <c r="H172">
        <v>108000</v>
      </c>
      <c r="I172">
        <v>200</v>
      </c>
      <c r="J172">
        <v>100</v>
      </c>
      <c r="K172">
        <f t="shared" si="6"/>
        <v>2229000</v>
      </c>
      <c r="L172">
        <f t="shared" si="5"/>
        <v>801000</v>
      </c>
      <c r="M172" t="s">
        <v>13</v>
      </c>
    </row>
    <row r="173" spans="1:13" ht="28.5">
      <c r="A173">
        <v>172</v>
      </c>
      <c r="B173" s="35" t="s">
        <v>185</v>
      </c>
      <c r="C173" s="29">
        <v>6172</v>
      </c>
      <c r="D173" s="1">
        <v>401909</v>
      </c>
      <c r="E173" s="36" t="s">
        <v>303</v>
      </c>
      <c r="F173" s="3">
        <v>41560000000</v>
      </c>
      <c r="G173">
        <v>108</v>
      </c>
      <c r="H173">
        <v>108000</v>
      </c>
      <c r="I173">
        <v>200</v>
      </c>
      <c r="J173">
        <v>100</v>
      </c>
      <c r="K173">
        <f t="shared" si="6"/>
        <v>2241000</v>
      </c>
      <c r="L173">
        <f t="shared" si="5"/>
        <v>807000</v>
      </c>
      <c r="M173" t="s">
        <v>13</v>
      </c>
    </row>
    <row r="174" spans="1:13">
      <c r="A174">
        <v>173</v>
      </c>
      <c r="B174" s="35" t="s">
        <v>186</v>
      </c>
      <c r="C174" s="29">
        <v>6173</v>
      </c>
      <c r="D174" s="1">
        <v>500609</v>
      </c>
      <c r="E174" s="36" t="s">
        <v>293</v>
      </c>
      <c r="F174" s="3">
        <v>41940000000</v>
      </c>
      <c r="G174">
        <v>108</v>
      </c>
      <c r="H174">
        <v>108000</v>
      </c>
      <c r="I174">
        <v>200</v>
      </c>
      <c r="J174">
        <v>100</v>
      </c>
      <c r="K174">
        <f t="shared" si="6"/>
        <v>2253000</v>
      </c>
      <c r="L174">
        <f t="shared" si="5"/>
        <v>813000</v>
      </c>
      <c r="M174" t="s">
        <v>13</v>
      </c>
    </row>
    <row r="175" spans="1:13">
      <c r="A175">
        <v>174</v>
      </c>
      <c r="B175" s="35" t="s">
        <v>187</v>
      </c>
      <c r="C175" s="29">
        <v>6174</v>
      </c>
      <c r="D175" s="1">
        <v>500709</v>
      </c>
      <c r="E175" s="36" t="s">
        <v>294</v>
      </c>
      <c r="F175" s="3">
        <v>42320000000</v>
      </c>
      <c r="G175">
        <v>108</v>
      </c>
      <c r="H175">
        <v>108000</v>
      </c>
      <c r="I175">
        <v>200</v>
      </c>
      <c r="J175">
        <v>100</v>
      </c>
      <c r="K175">
        <f t="shared" si="6"/>
        <v>2265000</v>
      </c>
      <c r="L175">
        <f t="shared" si="5"/>
        <v>819000</v>
      </c>
      <c r="M175" t="s">
        <v>13</v>
      </c>
    </row>
    <row r="176" spans="1:13">
      <c r="A176">
        <v>175</v>
      </c>
      <c r="B176" s="35" t="s">
        <v>188</v>
      </c>
      <c r="C176" s="29">
        <v>6175</v>
      </c>
      <c r="D176" s="1">
        <v>500809</v>
      </c>
      <c r="E176" s="36" t="s">
        <v>265</v>
      </c>
      <c r="F176" s="3">
        <v>42700000000</v>
      </c>
      <c r="G176">
        <v>108</v>
      </c>
      <c r="H176">
        <v>108000</v>
      </c>
      <c r="I176">
        <v>200</v>
      </c>
      <c r="J176">
        <v>100</v>
      </c>
      <c r="K176">
        <f t="shared" si="6"/>
        <v>2277000</v>
      </c>
      <c r="L176">
        <f t="shared" si="5"/>
        <v>825000</v>
      </c>
      <c r="M176" t="s">
        <v>13</v>
      </c>
    </row>
    <row r="177" spans="1:13" ht="28.5">
      <c r="A177">
        <v>176</v>
      </c>
      <c r="B177" s="35" t="s">
        <v>189</v>
      </c>
      <c r="C177" s="29">
        <v>6176</v>
      </c>
      <c r="D177" s="1">
        <v>500909</v>
      </c>
      <c r="E177" s="36" t="s">
        <v>295</v>
      </c>
      <c r="F177" s="3">
        <v>43080000000</v>
      </c>
      <c r="G177">
        <v>108</v>
      </c>
      <c r="H177">
        <v>108000</v>
      </c>
      <c r="I177">
        <v>200</v>
      </c>
      <c r="J177">
        <v>100</v>
      </c>
      <c r="K177">
        <f t="shared" si="6"/>
        <v>2289000</v>
      </c>
      <c r="L177">
        <f t="shared" si="5"/>
        <v>831000</v>
      </c>
      <c r="M177" t="s">
        <v>13</v>
      </c>
    </row>
    <row r="178" spans="1:13" ht="28.5">
      <c r="A178">
        <v>177</v>
      </c>
      <c r="B178" s="35" t="s">
        <v>190</v>
      </c>
      <c r="C178" s="29">
        <v>6177</v>
      </c>
      <c r="D178" s="1">
        <v>501009</v>
      </c>
      <c r="E178" s="36" t="s">
        <v>204</v>
      </c>
      <c r="F178" s="3">
        <v>43460000000</v>
      </c>
      <c r="G178">
        <v>108</v>
      </c>
      <c r="H178">
        <v>108000</v>
      </c>
      <c r="I178">
        <v>200</v>
      </c>
      <c r="J178">
        <v>100</v>
      </c>
      <c r="K178">
        <f t="shared" si="6"/>
        <v>2301000</v>
      </c>
      <c r="L178">
        <f t="shared" si="5"/>
        <v>837000</v>
      </c>
      <c r="M178" t="s">
        <v>13</v>
      </c>
    </row>
    <row r="179" spans="1:13">
      <c r="A179">
        <v>178</v>
      </c>
      <c r="B179" s="35" t="s">
        <v>191</v>
      </c>
      <c r="C179" s="29">
        <v>6178</v>
      </c>
      <c r="D179" s="1">
        <v>501109</v>
      </c>
      <c r="E179" s="36" t="s">
        <v>215</v>
      </c>
      <c r="F179" s="3">
        <v>43840000000</v>
      </c>
      <c r="G179">
        <v>108</v>
      </c>
      <c r="H179">
        <v>108000</v>
      </c>
      <c r="I179">
        <v>200</v>
      </c>
      <c r="J179">
        <v>100</v>
      </c>
      <c r="K179">
        <f t="shared" si="6"/>
        <v>2313000</v>
      </c>
      <c r="L179">
        <f t="shared" si="5"/>
        <v>843000</v>
      </c>
      <c r="M179" t="s">
        <v>13</v>
      </c>
    </row>
    <row r="180" spans="1:13" ht="42.75">
      <c r="A180">
        <v>179</v>
      </c>
      <c r="B180" s="35" t="s">
        <v>192</v>
      </c>
      <c r="C180" s="29">
        <v>6179</v>
      </c>
      <c r="D180" s="1">
        <v>501209</v>
      </c>
      <c r="E180" s="36" t="s">
        <v>296</v>
      </c>
      <c r="F180" s="3">
        <v>44220000000</v>
      </c>
      <c r="G180">
        <v>108</v>
      </c>
      <c r="H180">
        <v>108000</v>
      </c>
      <c r="I180">
        <v>200</v>
      </c>
      <c r="J180">
        <v>100</v>
      </c>
      <c r="K180">
        <f t="shared" si="6"/>
        <v>2325000</v>
      </c>
      <c r="L180">
        <f t="shared" si="5"/>
        <v>849000</v>
      </c>
      <c r="M180" t="s">
        <v>13</v>
      </c>
    </row>
    <row r="181" spans="1:13">
      <c r="A181">
        <v>180</v>
      </c>
      <c r="B181" s="35" t="s">
        <v>193</v>
      </c>
      <c r="C181" s="29">
        <v>6180</v>
      </c>
      <c r="D181" s="1">
        <v>501309</v>
      </c>
      <c r="E181" s="36" t="s">
        <v>266</v>
      </c>
      <c r="F181" s="3">
        <v>44600000000</v>
      </c>
      <c r="G181">
        <v>108</v>
      </c>
      <c r="H181">
        <v>108000</v>
      </c>
      <c r="I181">
        <v>200</v>
      </c>
      <c r="J181">
        <v>100</v>
      </c>
      <c r="K181">
        <f t="shared" si="6"/>
        <v>2337000</v>
      </c>
      <c r="L181">
        <f t="shared" si="5"/>
        <v>855000</v>
      </c>
      <c r="M181" t="s">
        <v>13</v>
      </c>
    </row>
    <row r="182" spans="1:13">
      <c r="A182">
        <v>181</v>
      </c>
      <c r="B182" s="35" t="s">
        <v>194</v>
      </c>
      <c r="C182" s="29">
        <v>6181</v>
      </c>
      <c r="D182" s="1">
        <v>501409</v>
      </c>
      <c r="E182" s="36" t="s">
        <v>297</v>
      </c>
      <c r="F182" s="3">
        <v>44980000000</v>
      </c>
      <c r="G182">
        <v>108</v>
      </c>
      <c r="H182">
        <v>108000</v>
      </c>
      <c r="I182">
        <v>200</v>
      </c>
      <c r="J182">
        <v>100</v>
      </c>
      <c r="K182">
        <f t="shared" si="6"/>
        <v>2349000</v>
      </c>
      <c r="L182">
        <f t="shared" si="5"/>
        <v>861000</v>
      </c>
      <c r="M182" t="s">
        <v>13</v>
      </c>
    </row>
    <row r="183" spans="1:13" ht="28.5">
      <c r="A183">
        <v>182</v>
      </c>
      <c r="B183" s="35" t="s">
        <v>195</v>
      </c>
      <c r="C183" s="29">
        <v>6182</v>
      </c>
      <c r="D183" s="1">
        <v>501509</v>
      </c>
      <c r="E183" s="36" t="s">
        <v>304</v>
      </c>
      <c r="F183" s="3">
        <v>45360000000</v>
      </c>
      <c r="G183">
        <v>108</v>
      </c>
      <c r="H183">
        <v>108000</v>
      </c>
      <c r="I183">
        <v>200</v>
      </c>
      <c r="J183">
        <v>100</v>
      </c>
      <c r="K183">
        <f t="shared" si="6"/>
        <v>2361000</v>
      </c>
      <c r="L183">
        <f t="shared" si="5"/>
        <v>867000</v>
      </c>
      <c r="M183" t="s">
        <v>13</v>
      </c>
    </row>
    <row r="184" spans="1:13">
      <c r="A184">
        <v>183</v>
      </c>
      <c r="B184" s="35" t="s">
        <v>196</v>
      </c>
      <c r="C184" s="29">
        <v>6183</v>
      </c>
      <c r="D184" s="1">
        <v>501609</v>
      </c>
      <c r="E184" s="36" t="s">
        <v>305</v>
      </c>
      <c r="F184" s="3">
        <v>45740000000</v>
      </c>
      <c r="G184">
        <v>108</v>
      </c>
      <c r="H184">
        <v>108000</v>
      </c>
      <c r="I184">
        <v>200</v>
      </c>
      <c r="J184">
        <v>100</v>
      </c>
      <c r="K184">
        <f t="shared" si="6"/>
        <v>2373000</v>
      </c>
      <c r="L184">
        <f t="shared" si="5"/>
        <v>873000</v>
      </c>
      <c r="M184" t="s">
        <v>13</v>
      </c>
    </row>
    <row r="185" spans="1:13">
      <c r="A185">
        <v>184</v>
      </c>
      <c r="B185" s="35" t="s">
        <v>197</v>
      </c>
      <c r="C185" s="29">
        <v>6184</v>
      </c>
      <c r="D185" s="1">
        <v>501709</v>
      </c>
      <c r="E185" s="36" t="s">
        <v>306</v>
      </c>
      <c r="F185" s="3">
        <v>46120000000</v>
      </c>
      <c r="G185">
        <v>108</v>
      </c>
      <c r="H185">
        <v>108000</v>
      </c>
      <c r="I185">
        <v>200</v>
      </c>
      <c r="J185">
        <v>100</v>
      </c>
      <c r="K185">
        <f t="shared" si="6"/>
        <v>2385000</v>
      </c>
      <c r="L185">
        <f t="shared" si="5"/>
        <v>879000</v>
      </c>
      <c r="M185" t="s">
        <v>13</v>
      </c>
    </row>
    <row r="186" spans="1:13">
      <c r="A186">
        <v>185</v>
      </c>
      <c r="B186" s="35" t="s">
        <v>198</v>
      </c>
      <c r="C186" s="29">
        <v>6185</v>
      </c>
      <c r="D186" s="1">
        <v>501809</v>
      </c>
      <c r="E186" s="36" t="s">
        <v>307</v>
      </c>
      <c r="F186" s="3">
        <v>46500000000</v>
      </c>
      <c r="G186">
        <v>108</v>
      </c>
      <c r="H186">
        <v>108000</v>
      </c>
      <c r="I186">
        <v>200</v>
      </c>
      <c r="J186">
        <v>100</v>
      </c>
      <c r="K186">
        <f t="shared" si="6"/>
        <v>2397000</v>
      </c>
      <c r="L186">
        <f t="shared" si="5"/>
        <v>885000</v>
      </c>
      <c r="M186" t="s">
        <v>13</v>
      </c>
    </row>
    <row r="187" spans="1:13">
      <c r="A187">
        <v>186</v>
      </c>
      <c r="B187" s="35" t="s">
        <v>199</v>
      </c>
      <c r="C187" s="29">
        <v>6186</v>
      </c>
      <c r="D187" s="1">
        <v>600109</v>
      </c>
      <c r="E187" s="36" t="s">
        <v>308</v>
      </c>
      <c r="F187" s="3">
        <v>46880000000</v>
      </c>
      <c r="G187">
        <v>108</v>
      </c>
      <c r="H187">
        <v>108000</v>
      </c>
      <c r="I187">
        <v>200</v>
      </c>
      <c r="J187">
        <v>100</v>
      </c>
      <c r="K187">
        <f t="shared" si="6"/>
        <v>2409000</v>
      </c>
      <c r="L187">
        <f t="shared" si="5"/>
        <v>891000</v>
      </c>
      <c r="M187" t="s">
        <v>13</v>
      </c>
    </row>
    <row r="188" spans="1:13">
      <c r="A188">
        <v>187</v>
      </c>
      <c r="B188" s="35" t="s">
        <v>200</v>
      </c>
      <c r="C188" s="29">
        <v>6187</v>
      </c>
      <c r="D188" s="1">
        <v>600209</v>
      </c>
      <c r="E188" s="36" t="s">
        <v>309</v>
      </c>
      <c r="F188" s="3">
        <v>47260000000</v>
      </c>
      <c r="G188">
        <v>108</v>
      </c>
      <c r="H188">
        <v>108000</v>
      </c>
      <c r="I188">
        <v>200</v>
      </c>
      <c r="J188">
        <v>100</v>
      </c>
      <c r="K188">
        <f t="shared" si="6"/>
        <v>2421000</v>
      </c>
      <c r="L188">
        <f t="shared" si="5"/>
        <v>897000</v>
      </c>
      <c r="M188" t="s">
        <v>13</v>
      </c>
    </row>
  </sheetData>
  <phoneticPr fontId="6" type="noConversion"/>
  <conditionalFormatting sqref="D157">
    <cfRule type="duplicateValues" dxfId="19" priority="5"/>
  </conditionalFormatting>
  <conditionalFormatting sqref="D158">
    <cfRule type="duplicateValues" dxfId="18" priority="4"/>
  </conditionalFormatting>
  <conditionalFormatting sqref="D159">
    <cfRule type="duplicateValues" dxfId="17" priority="3"/>
  </conditionalFormatting>
  <conditionalFormatting sqref="D160">
    <cfRule type="duplicateValues" dxfId="16" priority="2"/>
  </conditionalFormatting>
  <conditionalFormatting sqref="D161">
    <cfRule type="duplicateValues" dxfId="15" priority="6"/>
  </conditionalFormatting>
  <conditionalFormatting sqref="C102:C188">
    <cfRule type="duplicateValues" dxfId="14" priority="7"/>
    <cfRule type="duplicateValues" dxfId="13" priority="9"/>
    <cfRule type="duplicateValues" dxfId="12" priority="8"/>
    <cfRule type="duplicateValues" dxfId="11" priority="13"/>
    <cfRule type="duplicateValues" dxfId="10" priority="10"/>
    <cfRule type="duplicateValues" priority="11"/>
    <cfRule type="duplicateValues" dxfId="9" priority="12"/>
    <cfRule type="duplicateValues" dxfId="8" priority="19"/>
    <cfRule type="duplicateValues" dxfId="7" priority="22"/>
    <cfRule type="duplicateValues" dxfId="6" priority="18"/>
    <cfRule type="duplicateValues" dxfId="5" priority="20"/>
    <cfRule type="duplicateValues" dxfId="4" priority="21"/>
    <cfRule type="duplicateValues" dxfId="3" priority="16"/>
    <cfRule type="duplicateValues" dxfId="2" priority="17"/>
    <cfRule type="duplicateValues" dxfId="1" priority="15"/>
    <cfRule type="duplicateValues" dxfId="0" priority="14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公会BOSS关卡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KEnDoan</cp:lastModifiedBy>
  <dcterms:created xsi:type="dcterms:W3CDTF">2015-06-05T18:19:00Z</dcterms:created>
  <dcterms:modified xsi:type="dcterms:W3CDTF">2023-01-14T16:39:55Z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