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10" windowHeight="11730" firstSheet="3" activeTab="3"/>
  </bookViews>
  <sheets>
    <sheet name="公会宝库商品" sheetId="1" r:id="rId1"/>
    <sheet name="公会宝库系统赠送奖励" sheetId="3" r:id="rId2"/>
    <sheet name="公会战获胜掉落奖励" sheetId="2" r:id="rId3"/>
    <sheet name="公会宝库提示" sheetId="4" r:id="rId4"/>
    <sheet name="Sheet2" sheetId="6" r:id="rId5"/>
    <sheet name="Sheet1" sheetId="7" r:id="rId6"/>
    <sheet name="Sheet3" sheetId="8" r:id="rId7"/>
  </sheets>
  <definedNames>
    <definedName name="_xlnm._FilterDatabase" localSheetId="5" hidden="1">Sheet1!$C$1:$C$529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H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1.装备
2.道具
3.碎片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类型1：必掉
类型2：选择一个掉</t>
        </r>
      </text>
    </comment>
  </commentList>
</comments>
</file>

<file path=xl/sharedStrings.xml><?xml version="1.0" encoding="utf-8"?>
<sst xmlns="http://schemas.openxmlformats.org/spreadsheetml/2006/main" count="1082" uniqueCount="347">
  <si>
    <t>商品ID</t>
  </si>
  <si>
    <t>商品内容</t>
  </si>
  <si>
    <t>出售价格</t>
  </si>
  <si>
    <t>放入奖励</t>
  </si>
  <si>
    <t>过期天数</t>
  </si>
  <si>
    <t>每日限购</t>
  </si>
  <si>
    <t>库存上限</t>
  </si>
  <si>
    <t>页签类型</t>
  </si>
  <si>
    <t>玩家可放入的商品</t>
  </si>
  <si>
    <t>是否超值</t>
  </si>
  <si>
    <t>3:100001:100</t>
  </si>
  <si>
    <t>进阶石</t>
  </si>
  <si>
    <t>3:100002:100</t>
  </si>
  <si>
    <t>太乙精金</t>
  </si>
  <si>
    <t>3:100005:1</t>
  </si>
  <si>
    <t>普通寻宝券</t>
  </si>
  <si>
    <t>3:100006:1</t>
  </si>
  <si>
    <t>高级寻宝券</t>
  </si>
  <si>
    <t>3:100008:1</t>
  </si>
  <si>
    <t>碧玉髓</t>
  </si>
  <si>
    <t>3:100021:1</t>
  </si>
  <si>
    <t>普通点将券</t>
  </si>
  <si>
    <t>3:100022:1</t>
  </si>
  <si>
    <t>高级点将券</t>
  </si>
  <si>
    <t>3:100023:10</t>
  </si>
  <si>
    <t>演武场挑战券</t>
  </si>
  <si>
    <t>3:100025:1</t>
  </si>
  <si>
    <t>命签</t>
  </si>
  <si>
    <t>3:100027:10</t>
  </si>
  <si>
    <t>悬赏刷新券</t>
  </si>
  <si>
    <t>3:400017:1</t>
  </si>
  <si>
    <t>篆印随机</t>
  </si>
  <si>
    <t>3:100059:1</t>
  </si>
  <si>
    <t>魂丹</t>
  </si>
  <si>
    <t>3:100212:1</t>
  </si>
  <si>
    <t>玄铁</t>
  </si>
  <si>
    <t>4:601015:1</t>
  </si>
  <si>
    <t>邓婵玉</t>
  </si>
  <si>
    <t>4:601022:1</t>
  </si>
  <si>
    <t>雷震子</t>
  </si>
  <si>
    <t>4:601014:1</t>
  </si>
  <si>
    <t>李靖</t>
  </si>
  <si>
    <t>4:601016:1</t>
  </si>
  <si>
    <t>嫦娥</t>
  </si>
  <si>
    <t>4:601018:1</t>
  </si>
  <si>
    <t>姬发</t>
  </si>
  <si>
    <t>4:601020:1</t>
  </si>
  <si>
    <t>哪吒</t>
  </si>
  <si>
    <t>4:601021:1</t>
  </si>
  <si>
    <t>姜子牙</t>
  </si>
  <si>
    <t>4:601017:1</t>
  </si>
  <si>
    <t>后羿</t>
  </si>
  <si>
    <t>4:602016:1</t>
  </si>
  <si>
    <t>南极仙子</t>
  </si>
  <si>
    <t>4:602014:1</t>
  </si>
  <si>
    <t>天蓬元帅</t>
  </si>
  <si>
    <t>4:602020:1</t>
  </si>
  <si>
    <t>通天教主</t>
  </si>
  <si>
    <t>4:602017:1</t>
  </si>
  <si>
    <t>禄缘上仙</t>
  </si>
  <si>
    <t>4:602018:1</t>
  </si>
  <si>
    <t>斗战胜佛</t>
  </si>
  <si>
    <t>4:604012:1</t>
  </si>
  <si>
    <t>共工</t>
  </si>
  <si>
    <t>4:602021:1</t>
  </si>
  <si>
    <t>元始天尊</t>
  </si>
  <si>
    <t>4:602022:1</t>
  </si>
  <si>
    <t>云中子</t>
  </si>
  <si>
    <t>4:602015:1</t>
  </si>
  <si>
    <t>卷帘大将</t>
  </si>
  <si>
    <t>4:603019:1</t>
  </si>
  <si>
    <t>金乌</t>
  </si>
  <si>
    <t>4:603018:1</t>
  </si>
  <si>
    <t>擎苍</t>
  </si>
  <si>
    <t>4:603014:1</t>
  </si>
  <si>
    <t>红孩儿</t>
  </si>
  <si>
    <t>4:603021:1</t>
  </si>
  <si>
    <t>白骨夫人</t>
  </si>
  <si>
    <t>4:603022:1</t>
  </si>
  <si>
    <t>妲己</t>
  </si>
  <si>
    <t>4:603015:1</t>
  </si>
  <si>
    <t>石矶</t>
  </si>
  <si>
    <t>4:603020:1</t>
  </si>
  <si>
    <t>敖丙</t>
  </si>
  <si>
    <t>4:603016:1</t>
  </si>
  <si>
    <t>混天大圣</t>
  </si>
  <si>
    <t>4:603017:1</t>
  </si>
  <si>
    <t>牛魔王</t>
  </si>
  <si>
    <t>4:605010:1</t>
  </si>
  <si>
    <t>黄泉</t>
  </si>
  <si>
    <t>4:605011:1</t>
  </si>
  <si>
    <t>阎君</t>
  </si>
  <si>
    <t>4:604008:1</t>
  </si>
  <si>
    <t>女娲</t>
  </si>
  <si>
    <t>4:605012:1</t>
  </si>
  <si>
    <t>东皇太一</t>
  </si>
  <si>
    <t>4:605006:1</t>
  </si>
  <si>
    <t>蚩尤</t>
  </si>
  <si>
    <t>4:605007:1</t>
  </si>
  <si>
    <t>孟婆</t>
  </si>
  <si>
    <t>4:604013:1</t>
  </si>
  <si>
    <t>祝融</t>
  </si>
  <si>
    <t>4:604007:1</t>
  </si>
  <si>
    <t>神农</t>
  </si>
  <si>
    <t>4:604006:1</t>
  </si>
  <si>
    <t>盘古</t>
  </si>
  <si>
    <t>4:604009:1</t>
  </si>
  <si>
    <t>鲲</t>
  </si>
  <si>
    <t>4:605009:1</t>
  </si>
  <si>
    <t>魔·悟空</t>
  </si>
  <si>
    <t>4:602023:1</t>
  </si>
  <si>
    <t>九天玄女</t>
  </si>
  <si>
    <t>4:605008:1</t>
  </si>
  <si>
    <t>刑天</t>
  </si>
  <si>
    <t>4:604010:1</t>
  </si>
  <si>
    <t>玉帝</t>
  </si>
  <si>
    <t>4:602024:1</t>
  </si>
  <si>
    <t>玄奘</t>
  </si>
  <si>
    <t>4:602025:1</t>
  </si>
  <si>
    <t>白龙</t>
  </si>
  <si>
    <t>2:19000104:1</t>
  </si>
  <si>
    <t>装备</t>
  </si>
  <si>
    <t>2:19000105:1</t>
  </si>
  <si>
    <t>2:19000106:1</t>
  </si>
  <si>
    <t>2:19000107:1</t>
  </si>
  <si>
    <t>2:19000108:1</t>
  </si>
  <si>
    <t>2:19000204:1</t>
  </si>
  <si>
    <t>2:19000205:1</t>
  </si>
  <si>
    <t>2:19000206:1</t>
  </si>
  <si>
    <t>2:19000207:1</t>
  </si>
  <si>
    <t>2:19000208:1</t>
  </si>
  <si>
    <t>2:19000304:1</t>
  </si>
  <si>
    <t>2:19000305:1</t>
  </si>
  <si>
    <t>2:19000306:1</t>
  </si>
  <si>
    <t>2:19000307:1</t>
  </si>
  <si>
    <t>2:19000308:1</t>
  </si>
  <si>
    <t>2:19000404:1</t>
  </si>
  <si>
    <t>2:19000405:1</t>
  </si>
  <si>
    <t>2:19000406:1</t>
  </si>
  <si>
    <t>2:19000407:1</t>
  </si>
  <si>
    <t>2:19000408:1</t>
  </si>
  <si>
    <t>3:100224:10</t>
  </si>
  <si>
    <t>道具</t>
  </si>
  <si>
    <t>修为丹</t>
  </si>
  <si>
    <r>
      <rPr>
        <sz val="11"/>
        <color theme="1"/>
        <rFont val="Calibri"/>
        <charset val="134"/>
        <scheme val="minor"/>
      </rPr>
      <t>3:100225</t>
    </r>
    <r>
      <rPr>
        <sz val="11"/>
        <color theme="1"/>
        <rFont val="Calibri"/>
        <charset val="134"/>
        <scheme val="minor"/>
      </rPr>
      <t>:1</t>
    </r>
    <r>
      <rPr>
        <sz val="11"/>
        <color theme="1"/>
        <rFont val="Calibri"/>
        <charset val="134"/>
        <scheme val="minor"/>
      </rPr>
      <t>0</t>
    </r>
  </si>
  <si>
    <t>秘笈</t>
  </si>
  <si>
    <r>
      <rPr>
        <sz val="11"/>
        <color theme="1"/>
        <rFont val="Calibri"/>
        <charset val="134"/>
        <scheme val="minor"/>
      </rPr>
      <t>3:</t>
    </r>
    <r>
      <rPr>
        <sz val="11"/>
        <color theme="1"/>
        <rFont val="Calibri"/>
        <charset val="134"/>
        <scheme val="minor"/>
      </rPr>
      <t>200018:1000</t>
    </r>
  </si>
  <si>
    <r>
      <rPr>
        <sz val="11"/>
        <color theme="1"/>
        <rFont val="Calibri"/>
        <charset val="134"/>
        <scheme val="minor"/>
      </rPr>
      <t>4:</t>
    </r>
    <r>
      <rPr>
        <sz val="11"/>
        <color theme="1"/>
        <rFont val="Calibri"/>
        <charset val="134"/>
        <scheme val="minor"/>
      </rPr>
      <t>601023</t>
    </r>
    <r>
      <rPr>
        <sz val="11"/>
        <color theme="1"/>
        <rFont val="Calibri"/>
        <charset val="134"/>
        <scheme val="minor"/>
      </rPr>
      <t>:1</t>
    </r>
  </si>
  <si>
    <t>花木兰</t>
  </si>
  <si>
    <t>4:602026:1</t>
  </si>
  <si>
    <t>土地</t>
  </si>
  <si>
    <t>4:603024:1</t>
  </si>
  <si>
    <t>曼珠</t>
  </si>
  <si>
    <t>4:603023:1</t>
  </si>
  <si>
    <t>孔宣</t>
  </si>
  <si>
    <t>ID</t>
  </si>
  <si>
    <t>数量</t>
  </si>
  <si>
    <t>类型</t>
  </si>
  <si>
    <t>权重</t>
  </si>
  <si>
    <t>提示ID</t>
  </si>
  <si>
    <t>文本</t>
  </si>
  <si>
    <t>Chào mừng! ~</t>
  </si>
  <si>
    <t>Không phải bất cứ thứ gì cũng có thể được đưa vào nhà kho báu!</t>
  </si>
  <si>
    <t>Bạn có thể nhận được sự đóng góp của Liên minh Tiên từ Trận chiến Liên minh Tiên, vì vậy hãy nhớ tham gia!</t>
  </si>
  <si>
    <t>Kho báu sẽ được dọn dẹp thường xuyên, vui lòng đổi nó càng sớm càng tốt.</t>
  </si>
  <si>
    <t>Tiêu diệt BOSS của Liên minh Bất tử để nhận được Đóng góp của Liên minh Bất tử!</t>
  </si>
  <si>
    <t>Những đóng góp từ Liên minh Bất tử có thể nâng cấp các kỹ năng của Liên minh Bất tử!</t>
  </si>
  <si>
    <t>Bạn chỉ có thể đặt đồ vật vào Nhà kho báu của Liên minh Bất tử 20 lần một ngày.</t>
  </si>
  <si>
    <t>3:100004:100</t>
  </si>
  <si>
    <t>3:100005:10</t>
  </si>
  <si>
    <t>3:100021:10</t>
  </si>
  <si>
    <t>3:100030:10</t>
  </si>
  <si>
    <t>3:100031:10</t>
  </si>
  <si>
    <t>3:100045:1</t>
  </si>
  <si>
    <t>3:100213:1</t>
  </si>
  <si>
    <t>3:100214:1</t>
  </si>
  <si>
    <t>3:200002:100</t>
  </si>
  <si>
    <t>4:601013:30</t>
  </si>
  <si>
    <t>4:601009:30</t>
  </si>
  <si>
    <t>4:601011:30</t>
  </si>
  <si>
    <t>4:601012:30</t>
  </si>
  <si>
    <t>4:601015:50</t>
  </si>
  <si>
    <t>4:601022:50</t>
  </si>
  <si>
    <t>4:601014:50</t>
  </si>
  <si>
    <t>4:601016:50</t>
  </si>
  <si>
    <t>4:601018:50</t>
  </si>
  <si>
    <t>4:601020:50</t>
  </si>
  <si>
    <t>4:601021:50</t>
  </si>
  <si>
    <t>4:601017:50</t>
  </si>
  <si>
    <t>4:602009:30</t>
  </si>
  <si>
    <t>4:602011:30</t>
  </si>
  <si>
    <t>4:602013:30</t>
  </si>
  <si>
    <t>4:602016:50</t>
  </si>
  <si>
    <t>4:602014:50</t>
  </si>
  <si>
    <t>4:602020:50</t>
  </si>
  <si>
    <t>4:602017:50</t>
  </si>
  <si>
    <t>4:602018:50</t>
  </si>
  <si>
    <t>4:602021:50</t>
  </si>
  <si>
    <t>4:602022:50</t>
  </si>
  <si>
    <t>4:602015:50</t>
  </si>
  <si>
    <t>4:603010:30</t>
  </si>
  <si>
    <t>4:603012:30</t>
  </si>
  <si>
    <t>4:603019:50</t>
  </si>
  <si>
    <t>4:603018:50</t>
  </si>
  <si>
    <t>4:603014:50</t>
  </si>
  <si>
    <t>4:603021:50</t>
  </si>
  <si>
    <t>4:603022:50</t>
  </si>
  <si>
    <t>4:603015:50</t>
  </si>
  <si>
    <t>4:603020:50</t>
  </si>
  <si>
    <t>4:603016:50</t>
  </si>
  <si>
    <t>4:603017:50</t>
  </si>
  <si>
    <t>4:604003:30</t>
  </si>
  <si>
    <t>4:604004:30</t>
  </si>
  <si>
    <t>4:604005:30</t>
  </si>
  <si>
    <t>4:605003:30</t>
  </si>
  <si>
    <t>4:605004:30</t>
  </si>
  <si>
    <t>4:605005:30</t>
  </si>
  <si>
    <t>4:605010:50</t>
  </si>
  <si>
    <t>4:605011:50</t>
  </si>
  <si>
    <t>4:604008:50</t>
  </si>
  <si>
    <t>4:605012:50</t>
  </si>
  <si>
    <t>4:605006:50</t>
  </si>
  <si>
    <t>4:605007:50</t>
  </si>
  <si>
    <t>4:604012:50</t>
  </si>
  <si>
    <t>4:604013:50</t>
  </si>
  <si>
    <t>4:604007:50</t>
  </si>
  <si>
    <t>4:604006:50</t>
  </si>
  <si>
    <t>4:604009:50</t>
  </si>
  <si>
    <t>4:605009:50</t>
  </si>
  <si>
    <t>4:602023:50</t>
  </si>
  <si>
    <t>4:605008:50</t>
  </si>
  <si>
    <t>4:603011:30</t>
  </si>
  <si>
    <t>4:604010:50</t>
  </si>
  <si>
    <t>4:604011:50</t>
  </si>
  <si>
    <t>4:601019:50</t>
  </si>
  <si>
    <t>英雄ID</t>
  </si>
  <si>
    <t>英雄名</t>
  </si>
  <si>
    <t>星级</t>
  </si>
  <si>
    <t>TM_白板_近战</t>
  </si>
  <si>
    <t>TM_白板_远程</t>
  </si>
  <si>
    <t>方术士</t>
  </si>
  <si>
    <t>医师</t>
  </si>
  <si>
    <t>长弓手</t>
  </si>
  <si>
    <t>杨戬</t>
  </si>
  <si>
    <t>金吾卫</t>
  </si>
  <si>
    <t>虎豹骑</t>
  </si>
  <si>
    <t>殿前禁卫</t>
  </si>
  <si>
    <t>燕赤侠</t>
  </si>
  <si>
    <t>木吒</t>
  </si>
  <si>
    <t>黄飞虎</t>
  </si>
  <si>
    <t>金吒</t>
  </si>
  <si>
    <t>太乙真人</t>
  </si>
  <si>
    <t>采臣</t>
  </si>
  <si>
    <t>纣王</t>
  </si>
  <si>
    <t>申公豹</t>
  </si>
  <si>
    <t>雷泽</t>
  </si>
  <si>
    <t>5</t>
  </si>
  <si>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1</t>
    </r>
  </si>
  <si>
    <t>12</t>
  </si>
  <si>
    <t>13</t>
  </si>
  <si>
    <t>仙童</t>
  </si>
  <si>
    <t>日游神</t>
  </si>
  <si>
    <t>夜游神</t>
  </si>
  <si>
    <t>金童</t>
  </si>
  <si>
    <t>玉女</t>
  </si>
  <si>
    <t>青宵</t>
  </si>
  <si>
    <t>龙吉公主</t>
  </si>
  <si>
    <t>笛仙</t>
  </si>
  <si>
    <t>太白金星</t>
  </si>
  <si>
    <t>月老</t>
  </si>
  <si>
    <t>织女</t>
  </si>
  <si>
    <t>河伯</t>
  </si>
  <si>
    <t>雨师</t>
  </si>
  <si>
    <t>10</t>
  </si>
  <si>
    <t>11</t>
  </si>
  <si>
    <t>将臣</t>
  </si>
  <si>
    <t>幽灵</t>
  </si>
  <si>
    <t>花妖</t>
  </si>
  <si>
    <t>黑风</t>
  </si>
  <si>
    <t>山鬼</t>
  </si>
  <si>
    <t>霸波尔奔</t>
  </si>
  <si>
    <t>玉兔</t>
  </si>
  <si>
    <t>奔波儿灞</t>
  </si>
  <si>
    <t>银角大王</t>
  </si>
  <si>
    <t>鬼将</t>
  </si>
  <si>
    <t>金角大王</t>
  </si>
  <si>
    <t>盘丝</t>
  </si>
  <si>
    <t>夜叉</t>
  </si>
  <si>
    <t>精卫</t>
  </si>
  <si>
    <t>瑶姬</t>
  </si>
  <si>
    <t>女魃</t>
  </si>
  <si>
    <t>监兵</t>
  </si>
  <si>
    <t>洛神</t>
  </si>
  <si>
    <t>鲛姬</t>
  </si>
  <si>
    <t>贪狼</t>
  </si>
  <si>
    <t>破军</t>
  </si>
  <si>
    <t>黑无常</t>
  </si>
  <si>
    <t>白无常</t>
  </si>
  <si>
    <t>千万万战力英雄</t>
  </si>
  <si>
    <t>3星英雄</t>
  </si>
  <si>
    <t>3星英雄_人</t>
  </si>
  <si>
    <t>3星英雄_仙</t>
  </si>
  <si>
    <t>3星英雄_妖</t>
  </si>
  <si>
    <t>3星英雄_神</t>
  </si>
  <si>
    <t>3星英雄_魔</t>
  </si>
  <si>
    <t>4星英雄</t>
  </si>
  <si>
    <t>4星英雄_人</t>
  </si>
  <si>
    <t>4星英雄_仙</t>
  </si>
  <si>
    <t>4星英雄_妖</t>
  </si>
  <si>
    <t>4星英雄_神</t>
  </si>
  <si>
    <t>4星英雄_魔</t>
  </si>
  <si>
    <t>5星英雄</t>
  </si>
  <si>
    <t>5星英雄_人</t>
  </si>
  <si>
    <t>5星英雄_仙</t>
  </si>
  <si>
    <t>5星英雄_妖</t>
  </si>
  <si>
    <t>5星英雄_神</t>
  </si>
  <si>
    <t>5星英雄_魔</t>
  </si>
  <si>
    <t>6星英雄</t>
  </si>
  <si>
    <t>6星英雄_人</t>
  </si>
  <si>
    <t>6星英雄_仙</t>
  </si>
  <si>
    <t>6星英雄_妖</t>
  </si>
  <si>
    <t>6星英雄_神</t>
  </si>
  <si>
    <t>6星英雄_魔</t>
  </si>
  <si>
    <t>7星英雄</t>
  </si>
  <si>
    <t>7星英雄_人</t>
  </si>
  <si>
    <t>7星英雄_仙</t>
  </si>
  <si>
    <t>7星英雄_妖</t>
  </si>
  <si>
    <t>7星英雄_神</t>
  </si>
  <si>
    <t>7星英雄_魔</t>
  </si>
  <si>
    <t>8星英雄</t>
  </si>
  <si>
    <t>8星英雄_人</t>
  </si>
  <si>
    <t>8星英雄_仙</t>
  </si>
  <si>
    <t>8星英雄_妖</t>
  </si>
  <si>
    <t>8星英雄_神</t>
  </si>
  <si>
    <t>8星英雄_魔</t>
  </si>
  <si>
    <t>9星英雄</t>
  </si>
  <si>
    <t>9星英雄_人</t>
  </si>
  <si>
    <t>9星英雄_仙</t>
  </si>
  <si>
    <t>9星英雄_妖</t>
  </si>
  <si>
    <t>9星英雄_神</t>
  </si>
  <si>
    <t>9星英雄_魔</t>
  </si>
  <si>
    <t>10星英雄</t>
  </si>
  <si>
    <t>10星英雄_人</t>
  </si>
  <si>
    <t>10星英雄_仙</t>
  </si>
  <si>
    <t>10星英雄_妖</t>
  </si>
  <si>
    <t>10星英雄_神</t>
  </si>
  <si>
    <t>10星英雄_魔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</si>
</sst>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_);[Red]\(0\)"/>
  </numFmts>
  <fonts count="30">
    <font>
      <sz val="11"/>
      <color theme="1"/>
      <name val="Calibri"/>
      <charset val="134"/>
      <scheme val="minor"/>
    </font>
    <font>
      <b/>
      <sz val="11"/>
      <color rgb="FFFF9933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C00000"/>
      <name val="微软雅黑"/>
      <charset val="134"/>
    </font>
    <font>
      <sz val="11"/>
      <color theme="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5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9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0" borderId="4" applyNumberFormat="0" applyAlignment="0" applyProtection="0">
      <alignment vertical="center"/>
    </xf>
    <xf numFmtId="0" fontId="18" fillId="31" borderId="5" applyNumberFormat="0" applyAlignment="0" applyProtection="0">
      <alignment vertical="center"/>
    </xf>
    <xf numFmtId="0" fontId="19" fillId="31" borderId="4" applyNumberFormat="0" applyAlignment="0" applyProtection="0">
      <alignment vertical="center"/>
    </xf>
    <xf numFmtId="0" fontId="20" fillId="32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0" fillId="0" borderId="0"/>
  </cellStyleXfs>
  <cellXfs count="106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0" fillId="7" borderId="0" xfId="0" applyNumberFormat="1" applyFill="1" applyAlignment="1">
      <alignment horizontal="center" vertical="center"/>
    </xf>
    <xf numFmtId="0" fontId="0" fillId="8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0" fillId="9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10" borderId="0" xfId="0" applyNumberFormat="1" applyFill="1" applyAlignment="1">
      <alignment horizontal="center" vertical="center"/>
    </xf>
    <xf numFmtId="0" fontId="0" fillId="11" borderId="0" xfId="0" applyNumberFormat="1" applyFill="1" applyAlignment="1">
      <alignment horizontal="center" vertical="center"/>
    </xf>
    <xf numFmtId="0" fontId="3" fillId="12" borderId="0" xfId="0" applyNumberFormat="1" applyFont="1" applyFill="1" applyAlignment="1">
      <alignment horizontal="center" vertical="center"/>
    </xf>
    <xf numFmtId="0" fontId="0" fillId="13" borderId="0" xfId="0" applyNumberFormat="1" applyFill="1" applyAlignment="1">
      <alignment horizontal="center" vertical="center"/>
    </xf>
    <xf numFmtId="0" fontId="0" fillId="14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14" borderId="0" xfId="0" applyNumberFormat="1" applyFont="1" applyFill="1" applyAlignment="1">
      <alignment horizontal="center" vertical="center"/>
    </xf>
    <xf numFmtId="0" fontId="0" fillId="15" borderId="0" xfId="0" applyNumberFormat="1" applyFont="1" applyFill="1" applyAlignment="1">
      <alignment horizontal="center" vertical="center"/>
    </xf>
    <xf numFmtId="0" fontId="0" fillId="16" borderId="0" xfId="0" applyNumberFormat="1" applyFill="1" applyAlignment="1">
      <alignment horizontal="center" vertical="center"/>
    </xf>
    <xf numFmtId="0" fontId="0" fillId="17" borderId="0" xfId="0" applyNumberFormat="1" applyFill="1" applyAlignment="1">
      <alignment horizontal="center" vertical="center"/>
    </xf>
    <xf numFmtId="0" fontId="0" fillId="18" borderId="0" xfId="0" applyNumberFormat="1" applyFill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/>
    </xf>
    <xf numFmtId="0" fontId="0" fillId="19" borderId="0" xfId="0" applyNumberFormat="1" applyFill="1" applyAlignment="1">
      <alignment horizontal="center" vertical="center"/>
    </xf>
    <xf numFmtId="0" fontId="3" fillId="20" borderId="0" xfId="0" applyNumberFormat="1" applyFont="1" applyFill="1" applyAlignment="1">
      <alignment horizontal="center" vertical="center"/>
    </xf>
    <xf numFmtId="0" fontId="0" fillId="21" borderId="0" xfId="0" applyNumberFormat="1" applyFill="1" applyAlignment="1">
      <alignment horizontal="center" vertical="center"/>
    </xf>
    <xf numFmtId="0" fontId="0" fillId="20" borderId="0" xfId="0" applyNumberFormat="1" applyFill="1" applyAlignment="1">
      <alignment horizontal="center" vertical="center"/>
    </xf>
    <xf numFmtId="0" fontId="0" fillId="22" borderId="0" xfId="0" applyNumberFormat="1" applyFill="1" applyAlignment="1">
      <alignment horizontal="center" vertical="center"/>
    </xf>
    <xf numFmtId="0" fontId="0" fillId="23" borderId="0" xfId="0" applyNumberFormat="1" applyFill="1" applyAlignment="1">
      <alignment horizontal="center" vertical="center"/>
    </xf>
    <xf numFmtId="0" fontId="0" fillId="21" borderId="0" xfId="0" applyNumberFormat="1" applyFont="1" applyFill="1" applyAlignment="1">
      <alignment horizontal="center" vertical="center"/>
    </xf>
    <xf numFmtId="0" fontId="0" fillId="24" borderId="0" xfId="0" applyNumberFormat="1" applyFill="1" applyAlignment="1">
      <alignment horizontal="center" vertical="center"/>
    </xf>
    <xf numFmtId="49" fontId="0" fillId="3" borderId="0" xfId="0" applyNumberFormat="1" applyFon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6" borderId="0" xfId="0" applyNumberFormat="1" applyFon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49" fontId="0" fillId="7" borderId="0" xfId="0" applyNumberFormat="1" applyFont="1" applyFill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49" fontId="0" fillId="5" borderId="0" xfId="0" applyNumberFormat="1" applyFont="1" applyFill="1" applyAlignment="1">
      <alignment horizontal="center" vertical="center"/>
    </xf>
    <xf numFmtId="0" fontId="0" fillId="5" borderId="0" xfId="0" applyNumberFormat="1" applyFont="1" applyFill="1" applyAlignment="1">
      <alignment horizontal="center" vertical="center"/>
    </xf>
    <xf numFmtId="0" fontId="0" fillId="25" borderId="0" xfId="0" applyNumberFormat="1" applyFill="1" applyAlignment="1">
      <alignment horizontal="center" vertical="center"/>
    </xf>
    <xf numFmtId="49" fontId="0" fillId="25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8" borderId="0" xfId="0" applyNumberFormat="1" applyFont="1" applyFill="1" applyAlignment="1">
      <alignment horizontal="center" vertical="center"/>
    </xf>
    <xf numFmtId="49" fontId="0" fillId="9" borderId="0" xfId="0" applyNumberFormat="1" applyFill="1" applyAlignment="1">
      <alignment horizontal="center" vertical="center"/>
    </xf>
    <xf numFmtId="49" fontId="0" fillId="9" borderId="0" xfId="0" applyNumberFormat="1" applyFont="1" applyFill="1" applyAlignment="1">
      <alignment horizontal="center" vertical="center"/>
    </xf>
    <xf numFmtId="0" fontId="0" fillId="11" borderId="0" xfId="0" applyNumberFormat="1" applyFont="1" applyFill="1" applyAlignment="1">
      <alignment horizontal="center" vertical="center"/>
    </xf>
    <xf numFmtId="49" fontId="0" fillId="11" borderId="0" xfId="0" applyNumberFormat="1" applyFill="1" applyAlignment="1">
      <alignment horizontal="center" vertical="center"/>
    </xf>
    <xf numFmtId="49" fontId="3" fillId="12" borderId="0" xfId="0" applyNumberFormat="1" applyFont="1" applyFill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49" fontId="0" fillId="12" borderId="0" xfId="0" applyNumberFormat="1" applyFill="1" applyAlignment="1">
      <alignment horizontal="center" vertical="center"/>
    </xf>
    <xf numFmtId="49" fontId="0" fillId="12" borderId="0" xfId="0" applyNumberFormat="1" applyFont="1" applyFill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49" fontId="0" fillId="13" borderId="0" xfId="0" applyNumberFormat="1" applyFont="1" applyFill="1" applyAlignment="1">
      <alignment horizontal="center" vertical="center"/>
    </xf>
    <xf numFmtId="49" fontId="0" fillId="14" borderId="0" xfId="0" applyNumberFormat="1" applyFill="1" applyAlignment="1">
      <alignment horizontal="center" vertical="center"/>
    </xf>
    <xf numFmtId="0" fontId="0" fillId="15" borderId="0" xfId="0" applyNumberFormat="1" applyFill="1" applyAlignment="1">
      <alignment horizontal="center" vertical="center"/>
    </xf>
    <xf numFmtId="49" fontId="0" fillId="16" borderId="0" xfId="0" applyNumberForma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0" fillId="17" borderId="0" xfId="0" applyNumberFormat="1" applyFont="1" applyFill="1" applyAlignment="1">
      <alignment horizontal="center" vertical="center"/>
    </xf>
    <xf numFmtId="49" fontId="0" fillId="17" borderId="0" xfId="0" applyNumberFormat="1" applyFill="1" applyAlignment="1">
      <alignment horizontal="center" vertical="center"/>
    </xf>
    <xf numFmtId="49" fontId="0" fillId="16" borderId="0" xfId="0" applyNumberFormat="1" applyFont="1" applyFill="1" applyAlignment="1">
      <alignment horizontal="center" vertical="center"/>
    </xf>
    <xf numFmtId="49" fontId="0" fillId="17" borderId="0" xfId="0" applyNumberFormat="1" applyFont="1" applyFill="1" applyAlignment="1">
      <alignment horizontal="center" vertical="center"/>
    </xf>
    <xf numFmtId="49" fontId="0" fillId="18" borderId="0" xfId="0" applyNumberFormat="1" applyFill="1" applyAlignment="1">
      <alignment horizontal="center" vertical="center"/>
    </xf>
    <xf numFmtId="49" fontId="0" fillId="18" borderId="0" xfId="0" applyNumberFormat="1" applyFont="1" applyFill="1" applyAlignment="1">
      <alignment horizontal="center" vertical="center"/>
    </xf>
    <xf numFmtId="0" fontId="4" fillId="16" borderId="0" xfId="0" applyNumberFormat="1" applyFont="1" applyFill="1" applyAlignment="1">
      <alignment horizontal="center" vertical="center"/>
    </xf>
    <xf numFmtId="49" fontId="0" fillId="19" borderId="0" xfId="0" applyNumberFormat="1" applyFill="1" applyAlignment="1">
      <alignment horizontal="center" vertical="center"/>
    </xf>
    <xf numFmtId="49" fontId="0" fillId="19" borderId="0" xfId="0" applyNumberFormat="1" applyFont="1" applyFill="1" applyAlignment="1">
      <alignment horizontal="center" vertical="center"/>
    </xf>
    <xf numFmtId="49" fontId="0" fillId="20" borderId="0" xfId="0" applyNumberFormat="1" applyFill="1" applyAlignment="1">
      <alignment horizontal="center" vertical="center"/>
    </xf>
    <xf numFmtId="49" fontId="0" fillId="21" borderId="0" xfId="0" applyNumberFormat="1" applyFill="1" applyAlignment="1">
      <alignment horizontal="center" vertical="center"/>
    </xf>
    <xf numFmtId="49" fontId="3" fillId="20" borderId="0" xfId="0" applyNumberFormat="1" applyFont="1" applyFill="1" applyAlignment="1">
      <alignment horizontal="center" vertical="center"/>
    </xf>
    <xf numFmtId="49" fontId="0" fillId="21" borderId="0" xfId="0" applyNumberFormat="1" applyFont="1" applyFill="1" applyAlignment="1">
      <alignment horizontal="center" vertical="center"/>
    </xf>
    <xf numFmtId="49" fontId="0" fillId="20" borderId="0" xfId="0" applyNumberFormat="1" applyFont="1" applyFill="1" applyAlignment="1">
      <alignment horizontal="center" vertical="center"/>
    </xf>
    <xf numFmtId="49" fontId="0" fillId="22" borderId="0" xfId="0" applyNumberFormat="1" applyFill="1" applyAlignment="1">
      <alignment horizontal="center" vertical="center"/>
    </xf>
    <xf numFmtId="49" fontId="0" fillId="22" borderId="0" xfId="0" applyNumberFormat="1" applyFont="1" applyFill="1" applyAlignment="1">
      <alignment horizontal="center" vertical="center"/>
    </xf>
    <xf numFmtId="49" fontId="0" fillId="23" borderId="0" xfId="0" applyNumberFormat="1" applyFill="1" applyAlignment="1">
      <alignment horizontal="center" vertical="center"/>
    </xf>
    <xf numFmtId="49" fontId="0" fillId="23" borderId="0" xfId="0" applyNumberFormat="1" applyFont="1" applyFill="1" applyAlignment="1">
      <alignment horizontal="center" vertical="center"/>
    </xf>
    <xf numFmtId="49" fontId="0" fillId="24" borderId="0" xfId="0" applyNumberFormat="1" applyFill="1" applyAlignment="1">
      <alignment horizontal="center" vertical="center"/>
    </xf>
    <xf numFmtId="49" fontId="0" fillId="24" borderId="0" xfId="0" applyNumberFormat="1" applyFont="1" applyFill="1" applyAlignment="1">
      <alignment horizontal="center" vertical="center"/>
    </xf>
    <xf numFmtId="0" fontId="0" fillId="0" borderId="0" xfId="0" applyFont="1" applyFill="1" applyAlignment="1"/>
    <xf numFmtId="49" fontId="0" fillId="0" borderId="0" xfId="0" applyNumberFormat="1" applyFont="1" applyFill="1" applyAlignment="1"/>
    <xf numFmtId="0" fontId="0" fillId="0" borderId="0" xfId="0" applyFont="1">
      <alignment vertical="center"/>
    </xf>
    <xf numFmtId="0" fontId="0" fillId="0" borderId="0" xfId="0" applyFont="1" applyFill="1" applyAlignment="1">
      <alignment horizontal="right"/>
    </xf>
    <xf numFmtId="0" fontId="5" fillId="0" borderId="0" xfId="0" applyFont="1" applyFill="1" applyBorder="1" applyAlignment="1">
      <alignment horizontal="center" vertical="center"/>
    </xf>
    <xf numFmtId="0" fontId="5" fillId="26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49" applyFont="1" applyFill="1" applyBorder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27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6" borderId="0" xfId="0" applyFont="1" applyFill="1" applyAlignment="1">
      <alignment horizontal="center" vertical="center"/>
    </xf>
    <xf numFmtId="180" fontId="6" fillId="28" borderId="0" xfId="0" applyNumberFormat="1" applyFont="1" applyFill="1" applyBorder="1" applyAlignment="1">
      <alignment horizontal="center" vertical="center"/>
    </xf>
    <xf numFmtId="0" fontId="8" fillId="26" borderId="0" xfId="0" applyFont="1" applyFill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dxfs count="4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FF0000"/>
      </font>
      <fill>
        <patternFill patternType="none"/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0"/>
  <sheetViews>
    <sheetView workbookViewId="0">
      <pane xSplit="1" ySplit="1" topLeftCell="B15" activePane="bottomRight" state="frozen"/>
      <selection/>
      <selection pane="topRight"/>
      <selection pane="bottomLeft"/>
      <selection pane="bottomRight" activeCell="D37" sqref="D37"/>
    </sheetView>
  </sheetViews>
  <sheetFormatPr defaultColWidth="9" defaultRowHeight="15"/>
  <cols>
    <col min="1" max="1" width="9" style="97"/>
    <col min="2" max="2" width="13.8761904761905" style="97" customWidth="1"/>
    <col min="3" max="8" width="9" style="97"/>
    <col min="9" max="10" width="17.247619047619" style="97" customWidth="1"/>
    <col min="11" max="16384" width="9" style="97"/>
  </cols>
  <sheetData>
    <row r="1" spans="1:10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3" t="s">
        <v>5</v>
      </c>
      <c r="G1" s="97" t="s">
        <v>6</v>
      </c>
      <c r="H1" s="93" t="s">
        <v>7</v>
      </c>
      <c r="I1" s="93" t="s">
        <v>8</v>
      </c>
      <c r="J1" s="93" t="s">
        <v>9</v>
      </c>
    </row>
    <row r="2" ht="16.5" spans="1:11">
      <c r="A2" s="93">
        <v>1001</v>
      </c>
      <c r="B2" s="98" t="s">
        <v>10</v>
      </c>
      <c r="C2" s="93">
        <v>500</v>
      </c>
      <c r="D2" s="93">
        <v>100</v>
      </c>
      <c r="E2" s="93">
        <v>999</v>
      </c>
      <c r="F2" s="93">
        <v>-1</v>
      </c>
      <c r="G2" s="97">
        <v>9999</v>
      </c>
      <c r="H2" s="93">
        <v>2</v>
      </c>
      <c r="I2" s="93">
        <v>1</v>
      </c>
      <c r="J2" s="93">
        <v>0</v>
      </c>
      <c r="K2" s="90" t="s">
        <v>11</v>
      </c>
    </row>
    <row r="3" ht="16.5" spans="1:11">
      <c r="A3" s="93">
        <v>1002</v>
      </c>
      <c r="B3" s="98" t="s">
        <v>10</v>
      </c>
      <c r="C3" s="93">
        <v>400</v>
      </c>
      <c r="D3" s="93">
        <v>100</v>
      </c>
      <c r="E3" s="93">
        <v>999</v>
      </c>
      <c r="F3" s="93">
        <v>-1</v>
      </c>
      <c r="G3" s="97">
        <v>9999</v>
      </c>
      <c r="H3" s="93">
        <v>2</v>
      </c>
      <c r="I3" s="93">
        <v>1</v>
      </c>
      <c r="J3" s="93">
        <v>1</v>
      </c>
      <c r="K3" s="90" t="s">
        <v>11</v>
      </c>
    </row>
    <row r="4" ht="16.5" spans="1:11">
      <c r="A4" s="93">
        <v>1003</v>
      </c>
      <c r="B4" s="98" t="s">
        <v>12</v>
      </c>
      <c r="C4" s="93">
        <v>10000</v>
      </c>
      <c r="D4" s="93">
        <v>2000</v>
      </c>
      <c r="E4" s="93">
        <v>999</v>
      </c>
      <c r="F4" s="93">
        <v>-1</v>
      </c>
      <c r="G4" s="97">
        <v>9999</v>
      </c>
      <c r="H4" s="93">
        <v>2</v>
      </c>
      <c r="I4" s="93">
        <v>1</v>
      </c>
      <c r="J4" s="93">
        <v>0</v>
      </c>
      <c r="K4" s="99" t="s">
        <v>13</v>
      </c>
    </row>
    <row r="5" ht="16.5" spans="1:11">
      <c r="A5" s="93">
        <v>1004</v>
      </c>
      <c r="B5" s="98" t="s">
        <v>12</v>
      </c>
      <c r="C5" s="93">
        <v>8000</v>
      </c>
      <c r="D5" s="93">
        <v>2000</v>
      </c>
      <c r="E5" s="93">
        <v>999</v>
      </c>
      <c r="F5" s="93">
        <v>-1</v>
      </c>
      <c r="G5" s="97">
        <v>9999</v>
      </c>
      <c r="H5" s="93">
        <v>2</v>
      </c>
      <c r="I5" s="93">
        <v>1</v>
      </c>
      <c r="J5" s="93">
        <v>1</v>
      </c>
      <c r="K5" s="99" t="s">
        <v>13</v>
      </c>
    </row>
    <row r="6" ht="16.5" spans="1:11">
      <c r="A6" s="93">
        <v>1005</v>
      </c>
      <c r="B6" s="98" t="s">
        <v>14</v>
      </c>
      <c r="C6" s="93">
        <v>150</v>
      </c>
      <c r="D6" s="93">
        <v>30</v>
      </c>
      <c r="E6" s="93">
        <v>999</v>
      </c>
      <c r="F6" s="93">
        <v>-1</v>
      </c>
      <c r="G6" s="97">
        <v>9999</v>
      </c>
      <c r="H6" s="93">
        <v>2</v>
      </c>
      <c r="I6" s="93">
        <v>1</v>
      </c>
      <c r="J6" s="93">
        <v>0</v>
      </c>
      <c r="K6" s="90" t="s">
        <v>15</v>
      </c>
    </row>
    <row r="7" ht="16.5" spans="1:11">
      <c r="A7" s="93">
        <v>1006</v>
      </c>
      <c r="B7" s="98" t="s">
        <v>14</v>
      </c>
      <c r="C7" s="93">
        <v>120</v>
      </c>
      <c r="D7" s="93">
        <v>30</v>
      </c>
      <c r="E7" s="93">
        <v>999</v>
      </c>
      <c r="F7" s="93">
        <v>-1</v>
      </c>
      <c r="G7" s="97">
        <v>9999</v>
      </c>
      <c r="H7" s="93">
        <v>2</v>
      </c>
      <c r="I7" s="93">
        <v>1</v>
      </c>
      <c r="J7" s="93">
        <v>1</v>
      </c>
      <c r="K7" s="90" t="s">
        <v>15</v>
      </c>
    </row>
    <row r="8" ht="16.5" spans="1:11">
      <c r="A8" s="93">
        <v>1007</v>
      </c>
      <c r="B8" s="98" t="s">
        <v>16</v>
      </c>
      <c r="C8" s="93">
        <v>1000</v>
      </c>
      <c r="D8" s="93">
        <v>250</v>
      </c>
      <c r="E8" s="93">
        <v>999</v>
      </c>
      <c r="F8" s="93">
        <v>-1</v>
      </c>
      <c r="G8" s="97">
        <v>9999</v>
      </c>
      <c r="H8" s="93">
        <v>2</v>
      </c>
      <c r="I8" s="93">
        <v>1</v>
      </c>
      <c r="J8" s="93">
        <v>0</v>
      </c>
      <c r="K8" s="90" t="s">
        <v>17</v>
      </c>
    </row>
    <row r="9" ht="16.5" spans="1:11">
      <c r="A9" s="93">
        <v>1008</v>
      </c>
      <c r="B9" s="98" t="s">
        <v>16</v>
      </c>
      <c r="C9" s="93">
        <v>800</v>
      </c>
      <c r="D9" s="93">
        <v>200</v>
      </c>
      <c r="E9" s="93">
        <v>999</v>
      </c>
      <c r="F9" s="93">
        <v>-1</v>
      </c>
      <c r="G9" s="97">
        <v>9999</v>
      </c>
      <c r="H9" s="93">
        <v>2</v>
      </c>
      <c r="I9" s="93">
        <v>1</v>
      </c>
      <c r="J9" s="93">
        <v>1</v>
      </c>
      <c r="K9" s="90" t="s">
        <v>17</v>
      </c>
    </row>
    <row r="10" ht="16.5" spans="1:11">
      <c r="A10" s="93">
        <v>1009</v>
      </c>
      <c r="B10" s="98" t="s">
        <v>18</v>
      </c>
      <c r="C10" s="93">
        <v>650</v>
      </c>
      <c r="D10" s="93">
        <v>100</v>
      </c>
      <c r="E10" s="93">
        <v>999</v>
      </c>
      <c r="F10" s="93">
        <v>-1</v>
      </c>
      <c r="G10" s="97">
        <v>9999</v>
      </c>
      <c r="H10" s="93">
        <v>2</v>
      </c>
      <c r="I10" s="93">
        <v>1</v>
      </c>
      <c r="J10" s="93">
        <v>0</v>
      </c>
      <c r="K10" s="99" t="s">
        <v>19</v>
      </c>
    </row>
    <row r="11" ht="16.5" spans="1:11">
      <c r="A11" s="93">
        <v>1010</v>
      </c>
      <c r="B11" s="98" t="s">
        <v>18</v>
      </c>
      <c r="C11" s="93">
        <v>520</v>
      </c>
      <c r="D11" s="93">
        <v>100</v>
      </c>
      <c r="E11" s="93">
        <v>999</v>
      </c>
      <c r="F11" s="93">
        <v>-1</v>
      </c>
      <c r="G11" s="97">
        <v>9999</v>
      </c>
      <c r="H11" s="93">
        <v>2</v>
      </c>
      <c r="I11" s="93">
        <v>1</v>
      </c>
      <c r="J11" s="93">
        <v>1</v>
      </c>
      <c r="K11" s="99" t="s">
        <v>19</v>
      </c>
    </row>
    <row r="12" ht="16.5" spans="1:11">
      <c r="A12" s="93">
        <v>1011</v>
      </c>
      <c r="B12" s="98" t="s">
        <v>20</v>
      </c>
      <c r="C12" s="93">
        <v>100</v>
      </c>
      <c r="D12" s="93">
        <v>20</v>
      </c>
      <c r="E12" s="93">
        <v>999</v>
      </c>
      <c r="F12" s="93">
        <v>-1</v>
      </c>
      <c r="G12" s="97">
        <v>9999</v>
      </c>
      <c r="H12" s="93">
        <v>2</v>
      </c>
      <c r="I12" s="93">
        <v>1</v>
      </c>
      <c r="J12" s="93">
        <v>0</v>
      </c>
      <c r="K12" s="90" t="s">
        <v>21</v>
      </c>
    </row>
    <row r="13" ht="16.5" spans="1:11">
      <c r="A13" s="93">
        <v>1012</v>
      </c>
      <c r="B13" s="98" t="s">
        <v>20</v>
      </c>
      <c r="C13" s="93">
        <v>80</v>
      </c>
      <c r="D13" s="93">
        <v>20</v>
      </c>
      <c r="E13" s="93">
        <v>999</v>
      </c>
      <c r="F13" s="93">
        <v>-1</v>
      </c>
      <c r="G13" s="97">
        <v>9999</v>
      </c>
      <c r="H13" s="93">
        <v>2</v>
      </c>
      <c r="I13" s="93">
        <v>1</v>
      </c>
      <c r="J13" s="93">
        <v>1</v>
      </c>
      <c r="K13" s="90" t="s">
        <v>21</v>
      </c>
    </row>
    <row r="14" ht="16.5" spans="1:11">
      <c r="A14" s="93">
        <v>1013</v>
      </c>
      <c r="B14" s="98" t="s">
        <v>22</v>
      </c>
      <c r="C14" s="93">
        <v>1250</v>
      </c>
      <c r="D14" s="93">
        <v>250</v>
      </c>
      <c r="E14" s="93">
        <v>999</v>
      </c>
      <c r="F14" s="93">
        <v>-1</v>
      </c>
      <c r="G14" s="97">
        <v>9999</v>
      </c>
      <c r="H14" s="93">
        <v>2</v>
      </c>
      <c r="I14" s="93">
        <v>1</v>
      </c>
      <c r="J14" s="93">
        <v>0</v>
      </c>
      <c r="K14" s="90" t="s">
        <v>23</v>
      </c>
    </row>
    <row r="15" ht="16.5" spans="1:11">
      <c r="A15" s="93">
        <v>1014</v>
      </c>
      <c r="B15" s="98" t="s">
        <v>22</v>
      </c>
      <c r="C15" s="93">
        <v>1000</v>
      </c>
      <c r="D15" s="93">
        <v>250</v>
      </c>
      <c r="E15" s="93">
        <v>999</v>
      </c>
      <c r="F15" s="93">
        <v>-1</v>
      </c>
      <c r="G15" s="97">
        <v>9999</v>
      </c>
      <c r="H15" s="93">
        <v>2</v>
      </c>
      <c r="I15" s="93">
        <v>1</v>
      </c>
      <c r="J15" s="93">
        <v>1</v>
      </c>
      <c r="K15" s="90" t="s">
        <v>23</v>
      </c>
    </row>
    <row r="16" ht="16.5" spans="1:11">
      <c r="A16" s="93">
        <v>1015</v>
      </c>
      <c r="B16" s="98" t="s">
        <v>24</v>
      </c>
      <c r="C16" s="93">
        <v>1000</v>
      </c>
      <c r="D16" s="93">
        <v>200</v>
      </c>
      <c r="E16" s="93">
        <v>999</v>
      </c>
      <c r="F16" s="93">
        <v>-1</v>
      </c>
      <c r="G16" s="97">
        <v>9999</v>
      </c>
      <c r="H16" s="93">
        <v>2</v>
      </c>
      <c r="I16" s="93">
        <v>1</v>
      </c>
      <c r="J16" s="93">
        <v>0</v>
      </c>
      <c r="K16" s="90" t="s">
        <v>25</v>
      </c>
    </row>
    <row r="17" ht="16.5" spans="1:11">
      <c r="A17" s="93">
        <v>1016</v>
      </c>
      <c r="B17" s="98" t="s">
        <v>24</v>
      </c>
      <c r="C17" s="93">
        <v>800</v>
      </c>
      <c r="D17" s="93">
        <v>200</v>
      </c>
      <c r="E17" s="93">
        <v>999</v>
      </c>
      <c r="F17" s="93">
        <v>-1</v>
      </c>
      <c r="G17" s="97">
        <v>9999</v>
      </c>
      <c r="H17" s="93">
        <v>2</v>
      </c>
      <c r="I17" s="93">
        <v>1</v>
      </c>
      <c r="J17" s="93">
        <v>1</v>
      </c>
      <c r="K17" s="90" t="s">
        <v>25</v>
      </c>
    </row>
    <row r="18" ht="16.5" spans="1:11">
      <c r="A18" s="93">
        <v>1017</v>
      </c>
      <c r="B18" s="97" t="s">
        <v>26</v>
      </c>
      <c r="C18" s="97">
        <v>5000</v>
      </c>
      <c r="D18" s="93">
        <v>1200</v>
      </c>
      <c r="E18" s="93">
        <v>999</v>
      </c>
      <c r="F18" s="93">
        <v>-1</v>
      </c>
      <c r="G18" s="97">
        <v>9999</v>
      </c>
      <c r="H18" s="93">
        <v>2</v>
      </c>
      <c r="I18" s="93">
        <v>1</v>
      </c>
      <c r="J18" s="93">
        <v>0</v>
      </c>
      <c r="K18" s="90" t="s">
        <v>27</v>
      </c>
    </row>
    <row r="19" ht="16.5" spans="1:11">
      <c r="A19" s="93">
        <v>1018</v>
      </c>
      <c r="B19" s="97" t="s">
        <v>26</v>
      </c>
      <c r="C19" s="93">
        <v>4800</v>
      </c>
      <c r="D19" s="93">
        <v>1200</v>
      </c>
      <c r="E19" s="93">
        <v>999</v>
      </c>
      <c r="F19" s="93">
        <v>-1</v>
      </c>
      <c r="G19" s="97">
        <v>9999</v>
      </c>
      <c r="H19" s="93">
        <v>2</v>
      </c>
      <c r="I19" s="93">
        <v>1</v>
      </c>
      <c r="J19" s="93">
        <v>1</v>
      </c>
      <c r="K19" s="90" t="s">
        <v>27</v>
      </c>
    </row>
    <row r="20" ht="16.5" spans="1:11">
      <c r="A20" s="93">
        <v>1019</v>
      </c>
      <c r="B20" s="97" t="s">
        <v>28</v>
      </c>
      <c r="C20" s="97">
        <v>1500</v>
      </c>
      <c r="D20" s="93">
        <v>300</v>
      </c>
      <c r="E20" s="93">
        <v>999</v>
      </c>
      <c r="F20" s="93">
        <v>-1</v>
      </c>
      <c r="G20" s="97">
        <v>9999</v>
      </c>
      <c r="H20" s="93">
        <v>2</v>
      </c>
      <c r="I20" s="93">
        <v>1</v>
      </c>
      <c r="J20" s="93">
        <v>0</v>
      </c>
      <c r="K20" s="90" t="s">
        <v>29</v>
      </c>
    </row>
    <row r="21" ht="16.5" spans="1:11">
      <c r="A21" s="93">
        <v>1020</v>
      </c>
      <c r="B21" s="97" t="s">
        <v>28</v>
      </c>
      <c r="C21" s="93">
        <v>1200</v>
      </c>
      <c r="D21" s="93">
        <v>300</v>
      </c>
      <c r="E21" s="93">
        <v>999</v>
      </c>
      <c r="F21" s="93">
        <v>-1</v>
      </c>
      <c r="G21" s="97">
        <v>9999</v>
      </c>
      <c r="H21" s="93">
        <v>2</v>
      </c>
      <c r="I21" s="93">
        <v>1</v>
      </c>
      <c r="J21" s="93">
        <v>1</v>
      </c>
      <c r="K21" s="90" t="s">
        <v>29</v>
      </c>
    </row>
    <row r="22" ht="16.5" spans="1:11">
      <c r="A22" s="93">
        <v>1021</v>
      </c>
      <c r="B22" s="98" t="s">
        <v>30</v>
      </c>
      <c r="C22" s="93">
        <v>8000</v>
      </c>
      <c r="D22" s="93">
        <v>2500</v>
      </c>
      <c r="E22" s="93">
        <v>999</v>
      </c>
      <c r="F22" s="93">
        <v>-1</v>
      </c>
      <c r="G22" s="97">
        <v>9999</v>
      </c>
      <c r="H22" s="93">
        <v>2</v>
      </c>
      <c r="I22" s="93">
        <v>1</v>
      </c>
      <c r="J22" s="93">
        <v>0</v>
      </c>
      <c r="K22" s="90" t="s">
        <v>31</v>
      </c>
    </row>
    <row r="23" ht="16.5" spans="1:11">
      <c r="A23" s="93">
        <v>1022</v>
      </c>
      <c r="B23" s="98" t="s">
        <v>20</v>
      </c>
      <c r="C23" s="93">
        <v>100</v>
      </c>
      <c r="D23" s="93">
        <v>20</v>
      </c>
      <c r="E23" s="93">
        <v>999</v>
      </c>
      <c r="F23" s="93">
        <v>-1</v>
      </c>
      <c r="G23" s="97">
        <v>9999</v>
      </c>
      <c r="H23" s="93">
        <v>2</v>
      </c>
      <c r="I23" s="93">
        <v>1</v>
      </c>
      <c r="J23" s="93">
        <v>0</v>
      </c>
      <c r="K23" s="90" t="s">
        <v>21</v>
      </c>
    </row>
    <row r="24" ht="16.5" spans="1:11">
      <c r="A24" s="93">
        <v>1023</v>
      </c>
      <c r="B24" s="98" t="s">
        <v>20</v>
      </c>
      <c r="C24" s="93">
        <v>100</v>
      </c>
      <c r="D24" s="93">
        <v>20</v>
      </c>
      <c r="E24" s="93">
        <v>999</v>
      </c>
      <c r="F24" s="93">
        <v>-1</v>
      </c>
      <c r="G24" s="97">
        <v>9999</v>
      </c>
      <c r="H24" s="93">
        <v>2</v>
      </c>
      <c r="I24" s="93">
        <v>1</v>
      </c>
      <c r="J24" s="93">
        <v>0</v>
      </c>
      <c r="K24" s="90" t="s">
        <v>21</v>
      </c>
    </row>
    <row r="25" ht="16.5" spans="1:11">
      <c r="A25" s="93">
        <v>1024</v>
      </c>
      <c r="B25" s="98" t="s">
        <v>20</v>
      </c>
      <c r="C25" s="93">
        <v>100</v>
      </c>
      <c r="D25" s="93">
        <v>20</v>
      </c>
      <c r="E25" s="93">
        <v>999</v>
      </c>
      <c r="F25" s="93">
        <v>-1</v>
      </c>
      <c r="G25" s="97">
        <v>9999</v>
      </c>
      <c r="H25" s="93">
        <v>2</v>
      </c>
      <c r="I25" s="93">
        <v>1</v>
      </c>
      <c r="J25" s="93">
        <v>0</v>
      </c>
      <c r="K25" s="90" t="s">
        <v>21</v>
      </c>
    </row>
    <row r="26" ht="16.5" spans="1:11">
      <c r="A26" s="93">
        <v>1025</v>
      </c>
      <c r="B26" s="98" t="s">
        <v>20</v>
      </c>
      <c r="C26" s="93">
        <v>100</v>
      </c>
      <c r="D26" s="93">
        <v>20</v>
      </c>
      <c r="E26" s="93">
        <v>999</v>
      </c>
      <c r="F26" s="93">
        <v>-1</v>
      </c>
      <c r="G26" s="97">
        <v>9999</v>
      </c>
      <c r="H26" s="93">
        <v>2</v>
      </c>
      <c r="I26" s="93">
        <v>1</v>
      </c>
      <c r="J26" s="93">
        <v>0</v>
      </c>
      <c r="K26" s="90" t="s">
        <v>21</v>
      </c>
    </row>
    <row r="27" ht="16.5" spans="1:11">
      <c r="A27" s="93">
        <v>1026</v>
      </c>
      <c r="B27" s="98" t="s">
        <v>20</v>
      </c>
      <c r="C27" s="93">
        <v>100</v>
      </c>
      <c r="D27" s="93">
        <v>20</v>
      </c>
      <c r="E27" s="93">
        <v>999</v>
      </c>
      <c r="F27" s="93">
        <v>-1</v>
      </c>
      <c r="G27" s="97">
        <v>9999</v>
      </c>
      <c r="H27" s="93">
        <v>2</v>
      </c>
      <c r="I27" s="93">
        <v>1</v>
      </c>
      <c r="J27" s="93">
        <v>0</v>
      </c>
      <c r="K27" s="90" t="s">
        <v>21</v>
      </c>
    </row>
    <row r="28" ht="16.5" spans="1:11">
      <c r="A28" s="93">
        <v>1027</v>
      </c>
      <c r="B28" s="97" t="s">
        <v>32</v>
      </c>
      <c r="C28" s="97">
        <v>500</v>
      </c>
      <c r="D28" s="93">
        <v>100</v>
      </c>
      <c r="E28" s="93">
        <v>999</v>
      </c>
      <c r="F28" s="93">
        <v>-1</v>
      </c>
      <c r="G28" s="97">
        <v>9999</v>
      </c>
      <c r="H28" s="93">
        <v>2</v>
      </c>
      <c r="I28" s="93">
        <v>1</v>
      </c>
      <c r="J28" s="93">
        <v>0</v>
      </c>
      <c r="K28" s="90" t="s">
        <v>33</v>
      </c>
    </row>
    <row r="29" ht="16.5" spans="1:11">
      <c r="A29" s="93">
        <v>1028</v>
      </c>
      <c r="B29" s="97" t="s">
        <v>32</v>
      </c>
      <c r="C29" s="93">
        <v>400</v>
      </c>
      <c r="D29" s="93">
        <v>100</v>
      </c>
      <c r="E29" s="93">
        <v>999</v>
      </c>
      <c r="F29" s="93">
        <v>-1</v>
      </c>
      <c r="G29" s="97">
        <v>9999</v>
      </c>
      <c r="H29" s="93">
        <v>2</v>
      </c>
      <c r="I29" s="93">
        <v>1</v>
      </c>
      <c r="J29" s="93">
        <v>1</v>
      </c>
      <c r="K29" s="90" t="s">
        <v>33</v>
      </c>
    </row>
    <row r="30" ht="16.5" spans="1:11">
      <c r="A30" s="93">
        <v>1029</v>
      </c>
      <c r="B30" s="97" t="s">
        <v>34</v>
      </c>
      <c r="C30" s="97">
        <v>500</v>
      </c>
      <c r="D30" s="93">
        <v>100</v>
      </c>
      <c r="E30" s="93">
        <v>999</v>
      </c>
      <c r="F30" s="93">
        <v>-1</v>
      </c>
      <c r="G30" s="97">
        <v>9999</v>
      </c>
      <c r="H30" s="93">
        <v>2</v>
      </c>
      <c r="I30" s="93">
        <v>1</v>
      </c>
      <c r="J30" s="93">
        <v>0</v>
      </c>
      <c r="K30" s="91" t="s">
        <v>35</v>
      </c>
    </row>
    <row r="31" ht="16.5" spans="1:11">
      <c r="A31" s="93">
        <v>1030</v>
      </c>
      <c r="B31" s="97" t="s">
        <v>34</v>
      </c>
      <c r="C31" s="93">
        <v>400</v>
      </c>
      <c r="D31" s="93">
        <v>100</v>
      </c>
      <c r="E31" s="93">
        <v>999</v>
      </c>
      <c r="F31" s="93">
        <v>-1</v>
      </c>
      <c r="G31" s="97">
        <v>9999</v>
      </c>
      <c r="H31" s="93">
        <v>2</v>
      </c>
      <c r="I31" s="93">
        <v>1</v>
      </c>
      <c r="J31" s="93">
        <v>1</v>
      </c>
      <c r="K31" s="91" t="s">
        <v>35</v>
      </c>
    </row>
    <row r="32" ht="16.5" spans="1:11">
      <c r="A32" s="93">
        <v>1031</v>
      </c>
      <c r="B32" s="98" t="s">
        <v>20</v>
      </c>
      <c r="C32" s="93">
        <v>100</v>
      </c>
      <c r="D32" s="93">
        <v>20</v>
      </c>
      <c r="E32" s="93">
        <v>999</v>
      </c>
      <c r="F32" s="93">
        <v>-1</v>
      </c>
      <c r="G32" s="97">
        <v>9999</v>
      </c>
      <c r="H32" s="93">
        <v>2</v>
      </c>
      <c r="I32" s="93">
        <v>1</v>
      </c>
      <c r="J32" s="93">
        <v>0</v>
      </c>
      <c r="K32" s="90" t="s">
        <v>21</v>
      </c>
    </row>
    <row r="33" ht="16.5" spans="1:11">
      <c r="A33" s="93">
        <v>1032</v>
      </c>
      <c r="B33" s="98" t="s">
        <v>20</v>
      </c>
      <c r="C33" s="93">
        <v>100</v>
      </c>
      <c r="D33" s="93">
        <v>20</v>
      </c>
      <c r="E33" s="93">
        <v>999</v>
      </c>
      <c r="F33" s="93">
        <v>-1</v>
      </c>
      <c r="G33" s="97">
        <v>9999</v>
      </c>
      <c r="H33" s="93">
        <v>2</v>
      </c>
      <c r="I33" s="93">
        <v>1</v>
      </c>
      <c r="J33" s="93">
        <v>0</v>
      </c>
      <c r="K33" s="90" t="s">
        <v>21</v>
      </c>
    </row>
    <row r="34" ht="16.5" spans="1:11">
      <c r="A34" s="93">
        <v>1033</v>
      </c>
      <c r="B34" s="98" t="s">
        <v>20</v>
      </c>
      <c r="C34" s="93">
        <v>100</v>
      </c>
      <c r="D34" s="93">
        <v>20</v>
      </c>
      <c r="E34" s="93">
        <v>999</v>
      </c>
      <c r="F34" s="93">
        <v>-1</v>
      </c>
      <c r="G34" s="97">
        <v>9999</v>
      </c>
      <c r="H34" s="93">
        <v>2</v>
      </c>
      <c r="I34" s="93">
        <v>1</v>
      </c>
      <c r="J34" s="93">
        <v>0</v>
      </c>
      <c r="K34" s="90" t="s">
        <v>21</v>
      </c>
    </row>
    <row r="35" ht="16.5" spans="1:11">
      <c r="A35" s="93">
        <v>1034</v>
      </c>
      <c r="B35" s="98" t="s">
        <v>20</v>
      </c>
      <c r="C35" s="93">
        <v>100</v>
      </c>
      <c r="D35" s="93">
        <v>20</v>
      </c>
      <c r="E35" s="93">
        <v>999</v>
      </c>
      <c r="F35" s="93">
        <v>-1</v>
      </c>
      <c r="G35" s="97">
        <v>9999</v>
      </c>
      <c r="H35" s="93">
        <v>2</v>
      </c>
      <c r="I35" s="93">
        <v>1</v>
      </c>
      <c r="J35" s="93">
        <v>0</v>
      </c>
      <c r="K35" s="90" t="s">
        <v>21</v>
      </c>
    </row>
    <row r="36" spans="1:11">
      <c r="A36" s="93">
        <v>1035</v>
      </c>
      <c r="B36" s="97" t="s">
        <v>36</v>
      </c>
      <c r="C36" s="97">
        <v>200</v>
      </c>
      <c r="D36" s="97">
        <v>100</v>
      </c>
      <c r="E36" s="93">
        <v>999</v>
      </c>
      <c r="F36" s="93">
        <v>-1</v>
      </c>
      <c r="G36" s="97">
        <v>9999</v>
      </c>
      <c r="H36" s="93">
        <v>3</v>
      </c>
      <c r="I36" s="93">
        <v>1</v>
      </c>
      <c r="J36" s="93">
        <v>0</v>
      </c>
      <c r="K36" s="100" t="s">
        <v>37</v>
      </c>
    </row>
    <row r="37" spans="1:11">
      <c r="A37" s="93">
        <v>1036</v>
      </c>
      <c r="B37" s="97" t="s">
        <v>36</v>
      </c>
      <c r="C37" s="97">
        <v>200</v>
      </c>
      <c r="D37" s="97">
        <v>100</v>
      </c>
      <c r="E37" s="93">
        <v>999</v>
      </c>
      <c r="F37" s="93">
        <v>-1</v>
      </c>
      <c r="G37" s="97">
        <v>9999</v>
      </c>
      <c r="H37" s="93">
        <v>3</v>
      </c>
      <c r="I37" s="93">
        <v>1</v>
      </c>
      <c r="J37" s="93">
        <v>1</v>
      </c>
      <c r="K37" s="100" t="s">
        <v>37</v>
      </c>
    </row>
    <row r="38" spans="1:11">
      <c r="A38" s="93">
        <v>1037</v>
      </c>
      <c r="B38" s="97" t="s">
        <v>38</v>
      </c>
      <c r="C38" s="97">
        <v>200</v>
      </c>
      <c r="D38" s="97">
        <v>100</v>
      </c>
      <c r="E38" s="93">
        <v>999</v>
      </c>
      <c r="F38" s="93">
        <v>-1</v>
      </c>
      <c r="G38" s="97">
        <v>9999</v>
      </c>
      <c r="H38" s="93">
        <v>3</v>
      </c>
      <c r="I38" s="93">
        <v>1</v>
      </c>
      <c r="J38" s="93">
        <v>0</v>
      </c>
      <c r="K38" s="100" t="s">
        <v>39</v>
      </c>
    </row>
    <row r="39" spans="1:11">
      <c r="A39" s="93">
        <v>1038</v>
      </c>
      <c r="B39" s="97" t="s">
        <v>38</v>
      </c>
      <c r="C39" s="97">
        <v>200</v>
      </c>
      <c r="D39" s="97">
        <v>100</v>
      </c>
      <c r="E39" s="93">
        <v>999</v>
      </c>
      <c r="F39" s="93">
        <v>-1</v>
      </c>
      <c r="G39" s="97">
        <v>9999</v>
      </c>
      <c r="H39" s="93">
        <v>3</v>
      </c>
      <c r="I39" s="93">
        <v>1</v>
      </c>
      <c r="J39" s="93">
        <v>1</v>
      </c>
      <c r="K39" s="100" t="s">
        <v>39</v>
      </c>
    </row>
    <row r="40" spans="1:11">
      <c r="A40" s="93">
        <v>1039</v>
      </c>
      <c r="B40" s="97" t="s">
        <v>40</v>
      </c>
      <c r="C40" s="97">
        <v>250</v>
      </c>
      <c r="D40" s="97">
        <v>125</v>
      </c>
      <c r="E40" s="93">
        <v>999</v>
      </c>
      <c r="F40" s="93">
        <v>-1</v>
      </c>
      <c r="G40" s="97">
        <v>9999</v>
      </c>
      <c r="H40" s="93">
        <v>3</v>
      </c>
      <c r="I40" s="93">
        <v>1</v>
      </c>
      <c r="J40" s="93">
        <v>0</v>
      </c>
      <c r="K40" s="100" t="s">
        <v>41</v>
      </c>
    </row>
    <row r="41" spans="1:11">
      <c r="A41" s="93">
        <v>1040</v>
      </c>
      <c r="B41" s="97" t="s">
        <v>42</v>
      </c>
      <c r="C41" s="97">
        <v>250</v>
      </c>
      <c r="D41" s="97">
        <v>125</v>
      </c>
      <c r="E41" s="93">
        <v>999</v>
      </c>
      <c r="F41" s="93">
        <v>-1</v>
      </c>
      <c r="G41" s="97">
        <v>9999</v>
      </c>
      <c r="H41" s="93">
        <v>3</v>
      </c>
      <c r="I41" s="93">
        <v>1</v>
      </c>
      <c r="J41" s="93">
        <v>0</v>
      </c>
      <c r="K41" s="100" t="s">
        <v>43</v>
      </c>
    </row>
    <row r="42" spans="1:11">
      <c r="A42" s="93">
        <v>1041</v>
      </c>
      <c r="B42" s="97" t="s">
        <v>44</v>
      </c>
      <c r="C42" s="97">
        <v>250</v>
      </c>
      <c r="D42" s="97">
        <v>125</v>
      </c>
      <c r="E42" s="93">
        <v>999</v>
      </c>
      <c r="F42" s="93">
        <v>-1</v>
      </c>
      <c r="G42" s="97">
        <v>9999</v>
      </c>
      <c r="H42" s="93">
        <v>3</v>
      </c>
      <c r="I42" s="93">
        <v>1</v>
      </c>
      <c r="J42" s="93">
        <v>0</v>
      </c>
      <c r="K42" s="100" t="s">
        <v>45</v>
      </c>
    </row>
    <row r="43" spans="1:11">
      <c r="A43" s="93">
        <v>1042</v>
      </c>
      <c r="B43" s="97" t="s">
        <v>46</v>
      </c>
      <c r="C43" s="97">
        <v>360</v>
      </c>
      <c r="D43" s="97">
        <v>180</v>
      </c>
      <c r="E43" s="93">
        <v>999</v>
      </c>
      <c r="F43" s="93">
        <v>-1</v>
      </c>
      <c r="G43" s="97">
        <v>9999</v>
      </c>
      <c r="H43" s="93">
        <v>3</v>
      </c>
      <c r="I43" s="93">
        <v>1</v>
      </c>
      <c r="J43" s="93">
        <v>0</v>
      </c>
      <c r="K43" s="100" t="s">
        <v>47</v>
      </c>
    </row>
    <row r="44" spans="1:11">
      <c r="A44" s="93">
        <v>1043</v>
      </c>
      <c r="B44" s="97" t="s">
        <v>48</v>
      </c>
      <c r="C44" s="97">
        <v>250</v>
      </c>
      <c r="D44" s="97">
        <v>125</v>
      </c>
      <c r="E44" s="93">
        <v>999</v>
      </c>
      <c r="F44" s="93">
        <v>-1</v>
      </c>
      <c r="G44" s="97">
        <v>9999</v>
      </c>
      <c r="H44" s="93">
        <v>3</v>
      </c>
      <c r="I44" s="93">
        <v>1</v>
      </c>
      <c r="J44" s="93">
        <v>0</v>
      </c>
      <c r="K44" s="100" t="s">
        <v>49</v>
      </c>
    </row>
    <row r="45" spans="1:11">
      <c r="A45" s="93">
        <v>1044</v>
      </c>
      <c r="B45" s="97" t="s">
        <v>50</v>
      </c>
      <c r="C45" s="97">
        <v>360</v>
      </c>
      <c r="D45" s="97">
        <v>180</v>
      </c>
      <c r="E45" s="93">
        <v>999</v>
      </c>
      <c r="F45" s="93">
        <v>-1</v>
      </c>
      <c r="G45" s="97">
        <v>9999</v>
      </c>
      <c r="H45" s="93">
        <v>3</v>
      </c>
      <c r="I45" s="93">
        <v>1</v>
      </c>
      <c r="J45" s="93">
        <v>0</v>
      </c>
      <c r="K45" s="100" t="s">
        <v>51</v>
      </c>
    </row>
    <row r="46" spans="1:11">
      <c r="A46" s="93">
        <v>1045</v>
      </c>
      <c r="B46" s="97" t="s">
        <v>52</v>
      </c>
      <c r="C46" s="97">
        <v>200</v>
      </c>
      <c r="D46" s="97">
        <v>100</v>
      </c>
      <c r="E46" s="93">
        <v>999</v>
      </c>
      <c r="F46" s="93">
        <v>-1</v>
      </c>
      <c r="G46" s="97">
        <v>9999</v>
      </c>
      <c r="H46" s="93">
        <v>3</v>
      </c>
      <c r="I46" s="93">
        <v>1</v>
      </c>
      <c r="J46" s="93">
        <v>0</v>
      </c>
      <c r="K46" s="100" t="s">
        <v>53</v>
      </c>
    </row>
    <row r="47" spans="1:11">
      <c r="A47" s="93">
        <v>1046</v>
      </c>
      <c r="B47" s="97" t="s">
        <v>54</v>
      </c>
      <c r="C47" s="97">
        <v>200</v>
      </c>
      <c r="D47" s="97">
        <v>100</v>
      </c>
      <c r="E47" s="93">
        <v>999</v>
      </c>
      <c r="F47" s="93">
        <v>-1</v>
      </c>
      <c r="G47" s="97">
        <v>9999</v>
      </c>
      <c r="H47" s="93">
        <v>3</v>
      </c>
      <c r="I47" s="93">
        <v>1</v>
      </c>
      <c r="J47" s="93">
        <v>0</v>
      </c>
      <c r="K47" s="100" t="s">
        <v>55</v>
      </c>
    </row>
    <row r="48" spans="1:11">
      <c r="A48" s="93">
        <v>1047</v>
      </c>
      <c r="B48" s="97" t="s">
        <v>56</v>
      </c>
      <c r="C48" s="97">
        <v>250</v>
      </c>
      <c r="D48" s="97">
        <v>125</v>
      </c>
      <c r="E48" s="93">
        <v>999</v>
      </c>
      <c r="F48" s="93">
        <v>-1</v>
      </c>
      <c r="G48" s="97">
        <v>9999</v>
      </c>
      <c r="H48" s="93">
        <v>3</v>
      </c>
      <c r="I48" s="93">
        <v>1</v>
      </c>
      <c r="J48" s="93">
        <v>0</v>
      </c>
      <c r="K48" s="100" t="s">
        <v>57</v>
      </c>
    </row>
    <row r="49" spans="1:11">
      <c r="A49" s="93">
        <v>1048</v>
      </c>
      <c r="B49" s="97" t="s">
        <v>58</v>
      </c>
      <c r="C49" s="97">
        <v>250</v>
      </c>
      <c r="D49" s="97">
        <v>125</v>
      </c>
      <c r="E49" s="93">
        <v>999</v>
      </c>
      <c r="F49" s="93">
        <v>-1</v>
      </c>
      <c r="G49" s="97">
        <v>9999</v>
      </c>
      <c r="H49" s="93">
        <v>3</v>
      </c>
      <c r="I49" s="93">
        <v>1</v>
      </c>
      <c r="J49" s="93">
        <v>0</v>
      </c>
      <c r="K49" s="100" t="s">
        <v>59</v>
      </c>
    </row>
    <row r="50" spans="1:11">
      <c r="A50" s="93">
        <v>1049</v>
      </c>
      <c r="B50" s="97" t="s">
        <v>60</v>
      </c>
      <c r="C50" s="97">
        <v>250</v>
      </c>
      <c r="D50" s="97">
        <v>125</v>
      </c>
      <c r="E50" s="93">
        <v>999</v>
      </c>
      <c r="F50" s="93">
        <v>-1</v>
      </c>
      <c r="G50" s="97">
        <v>9999</v>
      </c>
      <c r="H50" s="93">
        <v>3</v>
      </c>
      <c r="I50" s="93">
        <v>1</v>
      </c>
      <c r="J50" s="93">
        <v>0</v>
      </c>
      <c r="K50" s="100" t="s">
        <v>61</v>
      </c>
    </row>
    <row r="51" spans="1:11">
      <c r="A51" s="93">
        <v>1050</v>
      </c>
      <c r="B51" s="97" t="s">
        <v>62</v>
      </c>
      <c r="C51" s="97">
        <v>360</v>
      </c>
      <c r="D51" s="97">
        <v>250</v>
      </c>
      <c r="E51" s="93">
        <v>999</v>
      </c>
      <c r="F51" s="93">
        <v>-1</v>
      </c>
      <c r="G51" s="97">
        <v>9999</v>
      </c>
      <c r="H51" s="93">
        <v>3</v>
      </c>
      <c r="I51" s="93">
        <v>1</v>
      </c>
      <c r="J51" s="93">
        <v>0</v>
      </c>
      <c r="K51" s="101" t="s">
        <v>63</v>
      </c>
    </row>
    <row r="52" spans="1:11">
      <c r="A52" s="93">
        <v>1051</v>
      </c>
      <c r="B52" s="97" t="s">
        <v>64</v>
      </c>
      <c r="C52" s="97">
        <v>200</v>
      </c>
      <c r="D52" s="97">
        <v>100</v>
      </c>
      <c r="E52" s="93">
        <v>999</v>
      </c>
      <c r="F52" s="93">
        <v>-1</v>
      </c>
      <c r="G52" s="97">
        <v>9999</v>
      </c>
      <c r="H52" s="93">
        <v>3</v>
      </c>
      <c r="I52" s="93">
        <v>1</v>
      </c>
      <c r="J52" s="93">
        <v>0</v>
      </c>
      <c r="K52" s="100" t="s">
        <v>65</v>
      </c>
    </row>
    <row r="53" spans="1:11">
      <c r="A53" s="93">
        <v>1052</v>
      </c>
      <c r="B53" s="97" t="s">
        <v>66</v>
      </c>
      <c r="C53" s="97">
        <v>200</v>
      </c>
      <c r="D53" s="97">
        <v>100</v>
      </c>
      <c r="E53" s="93">
        <v>999</v>
      </c>
      <c r="F53" s="93">
        <v>-1</v>
      </c>
      <c r="G53" s="97">
        <v>9999</v>
      </c>
      <c r="H53" s="93">
        <v>3</v>
      </c>
      <c r="I53" s="93">
        <v>1</v>
      </c>
      <c r="J53" s="93">
        <v>0</v>
      </c>
      <c r="K53" s="100" t="s">
        <v>67</v>
      </c>
    </row>
    <row r="54" spans="1:11">
      <c r="A54" s="93">
        <v>1053</v>
      </c>
      <c r="B54" s="97" t="s">
        <v>68</v>
      </c>
      <c r="C54" s="97">
        <v>250</v>
      </c>
      <c r="D54" s="97">
        <v>125</v>
      </c>
      <c r="E54" s="93">
        <v>999</v>
      </c>
      <c r="F54" s="93">
        <v>-1</v>
      </c>
      <c r="G54" s="97">
        <v>9999</v>
      </c>
      <c r="H54" s="93">
        <v>3</v>
      </c>
      <c r="I54" s="93">
        <v>1</v>
      </c>
      <c r="J54" s="93">
        <v>0</v>
      </c>
      <c r="K54" s="100" t="s">
        <v>69</v>
      </c>
    </row>
    <row r="55" spans="1:11">
      <c r="A55" s="93">
        <v>1054</v>
      </c>
      <c r="B55" s="97" t="s">
        <v>70</v>
      </c>
      <c r="C55" s="97">
        <v>200</v>
      </c>
      <c r="D55" s="97">
        <v>100</v>
      </c>
      <c r="E55" s="93">
        <v>999</v>
      </c>
      <c r="F55" s="93">
        <v>-1</v>
      </c>
      <c r="G55" s="97">
        <v>9999</v>
      </c>
      <c r="H55" s="93">
        <v>3</v>
      </c>
      <c r="I55" s="93">
        <v>1</v>
      </c>
      <c r="J55" s="93">
        <v>0</v>
      </c>
      <c r="K55" s="100" t="s">
        <v>71</v>
      </c>
    </row>
    <row r="56" spans="1:11">
      <c r="A56" s="93">
        <v>1055</v>
      </c>
      <c r="B56" s="97" t="s">
        <v>72</v>
      </c>
      <c r="C56" s="97">
        <v>200</v>
      </c>
      <c r="D56" s="97">
        <v>100</v>
      </c>
      <c r="E56" s="93">
        <v>999</v>
      </c>
      <c r="F56" s="93">
        <v>-1</v>
      </c>
      <c r="G56" s="97">
        <v>9999</v>
      </c>
      <c r="H56" s="93">
        <v>3</v>
      </c>
      <c r="I56" s="93">
        <v>1</v>
      </c>
      <c r="J56" s="93">
        <v>0</v>
      </c>
      <c r="K56" s="100" t="s">
        <v>73</v>
      </c>
    </row>
    <row r="57" spans="1:11">
      <c r="A57" s="93">
        <v>1056</v>
      </c>
      <c r="B57" s="97" t="s">
        <v>74</v>
      </c>
      <c r="C57" s="97">
        <v>250</v>
      </c>
      <c r="D57" s="97">
        <v>125</v>
      </c>
      <c r="E57" s="93">
        <v>999</v>
      </c>
      <c r="F57" s="93">
        <v>-1</v>
      </c>
      <c r="G57" s="97">
        <v>9999</v>
      </c>
      <c r="H57" s="93">
        <v>3</v>
      </c>
      <c r="I57" s="93">
        <v>1</v>
      </c>
      <c r="J57" s="93">
        <v>0</v>
      </c>
      <c r="K57" s="100" t="s">
        <v>75</v>
      </c>
    </row>
    <row r="58" spans="1:11">
      <c r="A58" s="93">
        <v>1057</v>
      </c>
      <c r="B58" s="97" t="s">
        <v>76</v>
      </c>
      <c r="C58" s="97">
        <v>200</v>
      </c>
      <c r="D58" s="97">
        <v>100</v>
      </c>
      <c r="E58" s="93">
        <v>999</v>
      </c>
      <c r="F58" s="93">
        <v>-1</v>
      </c>
      <c r="G58" s="97">
        <v>9999</v>
      </c>
      <c r="H58" s="93">
        <v>3</v>
      </c>
      <c r="I58" s="93">
        <v>1</v>
      </c>
      <c r="J58" s="93">
        <v>0</v>
      </c>
      <c r="K58" s="100" t="s">
        <v>77</v>
      </c>
    </row>
    <row r="59" spans="1:11">
      <c r="A59" s="93">
        <v>1058</v>
      </c>
      <c r="B59" s="97" t="s">
        <v>78</v>
      </c>
      <c r="C59" s="97">
        <v>200</v>
      </c>
      <c r="D59" s="97">
        <v>100</v>
      </c>
      <c r="E59" s="93">
        <v>999</v>
      </c>
      <c r="F59" s="93">
        <v>-1</v>
      </c>
      <c r="G59" s="97">
        <v>9999</v>
      </c>
      <c r="H59" s="93">
        <v>3</v>
      </c>
      <c r="I59" s="93">
        <v>1</v>
      </c>
      <c r="J59" s="93">
        <v>0</v>
      </c>
      <c r="K59" s="100" t="s">
        <v>79</v>
      </c>
    </row>
    <row r="60" spans="1:11">
      <c r="A60" s="93">
        <v>1059</v>
      </c>
      <c r="B60" s="97" t="s">
        <v>80</v>
      </c>
      <c r="C60" s="97">
        <v>250</v>
      </c>
      <c r="D60" s="97">
        <v>125</v>
      </c>
      <c r="E60" s="93">
        <v>999</v>
      </c>
      <c r="F60" s="93">
        <v>-1</v>
      </c>
      <c r="G60" s="97">
        <v>9999</v>
      </c>
      <c r="H60" s="93">
        <v>3</v>
      </c>
      <c r="I60" s="93">
        <v>1</v>
      </c>
      <c r="J60" s="93">
        <v>0</v>
      </c>
      <c r="K60" s="100" t="s">
        <v>81</v>
      </c>
    </row>
    <row r="61" spans="1:11">
      <c r="A61" s="93">
        <v>1060</v>
      </c>
      <c r="B61" s="97" t="s">
        <v>82</v>
      </c>
      <c r="C61" s="97">
        <v>360</v>
      </c>
      <c r="D61" s="97">
        <v>180</v>
      </c>
      <c r="E61" s="93">
        <v>999</v>
      </c>
      <c r="F61" s="93">
        <v>-1</v>
      </c>
      <c r="G61" s="97">
        <v>9999</v>
      </c>
      <c r="H61" s="93">
        <v>3</v>
      </c>
      <c r="I61" s="93">
        <v>1</v>
      </c>
      <c r="J61" s="93">
        <v>0</v>
      </c>
      <c r="K61" s="100" t="s">
        <v>83</v>
      </c>
    </row>
    <row r="62" spans="1:11">
      <c r="A62" s="93">
        <v>1061</v>
      </c>
      <c r="B62" s="97" t="s">
        <v>84</v>
      </c>
      <c r="C62" s="97">
        <v>360</v>
      </c>
      <c r="D62" s="97">
        <v>180</v>
      </c>
      <c r="E62" s="93">
        <v>999</v>
      </c>
      <c r="F62" s="93">
        <v>-1</v>
      </c>
      <c r="G62" s="97">
        <v>9999</v>
      </c>
      <c r="H62" s="93">
        <v>3</v>
      </c>
      <c r="I62" s="93">
        <v>1</v>
      </c>
      <c r="J62" s="93">
        <v>0</v>
      </c>
      <c r="K62" s="100" t="s">
        <v>85</v>
      </c>
    </row>
    <row r="63" spans="1:11">
      <c r="A63" s="93">
        <v>1062</v>
      </c>
      <c r="B63" s="97" t="s">
        <v>86</v>
      </c>
      <c r="C63" s="97">
        <v>250</v>
      </c>
      <c r="D63" s="97">
        <v>125</v>
      </c>
      <c r="E63" s="93">
        <v>999</v>
      </c>
      <c r="F63" s="93">
        <v>-1</v>
      </c>
      <c r="G63" s="97">
        <v>9999</v>
      </c>
      <c r="H63" s="93">
        <v>3</v>
      </c>
      <c r="I63" s="93">
        <v>1</v>
      </c>
      <c r="J63" s="93">
        <v>0</v>
      </c>
      <c r="K63" s="100" t="s">
        <v>87</v>
      </c>
    </row>
    <row r="64" spans="1:11">
      <c r="A64" s="93">
        <v>1063</v>
      </c>
      <c r="B64" s="97" t="s">
        <v>88</v>
      </c>
      <c r="C64" s="97">
        <v>1250</v>
      </c>
      <c r="D64" s="97">
        <v>625</v>
      </c>
      <c r="E64" s="93">
        <v>999</v>
      </c>
      <c r="F64" s="93">
        <v>-1</v>
      </c>
      <c r="G64" s="97">
        <v>9999</v>
      </c>
      <c r="H64" s="93">
        <v>3</v>
      </c>
      <c r="I64" s="93">
        <v>1</v>
      </c>
      <c r="J64" s="93">
        <v>0</v>
      </c>
      <c r="K64" s="101" t="s">
        <v>89</v>
      </c>
    </row>
    <row r="65" spans="1:11">
      <c r="A65" s="93">
        <v>1064</v>
      </c>
      <c r="B65" s="97" t="s">
        <v>88</v>
      </c>
      <c r="C65" s="97">
        <v>1000</v>
      </c>
      <c r="D65" s="97">
        <v>625</v>
      </c>
      <c r="E65" s="93">
        <v>999</v>
      </c>
      <c r="F65" s="93">
        <v>-1</v>
      </c>
      <c r="G65" s="97">
        <v>9999</v>
      </c>
      <c r="H65" s="93">
        <v>3</v>
      </c>
      <c r="I65" s="93">
        <v>1</v>
      </c>
      <c r="J65" s="93">
        <v>0</v>
      </c>
      <c r="K65" s="101" t="s">
        <v>89</v>
      </c>
    </row>
    <row r="66" spans="1:11">
      <c r="A66" s="93">
        <v>1065</v>
      </c>
      <c r="B66" s="97" t="s">
        <v>90</v>
      </c>
      <c r="C66" s="97">
        <v>500</v>
      </c>
      <c r="D66" s="97">
        <v>250</v>
      </c>
      <c r="E66" s="93">
        <v>999</v>
      </c>
      <c r="F66" s="93">
        <v>-1</v>
      </c>
      <c r="G66" s="97">
        <v>9999</v>
      </c>
      <c r="H66" s="93">
        <v>3</v>
      </c>
      <c r="I66" s="93">
        <v>1</v>
      </c>
      <c r="J66" s="93">
        <v>0</v>
      </c>
      <c r="K66" s="101" t="s">
        <v>91</v>
      </c>
    </row>
    <row r="67" spans="1:11">
      <c r="A67" s="93">
        <v>1066</v>
      </c>
      <c r="B67" s="97" t="s">
        <v>92</v>
      </c>
      <c r="C67" s="97">
        <v>500</v>
      </c>
      <c r="D67" s="97">
        <v>250</v>
      </c>
      <c r="E67" s="93">
        <v>999</v>
      </c>
      <c r="F67" s="93">
        <v>-1</v>
      </c>
      <c r="G67" s="97">
        <v>9999</v>
      </c>
      <c r="H67" s="93">
        <v>3</v>
      </c>
      <c r="I67" s="93">
        <v>1</v>
      </c>
      <c r="J67" s="93">
        <v>0</v>
      </c>
      <c r="K67" s="101" t="s">
        <v>93</v>
      </c>
    </row>
    <row r="68" spans="1:11">
      <c r="A68" s="93">
        <v>1067</v>
      </c>
      <c r="B68" s="97" t="s">
        <v>94</v>
      </c>
      <c r="C68" s="97">
        <v>500</v>
      </c>
      <c r="D68" s="97">
        <v>250</v>
      </c>
      <c r="E68" s="93">
        <v>999</v>
      </c>
      <c r="F68" s="93">
        <v>-1</v>
      </c>
      <c r="G68" s="97">
        <v>9999</v>
      </c>
      <c r="H68" s="93">
        <v>3</v>
      </c>
      <c r="I68" s="93">
        <v>1</v>
      </c>
      <c r="J68" s="93">
        <v>0</v>
      </c>
      <c r="K68" s="101" t="s">
        <v>95</v>
      </c>
    </row>
    <row r="69" spans="1:11">
      <c r="A69" s="93">
        <v>1068</v>
      </c>
      <c r="B69" s="97" t="s">
        <v>96</v>
      </c>
      <c r="C69" s="97">
        <v>500</v>
      </c>
      <c r="D69" s="97">
        <v>250</v>
      </c>
      <c r="E69" s="93">
        <v>999</v>
      </c>
      <c r="F69" s="93">
        <v>-1</v>
      </c>
      <c r="G69" s="97">
        <v>9999</v>
      </c>
      <c r="H69" s="93">
        <v>3</v>
      </c>
      <c r="I69" s="93">
        <v>1</v>
      </c>
      <c r="J69" s="93">
        <v>0</v>
      </c>
      <c r="K69" s="101" t="s">
        <v>97</v>
      </c>
    </row>
    <row r="70" spans="1:11">
      <c r="A70" s="93">
        <v>1069</v>
      </c>
      <c r="B70" s="97" t="s">
        <v>98</v>
      </c>
      <c r="C70" s="97">
        <v>1250</v>
      </c>
      <c r="D70" s="97">
        <v>625</v>
      </c>
      <c r="E70" s="93">
        <v>999</v>
      </c>
      <c r="F70" s="93">
        <v>-1</v>
      </c>
      <c r="G70" s="97">
        <v>9999</v>
      </c>
      <c r="H70" s="93">
        <v>3</v>
      </c>
      <c r="I70" s="93">
        <v>1</v>
      </c>
      <c r="J70" s="93">
        <v>0</v>
      </c>
      <c r="K70" s="101" t="s">
        <v>99</v>
      </c>
    </row>
    <row r="71" spans="1:11">
      <c r="A71" s="93">
        <v>1070</v>
      </c>
      <c r="B71" s="97" t="s">
        <v>62</v>
      </c>
      <c r="C71" s="97">
        <v>500</v>
      </c>
      <c r="D71" s="97">
        <v>250</v>
      </c>
      <c r="E71" s="93">
        <v>999</v>
      </c>
      <c r="F71" s="93">
        <v>-1</v>
      </c>
      <c r="G71" s="97">
        <v>9999</v>
      </c>
      <c r="H71" s="93">
        <v>3</v>
      </c>
      <c r="I71" s="93">
        <v>1</v>
      </c>
      <c r="J71" s="93">
        <v>0</v>
      </c>
      <c r="K71" s="101" t="s">
        <v>63</v>
      </c>
    </row>
    <row r="72" spans="1:11">
      <c r="A72" s="93">
        <v>1071</v>
      </c>
      <c r="B72" s="97" t="s">
        <v>100</v>
      </c>
      <c r="C72" s="97">
        <v>1250</v>
      </c>
      <c r="D72" s="97">
        <v>625</v>
      </c>
      <c r="E72" s="93">
        <v>999</v>
      </c>
      <c r="F72" s="93">
        <v>-1</v>
      </c>
      <c r="G72" s="97">
        <v>9999</v>
      </c>
      <c r="H72" s="93">
        <v>3</v>
      </c>
      <c r="I72" s="93">
        <v>1</v>
      </c>
      <c r="J72" s="93">
        <v>0</v>
      </c>
      <c r="K72" s="101" t="s">
        <v>101</v>
      </c>
    </row>
    <row r="73" spans="1:11">
      <c r="A73" s="93">
        <v>1072</v>
      </c>
      <c r="B73" s="97" t="s">
        <v>102</v>
      </c>
      <c r="C73" s="97">
        <v>1250</v>
      </c>
      <c r="D73" s="97">
        <v>625</v>
      </c>
      <c r="E73" s="93">
        <v>999</v>
      </c>
      <c r="F73" s="93">
        <v>-1</v>
      </c>
      <c r="G73" s="97">
        <v>9999</v>
      </c>
      <c r="H73" s="93">
        <v>3</v>
      </c>
      <c r="I73" s="93">
        <v>1</v>
      </c>
      <c r="J73" s="93">
        <v>0</v>
      </c>
      <c r="K73" s="101" t="s">
        <v>103</v>
      </c>
    </row>
    <row r="74" spans="1:11">
      <c r="A74" s="93">
        <v>1073</v>
      </c>
      <c r="B74" s="97" t="s">
        <v>104</v>
      </c>
      <c r="C74" s="97">
        <v>1250</v>
      </c>
      <c r="D74" s="97">
        <v>625</v>
      </c>
      <c r="E74" s="93">
        <v>999</v>
      </c>
      <c r="F74" s="93">
        <v>-1</v>
      </c>
      <c r="G74" s="97">
        <v>9999</v>
      </c>
      <c r="H74" s="93">
        <v>3</v>
      </c>
      <c r="I74" s="93">
        <v>1</v>
      </c>
      <c r="J74" s="93">
        <v>0</v>
      </c>
      <c r="K74" s="101" t="s">
        <v>105</v>
      </c>
    </row>
    <row r="75" spans="1:11">
      <c r="A75" s="93">
        <v>1074</v>
      </c>
      <c r="B75" s="97" t="s">
        <v>106</v>
      </c>
      <c r="C75" s="97">
        <v>1250</v>
      </c>
      <c r="D75" s="97">
        <v>625</v>
      </c>
      <c r="E75" s="93">
        <v>999</v>
      </c>
      <c r="F75" s="93">
        <v>-1</v>
      </c>
      <c r="G75" s="97">
        <v>9999</v>
      </c>
      <c r="H75" s="93">
        <v>3</v>
      </c>
      <c r="I75" s="93">
        <v>1</v>
      </c>
      <c r="J75" s="93">
        <v>0</v>
      </c>
      <c r="K75" s="101" t="s">
        <v>107</v>
      </c>
    </row>
    <row r="76" spans="1:11">
      <c r="A76" s="93">
        <v>1075</v>
      </c>
      <c r="B76" s="97" t="s">
        <v>108</v>
      </c>
      <c r="C76" s="97">
        <v>1250</v>
      </c>
      <c r="D76" s="97">
        <v>625</v>
      </c>
      <c r="E76" s="93">
        <v>999</v>
      </c>
      <c r="F76" s="93">
        <v>-1</v>
      </c>
      <c r="G76" s="97">
        <v>9999</v>
      </c>
      <c r="H76" s="93">
        <v>3</v>
      </c>
      <c r="I76" s="93">
        <v>1</v>
      </c>
      <c r="J76" s="93">
        <v>0</v>
      </c>
      <c r="K76" s="101" t="s">
        <v>109</v>
      </c>
    </row>
    <row r="77" spans="1:11">
      <c r="A77" s="93">
        <v>1076</v>
      </c>
      <c r="B77" s="97" t="s">
        <v>110</v>
      </c>
      <c r="C77" s="97">
        <v>1250</v>
      </c>
      <c r="D77" s="97">
        <v>625</v>
      </c>
      <c r="E77" s="93">
        <v>999</v>
      </c>
      <c r="F77" s="93">
        <v>-1</v>
      </c>
      <c r="G77" s="97">
        <v>9999</v>
      </c>
      <c r="H77" s="93">
        <v>3</v>
      </c>
      <c r="I77" s="93">
        <v>1</v>
      </c>
      <c r="J77" s="93">
        <v>0</v>
      </c>
      <c r="K77" s="101" t="s">
        <v>111</v>
      </c>
    </row>
    <row r="78" spans="1:11">
      <c r="A78" s="93">
        <v>1077</v>
      </c>
      <c r="B78" s="97" t="s">
        <v>112</v>
      </c>
      <c r="C78" s="97">
        <v>1250</v>
      </c>
      <c r="D78" s="97">
        <v>625</v>
      </c>
      <c r="E78" s="93">
        <v>999</v>
      </c>
      <c r="F78" s="93">
        <v>-1</v>
      </c>
      <c r="G78" s="97">
        <v>9999</v>
      </c>
      <c r="H78" s="93">
        <v>3</v>
      </c>
      <c r="I78" s="93">
        <v>1</v>
      </c>
      <c r="J78" s="93">
        <v>0</v>
      </c>
      <c r="K78" s="101" t="s">
        <v>113</v>
      </c>
    </row>
    <row r="79" spans="1:11">
      <c r="A79" s="93">
        <v>1078</v>
      </c>
      <c r="B79" s="102" t="s">
        <v>114</v>
      </c>
      <c r="C79" s="97">
        <v>1500</v>
      </c>
      <c r="D79" s="97">
        <v>750</v>
      </c>
      <c r="E79" s="93">
        <v>999</v>
      </c>
      <c r="F79" s="93">
        <v>-1</v>
      </c>
      <c r="G79" s="97">
        <v>9999</v>
      </c>
      <c r="H79" s="93">
        <v>3</v>
      </c>
      <c r="I79" s="93">
        <v>1</v>
      </c>
      <c r="J79" s="93">
        <v>0</v>
      </c>
      <c r="K79" s="100" t="s">
        <v>115</v>
      </c>
    </row>
    <row r="80" spans="1:11">
      <c r="A80" s="93">
        <v>1079</v>
      </c>
      <c r="B80" s="102" t="s">
        <v>116</v>
      </c>
      <c r="C80" s="97">
        <v>500</v>
      </c>
      <c r="D80" s="97">
        <v>250</v>
      </c>
      <c r="E80" s="93">
        <v>999</v>
      </c>
      <c r="F80" s="93">
        <v>-1</v>
      </c>
      <c r="G80" s="97">
        <v>9999</v>
      </c>
      <c r="H80" s="93">
        <v>3</v>
      </c>
      <c r="I80" s="93">
        <v>1</v>
      </c>
      <c r="J80" s="93">
        <v>0</v>
      </c>
      <c r="K80" s="100" t="s">
        <v>117</v>
      </c>
    </row>
    <row r="81" spans="1:11">
      <c r="A81" s="93">
        <v>1080</v>
      </c>
      <c r="B81" s="102" t="s">
        <v>118</v>
      </c>
      <c r="C81" s="97">
        <v>500</v>
      </c>
      <c r="D81" s="97">
        <v>250</v>
      </c>
      <c r="E81" s="93">
        <v>999</v>
      </c>
      <c r="F81" s="93">
        <v>-1</v>
      </c>
      <c r="G81" s="97">
        <v>9999</v>
      </c>
      <c r="H81" s="93">
        <v>3</v>
      </c>
      <c r="I81" s="93">
        <v>1</v>
      </c>
      <c r="J81" s="93">
        <v>0</v>
      </c>
      <c r="K81" s="100" t="s">
        <v>119</v>
      </c>
    </row>
    <row r="82" spans="1:12">
      <c r="A82" s="93">
        <v>1081</v>
      </c>
      <c r="B82" s="97" t="s">
        <v>120</v>
      </c>
      <c r="C82" s="100">
        <v>25</v>
      </c>
      <c r="D82" s="100">
        <v>5</v>
      </c>
      <c r="E82" s="93">
        <v>999</v>
      </c>
      <c r="F82" s="93">
        <v>-1</v>
      </c>
      <c r="G82" s="97">
        <v>9999</v>
      </c>
      <c r="H82" s="93">
        <v>1</v>
      </c>
      <c r="I82" s="93">
        <v>1</v>
      </c>
      <c r="J82" s="93">
        <v>0</v>
      </c>
      <c r="K82" s="93" t="s">
        <v>121</v>
      </c>
      <c r="L82" s="93"/>
    </row>
    <row r="83" spans="1:12">
      <c r="A83" s="93">
        <v>1082</v>
      </c>
      <c r="B83" s="97" t="s">
        <v>122</v>
      </c>
      <c r="C83" s="100">
        <v>75</v>
      </c>
      <c r="D83" s="100">
        <v>15</v>
      </c>
      <c r="E83" s="93">
        <v>999</v>
      </c>
      <c r="F83" s="93">
        <v>-1</v>
      </c>
      <c r="G83" s="97">
        <v>9999</v>
      </c>
      <c r="H83" s="93">
        <v>1</v>
      </c>
      <c r="I83" s="93">
        <v>1</v>
      </c>
      <c r="J83" s="93">
        <v>0</v>
      </c>
      <c r="K83" s="93" t="s">
        <v>121</v>
      </c>
      <c r="L83" s="93"/>
    </row>
    <row r="84" spans="1:12">
      <c r="A84" s="93">
        <v>1083</v>
      </c>
      <c r="B84" s="97" t="s">
        <v>123</v>
      </c>
      <c r="C84" s="100">
        <v>225</v>
      </c>
      <c r="D84" s="100">
        <v>45</v>
      </c>
      <c r="E84" s="93">
        <v>999</v>
      </c>
      <c r="F84" s="93">
        <v>-1</v>
      </c>
      <c r="G84" s="97">
        <v>9999</v>
      </c>
      <c r="H84" s="93">
        <v>1</v>
      </c>
      <c r="I84" s="93">
        <v>1</v>
      </c>
      <c r="J84" s="93">
        <v>0</v>
      </c>
      <c r="K84" s="93" t="s">
        <v>121</v>
      </c>
      <c r="L84" s="93"/>
    </row>
    <row r="85" spans="1:12">
      <c r="A85" s="93">
        <v>1084</v>
      </c>
      <c r="B85" s="97" t="s">
        <v>124</v>
      </c>
      <c r="C85" s="100">
        <v>675</v>
      </c>
      <c r="D85" s="100">
        <v>135</v>
      </c>
      <c r="E85" s="93">
        <v>999</v>
      </c>
      <c r="F85" s="93">
        <v>-1</v>
      </c>
      <c r="G85" s="97">
        <v>9999</v>
      </c>
      <c r="H85" s="93">
        <v>1</v>
      </c>
      <c r="I85" s="93">
        <v>1</v>
      </c>
      <c r="J85" s="93">
        <v>0</v>
      </c>
      <c r="K85" s="93" t="s">
        <v>121</v>
      </c>
      <c r="L85" s="93"/>
    </row>
    <row r="86" spans="1:12">
      <c r="A86" s="93">
        <v>1085</v>
      </c>
      <c r="B86" s="97" t="s">
        <v>125</v>
      </c>
      <c r="C86" s="100">
        <v>2025</v>
      </c>
      <c r="D86" s="100">
        <v>405</v>
      </c>
      <c r="E86" s="93">
        <v>999</v>
      </c>
      <c r="F86" s="93">
        <v>-1</v>
      </c>
      <c r="G86" s="97">
        <v>9999</v>
      </c>
      <c r="H86" s="93">
        <v>1</v>
      </c>
      <c r="I86" s="93">
        <v>1</v>
      </c>
      <c r="J86" s="93">
        <v>0</v>
      </c>
      <c r="K86" s="93" t="s">
        <v>121</v>
      </c>
      <c r="L86" s="93"/>
    </row>
    <row r="87" spans="1:12">
      <c r="A87" s="93">
        <v>1086</v>
      </c>
      <c r="B87" s="97" t="s">
        <v>126</v>
      </c>
      <c r="C87" s="100">
        <v>25</v>
      </c>
      <c r="D87" s="100">
        <v>5</v>
      </c>
      <c r="E87" s="93">
        <v>999</v>
      </c>
      <c r="F87" s="93">
        <v>-1</v>
      </c>
      <c r="G87" s="97">
        <v>9999</v>
      </c>
      <c r="H87" s="93">
        <v>1</v>
      </c>
      <c r="I87" s="93">
        <v>1</v>
      </c>
      <c r="J87" s="93">
        <v>0</v>
      </c>
      <c r="K87" s="93" t="s">
        <v>121</v>
      </c>
      <c r="L87" s="93"/>
    </row>
    <row r="88" spans="1:12">
      <c r="A88" s="93">
        <v>1087</v>
      </c>
      <c r="B88" s="97" t="s">
        <v>127</v>
      </c>
      <c r="C88" s="100">
        <v>75</v>
      </c>
      <c r="D88" s="100">
        <v>15</v>
      </c>
      <c r="E88" s="93">
        <v>999</v>
      </c>
      <c r="F88" s="93">
        <v>-1</v>
      </c>
      <c r="G88" s="97">
        <v>9999</v>
      </c>
      <c r="H88" s="93">
        <v>1</v>
      </c>
      <c r="I88" s="93">
        <v>1</v>
      </c>
      <c r="J88" s="93">
        <v>0</v>
      </c>
      <c r="K88" s="93" t="s">
        <v>121</v>
      </c>
      <c r="L88" s="93"/>
    </row>
    <row r="89" spans="1:12">
      <c r="A89" s="93">
        <v>1088</v>
      </c>
      <c r="B89" s="97" t="s">
        <v>128</v>
      </c>
      <c r="C89" s="100">
        <v>225</v>
      </c>
      <c r="D89" s="100">
        <v>45</v>
      </c>
      <c r="E89" s="93">
        <v>999</v>
      </c>
      <c r="F89" s="93">
        <v>-1</v>
      </c>
      <c r="G89" s="97">
        <v>9999</v>
      </c>
      <c r="H89" s="93">
        <v>1</v>
      </c>
      <c r="I89" s="93">
        <v>1</v>
      </c>
      <c r="J89" s="93">
        <v>0</v>
      </c>
      <c r="K89" s="93" t="s">
        <v>121</v>
      </c>
      <c r="L89" s="93"/>
    </row>
    <row r="90" spans="1:12">
      <c r="A90" s="93">
        <v>1089</v>
      </c>
      <c r="B90" s="97" t="s">
        <v>129</v>
      </c>
      <c r="C90" s="100">
        <v>675</v>
      </c>
      <c r="D90" s="100">
        <v>135</v>
      </c>
      <c r="E90" s="93">
        <v>999</v>
      </c>
      <c r="F90" s="93">
        <v>-1</v>
      </c>
      <c r="G90" s="97">
        <v>9999</v>
      </c>
      <c r="H90" s="93">
        <v>1</v>
      </c>
      <c r="I90" s="93">
        <v>1</v>
      </c>
      <c r="J90" s="93">
        <v>0</v>
      </c>
      <c r="K90" s="93" t="s">
        <v>121</v>
      </c>
      <c r="L90" s="93"/>
    </row>
    <row r="91" spans="1:12">
      <c r="A91" s="93">
        <v>1090</v>
      </c>
      <c r="B91" s="97" t="s">
        <v>130</v>
      </c>
      <c r="C91" s="100">
        <v>2025</v>
      </c>
      <c r="D91" s="100">
        <v>405</v>
      </c>
      <c r="E91" s="93">
        <v>999</v>
      </c>
      <c r="F91" s="93">
        <v>-1</v>
      </c>
      <c r="G91" s="97">
        <v>9999</v>
      </c>
      <c r="H91" s="93">
        <v>1</v>
      </c>
      <c r="I91" s="93">
        <v>1</v>
      </c>
      <c r="J91" s="93">
        <v>0</v>
      </c>
      <c r="K91" s="93" t="s">
        <v>121</v>
      </c>
      <c r="L91" s="93"/>
    </row>
    <row r="92" spans="1:12">
      <c r="A92" s="93">
        <v>1091</v>
      </c>
      <c r="B92" s="97" t="s">
        <v>131</v>
      </c>
      <c r="C92" s="100">
        <v>25</v>
      </c>
      <c r="D92" s="100">
        <v>5</v>
      </c>
      <c r="E92" s="93">
        <v>999</v>
      </c>
      <c r="F92" s="93">
        <v>-1</v>
      </c>
      <c r="G92" s="97">
        <v>9999</v>
      </c>
      <c r="H92" s="93">
        <v>1</v>
      </c>
      <c r="I92" s="93">
        <v>1</v>
      </c>
      <c r="J92" s="93">
        <v>0</v>
      </c>
      <c r="K92" s="93" t="s">
        <v>121</v>
      </c>
      <c r="L92" s="93"/>
    </row>
    <row r="93" spans="1:12">
      <c r="A93" s="93">
        <v>1092</v>
      </c>
      <c r="B93" s="97" t="s">
        <v>132</v>
      </c>
      <c r="C93" s="100">
        <v>75</v>
      </c>
      <c r="D93" s="100">
        <v>15</v>
      </c>
      <c r="E93" s="93">
        <v>999</v>
      </c>
      <c r="F93" s="93">
        <v>-1</v>
      </c>
      <c r="G93" s="97">
        <v>9999</v>
      </c>
      <c r="H93" s="93">
        <v>1</v>
      </c>
      <c r="I93" s="93">
        <v>1</v>
      </c>
      <c r="J93" s="93">
        <v>0</v>
      </c>
      <c r="K93" s="93" t="s">
        <v>121</v>
      </c>
      <c r="L93" s="93"/>
    </row>
    <row r="94" spans="1:12">
      <c r="A94" s="93">
        <v>1093</v>
      </c>
      <c r="B94" s="97" t="s">
        <v>133</v>
      </c>
      <c r="C94" s="100">
        <v>225</v>
      </c>
      <c r="D94" s="100">
        <v>45</v>
      </c>
      <c r="E94" s="93">
        <v>999</v>
      </c>
      <c r="F94" s="93">
        <v>-1</v>
      </c>
      <c r="G94" s="97">
        <v>9999</v>
      </c>
      <c r="H94" s="93">
        <v>1</v>
      </c>
      <c r="I94" s="93">
        <v>1</v>
      </c>
      <c r="J94" s="93">
        <v>0</v>
      </c>
      <c r="K94" s="93" t="s">
        <v>121</v>
      </c>
      <c r="L94" s="93"/>
    </row>
    <row r="95" spans="1:12">
      <c r="A95" s="93">
        <v>1094</v>
      </c>
      <c r="B95" s="97" t="s">
        <v>134</v>
      </c>
      <c r="C95" s="100">
        <v>675</v>
      </c>
      <c r="D95" s="100">
        <v>135</v>
      </c>
      <c r="E95" s="93">
        <v>999</v>
      </c>
      <c r="F95" s="93">
        <v>-1</v>
      </c>
      <c r="G95" s="97">
        <v>9999</v>
      </c>
      <c r="H95" s="93">
        <v>1</v>
      </c>
      <c r="I95" s="93">
        <v>1</v>
      </c>
      <c r="J95" s="93">
        <v>0</v>
      </c>
      <c r="K95" s="93" t="s">
        <v>121</v>
      </c>
      <c r="L95" s="93"/>
    </row>
    <row r="96" spans="1:12">
      <c r="A96" s="93">
        <v>1095</v>
      </c>
      <c r="B96" s="97" t="s">
        <v>135</v>
      </c>
      <c r="C96" s="100">
        <v>2025</v>
      </c>
      <c r="D96" s="100">
        <v>405</v>
      </c>
      <c r="E96" s="93">
        <v>999</v>
      </c>
      <c r="F96" s="93">
        <v>-1</v>
      </c>
      <c r="G96" s="97">
        <v>9999</v>
      </c>
      <c r="H96" s="93">
        <v>1</v>
      </c>
      <c r="I96" s="93">
        <v>1</v>
      </c>
      <c r="J96" s="93">
        <v>0</v>
      </c>
      <c r="K96" s="93" t="s">
        <v>121</v>
      </c>
      <c r="L96" s="93"/>
    </row>
    <row r="97" ht="16.5" spans="1:15">
      <c r="A97" s="93">
        <v>1096</v>
      </c>
      <c r="B97" s="97" t="s">
        <v>136</v>
      </c>
      <c r="C97" s="100">
        <v>25</v>
      </c>
      <c r="D97" s="100">
        <v>5</v>
      </c>
      <c r="E97" s="93">
        <v>999</v>
      </c>
      <c r="F97" s="93">
        <v>-1</v>
      </c>
      <c r="G97" s="97">
        <v>9999</v>
      </c>
      <c r="H97" s="93">
        <v>1</v>
      </c>
      <c r="I97" s="93">
        <v>1</v>
      </c>
      <c r="J97" s="93">
        <v>0</v>
      </c>
      <c r="K97" s="93" t="s">
        <v>121</v>
      </c>
      <c r="L97" s="93"/>
      <c r="O97" s="104"/>
    </row>
    <row r="98" ht="16.5" spans="1:15">
      <c r="A98" s="93">
        <v>1097</v>
      </c>
      <c r="B98" s="97" t="s">
        <v>137</v>
      </c>
      <c r="C98" s="100">
        <v>75</v>
      </c>
      <c r="D98" s="100">
        <v>15</v>
      </c>
      <c r="E98" s="93">
        <v>999</v>
      </c>
      <c r="F98" s="93">
        <v>-1</v>
      </c>
      <c r="G98" s="97">
        <v>9999</v>
      </c>
      <c r="H98" s="93">
        <v>1</v>
      </c>
      <c r="I98" s="93">
        <v>1</v>
      </c>
      <c r="J98" s="93">
        <v>0</v>
      </c>
      <c r="K98" s="93" t="s">
        <v>121</v>
      </c>
      <c r="L98" s="93"/>
      <c r="O98" s="104"/>
    </row>
    <row r="99" spans="1:12">
      <c r="A99" s="93">
        <v>1098</v>
      </c>
      <c r="B99" s="97" t="s">
        <v>138</v>
      </c>
      <c r="C99" s="100">
        <v>225</v>
      </c>
      <c r="D99" s="100">
        <v>45</v>
      </c>
      <c r="E99" s="93">
        <v>999</v>
      </c>
      <c r="F99" s="93">
        <v>-1</v>
      </c>
      <c r="G99" s="97">
        <v>9999</v>
      </c>
      <c r="H99" s="93">
        <v>1</v>
      </c>
      <c r="I99" s="93">
        <v>1</v>
      </c>
      <c r="J99" s="93">
        <v>0</v>
      </c>
      <c r="K99" s="93" t="s">
        <v>121</v>
      </c>
      <c r="L99" s="93"/>
    </row>
    <row r="100" spans="1:12">
      <c r="A100" s="93">
        <v>1099</v>
      </c>
      <c r="B100" s="97" t="s">
        <v>139</v>
      </c>
      <c r="C100" s="100">
        <v>675</v>
      </c>
      <c r="D100" s="100">
        <v>135</v>
      </c>
      <c r="E100" s="93">
        <v>999</v>
      </c>
      <c r="F100" s="93">
        <v>-1</v>
      </c>
      <c r="G100" s="97">
        <v>9999</v>
      </c>
      <c r="H100" s="93">
        <v>1</v>
      </c>
      <c r="I100" s="93">
        <v>1</v>
      </c>
      <c r="J100" s="93">
        <v>0</v>
      </c>
      <c r="K100" s="93" t="s">
        <v>121</v>
      </c>
      <c r="L100" s="93"/>
    </row>
    <row r="101" spans="1:12">
      <c r="A101" s="93">
        <v>1100</v>
      </c>
      <c r="B101" s="97" t="s">
        <v>140</v>
      </c>
      <c r="C101" s="100">
        <v>2025</v>
      </c>
      <c r="D101" s="100">
        <v>405</v>
      </c>
      <c r="E101" s="93">
        <v>999</v>
      </c>
      <c r="F101" s="93">
        <v>-1</v>
      </c>
      <c r="G101" s="97">
        <v>9999</v>
      </c>
      <c r="H101" s="93">
        <v>1</v>
      </c>
      <c r="I101" s="93">
        <v>1</v>
      </c>
      <c r="J101" s="93">
        <v>0</v>
      </c>
      <c r="K101" s="93" t="s">
        <v>121</v>
      </c>
      <c r="L101" s="93"/>
    </row>
    <row r="102" ht="16.5" spans="1:12">
      <c r="A102" s="93">
        <v>1101</v>
      </c>
      <c r="B102" s="102" t="s">
        <v>141</v>
      </c>
      <c r="C102" s="97">
        <v>1000</v>
      </c>
      <c r="D102" s="97">
        <v>250</v>
      </c>
      <c r="E102" s="93">
        <v>999</v>
      </c>
      <c r="F102" s="93">
        <v>-1</v>
      </c>
      <c r="G102" s="97">
        <v>9999</v>
      </c>
      <c r="H102" s="97">
        <v>2</v>
      </c>
      <c r="I102" s="93">
        <v>1</v>
      </c>
      <c r="J102" s="97">
        <v>1</v>
      </c>
      <c r="K102" s="102" t="s">
        <v>142</v>
      </c>
      <c r="L102" s="95" t="s">
        <v>143</v>
      </c>
    </row>
    <row r="103" ht="16.5" spans="1:12">
      <c r="A103" s="93">
        <v>1102</v>
      </c>
      <c r="B103" s="102" t="s">
        <v>144</v>
      </c>
      <c r="C103" s="97">
        <v>2000</v>
      </c>
      <c r="D103" s="97">
        <v>500</v>
      </c>
      <c r="E103" s="93">
        <v>999</v>
      </c>
      <c r="F103" s="93">
        <v>-1</v>
      </c>
      <c r="G103" s="97">
        <v>9999</v>
      </c>
      <c r="H103" s="97">
        <v>2</v>
      </c>
      <c r="I103" s="93">
        <v>1</v>
      </c>
      <c r="J103" s="97">
        <v>1</v>
      </c>
      <c r="K103" s="102" t="s">
        <v>142</v>
      </c>
      <c r="L103" s="95" t="s">
        <v>145</v>
      </c>
    </row>
    <row r="104" spans="1:11">
      <c r="A104" s="93">
        <v>1103</v>
      </c>
      <c r="B104" s="102" t="s">
        <v>146</v>
      </c>
      <c r="C104" s="97">
        <v>500</v>
      </c>
      <c r="D104" s="97">
        <v>100</v>
      </c>
      <c r="E104" s="93">
        <v>999</v>
      </c>
      <c r="F104" s="93">
        <v>-1</v>
      </c>
      <c r="G104" s="97">
        <v>9999</v>
      </c>
      <c r="H104" s="97">
        <v>2</v>
      </c>
      <c r="I104" s="93">
        <v>1</v>
      </c>
      <c r="J104" s="97">
        <v>0</v>
      </c>
      <c r="K104" s="102" t="s">
        <v>142</v>
      </c>
    </row>
    <row r="105" s="96" customFormat="1" spans="1:11">
      <c r="A105" s="103">
        <v>2000</v>
      </c>
      <c r="B105" s="103" t="s">
        <v>147</v>
      </c>
      <c r="C105" s="96">
        <v>1000</v>
      </c>
      <c r="D105" s="96">
        <v>500</v>
      </c>
      <c r="E105" s="93">
        <v>999</v>
      </c>
      <c r="F105" s="93">
        <v>-1</v>
      </c>
      <c r="G105" s="97">
        <v>9999</v>
      </c>
      <c r="H105" s="103">
        <v>3</v>
      </c>
      <c r="I105" s="93">
        <v>1</v>
      </c>
      <c r="J105" s="103">
        <v>0</v>
      </c>
      <c r="K105" s="105" t="s">
        <v>148</v>
      </c>
    </row>
    <row r="106" s="96" customFormat="1" spans="1:11">
      <c r="A106" s="103">
        <v>2001</v>
      </c>
      <c r="B106" s="103" t="s">
        <v>116</v>
      </c>
      <c r="C106" s="96">
        <v>500</v>
      </c>
      <c r="D106" s="96">
        <v>250</v>
      </c>
      <c r="E106" s="93">
        <v>999</v>
      </c>
      <c r="F106" s="93">
        <v>-1</v>
      </c>
      <c r="G106" s="97">
        <v>9999</v>
      </c>
      <c r="H106" s="103">
        <v>3</v>
      </c>
      <c r="I106" s="93">
        <v>1</v>
      </c>
      <c r="J106" s="103">
        <v>0</v>
      </c>
      <c r="K106" s="105" t="s">
        <v>117</v>
      </c>
    </row>
    <row r="107" s="96" customFormat="1" spans="1:11">
      <c r="A107" s="103">
        <v>2002</v>
      </c>
      <c r="B107" s="103" t="s">
        <v>149</v>
      </c>
      <c r="C107" s="96">
        <v>1500</v>
      </c>
      <c r="D107" s="96">
        <v>750</v>
      </c>
      <c r="E107" s="93">
        <v>999</v>
      </c>
      <c r="F107" s="93">
        <v>-1</v>
      </c>
      <c r="G107" s="97">
        <v>9999</v>
      </c>
      <c r="H107" s="103">
        <v>3</v>
      </c>
      <c r="I107" s="93">
        <v>1</v>
      </c>
      <c r="J107" s="103">
        <v>0</v>
      </c>
      <c r="K107" s="105" t="s">
        <v>150</v>
      </c>
    </row>
    <row r="108" s="96" customFormat="1" spans="1:11">
      <c r="A108" s="103">
        <v>2003</v>
      </c>
      <c r="B108" s="103" t="s">
        <v>118</v>
      </c>
      <c r="C108" s="96">
        <v>500</v>
      </c>
      <c r="D108" s="96">
        <v>250</v>
      </c>
      <c r="E108" s="93">
        <v>999</v>
      </c>
      <c r="F108" s="93">
        <v>-1</v>
      </c>
      <c r="G108" s="97">
        <v>9999</v>
      </c>
      <c r="H108" s="103">
        <v>3</v>
      </c>
      <c r="I108" s="93">
        <v>1</v>
      </c>
      <c r="J108" s="103">
        <v>0</v>
      </c>
      <c r="K108" s="105" t="s">
        <v>119</v>
      </c>
    </row>
    <row r="109" s="96" customFormat="1" spans="1:11">
      <c r="A109" s="103">
        <v>2004</v>
      </c>
      <c r="B109" s="103" t="s">
        <v>151</v>
      </c>
      <c r="C109" s="96">
        <v>1000</v>
      </c>
      <c r="D109" s="96">
        <v>500</v>
      </c>
      <c r="E109" s="93">
        <v>999</v>
      </c>
      <c r="F109" s="93">
        <v>-1</v>
      </c>
      <c r="G109" s="97">
        <v>9999</v>
      </c>
      <c r="H109" s="103">
        <v>3</v>
      </c>
      <c r="I109" s="93">
        <v>1</v>
      </c>
      <c r="J109" s="103">
        <v>0</v>
      </c>
      <c r="K109" s="105" t="s">
        <v>152</v>
      </c>
    </row>
    <row r="110" s="96" customFormat="1" spans="1:11">
      <c r="A110" s="103">
        <v>2005</v>
      </c>
      <c r="B110" s="103" t="s">
        <v>153</v>
      </c>
      <c r="C110" s="96">
        <v>1000</v>
      </c>
      <c r="D110" s="96">
        <v>500</v>
      </c>
      <c r="E110" s="93">
        <v>999</v>
      </c>
      <c r="F110" s="93">
        <v>-1</v>
      </c>
      <c r="G110" s="97">
        <v>9999</v>
      </c>
      <c r="H110" s="103">
        <v>3</v>
      </c>
      <c r="I110" s="93">
        <v>1</v>
      </c>
      <c r="J110" s="103">
        <v>0</v>
      </c>
      <c r="K110" s="105" t="s">
        <v>154</v>
      </c>
    </row>
  </sheetData>
  <conditionalFormatting sqref="K3">
    <cfRule type="duplicateValues" priority="15"/>
  </conditionalFormatting>
  <conditionalFormatting sqref="O97">
    <cfRule type="duplicateValues" dxfId="0" priority="4"/>
    <cfRule type="duplicateValues" priority="6"/>
    <cfRule type="duplicateValues" dxfId="0" priority="8"/>
    <cfRule type="duplicateValues" dxfId="1" priority="10"/>
    <cfRule type="duplicateValues" dxfId="2" priority="12"/>
  </conditionalFormatting>
  <conditionalFormatting sqref="O98">
    <cfRule type="duplicateValues" dxfId="0" priority="3"/>
    <cfRule type="duplicateValues" priority="5"/>
    <cfRule type="duplicateValues" dxfId="0" priority="7"/>
    <cfRule type="duplicateValues" dxfId="1" priority="9"/>
    <cfRule type="duplicateValues" dxfId="2" priority="11"/>
  </conditionalFormatting>
  <conditionalFormatting sqref="L102">
    <cfRule type="duplicateValues" priority="2"/>
  </conditionalFormatting>
  <conditionalFormatting sqref="L103">
    <cfRule type="duplicateValues" priority="1"/>
  </conditionalFormatting>
  <conditionalFormatting sqref="K22:K27">
    <cfRule type="duplicateValues" priority="14"/>
  </conditionalFormatting>
  <conditionalFormatting sqref="K28:K29">
    <cfRule type="duplicateValues" priority="17"/>
  </conditionalFormatting>
  <conditionalFormatting sqref="K30:K31">
    <cfRule type="duplicateValues" priority="19"/>
  </conditionalFormatting>
  <conditionalFormatting sqref="K32:K35">
    <cfRule type="duplicateValues" priority="13"/>
  </conditionalFormatting>
  <conditionalFormatting sqref="K2 K4:K21">
    <cfRule type="duplicateValues" priority="23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D35" sqref="D35"/>
    </sheetView>
  </sheetViews>
  <sheetFormatPr defaultColWidth="9" defaultRowHeight="15" outlineLevelCol="4"/>
  <cols>
    <col min="4" max="4" width="13" customWidth="1"/>
    <col min="5" max="5" width="13.8761904761905" customWidth="1"/>
  </cols>
  <sheetData>
    <row r="1" spans="1:3">
      <c r="A1" t="s">
        <v>155</v>
      </c>
      <c r="B1" t="s">
        <v>0</v>
      </c>
      <c r="C1" t="s">
        <v>156</v>
      </c>
    </row>
    <row r="2" spans="1:5">
      <c r="A2" s="94">
        <v>1</v>
      </c>
      <c r="B2" s="89">
        <v>1002</v>
      </c>
      <c r="C2" s="94">
        <v>50</v>
      </c>
      <c r="D2" s="94" t="str">
        <f>VLOOKUP(B2,公会宝库商品!A:K,11,0)</f>
        <v>进阶石</v>
      </c>
      <c r="E2" s="94" t="str">
        <f>VLOOKUP(B2,公会宝库商品!A:B,2,0)</f>
        <v>3:100001:100</v>
      </c>
    </row>
    <row r="3" spans="1:5">
      <c r="A3" s="94">
        <v>2</v>
      </c>
      <c r="B3" s="89">
        <v>1004</v>
      </c>
      <c r="C3" s="94">
        <v>5</v>
      </c>
      <c r="D3" s="94" t="str">
        <f>VLOOKUP(B3,公会宝库商品!A:K,11,0)</f>
        <v>太乙精金</v>
      </c>
      <c r="E3" s="94" t="str">
        <f>VLOOKUP(B3,公会宝库商品!A:B,2,0)</f>
        <v>3:100002:100</v>
      </c>
    </row>
    <row r="4" spans="1:5">
      <c r="A4" s="94">
        <v>3</v>
      </c>
      <c r="B4" s="89">
        <v>1006</v>
      </c>
      <c r="C4" s="94">
        <v>60</v>
      </c>
      <c r="D4" s="94" t="str">
        <f>VLOOKUP(B4,公会宝库商品!A:K,11,0)</f>
        <v>普通寻宝券</v>
      </c>
      <c r="E4" s="94" t="str">
        <f>VLOOKUP(B4,公会宝库商品!A:B,2,0)</f>
        <v>3:100005:1</v>
      </c>
    </row>
    <row r="5" spans="1:5">
      <c r="A5" s="94">
        <v>4</v>
      </c>
      <c r="B5" s="89">
        <v>1008</v>
      </c>
      <c r="C5" s="94">
        <v>9</v>
      </c>
      <c r="D5" s="94" t="str">
        <f>VLOOKUP(B5,公会宝库商品!A:K,11,0)</f>
        <v>高级寻宝券</v>
      </c>
      <c r="E5" s="94" t="str">
        <f>VLOOKUP(B5,公会宝库商品!A:B,2,0)</f>
        <v>3:100006:1</v>
      </c>
    </row>
    <row r="6" spans="1:5">
      <c r="A6" s="94">
        <v>5</v>
      </c>
      <c r="B6" s="89">
        <v>1010</v>
      </c>
      <c r="C6" s="94">
        <v>10</v>
      </c>
      <c r="D6" s="94" t="str">
        <f>VLOOKUP(B6,公会宝库商品!A:K,11,0)</f>
        <v>碧玉髓</v>
      </c>
      <c r="E6" s="94" t="str">
        <f>VLOOKUP(B6,公会宝库商品!A:B,2,0)</f>
        <v>3:100008:1</v>
      </c>
    </row>
    <row r="7" spans="1:5">
      <c r="A7" s="94">
        <v>6</v>
      </c>
      <c r="B7" s="89">
        <v>1012</v>
      </c>
      <c r="C7" s="94">
        <v>50</v>
      </c>
      <c r="D7" s="94" t="str">
        <f>VLOOKUP(B7,公会宝库商品!A:K,11,0)</f>
        <v>普通点将券</v>
      </c>
      <c r="E7" s="94" t="str">
        <f>VLOOKUP(B7,公会宝库商品!A:B,2,0)</f>
        <v>3:100021:1</v>
      </c>
    </row>
    <row r="8" spans="1:5">
      <c r="A8" s="94">
        <v>7</v>
      </c>
      <c r="B8" s="89">
        <v>1014</v>
      </c>
      <c r="C8" s="94">
        <v>20</v>
      </c>
      <c r="D8" s="94" t="str">
        <f>VLOOKUP(B8,公会宝库商品!A:K,11,0)</f>
        <v>高级点将券</v>
      </c>
      <c r="E8" s="94" t="str">
        <f>VLOOKUP(B8,公会宝库商品!A:B,2,0)</f>
        <v>3:100022:1</v>
      </c>
    </row>
    <row r="9" spans="1:5">
      <c r="A9" s="94">
        <v>8</v>
      </c>
      <c r="B9" s="89">
        <v>1016</v>
      </c>
      <c r="C9" s="94">
        <v>5</v>
      </c>
      <c r="D9" s="94" t="str">
        <f>VLOOKUP(B9,公会宝库商品!A:K,11,0)</f>
        <v>演武场挑战券</v>
      </c>
      <c r="E9" s="94" t="str">
        <f>VLOOKUP(B9,公会宝库商品!A:B,2,0)</f>
        <v>3:100023:10</v>
      </c>
    </row>
    <row r="10" spans="1:5">
      <c r="A10" s="94">
        <v>9</v>
      </c>
      <c r="B10" s="89">
        <v>1018</v>
      </c>
      <c r="C10" s="94">
        <v>5</v>
      </c>
      <c r="D10" s="94" t="str">
        <f>VLOOKUP(B10,公会宝库商品!A:K,11,0)</f>
        <v>命签</v>
      </c>
      <c r="E10" s="94" t="str">
        <f>VLOOKUP(B10,公会宝库商品!A:B,2,0)</f>
        <v>3:100025:1</v>
      </c>
    </row>
    <row r="11" spans="1:5">
      <c r="A11" s="94">
        <v>10</v>
      </c>
      <c r="B11" s="89">
        <v>1020</v>
      </c>
      <c r="C11" s="94">
        <v>99</v>
      </c>
      <c r="D11" s="94" t="str">
        <f>VLOOKUP(B11,公会宝库商品!A:K,11,0)</f>
        <v>悬赏刷新券</v>
      </c>
      <c r="E11" s="94" t="str">
        <f>VLOOKUP(B11,公会宝库商品!A:B,2,0)</f>
        <v>3:100027:10</v>
      </c>
    </row>
    <row r="12" spans="1:5">
      <c r="A12" s="94">
        <v>12</v>
      </c>
      <c r="B12" s="89">
        <v>1036</v>
      </c>
      <c r="C12" s="94">
        <v>100</v>
      </c>
      <c r="D12" s="94" t="str">
        <f>VLOOKUP(B12,公会宝库商品!A:K,11,0)</f>
        <v>邓婵玉</v>
      </c>
      <c r="E12" s="94" t="str">
        <f>VLOOKUP(B12,公会宝库商品!A:B,2,0)</f>
        <v>4:601015:1</v>
      </c>
    </row>
    <row r="13" spans="1:5">
      <c r="A13" s="94">
        <v>13</v>
      </c>
      <c r="B13" s="92">
        <v>1045</v>
      </c>
      <c r="C13" s="94">
        <v>100</v>
      </c>
      <c r="D13" s="94" t="str">
        <f>VLOOKUP(B13,公会宝库商品!A:K,11,0)</f>
        <v>南极仙子</v>
      </c>
      <c r="E13" s="94" t="str">
        <f>VLOOKUP(B13,公会宝库商品!A:B,2,0)</f>
        <v>4:602016:1</v>
      </c>
    </row>
    <row r="14" spans="1:5">
      <c r="A14" s="94">
        <v>14</v>
      </c>
      <c r="B14" s="92">
        <v>1054</v>
      </c>
      <c r="C14" s="94">
        <v>100</v>
      </c>
      <c r="D14" s="94" t="str">
        <f>VLOOKUP(B14,公会宝库商品!A:K,11,0)</f>
        <v>金乌</v>
      </c>
      <c r="E14" s="94" t="str">
        <f>VLOOKUP(B14,公会宝库商品!A:B,2,0)</f>
        <v>4:603019:1</v>
      </c>
    </row>
    <row r="15" spans="1:5">
      <c r="A15" s="94">
        <v>15</v>
      </c>
      <c r="B15" s="93">
        <v>1081</v>
      </c>
      <c r="C15">
        <v>5</v>
      </c>
      <c r="D15" s="94" t="str">
        <f>VLOOKUP(B15,公会宝库商品!A:K,11,0)</f>
        <v>装备</v>
      </c>
      <c r="E15" s="94" t="str">
        <f>VLOOKUP(B15,公会宝库商品!A:B,2,0)</f>
        <v>2:19000104:1</v>
      </c>
    </row>
    <row r="16" spans="1:5">
      <c r="A16" s="94">
        <v>16</v>
      </c>
      <c r="B16" s="93">
        <v>1082</v>
      </c>
      <c r="C16">
        <v>5</v>
      </c>
      <c r="D16" s="94" t="str">
        <f>VLOOKUP(B16,公会宝库商品!A:K,11,0)</f>
        <v>装备</v>
      </c>
      <c r="E16" s="94" t="str">
        <f>VLOOKUP(B16,公会宝库商品!A:B,2,0)</f>
        <v>2:19000105:1</v>
      </c>
    </row>
    <row r="17" spans="1:5">
      <c r="A17" s="94">
        <v>17</v>
      </c>
      <c r="B17" s="93">
        <v>1083</v>
      </c>
      <c r="C17">
        <v>5</v>
      </c>
      <c r="D17" s="94" t="str">
        <f>VLOOKUP(B17,公会宝库商品!A:K,11,0)</f>
        <v>装备</v>
      </c>
      <c r="E17" s="94" t="str">
        <f>VLOOKUP(B17,公会宝库商品!A:B,2,0)</f>
        <v>2:19000106:1</v>
      </c>
    </row>
    <row r="18" spans="1:5">
      <c r="A18" s="94">
        <v>18</v>
      </c>
      <c r="B18" s="93">
        <v>1084</v>
      </c>
      <c r="C18">
        <v>5</v>
      </c>
      <c r="D18" s="94" t="str">
        <f>VLOOKUP(B18,公会宝库商品!A:K,11,0)</f>
        <v>装备</v>
      </c>
      <c r="E18" s="94" t="str">
        <f>VLOOKUP(B18,公会宝库商品!A:B,2,0)</f>
        <v>2:19000107:1</v>
      </c>
    </row>
    <row r="19" spans="1:5">
      <c r="A19" s="94">
        <v>19</v>
      </c>
      <c r="B19" s="93">
        <v>1085</v>
      </c>
      <c r="C19">
        <v>5</v>
      </c>
      <c r="D19" s="94" t="str">
        <f>VLOOKUP(B19,公会宝库商品!A:K,11,0)</f>
        <v>装备</v>
      </c>
      <c r="E19" s="94" t="str">
        <f>VLOOKUP(B19,公会宝库商品!A:B,2,0)</f>
        <v>2:19000108:1</v>
      </c>
    </row>
    <row r="20" spans="1:5">
      <c r="A20" s="94">
        <v>20</v>
      </c>
      <c r="B20" s="93">
        <v>1086</v>
      </c>
      <c r="C20">
        <v>5</v>
      </c>
      <c r="D20" s="94" t="str">
        <f>VLOOKUP(B20,公会宝库商品!A:K,11,0)</f>
        <v>装备</v>
      </c>
      <c r="E20" s="94" t="str">
        <f>VLOOKUP(B20,公会宝库商品!A:B,2,0)</f>
        <v>2:19000204:1</v>
      </c>
    </row>
    <row r="21" spans="1:5">
      <c r="A21" s="94">
        <v>21</v>
      </c>
      <c r="B21" s="93">
        <v>1087</v>
      </c>
      <c r="C21">
        <v>5</v>
      </c>
      <c r="D21" s="94" t="str">
        <f>VLOOKUP(B21,公会宝库商品!A:K,11,0)</f>
        <v>装备</v>
      </c>
      <c r="E21" s="94" t="str">
        <f>VLOOKUP(B21,公会宝库商品!A:B,2,0)</f>
        <v>2:19000205:1</v>
      </c>
    </row>
    <row r="22" spans="1:5">
      <c r="A22" s="94">
        <v>22</v>
      </c>
      <c r="B22" s="93">
        <v>1088</v>
      </c>
      <c r="C22">
        <v>5</v>
      </c>
      <c r="D22" s="94" t="str">
        <f>VLOOKUP(B22,公会宝库商品!A:K,11,0)</f>
        <v>装备</v>
      </c>
      <c r="E22" s="94" t="str">
        <f>VLOOKUP(B22,公会宝库商品!A:B,2,0)</f>
        <v>2:19000206:1</v>
      </c>
    </row>
    <row r="23" spans="1:5">
      <c r="A23" s="94">
        <v>23</v>
      </c>
      <c r="B23" s="93">
        <v>1089</v>
      </c>
      <c r="C23">
        <v>5</v>
      </c>
      <c r="D23" s="94" t="str">
        <f>VLOOKUP(B23,公会宝库商品!A:K,11,0)</f>
        <v>装备</v>
      </c>
      <c r="E23" s="94" t="str">
        <f>VLOOKUP(B23,公会宝库商品!A:B,2,0)</f>
        <v>2:19000207:1</v>
      </c>
    </row>
    <row r="24" spans="1:5">
      <c r="A24" s="94">
        <v>24</v>
      </c>
      <c r="B24" s="93">
        <v>1090</v>
      </c>
      <c r="C24">
        <v>5</v>
      </c>
      <c r="D24" s="94" t="str">
        <f>VLOOKUP(B24,公会宝库商品!A:K,11,0)</f>
        <v>装备</v>
      </c>
      <c r="E24" s="94" t="str">
        <f>VLOOKUP(B24,公会宝库商品!A:B,2,0)</f>
        <v>2:19000208:1</v>
      </c>
    </row>
    <row r="25" spans="1:5">
      <c r="A25" s="94">
        <v>25</v>
      </c>
      <c r="B25" s="93">
        <v>1091</v>
      </c>
      <c r="C25">
        <v>5</v>
      </c>
      <c r="D25" s="94" t="str">
        <f>VLOOKUP(B25,公会宝库商品!A:K,11,0)</f>
        <v>装备</v>
      </c>
      <c r="E25" s="94" t="str">
        <f>VLOOKUP(B25,公会宝库商品!A:B,2,0)</f>
        <v>2:19000304:1</v>
      </c>
    </row>
    <row r="26" spans="1:5">
      <c r="A26" s="94">
        <v>26</v>
      </c>
      <c r="B26" s="93">
        <v>1092</v>
      </c>
      <c r="C26">
        <v>5</v>
      </c>
      <c r="D26" s="94" t="str">
        <f>VLOOKUP(B26,公会宝库商品!A:K,11,0)</f>
        <v>装备</v>
      </c>
      <c r="E26" s="94" t="str">
        <f>VLOOKUP(B26,公会宝库商品!A:B,2,0)</f>
        <v>2:19000305:1</v>
      </c>
    </row>
    <row r="27" spans="1:5">
      <c r="A27" s="94">
        <v>27</v>
      </c>
      <c r="B27" s="93">
        <v>1093</v>
      </c>
      <c r="C27">
        <v>5</v>
      </c>
      <c r="D27" s="94" t="str">
        <f>VLOOKUP(B27,公会宝库商品!A:K,11,0)</f>
        <v>装备</v>
      </c>
      <c r="E27" s="94" t="str">
        <f>VLOOKUP(B27,公会宝库商品!A:B,2,0)</f>
        <v>2:19000306:1</v>
      </c>
    </row>
    <row r="28" spans="1:5">
      <c r="A28" s="94">
        <v>28</v>
      </c>
      <c r="B28" s="93">
        <v>1094</v>
      </c>
      <c r="C28">
        <v>5</v>
      </c>
      <c r="D28" s="94" t="str">
        <f>VLOOKUP(B28,公会宝库商品!A:K,11,0)</f>
        <v>装备</v>
      </c>
      <c r="E28" s="94" t="str">
        <f>VLOOKUP(B28,公会宝库商品!A:B,2,0)</f>
        <v>2:19000307:1</v>
      </c>
    </row>
    <row r="29" spans="1:5">
      <c r="A29" s="94">
        <v>29</v>
      </c>
      <c r="B29" s="93">
        <v>1095</v>
      </c>
      <c r="C29">
        <v>5</v>
      </c>
      <c r="D29" s="94" t="str">
        <f>VLOOKUP(B29,公会宝库商品!A:K,11,0)</f>
        <v>装备</v>
      </c>
      <c r="E29" s="94" t="str">
        <f>VLOOKUP(B29,公会宝库商品!A:B,2,0)</f>
        <v>2:19000308:1</v>
      </c>
    </row>
    <row r="30" spans="1:5">
      <c r="A30" s="94">
        <v>30</v>
      </c>
      <c r="B30" s="93">
        <v>1096</v>
      </c>
      <c r="C30">
        <v>5</v>
      </c>
      <c r="D30" s="94" t="str">
        <f>VLOOKUP(B30,公会宝库商品!A:K,11,0)</f>
        <v>装备</v>
      </c>
      <c r="E30" s="94" t="str">
        <f>VLOOKUP(B30,公会宝库商品!A:B,2,0)</f>
        <v>2:19000404:1</v>
      </c>
    </row>
    <row r="31" spans="1:5">
      <c r="A31" s="94">
        <v>31</v>
      </c>
      <c r="B31" s="93">
        <v>1097</v>
      </c>
      <c r="C31">
        <v>5</v>
      </c>
      <c r="D31" s="94" t="str">
        <f>VLOOKUP(B31,公会宝库商品!A:K,11,0)</f>
        <v>装备</v>
      </c>
      <c r="E31" s="94" t="str">
        <f>VLOOKUP(B31,公会宝库商品!A:B,2,0)</f>
        <v>2:19000405:1</v>
      </c>
    </row>
    <row r="32" spans="1:5">
      <c r="A32" s="94">
        <v>32</v>
      </c>
      <c r="B32" s="93">
        <v>1098</v>
      </c>
      <c r="C32">
        <v>5</v>
      </c>
      <c r="D32" s="94" t="str">
        <f>VLOOKUP(B32,公会宝库商品!A:K,11,0)</f>
        <v>装备</v>
      </c>
      <c r="E32" s="94" t="str">
        <f>VLOOKUP(B32,公会宝库商品!A:B,2,0)</f>
        <v>2:19000406:1</v>
      </c>
    </row>
    <row r="33" spans="1:5">
      <c r="A33" s="94">
        <v>33</v>
      </c>
      <c r="B33" s="93">
        <v>1099</v>
      </c>
      <c r="C33">
        <v>5</v>
      </c>
      <c r="D33" s="94" t="str">
        <f>VLOOKUP(B33,公会宝库商品!A:K,11,0)</f>
        <v>装备</v>
      </c>
      <c r="E33" s="94" t="str">
        <f>VLOOKUP(B33,公会宝库商品!A:B,2,0)</f>
        <v>2:19000407:1</v>
      </c>
    </row>
    <row r="34" spans="1:5">
      <c r="A34" s="94">
        <v>34</v>
      </c>
      <c r="B34" s="93">
        <v>1100</v>
      </c>
      <c r="C34">
        <v>5</v>
      </c>
      <c r="D34" s="94" t="str">
        <f>VLOOKUP(B34,公会宝库商品!A:K,11,0)</f>
        <v>装备</v>
      </c>
      <c r="E34" s="94" t="str">
        <f>VLOOKUP(B34,公会宝库商品!A:B,2,0)</f>
        <v>2:19000408:1</v>
      </c>
    </row>
    <row r="35" ht="16.5" spans="1:4">
      <c r="A35" s="94">
        <v>35</v>
      </c>
      <c r="B35" s="93">
        <v>1101</v>
      </c>
      <c r="C35">
        <v>50</v>
      </c>
      <c r="D35" s="95" t="s">
        <v>143</v>
      </c>
    </row>
    <row r="36" ht="16.5" spans="1:4">
      <c r="A36" s="94">
        <v>36</v>
      </c>
      <c r="B36" s="93">
        <v>1102</v>
      </c>
      <c r="C36">
        <v>30</v>
      </c>
      <c r="D36" s="95" t="s">
        <v>145</v>
      </c>
    </row>
  </sheetData>
  <conditionalFormatting sqref="D35">
    <cfRule type="duplicateValues" priority="2"/>
  </conditionalFormatting>
  <conditionalFormatting sqref="D36">
    <cfRule type="duplicateValues" priority="1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zoomScale="115" zoomScaleNormal="115" workbookViewId="0">
      <selection activeCell="K21" sqref="K21"/>
    </sheetView>
  </sheetViews>
  <sheetFormatPr defaultColWidth="9" defaultRowHeight="15" outlineLevelCol="6"/>
  <sheetData>
    <row r="1" spans="1:5">
      <c r="A1" s="86" t="s">
        <v>155</v>
      </c>
      <c r="B1" s="86" t="s">
        <v>0</v>
      </c>
      <c r="C1" s="86" t="s">
        <v>156</v>
      </c>
      <c r="D1" s="86" t="s">
        <v>157</v>
      </c>
      <c r="E1" s="86" t="s">
        <v>158</v>
      </c>
    </row>
    <row r="2" ht="16.5" spans="1:7">
      <c r="A2" s="86">
        <v>1</v>
      </c>
      <c r="B2" s="89">
        <v>1028</v>
      </c>
      <c r="C2" s="86">
        <v>10</v>
      </c>
      <c r="D2" s="86">
        <v>1</v>
      </c>
      <c r="E2" s="86"/>
      <c r="F2" s="90" t="s">
        <v>33</v>
      </c>
      <c r="G2" t="str">
        <f>VLOOKUP(B2,公会宝库商品!A:K,2,0)</f>
        <v>3:100059:1</v>
      </c>
    </row>
    <row r="3" ht="16.5" spans="1:7">
      <c r="A3" s="86">
        <v>2</v>
      </c>
      <c r="B3" s="89">
        <v>1030</v>
      </c>
      <c r="C3" s="86">
        <v>10</v>
      </c>
      <c r="D3" s="86">
        <v>1</v>
      </c>
      <c r="E3" s="86"/>
      <c r="F3" s="91" t="s">
        <v>35</v>
      </c>
      <c r="G3" t="str">
        <f>VLOOKUP(B3,公会宝库商品!A:K,2,0)</f>
        <v>3:100212:1</v>
      </c>
    </row>
    <row r="4" spans="1:7">
      <c r="A4" s="86">
        <v>3</v>
      </c>
      <c r="B4" s="92">
        <v>1002</v>
      </c>
      <c r="C4">
        <v>10</v>
      </c>
      <c r="D4">
        <v>1</v>
      </c>
      <c r="F4" t="str">
        <f>VLOOKUP(B4,公会宝库商品!A:K,11,0)</f>
        <v>进阶石</v>
      </c>
      <c r="G4" t="str">
        <f>VLOOKUP(B4,公会宝库商品!A:K,2,0)</f>
        <v>3:100001:100</v>
      </c>
    </row>
    <row r="5" spans="1:7">
      <c r="A5" s="86">
        <v>4</v>
      </c>
      <c r="B5" s="92">
        <v>1006</v>
      </c>
      <c r="C5">
        <v>30</v>
      </c>
      <c r="D5">
        <v>1</v>
      </c>
      <c r="F5" t="str">
        <f>VLOOKUP(B5,公会宝库商品!A:K,11,0)</f>
        <v>普通寻宝券</v>
      </c>
      <c r="G5" t="str">
        <f>VLOOKUP(B5,公会宝库商品!A:K,2,0)</f>
        <v>3:100005:1</v>
      </c>
    </row>
    <row r="6" spans="1:7">
      <c r="A6" s="86">
        <v>5</v>
      </c>
      <c r="B6" s="92">
        <v>1008</v>
      </c>
      <c r="C6">
        <v>5</v>
      </c>
      <c r="D6">
        <v>1</v>
      </c>
      <c r="F6" t="str">
        <f>VLOOKUP(B6,公会宝库商品!A:K,11,0)</f>
        <v>高级寻宝券</v>
      </c>
      <c r="G6" t="str">
        <f>VLOOKUP(B6,公会宝库商品!A:K,2,0)</f>
        <v>3:100006:1</v>
      </c>
    </row>
    <row r="7" spans="1:7">
      <c r="A7" s="86">
        <v>6</v>
      </c>
      <c r="B7" s="92">
        <v>1012</v>
      </c>
      <c r="C7">
        <v>30</v>
      </c>
      <c r="D7">
        <v>1</v>
      </c>
      <c r="F7" t="str">
        <f>VLOOKUP(B7,公会宝库商品!A:K,11,0)</f>
        <v>普通点将券</v>
      </c>
      <c r="G7" t="str">
        <f>VLOOKUP(B7,公会宝库商品!A:K,2,0)</f>
        <v>3:100021:1</v>
      </c>
    </row>
    <row r="8" spans="1:7">
      <c r="A8" s="86">
        <v>7</v>
      </c>
      <c r="B8" s="92">
        <v>1014</v>
      </c>
      <c r="C8">
        <v>10</v>
      </c>
      <c r="D8">
        <v>1</v>
      </c>
      <c r="F8" t="str">
        <f>VLOOKUP(B8,公会宝库商品!A:K,11,0)</f>
        <v>高级点将券</v>
      </c>
      <c r="G8" t="str">
        <f>VLOOKUP(B8,公会宝库商品!A:K,2,0)</f>
        <v>3:100022:1</v>
      </c>
    </row>
    <row r="9" spans="1:7">
      <c r="A9" s="86">
        <v>8</v>
      </c>
      <c r="B9" s="92">
        <v>1018</v>
      </c>
      <c r="C9">
        <v>1</v>
      </c>
      <c r="D9">
        <v>1</v>
      </c>
      <c r="F9" t="str">
        <f>VLOOKUP(B9,公会宝库商品!A:K,11,0)</f>
        <v>命签</v>
      </c>
      <c r="G9" t="str">
        <f>VLOOKUP(B9,公会宝库商品!A:K,2,0)</f>
        <v>3:100025:1</v>
      </c>
    </row>
    <row r="10" spans="1:7">
      <c r="A10" s="86">
        <v>9</v>
      </c>
      <c r="B10" s="89">
        <v>1036</v>
      </c>
      <c r="C10">
        <v>50</v>
      </c>
      <c r="D10">
        <v>1</v>
      </c>
      <c r="F10" t="str">
        <f>VLOOKUP(B10,公会宝库商品!A:K,11,0)</f>
        <v>邓婵玉</v>
      </c>
      <c r="G10" t="str">
        <f>VLOOKUP(B10,公会宝库商品!A:K,2,0)</f>
        <v>4:601015:1</v>
      </c>
    </row>
    <row r="11" spans="1:7">
      <c r="A11" s="86">
        <v>10</v>
      </c>
      <c r="B11" s="92">
        <v>1045</v>
      </c>
      <c r="C11">
        <v>50</v>
      </c>
      <c r="D11">
        <v>1</v>
      </c>
      <c r="F11" t="str">
        <f>VLOOKUP(B11,公会宝库商品!A:K,11,0)</f>
        <v>南极仙子</v>
      </c>
      <c r="G11" t="str">
        <f>VLOOKUP(B11,公会宝库商品!A:K,2,0)</f>
        <v>4:602016:1</v>
      </c>
    </row>
    <row r="12" spans="1:7">
      <c r="A12" s="86">
        <v>11</v>
      </c>
      <c r="B12" s="92">
        <v>1054</v>
      </c>
      <c r="C12">
        <v>50</v>
      </c>
      <c r="D12">
        <v>1</v>
      </c>
      <c r="F12" t="str">
        <f>VLOOKUP(B12,公会宝库商品!A:K,11,0)</f>
        <v>金乌</v>
      </c>
      <c r="G12" t="str">
        <f>VLOOKUP(B12,公会宝库商品!A:K,2,0)</f>
        <v>4:603019:1</v>
      </c>
    </row>
    <row r="13" spans="1:7">
      <c r="A13" s="86">
        <v>12</v>
      </c>
      <c r="B13" s="89">
        <v>1050</v>
      </c>
      <c r="C13" s="86">
        <v>50</v>
      </c>
      <c r="D13" s="86">
        <v>2</v>
      </c>
      <c r="E13" s="86">
        <v>5</v>
      </c>
      <c r="F13" t="str">
        <f>VLOOKUP(B13,公会宝库商品!A:K,11,0)</f>
        <v>共工</v>
      </c>
      <c r="G13" t="str">
        <f>VLOOKUP(B13,公会宝库商品!A:K,2,0)</f>
        <v>4:604012:1</v>
      </c>
    </row>
    <row r="14" spans="1:7">
      <c r="A14" s="86">
        <v>13</v>
      </c>
      <c r="B14" s="89">
        <v>1064</v>
      </c>
      <c r="C14" s="86">
        <v>50</v>
      </c>
      <c r="D14" s="86">
        <v>2</v>
      </c>
      <c r="E14" s="86">
        <v>5</v>
      </c>
      <c r="F14" t="str">
        <f>VLOOKUP(B14,公会宝库商品!A:K,11,0)</f>
        <v>黄泉</v>
      </c>
      <c r="G14" t="str">
        <f>VLOOKUP(B14,公会宝库商品!A:K,2,0)</f>
        <v>4:605010:1</v>
      </c>
    </row>
    <row r="15" spans="1:7">
      <c r="A15" s="86">
        <v>14</v>
      </c>
      <c r="B15" s="92">
        <v>1040</v>
      </c>
      <c r="C15">
        <v>50</v>
      </c>
      <c r="D15">
        <v>2</v>
      </c>
      <c r="E15">
        <v>15</v>
      </c>
      <c r="F15" t="str">
        <f>VLOOKUP(B15,公会宝库商品!A:K,11,0)</f>
        <v>嫦娥</v>
      </c>
      <c r="G15" t="str">
        <f>VLOOKUP(B15,公会宝库商品!A:K,2,0)</f>
        <v>4:601016:1</v>
      </c>
    </row>
    <row r="16" spans="1:7">
      <c r="A16" s="86">
        <v>15</v>
      </c>
      <c r="B16" s="92">
        <v>1041</v>
      </c>
      <c r="C16">
        <v>50</v>
      </c>
      <c r="D16">
        <v>2</v>
      </c>
      <c r="E16">
        <v>15</v>
      </c>
      <c r="F16" t="str">
        <f>VLOOKUP(B16,公会宝库商品!A:K,11,0)</f>
        <v>姬发</v>
      </c>
      <c r="G16" t="str">
        <f>VLOOKUP(B16,公会宝库商品!A:K,2,0)</f>
        <v>4:601018:1</v>
      </c>
    </row>
    <row r="17" spans="1:7">
      <c r="A17" s="86">
        <v>16</v>
      </c>
      <c r="B17" s="92">
        <v>1048</v>
      </c>
      <c r="C17">
        <v>50</v>
      </c>
      <c r="D17">
        <v>2</v>
      </c>
      <c r="E17">
        <v>15</v>
      </c>
      <c r="F17" t="str">
        <f>VLOOKUP(B17,公会宝库商品!A:K,11,0)</f>
        <v>禄缘上仙</v>
      </c>
      <c r="G17" t="str">
        <f>VLOOKUP(B17,公会宝库商品!A:K,2,0)</f>
        <v>4:602017:1</v>
      </c>
    </row>
    <row r="18" spans="1:7">
      <c r="A18" s="86">
        <v>17</v>
      </c>
      <c r="B18" s="92">
        <v>1049</v>
      </c>
      <c r="C18">
        <v>50</v>
      </c>
      <c r="D18">
        <v>2</v>
      </c>
      <c r="E18">
        <v>15</v>
      </c>
      <c r="F18" t="str">
        <f>VLOOKUP(B18,公会宝库商品!A:K,11,0)</f>
        <v>斗战胜佛</v>
      </c>
      <c r="G18" t="str">
        <f>VLOOKUP(B18,公会宝库商品!A:K,2,0)</f>
        <v>4:602018:1</v>
      </c>
    </row>
    <row r="19" spans="1:7">
      <c r="A19" s="86">
        <v>18</v>
      </c>
      <c r="B19" s="92">
        <v>1059</v>
      </c>
      <c r="C19">
        <v>50</v>
      </c>
      <c r="D19">
        <v>2</v>
      </c>
      <c r="E19">
        <v>15</v>
      </c>
      <c r="F19" t="str">
        <f>VLOOKUP(B19,公会宝库商品!A:K,11,0)</f>
        <v>石矶</v>
      </c>
      <c r="G19" t="str">
        <f>VLOOKUP(B19,公会宝库商品!A:K,2,0)</f>
        <v>4:603015:1</v>
      </c>
    </row>
    <row r="20" spans="1:7">
      <c r="A20" s="86">
        <v>19</v>
      </c>
      <c r="B20" s="92">
        <v>1060</v>
      </c>
      <c r="C20">
        <v>50</v>
      </c>
      <c r="D20">
        <v>2</v>
      </c>
      <c r="E20">
        <v>15</v>
      </c>
      <c r="F20" t="str">
        <f>VLOOKUP(B20,公会宝库商品!A:K,11,0)</f>
        <v>敖丙</v>
      </c>
      <c r="G20" t="str">
        <f>VLOOKUP(B20,公会宝库商品!A:K,2,0)</f>
        <v>4:603020:1</v>
      </c>
    </row>
    <row r="21" spans="1:5">
      <c r="A21" s="86">
        <v>20</v>
      </c>
      <c r="B21" s="93">
        <v>1101</v>
      </c>
      <c r="C21">
        <v>10</v>
      </c>
      <c r="D21">
        <v>2</v>
      </c>
      <c r="E21">
        <v>20</v>
      </c>
    </row>
    <row r="22" spans="1:5">
      <c r="A22" s="86">
        <v>21</v>
      </c>
      <c r="B22" s="93">
        <v>1102</v>
      </c>
      <c r="C22">
        <v>10</v>
      </c>
      <c r="D22">
        <v>2</v>
      </c>
      <c r="E22">
        <v>20</v>
      </c>
    </row>
  </sheetData>
  <conditionalFormatting sqref="F2">
    <cfRule type="duplicateValues" priority="6"/>
  </conditionalFormatting>
  <conditionalFormatting sqref="F3">
    <cfRule type="duplicateValues" priority="8"/>
  </conditionalFormatting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2" sqref="B2:B8"/>
    </sheetView>
  </sheetViews>
  <sheetFormatPr defaultColWidth="9" defaultRowHeight="15" outlineLevelRow="7" outlineLevelCol="1"/>
  <cols>
    <col min="2" max="2" width="29.6285714285714" customWidth="1"/>
  </cols>
  <sheetData>
    <row r="1" spans="1:2">
      <c r="A1" s="86" t="s">
        <v>159</v>
      </c>
      <c r="B1" s="86" t="s">
        <v>160</v>
      </c>
    </row>
    <row r="2" spans="1:2">
      <c r="A2" s="86">
        <v>1</v>
      </c>
      <c r="B2" s="86" t="s">
        <v>161</v>
      </c>
    </row>
    <row r="3" spans="1:2">
      <c r="A3" s="86">
        <v>2</v>
      </c>
      <c r="B3" s="86" t="s">
        <v>162</v>
      </c>
    </row>
    <row r="4" spans="1:2">
      <c r="A4" s="86">
        <v>3</v>
      </c>
      <c r="B4" s="86" t="s">
        <v>163</v>
      </c>
    </row>
    <row r="5" spans="1:2">
      <c r="A5" s="86">
        <v>4</v>
      </c>
      <c r="B5" s="86" t="s">
        <v>164</v>
      </c>
    </row>
    <row r="6" spans="1:2">
      <c r="A6" s="86">
        <v>5</v>
      </c>
      <c r="B6" s="86" t="s">
        <v>165</v>
      </c>
    </row>
    <row r="7" spans="1:2">
      <c r="A7" s="86">
        <v>6</v>
      </c>
      <c r="B7" s="86" t="s">
        <v>166</v>
      </c>
    </row>
    <row r="8" spans="1:2">
      <c r="A8" s="86">
        <v>7</v>
      </c>
      <c r="B8" s="86" t="s">
        <v>167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"/>
  <sheetViews>
    <sheetView workbookViewId="0">
      <selection activeCell="A2" sqref="A2:H98"/>
    </sheetView>
  </sheetViews>
  <sheetFormatPr defaultColWidth="9" defaultRowHeight="15" outlineLevelCol="7"/>
  <cols>
    <col min="1" max="1" width="13.8761904761905" customWidth="1"/>
  </cols>
  <sheetData>
    <row r="1" spans="1:1">
      <c r="A1" s="86" t="s">
        <v>1</v>
      </c>
    </row>
    <row r="2" spans="1:8">
      <c r="A2" s="87" t="s">
        <v>10</v>
      </c>
      <c r="B2">
        <f>VLOOKUP($A2,公会宝库商品!$B:$K,COLUMN(Sheet2!B2),0)</f>
        <v>500</v>
      </c>
      <c r="C2">
        <f>VLOOKUP($A2,公会宝库商品!$B:$K,COLUMN(Sheet2!C2),0)</f>
        <v>100</v>
      </c>
      <c r="D2">
        <f>VLOOKUP($A2,公会宝库商品!$B:$K,COLUMN(Sheet2!D2),0)</f>
        <v>999</v>
      </c>
      <c r="E2">
        <f>VLOOKUP($A2,公会宝库商品!$B:$K,COLUMN(Sheet2!E2),0)</f>
        <v>-1</v>
      </c>
      <c r="F2">
        <f>VLOOKUP($A2,公会宝库商品!$B:$K,COLUMN(Sheet2!F2),0)</f>
        <v>9999</v>
      </c>
      <c r="G2">
        <f>VLOOKUP($A2,公会宝库商品!$B:$K,COLUMN(Sheet2!G2),0)</f>
        <v>2</v>
      </c>
      <c r="H2">
        <f>VLOOKUP($A2,公会宝库商品!$B:$K,COLUMN(Sheet2!H2),0)</f>
        <v>1</v>
      </c>
    </row>
    <row r="3" spans="1:8">
      <c r="A3" s="87" t="s">
        <v>12</v>
      </c>
      <c r="B3">
        <f>VLOOKUP($A3,公会宝库商品!$B:$K,COLUMN(Sheet2!B3),0)</f>
        <v>10000</v>
      </c>
      <c r="C3">
        <f>VLOOKUP($A3,公会宝库商品!$B:$K,COLUMN(Sheet2!C3),0)</f>
        <v>2000</v>
      </c>
      <c r="D3">
        <f>VLOOKUP($A3,公会宝库商品!$B:$K,COLUMN(Sheet2!D3),0)</f>
        <v>999</v>
      </c>
      <c r="E3">
        <f>VLOOKUP($A3,公会宝库商品!$B:$K,COLUMN(Sheet2!E3),0)</f>
        <v>-1</v>
      </c>
      <c r="F3">
        <f>VLOOKUP($A3,公会宝库商品!$B:$K,COLUMN(Sheet2!F3),0)</f>
        <v>9999</v>
      </c>
      <c r="G3">
        <f>VLOOKUP($A3,公会宝库商品!$B:$K,COLUMN(Sheet2!G3),0)</f>
        <v>2</v>
      </c>
      <c r="H3">
        <f>VLOOKUP($A3,公会宝库商品!$B:$K,COLUMN(Sheet2!H3),0)</f>
        <v>1</v>
      </c>
    </row>
    <row r="4" spans="1:8">
      <c r="A4" s="87" t="s">
        <v>168</v>
      </c>
      <c r="B4" t="e">
        <f>VLOOKUP($A4,公会宝库商品!$B:$K,COLUMN(Sheet2!B4),0)</f>
        <v>#N/A</v>
      </c>
      <c r="C4" t="e">
        <f>VLOOKUP($A4,公会宝库商品!$B:$K,COLUMN(Sheet2!C4),0)</f>
        <v>#N/A</v>
      </c>
      <c r="D4" t="e">
        <f>VLOOKUP($A4,公会宝库商品!$B:$K,COLUMN(Sheet2!D4),0)</f>
        <v>#N/A</v>
      </c>
      <c r="E4" t="e">
        <f>VLOOKUP($A4,公会宝库商品!$B:$K,COLUMN(Sheet2!E4),0)</f>
        <v>#N/A</v>
      </c>
      <c r="F4" t="e">
        <f>VLOOKUP($A4,公会宝库商品!$B:$K,COLUMN(Sheet2!F4),0)</f>
        <v>#N/A</v>
      </c>
      <c r="G4" t="e">
        <f>VLOOKUP($A4,公会宝库商品!$B:$K,COLUMN(Sheet2!G4),0)</f>
        <v>#N/A</v>
      </c>
      <c r="H4" t="e">
        <f>VLOOKUP($A4,公会宝库商品!$B:$K,COLUMN(Sheet2!H4),0)</f>
        <v>#N/A</v>
      </c>
    </row>
    <row r="5" spans="1:8">
      <c r="A5" s="87" t="s">
        <v>169</v>
      </c>
      <c r="B5" t="e">
        <f>VLOOKUP($A5,公会宝库商品!$B:$K,COLUMN(Sheet2!B5),0)</f>
        <v>#N/A</v>
      </c>
      <c r="C5" t="e">
        <f>VLOOKUP($A5,公会宝库商品!$B:$K,COLUMN(Sheet2!C5),0)</f>
        <v>#N/A</v>
      </c>
      <c r="D5" t="e">
        <f>VLOOKUP($A5,公会宝库商品!$B:$K,COLUMN(Sheet2!D5),0)</f>
        <v>#N/A</v>
      </c>
      <c r="E5" t="e">
        <f>VLOOKUP($A5,公会宝库商品!$B:$K,COLUMN(Sheet2!E5),0)</f>
        <v>#N/A</v>
      </c>
      <c r="F5" t="e">
        <f>VLOOKUP($A5,公会宝库商品!$B:$K,COLUMN(Sheet2!F5),0)</f>
        <v>#N/A</v>
      </c>
      <c r="G5" t="e">
        <f>VLOOKUP($A5,公会宝库商品!$B:$K,COLUMN(Sheet2!G5),0)</f>
        <v>#N/A</v>
      </c>
      <c r="H5" t="e">
        <f>VLOOKUP($A5,公会宝库商品!$B:$K,COLUMN(Sheet2!H5),0)</f>
        <v>#N/A</v>
      </c>
    </row>
    <row r="6" spans="1:8">
      <c r="A6" s="87" t="s">
        <v>16</v>
      </c>
      <c r="B6">
        <f>VLOOKUP($A6,公会宝库商品!$B:$K,COLUMN(Sheet2!B6),0)</f>
        <v>1000</v>
      </c>
      <c r="C6">
        <f>VLOOKUP($A6,公会宝库商品!$B:$K,COLUMN(Sheet2!C6),0)</f>
        <v>250</v>
      </c>
      <c r="D6">
        <f>VLOOKUP($A6,公会宝库商品!$B:$K,COLUMN(Sheet2!D6),0)</f>
        <v>999</v>
      </c>
      <c r="E6">
        <f>VLOOKUP($A6,公会宝库商品!$B:$K,COLUMN(Sheet2!E6),0)</f>
        <v>-1</v>
      </c>
      <c r="F6">
        <f>VLOOKUP($A6,公会宝库商品!$B:$K,COLUMN(Sheet2!F6),0)</f>
        <v>9999</v>
      </c>
      <c r="G6">
        <f>VLOOKUP($A6,公会宝库商品!$B:$K,COLUMN(Sheet2!G6),0)</f>
        <v>2</v>
      </c>
      <c r="H6">
        <f>VLOOKUP($A6,公会宝库商品!$B:$K,COLUMN(Sheet2!H6),0)</f>
        <v>1</v>
      </c>
    </row>
    <row r="7" spans="1:8">
      <c r="A7" s="87" t="s">
        <v>18</v>
      </c>
      <c r="B7">
        <f>VLOOKUP($A7,公会宝库商品!$B:$K,COLUMN(Sheet2!B7),0)</f>
        <v>650</v>
      </c>
      <c r="C7">
        <f>VLOOKUP($A7,公会宝库商品!$B:$K,COLUMN(Sheet2!C7),0)</f>
        <v>100</v>
      </c>
      <c r="D7">
        <f>VLOOKUP($A7,公会宝库商品!$B:$K,COLUMN(Sheet2!D7),0)</f>
        <v>999</v>
      </c>
      <c r="E7">
        <f>VLOOKUP($A7,公会宝库商品!$B:$K,COLUMN(Sheet2!E7),0)</f>
        <v>-1</v>
      </c>
      <c r="F7">
        <f>VLOOKUP($A7,公会宝库商品!$B:$K,COLUMN(Sheet2!F7),0)</f>
        <v>9999</v>
      </c>
      <c r="G7">
        <f>VLOOKUP($A7,公会宝库商品!$B:$K,COLUMN(Sheet2!G7),0)</f>
        <v>2</v>
      </c>
      <c r="H7">
        <f>VLOOKUP($A7,公会宝库商品!$B:$K,COLUMN(Sheet2!H7),0)</f>
        <v>1</v>
      </c>
    </row>
    <row r="8" spans="1:8">
      <c r="A8" s="87" t="s">
        <v>170</v>
      </c>
      <c r="B8" t="e">
        <f>VLOOKUP($A8,公会宝库商品!$B:$K,COLUMN(Sheet2!B8),0)</f>
        <v>#N/A</v>
      </c>
      <c r="C8" t="e">
        <f>VLOOKUP($A8,公会宝库商品!$B:$K,COLUMN(Sheet2!C8),0)</f>
        <v>#N/A</v>
      </c>
      <c r="D8" t="e">
        <f>VLOOKUP($A8,公会宝库商品!$B:$K,COLUMN(Sheet2!D8),0)</f>
        <v>#N/A</v>
      </c>
      <c r="E8" t="e">
        <f>VLOOKUP($A8,公会宝库商品!$B:$K,COLUMN(Sheet2!E8),0)</f>
        <v>#N/A</v>
      </c>
      <c r="F8" t="e">
        <f>VLOOKUP($A8,公会宝库商品!$B:$K,COLUMN(Sheet2!F8),0)</f>
        <v>#N/A</v>
      </c>
      <c r="G8" t="e">
        <f>VLOOKUP($A8,公会宝库商品!$B:$K,COLUMN(Sheet2!G8),0)</f>
        <v>#N/A</v>
      </c>
      <c r="H8" t="e">
        <f>VLOOKUP($A8,公会宝库商品!$B:$K,COLUMN(Sheet2!H8),0)</f>
        <v>#N/A</v>
      </c>
    </row>
    <row r="9" spans="1:8">
      <c r="A9" s="87" t="s">
        <v>22</v>
      </c>
      <c r="B9">
        <f>VLOOKUP($A9,公会宝库商品!$B:$K,COLUMN(Sheet2!B9),0)</f>
        <v>1250</v>
      </c>
      <c r="C9">
        <f>VLOOKUP($A9,公会宝库商品!$B:$K,COLUMN(Sheet2!C9),0)</f>
        <v>250</v>
      </c>
      <c r="D9">
        <f>VLOOKUP($A9,公会宝库商品!$B:$K,COLUMN(Sheet2!D9),0)</f>
        <v>999</v>
      </c>
      <c r="E9">
        <f>VLOOKUP($A9,公会宝库商品!$B:$K,COLUMN(Sheet2!E9),0)</f>
        <v>-1</v>
      </c>
      <c r="F9">
        <f>VLOOKUP($A9,公会宝库商品!$B:$K,COLUMN(Sheet2!F9),0)</f>
        <v>9999</v>
      </c>
      <c r="G9">
        <f>VLOOKUP($A9,公会宝库商品!$B:$K,COLUMN(Sheet2!G9),0)</f>
        <v>2</v>
      </c>
      <c r="H9">
        <f>VLOOKUP($A9,公会宝库商品!$B:$K,COLUMN(Sheet2!H9),0)</f>
        <v>1</v>
      </c>
    </row>
    <row r="10" spans="1:8">
      <c r="A10" s="87" t="s">
        <v>24</v>
      </c>
      <c r="B10">
        <f>VLOOKUP($A10,公会宝库商品!$B:$K,COLUMN(Sheet2!B10),0)</f>
        <v>1000</v>
      </c>
      <c r="C10">
        <f>VLOOKUP($A10,公会宝库商品!$B:$K,COLUMN(Sheet2!C10),0)</f>
        <v>200</v>
      </c>
      <c r="D10">
        <f>VLOOKUP($A10,公会宝库商品!$B:$K,COLUMN(Sheet2!D10),0)</f>
        <v>999</v>
      </c>
      <c r="E10">
        <f>VLOOKUP($A10,公会宝库商品!$B:$K,COLUMN(Sheet2!E10),0)</f>
        <v>-1</v>
      </c>
      <c r="F10">
        <f>VLOOKUP($A10,公会宝库商品!$B:$K,COLUMN(Sheet2!F10),0)</f>
        <v>9999</v>
      </c>
      <c r="G10">
        <f>VLOOKUP($A10,公会宝库商品!$B:$K,COLUMN(Sheet2!G10),0)</f>
        <v>2</v>
      </c>
      <c r="H10">
        <f>VLOOKUP($A10,公会宝库商品!$B:$K,COLUMN(Sheet2!H10),0)</f>
        <v>1</v>
      </c>
    </row>
    <row r="11" spans="1:8">
      <c r="A11" t="s">
        <v>26</v>
      </c>
      <c r="B11">
        <f>VLOOKUP($A11,公会宝库商品!$B:$K,COLUMN(Sheet2!B11),0)</f>
        <v>5000</v>
      </c>
      <c r="C11">
        <f>VLOOKUP($A11,公会宝库商品!$B:$K,COLUMN(Sheet2!C11),0)</f>
        <v>1200</v>
      </c>
      <c r="D11">
        <f>VLOOKUP($A11,公会宝库商品!$B:$K,COLUMN(Sheet2!D11),0)</f>
        <v>999</v>
      </c>
      <c r="E11">
        <f>VLOOKUP($A11,公会宝库商品!$B:$K,COLUMN(Sheet2!E11),0)</f>
        <v>-1</v>
      </c>
      <c r="F11">
        <f>VLOOKUP($A11,公会宝库商品!$B:$K,COLUMN(Sheet2!F11),0)</f>
        <v>9999</v>
      </c>
      <c r="G11">
        <f>VLOOKUP($A11,公会宝库商品!$B:$K,COLUMN(Sheet2!G11),0)</f>
        <v>2</v>
      </c>
      <c r="H11">
        <f>VLOOKUP($A11,公会宝库商品!$B:$K,COLUMN(Sheet2!H11),0)</f>
        <v>1</v>
      </c>
    </row>
    <row r="12" spans="1:8">
      <c r="A12" t="s">
        <v>28</v>
      </c>
      <c r="B12">
        <f>VLOOKUP($A12,公会宝库商品!$B:$K,COLUMN(Sheet2!B12),0)</f>
        <v>1500</v>
      </c>
      <c r="C12">
        <f>VLOOKUP($A12,公会宝库商品!$B:$K,COLUMN(Sheet2!C12),0)</f>
        <v>300</v>
      </c>
      <c r="D12">
        <f>VLOOKUP($A12,公会宝库商品!$B:$K,COLUMN(Sheet2!D12),0)</f>
        <v>999</v>
      </c>
      <c r="E12">
        <f>VLOOKUP($A12,公会宝库商品!$B:$K,COLUMN(Sheet2!E12),0)</f>
        <v>-1</v>
      </c>
      <c r="F12">
        <f>VLOOKUP($A12,公会宝库商品!$B:$K,COLUMN(Sheet2!F12),0)</f>
        <v>9999</v>
      </c>
      <c r="G12">
        <f>VLOOKUP($A12,公会宝库商品!$B:$K,COLUMN(Sheet2!G12),0)</f>
        <v>2</v>
      </c>
      <c r="H12">
        <f>VLOOKUP($A12,公会宝库商品!$B:$K,COLUMN(Sheet2!H12),0)</f>
        <v>1</v>
      </c>
    </row>
    <row r="13" spans="1:8">
      <c r="A13" t="s">
        <v>171</v>
      </c>
      <c r="B13" t="e">
        <f>VLOOKUP($A13,公会宝库商品!$B:$K,COLUMN(Sheet2!B13),0)</f>
        <v>#N/A</v>
      </c>
      <c r="C13" t="e">
        <f>VLOOKUP($A13,公会宝库商品!$B:$K,COLUMN(Sheet2!C13),0)</f>
        <v>#N/A</v>
      </c>
      <c r="D13" t="e">
        <f>VLOOKUP($A13,公会宝库商品!$B:$K,COLUMN(Sheet2!D13),0)</f>
        <v>#N/A</v>
      </c>
      <c r="E13" t="e">
        <f>VLOOKUP($A13,公会宝库商品!$B:$K,COLUMN(Sheet2!E13),0)</f>
        <v>#N/A</v>
      </c>
      <c r="F13" t="e">
        <f>VLOOKUP($A13,公会宝库商品!$B:$K,COLUMN(Sheet2!F13),0)</f>
        <v>#N/A</v>
      </c>
      <c r="G13" t="e">
        <f>VLOOKUP($A13,公会宝库商品!$B:$K,COLUMN(Sheet2!G13),0)</f>
        <v>#N/A</v>
      </c>
      <c r="H13" t="e">
        <f>VLOOKUP($A13,公会宝库商品!$B:$K,COLUMN(Sheet2!H13),0)</f>
        <v>#N/A</v>
      </c>
    </row>
    <row r="14" spans="1:8">
      <c r="A14" t="s">
        <v>172</v>
      </c>
      <c r="B14" t="e">
        <f>VLOOKUP($A14,公会宝库商品!$B:$K,COLUMN(Sheet2!B14),0)</f>
        <v>#N/A</v>
      </c>
      <c r="C14" t="e">
        <f>VLOOKUP($A14,公会宝库商品!$B:$K,COLUMN(Sheet2!C14),0)</f>
        <v>#N/A</v>
      </c>
      <c r="D14" t="e">
        <f>VLOOKUP($A14,公会宝库商品!$B:$K,COLUMN(Sheet2!D14),0)</f>
        <v>#N/A</v>
      </c>
      <c r="E14" t="e">
        <f>VLOOKUP($A14,公会宝库商品!$B:$K,COLUMN(Sheet2!E14),0)</f>
        <v>#N/A</v>
      </c>
      <c r="F14" t="e">
        <f>VLOOKUP($A14,公会宝库商品!$B:$K,COLUMN(Sheet2!F14),0)</f>
        <v>#N/A</v>
      </c>
      <c r="G14" t="e">
        <f>VLOOKUP($A14,公会宝库商品!$B:$K,COLUMN(Sheet2!G14),0)</f>
        <v>#N/A</v>
      </c>
      <c r="H14" t="e">
        <f>VLOOKUP($A14,公会宝库商品!$B:$K,COLUMN(Sheet2!H14),0)</f>
        <v>#N/A</v>
      </c>
    </row>
    <row r="15" spans="1:8">
      <c r="A15" t="s">
        <v>173</v>
      </c>
      <c r="B15" t="e">
        <f>VLOOKUP($A15,公会宝库商品!$B:$K,COLUMN(Sheet2!B15),0)</f>
        <v>#N/A</v>
      </c>
      <c r="C15" t="e">
        <f>VLOOKUP($A15,公会宝库商品!$B:$K,COLUMN(Sheet2!C15),0)</f>
        <v>#N/A</v>
      </c>
      <c r="D15" t="e">
        <f>VLOOKUP($A15,公会宝库商品!$B:$K,COLUMN(Sheet2!D15),0)</f>
        <v>#N/A</v>
      </c>
      <c r="E15" t="e">
        <f>VLOOKUP($A15,公会宝库商品!$B:$K,COLUMN(Sheet2!E15),0)</f>
        <v>#N/A</v>
      </c>
      <c r="F15" t="e">
        <f>VLOOKUP($A15,公会宝库商品!$B:$K,COLUMN(Sheet2!F15),0)</f>
        <v>#N/A</v>
      </c>
      <c r="G15" t="e">
        <f>VLOOKUP($A15,公会宝库商品!$B:$K,COLUMN(Sheet2!G15),0)</f>
        <v>#N/A</v>
      </c>
      <c r="H15" t="e">
        <f>VLOOKUP($A15,公会宝库商品!$B:$K,COLUMN(Sheet2!H15),0)</f>
        <v>#N/A</v>
      </c>
    </row>
    <row r="16" spans="1:8">
      <c r="A16" t="s">
        <v>32</v>
      </c>
      <c r="B16">
        <f>VLOOKUP($A16,公会宝库商品!$B:$K,COLUMN(Sheet2!B16),0)</f>
        <v>500</v>
      </c>
      <c r="C16">
        <f>VLOOKUP($A16,公会宝库商品!$B:$K,COLUMN(Sheet2!C16),0)</f>
        <v>100</v>
      </c>
      <c r="D16">
        <f>VLOOKUP($A16,公会宝库商品!$B:$K,COLUMN(Sheet2!D16),0)</f>
        <v>999</v>
      </c>
      <c r="E16">
        <f>VLOOKUP($A16,公会宝库商品!$B:$K,COLUMN(Sheet2!E16),0)</f>
        <v>-1</v>
      </c>
      <c r="F16">
        <f>VLOOKUP($A16,公会宝库商品!$B:$K,COLUMN(Sheet2!F16),0)</f>
        <v>9999</v>
      </c>
      <c r="G16">
        <f>VLOOKUP($A16,公会宝库商品!$B:$K,COLUMN(Sheet2!G16),0)</f>
        <v>2</v>
      </c>
      <c r="H16">
        <f>VLOOKUP($A16,公会宝库商品!$B:$K,COLUMN(Sheet2!H16),0)</f>
        <v>1</v>
      </c>
    </row>
    <row r="17" spans="1:8">
      <c r="A17" t="s">
        <v>34</v>
      </c>
      <c r="B17">
        <f>VLOOKUP($A17,公会宝库商品!$B:$K,COLUMN(Sheet2!B17),0)</f>
        <v>500</v>
      </c>
      <c r="C17">
        <f>VLOOKUP($A17,公会宝库商品!$B:$K,COLUMN(Sheet2!C17),0)</f>
        <v>100</v>
      </c>
      <c r="D17">
        <f>VLOOKUP($A17,公会宝库商品!$B:$K,COLUMN(Sheet2!D17),0)</f>
        <v>999</v>
      </c>
      <c r="E17">
        <f>VLOOKUP($A17,公会宝库商品!$B:$K,COLUMN(Sheet2!E17),0)</f>
        <v>-1</v>
      </c>
      <c r="F17">
        <f>VLOOKUP($A17,公会宝库商品!$B:$K,COLUMN(Sheet2!F17),0)</f>
        <v>9999</v>
      </c>
      <c r="G17">
        <f>VLOOKUP($A17,公会宝库商品!$B:$K,COLUMN(Sheet2!G17),0)</f>
        <v>2</v>
      </c>
      <c r="H17">
        <f>VLOOKUP($A17,公会宝库商品!$B:$K,COLUMN(Sheet2!H17),0)</f>
        <v>1</v>
      </c>
    </row>
    <row r="18" spans="1:8">
      <c r="A18" t="s">
        <v>174</v>
      </c>
      <c r="B18" t="e">
        <f>VLOOKUP($A18,公会宝库商品!$B:$K,COLUMN(Sheet2!B18),0)</f>
        <v>#N/A</v>
      </c>
      <c r="C18" t="e">
        <f>VLOOKUP($A18,公会宝库商品!$B:$K,COLUMN(Sheet2!C18),0)</f>
        <v>#N/A</v>
      </c>
      <c r="D18" t="e">
        <f>VLOOKUP($A18,公会宝库商品!$B:$K,COLUMN(Sheet2!D18),0)</f>
        <v>#N/A</v>
      </c>
      <c r="E18" t="e">
        <f>VLOOKUP($A18,公会宝库商品!$B:$K,COLUMN(Sheet2!E18),0)</f>
        <v>#N/A</v>
      </c>
      <c r="F18" t="e">
        <f>VLOOKUP($A18,公会宝库商品!$B:$K,COLUMN(Sheet2!F18),0)</f>
        <v>#N/A</v>
      </c>
      <c r="G18" t="e">
        <f>VLOOKUP($A18,公会宝库商品!$B:$K,COLUMN(Sheet2!G18),0)</f>
        <v>#N/A</v>
      </c>
      <c r="H18" t="e">
        <f>VLOOKUP($A18,公会宝库商品!$B:$K,COLUMN(Sheet2!H18),0)</f>
        <v>#N/A</v>
      </c>
    </row>
    <row r="19" spans="1:8">
      <c r="A19" t="s">
        <v>175</v>
      </c>
      <c r="B19" t="e">
        <f>VLOOKUP($A19,公会宝库商品!$B:$K,COLUMN(Sheet2!B19),0)</f>
        <v>#N/A</v>
      </c>
      <c r="C19" t="e">
        <f>VLOOKUP($A19,公会宝库商品!$B:$K,COLUMN(Sheet2!C19),0)</f>
        <v>#N/A</v>
      </c>
      <c r="D19" t="e">
        <f>VLOOKUP($A19,公会宝库商品!$B:$K,COLUMN(Sheet2!D19),0)</f>
        <v>#N/A</v>
      </c>
      <c r="E19" t="e">
        <f>VLOOKUP($A19,公会宝库商品!$B:$K,COLUMN(Sheet2!E19),0)</f>
        <v>#N/A</v>
      </c>
      <c r="F19" t="e">
        <f>VLOOKUP($A19,公会宝库商品!$B:$K,COLUMN(Sheet2!F19),0)</f>
        <v>#N/A</v>
      </c>
      <c r="G19" t="e">
        <f>VLOOKUP($A19,公会宝库商品!$B:$K,COLUMN(Sheet2!G19),0)</f>
        <v>#N/A</v>
      </c>
      <c r="H19" t="e">
        <f>VLOOKUP($A19,公会宝库商品!$B:$K,COLUMN(Sheet2!H19),0)</f>
        <v>#N/A</v>
      </c>
    </row>
    <row r="20" spans="1:8">
      <c r="A20" t="s">
        <v>176</v>
      </c>
      <c r="B20" t="e">
        <f>VLOOKUP($A20,公会宝库商品!$B:$K,COLUMN(Sheet2!B20),0)</f>
        <v>#N/A</v>
      </c>
      <c r="C20" t="e">
        <f>VLOOKUP($A20,公会宝库商品!$B:$K,COLUMN(Sheet2!C20),0)</f>
        <v>#N/A</v>
      </c>
      <c r="D20" t="e">
        <f>VLOOKUP($A20,公会宝库商品!$B:$K,COLUMN(Sheet2!D20),0)</f>
        <v>#N/A</v>
      </c>
      <c r="E20" t="e">
        <f>VLOOKUP($A20,公会宝库商品!$B:$K,COLUMN(Sheet2!E20),0)</f>
        <v>#N/A</v>
      </c>
      <c r="F20" t="e">
        <f>VLOOKUP($A20,公会宝库商品!$B:$K,COLUMN(Sheet2!F20),0)</f>
        <v>#N/A</v>
      </c>
      <c r="G20" t="e">
        <f>VLOOKUP($A20,公会宝库商品!$B:$K,COLUMN(Sheet2!G20),0)</f>
        <v>#N/A</v>
      </c>
      <c r="H20" t="e">
        <f>VLOOKUP($A20,公会宝库商品!$B:$K,COLUMN(Sheet2!H20),0)</f>
        <v>#N/A</v>
      </c>
    </row>
    <row r="21" spans="1:8">
      <c r="A21" t="s">
        <v>177</v>
      </c>
      <c r="B21" t="e">
        <f>VLOOKUP($A21,公会宝库商品!$B:$K,COLUMN(Sheet2!B21),0)</f>
        <v>#N/A</v>
      </c>
      <c r="C21" t="e">
        <f>VLOOKUP($A21,公会宝库商品!$B:$K,COLUMN(Sheet2!C21),0)</f>
        <v>#N/A</v>
      </c>
      <c r="D21" t="e">
        <f>VLOOKUP($A21,公会宝库商品!$B:$K,COLUMN(Sheet2!D21),0)</f>
        <v>#N/A</v>
      </c>
      <c r="E21" t="e">
        <f>VLOOKUP($A21,公会宝库商品!$B:$K,COLUMN(Sheet2!E21),0)</f>
        <v>#N/A</v>
      </c>
      <c r="F21" t="e">
        <f>VLOOKUP($A21,公会宝库商品!$B:$K,COLUMN(Sheet2!F21),0)</f>
        <v>#N/A</v>
      </c>
      <c r="G21" t="e">
        <f>VLOOKUP($A21,公会宝库商品!$B:$K,COLUMN(Sheet2!G21),0)</f>
        <v>#N/A</v>
      </c>
      <c r="H21" t="e">
        <f>VLOOKUP($A21,公会宝库商品!$B:$K,COLUMN(Sheet2!H21),0)</f>
        <v>#N/A</v>
      </c>
    </row>
    <row r="22" spans="1:8">
      <c r="A22" t="s">
        <v>178</v>
      </c>
      <c r="B22" t="e">
        <f>VLOOKUP($A22,公会宝库商品!$B:$K,COLUMN(Sheet2!B22),0)</f>
        <v>#N/A</v>
      </c>
      <c r="C22" t="e">
        <f>VLOOKUP($A22,公会宝库商品!$B:$K,COLUMN(Sheet2!C22),0)</f>
        <v>#N/A</v>
      </c>
      <c r="D22" t="e">
        <f>VLOOKUP($A22,公会宝库商品!$B:$K,COLUMN(Sheet2!D22),0)</f>
        <v>#N/A</v>
      </c>
      <c r="E22" t="e">
        <f>VLOOKUP($A22,公会宝库商品!$B:$K,COLUMN(Sheet2!E22),0)</f>
        <v>#N/A</v>
      </c>
      <c r="F22" t="e">
        <f>VLOOKUP($A22,公会宝库商品!$B:$K,COLUMN(Sheet2!F22),0)</f>
        <v>#N/A</v>
      </c>
      <c r="G22" t="e">
        <f>VLOOKUP($A22,公会宝库商品!$B:$K,COLUMN(Sheet2!G22),0)</f>
        <v>#N/A</v>
      </c>
      <c r="H22" t="e">
        <f>VLOOKUP($A22,公会宝库商品!$B:$K,COLUMN(Sheet2!H22),0)</f>
        <v>#N/A</v>
      </c>
    </row>
    <row r="23" spans="1:8">
      <c r="A23" t="s">
        <v>179</v>
      </c>
      <c r="B23" t="e">
        <f>VLOOKUP($A23,公会宝库商品!$B:$K,COLUMN(Sheet2!B23),0)</f>
        <v>#N/A</v>
      </c>
      <c r="C23" t="e">
        <f>VLOOKUP($A23,公会宝库商品!$B:$K,COLUMN(Sheet2!C23),0)</f>
        <v>#N/A</v>
      </c>
      <c r="D23" t="e">
        <f>VLOOKUP($A23,公会宝库商品!$B:$K,COLUMN(Sheet2!D23),0)</f>
        <v>#N/A</v>
      </c>
      <c r="E23" t="e">
        <f>VLOOKUP($A23,公会宝库商品!$B:$K,COLUMN(Sheet2!E23),0)</f>
        <v>#N/A</v>
      </c>
      <c r="F23" t="e">
        <f>VLOOKUP($A23,公会宝库商品!$B:$K,COLUMN(Sheet2!F23),0)</f>
        <v>#N/A</v>
      </c>
      <c r="G23" t="e">
        <f>VLOOKUP($A23,公会宝库商品!$B:$K,COLUMN(Sheet2!G23),0)</f>
        <v>#N/A</v>
      </c>
      <c r="H23" t="e">
        <f>VLOOKUP($A23,公会宝库商品!$B:$K,COLUMN(Sheet2!H23),0)</f>
        <v>#N/A</v>
      </c>
    </row>
    <row r="24" spans="1:8">
      <c r="A24" t="s">
        <v>180</v>
      </c>
      <c r="B24" t="e">
        <f>VLOOKUP($A24,公会宝库商品!$B:$K,COLUMN(Sheet2!B24),0)</f>
        <v>#N/A</v>
      </c>
      <c r="C24" t="e">
        <f>VLOOKUP($A24,公会宝库商品!$B:$K,COLUMN(Sheet2!C24),0)</f>
        <v>#N/A</v>
      </c>
      <c r="D24" t="e">
        <f>VLOOKUP($A24,公会宝库商品!$B:$K,COLUMN(Sheet2!D24),0)</f>
        <v>#N/A</v>
      </c>
      <c r="E24" t="e">
        <f>VLOOKUP($A24,公会宝库商品!$B:$K,COLUMN(Sheet2!E24),0)</f>
        <v>#N/A</v>
      </c>
      <c r="F24" t="e">
        <f>VLOOKUP($A24,公会宝库商品!$B:$K,COLUMN(Sheet2!F24),0)</f>
        <v>#N/A</v>
      </c>
      <c r="G24" t="e">
        <f>VLOOKUP($A24,公会宝库商品!$B:$K,COLUMN(Sheet2!G24),0)</f>
        <v>#N/A</v>
      </c>
      <c r="H24" t="e">
        <f>VLOOKUP($A24,公会宝库商品!$B:$K,COLUMN(Sheet2!H24),0)</f>
        <v>#N/A</v>
      </c>
    </row>
    <row r="25" spans="1:8">
      <c r="A25" t="s">
        <v>181</v>
      </c>
      <c r="B25" t="e">
        <f>VLOOKUP($A25,公会宝库商品!$B:$K,COLUMN(Sheet2!B25),0)</f>
        <v>#N/A</v>
      </c>
      <c r="C25" t="e">
        <f>VLOOKUP($A25,公会宝库商品!$B:$K,COLUMN(Sheet2!C25),0)</f>
        <v>#N/A</v>
      </c>
      <c r="D25" t="e">
        <f>VLOOKUP($A25,公会宝库商品!$B:$K,COLUMN(Sheet2!D25),0)</f>
        <v>#N/A</v>
      </c>
      <c r="E25" t="e">
        <f>VLOOKUP($A25,公会宝库商品!$B:$K,COLUMN(Sheet2!E25),0)</f>
        <v>#N/A</v>
      </c>
      <c r="F25" t="e">
        <f>VLOOKUP($A25,公会宝库商品!$B:$K,COLUMN(Sheet2!F25),0)</f>
        <v>#N/A</v>
      </c>
      <c r="G25" t="e">
        <f>VLOOKUP($A25,公会宝库商品!$B:$K,COLUMN(Sheet2!G25),0)</f>
        <v>#N/A</v>
      </c>
      <c r="H25" t="e">
        <f>VLOOKUP($A25,公会宝库商品!$B:$K,COLUMN(Sheet2!H25),0)</f>
        <v>#N/A</v>
      </c>
    </row>
    <row r="26" spans="1:8">
      <c r="A26" t="s">
        <v>182</v>
      </c>
      <c r="B26" t="e">
        <f>VLOOKUP($A26,公会宝库商品!$B:$K,COLUMN(Sheet2!B26),0)</f>
        <v>#N/A</v>
      </c>
      <c r="C26" t="e">
        <f>VLOOKUP($A26,公会宝库商品!$B:$K,COLUMN(Sheet2!C26),0)</f>
        <v>#N/A</v>
      </c>
      <c r="D26" t="e">
        <f>VLOOKUP($A26,公会宝库商品!$B:$K,COLUMN(Sheet2!D26),0)</f>
        <v>#N/A</v>
      </c>
      <c r="E26" t="e">
        <f>VLOOKUP($A26,公会宝库商品!$B:$K,COLUMN(Sheet2!E26),0)</f>
        <v>#N/A</v>
      </c>
      <c r="F26" t="e">
        <f>VLOOKUP($A26,公会宝库商品!$B:$K,COLUMN(Sheet2!F26),0)</f>
        <v>#N/A</v>
      </c>
      <c r="G26" t="e">
        <f>VLOOKUP($A26,公会宝库商品!$B:$K,COLUMN(Sheet2!G26),0)</f>
        <v>#N/A</v>
      </c>
      <c r="H26" t="e">
        <f>VLOOKUP($A26,公会宝库商品!$B:$K,COLUMN(Sheet2!H26),0)</f>
        <v>#N/A</v>
      </c>
    </row>
    <row r="27" spans="1:8">
      <c r="A27" t="s">
        <v>183</v>
      </c>
      <c r="B27" t="e">
        <f>VLOOKUP($A27,公会宝库商品!$B:$K,COLUMN(Sheet2!B27),0)</f>
        <v>#N/A</v>
      </c>
      <c r="C27" t="e">
        <f>VLOOKUP($A27,公会宝库商品!$B:$K,COLUMN(Sheet2!C27),0)</f>
        <v>#N/A</v>
      </c>
      <c r="D27" t="e">
        <f>VLOOKUP($A27,公会宝库商品!$B:$K,COLUMN(Sheet2!D27),0)</f>
        <v>#N/A</v>
      </c>
      <c r="E27" t="e">
        <f>VLOOKUP($A27,公会宝库商品!$B:$K,COLUMN(Sheet2!E27),0)</f>
        <v>#N/A</v>
      </c>
      <c r="F27" t="e">
        <f>VLOOKUP($A27,公会宝库商品!$B:$K,COLUMN(Sheet2!F27),0)</f>
        <v>#N/A</v>
      </c>
      <c r="G27" t="e">
        <f>VLOOKUP($A27,公会宝库商品!$B:$K,COLUMN(Sheet2!G27),0)</f>
        <v>#N/A</v>
      </c>
      <c r="H27" t="e">
        <f>VLOOKUP($A27,公会宝库商品!$B:$K,COLUMN(Sheet2!H27),0)</f>
        <v>#N/A</v>
      </c>
    </row>
    <row r="28" spans="1:8">
      <c r="A28" t="s">
        <v>184</v>
      </c>
      <c r="B28" t="e">
        <f>VLOOKUP($A28,公会宝库商品!$B:$K,COLUMN(Sheet2!B28),0)</f>
        <v>#N/A</v>
      </c>
      <c r="C28" t="e">
        <f>VLOOKUP($A28,公会宝库商品!$B:$K,COLUMN(Sheet2!C28),0)</f>
        <v>#N/A</v>
      </c>
      <c r="D28" t="e">
        <f>VLOOKUP($A28,公会宝库商品!$B:$K,COLUMN(Sheet2!D28),0)</f>
        <v>#N/A</v>
      </c>
      <c r="E28" t="e">
        <f>VLOOKUP($A28,公会宝库商品!$B:$K,COLUMN(Sheet2!E28),0)</f>
        <v>#N/A</v>
      </c>
      <c r="F28" t="e">
        <f>VLOOKUP($A28,公会宝库商品!$B:$K,COLUMN(Sheet2!F28),0)</f>
        <v>#N/A</v>
      </c>
      <c r="G28" t="e">
        <f>VLOOKUP($A28,公会宝库商品!$B:$K,COLUMN(Sheet2!G28),0)</f>
        <v>#N/A</v>
      </c>
      <c r="H28" t="e">
        <f>VLOOKUP($A28,公会宝库商品!$B:$K,COLUMN(Sheet2!H28),0)</f>
        <v>#N/A</v>
      </c>
    </row>
    <row r="29" spans="1:8">
      <c r="A29" t="s">
        <v>185</v>
      </c>
      <c r="B29" t="e">
        <f>VLOOKUP($A29,公会宝库商品!$B:$K,COLUMN(Sheet2!B29),0)</f>
        <v>#N/A</v>
      </c>
      <c r="C29" t="e">
        <f>VLOOKUP($A29,公会宝库商品!$B:$K,COLUMN(Sheet2!C29),0)</f>
        <v>#N/A</v>
      </c>
      <c r="D29" t="e">
        <f>VLOOKUP($A29,公会宝库商品!$B:$K,COLUMN(Sheet2!D29),0)</f>
        <v>#N/A</v>
      </c>
      <c r="E29" t="e">
        <f>VLOOKUP($A29,公会宝库商品!$B:$K,COLUMN(Sheet2!E29),0)</f>
        <v>#N/A</v>
      </c>
      <c r="F29" t="e">
        <f>VLOOKUP($A29,公会宝库商品!$B:$K,COLUMN(Sheet2!F29),0)</f>
        <v>#N/A</v>
      </c>
      <c r="G29" t="e">
        <f>VLOOKUP($A29,公会宝库商品!$B:$K,COLUMN(Sheet2!G29),0)</f>
        <v>#N/A</v>
      </c>
      <c r="H29" t="e">
        <f>VLOOKUP($A29,公会宝库商品!$B:$K,COLUMN(Sheet2!H29),0)</f>
        <v>#N/A</v>
      </c>
    </row>
    <row r="30" spans="1:8">
      <c r="A30" t="s">
        <v>186</v>
      </c>
      <c r="B30" t="e">
        <f>VLOOKUP($A30,公会宝库商品!$B:$K,COLUMN(Sheet2!B30),0)</f>
        <v>#N/A</v>
      </c>
      <c r="C30" t="e">
        <f>VLOOKUP($A30,公会宝库商品!$B:$K,COLUMN(Sheet2!C30),0)</f>
        <v>#N/A</v>
      </c>
      <c r="D30" t="e">
        <f>VLOOKUP($A30,公会宝库商品!$B:$K,COLUMN(Sheet2!D30),0)</f>
        <v>#N/A</v>
      </c>
      <c r="E30" t="e">
        <f>VLOOKUP($A30,公会宝库商品!$B:$K,COLUMN(Sheet2!E30),0)</f>
        <v>#N/A</v>
      </c>
      <c r="F30" t="e">
        <f>VLOOKUP($A30,公会宝库商品!$B:$K,COLUMN(Sheet2!F30),0)</f>
        <v>#N/A</v>
      </c>
      <c r="G30" t="e">
        <f>VLOOKUP($A30,公会宝库商品!$B:$K,COLUMN(Sheet2!G30),0)</f>
        <v>#N/A</v>
      </c>
      <c r="H30" t="e">
        <f>VLOOKUP($A30,公会宝库商品!$B:$K,COLUMN(Sheet2!H30),0)</f>
        <v>#N/A</v>
      </c>
    </row>
    <row r="31" spans="1:8">
      <c r="A31" t="s">
        <v>187</v>
      </c>
      <c r="B31" t="e">
        <f>VLOOKUP($A31,公会宝库商品!$B:$K,COLUMN(Sheet2!B31),0)</f>
        <v>#N/A</v>
      </c>
      <c r="C31" t="e">
        <f>VLOOKUP($A31,公会宝库商品!$B:$K,COLUMN(Sheet2!C31),0)</f>
        <v>#N/A</v>
      </c>
      <c r="D31" t="e">
        <f>VLOOKUP($A31,公会宝库商品!$B:$K,COLUMN(Sheet2!D31),0)</f>
        <v>#N/A</v>
      </c>
      <c r="E31" t="e">
        <f>VLOOKUP($A31,公会宝库商品!$B:$K,COLUMN(Sheet2!E31),0)</f>
        <v>#N/A</v>
      </c>
      <c r="F31" t="e">
        <f>VLOOKUP($A31,公会宝库商品!$B:$K,COLUMN(Sheet2!F31),0)</f>
        <v>#N/A</v>
      </c>
      <c r="G31" t="e">
        <f>VLOOKUP($A31,公会宝库商品!$B:$K,COLUMN(Sheet2!G31),0)</f>
        <v>#N/A</v>
      </c>
      <c r="H31" t="e">
        <f>VLOOKUP($A31,公会宝库商品!$B:$K,COLUMN(Sheet2!H31),0)</f>
        <v>#N/A</v>
      </c>
    </row>
    <row r="32" spans="1:8">
      <c r="A32" t="s">
        <v>188</v>
      </c>
      <c r="B32" t="e">
        <f>VLOOKUP($A32,公会宝库商品!$B:$K,COLUMN(Sheet2!B32),0)</f>
        <v>#N/A</v>
      </c>
      <c r="C32" t="e">
        <f>VLOOKUP($A32,公会宝库商品!$B:$K,COLUMN(Sheet2!C32),0)</f>
        <v>#N/A</v>
      </c>
      <c r="D32" t="e">
        <f>VLOOKUP($A32,公会宝库商品!$B:$K,COLUMN(Sheet2!D32),0)</f>
        <v>#N/A</v>
      </c>
      <c r="E32" t="e">
        <f>VLOOKUP($A32,公会宝库商品!$B:$K,COLUMN(Sheet2!E32),0)</f>
        <v>#N/A</v>
      </c>
      <c r="F32" t="e">
        <f>VLOOKUP($A32,公会宝库商品!$B:$K,COLUMN(Sheet2!F32),0)</f>
        <v>#N/A</v>
      </c>
      <c r="G32" t="e">
        <f>VLOOKUP($A32,公会宝库商品!$B:$K,COLUMN(Sheet2!G32),0)</f>
        <v>#N/A</v>
      </c>
      <c r="H32" t="e">
        <f>VLOOKUP($A32,公会宝库商品!$B:$K,COLUMN(Sheet2!H32),0)</f>
        <v>#N/A</v>
      </c>
    </row>
    <row r="33" spans="1:8">
      <c r="A33" t="s">
        <v>189</v>
      </c>
      <c r="B33" t="e">
        <f>VLOOKUP($A33,公会宝库商品!$B:$K,COLUMN(Sheet2!B33),0)</f>
        <v>#N/A</v>
      </c>
      <c r="C33" t="e">
        <f>VLOOKUP($A33,公会宝库商品!$B:$K,COLUMN(Sheet2!C33),0)</f>
        <v>#N/A</v>
      </c>
      <c r="D33" t="e">
        <f>VLOOKUP($A33,公会宝库商品!$B:$K,COLUMN(Sheet2!D33),0)</f>
        <v>#N/A</v>
      </c>
      <c r="E33" t="e">
        <f>VLOOKUP($A33,公会宝库商品!$B:$K,COLUMN(Sheet2!E33),0)</f>
        <v>#N/A</v>
      </c>
      <c r="F33" t="e">
        <f>VLOOKUP($A33,公会宝库商品!$B:$K,COLUMN(Sheet2!F33),0)</f>
        <v>#N/A</v>
      </c>
      <c r="G33" t="e">
        <f>VLOOKUP($A33,公会宝库商品!$B:$K,COLUMN(Sheet2!G33),0)</f>
        <v>#N/A</v>
      </c>
      <c r="H33" t="e">
        <f>VLOOKUP($A33,公会宝库商品!$B:$K,COLUMN(Sheet2!H33),0)</f>
        <v>#N/A</v>
      </c>
    </row>
    <row r="34" spans="1:8">
      <c r="A34" t="s">
        <v>190</v>
      </c>
      <c r="B34" t="e">
        <f>VLOOKUP($A34,公会宝库商品!$B:$K,COLUMN(Sheet2!B34),0)</f>
        <v>#N/A</v>
      </c>
      <c r="C34" t="e">
        <f>VLOOKUP($A34,公会宝库商品!$B:$K,COLUMN(Sheet2!C34),0)</f>
        <v>#N/A</v>
      </c>
      <c r="D34" t="e">
        <f>VLOOKUP($A34,公会宝库商品!$B:$K,COLUMN(Sheet2!D34),0)</f>
        <v>#N/A</v>
      </c>
      <c r="E34" t="e">
        <f>VLOOKUP($A34,公会宝库商品!$B:$K,COLUMN(Sheet2!E34),0)</f>
        <v>#N/A</v>
      </c>
      <c r="F34" t="e">
        <f>VLOOKUP($A34,公会宝库商品!$B:$K,COLUMN(Sheet2!F34),0)</f>
        <v>#N/A</v>
      </c>
      <c r="G34" t="e">
        <f>VLOOKUP($A34,公会宝库商品!$B:$K,COLUMN(Sheet2!G34),0)</f>
        <v>#N/A</v>
      </c>
      <c r="H34" t="e">
        <f>VLOOKUP($A34,公会宝库商品!$B:$K,COLUMN(Sheet2!H34),0)</f>
        <v>#N/A</v>
      </c>
    </row>
    <row r="35" spans="1:8">
      <c r="A35" t="s">
        <v>191</v>
      </c>
      <c r="B35" t="e">
        <f>VLOOKUP($A35,公会宝库商品!$B:$K,COLUMN(Sheet2!B35),0)</f>
        <v>#N/A</v>
      </c>
      <c r="C35" t="e">
        <f>VLOOKUP($A35,公会宝库商品!$B:$K,COLUMN(Sheet2!C35),0)</f>
        <v>#N/A</v>
      </c>
      <c r="D35" t="e">
        <f>VLOOKUP($A35,公会宝库商品!$B:$K,COLUMN(Sheet2!D35),0)</f>
        <v>#N/A</v>
      </c>
      <c r="E35" t="e">
        <f>VLOOKUP($A35,公会宝库商品!$B:$K,COLUMN(Sheet2!E35),0)</f>
        <v>#N/A</v>
      </c>
      <c r="F35" t="e">
        <f>VLOOKUP($A35,公会宝库商品!$B:$K,COLUMN(Sheet2!F35),0)</f>
        <v>#N/A</v>
      </c>
      <c r="G35" t="e">
        <f>VLOOKUP($A35,公会宝库商品!$B:$K,COLUMN(Sheet2!G35),0)</f>
        <v>#N/A</v>
      </c>
      <c r="H35" t="e">
        <f>VLOOKUP($A35,公会宝库商品!$B:$K,COLUMN(Sheet2!H35),0)</f>
        <v>#N/A</v>
      </c>
    </row>
    <row r="36" spans="1:8">
      <c r="A36" t="s">
        <v>192</v>
      </c>
      <c r="B36" t="e">
        <f>VLOOKUP($A36,公会宝库商品!$B:$K,COLUMN(Sheet2!B36),0)</f>
        <v>#N/A</v>
      </c>
      <c r="C36" t="e">
        <f>VLOOKUP($A36,公会宝库商品!$B:$K,COLUMN(Sheet2!C36),0)</f>
        <v>#N/A</v>
      </c>
      <c r="D36" t="e">
        <f>VLOOKUP($A36,公会宝库商品!$B:$K,COLUMN(Sheet2!D36),0)</f>
        <v>#N/A</v>
      </c>
      <c r="E36" t="e">
        <f>VLOOKUP($A36,公会宝库商品!$B:$K,COLUMN(Sheet2!E36),0)</f>
        <v>#N/A</v>
      </c>
      <c r="F36" t="e">
        <f>VLOOKUP($A36,公会宝库商品!$B:$K,COLUMN(Sheet2!F36),0)</f>
        <v>#N/A</v>
      </c>
      <c r="G36" t="e">
        <f>VLOOKUP($A36,公会宝库商品!$B:$K,COLUMN(Sheet2!G36),0)</f>
        <v>#N/A</v>
      </c>
      <c r="H36" t="e">
        <f>VLOOKUP($A36,公会宝库商品!$B:$K,COLUMN(Sheet2!H36),0)</f>
        <v>#N/A</v>
      </c>
    </row>
    <row r="37" spans="1:8">
      <c r="A37" t="s">
        <v>193</v>
      </c>
      <c r="B37" t="e">
        <f>VLOOKUP($A37,公会宝库商品!$B:$K,COLUMN(Sheet2!B37),0)</f>
        <v>#N/A</v>
      </c>
      <c r="C37" t="e">
        <f>VLOOKUP($A37,公会宝库商品!$B:$K,COLUMN(Sheet2!C37),0)</f>
        <v>#N/A</v>
      </c>
      <c r="D37" t="e">
        <f>VLOOKUP($A37,公会宝库商品!$B:$K,COLUMN(Sheet2!D37),0)</f>
        <v>#N/A</v>
      </c>
      <c r="E37" t="e">
        <f>VLOOKUP($A37,公会宝库商品!$B:$K,COLUMN(Sheet2!E37),0)</f>
        <v>#N/A</v>
      </c>
      <c r="F37" t="e">
        <f>VLOOKUP($A37,公会宝库商品!$B:$K,COLUMN(Sheet2!F37),0)</f>
        <v>#N/A</v>
      </c>
      <c r="G37" t="e">
        <f>VLOOKUP($A37,公会宝库商品!$B:$K,COLUMN(Sheet2!G37),0)</f>
        <v>#N/A</v>
      </c>
      <c r="H37" t="e">
        <f>VLOOKUP($A37,公会宝库商品!$B:$K,COLUMN(Sheet2!H37),0)</f>
        <v>#N/A</v>
      </c>
    </row>
    <row r="38" spans="1:8">
      <c r="A38" t="s">
        <v>194</v>
      </c>
      <c r="B38" t="e">
        <f>VLOOKUP($A38,公会宝库商品!$B:$K,COLUMN(Sheet2!B38),0)</f>
        <v>#N/A</v>
      </c>
      <c r="C38" t="e">
        <f>VLOOKUP($A38,公会宝库商品!$B:$K,COLUMN(Sheet2!C38),0)</f>
        <v>#N/A</v>
      </c>
      <c r="D38" t="e">
        <f>VLOOKUP($A38,公会宝库商品!$B:$K,COLUMN(Sheet2!D38),0)</f>
        <v>#N/A</v>
      </c>
      <c r="E38" t="e">
        <f>VLOOKUP($A38,公会宝库商品!$B:$K,COLUMN(Sheet2!E38),0)</f>
        <v>#N/A</v>
      </c>
      <c r="F38" t="e">
        <f>VLOOKUP($A38,公会宝库商品!$B:$K,COLUMN(Sheet2!F38),0)</f>
        <v>#N/A</v>
      </c>
      <c r="G38" t="e">
        <f>VLOOKUP($A38,公会宝库商品!$B:$K,COLUMN(Sheet2!G38),0)</f>
        <v>#N/A</v>
      </c>
      <c r="H38" t="e">
        <f>VLOOKUP($A38,公会宝库商品!$B:$K,COLUMN(Sheet2!H38),0)</f>
        <v>#N/A</v>
      </c>
    </row>
    <row r="39" spans="1:8">
      <c r="A39" t="s">
        <v>195</v>
      </c>
      <c r="B39" t="e">
        <f>VLOOKUP($A39,公会宝库商品!$B:$K,COLUMN(Sheet2!B39),0)</f>
        <v>#N/A</v>
      </c>
      <c r="C39" t="e">
        <f>VLOOKUP($A39,公会宝库商品!$B:$K,COLUMN(Sheet2!C39),0)</f>
        <v>#N/A</v>
      </c>
      <c r="D39" t="e">
        <f>VLOOKUP($A39,公会宝库商品!$B:$K,COLUMN(Sheet2!D39),0)</f>
        <v>#N/A</v>
      </c>
      <c r="E39" t="e">
        <f>VLOOKUP($A39,公会宝库商品!$B:$K,COLUMN(Sheet2!E39),0)</f>
        <v>#N/A</v>
      </c>
      <c r="F39" t="e">
        <f>VLOOKUP($A39,公会宝库商品!$B:$K,COLUMN(Sheet2!F39),0)</f>
        <v>#N/A</v>
      </c>
      <c r="G39" t="e">
        <f>VLOOKUP($A39,公会宝库商品!$B:$K,COLUMN(Sheet2!G39),0)</f>
        <v>#N/A</v>
      </c>
      <c r="H39" t="e">
        <f>VLOOKUP($A39,公会宝库商品!$B:$K,COLUMN(Sheet2!H39),0)</f>
        <v>#N/A</v>
      </c>
    </row>
    <row r="40" spans="1:8">
      <c r="A40" t="s">
        <v>196</v>
      </c>
      <c r="B40" t="e">
        <f>VLOOKUP($A40,公会宝库商品!$B:$K,COLUMN(Sheet2!B40),0)</f>
        <v>#N/A</v>
      </c>
      <c r="C40" t="e">
        <f>VLOOKUP($A40,公会宝库商品!$B:$K,COLUMN(Sheet2!C40),0)</f>
        <v>#N/A</v>
      </c>
      <c r="D40" t="e">
        <f>VLOOKUP($A40,公会宝库商品!$B:$K,COLUMN(Sheet2!D40),0)</f>
        <v>#N/A</v>
      </c>
      <c r="E40" t="e">
        <f>VLOOKUP($A40,公会宝库商品!$B:$K,COLUMN(Sheet2!E40),0)</f>
        <v>#N/A</v>
      </c>
      <c r="F40" t="e">
        <f>VLOOKUP($A40,公会宝库商品!$B:$K,COLUMN(Sheet2!F40),0)</f>
        <v>#N/A</v>
      </c>
      <c r="G40" t="e">
        <f>VLOOKUP($A40,公会宝库商品!$B:$K,COLUMN(Sheet2!G40),0)</f>
        <v>#N/A</v>
      </c>
      <c r="H40" t="e">
        <f>VLOOKUP($A40,公会宝库商品!$B:$K,COLUMN(Sheet2!H40),0)</f>
        <v>#N/A</v>
      </c>
    </row>
    <row r="41" spans="1:8">
      <c r="A41" t="s">
        <v>197</v>
      </c>
      <c r="B41" t="e">
        <f>VLOOKUP($A41,公会宝库商品!$B:$K,COLUMN(Sheet2!B41),0)</f>
        <v>#N/A</v>
      </c>
      <c r="C41" t="e">
        <f>VLOOKUP($A41,公会宝库商品!$B:$K,COLUMN(Sheet2!C41),0)</f>
        <v>#N/A</v>
      </c>
      <c r="D41" t="e">
        <f>VLOOKUP($A41,公会宝库商品!$B:$K,COLUMN(Sheet2!D41),0)</f>
        <v>#N/A</v>
      </c>
      <c r="E41" t="e">
        <f>VLOOKUP($A41,公会宝库商品!$B:$K,COLUMN(Sheet2!E41),0)</f>
        <v>#N/A</v>
      </c>
      <c r="F41" t="e">
        <f>VLOOKUP($A41,公会宝库商品!$B:$K,COLUMN(Sheet2!F41),0)</f>
        <v>#N/A</v>
      </c>
      <c r="G41" t="e">
        <f>VLOOKUP($A41,公会宝库商品!$B:$K,COLUMN(Sheet2!G41),0)</f>
        <v>#N/A</v>
      </c>
      <c r="H41" t="e">
        <f>VLOOKUP($A41,公会宝库商品!$B:$K,COLUMN(Sheet2!H41),0)</f>
        <v>#N/A</v>
      </c>
    </row>
    <row r="42" spans="1:8">
      <c r="A42" t="s">
        <v>198</v>
      </c>
      <c r="B42" t="e">
        <f>VLOOKUP($A42,公会宝库商品!$B:$K,COLUMN(Sheet2!B42),0)</f>
        <v>#N/A</v>
      </c>
      <c r="C42" t="e">
        <f>VLOOKUP($A42,公会宝库商品!$B:$K,COLUMN(Sheet2!C42),0)</f>
        <v>#N/A</v>
      </c>
      <c r="D42" t="e">
        <f>VLOOKUP($A42,公会宝库商品!$B:$K,COLUMN(Sheet2!D42),0)</f>
        <v>#N/A</v>
      </c>
      <c r="E42" t="e">
        <f>VLOOKUP($A42,公会宝库商品!$B:$K,COLUMN(Sheet2!E42),0)</f>
        <v>#N/A</v>
      </c>
      <c r="F42" t="e">
        <f>VLOOKUP($A42,公会宝库商品!$B:$K,COLUMN(Sheet2!F42),0)</f>
        <v>#N/A</v>
      </c>
      <c r="G42" t="e">
        <f>VLOOKUP($A42,公会宝库商品!$B:$K,COLUMN(Sheet2!G42),0)</f>
        <v>#N/A</v>
      </c>
      <c r="H42" t="e">
        <f>VLOOKUP($A42,公会宝库商品!$B:$K,COLUMN(Sheet2!H42),0)</f>
        <v>#N/A</v>
      </c>
    </row>
    <row r="43" spans="1:8">
      <c r="A43" t="s">
        <v>199</v>
      </c>
      <c r="B43" t="e">
        <f>VLOOKUP($A43,公会宝库商品!$B:$K,COLUMN(Sheet2!B43),0)</f>
        <v>#N/A</v>
      </c>
      <c r="C43" t="e">
        <f>VLOOKUP($A43,公会宝库商品!$B:$K,COLUMN(Sheet2!C43),0)</f>
        <v>#N/A</v>
      </c>
      <c r="D43" t="e">
        <f>VLOOKUP($A43,公会宝库商品!$B:$K,COLUMN(Sheet2!D43),0)</f>
        <v>#N/A</v>
      </c>
      <c r="E43" t="e">
        <f>VLOOKUP($A43,公会宝库商品!$B:$K,COLUMN(Sheet2!E43),0)</f>
        <v>#N/A</v>
      </c>
      <c r="F43" t="e">
        <f>VLOOKUP($A43,公会宝库商品!$B:$K,COLUMN(Sheet2!F43),0)</f>
        <v>#N/A</v>
      </c>
      <c r="G43" t="e">
        <f>VLOOKUP($A43,公会宝库商品!$B:$K,COLUMN(Sheet2!G43),0)</f>
        <v>#N/A</v>
      </c>
      <c r="H43" t="e">
        <f>VLOOKUP($A43,公会宝库商品!$B:$K,COLUMN(Sheet2!H43),0)</f>
        <v>#N/A</v>
      </c>
    </row>
    <row r="44" spans="1:8">
      <c r="A44" t="s">
        <v>200</v>
      </c>
      <c r="B44" t="e">
        <f>VLOOKUP($A44,公会宝库商品!$B:$K,COLUMN(Sheet2!B44),0)</f>
        <v>#N/A</v>
      </c>
      <c r="C44" t="e">
        <f>VLOOKUP($A44,公会宝库商品!$B:$K,COLUMN(Sheet2!C44),0)</f>
        <v>#N/A</v>
      </c>
      <c r="D44" t="e">
        <f>VLOOKUP($A44,公会宝库商品!$B:$K,COLUMN(Sheet2!D44),0)</f>
        <v>#N/A</v>
      </c>
      <c r="E44" t="e">
        <f>VLOOKUP($A44,公会宝库商品!$B:$K,COLUMN(Sheet2!E44),0)</f>
        <v>#N/A</v>
      </c>
      <c r="F44" t="e">
        <f>VLOOKUP($A44,公会宝库商品!$B:$K,COLUMN(Sheet2!F44),0)</f>
        <v>#N/A</v>
      </c>
      <c r="G44" t="e">
        <f>VLOOKUP($A44,公会宝库商品!$B:$K,COLUMN(Sheet2!G44),0)</f>
        <v>#N/A</v>
      </c>
      <c r="H44" t="e">
        <f>VLOOKUP($A44,公会宝库商品!$B:$K,COLUMN(Sheet2!H44),0)</f>
        <v>#N/A</v>
      </c>
    </row>
    <row r="45" spans="1:8">
      <c r="A45" t="s">
        <v>201</v>
      </c>
      <c r="B45" t="e">
        <f>VLOOKUP($A45,公会宝库商品!$B:$K,COLUMN(Sheet2!B45),0)</f>
        <v>#N/A</v>
      </c>
      <c r="C45" t="e">
        <f>VLOOKUP($A45,公会宝库商品!$B:$K,COLUMN(Sheet2!C45),0)</f>
        <v>#N/A</v>
      </c>
      <c r="D45" t="e">
        <f>VLOOKUP($A45,公会宝库商品!$B:$K,COLUMN(Sheet2!D45),0)</f>
        <v>#N/A</v>
      </c>
      <c r="E45" t="e">
        <f>VLOOKUP($A45,公会宝库商品!$B:$K,COLUMN(Sheet2!E45),0)</f>
        <v>#N/A</v>
      </c>
      <c r="F45" t="e">
        <f>VLOOKUP($A45,公会宝库商品!$B:$K,COLUMN(Sheet2!F45),0)</f>
        <v>#N/A</v>
      </c>
      <c r="G45" t="e">
        <f>VLOOKUP($A45,公会宝库商品!$B:$K,COLUMN(Sheet2!G45),0)</f>
        <v>#N/A</v>
      </c>
      <c r="H45" t="e">
        <f>VLOOKUP($A45,公会宝库商品!$B:$K,COLUMN(Sheet2!H45),0)</f>
        <v>#N/A</v>
      </c>
    </row>
    <row r="46" spans="1:8">
      <c r="A46" t="s">
        <v>202</v>
      </c>
      <c r="B46" t="e">
        <f>VLOOKUP($A46,公会宝库商品!$B:$K,COLUMN(Sheet2!B46),0)</f>
        <v>#N/A</v>
      </c>
      <c r="C46" t="e">
        <f>VLOOKUP($A46,公会宝库商品!$B:$K,COLUMN(Sheet2!C46),0)</f>
        <v>#N/A</v>
      </c>
      <c r="D46" t="e">
        <f>VLOOKUP($A46,公会宝库商品!$B:$K,COLUMN(Sheet2!D46),0)</f>
        <v>#N/A</v>
      </c>
      <c r="E46" t="e">
        <f>VLOOKUP($A46,公会宝库商品!$B:$K,COLUMN(Sheet2!E46),0)</f>
        <v>#N/A</v>
      </c>
      <c r="F46" t="e">
        <f>VLOOKUP($A46,公会宝库商品!$B:$K,COLUMN(Sheet2!F46),0)</f>
        <v>#N/A</v>
      </c>
      <c r="G46" t="e">
        <f>VLOOKUP($A46,公会宝库商品!$B:$K,COLUMN(Sheet2!G46),0)</f>
        <v>#N/A</v>
      </c>
      <c r="H46" t="e">
        <f>VLOOKUP($A46,公会宝库商品!$B:$K,COLUMN(Sheet2!H46),0)</f>
        <v>#N/A</v>
      </c>
    </row>
    <row r="47" spans="1:8">
      <c r="A47" t="s">
        <v>203</v>
      </c>
      <c r="B47" t="e">
        <f>VLOOKUP($A47,公会宝库商品!$B:$K,COLUMN(Sheet2!B47),0)</f>
        <v>#N/A</v>
      </c>
      <c r="C47" t="e">
        <f>VLOOKUP($A47,公会宝库商品!$B:$K,COLUMN(Sheet2!C47),0)</f>
        <v>#N/A</v>
      </c>
      <c r="D47" t="e">
        <f>VLOOKUP($A47,公会宝库商品!$B:$K,COLUMN(Sheet2!D47),0)</f>
        <v>#N/A</v>
      </c>
      <c r="E47" t="e">
        <f>VLOOKUP($A47,公会宝库商品!$B:$K,COLUMN(Sheet2!E47),0)</f>
        <v>#N/A</v>
      </c>
      <c r="F47" t="e">
        <f>VLOOKUP($A47,公会宝库商品!$B:$K,COLUMN(Sheet2!F47),0)</f>
        <v>#N/A</v>
      </c>
      <c r="G47" t="e">
        <f>VLOOKUP($A47,公会宝库商品!$B:$K,COLUMN(Sheet2!G47),0)</f>
        <v>#N/A</v>
      </c>
      <c r="H47" t="e">
        <f>VLOOKUP($A47,公会宝库商品!$B:$K,COLUMN(Sheet2!H47),0)</f>
        <v>#N/A</v>
      </c>
    </row>
    <row r="48" spans="1:8">
      <c r="A48" t="s">
        <v>204</v>
      </c>
      <c r="B48" t="e">
        <f>VLOOKUP($A48,公会宝库商品!$B:$K,COLUMN(Sheet2!B48),0)</f>
        <v>#N/A</v>
      </c>
      <c r="C48" t="e">
        <f>VLOOKUP($A48,公会宝库商品!$B:$K,COLUMN(Sheet2!C48),0)</f>
        <v>#N/A</v>
      </c>
      <c r="D48" t="e">
        <f>VLOOKUP($A48,公会宝库商品!$B:$K,COLUMN(Sheet2!D48),0)</f>
        <v>#N/A</v>
      </c>
      <c r="E48" t="e">
        <f>VLOOKUP($A48,公会宝库商品!$B:$K,COLUMN(Sheet2!E48),0)</f>
        <v>#N/A</v>
      </c>
      <c r="F48" t="e">
        <f>VLOOKUP($A48,公会宝库商品!$B:$K,COLUMN(Sheet2!F48),0)</f>
        <v>#N/A</v>
      </c>
      <c r="G48" t="e">
        <f>VLOOKUP($A48,公会宝库商品!$B:$K,COLUMN(Sheet2!G48),0)</f>
        <v>#N/A</v>
      </c>
      <c r="H48" t="e">
        <f>VLOOKUP($A48,公会宝库商品!$B:$K,COLUMN(Sheet2!H48),0)</f>
        <v>#N/A</v>
      </c>
    </row>
    <row r="49" spans="1:8">
      <c r="A49" t="s">
        <v>205</v>
      </c>
      <c r="B49" t="e">
        <f>VLOOKUP($A49,公会宝库商品!$B:$K,COLUMN(Sheet2!B49),0)</f>
        <v>#N/A</v>
      </c>
      <c r="C49" t="e">
        <f>VLOOKUP($A49,公会宝库商品!$B:$K,COLUMN(Sheet2!C49),0)</f>
        <v>#N/A</v>
      </c>
      <c r="D49" t="e">
        <f>VLOOKUP($A49,公会宝库商品!$B:$K,COLUMN(Sheet2!D49),0)</f>
        <v>#N/A</v>
      </c>
      <c r="E49" t="e">
        <f>VLOOKUP($A49,公会宝库商品!$B:$K,COLUMN(Sheet2!E49),0)</f>
        <v>#N/A</v>
      </c>
      <c r="F49" t="e">
        <f>VLOOKUP($A49,公会宝库商品!$B:$K,COLUMN(Sheet2!F49),0)</f>
        <v>#N/A</v>
      </c>
      <c r="G49" t="e">
        <f>VLOOKUP($A49,公会宝库商品!$B:$K,COLUMN(Sheet2!G49),0)</f>
        <v>#N/A</v>
      </c>
      <c r="H49" t="e">
        <f>VLOOKUP($A49,公会宝库商品!$B:$K,COLUMN(Sheet2!H49),0)</f>
        <v>#N/A</v>
      </c>
    </row>
    <row r="50" spans="1:8">
      <c r="A50" t="s">
        <v>206</v>
      </c>
      <c r="B50" t="e">
        <f>VLOOKUP($A50,公会宝库商品!$B:$K,COLUMN(Sheet2!B50),0)</f>
        <v>#N/A</v>
      </c>
      <c r="C50" t="e">
        <f>VLOOKUP($A50,公会宝库商品!$B:$K,COLUMN(Sheet2!C50),0)</f>
        <v>#N/A</v>
      </c>
      <c r="D50" t="e">
        <f>VLOOKUP($A50,公会宝库商品!$B:$K,COLUMN(Sheet2!D50),0)</f>
        <v>#N/A</v>
      </c>
      <c r="E50" t="e">
        <f>VLOOKUP($A50,公会宝库商品!$B:$K,COLUMN(Sheet2!E50),0)</f>
        <v>#N/A</v>
      </c>
      <c r="F50" t="e">
        <f>VLOOKUP($A50,公会宝库商品!$B:$K,COLUMN(Sheet2!F50),0)</f>
        <v>#N/A</v>
      </c>
      <c r="G50" t="e">
        <f>VLOOKUP($A50,公会宝库商品!$B:$K,COLUMN(Sheet2!G50),0)</f>
        <v>#N/A</v>
      </c>
      <c r="H50" t="e">
        <f>VLOOKUP($A50,公会宝库商品!$B:$K,COLUMN(Sheet2!H50),0)</f>
        <v>#N/A</v>
      </c>
    </row>
    <row r="51" spans="1:8">
      <c r="A51" t="s">
        <v>207</v>
      </c>
      <c r="B51" t="e">
        <f>VLOOKUP($A51,公会宝库商品!$B:$K,COLUMN(Sheet2!B51),0)</f>
        <v>#N/A</v>
      </c>
      <c r="C51" t="e">
        <f>VLOOKUP($A51,公会宝库商品!$B:$K,COLUMN(Sheet2!C51),0)</f>
        <v>#N/A</v>
      </c>
      <c r="D51" t="e">
        <f>VLOOKUP($A51,公会宝库商品!$B:$K,COLUMN(Sheet2!D51),0)</f>
        <v>#N/A</v>
      </c>
      <c r="E51" t="e">
        <f>VLOOKUP($A51,公会宝库商品!$B:$K,COLUMN(Sheet2!E51),0)</f>
        <v>#N/A</v>
      </c>
      <c r="F51" t="e">
        <f>VLOOKUP($A51,公会宝库商品!$B:$K,COLUMN(Sheet2!F51),0)</f>
        <v>#N/A</v>
      </c>
      <c r="G51" t="e">
        <f>VLOOKUP($A51,公会宝库商品!$B:$K,COLUMN(Sheet2!G51),0)</f>
        <v>#N/A</v>
      </c>
      <c r="H51" t="e">
        <f>VLOOKUP($A51,公会宝库商品!$B:$K,COLUMN(Sheet2!H51),0)</f>
        <v>#N/A</v>
      </c>
    </row>
    <row r="52" spans="1:8">
      <c r="A52" t="s">
        <v>208</v>
      </c>
      <c r="B52" t="e">
        <f>VLOOKUP($A52,公会宝库商品!$B:$K,COLUMN(Sheet2!B52),0)</f>
        <v>#N/A</v>
      </c>
      <c r="C52" t="e">
        <f>VLOOKUP($A52,公会宝库商品!$B:$K,COLUMN(Sheet2!C52),0)</f>
        <v>#N/A</v>
      </c>
      <c r="D52" t="e">
        <f>VLOOKUP($A52,公会宝库商品!$B:$K,COLUMN(Sheet2!D52),0)</f>
        <v>#N/A</v>
      </c>
      <c r="E52" t="e">
        <f>VLOOKUP($A52,公会宝库商品!$B:$K,COLUMN(Sheet2!E52),0)</f>
        <v>#N/A</v>
      </c>
      <c r="F52" t="e">
        <f>VLOOKUP($A52,公会宝库商品!$B:$K,COLUMN(Sheet2!F52),0)</f>
        <v>#N/A</v>
      </c>
      <c r="G52" t="e">
        <f>VLOOKUP($A52,公会宝库商品!$B:$K,COLUMN(Sheet2!G52),0)</f>
        <v>#N/A</v>
      </c>
      <c r="H52" t="e">
        <f>VLOOKUP($A52,公会宝库商品!$B:$K,COLUMN(Sheet2!H52),0)</f>
        <v>#N/A</v>
      </c>
    </row>
    <row r="53" spans="1:8">
      <c r="A53" t="s">
        <v>209</v>
      </c>
      <c r="B53" t="e">
        <f>VLOOKUP($A53,公会宝库商品!$B:$K,COLUMN(Sheet2!B53),0)</f>
        <v>#N/A</v>
      </c>
      <c r="C53" t="e">
        <f>VLOOKUP($A53,公会宝库商品!$B:$K,COLUMN(Sheet2!C53),0)</f>
        <v>#N/A</v>
      </c>
      <c r="D53" t="e">
        <f>VLOOKUP($A53,公会宝库商品!$B:$K,COLUMN(Sheet2!D53),0)</f>
        <v>#N/A</v>
      </c>
      <c r="E53" t="e">
        <f>VLOOKUP($A53,公会宝库商品!$B:$K,COLUMN(Sheet2!E53),0)</f>
        <v>#N/A</v>
      </c>
      <c r="F53" t="e">
        <f>VLOOKUP($A53,公会宝库商品!$B:$K,COLUMN(Sheet2!F53),0)</f>
        <v>#N/A</v>
      </c>
      <c r="G53" t="e">
        <f>VLOOKUP($A53,公会宝库商品!$B:$K,COLUMN(Sheet2!G53),0)</f>
        <v>#N/A</v>
      </c>
      <c r="H53" t="e">
        <f>VLOOKUP($A53,公会宝库商品!$B:$K,COLUMN(Sheet2!H53),0)</f>
        <v>#N/A</v>
      </c>
    </row>
    <row r="54" spans="1:8">
      <c r="A54" t="s">
        <v>210</v>
      </c>
      <c r="B54" t="e">
        <f>VLOOKUP($A54,公会宝库商品!$B:$K,COLUMN(Sheet2!B54),0)</f>
        <v>#N/A</v>
      </c>
      <c r="C54" t="e">
        <f>VLOOKUP($A54,公会宝库商品!$B:$K,COLUMN(Sheet2!C54),0)</f>
        <v>#N/A</v>
      </c>
      <c r="D54" t="e">
        <f>VLOOKUP($A54,公会宝库商品!$B:$K,COLUMN(Sheet2!D54),0)</f>
        <v>#N/A</v>
      </c>
      <c r="E54" t="e">
        <f>VLOOKUP($A54,公会宝库商品!$B:$K,COLUMN(Sheet2!E54),0)</f>
        <v>#N/A</v>
      </c>
      <c r="F54" t="e">
        <f>VLOOKUP($A54,公会宝库商品!$B:$K,COLUMN(Sheet2!F54),0)</f>
        <v>#N/A</v>
      </c>
      <c r="G54" t="e">
        <f>VLOOKUP($A54,公会宝库商品!$B:$K,COLUMN(Sheet2!G54),0)</f>
        <v>#N/A</v>
      </c>
      <c r="H54" t="e">
        <f>VLOOKUP($A54,公会宝库商品!$B:$K,COLUMN(Sheet2!H54),0)</f>
        <v>#N/A</v>
      </c>
    </row>
    <row r="55" spans="1:8">
      <c r="A55" t="s">
        <v>211</v>
      </c>
      <c r="B55" t="e">
        <f>VLOOKUP($A55,公会宝库商品!$B:$K,COLUMN(Sheet2!B55),0)</f>
        <v>#N/A</v>
      </c>
      <c r="C55" t="e">
        <f>VLOOKUP($A55,公会宝库商品!$B:$K,COLUMN(Sheet2!C55),0)</f>
        <v>#N/A</v>
      </c>
      <c r="D55" t="e">
        <f>VLOOKUP($A55,公会宝库商品!$B:$K,COLUMN(Sheet2!D55),0)</f>
        <v>#N/A</v>
      </c>
      <c r="E55" t="e">
        <f>VLOOKUP($A55,公会宝库商品!$B:$K,COLUMN(Sheet2!E55),0)</f>
        <v>#N/A</v>
      </c>
      <c r="F55" t="e">
        <f>VLOOKUP($A55,公会宝库商品!$B:$K,COLUMN(Sheet2!F55),0)</f>
        <v>#N/A</v>
      </c>
      <c r="G55" t="e">
        <f>VLOOKUP($A55,公会宝库商品!$B:$K,COLUMN(Sheet2!G55),0)</f>
        <v>#N/A</v>
      </c>
      <c r="H55" t="e">
        <f>VLOOKUP($A55,公会宝库商品!$B:$K,COLUMN(Sheet2!H55),0)</f>
        <v>#N/A</v>
      </c>
    </row>
    <row r="56" spans="1:8">
      <c r="A56" t="s">
        <v>212</v>
      </c>
      <c r="B56" t="e">
        <f>VLOOKUP($A56,公会宝库商品!$B:$K,COLUMN(Sheet2!B56),0)</f>
        <v>#N/A</v>
      </c>
      <c r="C56" t="e">
        <f>VLOOKUP($A56,公会宝库商品!$B:$K,COLUMN(Sheet2!C56),0)</f>
        <v>#N/A</v>
      </c>
      <c r="D56" t="e">
        <f>VLOOKUP($A56,公会宝库商品!$B:$K,COLUMN(Sheet2!D56),0)</f>
        <v>#N/A</v>
      </c>
      <c r="E56" t="e">
        <f>VLOOKUP($A56,公会宝库商品!$B:$K,COLUMN(Sheet2!E56),0)</f>
        <v>#N/A</v>
      </c>
      <c r="F56" t="e">
        <f>VLOOKUP($A56,公会宝库商品!$B:$K,COLUMN(Sheet2!F56),0)</f>
        <v>#N/A</v>
      </c>
      <c r="G56" t="e">
        <f>VLOOKUP($A56,公会宝库商品!$B:$K,COLUMN(Sheet2!G56),0)</f>
        <v>#N/A</v>
      </c>
      <c r="H56" t="e">
        <f>VLOOKUP($A56,公会宝库商品!$B:$K,COLUMN(Sheet2!H56),0)</f>
        <v>#N/A</v>
      </c>
    </row>
    <row r="57" spans="1:8">
      <c r="A57" t="s">
        <v>213</v>
      </c>
      <c r="B57" t="e">
        <f>VLOOKUP($A57,公会宝库商品!$B:$K,COLUMN(Sheet2!B57),0)</f>
        <v>#N/A</v>
      </c>
      <c r="C57" t="e">
        <f>VLOOKUP($A57,公会宝库商品!$B:$K,COLUMN(Sheet2!C57),0)</f>
        <v>#N/A</v>
      </c>
      <c r="D57" t="e">
        <f>VLOOKUP($A57,公会宝库商品!$B:$K,COLUMN(Sheet2!D57),0)</f>
        <v>#N/A</v>
      </c>
      <c r="E57" t="e">
        <f>VLOOKUP($A57,公会宝库商品!$B:$K,COLUMN(Sheet2!E57),0)</f>
        <v>#N/A</v>
      </c>
      <c r="F57" t="e">
        <f>VLOOKUP($A57,公会宝库商品!$B:$K,COLUMN(Sheet2!F57),0)</f>
        <v>#N/A</v>
      </c>
      <c r="G57" t="e">
        <f>VLOOKUP($A57,公会宝库商品!$B:$K,COLUMN(Sheet2!G57),0)</f>
        <v>#N/A</v>
      </c>
      <c r="H57" t="e">
        <f>VLOOKUP($A57,公会宝库商品!$B:$K,COLUMN(Sheet2!H57),0)</f>
        <v>#N/A</v>
      </c>
    </row>
    <row r="58" spans="1:8">
      <c r="A58" t="s">
        <v>214</v>
      </c>
      <c r="B58" t="e">
        <f>VLOOKUP($A58,公会宝库商品!$B:$K,COLUMN(Sheet2!B58),0)</f>
        <v>#N/A</v>
      </c>
      <c r="C58" t="e">
        <f>VLOOKUP($A58,公会宝库商品!$B:$K,COLUMN(Sheet2!C58),0)</f>
        <v>#N/A</v>
      </c>
      <c r="D58" t="e">
        <f>VLOOKUP($A58,公会宝库商品!$B:$K,COLUMN(Sheet2!D58),0)</f>
        <v>#N/A</v>
      </c>
      <c r="E58" t="e">
        <f>VLOOKUP($A58,公会宝库商品!$B:$K,COLUMN(Sheet2!E58),0)</f>
        <v>#N/A</v>
      </c>
      <c r="F58" t="e">
        <f>VLOOKUP($A58,公会宝库商品!$B:$K,COLUMN(Sheet2!F58),0)</f>
        <v>#N/A</v>
      </c>
      <c r="G58" t="e">
        <f>VLOOKUP($A58,公会宝库商品!$B:$K,COLUMN(Sheet2!G58),0)</f>
        <v>#N/A</v>
      </c>
      <c r="H58" t="e">
        <f>VLOOKUP($A58,公会宝库商品!$B:$K,COLUMN(Sheet2!H58),0)</f>
        <v>#N/A</v>
      </c>
    </row>
    <row r="59" spans="1:8">
      <c r="A59" t="s">
        <v>215</v>
      </c>
      <c r="B59" t="e">
        <f>VLOOKUP($A59,公会宝库商品!$B:$K,COLUMN(Sheet2!B59),0)</f>
        <v>#N/A</v>
      </c>
      <c r="C59" t="e">
        <f>VLOOKUP($A59,公会宝库商品!$B:$K,COLUMN(Sheet2!C59),0)</f>
        <v>#N/A</v>
      </c>
      <c r="D59" t="e">
        <f>VLOOKUP($A59,公会宝库商品!$B:$K,COLUMN(Sheet2!D59),0)</f>
        <v>#N/A</v>
      </c>
      <c r="E59" t="e">
        <f>VLOOKUP($A59,公会宝库商品!$B:$K,COLUMN(Sheet2!E59),0)</f>
        <v>#N/A</v>
      </c>
      <c r="F59" t="e">
        <f>VLOOKUP($A59,公会宝库商品!$B:$K,COLUMN(Sheet2!F59),0)</f>
        <v>#N/A</v>
      </c>
      <c r="G59" t="e">
        <f>VLOOKUP($A59,公会宝库商品!$B:$K,COLUMN(Sheet2!G59),0)</f>
        <v>#N/A</v>
      </c>
      <c r="H59" t="e">
        <f>VLOOKUP($A59,公会宝库商品!$B:$K,COLUMN(Sheet2!H59),0)</f>
        <v>#N/A</v>
      </c>
    </row>
    <row r="60" spans="1:8">
      <c r="A60" t="s">
        <v>216</v>
      </c>
      <c r="B60" t="e">
        <f>VLOOKUP($A60,公会宝库商品!$B:$K,COLUMN(Sheet2!B60),0)</f>
        <v>#N/A</v>
      </c>
      <c r="C60" t="e">
        <f>VLOOKUP($A60,公会宝库商品!$B:$K,COLUMN(Sheet2!C60),0)</f>
        <v>#N/A</v>
      </c>
      <c r="D60" t="e">
        <f>VLOOKUP($A60,公会宝库商品!$B:$K,COLUMN(Sheet2!D60),0)</f>
        <v>#N/A</v>
      </c>
      <c r="E60" t="e">
        <f>VLOOKUP($A60,公会宝库商品!$B:$K,COLUMN(Sheet2!E60),0)</f>
        <v>#N/A</v>
      </c>
      <c r="F60" t="e">
        <f>VLOOKUP($A60,公会宝库商品!$B:$K,COLUMN(Sheet2!F60),0)</f>
        <v>#N/A</v>
      </c>
      <c r="G60" t="e">
        <f>VLOOKUP($A60,公会宝库商品!$B:$K,COLUMN(Sheet2!G60),0)</f>
        <v>#N/A</v>
      </c>
      <c r="H60" t="e">
        <f>VLOOKUP($A60,公会宝库商品!$B:$K,COLUMN(Sheet2!H60),0)</f>
        <v>#N/A</v>
      </c>
    </row>
    <row r="61" spans="1:8">
      <c r="A61" t="s">
        <v>217</v>
      </c>
      <c r="B61" t="e">
        <f>VLOOKUP($A61,公会宝库商品!$B:$K,COLUMN(Sheet2!B61),0)</f>
        <v>#N/A</v>
      </c>
      <c r="C61" t="e">
        <f>VLOOKUP($A61,公会宝库商品!$B:$K,COLUMN(Sheet2!C61),0)</f>
        <v>#N/A</v>
      </c>
      <c r="D61" t="e">
        <f>VLOOKUP($A61,公会宝库商品!$B:$K,COLUMN(Sheet2!D61),0)</f>
        <v>#N/A</v>
      </c>
      <c r="E61" t="e">
        <f>VLOOKUP($A61,公会宝库商品!$B:$K,COLUMN(Sheet2!E61),0)</f>
        <v>#N/A</v>
      </c>
      <c r="F61" t="e">
        <f>VLOOKUP($A61,公会宝库商品!$B:$K,COLUMN(Sheet2!F61),0)</f>
        <v>#N/A</v>
      </c>
      <c r="G61" t="e">
        <f>VLOOKUP($A61,公会宝库商品!$B:$K,COLUMN(Sheet2!G61),0)</f>
        <v>#N/A</v>
      </c>
      <c r="H61" t="e">
        <f>VLOOKUP($A61,公会宝库商品!$B:$K,COLUMN(Sheet2!H61),0)</f>
        <v>#N/A</v>
      </c>
    </row>
    <row r="62" spans="1:8">
      <c r="A62" t="s">
        <v>218</v>
      </c>
      <c r="B62" t="e">
        <f>VLOOKUP($A62,公会宝库商品!$B:$K,COLUMN(Sheet2!B62),0)</f>
        <v>#N/A</v>
      </c>
      <c r="C62" t="e">
        <f>VLOOKUP($A62,公会宝库商品!$B:$K,COLUMN(Sheet2!C62),0)</f>
        <v>#N/A</v>
      </c>
      <c r="D62" t="e">
        <f>VLOOKUP($A62,公会宝库商品!$B:$K,COLUMN(Sheet2!D62),0)</f>
        <v>#N/A</v>
      </c>
      <c r="E62" t="e">
        <f>VLOOKUP($A62,公会宝库商品!$B:$K,COLUMN(Sheet2!E62),0)</f>
        <v>#N/A</v>
      </c>
      <c r="F62" t="e">
        <f>VLOOKUP($A62,公会宝库商品!$B:$K,COLUMN(Sheet2!F62),0)</f>
        <v>#N/A</v>
      </c>
      <c r="G62" t="e">
        <f>VLOOKUP($A62,公会宝库商品!$B:$K,COLUMN(Sheet2!G62),0)</f>
        <v>#N/A</v>
      </c>
      <c r="H62" t="e">
        <f>VLOOKUP($A62,公会宝库商品!$B:$K,COLUMN(Sheet2!H62),0)</f>
        <v>#N/A</v>
      </c>
    </row>
    <row r="63" spans="1:8">
      <c r="A63" t="s">
        <v>219</v>
      </c>
      <c r="B63" t="e">
        <f>VLOOKUP($A63,公会宝库商品!$B:$K,COLUMN(Sheet2!B63),0)</f>
        <v>#N/A</v>
      </c>
      <c r="C63" t="e">
        <f>VLOOKUP($A63,公会宝库商品!$B:$K,COLUMN(Sheet2!C63),0)</f>
        <v>#N/A</v>
      </c>
      <c r="D63" t="e">
        <f>VLOOKUP($A63,公会宝库商品!$B:$K,COLUMN(Sheet2!D63),0)</f>
        <v>#N/A</v>
      </c>
      <c r="E63" t="e">
        <f>VLOOKUP($A63,公会宝库商品!$B:$K,COLUMN(Sheet2!E63),0)</f>
        <v>#N/A</v>
      </c>
      <c r="F63" t="e">
        <f>VLOOKUP($A63,公会宝库商品!$B:$K,COLUMN(Sheet2!F63),0)</f>
        <v>#N/A</v>
      </c>
      <c r="G63" t="e">
        <f>VLOOKUP($A63,公会宝库商品!$B:$K,COLUMN(Sheet2!G63),0)</f>
        <v>#N/A</v>
      </c>
      <c r="H63" t="e">
        <f>VLOOKUP($A63,公会宝库商品!$B:$K,COLUMN(Sheet2!H63),0)</f>
        <v>#N/A</v>
      </c>
    </row>
    <row r="64" spans="1:8">
      <c r="A64" t="s">
        <v>220</v>
      </c>
      <c r="B64" t="e">
        <f>VLOOKUP($A64,公会宝库商品!$B:$K,COLUMN(Sheet2!B64),0)</f>
        <v>#N/A</v>
      </c>
      <c r="C64" t="e">
        <f>VLOOKUP($A64,公会宝库商品!$B:$K,COLUMN(Sheet2!C64),0)</f>
        <v>#N/A</v>
      </c>
      <c r="D64" t="e">
        <f>VLOOKUP($A64,公会宝库商品!$B:$K,COLUMN(Sheet2!D64),0)</f>
        <v>#N/A</v>
      </c>
      <c r="E64" t="e">
        <f>VLOOKUP($A64,公会宝库商品!$B:$K,COLUMN(Sheet2!E64),0)</f>
        <v>#N/A</v>
      </c>
      <c r="F64" t="e">
        <f>VLOOKUP($A64,公会宝库商品!$B:$K,COLUMN(Sheet2!F64),0)</f>
        <v>#N/A</v>
      </c>
      <c r="G64" t="e">
        <f>VLOOKUP($A64,公会宝库商品!$B:$K,COLUMN(Sheet2!G64),0)</f>
        <v>#N/A</v>
      </c>
      <c r="H64" t="e">
        <f>VLOOKUP($A64,公会宝库商品!$B:$K,COLUMN(Sheet2!H64),0)</f>
        <v>#N/A</v>
      </c>
    </row>
    <row r="65" spans="1:8">
      <c r="A65" t="s">
        <v>221</v>
      </c>
      <c r="B65" t="e">
        <f>VLOOKUP($A65,公会宝库商品!$B:$K,COLUMN(Sheet2!B65),0)</f>
        <v>#N/A</v>
      </c>
      <c r="C65" t="e">
        <f>VLOOKUP($A65,公会宝库商品!$B:$K,COLUMN(Sheet2!C65),0)</f>
        <v>#N/A</v>
      </c>
      <c r="D65" t="e">
        <f>VLOOKUP($A65,公会宝库商品!$B:$K,COLUMN(Sheet2!D65),0)</f>
        <v>#N/A</v>
      </c>
      <c r="E65" t="e">
        <f>VLOOKUP($A65,公会宝库商品!$B:$K,COLUMN(Sheet2!E65),0)</f>
        <v>#N/A</v>
      </c>
      <c r="F65" t="e">
        <f>VLOOKUP($A65,公会宝库商品!$B:$K,COLUMN(Sheet2!F65),0)</f>
        <v>#N/A</v>
      </c>
      <c r="G65" t="e">
        <f>VLOOKUP($A65,公会宝库商品!$B:$K,COLUMN(Sheet2!G65),0)</f>
        <v>#N/A</v>
      </c>
      <c r="H65" t="e">
        <f>VLOOKUP($A65,公会宝库商品!$B:$K,COLUMN(Sheet2!H65),0)</f>
        <v>#N/A</v>
      </c>
    </row>
    <row r="66" spans="1:8">
      <c r="A66" t="s">
        <v>222</v>
      </c>
      <c r="B66" t="e">
        <f>VLOOKUP($A66,公会宝库商品!$B:$K,COLUMN(Sheet2!B66),0)</f>
        <v>#N/A</v>
      </c>
      <c r="C66" t="e">
        <f>VLOOKUP($A66,公会宝库商品!$B:$K,COLUMN(Sheet2!C66),0)</f>
        <v>#N/A</v>
      </c>
      <c r="D66" t="e">
        <f>VLOOKUP($A66,公会宝库商品!$B:$K,COLUMN(Sheet2!D66),0)</f>
        <v>#N/A</v>
      </c>
      <c r="E66" t="e">
        <f>VLOOKUP($A66,公会宝库商品!$B:$K,COLUMN(Sheet2!E66),0)</f>
        <v>#N/A</v>
      </c>
      <c r="F66" t="e">
        <f>VLOOKUP($A66,公会宝库商品!$B:$K,COLUMN(Sheet2!F66),0)</f>
        <v>#N/A</v>
      </c>
      <c r="G66" t="e">
        <f>VLOOKUP($A66,公会宝库商品!$B:$K,COLUMN(Sheet2!G66),0)</f>
        <v>#N/A</v>
      </c>
      <c r="H66" t="e">
        <f>VLOOKUP($A66,公会宝库商品!$B:$K,COLUMN(Sheet2!H66),0)</f>
        <v>#N/A</v>
      </c>
    </row>
    <row r="67" spans="1:8">
      <c r="A67" t="s">
        <v>223</v>
      </c>
      <c r="B67" t="e">
        <f>VLOOKUP($A67,公会宝库商品!$B:$K,COLUMN(Sheet2!B67),0)</f>
        <v>#N/A</v>
      </c>
      <c r="C67" t="e">
        <f>VLOOKUP($A67,公会宝库商品!$B:$K,COLUMN(Sheet2!C67),0)</f>
        <v>#N/A</v>
      </c>
      <c r="D67" t="e">
        <f>VLOOKUP($A67,公会宝库商品!$B:$K,COLUMN(Sheet2!D67),0)</f>
        <v>#N/A</v>
      </c>
      <c r="E67" t="e">
        <f>VLOOKUP($A67,公会宝库商品!$B:$K,COLUMN(Sheet2!E67),0)</f>
        <v>#N/A</v>
      </c>
      <c r="F67" t="e">
        <f>VLOOKUP($A67,公会宝库商品!$B:$K,COLUMN(Sheet2!F67),0)</f>
        <v>#N/A</v>
      </c>
      <c r="G67" t="e">
        <f>VLOOKUP($A67,公会宝库商品!$B:$K,COLUMN(Sheet2!G67),0)</f>
        <v>#N/A</v>
      </c>
      <c r="H67" t="e">
        <f>VLOOKUP($A67,公会宝库商品!$B:$K,COLUMN(Sheet2!H67),0)</f>
        <v>#N/A</v>
      </c>
    </row>
    <row r="68" spans="1:8">
      <c r="A68" t="s">
        <v>224</v>
      </c>
      <c r="B68" t="e">
        <f>VLOOKUP($A68,公会宝库商品!$B:$K,COLUMN(Sheet2!B68),0)</f>
        <v>#N/A</v>
      </c>
      <c r="C68" t="e">
        <f>VLOOKUP($A68,公会宝库商品!$B:$K,COLUMN(Sheet2!C68),0)</f>
        <v>#N/A</v>
      </c>
      <c r="D68" t="e">
        <f>VLOOKUP($A68,公会宝库商品!$B:$K,COLUMN(Sheet2!D68),0)</f>
        <v>#N/A</v>
      </c>
      <c r="E68" t="e">
        <f>VLOOKUP($A68,公会宝库商品!$B:$K,COLUMN(Sheet2!E68),0)</f>
        <v>#N/A</v>
      </c>
      <c r="F68" t="e">
        <f>VLOOKUP($A68,公会宝库商品!$B:$K,COLUMN(Sheet2!F68),0)</f>
        <v>#N/A</v>
      </c>
      <c r="G68" t="e">
        <f>VLOOKUP($A68,公会宝库商品!$B:$K,COLUMN(Sheet2!G68),0)</f>
        <v>#N/A</v>
      </c>
      <c r="H68" t="e">
        <f>VLOOKUP($A68,公会宝库商品!$B:$K,COLUMN(Sheet2!H68),0)</f>
        <v>#N/A</v>
      </c>
    </row>
    <row r="69" spans="1:8">
      <c r="A69" t="s">
        <v>225</v>
      </c>
      <c r="B69" t="e">
        <f>VLOOKUP($A69,公会宝库商品!$B:$K,COLUMN(Sheet2!B69),0)</f>
        <v>#N/A</v>
      </c>
      <c r="C69" t="e">
        <f>VLOOKUP($A69,公会宝库商品!$B:$K,COLUMN(Sheet2!C69),0)</f>
        <v>#N/A</v>
      </c>
      <c r="D69" t="e">
        <f>VLOOKUP($A69,公会宝库商品!$B:$K,COLUMN(Sheet2!D69),0)</f>
        <v>#N/A</v>
      </c>
      <c r="E69" t="e">
        <f>VLOOKUP($A69,公会宝库商品!$B:$K,COLUMN(Sheet2!E69),0)</f>
        <v>#N/A</v>
      </c>
      <c r="F69" t="e">
        <f>VLOOKUP($A69,公会宝库商品!$B:$K,COLUMN(Sheet2!F69),0)</f>
        <v>#N/A</v>
      </c>
      <c r="G69" t="e">
        <f>VLOOKUP($A69,公会宝库商品!$B:$K,COLUMN(Sheet2!G69),0)</f>
        <v>#N/A</v>
      </c>
      <c r="H69" t="e">
        <f>VLOOKUP($A69,公会宝库商品!$B:$K,COLUMN(Sheet2!H69),0)</f>
        <v>#N/A</v>
      </c>
    </row>
    <row r="70" spans="1:8">
      <c r="A70" t="s">
        <v>226</v>
      </c>
      <c r="B70" t="e">
        <f>VLOOKUP($A70,公会宝库商品!$B:$K,COLUMN(Sheet2!B70),0)</f>
        <v>#N/A</v>
      </c>
      <c r="C70" t="e">
        <f>VLOOKUP($A70,公会宝库商品!$B:$K,COLUMN(Sheet2!C70),0)</f>
        <v>#N/A</v>
      </c>
      <c r="D70" t="e">
        <f>VLOOKUP($A70,公会宝库商品!$B:$K,COLUMN(Sheet2!D70),0)</f>
        <v>#N/A</v>
      </c>
      <c r="E70" t="e">
        <f>VLOOKUP($A70,公会宝库商品!$B:$K,COLUMN(Sheet2!E70),0)</f>
        <v>#N/A</v>
      </c>
      <c r="F70" t="e">
        <f>VLOOKUP($A70,公会宝库商品!$B:$K,COLUMN(Sheet2!F70),0)</f>
        <v>#N/A</v>
      </c>
      <c r="G70" t="e">
        <f>VLOOKUP($A70,公会宝库商品!$B:$K,COLUMN(Sheet2!G70),0)</f>
        <v>#N/A</v>
      </c>
      <c r="H70" t="e">
        <f>VLOOKUP($A70,公会宝库商品!$B:$K,COLUMN(Sheet2!H70),0)</f>
        <v>#N/A</v>
      </c>
    </row>
    <row r="71" spans="1:8">
      <c r="A71" t="s">
        <v>227</v>
      </c>
      <c r="B71" t="e">
        <f>VLOOKUP($A71,公会宝库商品!$B:$K,COLUMN(Sheet2!B71),0)</f>
        <v>#N/A</v>
      </c>
      <c r="C71" t="e">
        <f>VLOOKUP($A71,公会宝库商品!$B:$K,COLUMN(Sheet2!C71),0)</f>
        <v>#N/A</v>
      </c>
      <c r="D71" t="e">
        <f>VLOOKUP($A71,公会宝库商品!$B:$K,COLUMN(Sheet2!D71),0)</f>
        <v>#N/A</v>
      </c>
      <c r="E71" t="e">
        <f>VLOOKUP($A71,公会宝库商品!$B:$K,COLUMN(Sheet2!E71),0)</f>
        <v>#N/A</v>
      </c>
      <c r="F71" t="e">
        <f>VLOOKUP($A71,公会宝库商品!$B:$K,COLUMN(Sheet2!F71),0)</f>
        <v>#N/A</v>
      </c>
      <c r="G71" t="e">
        <f>VLOOKUP($A71,公会宝库商品!$B:$K,COLUMN(Sheet2!G71),0)</f>
        <v>#N/A</v>
      </c>
      <c r="H71" t="e">
        <f>VLOOKUP($A71,公会宝库商品!$B:$K,COLUMN(Sheet2!H71),0)</f>
        <v>#N/A</v>
      </c>
    </row>
    <row r="72" spans="1:8">
      <c r="A72" t="s">
        <v>228</v>
      </c>
      <c r="B72" t="e">
        <f>VLOOKUP($A72,公会宝库商品!$B:$K,COLUMN(Sheet2!B72),0)</f>
        <v>#N/A</v>
      </c>
      <c r="C72" t="e">
        <f>VLOOKUP($A72,公会宝库商品!$B:$K,COLUMN(Sheet2!C72),0)</f>
        <v>#N/A</v>
      </c>
      <c r="D72" t="e">
        <f>VLOOKUP($A72,公会宝库商品!$B:$K,COLUMN(Sheet2!D72),0)</f>
        <v>#N/A</v>
      </c>
      <c r="E72" t="e">
        <f>VLOOKUP($A72,公会宝库商品!$B:$K,COLUMN(Sheet2!E72),0)</f>
        <v>#N/A</v>
      </c>
      <c r="F72" t="e">
        <f>VLOOKUP($A72,公会宝库商品!$B:$K,COLUMN(Sheet2!F72),0)</f>
        <v>#N/A</v>
      </c>
      <c r="G72" t="e">
        <f>VLOOKUP($A72,公会宝库商品!$B:$K,COLUMN(Sheet2!G72),0)</f>
        <v>#N/A</v>
      </c>
      <c r="H72" t="e">
        <f>VLOOKUP($A72,公会宝库商品!$B:$K,COLUMN(Sheet2!H72),0)</f>
        <v>#N/A</v>
      </c>
    </row>
    <row r="73" spans="1:8">
      <c r="A73" t="s">
        <v>229</v>
      </c>
      <c r="B73" t="e">
        <f>VLOOKUP($A73,公会宝库商品!$B:$K,COLUMN(Sheet2!B73),0)</f>
        <v>#N/A</v>
      </c>
      <c r="C73" t="e">
        <f>VLOOKUP($A73,公会宝库商品!$B:$K,COLUMN(Sheet2!C73),0)</f>
        <v>#N/A</v>
      </c>
      <c r="D73" t="e">
        <f>VLOOKUP($A73,公会宝库商品!$B:$K,COLUMN(Sheet2!D73),0)</f>
        <v>#N/A</v>
      </c>
      <c r="E73" t="e">
        <f>VLOOKUP($A73,公会宝库商品!$B:$K,COLUMN(Sheet2!E73),0)</f>
        <v>#N/A</v>
      </c>
      <c r="F73" t="e">
        <f>VLOOKUP($A73,公会宝库商品!$B:$K,COLUMN(Sheet2!F73),0)</f>
        <v>#N/A</v>
      </c>
      <c r="G73" t="e">
        <f>VLOOKUP($A73,公会宝库商品!$B:$K,COLUMN(Sheet2!G73),0)</f>
        <v>#N/A</v>
      </c>
      <c r="H73" t="e">
        <f>VLOOKUP($A73,公会宝库商品!$B:$K,COLUMN(Sheet2!H73),0)</f>
        <v>#N/A</v>
      </c>
    </row>
    <row r="74" spans="1:8">
      <c r="A74" t="s">
        <v>230</v>
      </c>
      <c r="B74" t="e">
        <f>VLOOKUP($A74,公会宝库商品!$B:$K,COLUMN(Sheet2!B74),0)</f>
        <v>#N/A</v>
      </c>
      <c r="C74" t="e">
        <f>VLOOKUP($A74,公会宝库商品!$B:$K,COLUMN(Sheet2!C74),0)</f>
        <v>#N/A</v>
      </c>
      <c r="D74" t="e">
        <f>VLOOKUP($A74,公会宝库商品!$B:$K,COLUMN(Sheet2!D74),0)</f>
        <v>#N/A</v>
      </c>
      <c r="E74" t="e">
        <f>VLOOKUP($A74,公会宝库商品!$B:$K,COLUMN(Sheet2!E74),0)</f>
        <v>#N/A</v>
      </c>
      <c r="F74" t="e">
        <f>VLOOKUP($A74,公会宝库商品!$B:$K,COLUMN(Sheet2!F74),0)</f>
        <v>#N/A</v>
      </c>
      <c r="G74" t="e">
        <f>VLOOKUP($A74,公会宝库商品!$B:$K,COLUMN(Sheet2!G74),0)</f>
        <v>#N/A</v>
      </c>
      <c r="H74" t="e">
        <f>VLOOKUP($A74,公会宝库商品!$B:$K,COLUMN(Sheet2!H74),0)</f>
        <v>#N/A</v>
      </c>
    </row>
    <row r="75" spans="1:8">
      <c r="A75" t="s">
        <v>231</v>
      </c>
      <c r="B75" t="e">
        <f>VLOOKUP($A75,公会宝库商品!$B:$K,COLUMN(Sheet2!B75),0)</f>
        <v>#N/A</v>
      </c>
      <c r="C75" t="e">
        <f>VLOOKUP($A75,公会宝库商品!$B:$K,COLUMN(Sheet2!C75),0)</f>
        <v>#N/A</v>
      </c>
      <c r="D75" t="e">
        <f>VLOOKUP($A75,公会宝库商品!$B:$K,COLUMN(Sheet2!D75),0)</f>
        <v>#N/A</v>
      </c>
      <c r="E75" t="e">
        <f>VLOOKUP($A75,公会宝库商品!$B:$K,COLUMN(Sheet2!E75),0)</f>
        <v>#N/A</v>
      </c>
      <c r="F75" t="e">
        <f>VLOOKUP($A75,公会宝库商品!$B:$K,COLUMN(Sheet2!F75),0)</f>
        <v>#N/A</v>
      </c>
      <c r="G75" t="e">
        <f>VLOOKUP($A75,公会宝库商品!$B:$K,COLUMN(Sheet2!G75),0)</f>
        <v>#N/A</v>
      </c>
      <c r="H75" t="e">
        <f>VLOOKUP($A75,公会宝库商品!$B:$K,COLUMN(Sheet2!H75),0)</f>
        <v>#N/A</v>
      </c>
    </row>
    <row r="76" spans="1:8">
      <c r="A76" t="s">
        <v>232</v>
      </c>
      <c r="B76" t="e">
        <f>VLOOKUP($A76,公会宝库商品!$B:$K,COLUMN(Sheet2!B76),0)</f>
        <v>#N/A</v>
      </c>
      <c r="C76" t="e">
        <f>VLOOKUP($A76,公会宝库商品!$B:$K,COLUMN(Sheet2!C76),0)</f>
        <v>#N/A</v>
      </c>
      <c r="D76" t="e">
        <f>VLOOKUP($A76,公会宝库商品!$B:$K,COLUMN(Sheet2!D76),0)</f>
        <v>#N/A</v>
      </c>
      <c r="E76" t="e">
        <f>VLOOKUP($A76,公会宝库商品!$B:$K,COLUMN(Sheet2!E76),0)</f>
        <v>#N/A</v>
      </c>
      <c r="F76" t="e">
        <f>VLOOKUP($A76,公会宝库商品!$B:$K,COLUMN(Sheet2!F76),0)</f>
        <v>#N/A</v>
      </c>
      <c r="G76" t="e">
        <f>VLOOKUP($A76,公会宝库商品!$B:$K,COLUMN(Sheet2!G76),0)</f>
        <v>#N/A</v>
      </c>
      <c r="H76" t="e">
        <f>VLOOKUP($A76,公会宝库商品!$B:$K,COLUMN(Sheet2!H76),0)</f>
        <v>#N/A</v>
      </c>
    </row>
    <row r="77" spans="1:8">
      <c r="A77" t="s">
        <v>233</v>
      </c>
      <c r="B77" t="e">
        <f>VLOOKUP($A77,公会宝库商品!$B:$K,COLUMN(Sheet2!B77),0)</f>
        <v>#N/A</v>
      </c>
      <c r="C77" t="e">
        <f>VLOOKUP($A77,公会宝库商品!$B:$K,COLUMN(Sheet2!C77),0)</f>
        <v>#N/A</v>
      </c>
      <c r="D77" t="e">
        <f>VLOOKUP($A77,公会宝库商品!$B:$K,COLUMN(Sheet2!D77),0)</f>
        <v>#N/A</v>
      </c>
      <c r="E77" t="e">
        <f>VLOOKUP($A77,公会宝库商品!$B:$K,COLUMN(Sheet2!E77),0)</f>
        <v>#N/A</v>
      </c>
      <c r="F77" t="e">
        <f>VLOOKUP($A77,公会宝库商品!$B:$K,COLUMN(Sheet2!F77),0)</f>
        <v>#N/A</v>
      </c>
      <c r="G77" t="e">
        <f>VLOOKUP($A77,公会宝库商品!$B:$K,COLUMN(Sheet2!G77),0)</f>
        <v>#N/A</v>
      </c>
      <c r="H77" t="e">
        <f>VLOOKUP($A77,公会宝库商品!$B:$K,COLUMN(Sheet2!H77),0)</f>
        <v>#N/A</v>
      </c>
    </row>
    <row r="78" spans="1:8">
      <c r="A78" t="s">
        <v>234</v>
      </c>
      <c r="B78" t="e">
        <f>VLOOKUP($A78,公会宝库商品!$B:$K,COLUMN(Sheet2!B78),0)</f>
        <v>#N/A</v>
      </c>
      <c r="C78" t="e">
        <f>VLOOKUP($A78,公会宝库商品!$B:$K,COLUMN(Sheet2!C78),0)</f>
        <v>#N/A</v>
      </c>
      <c r="D78" t="e">
        <f>VLOOKUP($A78,公会宝库商品!$B:$K,COLUMN(Sheet2!D78),0)</f>
        <v>#N/A</v>
      </c>
      <c r="E78" t="e">
        <f>VLOOKUP($A78,公会宝库商品!$B:$K,COLUMN(Sheet2!E78),0)</f>
        <v>#N/A</v>
      </c>
      <c r="F78" t="e">
        <f>VLOOKUP($A78,公会宝库商品!$B:$K,COLUMN(Sheet2!F78),0)</f>
        <v>#N/A</v>
      </c>
      <c r="G78" t="e">
        <f>VLOOKUP($A78,公会宝库商品!$B:$K,COLUMN(Sheet2!G78),0)</f>
        <v>#N/A</v>
      </c>
      <c r="H78" t="e">
        <f>VLOOKUP($A78,公会宝库商品!$B:$K,COLUMN(Sheet2!H78),0)</f>
        <v>#N/A</v>
      </c>
    </row>
    <row r="79" spans="1:8">
      <c r="A79" t="s">
        <v>120</v>
      </c>
      <c r="B79">
        <f>VLOOKUP($A79,公会宝库商品!$B:$K,COLUMN(Sheet2!B79),0)</f>
        <v>25</v>
      </c>
      <c r="C79">
        <f>VLOOKUP($A79,公会宝库商品!$B:$K,COLUMN(Sheet2!C79),0)</f>
        <v>5</v>
      </c>
      <c r="D79">
        <f>VLOOKUP($A79,公会宝库商品!$B:$K,COLUMN(Sheet2!D79),0)</f>
        <v>999</v>
      </c>
      <c r="E79">
        <f>VLOOKUP($A79,公会宝库商品!$B:$K,COLUMN(Sheet2!E79),0)</f>
        <v>-1</v>
      </c>
      <c r="F79">
        <f>VLOOKUP($A79,公会宝库商品!$B:$K,COLUMN(Sheet2!F79),0)</f>
        <v>9999</v>
      </c>
      <c r="G79">
        <f>VLOOKUP($A79,公会宝库商品!$B:$K,COLUMN(Sheet2!G79),0)</f>
        <v>1</v>
      </c>
      <c r="H79">
        <f>VLOOKUP($A79,公会宝库商品!$B:$K,COLUMN(Sheet2!H79),0)</f>
        <v>1</v>
      </c>
    </row>
    <row r="80" spans="1:8">
      <c r="A80" t="s">
        <v>122</v>
      </c>
      <c r="B80">
        <f>VLOOKUP($A80,公会宝库商品!$B:$K,COLUMN(Sheet2!B80),0)</f>
        <v>75</v>
      </c>
      <c r="C80">
        <f>VLOOKUP($A80,公会宝库商品!$B:$K,COLUMN(Sheet2!C80),0)</f>
        <v>15</v>
      </c>
      <c r="D80">
        <f>VLOOKUP($A80,公会宝库商品!$B:$K,COLUMN(Sheet2!D80),0)</f>
        <v>999</v>
      </c>
      <c r="E80">
        <f>VLOOKUP($A80,公会宝库商品!$B:$K,COLUMN(Sheet2!E80),0)</f>
        <v>-1</v>
      </c>
      <c r="F80">
        <f>VLOOKUP($A80,公会宝库商品!$B:$K,COLUMN(Sheet2!F80),0)</f>
        <v>9999</v>
      </c>
      <c r="G80">
        <f>VLOOKUP($A80,公会宝库商品!$B:$K,COLUMN(Sheet2!G80),0)</f>
        <v>1</v>
      </c>
      <c r="H80">
        <f>VLOOKUP($A80,公会宝库商品!$B:$K,COLUMN(Sheet2!H80),0)</f>
        <v>1</v>
      </c>
    </row>
    <row r="81" spans="1:8">
      <c r="A81" t="s">
        <v>123</v>
      </c>
      <c r="B81">
        <f>VLOOKUP($A81,公会宝库商品!$B:$K,COLUMN(Sheet2!B81),0)</f>
        <v>225</v>
      </c>
      <c r="C81">
        <f>VLOOKUP($A81,公会宝库商品!$B:$K,COLUMN(Sheet2!C81),0)</f>
        <v>45</v>
      </c>
      <c r="D81">
        <f>VLOOKUP($A81,公会宝库商品!$B:$K,COLUMN(Sheet2!D81),0)</f>
        <v>999</v>
      </c>
      <c r="E81">
        <f>VLOOKUP($A81,公会宝库商品!$B:$K,COLUMN(Sheet2!E81),0)</f>
        <v>-1</v>
      </c>
      <c r="F81">
        <f>VLOOKUP($A81,公会宝库商品!$B:$K,COLUMN(Sheet2!F81),0)</f>
        <v>9999</v>
      </c>
      <c r="G81">
        <f>VLOOKUP($A81,公会宝库商品!$B:$K,COLUMN(Sheet2!G81),0)</f>
        <v>1</v>
      </c>
      <c r="H81">
        <f>VLOOKUP($A81,公会宝库商品!$B:$K,COLUMN(Sheet2!H81),0)</f>
        <v>1</v>
      </c>
    </row>
    <row r="82" spans="1:8">
      <c r="A82" t="s">
        <v>124</v>
      </c>
      <c r="B82">
        <f>VLOOKUP($A82,公会宝库商品!$B:$K,COLUMN(Sheet2!B82),0)</f>
        <v>675</v>
      </c>
      <c r="C82">
        <f>VLOOKUP($A82,公会宝库商品!$B:$K,COLUMN(Sheet2!C82),0)</f>
        <v>135</v>
      </c>
      <c r="D82">
        <f>VLOOKUP($A82,公会宝库商品!$B:$K,COLUMN(Sheet2!D82),0)</f>
        <v>999</v>
      </c>
      <c r="E82">
        <f>VLOOKUP($A82,公会宝库商品!$B:$K,COLUMN(Sheet2!E82),0)</f>
        <v>-1</v>
      </c>
      <c r="F82">
        <f>VLOOKUP($A82,公会宝库商品!$B:$K,COLUMN(Sheet2!F82),0)</f>
        <v>9999</v>
      </c>
      <c r="G82">
        <f>VLOOKUP($A82,公会宝库商品!$B:$K,COLUMN(Sheet2!G82),0)</f>
        <v>1</v>
      </c>
      <c r="H82">
        <f>VLOOKUP($A82,公会宝库商品!$B:$K,COLUMN(Sheet2!H82),0)</f>
        <v>1</v>
      </c>
    </row>
    <row r="83" spans="1:8">
      <c r="A83" t="s">
        <v>125</v>
      </c>
      <c r="B83">
        <f>VLOOKUP($A83,公会宝库商品!$B:$K,COLUMN(Sheet2!B83),0)</f>
        <v>2025</v>
      </c>
      <c r="C83">
        <f>VLOOKUP($A83,公会宝库商品!$B:$K,COLUMN(Sheet2!C83),0)</f>
        <v>405</v>
      </c>
      <c r="D83">
        <f>VLOOKUP($A83,公会宝库商品!$B:$K,COLUMN(Sheet2!D83),0)</f>
        <v>999</v>
      </c>
      <c r="E83">
        <f>VLOOKUP($A83,公会宝库商品!$B:$K,COLUMN(Sheet2!E83),0)</f>
        <v>-1</v>
      </c>
      <c r="F83">
        <f>VLOOKUP($A83,公会宝库商品!$B:$K,COLUMN(Sheet2!F83),0)</f>
        <v>9999</v>
      </c>
      <c r="G83">
        <f>VLOOKUP($A83,公会宝库商品!$B:$K,COLUMN(Sheet2!G83),0)</f>
        <v>1</v>
      </c>
      <c r="H83">
        <f>VLOOKUP($A83,公会宝库商品!$B:$K,COLUMN(Sheet2!H83),0)</f>
        <v>1</v>
      </c>
    </row>
    <row r="84" spans="1:8">
      <c r="A84" t="s">
        <v>126</v>
      </c>
      <c r="B84">
        <f>VLOOKUP($A84,公会宝库商品!$B:$K,COLUMN(Sheet2!B84),0)</f>
        <v>25</v>
      </c>
      <c r="C84">
        <f>VLOOKUP($A84,公会宝库商品!$B:$K,COLUMN(Sheet2!C84),0)</f>
        <v>5</v>
      </c>
      <c r="D84">
        <f>VLOOKUP($A84,公会宝库商品!$B:$K,COLUMN(Sheet2!D84),0)</f>
        <v>999</v>
      </c>
      <c r="E84">
        <f>VLOOKUP($A84,公会宝库商品!$B:$K,COLUMN(Sheet2!E84),0)</f>
        <v>-1</v>
      </c>
      <c r="F84">
        <f>VLOOKUP($A84,公会宝库商品!$B:$K,COLUMN(Sheet2!F84),0)</f>
        <v>9999</v>
      </c>
      <c r="G84">
        <f>VLOOKUP($A84,公会宝库商品!$B:$K,COLUMN(Sheet2!G84),0)</f>
        <v>1</v>
      </c>
      <c r="H84">
        <f>VLOOKUP($A84,公会宝库商品!$B:$K,COLUMN(Sheet2!H84),0)</f>
        <v>1</v>
      </c>
    </row>
    <row r="85" spans="1:8">
      <c r="A85" t="s">
        <v>127</v>
      </c>
      <c r="B85">
        <f>VLOOKUP($A85,公会宝库商品!$B:$K,COLUMN(Sheet2!B85),0)</f>
        <v>75</v>
      </c>
      <c r="C85">
        <f>VLOOKUP($A85,公会宝库商品!$B:$K,COLUMN(Sheet2!C85),0)</f>
        <v>15</v>
      </c>
      <c r="D85">
        <f>VLOOKUP($A85,公会宝库商品!$B:$K,COLUMN(Sheet2!D85),0)</f>
        <v>999</v>
      </c>
      <c r="E85">
        <f>VLOOKUP($A85,公会宝库商品!$B:$K,COLUMN(Sheet2!E85),0)</f>
        <v>-1</v>
      </c>
      <c r="F85">
        <f>VLOOKUP($A85,公会宝库商品!$B:$K,COLUMN(Sheet2!F85),0)</f>
        <v>9999</v>
      </c>
      <c r="G85">
        <f>VLOOKUP($A85,公会宝库商品!$B:$K,COLUMN(Sheet2!G85),0)</f>
        <v>1</v>
      </c>
      <c r="H85">
        <f>VLOOKUP($A85,公会宝库商品!$B:$K,COLUMN(Sheet2!H85),0)</f>
        <v>1</v>
      </c>
    </row>
    <row r="86" spans="1:8">
      <c r="A86" t="s">
        <v>128</v>
      </c>
      <c r="B86">
        <f>VLOOKUP($A86,公会宝库商品!$B:$K,COLUMN(Sheet2!B86),0)</f>
        <v>225</v>
      </c>
      <c r="C86">
        <f>VLOOKUP($A86,公会宝库商品!$B:$K,COLUMN(Sheet2!C86),0)</f>
        <v>45</v>
      </c>
      <c r="D86">
        <f>VLOOKUP($A86,公会宝库商品!$B:$K,COLUMN(Sheet2!D86),0)</f>
        <v>999</v>
      </c>
      <c r="E86">
        <f>VLOOKUP($A86,公会宝库商品!$B:$K,COLUMN(Sheet2!E86),0)</f>
        <v>-1</v>
      </c>
      <c r="F86">
        <f>VLOOKUP($A86,公会宝库商品!$B:$K,COLUMN(Sheet2!F86),0)</f>
        <v>9999</v>
      </c>
      <c r="G86">
        <f>VLOOKUP($A86,公会宝库商品!$B:$K,COLUMN(Sheet2!G86),0)</f>
        <v>1</v>
      </c>
      <c r="H86">
        <f>VLOOKUP($A86,公会宝库商品!$B:$K,COLUMN(Sheet2!H86),0)</f>
        <v>1</v>
      </c>
    </row>
    <row r="87" spans="1:8">
      <c r="A87" t="s">
        <v>129</v>
      </c>
      <c r="B87">
        <f>VLOOKUP($A87,公会宝库商品!$B:$K,COLUMN(Sheet2!B87),0)</f>
        <v>675</v>
      </c>
      <c r="C87">
        <f>VLOOKUP($A87,公会宝库商品!$B:$K,COLUMN(Sheet2!C87),0)</f>
        <v>135</v>
      </c>
      <c r="D87">
        <f>VLOOKUP($A87,公会宝库商品!$B:$K,COLUMN(Sheet2!D87),0)</f>
        <v>999</v>
      </c>
      <c r="E87">
        <f>VLOOKUP($A87,公会宝库商品!$B:$K,COLUMN(Sheet2!E87),0)</f>
        <v>-1</v>
      </c>
      <c r="F87">
        <f>VLOOKUP($A87,公会宝库商品!$B:$K,COLUMN(Sheet2!F87),0)</f>
        <v>9999</v>
      </c>
      <c r="G87">
        <f>VLOOKUP($A87,公会宝库商品!$B:$K,COLUMN(Sheet2!G87),0)</f>
        <v>1</v>
      </c>
      <c r="H87">
        <f>VLOOKUP($A87,公会宝库商品!$B:$K,COLUMN(Sheet2!H87),0)</f>
        <v>1</v>
      </c>
    </row>
    <row r="88" spans="1:8">
      <c r="A88" t="s">
        <v>130</v>
      </c>
      <c r="B88">
        <f>VLOOKUP($A88,公会宝库商品!$B:$K,COLUMN(Sheet2!B88),0)</f>
        <v>2025</v>
      </c>
      <c r="C88">
        <f>VLOOKUP($A88,公会宝库商品!$B:$K,COLUMN(Sheet2!C88),0)</f>
        <v>405</v>
      </c>
      <c r="D88">
        <f>VLOOKUP($A88,公会宝库商品!$B:$K,COLUMN(Sheet2!D88),0)</f>
        <v>999</v>
      </c>
      <c r="E88">
        <f>VLOOKUP($A88,公会宝库商品!$B:$K,COLUMN(Sheet2!E88),0)</f>
        <v>-1</v>
      </c>
      <c r="F88">
        <f>VLOOKUP($A88,公会宝库商品!$B:$K,COLUMN(Sheet2!F88),0)</f>
        <v>9999</v>
      </c>
      <c r="G88">
        <f>VLOOKUP($A88,公会宝库商品!$B:$K,COLUMN(Sheet2!G88),0)</f>
        <v>1</v>
      </c>
      <c r="H88">
        <f>VLOOKUP($A88,公会宝库商品!$B:$K,COLUMN(Sheet2!H88),0)</f>
        <v>1</v>
      </c>
    </row>
    <row r="89" spans="1:8">
      <c r="A89" t="s">
        <v>131</v>
      </c>
      <c r="B89">
        <f>VLOOKUP($A89,公会宝库商品!$B:$K,COLUMN(Sheet2!B89),0)</f>
        <v>25</v>
      </c>
      <c r="C89">
        <f>VLOOKUP($A89,公会宝库商品!$B:$K,COLUMN(Sheet2!C89),0)</f>
        <v>5</v>
      </c>
      <c r="D89">
        <f>VLOOKUP($A89,公会宝库商品!$B:$K,COLUMN(Sheet2!D89),0)</f>
        <v>999</v>
      </c>
      <c r="E89">
        <f>VLOOKUP($A89,公会宝库商品!$B:$K,COLUMN(Sheet2!E89),0)</f>
        <v>-1</v>
      </c>
      <c r="F89">
        <f>VLOOKUP($A89,公会宝库商品!$B:$K,COLUMN(Sheet2!F89),0)</f>
        <v>9999</v>
      </c>
      <c r="G89">
        <f>VLOOKUP($A89,公会宝库商品!$B:$K,COLUMN(Sheet2!G89),0)</f>
        <v>1</v>
      </c>
      <c r="H89">
        <f>VLOOKUP($A89,公会宝库商品!$B:$K,COLUMN(Sheet2!H89),0)</f>
        <v>1</v>
      </c>
    </row>
    <row r="90" spans="1:8">
      <c r="A90" t="s">
        <v>132</v>
      </c>
      <c r="B90">
        <f>VLOOKUP($A90,公会宝库商品!$B:$K,COLUMN(Sheet2!B90),0)</f>
        <v>75</v>
      </c>
      <c r="C90">
        <f>VLOOKUP($A90,公会宝库商品!$B:$K,COLUMN(Sheet2!C90),0)</f>
        <v>15</v>
      </c>
      <c r="D90">
        <f>VLOOKUP($A90,公会宝库商品!$B:$K,COLUMN(Sheet2!D90),0)</f>
        <v>999</v>
      </c>
      <c r="E90">
        <f>VLOOKUP($A90,公会宝库商品!$B:$K,COLUMN(Sheet2!E90),0)</f>
        <v>-1</v>
      </c>
      <c r="F90">
        <f>VLOOKUP($A90,公会宝库商品!$B:$K,COLUMN(Sheet2!F90),0)</f>
        <v>9999</v>
      </c>
      <c r="G90">
        <f>VLOOKUP($A90,公会宝库商品!$B:$K,COLUMN(Sheet2!G90),0)</f>
        <v>1</v>
      </c>
      <c r="H90">
        <f>VLOOKUP($A90,公会宝库商品!$B:$K,COLUMN(Sheet2!H90),0)</f>
        <v>1</v>
      </c>
    </row>
    <row r="91" spans="1:8">
      <c r="A91" t="s">
        <v>133</v>
      </c>
      <c r="B91">
        <f>VLOOKUP($A91,公会宝库商品!$B:$K,COLUMN(Sheet2!B91),0)</f>
        <v>225</v>
      </c>
      <c r="C91">
        <f>VLOOKUP($A91,公会宝库商品!$B:$K,COLUMN(Sheet2!C91),0)</f>
        <v>45</v>
      </c>
      <c r="D91">
        <f>VLOOKUP($A91,公会宝库商品!$B:$K,COLUMN(Sheet2!D91),0)</f>
        <v>999</v>
      </c>
      <c r="E91">
        <f>VLOOKUP($A91,公会宝库商品!$B:$K,COLUMN(Sheet2!E91),0)</f>
        <v>-1</v>
      </c>
      <c r="F91">
        <f>VLOOKUP($A91,公会宝库商品!$B:$K,COLUMN(Sheet2!F91),0)</f>
        <v>9999</v>
      </c>
      <c r="G91">
        <f>VLOOKUP($A91,公会宝库商品!$B:$K,COLUMN(Sheet2!G91),0)</f>
        <v>1</v>
      </c>
      <c r="H91">
        <f>VLOOKUP($A91,公会宝库商品!$B:$K,COLUMN(Sheet2!H91),0)</f>
        <v>1</v>
      </c>
    </row>
    <row r="92" spans="1:8">
      <c r="A92" t="s">
        <v>134</v>
      </c>
      <c r="B92">
        <f>VLOOKUP($A92,公会宝库商品!$B:$K,COLUMN(Sheet2!B92),0)</f>
        <v>675</v>
      </c>
      <c r="C92">
        <f>VLOOKUP($A92,公会宝库商品!$B:$K,COLUMN(Sheet2!C92),0)</f>
        <v>135</v>
      </c>
      <c r="D92">
        <f>VLOOKUP($A92,公会宝库商品!$B:$K,COLUMN(Sheet2!D92),0)</f>
        <v>999</v>
      </c>
      <c r="E92">
        <f>VLOOKUP($A92,公会宝库商品!$B:$K,COLUMN(Sheet2!E92),0)</f>
        <v>-1</v>
      </c>
      <c r="F92">
        <f>VLOOKUP($A92,公会宝库商品!$B:$K,COLUMN(Sheet2!F92),0)</f>
        <v>9999</v>
      </c>
      <c r="G92">
        <f>VLOOKUP($A92,公会宝库商品!$B:$K,COLUMN(Sheet2!G92),0)</f>
        <v>1</v>
      </c>
      <c r="H92">
        <f>VLOOKUP($A92,公会宝库商品!$B:$K,COLUMN(Sheet2!H92),0)</f>
        <v>1</v>
      </c>
    </row>
    <row r="93" spans="1:8">
      <c r="A93" t="s">
        <v>135</v>
      </c>
      <c r="B93">
        <f>VLOOKUP($A93,公会宝库商品!$B:$K,COLUMN(Sheet2!B93),0)</f>
        <v>2025</v>
      </c>
      <c r="C93">
        <f>VLOOKUP($A93,公会宝库商品!$B:$K,COLUMN(Sheet2!C93),0)</f>
        <v>405</v>
      </c>
      <c r="D93">
        <f>VLOOKUP($A93,公会宝库商品!$B:$K,COLUMN(Sheet2!D93),0)</f>
        <v>999</v>
      </c>
      <c r="E93">
        <f>VLOOKUP($A93,公会宝库商品!$B:$K,COLUMN(Sheet2!E93),0)</f>
        <v>-1</v>
      </c>
      <c r="F93">
        <f>VLOOKUP($A93,公会宝库商品!$B:$K,COLUMN(Sheet2!F93),0)</f>
        <v>9999</v>
      </c>
      <c r="G93">
        <f>VLOOKUP($A93,公会宝库商品!$B:$K,COLUMN(Sheet2!G93),0)</f>
        <v>1</v>
      </c>
      <c r="H93">
        <f>VLOOKUP($A93,公会宝库商品!$B:$K,COLUMN(Sheet2!H93),0)</f>
        <v>1</v>
      </c>
    </row>
    <row r="94" spans="1:8">
      <c r="A94" t="s">
        <v>136</v>
      </c>
      <c r="B94">
        <f>VLOOKUP($A94,公会宝库商品!$B:$K,COLUMN(Sheet2!B94),0)</f>
        <v>25</v>
      </c>
      <c r="C94">
        <f>VLOOKUP($A94,公会宝库商品!$B:$K,COLUMN(Sheet2!C94),0)</f>
        <v>5</v>
      </c>
      <c r="D94">
        <f>VLOOKUP($A94,公会宝库商品!$B:$K,COLUMN(Sheet2!D94),0)</f>
        <v>999</v>
      </c>
      <c r="E94">
        <f>VLOOKUP($A94,公会宝库商品!$B:$K,COLUMN(Sheet2!E94),0)</f>
        <v>-1</v>
      </c>
      <c r="F94">
        <f>VLOOKUP($A94,公会宝库商品!$B:$K,COLUMN(Sheet2!F94),0)</f>
        <v>9999</v>
      </c>
      <c r="G94">
        <f>VLOOKUP($A94,公会宝库商品!$B:$K,COLUMN(Sheet2!G94),0)</f>
        <v>1</v>
      </c>
      <c r="H94">
        <f>VLOOKUP($A94,公会宝库商品!$B:$K,COLUMN(Sheet2!H94),0)</f>
        <v>1</v>
      </c>
    </row>
    <row r="95" spans="1:8">
      <c r="A95" t="s">
        <v>137</v>
      </c>
      <c r="B95">
        <f>VLOOKUP($A95,公会宝库商品!$B:$K,COLUMN(Sheet2!B95),0)</f>
        <v>75</v>
      </c>
      <c r="C95">
        <f>VLOOKUP($A95,公会宝库商品!$B:$K,COLUMN(Sheet2!C95),0)</f>
        <v>15</v>
      </c>
      <c r="D95">
        <f>VLOOKUP($A95,公会宝库商品!$B:$K,COLUMN(Sheet2!D95),0)</f>
        <v>999</v>
      </c>
      <c r="E95">
        <f>VLOOKUP($A95,公会宝库商品!$B:$K,COLUMN(Sheet2!E95),0)</f>
        <v>-1</v>
      </c>
      <c r="F95">
        <f>VLOOKUP($A95,公会宝库商品!$B:$K,COLUMN(Sheet2!F95),0)</f>
        <v>9999</v>
      </c>
      <c r="G95">
        <f>VLOOKUP($A95,公会宝库商品!$B:$K,COLUMN(Sheet2!G95),0)</f>
        <v>1</v>
      </c>
      <c r="H95">
        <f>VLOOKUP($A95,公会宝库商品!$B:$K,COLUMN(Sheet2!H95),0)</f>
        <v>1</v>
      </c>
    </row>
    <row r="96" spans="1:8">
      <c r="A96" t="s">
        <v>138</v>
      </c>
      <c r="B96">
        <f>VLOOKUP($A96,公会宝库商品!$B:$K,COLUMN(Sheet2!B96),0)</f>
        <v>225</v>
      </c>
      <c r="C96">
        <f>VLOOKUP($A96,公会宝库商品!$B:$K,COLUMN(Sheet2!C96),0)</f>
        <v>45</v>
      </c>
      <c r="D96">
        <f>VLOOKUP($A96,公会宝库商品!$B:$K,COLUMN(Sheet2!D96),0)</f>
        <v>999</v>
      </c>
      <c r="E96">
        <f>VLOOKUP($A96,公会宝库商品!$B:$K,COLUMN(Sheet2!E96),0)</f>
        <v>-1</v>
      </c>
      <c r="F96">
        <f>VLOOKUP($A96,公会宝库商品!$B:$K,COLUMN(Sheet2!F96),0)</f>
        <v>9999</v>
      </c>
      <c r="G96">
        <f>VLOOKUP($A96,公会宝库商品!$B:$K,COLUMN(Sheet2!G96),0)</f>
        <v>1</v>
      </c>
      <c r="H96">
        <f>VLOOKUP($A96,公会宝库商品!$B:$K,COLUMN(Sheet2!H96),0)</f>
        <v>1</v>
      </c>
    </row>
    <row r="97" spans="1:8">
      <c r="A97" t="s">
        <v>139</v>
      </c>
      <c r="B97">
        <f>VLOOKUP($A97,公会宝库商品!$B:$K,COLUMN(Sheet2!B97),0)</f>
        <v>675</v>
      </c>
      <c r="C97">
        <f>VLOOKUP($A97,公会宝库商品!$B:$K,COLUMN(Sheet2!C97),0)</f>
        <v>135</v>
      </c>
      <c r="D97">
        <f>VLOOKUP($A97,公会宝库商品!$B:$K,COLUMN(Sheet2!D97),0)</f>
        <v>999</v>
      </c>
      <c r="E97">
        <f>VLOOKUP($A97,公会宝库商品!$B:$K,COLUMN(Sheet2!E97),0)</f>
        <v>-1</v>
      </c>
      <c r="F97">
        <f>VLOOKUP($A97,公会宝库商品!$B:$K,COLUMN(Sheet2!F97),0)</f>
        <v>9999</v>
      </c>
      <c r="G97">
        <f>VLOOKUP($A97,公会宝库商品!$B:$K,COLUMN(Sheet2!G97),0)</f>
        <v>1</v>
      </c>
      <c r="H97">
        <f>VLOOKUP($A97,公会宝库商品!$B:$K,COLUMN(Sheet2!H97),0)</f>
        <v>1</v>
      </c>
    </row>
    <row r="98" spans="1:8">
      <c r="A98" s="88" t="s">
        <v>140</v>
      </c>
      <c r="B98">
        <f>VLOOKUP($A98,公会宝库商品!$B:$K,COLUMN(Sheet2!B98),0)</f>
        <v>2025</v>
      </c>
      <c r="C98">
        <f>VLOOKUP($A98,公会宝库商品!$B:$K,COLUMN(Sheet2!C98),0)</f>
        <v>405</v>
      </c>
      <c r="D98">
        <f>VLOOKUP($A98,公会宝库商品!$B:$K,COLUMN(Sheet2!D98),0)</f>
        <v>999</v>
      </c>
      <c r="E98">
        <f>VLOOKUP($A98,公会宝库商品!$B:$K,COLUMN(Sheet2!E98),0)</f>
        <v>-1</v>
      </c>
      <c r="F98">
        <f>VLOOKUP($A98,公会宝库商品!$B:$K,COLUMN(Sheet2!F98),0)</f>
        <v>9999</v>
      </c>
      <c r="G98">
        <f>VLOOKUP($A98,公会宝库商品!$B:$K,COLUMN(Sheet2!G98),0)</f>
        <v>1</v>
      </c>
      <c r="H98">
        <f>VLOOKUP($A98,公会宝库商品!$B:$K,COLUMN(Sheet2!H98),0)</f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29"/>
  <sheetViews>
    <sheetView workbookViewId="0">
      <selection activeCell="H1" sqref="A1:H529"/>
    </sheetView>
  </sheetViews>
  <sheetFormatPr defaultColWidth="9" defaultRowHeight="15" outlineLevelCol="7"/>
  <cols>
    <col min="1" max="1" width="10" style="1" customWidth="1"/>
    <col min="2" max="2" width="21.5047619047619" style="1" customWidth="1"/>
    <col min="3" max="3" width="8.62857142857143" style="2" customWidth="1"/>
  </cols>
  <sheetData>
    <row r="1" spans="1:8">
      <c r="A1" s="3" t="s">
        <v>235</v>
      </c>
      <c r="B1" s="3" t="s">
        <v>236</v>
      </c>
      <c r="C1" s="4" t="s">
        <v>237</v>
      </c>
      <c r="H1" s="5" t="s">
        <v>41</v>
      </c>
    </row>
    <row r="2" hidden="1" spans="1:8">
      <c r="A2" s="6">
        <v>2000</v>
      </c>
      <c r="B2" s="6" t="s">
        <v>238</v>
      </c>
      <c r="C2" s="6">
        <v>5</v>
      </c>
      <c r="H2" s="7" t="s">
        <v>37</v>
      </c>
    </row>
    <row r="3" hidden="1" spans="1:8">
      <c r="A3" s="6">
        <v>2023</v>
      </c>
      <c r="B3" s="6" t="s">
        <v>239</v>
      </c>
      <c r="C3" s="6">
        <v>5</v>
      </c>
      <c r="H3" s="5" t="s">
        <v>43</v>
      </c>
    </row>
    <row r="4" hidden="1" spans="1:8">
      <c r="A4" s="8">
        <v>100101</v>
      </c>
      <c r="B4" s="8" t="s">
        <v>240</v>
      </c>
      <c r="C4" s="9">
        <v>1</v>
      </c>
      <c r="H4" s="10" t="s">
        <v>51</v>
      </c>
    </row>
    <row r="5" hidden="1" spans="1:8">
      <c r="A5" s="11">
        <v>100201</v>
      </c>
      <c r="B5" s="11" t="s">
        <v>241</v>
      </c>
      <c r="C5" s="12">
        <v>2</v>
      </c>
      <c r="H5" s="13" t="s">
        <v>45</v>
      </c>
    </row>
    <row r="6" hidden="1" spans="1:8">
      <c r="A6" s="8">
        <v>100301</v>
      </c>
      <c r="B6" s="8" t="s">
        <v>242</v>
      </c>
      <c r="C6" s="9">
        <v>2</v>
      </c>
      <c r="H6" s="1" t="s">
        <v>243</v>
      </c>
    </row>
    <row r="7" hidden="1" spans="1:8">
      <c r="A7" s="11">
        <v>100401</v>
      </c>
      <c r="B7" s="11" t="s">
        <v>244</v>
      </c>
      <c r="C7" s="12">
        <v>3</v>
      </c>
      <c r="H7" s="13" t="s">
        <v>47</v>
      </c>
    </row>
    <row r="8" hidden="1" spans="1:8">
      <c r="A8" s="11">
        <v>100501</v>
      </c>
      <c r="B8" s="11" t="s">
        <v>245</v>
      </c>
      <c r="C8" s="12">
        <v>3</v>
      </c>
      <c r="H8" s="8" t="s">
        <v>49</v>
      </c>
    </row>
    <row r="9" hidden="1" spans="1:8">
      <c r="A9" s="8">
        <v>100601</v>
      </c>
      <c r="B9" s="8" t="s">
        <v>246</v>
      </c>
      <c r="C9" s="9">
        <v>3</v>
      </c>
      <c r="H9" s="5" t="s">
        <v>39</v>
      </c>
    </row>
    <row r="10" hidden="1" spans="1:8">
      <c r="A10" s="11">
        <v>100701</v>
      </c>
      <c r="B10" s="11" t="s">
        <v>247</v>
      </c>
      <c r="C10" s="12">
        <v>3</v>
      </c>
      <c r="H10" s="14" t="s">
        <v>55</v>
      </c>
    </row>
    <row r="11" hidden="1" spans="1:8">
      <c r="A11" s="7">
        <v>100801</v>
      </c>
      <c r="B11" s="7" t="s">
        <v>248</v>
      </c>
      <c r="C11" s="15">
        <v>3</v>
      </c>
      <c r="H11" s="16" t="s">
        <v>69</v>
      </c>
    </row>
    <row r="12" hidden="1" spans="1:8">
      <c r="A12" s="5">
        <v>100901</v>
      </c>
      <c r="B12" s="5" t="s">
        <v>249</v>
      </c>
      <c r="C12" s="17">
        <v>4</v>
      </c>
      <c r="H12" s="18" t="s">
        <v>53</v>
      </c>
    </row>
    <row r="13" hidden="1" spans="1:8">
      <c r="A13" s="5">
        <v>100902</v>
      </c>
      <c r="B13" s="5" t="s">
        <v>249</v>
      </c>
      <c r="C13" s="17">
        <v>5</v>
      </c>
      <c r="H13" s="19" t="s">
        <v>59</v>
      </c>
    </row>
    <row r="14" hidden="1" spans="1:8">
      <c r="A14" s="11">
        <v>101001</v>
      </c>
      <c r="B14" s="11" t="s">
        <v>250</v>
      </c>
      <c r="C14" s="12">
        <v>4</v>
      </c>
      <c r="H14" s="20" t="s">
        <v>61</v>
      </c>
    </row>
    <row r="15" hidden="1" spans="1:8">
      <c r="A15" s="11">
        <v>101002</v>
      </c>
      <c r="B15" s="11" t="s">
        <v>250</v>
      </c>
      <c r="C15" s="12">
        <v>5</v>
      </c>
      <c r="H15" s="11" t="s">
        <v>251</v>
      </c>
    </row>
    <row r="16" hidden="1" spans="1:8">
      <c r="A16" s="7">
        <v>101101</v>
      </c>
      <c r="B16" s="7" t="s">
        <v>252</v>
      </c>
      <c r="C16" s="15">
        <v>4</v>
      </c>
      <c r="H16" s="21" t="s">
        <v>57</v>
      </c>
    </row>
    <row r="17" hidden="1" spans="1:8">
      <c r="A17" s="7">
        <v>101102</v>
      </c>
      <c r="B17" s="7" t="s">
        <v>252</v>
      </c>
      <c r="C17" s="15">
        <v>5</v>
      </c>
      <c r="H17" s="22" t="s">
        <v>65</v>
      </c>
    </row>
    <row r="18" hidden="1" spans="1:8">
      <c r="A18" s="5">
        <v>101201</v>
      </c>
      <c r="B18" s="5" t="s">
        <v>253</v>
      </c>
      <c r="C18" s="17">
        <v>4</v>
      </c>
      <c r="H18" s="23" t="s">
        <v>67</v>
      </c>
    </row>
    <row r="19" hidden="1" spans="1:8">
      <c r="A19" s="5">
        <v>101202</v>
      </c>
      <c r="B19" s="5" t="s">
        <v>253</v>
      </c>
      <c r="C19" s="17">
        <v>5</v>
      </c>
      <c r="H19" s="24" t="s">
        <v>119</v>
      </c>
    </row>
    <row r="20" hidden="1" spans="1:8">
      <c r="A20" s="8">
        <v>101301</v>
      </c>
      <c r="B20" s="8" t="s">
        <v>254</v>
      </c>
      <c r="C20" s="9">
        <v>4</v>
      </c>
      <c r="H20" s="25" t="s">
        <v>117</v>
      </c>
    </row>
    <row r="21" hidden="1" spans="1:8">
      <c r="A21" s="8">
        <v>101302</v>
      </c>
      <c r="B21" s="8" t="s">
        <v>254</v>
      </c>
      <c r="C21" s="9">
        <v>5</v>
      </c>
      <c r="H21" s="26" t="s">
        <v>75</v>
      </c>
    </row>
    <row r="22" hidden="1" spans="1:8">
      <c r="A22" s="5">
        <v>101401</v>
      </c>
      <c r="B22" s="5" t="s">
        <v>41</v>
      </c>
      <c r="C22" s="17">
        <v>5</v>
      </c>
      <c r="H22" s="27" t="s">
        <v>81</v>
      </c>
    </row>
    <row r="23" spans="1:8">
      <c r="A23" s="5">
        <v>101402</v>
      </c>
      <c r="B23" s="5" t="s">
        <v>41</v>
      </c>
      <c r="C23" s="17">
        <v>6</v>
      </c>
      <c r="H23" s="26" t="s">
        <v>85</v>
      </c>
    </row>
    <row r="24" hidden="1" spans="1:8">
      <c r="A24" s="5">
        <v>101403</v>
      </c>
      <c r="B24" s="5" t="s">
        <v>41</v>
      </c>
      <c r="C24" s="17">
        <v>7</v>
      </c>
      <c r="H24" s="28" t="s">
        <v>87</v>
      </c>
    </row>
    <row r="25" hidden="1" spans="1:8">
      <c r="A25" s="5">
        <v>101404</v>
      </c>
      <c r="B25" s="5" t="s">
        <v>41</v>
      </c>
      <c r="C25" s="17">
        <v>8</v>
      </c>
      <c r="H25" s="27" t="s">
        <v>73</v>
      </c>
    </row>
    <row r="26" hidden="1" spans="1:8">
      <c r="A26" s="5">
        <v>101405</v>
      </c>
      <c r="B26" s="5" t="s">
        <v>41</v>
      </c>
      <c r="C26" s="17">
        <v>9</v>
      </c>
      <c r="H26" s="26" t="s">
        <v>71</v>
      </c>
    </row>
    <row r="27" hidden="1" spans="1:8">
      <c r="A27" s="5">
        <v>101406</v>
      </c>
      <c r="B27" s="5" t="s">
        <v>41</v>
      </c>
      <c r="C27" s="17">
        <v>10</v>
      </c>
      <c r="H27" s="27" t="s">
        <v>83</v>
      </c>
    </row>
    <row r="28" hidden="1" spans="1:8">
      <c r="A28" s="29">
        <v>101407</v>
      </c>
      <c r="B28" s="29" t="s">
        <v>41</v>
      </c>
      <c r="C28" s="29">
        <v>11</v>
      </c>
      <c r="H28" s="26" t="s">
        <v>77</v>
      </c>
    </row>
    <row r="29" hidden="1" spans="1:8">
      <c r="A29" s="30">
        <v>101408</v>
      </c>
      <c r="B29" s="30" t="s">
        <v>41</v>
      </c>
      <c r="C29" s="30">
        <v>12</v>
      </c>
      <c r="H29" s="31" t="s">
        <v>79</v>
      </c>
    </row>
    <row r="30" hidden="1" spans="1:8">
      <c r="A30" s="29">
        <v>101409</v>
      </c>
      <c r="B30" s="30" t="s">
        <v>41</v>
      </c>
      <c r="C30" s="30">
        <v>13</v>
      </c>
      <c r="H30" s="32" t="s">
        <v>105</v>
      </c>
    </row>
    <row r="31" hidden="1" spans="1:8">
      <c r="A31" s="7">
        <v>101501</v>
      </c>
      <c r="B31" s="7" t="s">
        <v>37</v>
      </c>
      <c r="C31" s="15">
        <v>5</v>
      </c>
      <c r="H31" s="33" t="s">
        <v>103</v>
      </c>
    </row>
    <row r="32" spans="1:8">
      <c r="A32" s="7">
        <v>101502</v>
      </c>
      <c r="B32" s="7" t="s">
        <v>37</v>
      </c>
      <c r="C32" s="15">
        <v>6</v>
      </c>
      <c r="H32" s="34" t="s">
        <v>93</v>
      </c>
    </row>
    <row r="33" hidden="1" spans="1:8">
      <c r="A33" s="7">
        <v>101503</v>
      </c>
      <c r="B33" s="7" t="s">
        <v>37</v>
      </c>
      <c r="C33" s="15">
        <v>7</v>
      </c>
      <c r="H33" s="35" t="s">
        <v>107</v>
      </c>
    </row>
    <row r="34" hidden="1" spans="1:8">
      <c r="A34" s="7">
        <v>101504</v>
      </c>
      <c r="B34" s="7" t="s">
        <v>37</v>
      </c>
      <c r="C34" s="15">
        <v>8</v>
      </c>
      <c r="H34" s="1" t="s">
        <v>115</v>
      </c>
    </row>
    <row r="35" hidden="1" spans="1:8">
      <c r="A35" s="7">
        <v>101505</v>
      </c>
      <c r="B35" s="7" t="s">
        <v>37</v>
      </c>
      <c r="C35" s="15">
        <v>9</v>
      </c>
      <c r="H35" s="36" t="s">
        <v>255</v>
      </c>
    </row>
    <row r="36" hidden="1" spans="1:8">
      <c r="A36" s="7">
        <v>101506</v>
      </c>
      <c r="B36" s="7" t="s">
        <v>37</v>
      </c>
      <c r="C36" s="7">
        <v>10</v>
      </c>
      <c r="H36" s="33" t="s">
        <v>63</v>
      </c>
    </row>
    <row r="37" hidden="1" spans="1:8">
      <c r="A37" s="7">
        <v>101507</v>
      </c>
      <c r="B37" s="7" t="s">
        <v>37</v>
      </c>
      <c r="C37" s="7">
        <v>11</v>
      </c>
      <c r="H37" s="36" t="s">
        <v>101</v>
      </c>
    </row>
    <row r="38" hidden="1" spans="1:8">
      <c r="A38" s="7">
        <v>101508</v>
      </c>
      <c r="B38" s="7" t="s">
        <v>37</v>
      </c>
      <c r="C38" s="7">
        <v>12</v>
      </c>
      <c r="H38" s="37" t="s">
        <v>111</v>
      </c>
    </row>
    <row r="39" hidden="1" spans="1:8">
      <c r="A39" s="7">
        <v>101509</v>
      </c>
      <c r="B39" s="7" t="s">
        <v>37</v>
      </c>
      <c r="C39" s="7">
        <v>13</v>
      </c>
      <c r="H39" s="38" t="s">
        <v>97</v>
      </c>
    </row>
    <row r="40" hidden="1" spans="1:8">
      <c r="A40" s="5">
        <v>101601</v>
      </c>
      <c r="B40" s="5" t="s">
        <v>43</v>
      </c>
      <c r="C40" s="17" t="s">
        <v>256</v>
      </c>
      <c r="H40" s="31" t="s">
        <v>99</v>
      </c>
    </row>
    <row r="41" spans="1:8">
      <c r="A41" s="5">
        <v>101602</v>
      </c>
      <c r="B41" s="5" t="s">
        <v>43</v>
      </c>
      <c r="C41" s="17">
        <v>6</v>
      </c>
      <c r="H41" s="26" t="s">
        <v>113</v>
      </c>
    </row>
    <row r="42" hidden="1" spans="1:8">
      <c r="A42" s="5">
        <v>101603</v>
      </c>
      <c r="B42" s="5" t="s">
        <v>43</v>
      </c>
      <c r="C42" s="17">
        <v>7</v>
      </c>
      <c r="H42" s="27" t="s">
        <v>109</v>
      </c>
    </row>
    <row r="43" hidden="1" spans="1:8">
      <c r="A43" s="5">
        <v>101604</v>
      </c>
      <c r="B43" s="5" t="s">
        <v>43</v>
      </c>
      <c r="C43" s="17">
        <v>8</v>
      </c>
      <c r="H43" s="26" t="s">
        <v>89</v>
      </c>
    </row>
    <row r="44" hidden="1" spans="1:8">
      <c r="A44" s="5">
        <v>101605</v>
      </c>
      <c r="B44" s="5" t="s">
        <v>43</v>
      </c>
      <c r="C44" s="17">
        <v>9</v>
      </c>
      <c r="H44" s="27" t="s">
        <v>91</v>
      </c>
    </row>
    <row r="45" hidden="1" spans="1:8">
      <c r="A45" s="5">
        <v>101606</v>
      </c>
      <c r="B45" s="5" t="s">
        <v>43</v>
      </c>
      <c r="C45" s="17">
        <v>10</v>
      </c>
      <c r="H45" s="26" t="s">
        <v>95</v>
      </c>
    </row>
    <row r="46" hidden="1" spans="1:3">
      <c r="A46" s="5">
        <v>101607</v>
      </c>
      <c r="B46" s="5" t="s">
        <v>43</v>
      </c>
      <c r="C46" s="39" t="s">
        <v>257</v>
      </c>
    </row>
    <row r="47" hidden="1" spans="1:3">
      <c r="A47" s="5">
        <v>101608</v>
      </c>
      <c r="B47" s="5" t="s">
        <v>43</v>
      </c>
      <c r="C47" s="39" t="s">
        <v>258</v>
      </c>
    </row>
    <row r="48" hidden="1" spans="1:3">
      <c r="A48" s="5">
        <v>101609</v>
      </c>
      <c r="B48" s="5" t="s">
        <v>43</v>
      </c>
      <c r="C48" s="39" t="s">
        <v>259</v>
      </c>
    </row>
    <row r="49" hidden="1" spans="1:3">
      <c r="A49" s="10">
        <v>101701</v>
      </c>
      <c r="B49" s="10" t="s">
        <v>51</v>
      </c>
      <c r="C49" s="40">
        <v>5</v>
      </c>
    </row>
    <row r="50" spans="1:3">
      <c r="A50" s="10">
        <v>101702</v>
      </c>
      <c r="B50" s="10" t="s">
        <v>51</v>
      </c>
      <c r="C50" s="40">
        <v>6</v>
      </c>
    </row>
    <row r="51" hidden="1" spans="1:3">
      <c r="A51" s="10">
        <v>101703</v>
      </c>
      <c r="B51" s="10" t="s">
        <v>51</v>
      </c>
      <c r="C51" s="40">
        <v>7</v>
      </c>
    </row>
    <row r="52" hidden="1" spans="1:3">
      <c r="A52" s="10">
        <v>101704</v>
      </c>
      <c r="B52" s="10" t="s">
        <v>51</v>
      </c>
      <c r="C52" s="40">
        <v>8</v>
      </c>
    </row>
    <row r="53" hidden="1" spans="1:3">
      <c r="A53" s="10">
        <v>101705</v>
      </c>
      <c r="B53" s="10" t="s">
        <v>51</v>
      </c>
      <c r="C53" s="40">
        <v>9</v>
      </c>
    </row>
    <row r="54" hidden="1" spans="1:3">
      <c r="A54" s="10">
        <v>101706</v>
      </c>
      <c r="B54" s="10" t="s">
        <v>51</v>
      </c>
      <c r="C54" s="40">
        <v>10</v>
      </c>
    </row>
    <row r="55" hidden="1" spans="1:3">
      <c r="A55" s="10">
        <v>101707</v>
      </c>
      <c r="B55" s="10" t="s">
        <v>51</v>
      </c>
      <c r="C55" s="41" t="s">
        <v>257</v>
      </c>
    </row>
    <row r="56" hidden="1" spans="1:3">
      <c r="A56" s="10">
        <v>101708</v>
      </c>
      <c r="B56" s="10" t="s">
        <v>51</v>
      </c>
      <c r="C56" s="41" t="s">
        <v>258</v>
      </c>
    </row>
    <row r="57" hidden="1" spans="1:3">
      <c r="A57" s="10">
        <v>101709</v>
      </c>
      <c r="B57" s="10" t="s">
        <v>51</v>
      </c>
      <c r="C57" s="41" t="s">
        <v>259</v>
      </c>
    </row>
    <row r="58" hidden="1" spans="1:3">
      <c r="A58" s="13">
        <v>101801</v>
      </c>
      <c r="B58" s="13" t="s">
        <v>45</v>
      </c>
      <c r="C58" s="42">
        <v>5</v>
      </c>
    </row>
    <row r="59" spans="1:3">
      <c r="A59" s="13">
        <v>101802</v>
      </c>
      <c r="B59" s="13" t="s">
        <v>45</v>
      </c>
      <c r="C59" s="42">
        <v>6</v>
      </c>
    </row>
    <row r="60" hidden="1" spans="1:3">
      <c r="A60" s="13">
        <v>101803</v>
      </c>
      <c r="B60" s="13" t="s">
        <v>45</v>
      </c>
      <c r="C60" s="42">
        <v>7</v>
      </c>
    </row>
    <row r="61" hidden="1" spans="1:3">
      <c r="A61" s="13">
        <v>101804</v>
      </c>
      <c r="B61" s="13" t="s">
        <v>45</v>
      </c>
      <c r="C61" s="42">
        <v>8</v>
      </c>
    </row>
    <row r="62" hidden="1" spans="1:3">
      <c r="A62" s="13">
        <v>101805</v>
      </c>
      <c r="B62" s="13" t="s">
        <v>45</v>
      </c>
      <c r="C62" s="42">
        <v>9</v>
      </c>
    </row>
    <row r="63" hidden="1" spans="1:3">
      <c r="A63" s="13">
        <v>101806</v>
      </c>
      <c r="B63" s="13" t="s">
        <v>45</v>
      </c>
      <c r="C63" s="42">
        <v>10</v>
      </c>
    </row>
    <row r="64" hidden="1" spans="1:3">
      <c r="A64" s="13">
        <v>101807</v>
      </c>
      <c r="B64" s="13" t="s">
        <v>45</v>
      </c>
      <c r="C64" s="43" t="s">
        <v>257</v>
      </c>
    </row>
    <row r="65" hidden="1" spans="1:3">
      <c r="A65" s="13">
        <v>101808</v>
      </c>
      <c r="B65" s="13" t="s">
        <v>45</v>
      </c>
      <c r="C65" s="43" t="s">
        <v>258</v>
      </c>
    </row>
    <row r="66" hidden="1" spans="1:3">
      <c r="A66" s="13">
        <v>101809</v>
      </c>
      <c r="B66" s="13" t="s">
        <v>45</v>
      </c>
      <c r="C66" s="43" t="s">
        <v>259</v>
      </c>
    </row>
    <row r="67" hidden="1" spans="1:3">
      <c r="A67" s="1">
        <v>101901</v>
      </c>
      <c r="B67" s="1" t="s">
        <v>243</v>
      </c>
      <c r="C67" s="2">
        <v>5</v>
      </c>
    </row>
    <row r="68" spans="1:3">
      <c r="A68" s="1">
        <v>101902</v>
      </c>
      <c r="B68" s="1" t="s">
        <v>243</v>
      </c>
      <c r="C68" s="2">
        <v>6</v>
      </c>
    </row>
    <row r="69" hidden="1" spans="1:3">
      <c r="A69" s="1">
        <v>101903</v>
      </c>
      <c r="B69" s="1" t="s">
        <v>243</v>
      </c>
      <c r="C69" s="2">
        <v>7</v>
      </c>
    </row>
    <row r="70" hidden="1" spans="1:3">
      <c r="A70" s="1">
        <v>101904</v>
      </c>
      <c r="B70" s="1" t="s">
        <v>243</v>
      </c>
      <c r="C70" s="2">
        <v>8</v>
      </c>
    </row>
    <row r="71" hidden="1" spans="1:3">
      <c r="A71" s="1">
        <v>101905</v>
      </c>
      <c r="B71" s="1" t="s">
        <v>243</v>
      </c>
      <c r="C71" s="2">
        <v>9</v>
      </c>
    </row>
    <row r="72" hidden="1" spans="1:3">
      <c r="A72" s="1">
        <v>101906</v>
      </c>
      <c r="B72" s="1" t="s">
        <v>243</v>
      </c>
      <c r="C72" s="2">
        <v>10</v>
      </c>
    </row>
    <row r="73" hidden="1" spans="1:3">
      <c r="A73" s="1">
        <v>101907</v>
      </c>
      <c r="B73" s="1" t="s">
        <v>243</v>
      </c>
      <c r="C73" s="44" t="s">
        <v>257</v>
      </c>
    </row>
    <row r="74" hidden="1" spans="1:3">
      <c r="A74" s="1">
        <v>101908</v>
      </c>
      <c r="B74" s="1" t="s">
        <v>243</v>
      </c>
      <c r="C74" s="44" t="s">
        <v>258</v>
      </c>
    </row>
    <row r="75" hidden="1" spans="1:3">
      <c r="A75" s="1">
        <v>101909</v>
      </c>
      <c r="B75" s="1" t="s">
        <v>243</v>
      </c>
      <c r="C75" s="43" t="s">
        <v>259</v>
      </c>
    </row>
    <row r="76" hidden="1" spans="1:3">
      <c r="A76" s="13">
        <v>102001</v>
      </c>
      <c r="B76" s="13" t="s">
        <v>47</v>
      </c>
      <c r="C76" s="42">
        <v>5</v>
      </c>
    </row>
    <row r="77" spans="1:3">
      <c r="A77" s="13">
        <v>102002</v>
      </c>
      <c r="B77" s="13" t="s">
        <v>47</v>
      </c>
      <c r="C77" s="42">
        <v>6</v>
      </c>
    </row>
    <row r="78" hidden="1" spans="1:3">
      <c r="A78" s="13">
        <v>102003</v>
      </c>
      <c r="B78" s="13" t="s">
        <v>47</v>
      </c>
      <c r="C78" s="42">
        <v>7</v>
      </c>
    </row>
    <row r="79" hidden="1" spans="1:3">
      <c r="A79" s="13">
        <v>102004</v>
      </c>
      <c r="B79" s="13" t="s">
        <v>47</v>
      </c>
      <c r="C79" s="42">
        <v>8</v>
      </c>
    </row>
    <row r="80" hidden="1" spans="1:3">
      <c r="A80" s="13">
        <v>102005</v>
      </c>
      <c r="B80" s="13" t="s">
        <v>47</v>
      </c>
      <c r="C80" s="42">
        <v>9</v>
      </c>
    </row>
    <row r="81" hidden="1" spans="1:3">
      <c r="A81" s="13">
        <v>102006</v>
      </c>
      <c r="B81" s="13" t="s">
        <v>47</v>
      </c>
      <c r="C81" s="42">
        <v>10</v>
      </c>
    </row>
    <row r="82" hidden="1" spans="1:3">
      <c r="A82" s="13">
        <v>102007</v>
      </c>
      <c r="B82" s="13" t="s">
        <v>47</v>
      </c>
      <c r="C82" s="43" t="s">
        <v>257</v>
      </c>
    </row>
    <row r="83" hidden="1" spans="1:3">
      <c r="A83" s="13">
        <v>102008</v>
      </c>
      <c r="B83" s="13" t="s">
        <v>47</v>
      </c>
      <c r="C83" s="43" t="s">
        <v>258</v>
      </c>
    </row>
    <row r="84" hidden="1" spans="1:3">
      <c r="A84" s="13">
        <v>102009</v>
      </c>
      <c r="B84" s="13" t="s">
        <v>47</v>
      </c>
      <c r="C84" s="43" t="s">
        <v>259</v>
      </c>
    </row>
    <row r="85" hidden="1" spans="1:3">
      <c r="A85" s="8">
        <v>102101</v>
      </c>
      <c r="B85" s="8" t="s">
        <v>49</v>
      </c>
      <c r="C85" s="9">
        <v>5</v>
      </c>
    </row>
    <row r="86" spans="1:3">
      <c r="A86" s="8">
        <v>102102</v>
      </c>
      <c r="B86" s="8" t="s">
        <v>49</v>
      </c>
      <c r="C86" s="9">
        <v>6</v>
      </c>
    </row>
    <row r="87" hidden="1" spans="1:3">
      <c r="A87" s="8">
        <v>102103</v>
      </c>
      <c r="B87" s="8" t="s">
        <v>49</v>
      </c>
      <c r="C87" s="9">
        <v>7</v>
      </c>
    </row>
    <row r="88" hidden="1" spans="1:3">
      <c r="A88" s="8">
        <v>102104</v>
      </c>
      <c r="B88" s="8" t="s">
        <v>49</v>
      </c>
      <c r="C88" s="9">
        <v>8</v>
      </c>
    </row>
    <row r="89" hidden="1" spans="1:3">
      <c r="A89" s="8">
        <v>102105</v>
      </c>
      <c r="B89" s="8" t="s">
        <v>49</v>
      </c>
      <c r="C89" s="9">
        <v>9</v>
      </c>
    </row>
    <row r="90" hidden="1" spans="1:3">
      <c r="A90" s="8">
        <v>102106</v>
      </c>
      <c r="B90" s="8" t="s">
        <v>49</v>
      </c>
      <c r="C90" s="9">
        <v>10</v>
      </c>
    </row>
    <row r="91" hidden="1" spans="1:3">
      <c r="A91" s="8">
        <v>102107</v>
      </c>
      <c r="B91" s="8" t="s">
        <v>49</v>
      </c>
      <c r="C91" s="45" t="s">
        <v>257</v>
      </c>
    </row>
    <row r="92" hidden="1" spans="1:3">
      <c r="A92" s="8">
        <v>102108</v>
      </c>
      <c r="B92" s="8" t="s">
        <v>49</v>
      </c>
      <c r="C92" s="45" t="s">
        <v>258</v>
      </c>
    </row>
    <row r="93" hidden="1" spans="1:3">
      <c r="A93" s="46">
        <v>102109</v>
      </c>
      <c r="B93" s="8" t="s">
        <v>49</v>
      </c>
      <c r="C93" s="45" t="s">
        <v>259</v>
      </c>
    </row>
    <row r="94" hidden="1" spans="1:3">
      <c r="A94" s="5">
        <v>102201</v>
      </c>
      <c r="B94" s="5" t="s">
        <v>39</v>
      </c>
      <c r="C94" s="17">
        <v>5</v>
      </c>
    </row>
    <row r="95" spans="1:3">
      <c r="A95" s="5">
        <v>102202</v>
      </c>
      <c r="B95" s="5" t="s">
        <v>39</v>
      </c>
      <c r="C95" s="17">
        <v>6</v>
      </c>
    </row>
    <row r="96" hidden="1" spans="1:3">
      <c r="A96" s="5">
        <v>102203</v>
      </c>
      <c r="B96" s="5" t="s">
        <v>39</v>
      </c>
      <c r="C96" s="17">
        <v>7</v>
      </c>
    </row>
    <row r="97" hidden="1" spans="1:3">
      <c r="A97" s="5">
        <v>102204</v>
      </c>
      <c r="B97" s="5" t="s">
        <v>39</v>
      </c>
      <c r="C97" s="17">
        <v>8</v>
      </c>
    </row>
    <row r="98" hidden="1" spans="1:3">
      <c r="A98" s="5">
        <v>102205</v>
      </c>
      <c r="B98" s="5" t="s">
        <v>39</v>
      </c>
      <c r="C98" s="17">
        <v>9</v>
      </c>
    </row>
    <row r="99" hidden="1" spans="1:3">
      <c r="A99" s="5">
        <v>102206</v>
      </c>
      <c r="B99" s="5" t="s">
        <v>39</v>
      </c>
      <c r="C99" s="5">
        <v>10</v>
      </c>
    </row>
    <row r="100" hidden="1" spans="1:3">
      <c r="A100" s="5">
        <v>102207</v>
      </c>
      <c r="B100" s="5" t="s">
        <v>39</v>
      </c>
      <c r="C100" s="5">
        <v>11</v>
      </c>
    </row>
    <row r="101" hidden="1" spans="1:3">
      <c r="A101" s="5">
        <v>102208</v>
      </c>
      <c r="B101" s="5" t="s">
        <v>39</v>
      </c>
      <c r="C101" s="5">
        <v>12</v>
      </c>
    </row>
    <row r="102" hidden="1" spans="1:3">
      <c r="A102" s="30">
        <v>102209</v>
      </c>
      <c r="B102" s="30" t="s">
        <v>39</v>
      </c>
      <c r="C102" s="30">
        <v>13</v>
      </c>
    </row>
    <row r="103" hidden="1" spans="1:3">
      <c r="A103" s="47">
        <v>200101</v>
      </c>
      <c r="B103" s="47" t="s">
        <v>260</v>
      </c>
      <c r="C103" s="48">
        <v>1</v>
      </c>
    </row>
    <row r="104" hidden="1" spans="1:3">
      <c r="A104" s="47">
        <v>200201</v>
      </c>
      <c r="B104" s="47" t="s">
        <v>261</v>
      </c>
      <c r="C104" s="48">
        <v>2</v>
      </c>
    </row>
    <row r="105" hidden="1" spans="1:3">
      <c r="A105" s="11">
        <v>200301</v>
      </c>
      <c r="B105" s="11" t="s">
        <v>262</v>
      </c>
      <c r="C105" s="12">
        <v>2</v>
      </c>
    </row>
    <row r="106" hidden="1" spans="1:3">
      <c r="A106" s="11">
        <v>200401</v>
      </c>
      <c r="B106" s="11" t="s">
        <v>263</v>
      </c>
      <c r="C106" s="12">
        <v>3</v>
      </c>
    </row>
    <row r="107" hidden="1" spans="1:3">
      <c r="A107" s="1">
        <v>200501</v>
      </c>
      <c r="B107" s="1" t="s">
        <v>264</v>
      </c>
      <c r="C107" s="2">
        <v>3</v>
      </c>
    </row>
    <row r="108" hidden="1" spans="1:3">
      <c r="A108" s="11">
        <v>200601</v>
      </c>
      <c r="B108" s="11" t="s">
        <v>265</v>
      </c>
      <c r="C108" s="12">
        <v>3</v>
      </c>
    </row>
    <row r="109" hidden="1" spans="1:3">
      <c r="A109" s="11">
        <v>200701</v>
      </c>
      <c r="B109" s="11" t="s">
        <v>266</v>
      </c>
      <c r="C109" s="12">
        <v>3</v>
      </c>
    </row>
    <row r="110" hidden="1" spans="1:3">
      <c r="A110" s="47">
        <v>200801</v>
      </c>
      <c r="B110" s="47" t="s">
        <v>267</v>
      </c>
      <c r="C110" s="48">
        <v>3</v>
      </c>
    </row>
    <row r="111" hidden="1" spans="1:3">
      <c r="A111" s="18">
        <v>200901</v>
      </c>
      <c r="B111" s="18" t="s">
        <v>268</v>
      </c>
      <c r="C111" s="49">
        <v>4</v>
      </c>
    </row>
    <row r="112" hidden="1" spans="1:3">
      <c r="A112" s="18">
        <v>200902</v>
      </c>
      <c r="B112" s="18" t="s">
        <v>268</v>
      </c>
      <c r="C112" s="49">
        <v>5</v>
      </c>
    </row>
    <row r="113" hidden="1" spans="1:3">
      <c r="A113" s="11">
        <v>201001</v>
      </c>
      <c r="B113" s="11" t="s">
        <v>269</v>
      </c>
      <c r="C113" s="12">
        <v>4</v>
      </c>
    </row>
    <row r="114" hidden="1" spans="1:3">
      <c r="A114" s="11">
        <v>201002</v>
      </c>
      <c r="B114" s="11" t="s">
        <v>269</v>
      </c>
      <c r="C114" s="12">
        <v>5</v>
      </c>
    </row>
    <row r="115" hidden="1" spans="1:3">
      <c r="A115" s="18">
        <v>201101</v>
      </c>
      <c r="B115" s="18" t="s">
        <v>270</v>
      </c>
      <c r="C115" s="49">
        <v>4</v>
      </c>
    </row>
    <row r="116" hidden="1" spans="1:3">
      <c r="A116" s="18">
        <v>201102</v>
      </c>
      <c r="B116" s="18" t="s">
        <v>270</v>
      </c>
      <c r="C116" s="49">
        <v>5</v>
      </c>
    </row>
    <row r="117" hidden="1" spans="1:3">
      <c r="A117" s="11">
        <v>201201</v>
      </c>
      <c r="B117" s="11" t="s">
        <v>271</v>
      </c>
      <c r="C117" s="12">
        <v>4</v>
      </c>
    </row>
    <row r="118" hidden="1" spans="1:3">
      <c r="A118" s="11">
        <v>201202</v>
      </c>
      <c r="B118" s="11" t="s">
        <v>271</v>
      </c>
      <c r="C118" s="12">
        <v>5</v>
      </c>
    </row>
    <row r="119" hidden="1" spans="1:3">
      <c r="A119" s="18">
        <v>201301</v>
      </c>
      <c r="B119" s="18" t="s">
        <v>272</v>
      </c>
      <c r="C119" s="49">
        <v>4</v>
      </c>
    </row>
    <row r="120" hidden="1" spans="1:3">
      <c r="A120" s="18">
        <v>201302</v>
      </c>
      <c r="B120" s="18" t="s">
        <v>272</v>
      </c>
      <c r="C120" s="49">
        <v>5</v>
      </c>
    </row>
    <row r="121" hidden="1" spans="1:3">
      <c r="A121" s="14">
        <v>201401</v>
      </c>
      <c r="B121" s="14" t="s">
        <v>55</v>
      </c>
      <c r="C121" s="50">
        <v>5</v>
      </c>
    </row>
    <row r="122" spans="1:3">
      <c r="A122" s="14">
        <v>201402</v>
      </c>
      <c r="B122" s="14" t="s">
        <v>55</v>
      </c>
      <c r="C122" s="50">
        <v>6</v>
      </c>
    </row>
    <row r="123" hidden="1" spans="1:3">
      <c r="A123" s="14">
        <v>201403</v>
      </c>
      <c r="B123" s="14" t="s">
        <v>55</v>
      </c>
      <c r="C123" s="50">
        <v>7</v>
      </c>
    </row>
    <row r="124" hidden="1" spans="1:3">
      <c r="A124" s="14">
        <v>201404</v>
      </c>
      <c r="B124" s="14" t="s">
        <v>55</v>
      </c>
      <c r="C124" s="50">
        <v>8</v>
      </c>
    </row>
    <row r="125" hidden="1" spans="1:3">
      <c r="A125" s="14">
        <v>201405</v>
      </c>
      <c r="B125" s="14" t="s">
        <v>55</v>
      </c>
      <c r="C125" s="50">
        <v>9</v>
      </c>
    </row>
    <row r="126" hidden="1" spans="1:3">
      <c r="A126" s="14">
        <v>201406</v>
      </c>
      <c r="B126" s="14" t="s">
        <v>55</v>
      </c>
      <c r="C126" s="50" t="s">
        <v>273</v>
      </c>
    </row>
    <row r="127" hidden="1" spans="1:3">
      <c r="A127" s="14">
        <v>201407</v>
      </c>
      <c r="B127" s="14" t="s">
        <v>55</v>
      </c>
      <c r="C127" s="51" t="s">
        <v>257</v>
      </c>
    </row>
    <row r="128" hidden="1" spans="1:3">
      <c r="A128" s="14">
        <v>201408</v>
      </c>
      <c r="B128" s="14" t="s">
        <v>55</v>
      </c>
      <c r="C128" s="51" t="s">
        <v>258</v>
      </c>
    </row>
    <row r="129" hidden="1" spans="1:3">
      <c r="A129" s="14">
        <v>201409</v>
      </c>
      <c r="B129" s="14" t="s">
        <v>55</v>
      </c>
      <c r="C129" s="51" t="s">
        <v>259</v>
      </c>
    </row>
    <row r="130" hidden="1" spans="1:3">
      <c r="A130" s="16">
        <v>201501</v>
      </c>
      <c r="B130" s="16" t="s">
        <v>69</v>
      </c>
      <c r="C130" s="52">
        <v>5</v>
      </c>
    </row>
    <row r="131" spans="1:3">
      <c r="A131" s="16">
        <v>201502</v>
      </c>
      <c r="B131" s="16" t="s">
        <v>69</v>
      </c>
      <c r="C131" s="52">
        <v>6</v>
      </c>
    </row>
    <row r="132" hidden="1" spans="1:3">
      <c r="A132" s="16">
        <v>201503</v>
      </c>
      <c r="B132" s="16" t="s">
        <v>69</v>
      </c>
      <c r="C132" s="52">
        <v>7</v>
      </c>
    </row>
    <row r="133" hidden="1" spans="1:3">
      <c r="A133" s="16">
        <v>201504</v>
      </c>
      <c r="B133" s="16" t="s">
        <v>69</v>
      </c>
      <c r="C133" s="52">
        <v>8</v>
      </c>
    </row>
    <row r="134" hidden="1" spans="1:3">
      <c r="A134" s="16">
        <v>201505</v>
      </c>
      <c r="B134" s="16" t="s">
        <v>69</v>
      </c>
      <c r="C134" s="52">
        <v>9</v>
      </c>
    </row>
    <row r="135" hidden="1" spans="1:3">
      <c r="A135" s="16">
        <v>201506</v>
      </c>
      <c r="B135" s="16" t="s">
        <v>69</v>
      </c>
      <c r="C135" s="52">
        <v>10</v>
      </c>
    </row>
    <row r="136" hidden="1" spans="1:3">
      <c r="A136" s="16">
        <v>201507</v>
      </c>
      <c r="B136" s="16" t="s">
        <v>69</v>
      </c>
      <c r="C136" s="53" t="s">
        <v>257</v>
      </c>
    </row>
    <row r="137" hidden="1" spans="1:3">
      <c r="A137" s="16">
        <v>201508</v>
      </c>
      <c r="B137" s="16" t="s">
        <v>69</v>
      </c>
      <c r="C137" s="53" t="s">
        <v>258</v>
      </c>
    </row>
    <row r="138" hidden="1" spans="1:3">
      <c r="A138" s="16">
        <v>201509</v>
      </c>
      <c r="B138" s="16" t="s">
        <v>69</v>
      </c>
      <c r="C138" s="53" t="s">
        <v>259</v>
      </c>
    </row>
    <row r="139" hidden="1" spans="1:3">
      <c r="A139" s="18">
        <v>201601</v>
      </c>
      <c r="B139" s="18" t="s">
        <v>53</v>
      </c>
      <c r="C139" s="49">
        <v>5</v>
      </c>
    </row>
    <row r="140" spans="1:3">
      <c r="A140" s="18">
        <v>201602</v>
      </c>
      <c r="B140" s="18" t="s">
        <v>53</v>
      </c>
      <c r="C140" s="49">
        <v>6</v>
      </c>
    </row>
    <row r="141" hidden="1" spans="1:3">
      <c r="A141" s="18">
        <v>201603</v>
      </c>
      <c r="B141" s="18" t="s">
        <v>53</v>
      </c>
      <c r="C141" s="49">
        <v>7</v>
      </c>
    </row>
    <row r="142" hidden="1" spans="1:3">
      <c r="A142" s="18">
        <v>201604</v>
      </c>
      <c r="B142" s="18" t="s">
        <v>53</v>
      </c>
      <c r="C142" s="49">
        <v>8</v>
      </c>
    </row>
    <row r="143" hidden="1" spans="1:3">
      <c r="A143" s="18">
        <v>201605</v>
      </c>
      <c r="B143" s="18" t="s">
        <v>53</v>
      </c>
      <c r="C143" s="49">
        <v>9</v>
      </c>
    </row>
    <row r="144" hidden="1" spans="1:3">
      <c r="A144" s="18">
        <v>201606</v>
      </c>
      <c r="B144" s="18" t="s">
        <v>53</v>
      </c>
      <c r="C144" s="18">
        <v>10</v>
      </c>
    </row>
    <row r="145" hidden="1" spans="1:3">
      <c r="A145" s="18">
        <v>201607</v>
      </c>
      <c r="B145" s="18" t="s">
        <v>53</v>
      </c>
      <c r="C145" s="18">
        <v>11</v>
      </c>
    </row>
    <row r="146" hidden="1" spans="1:3">
      <c r="A146" s="18">
        <v>201608</v>
      </c>
      <c r="B146" s="18" t="s">
        <v>53</v>
      </c>
      <c r="C146" s="18">
        <v>12</v>
      </c>
    </row>
    <row r="147" hidden="1" spans="1:3">
      <c r="A147" s="18">
        <v>201609</v>
      </c>
      <c r="B147" s="18" t="s">
        <v>53</v>
      </c>
      <c r="C147" s="18">
        <v>13</v>
      </c>
    </row>
    <row r="148" hidden="1" spans="1:3">
      <c r="A148" s="19">
        <v>201701</v>
      </c>
      <c r="B148" s="54" t="s">
        <v>59</v>
      </c>
      <c r="C148" s="55">
        <v>5</v>
      </c>
    </row>
    <row r="149" spans="1:3">
      <c r="A149" s="19">
        <v>201702</v>
      </c>
      <c r="B149" s="19" t="s">
        <v>59</v>
      </c>
      <c r="C149" s="55">
        <v>6</v>
      </c>
    </row>
    <row r="150" hidden="1" spans="1:3">
      <c r="A150" s="19">
        <v>201703</v>
      </c>
      <c r="B150" s="19" t="s">
        <v>59</v>
      </c>
      <c r="C150" s="55">
        <v>7</v>
      </c>
    </row>
    <row r="151" hidden="1" spans="1:3">
      <c r="A151" s="19">
        <v>201704</v>
      </c>
      <c r="B151" s="19" t="s">
        <v>59</v>
      </c>
      <c r="C151" s="55">
        <v>8</v>
      </c>
    </row>
    <row r="152" hidden="1" spans="1:3">
      <c r="A152" s="19">
        <v>201705</v>
      </c>
      <c r="B152" s="19" t="s">
        <v>59</v>
      </c>
      <c r="C152" s="19">
        <v>9</v>
      </c>
    </row>
    <row r="153" hidden="1" spans="1:3">
      <c r="A153" s="19">
        <v>201706</v>
      </c>
      <c r="B153" s="19" t="s">
        <v>59</v>
      </c>
      <c r="C153" s="19">
        <v>10</v>
      </c>
    </row>
    <row r="154" hidden="1" spans="1:3">
      <c r="A154" s="19">
        <v>201707</v>
      </c>
      <c r="B154" s="19" t="s">
        <v>59</v>
      </c>
      <c r="C154" s="19">
        <v>11</v>
      </c>
    </row>
    <row r="155" hidden="1" spans="1:3">
      <c r="A155" s="19">
        <v>201708</v>
      </c>
      <c r="B155" s="19" t="s">
        <v>59</v>
      </c>
      <c r="C155" s="19">
        <v>12</v>
      </c>
    </row>
    <row r="156" hidden="1" spans="1:3">
      <c r="A156" s="19">
        <v>201709</v>
      </c>
      <c r="B156" s="19" t="s">
        <v>59</v>
      </c>
      <c r="C156" s="19">
        <v>13</v>
      </c>
    </row>
    <row r="157" hidden="1" spans="1:3">
      <c r="A157" s="20">
        <v>201801</v>
      </c>
      <c r="B157" s="20" t="s">
        <v>61</v>
      </c>
      <c r="C157" s="56">
        <v>5</v>
      </c>
    </row>
    <row r="158" spans="1:3">
      <c r="A158" s="20">
        <v>201802</v>
      </c>
      <c r="B158" s="20" t="s">
        <v>61</v>
      </c>
      <c r="C158" s="56">
        <v>6</v>
      </c>
    </row>
    <row r="159" hidden="1" spans="1:3">
      <c r="A159" s="57">
        <v>201803</v>
      </c>
      <c r="B159" s="57" t="s">
        <v>61</v>
      </c>
      <c r="C159" s="58">
        <v>7</v>
      </c>
    </row>
    <row r="160" hidden="1" spans="1:3">
      <c r="A160" s="57">
        <v>201804</v>
      </c>
      <c r="B160" s="57" t="s">
        <v>61</v>
      </c>
      <c r="C160" s="58">
        <v>8</v>
      </c>
    </row>
    <row r="161" hidden="1" spans="1:3">
      <c r="A161" s="57">
        <v>201805</v>
      </c>
      <c r="B161" s="57" t="s">
        <v>61</v>
      </c>
      <c r="C161" s="58">
        <v>9</v>
      </c>
    </row>
    <row r="162" hidden="1" spans="1:3">
      <c r="A162" s="57">
        <v>201806</v>
      </c>
      <c r="B162" s="57" t="s">
        <v>61</v>
      </c>
      <c r="C162" s="58">
        <v>10</v>
      </c>
    </row>
    <row r="163" hidden="1" spans="1:3">
      <c r="A163" s="57">
        <v>201807</v>
      </c>
      <c r="B163" s="57" t="s">
        <v>61</v>
      </c>
      <c r="C163" s="59" t="s">
        <v>257</v>
      </c>
    </row>
    <row r="164" hidden="1" spans="1:3">
      <c r="A164" s="57">
        <v>201808</v>
      </c>
      <c r="B164" s="57" t="s">
        <v>61</v>
      </c>
      <c r="C164" s="59" t="s">
        <v>258</v>
      </c>
    </row>
    <row r="165" hidden="1" spans="1:3">
      <c r="A165" s="57">
        <v>201809</v>
      </c>
      <c r="B165" s="57" t="s">
        <v>61</v>
      </c>
      <c r="C165" s="59" t="s">
        <v>259</v>
      </c>
    </row>
    <row r="166" hidden="1" spans="1:3">
      <c r="A166" s="11">
        <v>201901</v>
      </c>
      <c r="B166" s="11" t="s">
        <v>251</v>
      </c>
      <c r="C166" s="12">
        <v>5</v>
      </c>
    </row>
    <row r="167" spans="1:3">
      <c r="A167" s="11">
        <v>201902</v>
      </c>
      <c r="B167" s="11" t="s">
        <v>251</v>
      </c>
      <c r="C167" s="12">
        <v>6</v>
      </c>
    </row>
    <row r="168" hidden="1" spans="1:3">
      <c r="A168" s="11">
        <v>201903</v>
      </c>
      <c r="B168" s="11" t="s">
        <v>251</v>
      </c>
      <c r="C168" s="12">
        <v>7</v>
      </c>
    </row>
    <row r="169" hidden="1" spans="1:3">
      <c r="A169" s="11">
        <v>201904</v>
      </c>
      <c r="B169" s="11" t="s">
        <v>251</v>
      </c>
      <c r="C169" s="12">
        <v>8</v>
      </c>
    </row>
    <row r="170" hidden="1" spans="1:3">
      <c r="A170" s="11">
        <v>201905</v>
      </c>
      <c r="B170" s="11" t="s">
        <v>251</v>
      </c>
      <c r="C170" s="12">
        <v>9</v>
      </c>
    </row>
    <row r="171" hidden="1" spans="1:3">
      <c r="A171" s="11">
        <v>201906</v>
      </c>
      <c r="B171" s="11" t="s">
        <v>251</v>
      </c>
      <c r="C171" s="12">
        <v>10</v>
      </c>
    </row>
    <row r="172" hidden="1" spans="1:3">
      <c r="A172" s="11">
        <v>201907</v>
      </c>
      <c r="B172" s="11" t="s">
        <v>251</v>
      </c>
      <c r="C172" s="12" t="s">
        <v>274</v>
      </c>
    </row>
    <row r="173" hidden="1" spans="1:3">
      <c r="A173" s="11">
        <v>201908</v>
      </c>
      <c r="B173" s="11" t="s">
        <v>251</v>
      </c>
      <c r="C173" s="12" t="s">
        <v>258</v>
      </c>
    </row>
    <row r="174" hidden="1" spans="1:3">
      <c r="A174" s="11">
        <v>201909</v>
      </c>
      <c r="B174" s="11" t="s">
        <v>251</v>
      </c>
      <c r="C174" s="12" t="s">
        <v>259</v>
      </c>
    </row>
    <row r="175" hidden="1" spans="1:3">
      <c r="A175" s="21">
        <v>202001</v>
      </c>
      <c r="B175" s="21" t="s">
        <v>57</v>
      </c>
      <c r="C175" s="60">
        <v>5</v>
      </c>
    </row>
    <row r="176" spans="1:3">
      <c r="A176" s="21">
        <v>202002</v>
      </c>
      <c r="B176" s="21" t="s">
        <v>57</v>
      </c>
      <c r="C176" s="21">
        <v>6</v>
      </c>
    </row>
    <row r="177" hidden="1" spans="1:3">
      <c r="A177" s="21">
        <v>202003</v>
      </c>
      <c r="B177" s="21" t="s">
        <v>57</v>
      </c>
      <c r="C177" s="60">
        <v>7</v>
      </c>
    </row>
    <row r="178" hidden="1" spans="1:3">
      <c r="A178" s="21">
        <v>202004</v>
      </c>
      <c r="B178" s="21" t="s">
        <v>57</v>
      </c>
      <c r="C178" s="60">
        <v>8</v>
      </c>
    </row>
    <row r="179" hidden="1" spans="1:3">
      <c r="A179" s="21">
        <v>202005</v>
      </c>
      <c r="B179" s="21" t="s">
        <v>57</v>
      </c>
      <c r="C179" s="60">
        <v>9</v>
      </c>
    </row>
    <row r="180" hidden="1" spans="1:3">
      <c r="A180" s="21">
        <v>202006</v>
      </c>
      <c r="B180" s="21" t="s">
        <v>57</v>
      </c>
      <c r="C180" s="60">
        <v>10</v>
      </c>
    </row>
    <row r="181" hidden="1" spans="1:3">
      <c r="A181" s="21">
        <v>202007</v>
      </c>
      <c r="B181" s="21" t="s">
        <v>57</v>
      </c>
      <c r="C181" s="61" t="s">
        <v>257</v>
      </c>
    </row>
    <row r="182" hidden="1" spans="1:3">
      <c r="A182" s="21">
        <v>202008</v>
      </c>
      <c r="B182" s="21" t="s">
        <v>57</v>
      </c>
      <c r="C182" s="61" t="s">
        <v>258</v>
      </c>
    </row>
    <row r="183" hidden="1" spans="1:3">
      <c r="A183" s="21">
        <v>202009</v>
      </c>
      <c r="B183" s="21" t="s">
        <v>57</v>
      </c>
      <c r="C183" s="61" t="s">
        <v>259</v>
      </c>
    </row>
    <row r="184" hidden="1" spans="1:3">
      <c r="A184" s="22">
        <v>202101</v>
      </c>
      <c r="B184" s="22" t="s">
        <v>65</v>
      </c>
      <c r="C184" s="62">
        <v>5</v>
      </c>
    </row>
    <row r="185" spans="1:3">
      <c r="A185" s="22">
        <v>202102</v>
      </c>
      <c r="B185" s="22" t="s">
        <v>65</v>
      </c>
      <c r="C185" s="62">
        <v>6</v>
      </c>
    </row>
    <row r="186" hidden="1" spans="1:3">
      <c r="A186" s="22">
        <v>202103</v>
      </c>
      <c r="B186" s="22" t="s">
        <v>65</v>
      </c>
      <c r="C186" s="62">
        <v>7</v>
      </c>
    </row>
    <row r="187" hidden="1" spans="1:3">
      <c r="A187" s="22">
        <v>202104</v>
      </c>
      <c r="B187" s="22" t="s">
        <v>65</v>
      </c>
      <c r="C187" s="62">
        <v>8</v>
      </c>
    </row>
    <row r="188" hidden="1" spans="1:3">
      <c r="A188" s="22">
        <v>202105</v>
      </c>
      <c r="B188" s="22" t="s">
        <v>65</v>
      </c>
      <c r="C188" s="62">
        <v>9</v>
      </c>
    </row>
    <row r="189" hidden="1" spans="1:3">
      <c r="A189" s="22">
        <v>202106</v>
      </c>
      <c r="B189" s="22" t="s">
        <v>65</v>
      </c>
      <c r="C189" s="22">
        <v>10</v>
      </c>
    </row>
    <row r="190" hidden="1" spans="1:3">
      <c r="A190" s="22">
        <v>202107</v>
      </c>
      <c r="B190" s="22" t="s">
        <v>65</v>
      </c>
      <c r="C190" s="22">
        <v>11</v>
      </c>
    </row>
    <row r="191" hidden="1" spans="1:3">
      <c r="A191" s="22">
        <v>202108</v>
      </c>
      <c r="B191" s="22" t="s">
        <v>65</v>
      </c>
      <c r="C191" s="22">
        <v>12</v>
      </c>
    </row>
    <row r="192" hidden="1" spans="1:3">
      <c r="A192" s="22">
        <v>202109</v>
      </c>
      <c r="B192" s="22" t="s">
        <v>65</v>
      </c>
      <c r="C192" s="22">
        <v>13</v>
      </c>
    </row>
    <row r="193" hidden="1" spans="1:3">
      <c r="A193" s="23">
        <v>202201</v>
      </c>
      <c r="B193" s="23" t="s">
        <v>67</v>
      </c>
      <c r="C193" s="2">
        <v>5</v>
      </c>
    </row>
    <row r="194" spans="1:3">
      <c r="A194" s="23">
        <v>202202</v>
      </c>
      <c r="B194" s="23" t="s">
        <v>67</v>
      </c>
      <c r="C194" s="2">
        <v>6</v>
      </c>
    </row>
    <row r="195" hidden="1" spans="1:3">
      <c r="A195" s="23">
        <v>202203</v>
      </c>
      <c r="B195" s="23" t="s">
        <v>67</v>
      </c>
      <c r="C195" s="2">
        <v>7</v>
      </c>
    </row>
    <row r="196" hidden="1" spans="1:3">
      <c r="A196" s="23">
        <v>202204</v>
      </c>
      <c r="B196" s="23" t="s">
        <v>67</v>
      </c>
      <c r="C196" s="2">
        <v>8</v>
      </c>
    </row>
    <row r="197" hidden="1" spans="1:3">
      <c r="A197" s="23">
        <v>202205</v>
      </c>
      <c r="B197" s="23" t="s">
        <v>67</v>
      </c>
      <c r="C197" s="2">
        <v>9</v>
      </c>
    </row>
    <row r="198" hidden="1" spans="1:3">
      <c r="A198" s="23">
        <v>202206</v>
      </c>
      <c r="B198" s="23" t="s">
        <v>67</v>
      </c>
      <c r="C198" s="23">
        <v>10</v>
      </c>
    </row>
    <row r="199" hidden="1" spans="1:3">
      <c r="A199" s="23">
        <v>202207</v>
      </c>
      <c r="B199" s="23" t="s">
        <v>67</v>
      </c>
      <c r="C199" s="23">
        <v>11</v>
      </c>
    </row>
    <row r="200" hidden="1" spans="1:3">
      <c r="A200" s="23">
        <v>202208</v>
      </c>
      <c r="B200" s="23" t="s">
        <v>67</v>
      </c>
      <c r="C200" s="23">
        <v>12</v>
      </c>
    </row>
    <row r="201" hidden="1" spans="1:3">
      <c r="A201" s="23">
        <v>202209</v>
      </c>
      <c r="B201" s="23" t="s">
        <v>67</v>
      </c>
      <c r="C201" s="23">
        <v>13</v>
      </c>
    </row>
    <row r="202" hidden="1" spans="1:3">
      <c r="A202" s="22">
        <v>202301</v>
      </c>
      <c r="B202" s="24" t="s">
        <v>119</v>
      </c>
      <c r="C202" s="22">
        <v>5</v>
      </c>
    </row>
    <row r="203" spans="1:3">
      <c r="A203" s="22">
        <v>202302</v>
      </c>
      <c r="B203" s="24" t="s">
        <v>119</v>
      </c>
      <c r="C203" s="22">
        <v>6</v>
      </c>
    </row>
    <row r="204" hidden="1" spans="1:3">
      <c r="A204" s="22">
        <v>202303</v>
      </c>
      <c r="B204" s="24" t="s">
        <v>119</v>
      </c>
      <c r="C204" s="22">
        <v>7</v>
      </c>
    </row>
    <row r="205" hidden="1" spans="1:3">
      <c r="A205" s="22">
        <v>202304</v>
      </c>
      <c r="B205" s="24" t="s">
        <v>119</v>
      </c>
      <c r="C205" s="22">
        <v>8</v>
      </c>
    </row>
    <row r="206" hidden="1" spans="1:3">
      <c r="A206" s="22">
        <v>202305</v>
      </c>
      <c r="B206" s="24" t="s">
        <v>119</v>
      </c>
      <c r="C206" s="22">
        <v>9</v>
      </c>
    </row>
    <row r="207" hidden="1" spans="1:3">
      <c r="A207" s="22">
        <v>202306</v>
      </c>
      <c r="B207" s="24" t="s">
        <v>119</v>
      </c>
      <c r="C207" s="22">
        <v>10</v>
      </c>
    </row>
    <row r="208" hidden="1" spans="1:3">
      <c r="A208" s="22">
        <v>202307</v>
      </c>
      <c r="B208" s="24" t="s">
        <v>119</v>
      </c>
      <c r="C208" s="22">
        <v>11</v>
      </c>
    </row>
    <row r="209" hidden="1" spans="1:3">
      <c r="A209" s="22">
        <v>202308</v>
      </c>
      <c r="B209" s="24" t="s">
        <v>119</v>
      </c>
      <c r="C209" s="22">
        <v>12</v>
      </c>
    </row>
    <row r="210" hidden="1" spans="1:3">
      <c r="A210" s="22">
        <v>202309</v>
      </c>
      <c r="B210" s="24" t="s">
        <v>119</v>
      </c>
      <c r="C210" s="22">
        <v>13</v>
      </c>
    </row>
    <row r="211" hidden="1" spans="1:3">
      <c r="A211" s="63">
        <v>202401</v>
      </c>
      <c r="B211" s="25" t="s">
        <v>117</v>
      </c>
      <c r="C211" s="63">
        <v>5</v>
      </c>
    </row>
    <row r="212" spans="1:3">
      <c r="A212" s="63">
        <v>202402</v>
      </c>
      <c r="B212" s="25" t="s">
        <v>117</v>
      </c>
      <c r="C212" s="63">
        <v>6</v>
      </c>
    </row>
    <row r="213" hidden="1" spans="1:3">
      <c r="A213" s="63">
        <v>202403</v>
      </c>
      <c r="B213" s="25" t="s">
        <v>117</v>
      </c>
      <c r="C213" s="63">
        <v>7</v>
      </c>
    </row>
    <row r="214" hidden="1" spans="1:3">
      <c r="A214" s="63">
        <v>202404</v>
      </c>
      <c r="B214" s="25" t="s">
        <v>117</v>
      </c>
      <c r="C214" s="63">
        <v>8</v>
      </c>
    </row>
    <row r="215" hidden="1" spans="1:3">
      <c r="A215" s="63">
        <v>202405</v>
      </c>
      <c r="B215" s="25" t="s">
        <v>117</v>
      </c>
      <c r="C215" s="63">
        <v>9</v>
      </c>
    </row>
    <row r="216" hidden="1" spans="1:3">
      <c r="A216" s="63">
        <v>202406</v>
      </c>
      <c r="B216" s="25" t="s">
        <v>117</v>
      </c>
      <c r="C216" s="63">
        <v>10</v>
      </c>
    </row>
    <row r="217" hidden="1" spans="1:3">
      <c r="A217" s="63">
        <v>202407</v>
      </c>
      <c r="B217" s="25" t="s">
        <v>117</v>
      </c>
      <c r="C217" s="63" t="s">
        <v>274</v>
      </c>
    </row>
    <row r="218" hidden="1" spans="1:3">
      <c r="A218" s="63">
        <v>202408</v>
      </c>
      <c r="B218" s="25" t="s">
        <v>117</v>
      </c>
      <c r="C218" s="63" t="s">
        <v>258</v>
      </c>
    </row>
    <row r="219" hidden="1" spans="1:3">
      <c r="A219" s="63">
        <v>202409</v>
      </c>
      <c r="B219" s="25" t="s">
        <v>117</v>
      </c>
      <c r="C219" s="63" t="s">
        <v>259</v>
      </c>
    </row>
    <row r="220" hidden="1" spans="1:3">
      <c r="A220" s="26">
        <v>300101</v>
      </c>
      <c r="B220" s="26" t="s">
        <v>275</v>
      </c>
      <c r="C220" s="64">
        <v>1</v>
      </c>
    </row>
    <row r="221" hidden="1" spans="1:3">
      <c r="A221" s="11">
        <v>300201</v>
      </c>
      <c r="B221" s="11" t="s">
        <v>276</v>
      </c>
      <c r="C221" s="12">
        <v>2</v>
      </c>
    </row>
    <row r="222" hidden="1" spans="1:3">
      <c r="A222" s="26">
        <v>300301</v>
      </c>
      <c r="B222" s="26" t="s">
        <v>277</v>
      </c>
      <c r="C222" s="64">
        <v>2</v>
      </c>
    </row>
    <row r="223" hidden="1" spans="1:3">
      <c r="A223" s="26">
        <v>300401</v>
      </c>
      <c r="B223" s="26" t="s">
        <v>278</v>
      </c>
      <c r="C223" s="64">
        <v>3</v>
      </c>
    </row>
    <row r="224" hidden="1" spans="1:3">
      <c r="A224" s="11">
        <v>300501</v>
      </c>
      <c r="B224" s="11" t="s">
        <v>279</v>
      </c>
      <c r="C224" s="12">
        <v>3</v>
      </c>
    </row>
    <row r="225" hidden="1" spans="1:3">
      <c r="A225" s="11">
        <v>300601</v>
      </c>
      <c r="B225" s="11" t="s">
        <v>280</v>
      </c>
      <c r="C225" s="12">
        <v>3</v>
      </c>
    </row>
    <row r="226" hidden="1" spans="1:3">
      <c r="A226" s="26">
        <v>300701</v>
      </c>
      <c r="B226" s="26" t="s">
        <v>281</v>
      </c>
      <c r="C226" s="64">
        <v>3</v>
      </c>
    </row>
    <row r="227" hidden="1" spans="1:3">
      <c r="A227" s="11">
        <v>300801</v>
      </c>
      <c r="B227" s="11" t="s">
        <v>282</v>
      </c>
      <c r="C227" s="65">
        <v>3</v>
      </c>
    </row>
    <row r="228" hidden="1" spans="1:3">
      <c r="A228" s="11">
        <v>300901</v>
      </c>
      <c r="B228" s="11" t="s">
        <v>283</v>
      </c>
      <c r="C228" s="12">
        <v>4</v>
      </c>
    </row>
    <row r="229" hidden="1" spans="1:3">
      <c r="A229" s="11">
        <v>300902</v>
      </c>
      <c r="B229" s="11" t="s">
        <v>283</v>
      </c>
      <c r="C229" s="12">
        <v>5</v>
      </c>
    </row>
    <row r="230" hidden="1" spans="1:3">
      <c r="A230" s="26">
        <v>301001</v>
      </c>
      <c r="B230" s="26" t="s">
        <v>284</v>
      </c>
      <c r="C230" s="64">
        <v>4</v>
      </c>
    </row>
    <row r="231" hidden="1" spans="1:3">
      <c r="A231" s="26">
        <v>301002</v>
      </c>
      <c r="B231" s="26" t="s">
        <v>284</v>
      </c>
      <c r="C231" s="64">
        <v>5</v>
      </c>
    </row>
    <row r="232" hidden="1" spans="1:3">
      <c r="A232" s="27">
        <v>301101</v>
      </c>
      <c r="B232" s="66" t="s">
        <v>285</v>
      </c>
      <c r="C232" s="67">
        <v>4</v>
      </c>
    </row>
    <row r="233" hidden="1" spans="1:3">
      <c r="A233" s="27">
        <v>301102</v>
      </c>
      <c r="B233" s="66" t="s">
        <v>285</v>
      </c>
      <c r="C233" s="67">
        <v>5</v>
      </c>
    </row>
    <row r="234" hidden="1" spans="1:3">
      <c r="A234" s="26">
        <v>301201</v>
      </c>
      <c r="B234" s="26" t="s">
        <v>286</v>
      </c>
      <c r="C234" s="64">
        <v>4</v>
      </c>
    </row>
    <row r="235" hidden="1" spans="1:3">
      <c r="A235" s="26">
        <v>301202</v>
      </c>
      <c r="B235" s="26" t="s">
        <v>286</v>
      </c>
      <c r="C235" s="64">
        <v>5</v>
      </c>
    </row>
    <row r="236" hidden="1" spans="1:3">
      <c r="A236" s="11">
        <v>301301</v>
      </c>
      <c r="B236" s="11" t="s">
        <v>287</v>
      </c>
      <c r="C236" s="12">
        <v>4</v>
      </c>
    </row>
    <row r="237" hidden="1" spans="1:3">
      <c r="A237" s="11">
        <v>301302</v>
      </c>
      <c r="B237" s="11" t="s">
        <v>287</v>
      </c>
      <c r="C237" s="12">
        <v>5</v>
      </c>
    </row>
    <row r="238" hidden="1" spans="1:3">
      <c r="A238" s="26">
        <v>301401</v>
      </c>
      <c r="B238" s="26" t="s">
        <v>75</v>
      </c>
      <c r="C238" s="64">
        <v>5</v>
      </c>
    </row>
    <row r="239" spans="1:3">
      <c r="A239" s="26">
        <v>301402</v>
      </c>
      <c r="B239" s="26" t="s">
        <v>75</v>
      </c>
      <c r="C239" s="64">
        <v>6</v>
      </c>
    </row>
    <row r="240" hidden="1" spans="1:3">
      <c r="A240" s="26">
        <v>301403</v>
      </c>
      <c r="B240" s="26" t="s">
        <v>75</v>
      </c>
      <c r="C240" s="64">
        <v>7</v>
      </c>
    </row>
    <row r="241" hidden="1" spans="1:3">
      <c r="A241" s="26">
        <v>301404</v>
      </c>
      <c r="B241" s="26" t="s">
        <v>75</v>
      </c>
      <c r="C241" s="64">
        <v>8</v>
      </c>
    </row>
    <row r="242" hidden="1" spans="1:3">
      <c r="A242" s="26">
        <v>301405</v>
      </c>
      <c r="B242" s="26" t="s">
        <v>75</v>
      </c>
      <c r="C242" s="64">
        <v>9</v>
      </c>
    </row>
    <row r="243" hidden="1" spans="1:3">
      <c r="A243" s="26">
        <v>301406</v>
      </c>
      <c r="B243" s="26" t="s">
        <v>75</v>
      </c>
      <c r="C243" s="64">
        <v>10</v>
      </c>
    </row>
    <row r="244" hidden="1" spans="1:3">
      <c r="A244" s="26">
        <v>301407</v>
      </c>
      <c r="B244" s="26" t="s">
        <v>75</v>
      </c>
      <c r="C244" s="68" t="s">
        <v>257</v>
      </c>
    </row>
    <row r="245" hidden="1" spans="1:3">
      <c r="A245" s="26">
        <v>301408</v>
      </c>
      <c r="B245" s="26" t="s">
        <v>75</v>
      </c>
      <c r="C245" s="68" t="s">
        <v>258</v>
      </c>
    </row>
    <row r="246" hidden="1" spans="1:3">
      <c r="A246" s="26">
        <v>301409</v>
      </c>
      <c r="B246" s="26" t="s">
        <v>75</v>
      </c>
      <c r="C246" s="68" t="s">
        <v>259</v>
      </c>
    </row>
    <row r="247" hidden="1" spans="1:3">
      <c r="A247" s="27">
        <v>301501</v>
      </c>
      <c r="B247" s="27" t="s">
        <v>81</v>
      </c>
      <c r="C247" s="67">
        <v>5</v>
      </c>
    </row>
    <row r="248" spans="1:3">
      <c r="A248" s="27">
        <v>301502</v>
      </c>
      <c r="B248" s="27" t="s">
        <v>81</v>
      </c>
      <c r="C248" s="67">
        <v>6</v>
      </c>
    </row>
    <row r="249" hidden="1" spans="1:3">
      <c r="A249" s="27">
        <v>301503</v>
      </c>
      <c r="B249" s="27" t="s">
        <v>81</v>
      </c>
      <c r="C249" s="67">
        <v>7</v>
      </c>
    </row>
    <row r="250" hidden="1" spans="1:3">
      <c r="A250" s="27">
        <v>301504</v>
      </c>
      <c r="B250" s="27" t="s">
        <v>81</v>
      </c>
      <c r="C250" s="67">
        <v>8</v>
      </c>
    </row>
    <row r="251" hidden="1" spans="1:3">
      <c r="A251" s="27">
        <v>301505</v>
      </c>
      <c r="B251" s="27" t="s">
        <v>81</v>
      </c>
      <c r="C251" s="67">
        <v>9</v>
      </c>
    </row>
    <row r="252" hidden="1" spans="1:3">
      <c r="A252" s="27">
        <v>301506</v>
      </c>
      <c r="B252" s="27" t="s">
        <v>81</v>
      </c>
      <c r="C252" s="67">
        <v>10</v>
      </c>
    </row>
    <row r="253" hidden="1" spans="1:3">
      <c r="A253" s="27">
        <v>301507</v>
      </c>
      <c r="B253" s="27" t="s">
        <v>81</v>
      </c>
      <c r="C253" s="69" t="s">
        <v>257</v>
      </c>
    </row>
    <row r="254" hidden="1" spans="1:3">
      <c r="A254" s="27">
        <v>301508</v>
      </c>
      <c r="B254" s="27" t="s">
        <v>81</v>
      </c>
      <c r="C254" s="69" t="s">
        <v>258</v>
      </c>
    </row>
    <row r="255" hidden="1" spans="1:3">
      <c r="A255" s="27">
        <v>301509</v>
      </c>
      <c r="B255" s="27" t="s">
        <v>81</v>
      </c>
      <c r="C255" s="69" t="s">
        <v>259</v>
      </c>
    </row>
    <row r="256" hidden="1" spans="1:3">
      <c r="A256" s="26">
        <v>301601</v>
      </c>
      <c r="B256" s="26" t="s">
        <v>85</v>
      </c>
      <c r="C256" s="64">
        <v>5</v>
      </c>
    </row>
    <row r="257" spans="1:3">
      <c r="A257" s="26">
        <v>301602</v>
      </c>
      <c r="B257" s="26" t="s">
        <v>85</v>
      </c>
      <c r="C257" s="64">
        <v>6</v>
      </c>
    </row>
    <row r="258" hidden="1" spans="1:3">
      <c r="A258" s="26">
        <v>301603</v>
      </c>
      <c r="B258" s="26" t="s">
        <v>85</v>
      </c>
      <c r="C258" s="64">
        <v>7</v>
      </c>
    </row>
    <row r="259" hidden="1" spans="1:3">
      <c r="A259" s="26">
        <v>301604</v>
      </c>
      <c r="B259" s="26" t="s">
        <v>85</v>
      </c>
      <c r="C259" s="64">
        <v>8</v>
      </c>
    </row>
    <row r="260" hidden="1" spans="1:3">
      <c r="A260" s="26">
        <v>301605</v>
      </c>
      <c r="B260" s="26" t="s">
        <v>85</v>
      </c>
      <c r="C260" s="64">
        <v>9</v>
      </c>
    </row>
    <row r="261" hidden="1" spans="1:3">
      <c r="A261" s="26">
        <v>301606</v>
      </c>
      <c r="B261" s="26" t="s">
        <v>85</v>
      </c>
      <c r="C261" s="64">
        <v>10</v>
      </c>
    </row>
    <row r="262" hidden="1" spans="1:3">
      <c r="A262" s="26">
        <v>301607</v>
      </c>
      <c r="B262" s="26" t="s">
        <v>85</v>
      </c>
      <c r="C262" s="68" t="s">
        <v>257</v>
      </c>
    </row>
    <row r="263" hidden="1" spans="1:3">
      <c r="A263" s="26">
        <v>301608</v>
      </c>
      <c r="B263" s="26" t="s">
        <v>85</v>
      </c>
      <c r="C263" s="68" t="s">
        <v>258</v>
      </c>
    </row>
    <row r="264" hidden="1" spans="1:3">
      <c r="A264" s="26">
        <v>301609</v>
      </c>
      <c r="B264" s="26" t="s">
        <v>85</v>
      </c>
      <c r="C264" s="68" t="s">
        <v>259</v>
      </c>
    </row>
    <row r="265" hidden="1" spans="1:3">
      <c r="A265" s="28">
        <v>301701</v>
      </c>
      <c r="B265" s="28" t="s">
        <v>87</v>
      </c>
      <c r="C265" s="70">
        <v>5</v>
      </c>
    </row>
    <row r="266" spans="1:3">
      <c r="A266" s="28">
        <v>301702</v>
      </c>
      <c r="B266" s="28" t="s">
        <v>87</v>
      </c>
      <c r="C266" s="70">
        <v>6</v>
      </c>
    </row>
    <row r="267" hidden="1" spans="1:3">
      <c r="A267" s="28">
        <v>301703</v>
      </c>
      <c r="B267" s="28" t="s">
        <v>87</v>
      </c>
      <c r="C267" s="70">
        <v>7</v>
      </c>
    </row>
    <row r="268" hidden="1" spans="1:3">
      <c r="A268" s="28">
        <v>301704</v>
      </c>
      <c r="B268" s="28" t="s">
        <v>87</v>
      </c>
      <c r="C268" s="70">
        <v>8</v>
      </c>
    </row>
    <row r="269" hidden="1" spans="1:3">
      <c r="A269" s="28">
        <v>301705</v>
      </c>
      <c r="B269" s="28" t="s">
        <v>87</v>
      </c>
      <c r="C269" s="70">
        <v>9</v>
      </c>
    </row>
    <row r="270" hidden="1" spans="1:3">
      <c r="A270" s="28">
        <v>301706</v>
      </c>
      <c r="B270" s="28" t="s">
        <v>87</v>
      </c>
      <c r="C270" s="70">
        <v>10</v>
      </c>
    </row>
    <row r="271" hidden="1" spans="1:3">
      <c r="A271" s="28">
        <v>301707</v>
      </c>
      <c r="B271" s="28" t="s">
        <v>87</v>
      </c>
      <c r="C271" s="71" t="s">
        <v>257</v>
      </c>
    </row>
    <row r="272" hidden="1" spans="1:3">
      <c r="A272" s="28">
        <v>301708</v>
      </c>
      <c r="B272" s="28" t="s">
        <v>87</v>
      </c>
      <c r="C272" s="71" t="s">
        <v>258</v>
      </c>
    </row>
    <row r="273" hidden="1" spans="1:3">
      <c r="A273" s="28">
        <v>301709</v>
      </c>
      <c r="B273" s="28" t="s">
        <v>87</v>
      </c>
      <c r="C273" s="71" t="s">
        <v>259</v>
      </c>
    </row>
    <row r="274" hidden="1" spans="1:3">
      <c r="A274" s="27">
        <v>301801</v>
      </c>
      <c r="B274" s="27" t="s">
        <v>73</v>
      </c>
      <c r="C274" s="67">
        <v>5</v>
      </c>
    </row>
    <row r="275" spans="1:3">
      <c r="A275" s="27">
        <v>301802</v>
      </c>
      <c r="B275" s="27" t="s">
        <v>73</v>
      </c>
      <c r="C275" s="67">
        <v>6</v>
      </c>
    </row>
    <row r="276" hidden="1" spans="1:3">
      <c r="A276" s="27">
        <v>301803</v>
      </c>
      <c r="B276" s="27" t="s">
        <v>73</v>
      </c>
      <c r="C276" s="67">
        <v>7</v>
      </c>
    </row>
    <row r="277" hidden="1" spans="1:3">
      <c r="A277" s="27">
        <v>301804</v>
      </c>
      <c r="B277" s="27" t="s">
        <v>73</v>
      </c>
      <c r="C277" s="67">
        <v>8</v>
      </c>
    </row>
    <row r="278" hidden="1" spans="1:3">
      <c r="A278" s="27">
        <v>301805</v>
      </c>
      <c r="B278" s="27" t="s">
        <v>73</v>
      </c>
      <c r="C278" s="67">
        <v>9</v>
      </c>
    </row>
    <row r="279" hidden="1" spans="1:3">
      <c r="A279" s="27">
        <v>301806</v>
      </c>
      <c r="B279" s="27" t="s">
        <v>73</v>
      </c>
      <c r="C279" s="27">
        <v>10</v>
      </c>
    </row>
    <row r="280" hidden="1" spans="1:3">
      <c r="A280" s="27">
        <v>301807</v>
      </c>
      <c r="B280" s="27" t="s">
        <v>73</v>
      </c>
      <c r="C280" s="27">
        <v>11</v>
      </c>
    </row>
    <row r="281" hidden="1" spans="1:3">
      <c r="A281" s="27">
        <v>301808</v>
      </c>
      <c r="B281" s="27" t="s">
        <v>73</v>
      </c>
      <c r="C281" s="27">
        <v>12</v>
      </c>
    </row>
    <row r="282" hidden="1" spans="1:3">
      <c r="A282" s="27">
        <v>301809</v>
      </c>
      <c r="B282" s="27" t="s">
        <v>73</v>
      </c>
      <c r="C282" s="27">
        <v>13</v>
      </c>
    </row>
    <row r="283" hidden="1" spans="1:3">
      <c r="A283" s="26">
        <v>301901</v>
      </c>
      <c r="B283" s="26" t="s">
        <v>71</v>
      </c>
      <c r="C283" s="64">
        <v>5</v>
      </c>
    </row>
    <row r="284" spans="1:3">
      <c r="A284" s="26">
        <v>301902</v>
      </c>
      <c r="B284" s="26" t="s">
        <v>71</v>
      </c>
      <c r="C284" s="64">
        <v>6</v>
      </c>
    </row>
    <row r="285" hidden="1" spans="1:3">
      <c r="A285" s="26">
        <v>301903</v>
      </c>
      <c r="B285" s="26" t="s">
        <v>71</v>
      </c>
      <c r="C285" s="64">
        <v>7</v>
      </c>
    </row>
    <row r="286" hidden="1" spans="1:3">
      <c r="A286" s="26">
        <v>301904</v>
      </c>
      <c r="B286" s="26" t="s">
        <v>71</v>
      </c>
      <c r="C286" s="64">
        <v>8</v>
      </c>
    </row>
    <row r="287" hidden="1" spans="1:3">
      <c r="A287" s="26">
        <v>301905</v>
      </c>
      <c r="B287" s="26" t="s">
        <v>71</v>
      </c>
      <c r="C287" s="64">
        <v>9</v>
      </c>
    </row>
    <row r="288" hidden="1" spans="1:3">
      <c r="A288" s="26">
        <v>301906</v>
      </c>
      <c r="B288" s="26" t="s">
        <v>71</v>
      </c>
      <c r="C288" s="64" t="s">
        <v>273</v>
      </c>
    </row>
    <row r="289" hidden="1" spans="1:3">
      <c r="A289" s="26">
        <v>301907</v>
      </c>
      <c r="B289" s="26" t="s">
        <v>71</v>
      </c>
      <c r="C289" s="68" t="s">
        <v>257</v>
      </c>
    </row>
    <row r="290" hidden="1" spans="1:3">
      <c r="A290" s="26">
        <v>301908</v>
      </c>
      <c r="B290" s="26" t="s">
        <v>71</v>
      </c>
      <c r="C290" s="68" t="s">
        <v>258</v>
      </c>
    </row>
    <row r="291" hidden="1" spans="1:3">
      <c r="A291" s="26">
        <v>301909</v>
      </c>
      <c r="B291" s="26" t="s">
        <v>71</v>
      </c>
      <c r="C291" s="68" t="s">
        <v>259</v>
      </c>
    </row>
    <row r="292" hidden="1" spans="1:3">
      <c r="A292" s="27">
        <v>302001</v>
      </c>
      <c r="B292" s="27" t="s">
        <v>83</v>
      </c>
      <c r="C292" s="67">
        <v>5</v>
      </c>
    </row>
    <row r="293" spans="1:3">
      <c r="A293" s="27">
        <v>302002</v>
      </c>
      <c r="B293" s="27" t="s">
        <v>83</v>
      </c>
      <c r="C293" s="67">
        <v>6</v>
      </c>
    </row>
    <row r="294" hidden="1" spans="1:3">
      <c r="A294" s="27">
        <v>302003</v>
      </c>
      <c r="B294" s="27" t="s">
        <v>83</v>
      </c>
      <c r="C294" s="67">
        <v>7</v>
      </c>
    </row>
    <row r="295" hidden="1" spans="1:3">
      <c r="A295" s="27">
        <v>302004</v>
      </c>
      <c r="B295" s="27" t="s">
        <v>83</v>
      </c>
      <c r="C295" s="67">
        <v>8</v>
      </c>
    </row>
    <row r="296" hidden="1" spans="1:3">
      <c r="A296" s="27">
        <v>302005</v>
      </c>
      <c r="B296" s="27" t="s">
        <v>83</v>
      </c>
      <c r="C296" s="67">
        <v>9</v>
      </c>
    </row>
    <row r="297" hidden="1" spans="1:3">
      <c r="A297" s="27">
        <v>302006</v>
      </c>
      <c r="B297" s="27" t="s">
        <v>83</v>
      </c>
      <c r="C297" s="67">
        <v>10</v>
      </c>
    </row>
    <row r="298" hidden="1" spans="1:3">
      <c r="A298" s="27">
        <v>302007</v>
      </c>
      <c r="B298" s="27" t="s">
        <v>83</v>
      </c>
      <c r="C298" s="69" t="s">
        <v>257</v>
      </c>
    </row>
    <row r="299" hidden="1" spans="1:3">
      <c r="A299" s="27">
        <v>302008</v>
      </c>
      <c r="B299" s="27" t="s">
        <v>83</v>
      </c>
      <c r="C299" s="69" t="s">
        <v>258</v>
      </c>
    </row>
    <row r="300" hidden="1" spans="1:3">
      <c r="A300" s="27">
        <v>302009</v>
      </c>
      <c r="B300" s="27" t="s">
        <v>83</v>
      </c>
      <c r="C300" s="69" t="s">
        <v>259</v>
      </c>
    </row>
    <row r="301" hidden="1" spans="1:3">
      <c r="A301" s="26">
        <v>302101</v>
      </c>
      <c r="B301" s="26" t="s">
        <v>77</v>
      </c>
      <c r="C301" s="64">
        <v>5</v>
      </c>
    </row>
    <row r="302" spans="1:3">
      <c r="A302" s="26">
        <v>302102</v>
      </c>
      <c r="B302" s="26" t="s">
        <v>77</v>
      </c>
      <c r="C302" s="64">
        <v>6</v>
      </c>
    </row>
    <row r="303" hidden="1" spans="1:3">
      <c r="A303" s="26">
        <v>302103</v>
      </c>
      <c r="B303" s="26" t="s">
        <v>77</v>
      </c>
      <c r="C303" s="64">
        <v>7</v>
      </c>
    </row>
    <row r="304" hidden="1" spans="1:3">
      <c r="A304" s="26">
        <v>302104</v>
      </c>
      <c r="B304" s="26" t="s">
        <v>77</v>
      </c>
      <c r="C304" s="64">
        <v>8</v>
      </c>
    </row>
    <row r="305" hidden="1" spans="1:3">
      <c r="A305" s="26">
        <v>302105</v>
      </c>
      <c r="B305" s="26" t="s">
        <v>77</v>
      </c>
      <c r="C305" s="64">
        <v>9</v>
      </c>
    </row>
    <row r="306" hidden="1" spans="1:3">
      <c r="A306" s="72">
        <v>302106</v>
      </c>
      <c r="B306" s="72" t="s">
        <v>77</v>
      </c>
      <c r="C306" s="72">
        <v>10</v>
      </c>
    </row>
    <row r="307" hidden="1" spans="1:3">
      <c r="A307" s="72">
        <v>302107</v>
      </c>
      <c r="B307" s="72" t="s">
        <v>77</v>
      </c>
      <c r="C307" s="72">
        <v>11</v>
      </c>
    </row>
    <row r="308" hidden="1" spans="1:3">
      <c r="A308" s="72">
        <v>302108</v>
      </c>
      <c r="B308" s="72" t="s">
        <v>77</v>
      </c>
      <c r="C308" s="72">
        <v>12</v>
      </c>
    </row>
    <row r="309" hidden="1" spans="1:3">
      <c r="A309" s="72">
        <v>302109</v>
      </c>
      <c r="B309" s="72" t="s">
        <v>77</v>
      </c>
      <c r="C309" s="72">
        <v>13</v>
      </c>
    </row>
    <row r="310" hidden="1" spans="1:3">
      <c r="A310" s="31">
        <v>302201</v>
      </c>
      <c r="B310" s="31" t="s">
        <v>79</v>
      </c>
      <c r="C310" s="73">
        <v>5</v>
      </c>
    </row>
    <row r="311" spans="1:3">
      <c r="A311" s="31">
        <v>302202</v>
      </c>
      <c r="B311" s="31" t="s">
        <v>79</v>
      </c>
      <c r="C311" s="73">
        <v>6</v>
      </c>
    </row>
    <row r="312" hidden="1" spans="1:3">
      <c r="A312" s="31">
        <v>302203</v>
      </c>
      <c r="B312" s="31" t="s">
        <v>79</v>
      </c>
      <c r="C312" s="73">
        <v>7</v>
      </c>
    </row>
    <row r="313" hidden="1" spans="1:3">
      <c r="A313" s="31">
        <v>302204</v>
      </c>
      <c r="B313" s="31" t="s">
        <v>79</v>
      </c>
      <c r="C313" s="73">
        <v>8</v>
      </c>
    </row>
    <row r="314" hidden="1" spans="1:3">
      <c r="A314" s="31">
        <v>302205</v>
      </c>
      <c r="B314" s="31" t="s">
        <v>79</v>
      </c>
      <c r="C314" s="73">
        <v>9</v>
      </c>
    </row>
    <row r="315" hidden="1" spans="1:3">
      <c r="A315" s="31">
        <v>302206</v>
      </c>
      <c r="B315" s="31" t="s">
        <v>79</v>
      </c>
      <c r="C315" s="73">
        <v>10</v>
      </c>
    </row>
    <row r="316" hidden="1" spans="1:3">
      <c r="A316" s="31">
        <v>302207</v>
      </c>
      <c r="B316" s="31" t="s">
        <v>79</v>
      </c>
      <c r="C316" s="74" t="s">
        <v>257</v>
      </c>
    </row>
    <row r="317" hidden="1" spans="1:3">
      <c r="A317" s="31">
        <v>302208</v>
      </c>
      <c r="B317" s="31" t="s">
        <v>79</v>
      </c>
      <c r="C317" s="74" t="s">
        <v>258</v>
      </c>
    </row>
    <row r="318" hidden="1" spans="1:3">
      <c r="A318" s="31">
        <v>302209</v>
      </c>
      <c r="B318" s="31" t="s">
        <v>79</v>
      </c>
      <c r="C318" s="74" t="s">
        <v>259</v>
      </c>
    </row>
    <row r="319" hidden="1" spans="1:3">
      <c r="A319" s="34">
        <v>400101</v>
      </c>
      <c r="B319" s="34" t="s">
        <v>288</v>
      </c>
      <c r="C319" s="75">
        <v>3</v>
      </c>
    </row>
    <row r="320" hidden="1" spans="1:3">
      <c r="A320" s="11">
        <v>400201</v>
      </c>
      <c r="B320" s="11" t="s">
        <v>289</v>
      </c>
      <c r="C320" s="12">
        <v>4</v>
      </c>
    </row>
    <row r="321" hidden="1" spans="1:3">
      <c r="A321" s="11">
        <v>400202</v>
      </c>
      <c r="B321" s="11" t="s">
        <v>289</v>
      </c>
      <c r="C321" s="12">
        <v>5</v>
      </c>
    </row>
    <row r="322" hidden="1" spans="1:3">
      <c r="A322" s="34">
        <v>400301</v>
      </c>
      <c r="B322" s="34" t="s">
        <v>290</v>
      </c>
      <c r="C322" s="75">
        <v>4</v>
      </c>
    </row>
    <row r="323" hidden="1" spans="1:3">
      <c r="A323" s="34">
        <v>400302</v>
      </c>
      <c r="B323" s="34" t="s">
        <v>290</v>
      </c>
      <c r="C323" s="75">
        <v>5</v>
      </c>
    </row>
    <row r="324" hidden="1" spans="1:3">
      <c r="A324" s="33">
        <v>400401</v>
      </c>
      <c r="B324" s="33" t="s">
        <v>291</v>
      </c>
      <c r="C324" s="76">
        <v>4</v>
      </c>
    </row>
    <row r="325" hidden="1" spans="1:3">
      <c r="A325" s="33">
        <v>400402</v>
      </c>
      <c r="B325" s="33" t="s">
        <v>291</v>
      </c>
      <c r="C325" s="76">
        <v>5</v>
      </c>
    </row>
    <row r="326" hidden="1" spans="1:3">
      <c r="A326" s="34">
        <v>400501</v>
      </c>
      <c r="B326" s="34" t="s">
        <v>292</v>
      </c>
      <c r="C326" s="75">
        <v>4</v>
      </c>
    </row>
    <row r="327" hidden="1" spans="1:3">
      <c r="A327" s="34">
        <v>400502</v>
      </c>
      <c r="B327" s="34" t="s">
        <v>292</v>
      </c>
      <c r="C327" s="75">
        <v>5</v>
      </c>
    </row>
    <row r="328" hidden="1" spans="1:3">
      <c r="A328" s="32">
        <v>400601</v>
      </c>
      <c r="B328" s="32" t="s">
        <v>105</v>
      </c>
      <c r="C328" s="77">
        <v>5</v>
      </c>
    </row>
    <row r="329" spans="1:3">
      <c r="A329" s="32">
        <v>400602</v>
      </c>
      <c r="B329" s="32" t="s">
        <v>105</v>
      </c>
      <c r="C329" s="77">
        <v>6</v>
      </c>
    </row>
    <row r="330" hidden="1" spans="1:3">
      <c r="A330" s="32">
        <v>400603</v>
      </c>
      <c r="B330" s="32" t="s">
        <v>105</v>
      </c>
      <c r="C330" s="77">
        <v>7</v>
      </c>
    </row>
    <row r="331" hidden="1" spans="1:3">
      <c r="A331" s="32">
        <v>400604</v>
      </c>
      <c r="B331" s="32" t="s">
        <v>105</v>
      </c>
      <c r="C331" s="77">
        <v>8</v>
      </c>
    </row>
    <row r="332" hidden="1" spans="1:3">
      <c r="A332" s="32">
        <v>400605</v>
      </c>
      <c r="B332" s="32" t="s">
        <v>105</v>
      </c>
      <c r="C332" s="77">
        <v>9</v>
      </c>
    </row>
    <row r="333" hidden="1" spans="1:3">
      <c r="A333" s="32">
        <v>400606</v>
      </c>
      <c r="B333" s="32" t="s">
        <v>105</v>
      </c>
      <c r="C333" s="77" t="s">
        <v>273</v>
      </c>
    </row>
    <row r="334" hidden="1" spans="1:3">
      <c r="A334" s="32">
        <v>400607</v>
      </c>
      <c r="B334" s="32" t="s">
        <v>105</v>
      </c>
      <c r="C334" s="77" t="s">
        <v>274</v>
      </c>
    </row>
    <row r="335" hidden="1" spans="1:3">
      <c r="A335" s="32">
        <v>400608</v>
      </c>
      <c r="B335" s="32" t="s">
        <v>105</v>
      </c>
      <c r="C335" s="77" t="s">
        <v>258</v>
      </c>
    </row>
    <row r="336" hidden="1" spans="1:3">
      <c r="A336" s="32">
        <v>400609</v>
      </c>
      <c r="B336" s="32" t="s">
        <v>105</v>
      </c>
      <c r="C336" s="77" t="s">
        <v>259</v>
      </c>
    </row>
    <row r="337" hidden="1" spans="1:3">
      <c r="A337" s="33">
        <v>400701</v>
      </c>
      <c r="B337" s="33" t="s">
        <v>103</v>
      </c>
      <c r="C337" s="76">
        <v>5</v>
      </c>
    </row>
    <row r="338" spans="1:3">
      <c r="A338" s="33">
        <v>400702</v>
      </c>
      <c r="B338" s="33" t="s">
        <v>103</v>
      </c>
      <c r="C338" s="76">
        <v>6</v>
      </c>
    </row>
    <row r="339" hidden="1" spans="1:3">
      <c r="A339" s="33">
        <v>400703</v>
      </c>
      <c r="B339" s="33" t="s">
        <v>103</v>
      </c>
      <c r="C339" s="76">
        <v>7</v>
      </c>
    </row>
    <row r="340" hidden="1" spans="1:3">
      <c r="A340" s="33">
        <v>400704</v>
      </c>
      <c r="B340" s="33" t="s">
        <v>103</v>
      </c>
      <c r="C340" s="76">
        <v>8</v>
      </c>
    </row>
    <row r="341" hidden="1" spans="1:3">
      <c r="A341" s="33">
        <v>400705</v>
      </c>
      <c r="B341" s="33" t="s">
        <v>103</v>
      </c>
      <c r="C341" s="76">
        <v>9</v>
      </c>
    </row>
    <row r="342" hidden="1" spans="1:3">
      <c r="A342" s="33">
        <v>400706</v>
      </c>
      <c r="B342" s="33" t="s">
        <v>103</v>
      </c>
      <c r="C342" s="76">
        <v>10</v>
      </c>
    </row>
    <row r="343" hidden="1" spans="1:3">
      <c r="A343" s="33">
        <v>400707</v>
      </c>
      <c r="B343" s="33" t="s">
        <v>103</v>
      </c>
      <c r="C343" s="78" t="s">
        <v>257</v>
      </c>
    </row>
    <row r="344" hidden="1" spans="1:3">
      <c r="A344" s="33">
        <v>400708</v>
      </c>
      <c r="B344" s="33" t="s">
        <v>103</v>
      </c>
      <c r="C344" s="78" t="s">
        <v>258</v>
      </c>
    </row>
    <row r="345" hidden="1" spans="1:3">
      <c r="A345" s="33">
        <v>400709</v>
      </c>
      <c r="B345" s="33" t="s">
        <v>103</v>
      </c>
      <c r="C345" s="78" t="s">
        <v>259</v>
      </c>
    </row>
    <row r="346" hidden="1" spans="1:3">
      <c r="A346" s="34">
        <v>400801</v>
      </c>
      <c r="B346" s="34" t="s">
        <v>93</v>
      </c>
      <c r="C346" s="75">
        <v>5</v>
      </c>
    </row>
    <row r="347" spans="1:3">
      <c r="A347" s="34">
        <v>400802</v>
      </c>
      <c r="B347" s="34" t="s">
        <v>93</v>
      </c>
      <c r="C347" s="75">
        <v>6</v>
      </c>
    </row>
    <row r="348" hidden="1" spans="1:3">
      <c r="A348" s="34">
        <v>400803</v>
      </c>
      <c r="B348" s="34" t="s">
        <v>93</v>
      </c>
      <c r="C348" s="75">
        <v>7</v>
      </c>
    </row>
    <row r="349" hidden="1" spans="1:3">
      <c r="A349" s="34">
        <v>400804</v>
      </c>
      <c r="B349" s="34" t="s">
        <v>93</v>
      </c>
      <c r="C349" s="75">
        <v>8</v>
      </c>
    </row>
    <row r="350" hidden="1" spans="1:3">
      <c r="A350" s="34">
        <v>400805</v>
      </c>
      <c r="B350" s="34" t="s">
        <v>93</v>
      </c>
      <c r="C350" s="75">
        <v>9</v>
      </c>
    </row>
    <row r="351" hidden="1" spans="1:3">
      <c r="A351" s="34">
        <v>400806</v>
      </c>
      <c r="B351" s="34" t="s">
        <v>93</v>
      </c>
      <c r="C351" s="75">
        <v>10</v>
      </c>
    </row>
    <row r="352" hidden="1" spans="1:3">
      <c r="A352" s="34">
        <v>400807</v>
      </c>
      <c r="B352" s="34" t="s">
        <v>93</v>
      </c>
      <c r="C352" s="79" t="s">
        <v>257</v>
      </c>
    </row>
    <row r="353" hidden="1" spans="1:3">
      <c r="A353" s="34">
        <v>400808</v>
      </c>
      <c r="B353" s="34" t="s">
        <v>93</v>
      </c>
      <c r="C353" s="79" t="s">
        <v>258</v>
      </c>
    </row>
    <row r="354" hidden="1" spans="1:3">
      <c r="A354" s="34">
        <v>400809</v>
      </c>
      <c r="B354" s="34" t="s">
        <v>93</v>
      </c>
      <c r="C354" s="79" t="s">
        <v>259</v>
      </c>
    </row>
    <row r="355" hidden="1" spans="1:3">
      <c r="A355" s="35">
        <v>400901</v>
      </c>
      <c r="B355" s="35" t="s">
        <v>107</v>
      </c>
      <c r="C355" s="80">
        <v>5</v>
      </c>
    </row>
    <row r="356" spans="1:3">
      <c r="A356" s="35">
        <v>400902</v>
      </c>
      <c r="B356" s="35" t="s">
        <v>107</v>
      </c>
      <c r="C356" s="80">
        <v>6</v>
      </c>
    </row>
    <row r="357" hidden="1" spans="1:3">
      <c r="A357" s="35">
        <v>400903</v>
      </c>
      <c r="B357" s="35" t="s">
        <v>107</v>
      </c>
      <c r="C357" s="80">
        <v>7</v>
      </c>
    </row>
    <row r="358" hidden="1" spans="1:3">
      <c r="A358" s="35">
        <v>400904</v>
      </c>
      <c r="B358" s="35" t="s">
        <v>107</v>
      </c>
      <c r="C358" s="80">
        <v>8</v>
      </c>
    </row>
    <row r="359" hidden="1" spans="1:3">
      <c r="A359" s="35">
        <v>400905</v>
      </c>
      <c r="B359" s="35" t="s">
        <v>107</v>
      </c>
      <c r="C359" s="80">
        <v>9</v>
      </c>
    </row>
    <row r="360" hidden="1" spans="1:3">
      <c r="A360" s="35">
        <v>400906</v>
      </c>
      <c r="B360" s="35" t="s">
        <v>107</v>
      </c>
      <c r="C360" s="80">
        <v>10</v>
      </c>
    </row>
    <row r="361" hidden="1" spans="1:3">
      <c r="A361" s="35">
        <v>400907</v>
      </c>
      <c r="B361" s="35" t="s">
        <v>107</v>
      </c>
      <c r="C361" s="81" t="s">
        <v>257</v>
      </c>
    </row>
    <row r="362" hidden="1" spans="1:3">
      <c r="A362" s="35">
        <v>400908</v>
      </c>
      <c r="B362" s="35" t="s">
        <v>107</v>
      </c>
      <c r="C362" s="81" t="s">
        <v>258</v>
      </c>
    </row>
    <row r="363" hidden="1" spans="1:3">
      <c r="A363" s="35">
        <v>400909</v>
      </c>
      <c r="B363" s="35" t="s">
        <v>107</v>
      </c>
      <c r="C363" s="81" t="s">
        <v>259</v>
      </c>
    </row>
    <row r="364" hidden="1" spans="1:3">
      <c r="A364" s="1">
        <v>401001</v>
      </c>
      <c r="B364" s="1" t="s">
        <v>115</v>
      </c>
      <c r="C364" s="2">
        <v>5</v>
      </c>
    </row>
    <row r="365" spans="1:3">
      <c r="A365" s="1">
        <v>401002</v>
      </c>
      <c r="B365" s="1" t="s">
        <v>115</v>
      </c>
      <c r="C365" s="2">
        <v>6</v>
      </c>
    </row>
    <row r="366" hidden="1" spans="1:3">
      <c r="A366" s="1">
        <v>401003</v>
      </c>
      <c r="B366" s="1" t="s">
        <v>115</v>
      </c>
      <c r="C366" s="2">
        <v>7</v>
      </c>
    </row>
    <row r="367" hidden="1" spans="1:3">
      <c r="A367" s="1">
        <v>401004</v>
      </c>
      <c r="B367" s="1" t="s">
        <v>115</v>
      </c>
      <c r="C367" s="2">
        <v>8</v>
      </c>
    </row>
    <row r="368" hidden="1" spans="1:3">
      <c r="A368" s="1">
        <v>401005</v>
      </c>
      <c r="B368" s="1" t="s">
        <v>115</v>
      </c>
      <c r="C368" s="2">
        <v>9</v>
      </c>
    </row>
    <row r="369" hidden="1" spans="1:3">
      <c r="A369" s="1">
        <v>401006</v>
      </c>
      <c r="B369" s="1" t="s">
        <v>115</v>
      </c>
      <c r="C369" s="2" t="s">
        <v>273</v>
      </c>
    </row>
    <row r="370" hidden="1" spans="1:3">
      <c r="A370" s="1">
        <v>401007</v>
      </c>
      <c r="B370" s="1" t="s">
        <v>115</v>
      </c>
      <c r="C370" s="44" t="s">
        <v>257</v>
      </c>
    </row>
    <row r="371" hidden="1" spans="1:3">
      <c r="A371" s="1">
        <v>401008</v>
      </c>
      <c r="B371" s="1" t="s">
        <v>115</v>
      </c>
      <c r="C371" s="44" t="s">
        <v>258</v>
      </c>
    </row>
    <row r="372" hidden="1" spans="1:3">
      <c r="A372" s="1">
        <v>401009</v>
      </c>
      <c r="B372" s="1" t="s">
        <v>115</v>
      </c>
      <c r="C372" s="44" t="s">
        <v>259</v>
      </c>
    </row>
    <row r="373" hidden="1" spans="1:3">
      <c r="A373" s="36">
        <v>401101</v>
      </c>
      <c r="B373" s="36" t="s">
        <v>255</v>
      </c>
      <c r="C373" s="82">
        <v>5</v>
      </c>
    </row>
    <row r="374" spans="1:3">
      <c r="A374" s="36">
        <v>401102</v>
      </c>
      <c r="B374" s="36" t="s">
        <v>255</v>
      </c>
      <c r="C374" s="82">
        <v>6</v>
      </c>
    </row>
    <row r="375" hidden="1" spans="1:3">
      <c r="A375" s="36">
        <v>401103</v>
      </c>
      <c r="B375" s="36" t="s">
        <v>255</v>
      </c>
      <c r="C375" s="82">
        <v>7</v>
      </c>
    </row>
    <row r="376" hidden="1" spans="1:3">
      <c r="A376" s="36">
        <v>401104</v>
      </c>
      <c r="B376" s="36" t="s">
        <v>255</v>
      </c>
      <c r="C376" s="82">
        <v>8</v>
      </c>
    </row>
    <row r="377" hidden="1" spans="1:3">
      <c r="A377" s="36">
        <v>401105</v>
      </c>
      <c r="B377" s="36" t="s">
        <v>255</v>
      </c>
      <c r="C377" s="82">
        <v>9</v>
      </c>
    </row>
    <row r="378" hidden="1" spans="1:3">
      <c r="A378" s="36">
        <v>401106</v>
      </c>
      <c r="B378" s="36" t="s">
        <v>255</v>
      </c>
      <c r="C378" s="82">
        <v>10</v>
      </c>
    </row>
    <row r="379" hidden="1" spans="1:3">
      <c r="A379" s="36">
        <v>401107</v>
      </c>
      <c r="B379" s="36" t="s">
        <v>255</v>
      </c>
      <c r="C379" s="83" t="s">
        <v>257</v>
      </c>
    </row>
    <row r="380" hidden="1" spans="1:3">
      <c r="A380" s="36">
        <v>401108</v>
      </c>
      <c r="B380" s="36" t="s">
        <v>255</v>
      </c>
      <c r="C380" s="83" t="s">
        <v>258</v>
      </c>
    </row>
    <row r="381" hidden="1" spans="1:3">
      <c r="A381" s="36">
        <v>401109</v>
      </c>
      <c r="B381" s="36" t="s">
        <v>255</v>
      </c>
      <c r="C381" s="83" t="s">
        <v>259</v>
      </c>
    </row>
    <row r="382" hidden="1" spans="1:3">
      <c r="A382" s="33">
        <v>401201</v>
      </c>
      <c r="B382" s="33" t="s">
        <v>63</v>
      </c>
      <c r="C382" s="76">
        <v>5</v>
      </c>
    </row>
    <row r="383" spans="1:3">
      <c r="A383" s="33">
        <v>401202</v>
      </c>
      <c r="B383" s="33" t="s">
        <v>63</v>
      </c>
      <c r="C383" s="76">
        <v>6</v>
      </c>
    </row>
    <row r="384" hidden="1" spans="1:3">
      <c r="A384" s="33">
        <v>401203</v>
      </c>
      <c r="B384" s="33" t="s">
        <v>63</v>
      </c>
      <c r="C384" s="76">
        <v>7</v>
      </c>
    </row>
    <row r="385" hidden="1" spans="1:3">
      <c r="A385" s="33">
        <v>401204</v>
      </c>
      <c r="B385" s="33" t="s">
        <v>63</v>
      </c>
      <c r="C385" s="76">
        <v>8</v>
      </c>
    </row>
    <row r="386" hidden="1" spans="1:3">
      <c r="A386" s="33">
        <v>401205</v>
      </c>
      <c r="B386" s="33" t="s">
        <v>63</v>
      </c>
      <c r="C386" s="76">
        <v>9</v>
      </c>
    </row>
    <row r="387" hidden="1" spans="1:3">
      <c r="A387" s="33">
        <v>401206</v>
      </c>
      <c r="B387" s="33" t="s">
        <v>63</v>
      </c>
      <c r="C387" s="76">
        <v>10</v>
      </c>
    </row>
    <row r="388" hidden="1" spans="1:3">
      <c r="A388" s="33">
        <v>401207</v>
      </c>
      <c r="B388" s="33" t="s">
        <v>63</v>
      </c>
      <c r="C388" s="78" t="s">
        <v>257</v>
      </c>
    </row>
    <row r="389" hidden="1" spans="1:3">
      <c r="A389" s="33">
        <v>401208</v>
      </c>
      <c r="B389" s="33" t="s">
        <v>63</v>
      </c>
      <c r="C389" s="78" t="s">
        <v>258</v>
      </c>
    </row>
    <row r="390" hidden="1" spans="1:3">
      <c r="A390" s="33">
        <v>401209</v>
      </c>
      <c r="B390" s="33" t="s">
        <v>63</v>
      </c>
      <c r="C390" s="78" t="s">
        <v>259</v>
      </c>
    </row>
    <row r="391" hidden="1" spans="1:3">
      <c r="A391" s="36">
        <v>401301</v>
      </c>
      <c r="B391" s="36" t="s">
        <v>101</v>
      </c>
      <c r="C391" s="82">
        <v>5</v>
      </c>
    </row>
    <row r="392" spans="1:3">
      <c r="A392" s="36">
        <v>401302</v>
      </c>
      <c r="B392" s="36" t="s">
        <v>101</v>
      </c>
      <c r="C392" s="82">
        <v>6</v>
      </c>
    </row>
    <row r="393" hidden="1" spans="1:3">
      <c r="A393" s="36">
        <v>401303</v>
      </c>
      <c r="B393" s="36" t="s">
        <v>101</v>
      </c>
      <c r="C393" s="82">
        <v>7</v>
      </c>
    </row>
    <row r="394" hidden="1" spans="1:3">
      <c r="A394" s="36">
        <v>401304</v>
      </c>
      <c r="B394" s="36" t="s">
        <v>101</v>
      </c>
      <c r="C394" s="82">
        <v>8</v>
      </c>
    </row>
    <row r="395" hidden="1" spans="1:3">
      <c r="A395" s="36">
        <v>401305</v>
      </c>
      <c r="B395" s="36" t="s">
        <v>101</v>
      </c>
      <c r="C395" s="82">
        <v>9</v>
      </c>
    </row>
    <row r="396" hidden="1" spans="1:3">
      <c r="A396" s="36">
        <v>401306</v>
      </c>
      <c r="B396" s="36" t="s">
        <v>101</v>
      </c>
      <c r="C396" s="82">
        <v>10</v>
      </c>
    </row>
    <row r="397" hidden="1" spans="1:3">
      <c r="A397" s="36">
        <v>401307</v>
      </c>
      <c r="B397" s="36" t="s">
        <v>101</v>
      </c>
      <c r="C397" s="83" t="s">
        <v>257</v>
      </c>
    </row>
    <row r="398" hidden="1" spans="1:3">
      <c r="A398" s="36">
        <v>401308</v>
      </c>
      <c r="B398" s="36" t="s">
        <v>101</v>
      </c>
      <c r="C398" s="83" t="s">
        <v>258</v>
      </c>
    </row>
    <row r="399" hidden="1" spans="1:3">
      <c r="A399" s="36">
        <v>401309</v>
      </c>
      <c r="B399" s="36" t="s">
        <v>101</v>
      </c>
      <c r="C399" s="83" t="s">
        <v>259</v>
      </c>
    </row>
    <row r="400" hidden="1" spans="1:3">
      <c r="A400" s="37">
        <v>401401</v>
      </c>
      <c r="B400" s="37" t="s">
        <v>111</v>
      </c>
      <c r="C400" s="78">
        <v>5</v>
      </c>
    </row>
    <row r="401" spans="1:3">
      <c r="A401" s="37">
        <v>401402</v>
      </c>
      <c r="B401" s="37" t="s">
        <v>111</v>
      </c>
      <c r="C401" s="78">
        <v>6</v>
      </c>
    </row>
    <row r="402" hidden="1" spans="1:3">
      <c r="A402" s="37">
        <v>401403</v>
      </c>
      <c r="B402" s="37" t="s">
        <v>111</v>
      </c>
      <c r="C402" s="78">
        <v>7</v>
      </c>
    </row>
    <row r="403" hidden="1" spans="1:3">
      <c r="A403" s="37">
        <v>401404</v>
      </c>
      <c r="B403" s="37" t="s">
        <v>111</v>
      </c>
      <c r="C403" s="78">
        <v>8</v>
      </c>
    </row>
    <row r="404" hidden="1" spans="1:3">
      <c r="A404" s="37">
        <v>401405</v>
      </c>
      <c r="B404" s="37" t="s">
        <v>111</v>
      </c>
      <c r="C404" s="78">
        <v>9</v>
      </c>
    </row>
    <row r="405" hidden="1" spans="1:3">
      <c r="A405" s="37">
        <v>401406</v>
      </c>
      <c r="B405" s="37" t="s">
        <v>111</v>
      </c>
      <c r="C405" s="78">
        <v>10</v>
      </c>
    </row>
    <row r="406" hidden="1" spans="1:3">
      <c r="A406" s="37">
        <v>401407</v>
      </c>
      <c r="B406" s="37" t="s">
        <v>111</v>
      </c>
      <c r="C406" s="78" t="s">
        <v>274</v>
      </c>
    </row>
    <row r="407" hidden="1" spans="1:3">
      <c r="A407" s="37">
        <v>401408</v>
      </c>
      <c r="B407" s="37" t="s">
        <v>111</v>
      </c>
      <c r="C407" s="78" t="s">
        <v>258</v>
      </c>
    </row>
    <row r="408" hidden="1" spans="1:3">
      <c r="A408" s="37">
        <v>401409</v>
      </c>
      <c r="B408" s="37" t="s">
        <v>111</v>
      </c>
      <c r="C408" s="78" t="s">
        <v>259</v>
      </c>
    </row>
    <row r="409" hidden="1" spans="1:3">
      <c r="A409" s="31">
        <v>500101</v>
      </c>
      <c r="B409" s="31" t="s">
        <v>293</v>
      </c>
      <c r="C409" s="73">
        <v>3</v>
      </c>
    </row>
    <row r="410" hidden="1" spans="1:3">
      <c r="A410" s="11">
        <v>500201</v>
      </c>
      <c r="B410" s="11" t="s">
        <v>294</v>
      </c>
      <c r="C410" s="12">
        <v>4</v>
      </c>
    </row>
    <row r="411" hidden="1" spans="1:3">
      <c r="A411" s="11">
        <v>500202</v>
      </c>
      <c r="B411" s="11" t="s">
        <v>294</v>
      </c>
      <c r="C411" s="12">
        <v>5</v>
      </c>
    </row>
    <row r="412" hidden="1" spans="1:3">
      <c r="A412" s="38">
        <v>500301</v>
      </c>
      <c r="B412" s="38" t="s">
        <v>295</v>
      </c>
      <c r="C412" s="84">
        <v>4</v>
      </c>
    </row>
    <row r="413" hidden="1" spans="1:3">
      <c r="A413" s="38">
        <v>500302</v>
      </c>
      <c r="B413" s="38" t="s">
        <v>295</v>
      </c>
      <c r="C413" s="84">
        <v>5</v>
      </c>
    </row>
    <row r="414" hidden="1" spans="1:3">
      <c r="A414" s="31">
        <v>500401</v>
      </c>
      <c r="B414" s="31" t="s">
        <v>296</v>
      </c>
      <c r="C414" s="73">
        <v>4</v>
      </c>
    </row>
    <row r="415" hidden="1" spans="1:3">
      <c r="A415" s="31">
        <v>500402</v>
      </c>
      <c r="B415" s="31" t="s">
        <v>296</v>
      </c>
      <c r="C415" s="73">
        <v>5</v>
      </c>
    </row>
    <row r="416" hidden="1" spans="1:3">
      <c r="A416" s="27">
        <v>500501</v>
      </c>
      <c r="B416" s="27" t="s">
        <v>297</v>
      </c>
      <c r="C416" s="67">
        <v>4</v>
      </c>
    </row>
    <row r="417" hidden="1" spans="1:3">
      <c r="A417" s="27">
        <v>500502</v>
      </c>
      <c r="B417" s="27" t="s">
        <v>297</v>
      </c>
      <c r="C417" s="67">
        <v>5</v>
      </c>
    </row>
    <row r="418" hidden="1" spans="1:3">
      <c r="A418" s="38">
        <v>500601</v>
      </c>
      <c r="B418" s="38" t="s">
        <v>97</v>
      </c>
      <c r="C418" s="84">
        <v>5</v>
      </c>
    </row>
    <row r="419" spans="1:3">
      <c r="A419" s="38">
        <v>500602</v>
      </c>
      <c r="B419" s="38" t="s">
        <v>97</v>
      </c>
      <c r="C419" s="84">
        <v>6</v>
      </c>
    </row>
    <row r="420" hidden="1" spans="1:3">
      <c r="A420" s="38">
        <v>500603</v>
      </c>
      <c r="B420" s="38" t="s">
        <v>97</v>
      </c>
      <c r="C420" s="84">
        <v>7</v>
      </c>
    </row>
    <row r="421" hidden="1" spans="1:3">
      <c r="A421" s="38">
        <v>500604</v>
      </c>
      <c r="B421" s="38" t="s">
        <v>97</v>
      </c>
      <c r="C421" s="84">
        <v>8</v>
      </c>
    </row>
    <row r="422" hidden="1" spans="1:3">
      <c r="A422" s="38">
        <v>500605</v>
      </c>
      <c r="B422" s="38" t="s">
        <v>97</v>
      </c>
      <c r="C422" s="84">
        <v>9</v>
      </c>
    </row>
    <row r="423" hidden="1" spans="1:3">
      <c r="A423" s="38">
        <v>500606</v>
      </c>
      <c r="B423" s="38" t="s">
        <v>97</v>
      </c>
      <c r="C423" s="84">
        <v>10</v>
      </c>
    </row>
    <row r="424" hidden="1" spans="1:3">
      <c r="A424" s="38">
        <v>500607</v>
      </c>
      <c r="B424" s="38" t="s">
        <v>97</v>
      </c>
      <c r="C424" s="85" t="s">
        <v>257</v>
      </c>
    </row>
    <row r="425" hidden="1" spans="1:3">
      <c r="A425" s="38">
        <v>500608</v>
      </c>
      <c r="B425" s="38" t="s">
        <v>97</v>
      </c>
      <c r="C425" s="85" t="s">
        <v>258</v>
      </c>
    </row>
    <row r="426" hidden="1" spans="1:3">
      <c r="A426" s="38">
        <v>500609</v>
      </c>
      <c r="B426" s="38" t="s">
        <v>97</v>
      </c>
      <c r="C426" s="85" t="s">
        <v>259</v>
      </c>
    </row>
    <row r="427" hidden="1" spans="1:3">
      <c r="A427" s="31">
        <v>500701</v>
      </c>
      <c r="B427" s="31" t="s">
        <v>99</v>
      </c>
      <c r="C427" s="73">
        <v>5</v>
      </c>
    </row>
    <row r="428" spans="1:3">
      <c r="A428" s="31">
        <v>500702</v>
      </c>
      <c r="B428" s="31" t="s">
        <v>99</v>
      </c>
      <c r="C428" s="73">
        <v>6</v>
      </c>
    </row>
    <row r="429" hidden="1" spans="1:3">
      <c r="A429" s="31">
        <v>500703</v>
      </c>
      <c r="B429" s="31" t="s">
        <v>99</v>
      </c>
      <c r="C429" s="73">
        <v>7</v>
      </c>
    </row>
    <row r="430" hidden="1" spans="1:3">
      <c r="A430" s="31">
        <v>500704</v>
      </c>
      <c r="B430" s="31" t="s">
        <v>99</v>
      </c>
      <c r="C430" s="73">
        <v>8</v>
      </c>
    </row>
    <row r="431" hidden="1" spans="1:3">
      <c r="A431" s="31">
        <v>500705</v>
      </c>
      <c r="B431" s="31" t="s">
        <v>99</v>
      </c>
      <c r="C431" s="73">
        <v>9</v>
      </c>
    </row>
    <row r="432" hidden="1" spans="1:3">
      <c r="A432" s="31">
        <v>500706</v>
      </c>
      <c r="B432" s="31" t="s">
        <v>99</v>
      </c>
      <c r="C432" s="73">
        <v>10</v>
      </c>
    </row>
    <row r="433" hidden="1" spans="1:3">
      <c r="A433" s="31">
        <v>500707</v>
      </c>
      <c r="B433" s="31" t="s">
        <v>99</v>
      </c>
      <c r="C433" s="74" t="s">
        <v>257</v>
      </c>
    </row>
    <row r="434" hidden="1" spans="1:3">
      <c r="A434" s="31">
        <v>500708</v>
      </c>
      <c r="B434" s="31" t="s">
        <v>99</v>
      </c>
      <c r="C434" s="74" t="s">
        <v>258</v>
      </c>
    </row>
    <row r="435" hidden="1" spans="1:3">
      <c r="A435" s="31">
        <v>500709</v>
      </c>
      <c r="B435" s="31" t="s">
        <v>99</v>
      </c>
      <c r="C435" s="74" t="s">
        <v>259</v>
      </c>
    </row>
    <row r="436" hidden="1" spans="1:3">
      <c r="A436" s="26">
        <v>500801</v>
      </c>
      <c r="B436" s="26" t="s">
        <v>113</v>
      </c>
      <c r="C436" s="64">
        <v>5</v>
      </c>
    </row>
    <row r="437" spans="1:3">
      <c r="A437" s="26">
        <v>500802</v>
      </c>
      <c r="B437" s="26" t="s">
        <v>113</v>
      </c>
      <c r="C437" s="64">
        <v>6</v>
      </c>
    </row>
    <row r="438" hidden="1" spans="1:3">
      <c r="A438" s="26">
        <v>500803</v>
      </c>
      <c r="B438" s="26" t="s">
        <v>113</v>
      </c>
      <c r="C438" s="64">
        <v>7</v>
      </c>
    </row>
    <row r="439" hidden="1" spans="1:3">
      <c r="A439" s="26">
        <v>500804</v>
      </c>
      <c r="B439" s="26" t="s">
        <v>113</v>
      </c>
      <c r="C439" s="64">
        <v>8</v>
      </c>
    </row>
    <row r="440" hidden="1" spans="1:3">
      <c r="A440" s="26">
        <v>500805</v>
      </c>
      <c r="B440" s="26" t="s">
        <v>113</v>
      </c>
      <c r="C440" s="64">
        <v>9</v>
      </c>
    </row>
    <row r="441" hidden="1" spans="1:3">
      <c r="A441" s="26">
        <v>500806</v>
      </c>
      <c r="B441" s="26" t="s">
        <v>113</v>
      </c>
      <c r="C441" s="64">
        <v>10</v>
      </c>
    </row>
    <row r="442" hidden="1" spans="1:3">
      <c r="A442" s="26">
        <v>500807</v>
      </c>
      <c r="B442" s="26" t="s">
        <v>113</v>
      </c>
      <c r="C442" s="68" t="s">
        <v>257</v>
      </c>
    </row>
    <row r="443" hidden="1" spans="1:3">
      <c r="A443" s="26">
        <v>500808</v>
      </c>
      <c r="B443" s="26" t="s">
        <v>113</v>
      </c>
      <c r="C443" s="68" t="s">
        <v>258</v>
      </c>
    </row>
    <row r="444" hidden="1" spans="1:3">
      <c r="A444" s="26">
        <v>500809</v>
      </c>
      <c r="B444" s="26" t="s">
        <v>113</v>
      </c>
      <c r="C444" s="68" t="s">
        <v>259</v>
      </c>
    </row>
    <row r="445" hidden="1" spans="1:3">
      <c r="A445" s="27">
        <v>500901</v>
      </c>
      <c r="B445" s="27" t="s">
        <v>109</v>
      </c>
      <c r="C445" s="67">
        <v>5</v>
      </c>
    </row>
    <row r="446" spans="1:3">
      <c r="A446" s="27">
        <v>500902</v>
      </c>
      <c r="B446" s="27" t="s">
        <v>109</v>
      </c>
      <c r="C446" s="67">
        <v>6</v>
      </c>
    </row>
    <row r="447" hidden="1" spans="1:3">
      <c r="A447" s="27">
        <v>500903</v>
      </c>
      <c r="B447" s="27" t="s">
        <v>109</v>
      </c>
      <c r="C447" s="67">
        <v>7</v>
      </c>
    </row>
    <row r="448" hidden="1" spans="1:3">
      <c r="A448" s="27">
        <v>500904</v>
      </c>
      <c r="B448" s="27" t="s">
        <v>109</v>
      </c>
      <c r="C448" s="67">
        <v>8</v>
      </c>
    </row>
    <row r="449" hidden="1" spans="1:3">
      <c r="A449" s="27">
        <v>500905</v>
      </c>
      <c r="B449" s="27" t="s">
        <v>109</v>
      </c>
      <c r="C449" s="67">
        <v>9</v>
      </c>
    </row>
    <row r="450" hidden="1" spans="1:3">
      <c r="A450" s="27">
        <v>500906</v>
      </c>
      <c r="B450" s="27" t="s">
        <v>109</v>
      </c>
      <c r="C450" s="67">
        <v>10</v>
      </c>
    </row>
    <row r="451" hidden="1" spans="1:3">
      <c r="A451" s="27">
        <v>500907</v>
      </c>
      <c r="B451" s="27" t="s">
        <v>109</v>
      </c>
      <c r="C451" s="69" t="s">
        <v>257</v>
      </c>
    </row>
    <row r="452" hidden="1" spans="1:3">
      <c r="A452" s="27">
        <v>500908</v>
      </c>
      <c r="B452" s="27" t="s">
        <v>109</v>
      </c>
      <c r="C452" s="69" t="s">
        <v>258</v>
      </c>
    </row>
    <row r="453" hidden="1" spans="1:3">
      <c r="A453" s="27">
        <v>500909</v>
      </c>
      <c r="B453" s="27" t="s">
        <v>109</v>
      </c>
      <c r="C453" s="69" t="s">
        <v>259</v>
      </c>
    </row>
    <row r="454" hidden="1" spans="1:3">
      <c r="A454" s="26">
        <v>501001</v>
      </c>
      <c r="B454" s="26" t="s">
        <v>89</v>
      </c>
      <c r="C454" s="64">
        <v>5</v>
      </c>
    </row>
    <row r="455" spans="1:3">
      <c r="A455" s="26">
        <v>501002</v>
      </c>
      <c r="B455" s="26" t="s">
        <v>89</v>
      </c>
      <c r="C455" s="64">
        <v>6</v>
      </c>
    </row>
    <row r="456" hidden="1" spans="1:3">
      <c r="A456" s="26">
        <v>501003</v>
      </c>
      <c r="B456" s="26" t="s">
        <v>89</v>
      </c>
      <c r="C456" s="64">
        <v>7</v>
      </c>
    </row>
    <row r="457" hidden="1" spans="1:3">
      <c r="A457" s="26">
        <v>501004</v>
      </c>
      <c r="B457" s="26" t="s">
        <v>89</v>
      </c>
      <c r="C457" s="64">
        <v>8</v>
      </c>
    </row>
    <row r="458" hidden="1" spans="1:3">
      <c r="A458" s="26">
        <v>501005</v>
      </c>
      <c r="B458" s="26" t="s">
        <v>89</v>
      </c>
      <c r="C458" s="64">
        <v>9</v>
      </c>
    </row>
    <row r="459" hidden="1" spans="1:3">
      <c r="A459" s="26">
        <v>501006</v>
      </c>
      <c r="B459" s="26" t="s">
        <v>89</v>
      </c>
      <c r="C459" s="64" t="s">
        <v>273</v>
      </c>
    </row>
    <row r="460" hidden="1" spans="1:3">
      <c r="A460" s="26">
        <v>501007</v>
      </c>
      <c r="B460" s="26" t="s">
        <v>89</v>
      </c>
      <c r="C460" s="68" t="s">
        <v>257</v>
      </c>
    </row>
    <row r="461" hidden="1" spans="1:3">
      <c r="A461" s="26">
        <v>501008</v>
      </c>
      <c r="B461" s="26" t="s">
        <v>89</v>
      </c>
      <c r="C461" s="68" t="s">
        <v>258</v>
      </c>
    </row>
    <row r="462" hidden="1" spans="1:3">
      <c r="A462" s="26">
        <v>501009</v>
      </c>
      <c r="B462" s="26" t="s">
        <v>89</v>
      </c>
      <c r="C462" s="68" t="s">
        <v>259</v>
      </c>
    </row>
    <row r="463" hidden="1" spans="1:3">
      <c r="A463" s="27">
        <v>501101</v>
      </c>
      <c r="B463" s="27" t="s">
        <v>91</v>
      </c>
      <c r="C463" s="67">
        <v>5</v>
      </c>
    </row>
    <row r="464" spans="1:3">
      <c r="A464" s="27">
        <v>501102</v>
      </c>
      <c r="B464" s="27" t="s">
        <v>91</v>
      </c>
      <c r="C464" s="67">
        <v>6</v>
      </c>
    </row>
    <row r="465" hidden="1" spans="1:3">
      <c r="A465" s="27">
        <v>501103</v>
      </c>
      <c r="B465" s="27" t="s">
        <v>91</v>
      </c>
      <c r="C465" s="67">
        <v>7</v>
      </c>
    </row>
    <row r="466" hidden="1" spans="1:3">
      <c r="A466" s="27">
        <v>501104</v>
      </c>
      <c r="B466" s="27" t="s">
        <v>91</v>
      </c>
      <c r="C466" s="67">
        <v>8</v>
      </c>
    </row>
    <row r="467" hidden="1" spans="1:3">
      <c r="A467" s="27">
        <v>501105</v>
      </c>
      <c r="B467" s="27" t="s">
        <v>91</v>
      </c>
      <c r="C467" s="67">
        <v>9</v>
      </c>
    </row>
    <row r="468" hidden="1" spans="1:3">
      <c r="A468" s="27">
        <v>501106</v>
      </c>
      <c r="B468" s="27" t="s">
        <v>91</v>
      </c>
      <c r="C468" s="67" t="s">
        <v>273</v>
      </c>
    </row>
    <row r="469" hidden="1" spans="1:3">
      <c r="A469" s="27">
        <v>501107</v>
      </c>
      <c r="B469" s="27" t="s">
        <v>91</v>
      </c>
      <c r="C469" s="69" t="s">
        <v>274</v>
      </c>
    </row>
    <row r="470" hidden="1" spans="1:3">
      <c r="A470" s="27">
        <v>501108</v>
      </c>
      <c r="B470" s="27" t="s">
        <v>91</v>
      </c>
      <c r="C470" s="69" t="s">
        <v>258</v>
      </c>
    </row>
    <row r="471" hidden="1" spans="1:3">
      <c r="A471" s="27">
        <v>501109</v>
      </c>
      <c r="B471" s="27" t="s">
        <v>91</v>
      </c>
      <c r="C471" s="69" t="s">
        <v>259</v>
      </c>
    </row>
    <row r="472" hidden="1" spans="1:3">
      <c r="A472" s="26">
        <v>501201</v>
      </c>
      <c r="B472" s="26" t="s">
        <v>95</v>
      </c>
      <c r="C472" s="64">
        <v>5</v>
      </c>
    </row>
    <row r="473" spans="1:3">
      <c r="A473" s="26">
        <v>501202</v>
      </c>
      <c r="B473" s="26" t="s">
        <v>95</v>
      </c>
      <c r="C473" s="64">
        <v>6</v>
      </c>
    </row>
    <row r="474" hidden="1" spans="1:3">
      <c r="A474" s="26">
        <v>501203</v>
      </c>
      <c r="B474" s="26" t="s">
        <v>95</v>
      </c>
      <c r="C474" s="64">
        <v>7</v>
      </c>
    </row>
    <row r="475" hidden="1" spans="1:3">
      <c r="A475" s="26">
        <v>501204</v>
      </c>
      <c r="B475" s="26" t="s">
        <v>95</v>
      </c>
      <c r="C475" s="64">
        <v>8</v>
      </c>
    </row>
    <row r="476" hidden="1" spans="1:3">
      <c r="A476" s="26">
        <v>501205</v>
      </c>
      <c r="B476" s="26" t="s">
        <v>95</v>
      </c>
      <c r="C476" s="64">
        <v>9</v>
      </c>
    </row>
    <row r="477" hidden="1" spans="1:3">
      <c r="A477" s="26">
        <v>501206</v>
      </c>
      <c r="B477" s="26" t="s">
        <v>95</v>
      </c>
      <c r="C477" s="64">
        <v>10</v>
      </c>
    </row>
    <row r="478" hidden="1" spans="1:3">
      <c r="A478" s="26">
        <v>501207</v>
      </c>
      <c r="B478" s="26" t="s">
        <v>95</v>
      </c>
      <c r="C478" s="68" t="s">
        <v>257</v>
      </c>
    </row>
    <row r="479" hidden="1" spans="1:3">
      <c r="A479" s="26">
        <v>501208</v>
      </c>
      <c r="B479" s="26" t="s">
        <v>95</v>
      </c>
      <c r="C479" s="68" t="s">
        <v>258</v>
      </c>
    </row>
    <row r="480" hidden="1" spans="1:3">
      <c r="A480" s="26">
        <v>501209</v>
      </c>
      <c r="B480" s="26" t="s">
        <v>95</v>
      </c>
      <c r="C480" s="68" t="s">
        <v>259</v>
      </c>
    </row>
    <row r="481" hidden="1" spans="1:3">
      <c r="A481" s="14">
        <v>600101</v>
      </c>
      <c r="B481" s="14" t="s">
        <v>298</v>
      </c>
      <c r="C481" s="50">
        <v>3</v>
      </c>
    </row>
    <row r="482" hidden="1" spans="1:3">
      <c r="A482" s="1">
        <v>999030</v>
      </c>
      <c r="B482" s="1" t="s">
        <v>299</v>
      </c>
      <c r="C482" s="2">
        <v>3</v>
      </c>
    </row>
    <row r="483" hidden="1" spans="1:3">
      <c r="A483" s="1">
        <v>999031</v>
      </c>
      <c r="B483" s="1" t="s">
        <v>300</v>
      </c>
      <c r="C483" s="2">
        <v>3</v>
      </c>
    </row>
    <row r="484" hidden="1" spans="1:3">
      <c r="A484" s="1">
        <v>999032</v>
      </c>
      <c r="B484" s="1" t="s">
        <v>301</v>
      </c>
      <c r="C484" s="2">
        <v>3</v>
      </c>
    </row>
    <row r="485" hidden="1" spans="1:3">
      <c r="A485" s="1">
        <v>999033</v>
      </c>
      <c r="B485" s="1" t="s">
        <v>302</v>
      </c>
      <c r="C485" s="2">
        <v>3</v>
      </c>
    </row>
    <row r="486" hidden="1" spans="1:3">
      <c r="A486" s="1">
        <v>999034</v>
      </c>
      <c r="B486" s="1" t="s">
        <v>303</v>
      </c>
      <c r="C486" s="2">
        <v>3</v>
      </c>
    </row>
    <row r="487" hidden="1" spans="1:3">
      <c r="A487" s="1">
        <v>999035</v>
      </c>
      <c r="B487" s="1" t="s">
        <v>304</v>
      </c>
      <c r="C487" s="2">
        <v>3</v>
      </c>
    </row>
    <row r="488" hidden="1" spans="1:3">
      <c r="A488" s="1">
        <v>999040</v>
      </c>
      <c r="B488" s="1" t="s">
        <v>305</v>
      </c>
      <c r="C488" s="2">
        <v>4</v>
      </c>
    </row>
    <row r="489" hidden="1" spans="1:3">
      <c r="A489" s="1">
        <v>999041</v>
      </c>
      <c r="B489" s="1" t="s">
        <v>306</v>
      </c>
      <c r="C489" s="2">
        <v>4</v>
      </c>
    </row>
    <row r="490" hidden="1" spans="1:3">
      <c r="A490" s="1">
        <v>999042</v>
      </c>
      <c r="B490" s="1" t="s">
        <v>307</v>
      </c>
      <c r="C490" s="2">
        <v>4</v>
      </c>
    </row>
    <row r="491" hidden="1" spans="1:3">
      <c r="A491" s="1">
        <v>999043</v>
      </c>
      <c r="B491" s="1" t="s">
        <v>308</v>
      </c>
      <c r="C491" s="2">
        <v>4</v>
      </c>
    </row>
    <row r="492" hidden="1" spans="1:3">
      <c r="A492" s="1">
        <v>999044</v>
      </c>
      <c r="B492" s="1" t="s">
        <v>309</v>
      </c>
      <c r="C492" s="2">
        <v>4</v>
      </c>
    </row>
    <row r="493" hidden="1" spans="1:3">
      <c r="A493" s="1">
        <v>999045</v>
      </c>
      <c r="B493" s="1" t="s">
        <v>310</v>
      </c>
      <c r="C493" s="2">
        <v>4</v>
      </c>
    </row>
    <row r="494" hidden="1" spans="1:3">
      <c r="A494" s="1">
        <v>999050</v>
      </c>
      <c r="B494" s="1" t="s">
        <v>311</v>
      </c>
      <c r="C494" s="2">
        <v>5</v>
      </c>
    </row>
    <row r="495" hidden="1" spans="1:3">
      <c r="A495" s="1">
        <v>999051</v>
      </c>
      <c r="B495" s="1" t="s">
        <v>312</v>
      </c>
      <c r="C495" s="2">
        <v>5</v>
      </c>
    </row>
    <row r="496" hidden="1" spans="1:3">
      <c r="A496" s="1">
        <v>999052</v>
      </c>
      <c r="B496" s="1" t="s">
        <v>313</v>
      </c>
      <c r="C496" s="2">
        <v>5</v>
      </c>
    </row>
    <row r="497" hidden="1" spans="1:3">
      <c r="A497" s="1">
        <v>999053</v>
      </c>
      <c r="B497" s="1" t="s">
        <v>314</v>
      </c>
      <c r="C497" s="2">
        <v>5</v>
      </c>
    </row>
    <row r="498" hidden="1" spans="1:3">
      <c r="A498" s="1">
        <v>999054</v>
      </c>
      <c r="B498" s="1" t="s">
        <v>315</v>
      </c>
      <c r="C498" s="2">
        <v>5</v>
      </c>
    </row>
    <row r="499" hidden="1" spans="1:3">
      <c r="A499" s="1">
        <v>999055</v>
      </c>
      <c r="B499" s="1" t="s">
        <v>316</v>
      </c>
      <c r="C499" s="2">
        <v>5</v>
      </c>
    </row>
    <row r="500" spans="1:3">
      <c r="A500" s="1">
        <v>999060</v>
      </c>
      <c r="B500" s="1" t="s">
        <v>317</v>
      </c>
      <c r="C500" s="2">
        <v>6</v>
      </c>
    </row>
    <row r="501" spans="1:3">
      <c r="A501" s="1">
        <v>999061</v>
      </c>
      <c r="B501" s="1" t="s">
        <v>318</v>
      </c>
      <c r="C501" s="2">
        <v>6</v>
      </c>
    </row>
    <row r="502" spans="1:3">
      <c r="A502" s="1">
        <v>999062</v>
      </c>
      <c r="B502" s="1" t="s">
        <v>319</v>
      </c>
      <c r="C502" s="2">
        <v>6</v>
      </c>
    </row>
    <row r="503" spans="1:3">
      <c r="A503" s="1">
        <v>999063</v>
      </c>
      <c r="B503" s="1" t="s">
        <v>320</v>
      </c>
      <c r="C503" s="2">
        <v>6</v>
      </c>
    </row>
    <row r="504" spans="1:3">
      <c r="A504" s="1">
        <v>999064</v>
      </c>
      <c r="B504" s="1" t="s">
        <v>321</v>
      </c>
      <c r="C504" s="2">
        <v>6</v>
      </c>
    </row>
    <row r="505" spans="1:3">
      <c r="A505" s="1">
        <v>999065</v>
      </c>
      <c r="B505" s="1" t="s">
        <v>322</v>
      </c>
      <c r="C505" s="2">
        <v>6</v>
      </c>
    </row>
    <row r="506" hidden="1" spans="1:3">
      <c r="A506" s="1">
        <v>999070</v>
      </c>
      <c r="B506" s="1" t="s">
        <v>323</v>
      </c>
      <c r="C506" s="2">
        <v>7</v>
      </c>
    </row>
    <row r="507" hidden="1" spans="1:3">
      <c r="A507" s="1">
        <v>999071</v>
      </c>
      <c r="B507" s="1" t="s">
        <v>324</v>
      </c>
      <c r="C507" s="2">
        <v>7</v>
      </c>
    </row>
    <row r="508" hidden="1" spans="1:3">
      <c r="A508" s="1">
        <v>999072</v>
      </c>
      <c r="B508" s="1" t="s">
        <v>325</v>
      </c>
      <c r="C508" s="2">
        <v>7</v>
      </c>
    </row>
    <row r="509" hidden="1" spans="1:3">
      <c r="A509" s="1">
        <v>999073</v>
      </c>
      <c r="B509" s="1" t="s">
        <v>326</v>
      </c>
      <c r="C509" s="2">
        <v>7</v>
      </c>
    </row>
    <row r="510" hidden="1" spans="1:3">
      <c r="A510" s="1">
        <v>999074</v>
      </c>
      <c r="B510" s="1" t="s">
        <v>327</v>
      </c>
      <c r="C510" s="2">
        <v>7</v>
      </c>
    </row>
    <row r="511" hidden="1" spans="1:3">
      <c r="A511" s="1">
        <v>999075</v>
      </c>
      <c r="B511" s="1" t="s">
        <v>328</v>
      </c>
      <c r="C511" s="2">
        <v>7</v>
      </c>
    </row>
    <row r="512" hidden="1" spans="1:3">
      <c r="A512" s="1">
        <v>999080</v>
      </c>
      <c r="B512" s="1" t="s">
        <v>329</v>
      </c>
      <c r="C512" s="2">
        <v>8</v>
      </c>
    </row>
    <row r="513" hidden="1" spans="1:3">
      <c r="A513" s="1">
        <v>999081</v>
      </c>
      <c r="B513" s="1" t="s">
        <v>330</v>
      </c>
      <c r="C513" s="2">
        <v>8</v>
      </c>
    </row>
    <row r="514" hidden="1" spans="1:3">
      <c r="A514" s="1">
        <v>999082</v>
      </c>
      <c r="B514" s="1" t="s">
        <v>331</v>
      </c>
      <c r="C514" s="2">
        <v>8</v>
      </c>
    </row>
    <row r="515" hidden="1" spans="1:3">
      <c r="A515" s="1">
        <v>999083</v>
      </c>
      <c r="B515" s="1" t="s">
        <v>332</v>
      </c>
      <c r="C515" s="2">
        <v>8</v>
      </c>
    </row>
    <row r="516" hidden="1" spans="1:3">
      <c r="A516" s="1">
        <v>999084</v>
      </c>
      <c r="B516" s="1" t="s">
        <v>333</v>
      </c>
      <c r="C516" s="2">
        <v>8</v>
      </c>
    </row>
    <row r="517" hidden="1" spans="1:3">
      <c r="A517" s="1">
        <v>999085</v>
      </c>
      <c r="B517" s="1" t="s">
        <v>334</v>
      </c>
      <c r="C517" s="2">
        <v>8</v>
      </c>
    </row>
    <row r="518" hidden="1" spans="1:3">
      <c r="A518" s="1">
        <v>999090</v>
      </c>
      <c r="B518" s="1" t="s">
        <v>335</v>
      </c>
      <c r="C518" s="2">
        <v>9</v>
      </c>
    </row>
    <row r="519" hidden="1" spans="1:3">
      <c r="A519" s="1">
        <v>999091</v>
      </c>
      <c r="B519" s="1" t="s">
        <v>336</v>
      </c>
      <c r="C519" s="2">
        <v>9</v>
      </c>
    </row>
    <row r="520" hidden="1" spans="1:3">
      <c r="A520" s="1">
        <v>999092</v>
      </c>
      <c r="B520" s="1" t="s">
        <v>337</v>
      </c>
      <c r="C520" s="2">
        <v>9</v>
      </c>
    </row>
    <row r="521" hidden="1" spans="1:3">
      <c r="A521" s="1">
        <v>999093</v>
      </c>
      <c r="B521" s="1" t="s">
        <v>338</v>
      </c>
      <c r="C521" s="2">
        <v>9</v>
      </c>
    </row>
    <row r="522" hidden="1" spans="1:3">
      <c r="A522" s="1">
        <v>999094</v>
      </c>
      <c r="B522" s="1" t="s">
        <v>339</v>
      </c>
      <c r="C522" s="2">
        <v>9</v>
      </c>
    </row>
    <row r="523" hidden="1" spans="1:3">
      <c r="A523" s="1">
        <v>999095</v>
      </c>
      <c r="B523" s="1" t="s">
        <v>340</v>
      </c>
      <c r="C523" s="2">
        <v>9</v>
      </c>
    </row>
    <row r="524" hidden="1" spans="1:3">
      <c r="A524" s="1">
        <v>999100</v>
      </c>
      <c r="B524" s="1" t="s">
        <v>341</v>
      </c>
      <c r="C524" s="2">
        <v>10</v>
      </c>
    </row>
    <row r="525" hidden="1" spans="1:3">
      <c r="A525" s="1">
        <v>999101</v>
      </c>
      <c r="B525" s="1" t="s">
        <v>342</v>
      </c>
      <c r="C525" s="2">
        <v>10</v>
      </c>
    </row>
    <row r="526" hidden="1" spans="1:3">
      <c r="A526" s="1">
        <v>999102</v>
      </c>
      <c r="B526" s="1" t="s">
        <v>343</v>
      </c>
      <c r="C526" s="2">
        <v>10</v>
      </c>
    </row>
    <row r="527" hidden="1" spans="1:3">
      <c r="A527" s="1">
        <v>999103</v>
      </c>
      <c r="B527" s="1" t="s">
        <v>344</v>
      </c>
      <c r="C527" s="2">
        <v>10</v>
      </c>
    </row>
    <row r="528" hidden="1" spans="1:3">
      <c r="A528" s="1">
        <v>999104</v>
      </c>
      <c r="B528" s="1" t="s">
        <v>345</v>
      </c>
      <c r="C528" s="2">
        <v>10</v>
      </c>
    </row>
    <row r="529" hidden="1" spans="1:3">
      <c r="A529" s="1">
        <v>999105</v>
      </c>
      <c r="B529" s="1" t="s">
        <v>346</v>
      </c>
      <c r="C529" s="2">
        <v>10</v>
      </c>
    </row>
  </sheetData>
  <autoFilter ref="C1:C529">
    <filterColumn colId="0">
      <customFilters>
        <customFilter operator="equal" val="6"/>
      </customFilters>
    </filterColumn>
    <extLst/>
  </autoFilter>
  <conditionalFormatting sqref="A38">
    <cfRule type="duplicateValues" dxfId="3" priority="131"/>
  </conditionalFormatting>
  <conditionalFormatting sqref="A47">
    <cfRule type="duplicateValues" dxfId="3" priority="129"/>
  </conditionalFormatting>
  <conditionalFormatting sqref="A56">
    <cfRule type="duplicateValues" dxfId="3" priority="127"/>
  </conditionalFormatting>
  <conditionalFormatting sqref="A57">
    <cfRule type="duplicateValues" dxfId="3" priority="78"/>
  </conditionalFormatting>
  <conditionalFormatting sqref="A66">
    <cfRule type="duplicateValues" dxfId="3" priority="77"/>
  </conditionalFormatting>
  <conditionalFormatting sqref="A74">
    <cfRule type="duplicateValues" dxfId="3" priority="124"/>
  </conditionalFormatting>
  <conditionalFormatting sqref="A75">
    <cfRule type="duplicateValues" dxfId="3" priority="76"/>
  </conditionalFormatting>
  <conditionalFormatting sqref="A82">
    <cfRule type="duplicateValues" dxfId="3" priority="204"/>
  </conditionalFormatting>
  <conditionalFormatting sqref="A83">
    <cfRule type="duplicateValues" dxfId="3" priority="122"/>
  </conditionalFormatting>
  <conditionalFormatting sqref="A84">
    <cfRule type="duplicateValues" dxfId="3" priority="75"/>
  </conditionalFormatting>
  <conditionalFormatting sqref="A93">
    <cfRule type="duplicateValues" dxfId="3" priority="74"/>
  </conditionalFormatting>
  <conditionalFormatting sqref="A129">
    <cfRule type="duplicateValues" dxfId="3" priority="73"/>
  </conditionalFormatting>
  <conditionalFormatting sqref="A138">
    <cfRule type="duplicateValues" dxfId="3" priority="72"/>
  </conditionalFormatting>
  <conditionalFormatting sqref="A145">
    <cfRule type="duplicateValues" dxfId="3" priority="194"/>
  </conditionalFormatting>
  <conditionalFormatting sqref="A146">
    <cfRule type="duplicateValues" dxfId="3" priority="116"/>
  </conditionalFormatting>
  <conditionalFormatting sqref="A147">
    <cfRule type="duplicateValues" dxfId="3" priority="71"/>
  </conditionalFormatting>
  <conditionalFormatting sqref="A156">
    <cfRule type="duplicateValues" dxfId="3" priority="70"/>
  </conditionalFormatting>
  <conditionalFormatting sqref="A165">
    <cfRule type="duplicateValues" dxfId="3" priority="69"/>
  </conditionalFormatting>
  <conditionalFormatting sqref="A172">
    <cfRule type="duplicateValues" dxfId="3" priority="188"/>
  </conditionalFormatting>
  <conditionalFormatting sqref="A173">
    <cfRule type="duplicateValues" dxfId="3" priority="112"/>
  </conditionalFormatting>
  <conditionalFormatting sqref="A174">
    <cfRule type="duplicateValues" dxfId="3" priority="68"/>
  </conditionalFormatting>
  <conditionalFormatting sqref="A183">
    <cfRule type="duplicateValues" dxfId="3" priority="67"/>
  </conditionalFormatting>
  <conditionalFormatting sqref="A192">
    <cfRule type="duplicateValues" dxfId="3" priority="66"/>
  </conditionalFormatting>
  <conditionalFormatting sqref="A246">
    <cfRule type="duplicateValues" dxfId="3" priority="65"/>
  </conditionalFormatting>
  <conditionalFormatting sqref="A255">
    <cfRule type="duplicateValues" dxfId="3" priority="64"/>
  </conditionalFormatting>
  <conditionalFormatting sqref="A264">
    <cfRule type="duplicateValues" dxfId="3" priority="63"/>
  </conditionalFormatting>
  <conditionalFormatting sqref="A273">
    <cfRule type="duplicateValues" dxfId="3" priority="62"/>
  </conditionalFormatting>
  <conditionalFormatting sqref="A282">
    <cfRule type="duplicateValues" dxfId="3" priority="61"/>
  </conditionalFormatting>
  <conditionalFormatting sqref="A289">
    <cfRule type="duplicateValues" dxfId="3" priority="170"/>
  </conditionalFormatting>
  <conditionalFormatting sqref="A290">
    <cfRule type="duplicateValues" dxfId="3" priority="102"/>
  </conditionalFormatting>
  <conditionalFormatting sqref="A291">
    <cfRule type="duplicateValues" dxfId="3" priority="60"/>
  </conditionalFormatting>
  <conditionalFormatting sqref="A300">
    <cfRule type="duplicateValues" dxfId="3" priority="59"/>
  </conditionalFormatting>
  <conditionalFormatting sqref="A309">
    <cfRule type="duplicateValues" dxfId="3" priority="58"/>
  </conditionalFormatting>
  <conditionalFormatting sqref="A318">
    <cfRule type="duplicateValues" dxfId="3" priority="57"/>
  </conditionalFormatting>
  <conditionalFormatting sqref="A336">
    <cfRule type="duplicateValues" dxfId="3" priority="56"/>
  </conditionalFormatting>
  <conditionalFormatting sqref="A345">
    <cfRule type="duplicateValues" dxfId="3" priority="55"/>
  </conditionalFormatting>
  <conditionalFormatting sqref="A354">
    <cfRule type="duplicateValues" dxfId="3" priority="54"/>
  </conditionalFormatting>
  <conditionalFormatting sqref="A363">
    <cfRule type="duplicateValues" dxfId="3" priority="53"/>
  </conditionalFormatting>
  <conditionalFormatting sqref="A372">
    <cfRule type="duplicateValues" dxfId="3" priority="52"/>
  </conditionalFormatting>
  <conditionalFormatting sqref="A381">
    <cfRule type="duplicateValues" dxfId="3" priority="51"/>
  </conditionalFormatting>
  <conditionalFormatting sqref="A388">
    <cfRule type="duplicateValues" dxfId="3" priority="150"/>
  </conditionalFormatting>
  <conditionalFormatting sqref="A389">
    <cfRule type="duplicateValues" dxfId="3" priority="91"/>
  </conditionalFormatting>
  <conditionalFormatting sqref="A390">
    <cfRule type="duplicateValues" dxfId="3" priority="50"/>
  </conditionalFormatting>
  <conditionalFormatting sqref="A399">
    <cfRule type="duplicateValues" dxfId="3" priority="49"/>
  </conditionalFormatting>
  <conditionalFormatting sqref="A408">
    <cfRule type="duplicateValues" dxfId="3" priority="48"/>
  </conditionalFormatting>
  <conditionalFormatting sqref="A426">
    <cfRule type="duplicateValues" dxfId="3" priority="47"/>
  </conditionalFormatting>
  <conditionalFormatting sqref="A433">
    <cfRule type="duplicateValues" dxfId="3" priority="144"/>
  </conditionalFormatting>
  <conditionalFormatting sqref="A434">
    <cfRule type="duplicateValues" dxfId="3" priority="87"/>
  </conditionalFormatting>
  <conditionalFormatting sqref="A435">
    <cfRule type="duplicateValues" dxfId="3" priority="46"/>
  </conditionalFormatting>
  <conditionalFormatting sqref="A444">
    <cfRule type="duplicateValues" dxfId="3" priority="45"/>
  </conditionalFormatting>
  <conditionalFormatting sqref="A453">
    <cfRule type="duplicateValues" dxfId="3" priority="44"/>
  </conditionalFormatting>
  <conditionalFormatting sqref="A462">
    <cfRule type="duplicateValues" dxfId="3" priority="43"/>
  </conditionalFormatting>
  <conditionalFormatting sqref="A471">
    <cfRule type="duplicateValues" dxfId="3" priority="42"/>
  </conditionalFormatting>
  <conditionalFormatting sqref="A480">
    <cfRule type="duplicateValues" dxfId="3" priority="41"/>
  </conditionalFormatting>
  <conditionalFormatting sqref="A91:A92">
    <cfRule type="duplicateValues" dxfId="3" priority="202"/>
  </conditionalFormatting>
  <conditionalFormatting sqref="A100:A102">
    <cfRule type="duplicateValues" dxfId="3" priority="200"/>
  </conditionalFormatting>
  <conditionalFormatting sqref="A127:A128">
    <cfRule type="duplicateValues" dxfId="3" priority="198"/>
  </conditionalFormatting>
  <conditionalFormatting sqref="A136:A137">
    <cfRule type="duplicateValues" dxfId="3" priority="196"/>
  </conditionalFormatting>
  <conditionalFormatting sqref="A154:A155">
    <cfRule type="duplicateValues" dxfId="3" priority="191"/>
  </conditionalFormatting>
  <conditionalFormatting sqref="A163:A164">
    <cfRule type="duplicateValues" dxfId="3" priority="190"/>
  </conditionalFormatting>
  <conditionalFormatting sqref="A181:A182">
    <cfRule type="duplicateValues" dxfId="3" priority="186"/>
  </conditionalFormatting>
  <conditionalFormatting sqref="A190:A191">
    <cfRule type="duplicateValues" dxfId="3" priority="184"/>
  </conditionalFormatting>
  <conditionalFormatting sqref="A199:A200">
    <cfRule type="duplicateValues" dxfId="3" priority="182"/>
  </conditionalFormatting>
  <conditionalFormatting sqref="A201:A219">
    <cfRule type="duplicateValues" dxfId="3" priority="207"/>
  </conditionalFormatting>
  <conditionalFormatting sqref="A244:A245">
    <cfRule type="duplicateValues" dxfId="3" priority="180"/>
  </conditionalFormatting>
  <conditionalFormatting sqref="A253:A254">
    <cfRule type="duplicateValues" dxfId="3" priority="178"/>
  </conditionalFormatting>
  <conditionalFormatting sqref="A262:A263">
    <cfRule type="duplicateValues" dxfId="3" priority="176"/>
  </conditionalFormatting>
  <conditionalFormatting sqref="A271:A272">
    <cfRule type="duplicateValues" dxfId="3" priority="174"/>
  </conditionalFormatting>
  <conditionalFormatting sqref="A280:A281">
    <cfRule type="duplicateValues" dxfId="3" priority="172"/>
  </conditionalFormatting>
  <conditionalFormatting sqref="A298:A299">
    <cfRule type="duplicateValues" dxfId="3" priority="168"/>
  </conditionalFormatting>
  <conditionalFormatting sqref="A307:A308">
    <cfRule type="duplicateValues" dxfId="3" priority="166"/>
  </conditionalFormatting>
  <conditionalFormatting sqref="A316:A317">
    <cfRule type="duplicateValues" dxfId="3" priority="164"/>
  </conditionalFormatting>
  <conditionalFormatting sqref="A334:A335">
    <cfRule type="duplicateValues" dxfId="3" priority="162"/>
  </conditionalFormatting>
  <conditionalFormatting sqref="A343:A344">
    <cfRule type="duplicateValues" dxfId="3" priority="160"/>
  </conditionalFormatting>
  <conditionalFormatting sqref="A352:A353">
    <cfRule type="duplicateValues" dxfId="3" priority="158"/>
  </conditionalFormatting>
  <conditionalFormatting sqref="A361:A362">
    <cfRule type="duplicateValues" dxfId="3" priority="156"/>
  </conditionalFormatting>
  <conditionalFormatting sqref="A370:A371">
    <cfRule type="duplicateValues" dxfId="3" priority="154"/>
  </conditionalFormatting>
  <conditionalFormatting sqref="A379:A380">
    <cfRule type="duplicateValues" dxfId="3" priority="152"/>
  </conditionalFormatting>
  <conditionalFormatting sqref="A397:A398">
    <cfRule type="duplicateValues" dxfId="3" priority="148"/>
  </conditionalFormatting>
  <conditionalFormatting sqref="A400:A407">
    <cfRule type="duplicateValues" dxfId="3" priority="80"/>
  </conditionalFormatting>
  <conditionalFormatting sqref="A424:A425">
    <cfRule type="duplicateValues" dxfId="3" priority="146"/>
  </conditionalFormatting>
  <conditionalFormatting sqref="A442:A443">
    <cfRule type="duplicateValues" dxfId="3" priority="142"/>
  </conditionalFormatting>
  <conditionalFormatting sqref="A451:A452">
    <cfRule type="duplicateValues" dxfId="3" priority="140"/>
  </conditionalFormatting>
  <conditionalFormatting sqref="A460:A461">
    <cfRule type="duplicateValues" dxfId="3" priority="138"/>
  </conditionalFormatting>
  <conditionalFormatting sqref="A469:A470">
    <cfRule type="duplicateValues" dxfId="3" priority="136"/>
  </conditionalFormatting>
  <conditionalFormatting sqref="A478:A479">
    <cfRule type="duplicateValues" dxfId="3" priority="134"/>
  </conditionalFormatting>
  <conditionalFormatting sqref="A481:A1048576 A445:A450 A436:A441 A427:A432 A409:A423 A391:A396 A382:A387 A373:A378 A364:A369 A355:A360 A346:A351 A337:A342 A319:A333 A310:A315 A301:A306 A292:A297 A283:A288 A274:A279 A265:A270 A256:A261 A247:A252 A220:A243 A193:A198 A184:A189 A175:A180 A166:A171 A157:A162 A148:A153 A139:A144 A130:A135 A103:A126 A94:A99 A85:A90 A454:A459 A463:A468 A472:A477 A58:A65 A76:A81 A1:A37 A39:A46 A48:A55 A67:A73">
    <cfRule type="duplicateValues" dxfId="3" priority="206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workbookViewId="0">
      <selection activeCell="B1" sqref="B1:B45"/>
    </sheetView>
  </sheetViews>
  <sheetFormatPr defaultColWidth="9" defaultRowHeight="15" outlineLevelCol="1"/>
  <sheetData>
    <row r="1" spans="1:2">
      <c r="A1" t="s">
        <v>41</v>
      </c>
      <c r="B1" t="e">
        <f>VLOOKUP(A1,公会宝库商品!K:K,2,0)</f>
        <v>#REF!</v>
      </c>
    </row>
    <row r="2" spans="1:2">
      <c r="A2" t="s">
        <v>37</v>
      </c>
      <c r="B2" t="e">
        <f>VLOOKUP(A2,公会宝库商品!K:K,2,0)</f>
        <v>#REF!</v>
      </c>
    </row>
    <row r="3" spans="1:2">
      <c r="A3" t="s">
        <v>43</v>
      </c>
      <c r="B3" t="e">
        <f>VLOOKUP(A3,公会宝库商品!K:K,2,0)</f>
        <v>#REF!</v>
      </c>
    </row>
    <row r="4" spans="1:2">
      <c r="A4" t="s">
        <v>51</v>
      </c>
      <c r="B4" t="e">
        <f>VLOOKUP(A4,公会宝库商品!K:K,2,0)</f>
        <v>#REF!</v>
      </c>
    </row>
    <row r="5" spans="1:2">
      <c r="A5" t="s">
        <v>45</v>
      </c>
      <c r="B5" t="e">
        <f>VLOOKUP(A5,公会宝库商品!K:K,2,0)</f>
        <v>#REF!</v>
      </c>
    </row>
    <row r="6" spans="1:2">
      <c r="A6" t="s">
        <v>243</v>
      </c>
      <c r="B6" t="e">
        <f>VLOOKUP(A6,公会宝库商品!K:K,2,0)</f>
        <v>#N/A</v>
      </c>
    </row>
    <row r="7" spans="1:2">
      <c r="A7" t="s">
        <v>47</v>
      </c>
      <c r="B7" t="e">
        <f>VLOOKUP(A7,公会宝库商品!K:K,2,0)</f>
        <v>#REF!</v>
      </c>
    </row>
    <row r="8" spans="1:2">
      <c r="A8" t="s">
        <v>49</v>
      </c>
      <c r="B8" t="e">
        <f>VLOOKUP(A8,公会宝库商品!K:K,2,0)</f>
        <v>#REF!</v>
      </c>
    </row>
    <row r="9" spans="1:2">
      <c r="A9" t="s">
        <v>39</v>
      </c>
      <c r="B9" t="e">
        <f>VLOOKUP(A9,公会宝库商品!K:K,2,0)</f>
        <v>#REF!</v>
      </c>
    </row>
    <row r="10" spans="1:2">
      <c r="A10" t="s">
        <v>55</v>
      </c>
      <c r="B10" t="e">
        <f>VLOOKUP(A10,公会宝库商品!K:K,2,0)</f>
        <v>#REF!</v>
      </c>
    </row>
    <row r="11" spans="1:2">
      <c r="A11" t="s">
        <v>69</v>
      </c>
      <c r="B11" t="e">
        <f>VLOOKUP(A11,公会宝库商品!K:K,2,0)</f>
        <v>#REF!</v>
      </c>
    </row>
    <row r="12" spans="1:2">
      <c r="A12" t="s">
        <v>53</v>
      </c>
      <c r="B12" t="e">
        <f>VLOOKUP(A12,公会宝库商品!K:K,2,0)</f>
        <v>#REF!</v>
      </c>
    </row>
    <row r="13" spans="1:2">
      <c r="A13" t="s">
        <v>59</v>
      </c>
      <c r="B13" t="e">
        <f>VLOOKUP(A13,公会宝库商品!K:K,2,0)</f>
        <v>#REF!</v>
      </c>
    </row>
    <row r="14" spans="1:2">
      <c r="A14" t="s">
        <v>61</v>
      </c>
      <c r="B14" t="e">
        <f>VLOOKUP(A14,公会宝库商品!K:K,2,0)</f>
        <v>#REF!</v>
      </c>
    </row>
    <row r="15" spans="1:2">
      <c r="A15" t="s">
        <v>251</v>
      </c>
      <c r="B15" t="e">
        <f>VLOOKUP(A15,公会宝库商品!K:K,2,0)</f>
        <v>#N/A</v>
      </c>
    </row>
    <row r="16" spans="1:2">
      <c r="A16" t="s">
        <v>57</v>
      </c>
      <c r="B16" t="e">
        <f>VLOOKUP(A16,公会宝库商品!K:K,2,0)</f>
        <v>#REF!</v>
      </c>
    </row>
    <row r="17" spans="1:2">
      <c r="A17" t="s">
        <v>65</v>
      </c>
      <c r="B17" t="e">
        <f>VLOOKUP(A17,公会宝库商品!K:K,2,0)</f>
        <v>#REF!</v>
      </c>
    </row>
    <row r="18" spans="1:2">
      <c r="A18" t="s">
        <v>67</v>
      </c>
      <c r="B18" t="e">
        <f>VLOOKUP(A18,公会宝库商品!K:K,2,0)</f>
        <v>#REF!</v>
      </c>
    </row>
    <row r="19" spans="1:2">
      <c r="A19" t="s">
        <v>119</v>
      </c>
      <c r="B19" t="e">
        <f>VLOOKUP(A19,公会宝库商品!K:K,2,0)</f>
        <v>#REF!</v>
      </c>
    </row>
    <row r="20" spans="1:2">
      <c r="A20" t="s">
        <v>117</v>
      </c>
      <c r="B20" t="e">
        <f>VLOOKUP(A20,公会宝库商品!K:K,2,0)</f>
        <v>#REF!</v>
      </c>
    </row>
    <row r="21" spans="1:2">
      <c r="A21" t="s">
        <v>75</v>
      </c>
      <c r="B21" t="e">
        <f>VLOOKUP(A21,公会宝库商品!K:K,2,0)</f>
        <v>#REF!</v>
      </c>
    </row>
    <row r="22" spans="1:2">
      <c r="A22" t="s">
        <v>81</v>
      </c>
      <c r="B22" t="e">
        <f>VLOOKUP(A22,公会宝库商品!K:K,2,0)</f>
        <v>#REF!</v>
      </c>
    </row>
    <row r="23" spans="1:2">
      <c r="A23" t="s">
        <v>85</v>
      </c>
      <c r="B23" t="e">
        <f>VLOOKUP(A23,公会宝库商品!K:K,2,0)</f>
        <v>#REF!</v>
      </c>
    </row>
    <row r="24" spans="1:2">
      <c r="A24" t="s">
        <v>87</v>
      </c>
      <c r="B24" t="e">
        <f>VLOOKUP(A24,公会宝库商品!K:K,2,0)</f>
        <v>#REF!</v>
      </c>
    </row>
    <row r="25" spans="1:2">
      <c r="A25" t="s">
        <v>73</v>
      </c>
      <c r="B25" t="e">
        <f>VLOOKUP(A25,公会宝库商品!K:K,2,0)</f>
        <v>#REF!</v>
      </c>
    </row>
    <row r="26" spans="1:2">
      <c r="A26" t="s">
        <v>71</v>
      </c>
      <c r="B26" t="e">
        <f>VLOOKUP(A26,公会宝库商品!K:K,2,0)</f>
        <v>#REF!</v>
      </c>
    </row>
    <row r="27" spans="1:2">
      <c r="A27" t="s">
        <v>83</v>
      </c>
      <c r="B27" t="e">
        <f>VLOOKUP(A27,公会宝库商品!K:K,2,0)</f>
        <v>#REF!</v>
      </c>
    </row>
    <row r="28" spans="1:2">
      <c r="A28" t="s">
        <v>77</v>
      </c>
      <c r="B28" t="e">
        <f>VLOOKUP(A28,公会宝库商品!K:K,2,0)</f>
        <v>#REF!</v>
      </c>
    </row>
    <row r="29" spans="1:2">
      <c r="A29" t="s">
        <v>79</v>
      </c>
      <c r="B29" t="e">
        <f>VLOOKUP(A29,公会宝库商品!K:K,2,0)</f>
        <v>#REF!</v>
      </c>
    </row>
    <row r="30" spans="1:2">
      <c r="A30" t="s">
        <v>105</v>
      </c>
      <c r="B30" t="e">
        <f>VLOOKUP(A30,公会宝库商品!K:K,2,0)</f>
        <v>#REF!</v>
      </c>
    </row>
    <row r="31" spans="1:2">
      <c r="A31" t="s">
        <v>103</v>
      </c>
      <c r="B31" t="e">
        <f>VLOOKUP(A31,公会宝库商品!K:K,2,0)</f>
        <v>#REF!</v>
      </c>
    </row>
    <row r="32" spans="1:2">
      <c r="A32" t="s">
        <v>93</v>
      </c>
      <c r="B32" t="e">
        <f>VLOOKUP(A32,公会宝库商品!K:K,2,0)</f>
        <v>#REF!</v>
      </c>
    </row>
    <row r="33" spans="1:2">
      <c r="A33" t="s">
        <v>107</v>
      </c>
      <c r="B33" t="e">
        <f>VLOOKUP(A33,公会宝库商品!K:K,2,0)</f>
        <v>#REF!</v>
      </c>
    </row>
    <row r="34" spans="1:2">
      <c r="A34" t="s">
        <v>115</v>
      </c>
      <c r="B34" t="e">
        <f>VLOOKUP(A34,公会宝库商品!K:K,2,0)</f>
        <v>#REF!</v>
      </c>
    </row>
    <row r="35" spans="1:2">
      <c r="A35" t="s">
        <v>255</v>
      </c>
      <c r="B35" t="e">
        <f>VLOOKUP(A35,公会宝库商品!K:K,2,0)</f>
        <v>#N/A</v>
      </c>
    </row>
    <row r="36" spans="1:2">
      <c r="A36" t="s">
        <v>63</v>
      </c>
      <c r="B36" t="e">
        <f>VLOOKUP(A36,公会宝库商品!K:K,2,0)</f>
        <v>#REF!</v>
      </c>
    </row>
    <row r="37" spans="1:2">
      <c r="A37" t="s">
        <v>101</v>
      </c>
      <c r="B37" t="e">
        <f>VLOOKUP(A37,公会宝库商品!K:K,2,0)</f>
        <v>#REF!</v>
      </c>
    </row>
    <row r="38" spans="1:2">
      <c r="A38" t="s">
        <v>111</v>
      </c>
      <c r="B38" t="e">
        <f>VLOOKUP(A38,公会宝库商品!K:K,2,0)</f>
        <v>#REF!</v>
      </c>
    </row>
    <row r="39" spans="1:2">
      <c r="A39" t="s">
        <v>97</v>
      </c>
      <c r="B39" t="e">
        <f>VLOOKUP(A39,公会宝库商品!K:K,2,0)</f>
        <v>#REF!</v>
      </c>
    </row>
    <row r="40" spans="1:2">
      <c r="A40" t="s">
        <v>99</v>
      </c>
      <c r="B40" t="e">
        <f>VLOOKUP(A40,公会宝库商品!K:K,2,0)</f>
        <v>#REF!</v>
      </c>
    </row>
    <row r="41" spans="1:2">
      <c r="A41" t="s">
        <v>113</v>
      </c>
      <c r="B41" t="e">
        <f>VLOOKUP(A41,公会宝库商品!K:K,2,0)</f>
        <v>#REF!</v>
      </c>
    </row>
    <row r="42" spans="1:2">
      <c r="A42" t="s">
        <v>109</v>
      </c>
      <c r="B42" t="e">
        <f>VLOOKUP(A42,公会宝库商品!K:K,2,0)</f>
        <v>#REF!</v>
      </c>
    </row>
    <row r="43" spans="1:2">
      <c r="A43" t="s">
        <v>89</v>
      </c>
      <c r="B43" t="e">
        <f>VLOOKUP(A43,公会宝库商品!K:K,2,0)</f>
        <v>#REF!</v>
      </c>
    </row>
    <row r="44" spans="1:2">
      <c r="A44" t="s">
        <v>91</v>
      </c>
      <c r="B44" t="e">
        <f>VLOOKUP(A44,公会宝库商品!K:K,2,0)</f>
        <v>#REF!</v>
      </c>
    </row>
    <row r="45" spans="1:2">
      <c r="A45" t="s">
        <v>95</v>
      </c>
      <c r="B45" t="e">
        <f>VLOOKUP(A45,公会宝库商品!K:K,2,0)</f>
        <v>#REF!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公会宝库商品</vt:lpstr>
      <vt:lpstr>公会宝库系统赠送奖励</vt:lpstr>
      <vt:lpstr>公会战获胜掉落奖励</vt:lpstr>
      <vt:lpstr>公会宝库提示</vt:lpstr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2020-09-03T06:13:00Z</dcterms:created>
  <dcterms:modified xsi:type="dcterms:W3CDTF">2023-09-25T04:47:19Z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26C74E53B99E49B8A33C0AF07D5F5255_12</vt:lpwstr>
  </property>
</Properties>
</file>