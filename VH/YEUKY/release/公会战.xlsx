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 activeTab="4"/>
  </bookViews>
  <sheets>
    <sheet name="公会战据点" sheetId="2" r:id="rId1"/>
    <sheet name="公会战排行榜奖励" sheetId="1" r:id="rId2"/>
    <sheet name="公会战废墟BUFF" sheetId="3" r:id="rId3"/>
    <sheet name="公会战结算奖励" sheetId="5" r:id="rId4"/>
    <sheet name="公会战时间表" sheetId="6" r:id="rId5"/>
    <sheet name="公会战挑战难度" sheetId="7" r:id="rId6"/>
    <sheet name="Sheet1" sheetId="8" r:id="rId7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类型1：胜利奖励
类型2：失败奖励</t>
        </r>
      </text>
    </comment>
  </commentList>
</comments>
</file>

<file path=xl/sharedStrings.xml><?xml version="1.0" encoding="utf-8"?>
<sst xmlns="http://schemas.openxmlformats.org/spreadsheetml/2006/main" count="134" uniqueCount="108">
  <si>
    <t>据点ID</t>
  </si>
  <si>
    <t>获胜奖励</t>
  </si>
  <si>
    <t>基础战绩</t>
  </si>
  <si>
    <t>挑战废墟战绩</t>
  </si>
  <si>
    <t>挑战据点战败战绩</t>
  </si>
  <si>
    <t>挑战废墟战败战绩</t>
  </si>
  <si>
    <t>废墟最大成功挑战次数</t>
  </si>
  <si>
    <t>0:0:500000#0:12:1500</t>
  </si>
  <si>
    <t>0:0:480000#0:12:1450</t>
  </si>
  <si>
    <t>0:0:460000#0:12:1400</t>
  </si>
  <si>
    <t>0:0:440000#0:12:1350</t>
  </si>
  <si>
    <t>0:0:420000#0:12:1300</t>
  </si>
  <si>
    <t>0:0:400000#0:12:1250</t>
  </si>
  <si>
    <t>0:0:380000#0:12:1200</t>
  </si>
  <si>
    <t>0:0:360000#0:12:1150</t>
  </si>
  <si>
    <t>0:0:340000#0:12:1100</t>
  </si>
  <si>
    <t>0:0:320000#0:12:1050</t>
  </si>
  <si>
    <t>0:0:300000#0:12:1000</t>
  </si>
  <si>
    <t>0:0:280000#0:12:950</t>
  </si>
  <si>
    <t>0:0:260000#0:12:900</t>
  </si>
  <si>
    <t>0:0:240000#0:12:850</t>
  </si>
  <si>
    <t>0:0:220000#0:12:800</t>
  </si>
  <si>
    <t>0:0:200000#0:12:750</t>
  </si>
  <si>
    <t>0:0:180000#0:12:700</t>
  </si>
  <si>
    <t>0:0:160000#0:12:650</t>
  </si>
  <si>
    <t>0:0:140000#0:12:600</t>
  </si>
  <si>
    <t>0:0:120000#0:12:550</t>
  </si>
  <si>
    <t>0:0:100000#0:12:500</t>
  </si>
  <si>
    <t>ID</t>
  </si>
  <si>
    <t>名次开始</t>
  </si>
  <si>
    <t>名次结束</t>
  </si>
  <si>
    <t>奖励</t>
  </si>
  <si>
    <t>0:0:3000000#0:1:500#3:100006:10#0:12:10000</t>
  </si>
  <si>
    <r>
      <rPr>
        <sz val="11"/>
        <color theme="1"/>
        <rFont val="Calibri"/>
        <charset val="134"/>
        <scheme val="minor"/>
      </rPr>
      <t>0:0:1500000#0:1:300#3:100006:8</t>
    </r>
    <r>
      <rPr>
        <sz val="11"/>
        <color theme="1"/>
        <rFont val="Calibri"/>
        <charset val="134"/>
        <scheme val="minor"/>
      </rPr>
      <t>#0:12:5000</t>
    </r>
  </si>
  <si>
    <r>
      <rPr>
        <sz val="11"/>
        <color theme="1"/>
        <rFont val="Calibri"/>
        <charset val="134"/>
        <scheme val="minor"/>
      </rPr>
      <t>0:0:800000#0:1:200#3:100006:5</t>
    </r>
    <r>
      <rPr>
        <sz val="11"/>
        <color theme="1"/>
        <rFont val="Calibri"/>
        <charset val="134"/>
        <scheme val="minor"/>
      </rPr>
      <t>#0:12:2000</t>
    </r>
  </si>
  <si>
    <r>
      <rPr>
        <sz val="11"/>
        <color theme="1"/>
        <rFont val="Calibri"/>
        <charset val="134"/>
        <scheme val="minor"/>
      </rPr>
      <t>0:0:600000#0:1:100</t>
    </r>
    <r>
      <rPr>
        <sz val="11"/>
        <color theme="1"/>
        <rFont val="Calibri"/>
        <charset val="134"/>
        <scheme val="minor"/>
      </rPr>
      <t>#0:12:1000</t>
    </r>
  </si>
  <si>
    <r>
      <rPr>
        <sz val="11"/>
        <color theme="1"/>
        <rFont val="Calibri"/>
        <charset val="134"/>
        <scheme val="minor"/>
      </rPr>
      <t>0:0:500000#0:1:80</t>
    </r>
    <r>
      <rPr>
        <sz val="11"/>
        <color theme="1"/>
        <rFont val="Calibri"/>
        <charset val="134"/>
        <scheme val="minor"/>
      </rPr>
      <t>#0:12:500</t>
    </r>
  </si>
  <si>
    <r>
      <rPr>
        <sz val="11"/>
        <color theme="1"/>
        <rFont val="Calibri"/>
        <charset val="134"/>
        <scheme val="minor"/>
      </rPr>
      <t>0:0:300000#0:1:50</t>
    </r>
    <r>
      <rPr>
        <sz val="11"/>
        <color theme="1"/>
        <rFont val="Calibri"/>
        <charset val="134"/>
        <scheme val="minor"/>
      </rPr>
      <t>#0:12:200</t>
    </r>
  </si>
  <si>
    <t>BUFF等级</t>
  </si>
  <si>
    <t>附加属性</t>
  </si>
  <si>
    <t>1:12000#2:18#3:1243#4:13#5:100#6:100</t>
  </si>
  <si>
    <t>攻击</t>
  </si>
  <si>
    <t>血量</t>
  </si>
  <si>
    <t>防御</t>
  </si>
  <si>
    <t>速度</t>
  </si>
  <si>
    <t>1:24000#2:36#3:2487#4:27#5:200#6:200</t>
  </si>
  <si>
    <t>1:36000#2:55#3:3730#4:40#5:300#6:300</t>
  </si>
  <si>
    <t>1:48000#2:73#3:4973#4:53#5:400#6:400</t>
  </si>
  <si>
    <t>1:60000#2:91#3:6217#4:67#5:500#6:500</t>
  </si>
  <si>
    <t>1:72000#2:109#3:7460#4:80#5:600#6:600</t>
  </si>
  <si>
    <t>1:84000#2:127#3:8703#4:93#5:700#6:700</t>
  </si>
  <si>
    <t>1:96000#2:146#3:9947#4:107#5:800#6:800</t>
  </si>
  <si>
    <t>1:108000#2:164#3:11190#4:120#5:900#6:900</t>
  </si>
  <si>
    <t>1:120000#2:182#3:12433#4:133#5:1000#6:1000</t>
  </si>
  <si>
    <t>1:132000#2:200#3:13677#4:147#5:1100#6:1100</t>
  </si>
  <si>
    <t>1:144000#2:218#3:14920#4:160#5:1200#6:1200</t>
  </si>
  <si>
    <t>1:156000#2:237#3:16163#4:173#5:1300#6:1300</t>
  </si>
  <si>
    <t>1:168000#2:255#3:17407#4:187#5:1400#6:1400</t>
  </si>
  <si>
    <t>1:180000#2:273#3:18650#4:200#5:1500#6:1500</t>
  </si>
  <si>
    <t>权重</t>
  </si>
  <si>
    <t>类型</t>
  </si>
  <si>
    <t>0:0:1000000</t>
  </si>
  <si>
    <t>0:1:200</t>
  </si>
  <si>
    <t>3:100001:200</t>
  </si>
  <si>
    <t>进阶石</t>
  </si>
  <si>
    <t>3:100006:10</t>
  </si>
  <si>
    <t>高抽</t>
  </si>
  <si>
    <t>3:100004:500</t>
  </si>
  <si>
    <t>鎏金粉</t>
  </si>
  <si>
    <t>4:606002:50</t>
  </si>
  <si>
    <t>5星碎片</t>
  </si>
  <si>
    <t>6:30001:5</t>
  </si>
  <si>
    <t>兽魂经验</t>
  </si>
  <si>
    <t>3:100002:30</t>
  </si>
  <si>
    <t>法宝升级</t>
  </si>
  <si>
    <t>3:100023:5</t>
  </si>
  <si>
    <t>演武场</t>
  </si>
  <si>
    <t>0:0:2000000</t>
  </si>
  <si>
    <t>0:1:500</t>
  </si>
  <si>
    <t>0:0:300000</t>
  </si>
  <si>
    <t>0:1:50</t>
  </si>
  <si>
    <t>3:100001:50</t>
  </si>
  <si>
    <t>3:100005:50</t>
  </si>
  <si>
    <t>普抽</t>
  </si>
  <si>
    <t>3:100004:100</t>
  </si>
  <si>
    <t>4星碎片</t>
  </si>
  <si>
    <t>6:30001:2</t>
  </si>
  <si>
    <t>3:100002:20</t>
  </si>
  <si>
    <t>3:100023:2</t>
  </si>
  <si>
    <t>持续分钟数</t>
  </si>
  <si>
    <t>备注</t>
  </si>
  <si>
    <t>时间段</t>
  </si>
  <si>
    <r>
      <rPr>
        <sz val="10.5"/>
        <color rgb="FF000000"/>
        <rFont val="Helvetica"/>
        <charset val="134"/>
      </rPr>
      <t>Xác lập giao đấu tin tức</t>
    </r>
  </si>
  <si>
    <t>00:00 - 08:59</t>
  </si>
  <si>
    <r>
      <rPr>
        <sz val="10.5"/>
        <color rgb="FF000000"/>
        <rFont val="Helvetica"/>
        <charset val="134"/>
      </rPr>
      <t>Tạo dựng chiến trường số liệu</t>
    </r>
  </si>
  <si>
    <t>8:59 - 12:00</t>
  </si>
  <si>
    <r>
      <rPr>
        <sz val="10.5"/>
        <color rgb="FF000000"/>
        <rFont val="Helvetica"/>
        <charset val="134"/>
      </rPr>
      <t>Chiến đấu giai đoạn</t>
    </r>
  </si>
  <si>
    <t>12:00 - 20:00</t>
  </si>
  <si>
    <r>
      <rPr>
        <sz val="10.5"/>
        <color rgb="FF000000"/>
        <rFont val="Helvetica"/>
        <charset val="134"/>
      </rPr>
      <t>Nhận lấy bảo rương giai đoạn</t>
    </r>
  </si>
  <si>
    <t>20:00 - 00:00</t>
  </si>
  <si>
    <t>获得星星数</t>
  </si>
  <si>
    <t>战绩系数</t>
  </si>
  <si>
    <t>简单</t>
  </si>
  <si>
    <t>1001:-3000#1002:-3000#1003:-3000#1004:-3000</t>
  </si>
  <si>
    <t>普通</t>
  </si>
  <si>
    <t>1001:0#1002:0#1003:0#1004:0</t>
  </si>
  <si>
    <t>困难</t>
  </si>
  <si>
    <t>1001:1000#1002:1000#1003:1000#1004:1000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</si>
</sst>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Calibri"/>
      <charset val="134"/>
      <scheme val="minor"/>
    </font>
    <font>
      <sz val="10.5"/>
      <color rgb="FF000000"/>
      <name val="Helvetica"/>
      <charset val="134"/>
    </font>
    <font>
      <b/>
      <sz val="11"/>
      <color rgb="FFFA7D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SimSun"/>
      <charset val="134"/>
    </font>
    <font>
      <sz val="9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" applyNumberFormat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/>
    <xf numFmtId="0" fontId="1" fillId="2" borderId="0" xfId="0" applyFont="1" applyFill="1" applyAlignment="1">
      <alignment wrapText="1"/>
    </xf>
    <xf numFmtId="49" fontId="0" fillId="0" borderId="0" xfId="0" applyNumberFormat="1" applyFont="1"/>
    <xf numFmtId="49" fontId="0" fillId="0" borderId="0" xfId="0" applyNumberFormat="1"/>
    <xf numFmtId="0" fontId="2" fillId="3" borderId="1" xfId="18" applyFont="1" applyFill="1" applyBorder="1" applyAlignment="1"/>
    <xf numFmtId="49" fontId="2" fillId="3" borderId="1" xfId="18" applyNumberFormat="1" applyFont="1" applyFill="1" applyBorder="1" applyAlignment="1"/>
    <xf numFmtId="20" fontId="0" fillId="0" borderId="0" xfId="0" applyNumberFormat="1"/>
    <xf numFmtId="0" fontId="0" fillId="0" borderId="0" xfId="0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opLeftCell="A22" workbookViewId="0">
      <selection activeCell="I11" sqref="I11"/>
    </sheetView>
  </sheetViews>
  <sheetFormatPr defaultColWidth="9" defaultRowHeight="15" outlineLevelCol="6"/>
  <cols>
    <col min="2" max="2" width="20.752380952381" customWidth="1"/>
    <col min="3" max="3" width="13" customWidth="1"/>
    <col min="4" max="6" width="17.247619047619" customWidth="1"/>
    <col min="7" max="7" width="21.24761904761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s="4" t="s">
        <v>7</v>
      </c>
      <c r="C2">
        <v>150</v>
      </c>
      <c r="D2">
        <v>50</v>
      </c>
      <c r="E2">
        <v>1</v>
      </c>
      <c r="F2">
        <v>1</v>
      </c>
      <c r="G2">
        <v>5</v>
      </c>
    </row>
    <row r="3" spans="1:7">
      <c r="A3">
        <v>2</v>
      </c>
      <c r="B3" s="4" t="s">
        <v>8</v>
      </c>
      <c r="C3">
        <v>145</v>
      </c>
      <c r="D3">
        <v>48</v>
      </c>
      <c r="E3">
        <v>1</v>
      </c>
      <c r="F3">
        <v>1</v>
      </c>
      <c r="G3">
        <v>5</v>
      </c>
    </row>
    <row r="4" spans="1:7">
      <c r="A4">
        <v>3</v>
      </c>
      <c r="B4" s="4" t="s">
        <v>9</v>
      </c>
      <c r="C4">
        <v>140</v>
      </c>
      <c r="D4">
        <v>46</v>
      </c>
      <c r="E4">
        <v>1</v>
      </c>
      <c r="F4">
        <v>1</v>
      </c>
      <c r="G4">
        <v>5</v>
      </c>
    </row>
    <row r="5" spans="1:7">
      <c r="A5">
        <v>4</v>
      </c>
      <c r="B5" s="4" t="s">
        <v>10</v>
      </c>
      <c r="C5">
        <v>135</v>
      </c>
      <c r="D5">
        <v>44</v>
      </c>
      <c r="E5">
        <v>1</v>
      </c>
      <c r="F5">
        <v>1</v>
      </c>
      <c r="G5">
        <v>5</v>
      </c>
    </row>
    <row r="6" spans="1:7">
      <c r="A6">
        <v>5</v>
      </c>
      <c r="B6" s="4" t="s">
        <v>11</v>
      </c>
      <c r="C6">
        <v>130</v>
      </c>
      <c r="D6">
        <v>42</v>
      </c>
      <c r="E6">
        <v>1</v>
      </c>
      <c r="F6">
        <v>1</v>
      </c>
      <c r="G6">
        <v>5</v>
      </c>
    </row>
    <row r="7" spans="1:7">
      <c r="A7">
        <v>6</v>
      </c>
      <c r="B7" s="4" t="s">
        <v>12</v>
      </c>
      <c r="C7">
        <v>125</v>
      </c>
      <c r="D7">
        <v>40</v>
      </c>
      <c r="E7">
        <v>1</v>
      </c>
      <c r="F7">
        <v>1</v>
      </c>
      <c r="G7">
        <v>5</v>
      </c>
    </row>
    <row r="8" spans="1:7">
      <c r="A8">
        <v>7</v>
      </c>
      <c r="B8" s="4" t="s">
        <v>13</v>
      </c>
      <c r="C8">
        <v>120</v>
      </c>
      <c r="D8">
        <v>38</v>
      </c>
      <c r="E8">
        <v>1</v>
      </c>
      <c r="F8">
        <v>1</v>
      </c>
      <c r="G8">
        <v>5</v>
      </c>
    </row>
    <row r="9" spans="1:7">
      <c r="A9">
        <v>8</v>
      </c>
      <c r="B9" s="4" t="s">
        <v>14</v>
      </c>
      <c r="C9">
        <v>115</v>
      </c>
      <c r="D9">
        <v>36</v>
      </c>
      <c r="E9">
        <v>1</v>
      </c>
      <c r="F9">
        <v>1</v>
      </c>
      <c r="G9">
        <v>5</v>
      </c>
    </row>
    <row r="10" spans="1:7">
      <c r="A10">
        <v>9</v>
      </c>
      <c r="B10" s="4" t="s">
        <v>15</v>
      </c>
      <c r="C10">
        <v>110</v>
      </c>
      <c r="D10">
        <v>34</v>
      </c>
      <c r="E10">
        <v>1</v>
      </c>
      <c r="F10">
        <v>1</v>
      </c>
      <c r="G10">
        <v>5</v>
      </c>
    </row>
    <row r="11" spans="1:7">
      <c r="A11">
        <v>10</v>
      </c>
      <c r="B11" s="4" t="s">
        <v>16</v>
      </c>
      <c r="C11">
        <v>105</v>
      </c>
      <c r="D11">
        <v>32</v>
      </c>
      <c r="E11">
        <v>1</v>
      </c>
      <c r="F11">
        <v>1</v>
      </c>
      <c r="G11">
        <v>5</v>
      </c>
    </row>
    <row r="12" spans="1:7">
      <c r="A12">
        <v>11</v>
      </c>
      <c r="B12" s="4" t="s">
        <v>17</v>
      </c>
      <c r="C12">
        <v>100</v>
      </c>
      <c r="D12">
        <v>30</v>
      </c>
      <c r="E12">
        <v>1</v>
      </c>
      <c r="F12">
        <v>1</v>
      </c>
      <c r="G12">
        <v>5</v>
      </c>
    </row>
    <row r="13" spans="1:7">
      <c r="A13">
        <v>12</v>
      </c>
      <c r="B13" s="4" t="s">
        <v>18</v>
      </c>
      <c r="C13">
        <v>95</v>
      </c>
      <c r="D13">
        <v>28</v>
      </c>
      <c r="E13">
        <v>1</v>
      </c>
      <c r="F13">
        <v>1</v>
      </c>
      <c r="G13">
        <v>5</v>
      </c>
    </row>
    <row r="14" spans="1:7">
      <c r="A14">
        <v>13</v>
      </c>
      <c r="B14" s="4" t="s">
        <v>19</v>
      </c>
      <c r="C14">
        <v>90</v>
      </c>
      <c r="D14">
        <v>26</v>
      </c>
      <c r="E14">
        <v>1</v>
      </c>
      <c r="F14">
        <v>1</v>
      </c>
      <c r="G14">
        <v>5</v>
      </c>
    </row>
    <row r="15" spans="1:7">
      <c r="A15">
        <v>14</v>
      </c>
      <c r="B15" s="4" t="s">
        <v>20</v>
      </c>
      <c r="C15">
        <v>85</v>
      </c>
      <c r="D15">
        <v>24</v>
      </c>
      <c r="E15">
        <v>1</v>
      </c>
      <c r="F15">
        <v>1</v>
      </c>
      <c r="G15">
        <v>5</v>
      </c>
    </row>
    <row r="16" spans="1:7">
      <c r="A16">
        <v>15</v>
      </c>
      <c r="B16" s="4" t="s">
        <v>21</v>
      </c>
      <c r="C16">
        <v>80</v>
      </c>
      <c r="D16">
        <v>22</v>
      </c>
      <c r="E16">
        <v>1</v>
      </c>
      <c r="F16">
        <v>1</v>
      </c>
      <c r="G16">
        <v>5</v>
      </c>
    </row>
    <row r="17" spans="1:7">
      <c r="A17">
        <v>16</v>
      </c>
      <c r="B17" s="4" t="s">
        <v>22</v>
      </c>
      <c r="C17">
        <v>75</v>
      </c>
      <c r="D17">
        <v>20</v>
      </c>
      <c r="E17">
        <v>1</v>
      </c>
      <c r="F17">
        <v>1</v>
      </c>
      <c r="G17">
        <v>5</v>
      </c>
    </row>
    <row r="18" spans="1:7">
      <c r="A18">
        <v>17</v>
      </c>
      <c r="B18" s="4" t="s">
        <v>23</v>
      </c>
      <c r="C18">
        <v>70</v>
      </c>
      <c r="D18">
        <v>18</v>
      </c>
      <c r="E18">
        <v>1</v>
      </c>
      <c r="F18">
        <v>1</v>
      </c>
      <c r="G18">
        <v>5</v>
      </c>
    </row>
    <row r="19" spans="1:7">
      <c r="A19">
        <v>18</v>
      </c>
      <c r="B19" s="4" t="s">
        <v>24</v>
      </c>
      <c r="C19">
        <v>65</v>
      </c>
      <c r="D19">
        <v>16</v>
      </c>
      <c r="E19">
        <v>1</v>
      </c>
      <c r="F19">
        <v>1</v>
      </c>
      <c r="G19">
        <v>5</v>
      </c>
    </row>
    <row r="20" spans="1:7">
      <c r="A20">
        <v>19</v>
      </c>
      <c r="B20" s="4" t="s">
        <v>25</v>
      </c>
      <c r="C20">
        <v>60</v>
      </c>
      <c r="D20">
        <v>14</v>
      </c>
      <c r="E20">
        <v>1</v>
      </c>
      <c r="F20">
        <v>1</v>
      </c>
      <c r="G20">
        <v>5</v>
      </c>
    </row>
    <row r="21" spans="1:7">
      <c r="A21">
        <v>20</v>
      </c>
      <c r="B21" s="4" t="s">
        <v>26</v>
      </c>
      <c r="C21">
        <v>55</v>
      </c>
      <c r="D21">
        <v>12</v>
      </c>
      <c r="E21">
        <v>1</v>
      </c>
      <c r="F21">
        <v>1</v>
      </c>
      <c r="G21">
        <v>5</v>
      </c>
    </row>
    <row r="22" spans="1:7">
      <c r="A22">
        <v>21</v>
      </c>
      <c r="B22" s="4" t="s">
        <v>27</v>
      </c>
      <c r="C22">
        <v>50</v>
      </c>
      <c r="D22">
        <v>10</v>
      </c>
      <c r="E22">
        <v>1</v>
      </c>
      <c r="F22">
        <v>1</v>
      </c>
      <c r="G22">
        <v>5</v>
      </c>
    </row>
    <row r="23" spans="1:7">
      <c r="A23">
        <v>22</v>
      </c>
      <c r="B23" s="4" t="s">
        <v>27</v>
      </c>
      <c r="C23">
        <v>50</v>
      </c>
      <c r="D23">
        <v>8</v>
      </c>
      <c r="E23">
        <v>1</v>
      </c>
      <c r="F23">
        <v>1</v>
      </c>
      <c r="G23">
        <v>5</v>
      </c>
    </row>
    <row r="24" spans="1:7">
      <c r="A24">
        <v>23</v>
      </c>
      <c r="B24" s="4" t="s">
        <v>27</v>
      </c>
      <c r="C24">
        <v>50</v>
      </c>
      <c r="D24">
        <v>6</v>
      </c>
      <c r="E24">
        <v>1</v>
      </c>
      <c r="F24">
        <v>1</v>
      </c>
      <c r="G24">
        <v>5</v>
      </c>
    </row>
    <row r="25" spans="1:7">
      <c r="A25">
        <v>24</v>
      </c>
      <c r="B25" s="4" t="s">
        <v>27</v>
      </c>
      <c r="C25">
        <v>50</v>
      </c>
      <c r="D25">
        <v>5</v>
      </c>
      <c r="E25">
        <v>1</v>
      </c>
      <c r="F25">
        <v>1</v>
      </c>
      <c r="G25">
        <v>5</v>
      </c>
    </row>
    <row r="26" spans="1:7">
      <c r="A26">
        <v>25</v>
      </c>
      <c r="B26" s="4" t="s">
        <v>27</v>
      </c>
      <c r="C26">
        <v>50</v>
      </c>
      <c r="D26">
        <v>5</v>
      </c>
      <c r="E26">
        <v>1</v>
      </c>
      <c r="F26">
        <v>1</v>
      </c>
      <c r="G26">
        <v>5</v>
      </c>
    </row>
    <row r="27" spans="1:7">
      <c r="A27">
        <v>26</v>
      </c>
      <c r="B27" s="4" t="s">
        <v>27</v>
      </c>
      <c r="C27">
        <v>50</v>
      </c>
      <c r="D27">
        <v>5</v>
      </c>
      <c r="E27">
        <v>1</v>
      </c>
      <c r="F27">
        <v>1</v>
      </c>
      <c r="G27">
        <v>5</v>
      </c>
    </row>
    <row r="28" spans="1:7">
      <c r="A28">
        <v>27</v>
      </c>
      <c r="B28" s="4" t="s">
        <v>27</v>
      </c>
      <c r="C28">
        <v>50</v>
      </c>
      <c r="D28">
        <v>5</v>
      </c>
      <c r="E28">
        <v>1</v>
      </c>
      <c r="F28">
        <v>1</v>
      </c>
      <c r="G28">
        <v>5</v>
      </c>
    </row>
    <row r="29" spans="1:7">
      <c r="A29">
        <v>28</v>
      </c>
      <c r="B29" s="4" t="s">
        <v>27</v>
      </c>
      <c r="C29">
        <v>50</v>
      </c>
      <c r="D29">
        <v>5</v>
      </c>
      <c r="E29">
        <v>1</v>
      </c>
      <c r="F29">
        <v>1</v>
      </c>
      <c r="G29">
        <v>5</v>
      </c>
    </row>
    <row r="30" spans="1:7">
      <c r="A30">
        <v>29</v>
      </c>
      <c r="B30" s="4" t="s">
        <v>27</v>
      </c>
      <c r="C30">
        <v>50</v>
      </c>
      <c r="D30">
        <v>5</v>
      </c>
      <c r="E30">
        <v>1</v>
      </c>
      <c r="F30">
        <v>1</v>
      </c>
      <c r="G30">
        <v>5</v>
      </c>
    </row>
    <row r="31" spans="1:7">
      <c r="A31">
        <v>30</v>
      </c>
      <c r="B31" s="4" t="s">
        <v>27</v>
      </c>
      <c r="C31">
        <v>50</v>
      </c>
      <c r="D31">
        <v>5</v>
      </c>
      <c r="E31">
        <v>1</v>
      </c>
      <c r="F31">
        <v>1</v>
      </c>
      <c r="G31">
        <v>5</v>
      </c>
    </row>
    <row r="32" spans="1:7">
      <c r="A32">
        <v>31</v>
      </c>
      <c r="B32" s="4" t="s">
        <v>27</v>
      </c>
      <c r="C32">
        <v>50</v>
      </c>
      <c r="D32">
        <v>5</v>
      </c>
      <c r="E32">
        <v>1</v>
      </c>
      <c r="F32">
        <v>1</v>
      </c>
      <c r="G32">
        <v>5</v>
      </c>
    </row>
    <row r="33" spans="1:7">
      <c r="A33">
        <v>32</v>
      </c>
      <c r="B33" s="4" t="s">
        <v>27</v>
      </c>
      <c r="C33">
        <v>50</v>
      </c>
      <c r="D33">
        <v>5</v>
      </c>
      <c r="E33">
        <v>1</v>
      </c>
      <c r="F33">
        <v>1</v>
      </c>
      <c r="G33">
        <v>5</v>
      </c>
    </row>
    <row r="34" spans="1:7">
      <c r="A34">
        <v>33</v>
      </c>
      <c r="B34" s="4" t="s">
        <v>27</v>
      </c>
      <c r="C34">
        <v>50</v>
      </c>
      <c r="D34">
        <v>5</v>
      </c>
      <c r="E34">
        <v>1</v>
      </c>
      <c r="F34">
        <v>1</v>
      </c>
      <c r="G34">
        <v>5</v>
      </c>
    </row>
    <row r="35" spans="1:7">
      <c r="A35">
        <v>34</v>
      </c>
      <c r="B35" s="4" t="s">
        <v>27</v>
      </c>
      <c r="C35">
        <v>50</v>
      </c>
      <c r="D35">
        <v>5</v>
      </c>
      <c r="E35">
        <v>1</v>
      </c>
      <c r="F35">
        <v>1</v>
      </c>
      <c r="G35">
        <v>5</v>
      </c>
    </row>
    <row r="36" spans="1:7">
      <c r="A36">
        <v>35</v>
      </c>
      <c r="B36" s="4" t="s">
        <v>27</v>
      </c>
      <c r="C36">
        <v>50</v>
      </c>
      <c r="D36">
        <v>5</v>
      </c>
      <c r="E36">
        <v>1</v>
      </c>
      <c r="F36">
        <v>1</v>
      </c>
      <c r="G36">
        <v>5</v>
      </c>
    </row>
    <row r="37" spans="1:7">
      <c r="A37">
        <v>36</v>
      </c>
      <c r="B37" s="4" t="s">
        <v>27</v>
      </c>
      <c r="C37">
        <v>50</v>
      </c>
      <c r="D37">
        <v>5</v>
      </c>
      <c r="E37">
        <v>1</v>
      </c>
      <c r="F37">
        <v>1</v>
      </c>
      <c r="G37">
        <v>5</v>
      </c>
    </row>
    <row r="38" spans="1:7">
      <c r="A38">
        <v>37</v>
      </c>
      <c r="B38" s="4" t="s">
        <v>27</v>
      </c>
      <c r="C38">
        <v>50</v>
      </c>
      <c r="D38">
        <v>5</v>
      </c>
      <c r="E38">
        <v>1</v>
      </c>
      <c r="F38">
        <v>1</v>
      </c>
      <c r="G38">
        <v>5</v>
      </c>
    </row>
    <row r="39" spans="1:7">
      <c r="A39">
        <v>38</v>
      </c>
      <c r="B39" s="4" t="s">
        <v>27</v>
      </c>
      <c r="C39">
        <v>50</v>
      </c>
      <c r="D39">
        <v>5</v>
      </c>
      <c r="E39">
        <v>1</v>
      </c>
      <c r="F39">
        <v>1</v>
      </c>
      <c r="G39">
        <v>5</v>
      </c>
    </row>
    <row r="40" spans="1:7">
      <c r="A40">
        <v>39</v>
      </c>
      <c r="B40" s="4" t="s">
        <v>27</v>
      </c>
      <c r="C40">
        <v>50</v>
      </c>
      <c r="D40">
        <v>5</v>
      </c>
      <c r="E40">
        <v>1</v>
      </c>
      <c r="F40">
        <v>1</v>
      </c>
      <c r="G40">
        <v>5</v>
      </c>
    </row>
    <row r="41" spans="1:7">
      <c r="A41">
        <v>40</v>
      </c>
      <c r="B41" s="4" t="s">
        <v>27</v>
      </c>
      <c r="C41">
        <v>50</v>
      </c>
      <c r="D41">
        <v>5</v>
      </c>
      <c r="E41">
        <v>1</v>
      </c>
      <c r="F41">
        <v>1</v>
      </c>
      <c r="G41">
        <v>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"/>
  <sheetViews>
    <sheetView workbookViewId="0">
      <selection activeCell="H14" sqref="H14"/>
    </sheetView>
  </sheetViews>
  <sheetFormatPr defaultColWidth="9" defaultRowHeight="15" outlineLevelCol="3"/>
  <cols>
    <col min="2" max="2" width="15.1238095238095" customWidth="1"/>
    <col min="4" max="4" width="43.752380952381" customWidth="1"/>
  </cols>
  <sheetData>
    <row r="1" spans="1:4">
      <c r="A1" s="5" t="s">
        <v>28</v>
      </c>
      <c r="B1" s="5" t="s">
        <v>29</v>
      </c>
      <c r="C1" s="5" t="s">
        <v>30</v>
      </c>
      <c r="D1" s="6" t="s">
        <v>31</v>
      </c>
    </row>
    <row r="2" spans="1:4">
      <c r="A2">
        <v>1</v>
      </c>
      <c r="B2">
        <v>1</v>
      </c>
      <c r="C2">
        <v>1</v>
      </c>
      <c r="D2" s="3" t="s">
        <v>32</v>
      </c>
    </row>
    <row r="3" spans="1:4">
      <c r="A3">
        <v>2</v>
      </c>
      <c r="B3">
        <v>2</v>
      </c>
      <c r="C3">
        <v>2</v>
      </c>
      <c r="D3" s="3" t="s">
        <v>33</v>
      </c>
    </row>
    <row r="4" spans="1:4">
      <c r="A4">
        <v>3</v>
      </c>
      <c r="B4">
        <v>3</v>
      </c>
      <c r="C4">
        <v>3</v>
      </c>
      <c r="D4" s="3" t="s">
        <v>34</v>
      </c>
    </row>
    <row r="5" spans="1:4">
      <c r="A5">
        <v>4</v>
      </c>
      <c r="B5">
        <v>4</v>
      </c>
      <c r="C5">
        <v>5</v>
      </c>
      <c r="D5" s="3" t="s">
        <v>35</v>
      </c>
    </row>
    <row r="6" spans="1:4">
      <c r="A6">
        <v>11</v>
      </c>
      <c r="B6">
        <v>6</v>
      </c>
      <c r="C6">
        <v>10</v>
      </c>
      <c r="D6" s="3" t="s">
        <v>36</v>
      </c>
    </row>
    <row r="7" spans="1:4">
      <c r="A7">
        <v>21</v>
      </c>
      <c r="B7">
        <v>11</v>
      </c>
      <c r="C7">
        <v>99</v>
      </c>
      <c r="D7" s="3" t="s">
        <v>37</v>
      </c>
    </row>
    <row r="8" spans="4:4">
      <c r="D8" s="4"/>
    </row>
    <row r="9" spans="4:4">
      <c r="D9" s="4"/>
    </row>
    <row r="10" spans="4:4">
      <c r="D10" s="4"/>
    </row>
    <row r="11" spans="4:4">
      <c r="D11" s="4"/>
    </row>
    <row r="12" spans="4:4">
      <c r="D12" s="4"/>
    </row>
    <row r="13" spans="2:2">
      <c r="B13" s="7"/>
    </row>
    <row r="14" spans="2:2">
      <c r="B14" s="7"/>
    </row>
    <row r="15" spans="2:2">
      <c r="B15" s="7"/>
    </row>
    <row r="16" spans="2:2">
      <c r="B16" s="7"/>
    </row>
    <row r="17" spans="2:2">
      <c r="B17" s="7"/>
    </row>
    <row r="18" spans="2:2">
      <c r="B18" s="7"/>
    </row>
    <row r="19" spans="2:2">
      <c r="B19" s="7"/>
    </row>
    <row r="20" spans="2:2">
      <c r="B20" s="7"/>
    </row>
    <row r="21" spans="2:2">
      <c r="B21" s="7"/>
    </row>
    <row r="22" spans="2:2">
      <c r="B22" s="7"/>
    </row>
    <row r="23" spans="2:2">
      <c r="B23" s="7"/>
    </row>
    <row r="24" spans="2:2">
      <c r="B24" s="7"/>
    </row>
    <row r="25" spans="2:2">
      <c r="B25" s="7"/>
    </row>
    <row r="26" spans="2:2">
      <c r="B26" s="7"/>
    </row>
    <row r="27" spans="2:2">
      <c r="B27" s="7"/>
    </row>
    <row r="28" spans="2:2">
      <c r="B28" s="7"/>
    </row>
    <row r="29" spans="2:2">
      <c r="B29" s="7"/>
    </row>
    <row r="30" spans="2:2">
      <c r="B30" s="7"/>
    </row>
    <row r="31" spans="2:2">
      <c r="B31" s="7"/>
    </row>
    <row r="32" spans="2:2">
      <c r="B32" s="7"/>
    </row>
    <row r="33" spans="2:2">
      <c r="B33" s="7"/>
    </row>
    <row r="34" spans="2:2">
      <c r="B34" s="7"/>
    </row>
    <row r="35" spans="2:2">
      <c r="B35" s="7"/>
    </row>
    <row r="36" spans="2:2">
      <c r="B36" s="7"/>
    </row>
    <row r="37" spans="2:2">
      <c r="B37" s="7"/>
    </row>
    <row r="38" spans="2:2">
      <c r="B38" s="7"/>
    </row>
    <row r="39" spans="2:2">
      <c r="B39" s="7"/>
    </row>
    <row r="40" spans="2:2">
      <c r="B40" s="7"/>
    </row>
    <row r="41" spans="2:2">
      <c r="B41" s="7"/>
    </row>
    <row r="42" spans="2:2">
      <c r="B42" s="7"/>
    </row>
    <row r="43" spans="2:2">
      <c r="B43" s="7"/>
    </row>
    <row r="44" spans="2:2">
      <c r="B44" s="7"/>
    </row>
    <row r="45" spans="2:2">
      <c r="B45" s="7"/>
    </row>
    <row r="46" spans="2:2">
      <c r="B46" s="7"/>
    </row>
    <row r="47" spans="2:2">
      <c r="B47" s="7"/>
    </row>
    <row r="48" spans="2:2">
      <c r="B48" s="7"/>
    </row>
    <row r="49" spans="2:2">
      <c r="B49" s="7"/>
    </row>
    <row r="50" spans="2:2">
      <c r="B50" s="7"/>
    </row>
    <row r="51" spans="2:2">
      <c r="B51" s="7"/>
    </row>
    <row r="52" spans="2:2">
      <c r="B52" s="8"/>
    </row>
    <row r="53" spans="2:2">
      <c r="B53" s="8"/>
    </row>
    <row r="54" spans="2:2">
      <c r="B54" s="8"/>
    </row>
    <row r="55" spans="2:2">
      <c r="B55" s="8"/>
    </row>
    <row r="56" spans="2:2">
      <c r="B56" s="8"/>
    </row>
    <row r="57" spans="2:2">
      <c r="B57" s="8"/>
    </row>
    <row r="58" spans="2:2">
      <c r="B58" s="8"/>
    </row>
    <row r="59" spans="2:2">
      <c r="B59" s="8"/>
    </row>
    <row r="60" spans="2:2">
      <c r="B60" s="8"/>
    </row>
    <row r="61" spans="2:2">
      <c r="B61" s="8"/>
    </row>
    <row r="62" spans="2:2">
      <c r="B62" s="8"/>
    </row>
    <row r="63" spans="2:2">
      <c r="B63" s="8"/>
    </row>
    <row r="64" spans="2:2">
      <c r="B64" s="8"/>
    </row>
    <row r="65" spans="2:2">
      <c r="B65" s="8"/>
    </row>
    <row r="66" spans="2:2">
      <c r="B66" s="8"/>
    </row>
    <row r="67" spans="2:2">
      <c r="B67" s="8"/>
    </row>
    <row r="68" spans="2:2">
      <c r="B68" s="8"/>
    </row>
    <row r="69" spans="2:2">
      <c r="B69" s="8"/>
    </row>
    <row r="70" spans="2:2">
      <c r="B70" s="8"/>
    </row>
    <row r="71" spans="2:2">
      <c r="B71" s="8"/>
    </row>
    <row r="72" spans="2:2">
      <c r="B72" s="8"/>
    </row>
    <row r="73" spans="2:2">
      <c r="B73" s="8"/>
    </row>
    <row r="74" spans="2:2">
      <c r="B74" s="8"/>
    </row>
    <row r="75" spans="2:2">
      <c r="B75" s="8"/>
    </row>
    <row r="76" spans="2:2">
      <c r="B76" s="8"/>
    </row>
    <row r="77" spans="2:2">
      <c r="B77" s="8"/>
    </row>
    <row r="78" spans="2:2">
      <c r="B78" s="8"/>
    </row>
    <row r="79" spans="2:2">
      <c r="B79" s="8"/>
    </row>
    <row r="80" spans="2:2">
      <c r="B80" s="8"/>
    </row>
    <row r="81" spans="2:2">
      <c r="B81" s="8"/>
    </row>
    <row r="82" spans="2:2">
      <c r="B82" s="8"/>
    </row>
    <row r="83" spans="2:2">
      <c r="B83" s="8"/>
    </row>
    <row r="84" spans="2:2">
      <c r="B84" s="8"/>
    </row>
    <row r="85" spans="2:2">
      <c r="B85" s="8"/>
    </row>
    <row r="86" spans="2:2">
      <c r="B86" s="8"/>
    </row>
    <row r="87" spans="2:2">
      <c r="B87" s="8"/>
    </row>
    <row r="88" spans="2:2">
      <c r="B88" s="8"/>
    </row>
    <row r="89" spans="2:2">
      <c r="B89" s="8"/>
    </row>
    <row r="90" spans="2:2">
      <c r="B90" s="8"/>
    </row>
    <row r="91" spans="2:2">
      <c r="B91" s="8"/>
    </row>
    <row r="92" spans="2:2">
      <c r="B92" s="8"/>
    </row>
    <row r="93" spans="2:2">
      <c r="B93" s="8"/>
    </row>
    <row r="94" spans="2:2">
      <c r="B94" s="8"/>
    </row>
    <row r="95" spans="2:2">
      <c r="B95" s="8"/>
    </row>
    <row r="96" spans="2:2">
      <c r="B96" s="8"/>
    </row>
    <row r="97" spans="2:2">
      <c r="B97" s="8"/>
    </row>
    <row r="98" spans="2:2">
      <c r="B98" s="8"/>
    </row>
    <row r="99" spans="2:2">
      <c r="B99" s="8"/>
    </row>
    <row r="100" spans="2:2">
      <c r="B100" s="8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G35" sqref="G35"/>
    </sheetView>
  </sheetViews>
  <sheetFormatPr defaultColWidth="9" defaultRowHeight="15" outlineLevelCol="7"/>
  <cols>
    <col min="2" max="2" width="43.752380952381" customWidth="1"/>
    <col min="8" max="8" width="43.752380952381" customWidth="1"/>
  </cols>
  <sheetData>
    <row r="1" spans="1:2">
      <c r="A1" t="s">
        <v>38</v>
      </c>
      <c r="B1" t="s">
        <v>39</v>
      </c>
    </row>
    <row r="2" spans="1:8">
      <c r="A2">
        <v>1</v>
      </c>
      <c r="B2" s="3" t="s">
        <v>40</v>
      </c>
      <c r="D2" t="s">
        <v>41</v>
      </c>
      <c r="E2" t="s">
        <v>42</v>
      </c>
      <c r="F2" t="s">
        <v>43</v>
      </c>
      <c r="G2" t="s">
        <v>44</v>
      </c>
      <c r="H2" t="str">
        <f>"1:"&amp;ROUND(E$3/150*A2,0)&amp;"#2:"&amp;ROUND(G$3/150*A2,0)&amp;"#3:"&amp;ROUND(D$3/150*A2,0)&amp;"#4:"&amp;ROUND(F$3/150*A2,0)&amp;RIGHT(B2,12+(LEN(A2)-1)*2)</f>
        <v>1:12000#2:18#3:1243#4:13#5:100#6:100</v>
      </c>
    </row>
    <row r="3" spans="1:8">
      <c r="A3">
        <v>2</v>
      </c>
      <c r="B3" s="4" t="s">
        <v>45</v>
      </c>
      <c r="D3">
        <v>186500</v>
      </c>
      <c r="E3">
        <v>1800000</v>
      </c>
      <c r="F3">
        <v>2000</v>
      </c>
      <c r="G3">
        <v>2729</v>
      </c>
      <c r="H3" t="str">
        <f t="shared" ref="H3:H16" si="0">"1:"&amp;ROUND(E$3/150*A3,0)&amp;"#2:"&amp;ROUND(G$3/150*A3,0)&amp;"#3:"&amp;ROUND(D$3/150*A3,0)&amp;"#4:"&amp;ROUND(F$3/150*A3,0)&amp;RIGHT(B3,12+(LEN(A3)-1)*2)</f>
        <v>1:24000#2:36#3:2487#4:27#5:200#6:200</v>
      </c>
    </row>
    <row r="4" spans="1:8">
      <c r="A4">
        <v>3</v>
      </c>
      <c r="B4" s="4" t="s">
        <v>46</v>
      </c>
      <c r="H4" t="str">
        <f t="shared" si="0"/>
        <v>1:36000#2:55#3:3730#4:40#5:300#6:300</v>
      </c>
    </row>
    <row r="5" spans="1:8">
      <c r="A5">
        <v>4</v>
      </c>
      <c r="B5" s="4" t="s">
        <v>47</v>
      </c>
      <c r="H5" t="str">
        <f t="shared" si="0"/>
        <v>1:48000#2:73#3:4973#4:53#5:400#6:400</v>
      </c>
    </row>
    <row r="6" spans="1:8">
      <c r="A6">
        <v>5</v>
      </c>
      <c r="B6" s="3" t="s">
        <v>48</v>
      </c>
      <c r="H6" t="str">
        <f t="shared" si="0"/>
        <v>1:60000#2:91#3:6217#4:67#5:500#6:500</v>
      </c>
    </row>
    <row r="7" spans="1:8">
      <c r="A7">
        <v>6</v>
      </c>
      <c r="B7" s="4" t="s">
        <v>49</v>
      </c>
      <c r="H7" t="str">
        <f t="shared" si="0"/>
        <v>1:72000#2:109#3:7460#4:80#5:600#6:600</v>
      </c>
    </row>
    <row r="8" spans="1:8">
      <c r="A8">
        <v>7</v>
      </c>
      <c r="B8" s="4" t="s">
        <v>50</v>
      </c>
      <c r="H8" t="str">
        <f t="shared" si="0"/>
        <v>1:84000#2:127#3:8703#4:93#5:700#6:700</v>
      </c>
    </row>
    <row r="9" spans="1:8">
      <c r="A9">
        <v>8</v>
      </c>
      <c r="B9" s="4" t="s">
        <v>51</v>
      </c>
      <c r="H9" t="str">
        <f t="shared" si="0"/>
        <v>1:96000#2:146#3:9947#4:107#5:800#6:800</v>
      </c>
    </row>
    <row r="10" spans="1:8">
      <c r="A10">
        <v>9</v>
      </c>
      <c r="B10" s="4" t="s">
        <v>52</v>
      </c>
      <c r="H10" t="str">
        <f t="shared" si="0"/>
        <v>1:108000#2:164#3:11190#4:120#5:900#6:900</v>
      </c>
    </row>
    <row r="11" spans="1:8">
      <c r="A11">
        <v>10</v>
      </c>
      <c r="B11" s="4" t="s">
        <v>53</v>
      </c>
      <c r="H11" t="str">
        <f t="shared" si="0"/>
        <v>1:120000#2:182#3:12433#4:133#5:1000#6:1000</v>
      </c>
    </row>
    <row r="12" spans="1:8">
      <c r="A12">
        <v>11</v>
      </c>
      <c r="B12" s="4" t="s">
        <v>54</v>
      </c>
      <c r="H12" t="str">
        <f t="shared" si="0"/>
        <v>1:132000#2:200#3:13677#4:147#5:1100#6:1100</v>
      </c>
    </row>
    <row r="13" spans="1:8">
      <c r="A13">
        <v>12</v>
      </c>
      <c r="B13" s="4" t="s">
        <v>55</v>
      </c>
      <c r="H13" t="str">
        <f t="shared" si="0"/>
        <v>1:144000#2:218#3:14920#4:160#5:1200#6:1200</v>
      </c>
    </row>
    <row r="14" spans="1:8">
      <c r="A14">
        <v>13</v>
      </c>
      <c r="B14" s="4" t="s">
        <v>56</v>
      </c>
      <c r="H14" t="str">
        <f t="shared" si="0"/>
        <v>1:156000#2:237#3:16163#4:173#5:1300#6:1300</v>
      </c>
    </row>
    <row r="15" spans="1:8">
      <c r="A15">
        <v>14</v>
      </c>
      <c r="B15" s="4" t="s">
        <v>57</v>
      </c>
      <c r="H15" t="str">
        <f t="shared" si="0"/>
        <v>1:168000#2:255#3:17407#4:187#5:1400#6:1400</v>
      </c>
    </row>
    <row r="16" spans="1:8">
      <c r="A16">
        <v>15</v>
      </c>
      <c r="B16" s="3" t="s">
        <v>58</v>
      </c>
      <c r="H16" t="str">
        <f t="shared" si="0"/>
        <v>1:180000#2:273#3:18650#4:200#5:1500#6:1500</v>
      </c>
    </row>
    <row r="17" spans="2:2">
      <c r="B17" s="4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M18" sqref="M18"/>
    </sheetView>
  </sheetViews>
  <sheetFormatPr defaultColWidth="9" defaultRowHeight="15" outlineLevelCol="4"/>
  <cols>
    <col min="1" max="1" width="7" customWidth="1"/>
    <col min="2" max="2" width="12.5047619047619" customWidth="1"/>
    <col min="3" max="3" width="7" customWidth="1"/>
    <col min="5" max="5" width="8.87619047619048" customWidth="1"/>
  </cols>
  <sheetData>
    <row r="1" spans="1:4">
      <c r="A1" t="s">
        <v>28</v>
      </c>
      <c r="B1" t="s">
        <v>31</v>
      </c>
      <c r="C1" t="s">
        <v>59</v>
      </c>
      <c r="D1" t="s">
        <v>60</v>
      </c>
    </row>
    <row r="2" spans="1:4">
      <c r="A2">
        <v>101</v>
      </c>
      <c r="B2" s="3" t="s">
        <v>61</v>
      </c>
      <c r="C2">
        <v>100</v>
      </c>
      <c r="D2">
        <v>1</v>
      </c>
    </row>
    <row r="3" spans="1:4">
      <c r="A3">
        <v>102</v>
      </c>
      <c r="B3" s="3" t="s">
        <v>62</v>
      </c>
      <c r="C3">
        <v>100</v>
      </c>
      <c r="D3">
        <v>1</v>
      </c>
    </row>
    <row r="4" spans="1:5">
      <c r="A4">
        <v>103</v>
      </c>
      <c r="B4" s="3" t="s">
        <v>63</v>
      </c>
      <c r="C4">
        <v>100</v>
      </c>
      <c r="D4">
        <v>1</v>
      </c>
      <c r="E4" s="1" t="s">
        <v>64</v>
      </c>
    </row>
    <row r="5" spans="1:5">
      <c r="A5">
        <v>104</v>
      </c>
      <c r="B5" s="3" t="s">
        <v>65</v>
      </c>
      <c r="C5">
        <v>100</v>
      </c>
      <c r="D5">
        <v>1</v>
      </c>
      <c r="E5" s="1" t="s">
        <v>66</v>
      </c>
    </row>
    <row r="6" spans="1:5">
      <c r="A6">
        <v>105</v>
      </c>
      <c r="B6" s="3" t="s">
        <v>67</v>
      </c>
      <c r="C6">
        <v>100</v>
      </c>
      <c r="D6">
        <v>1</v>
      </c>
      <c r="E6" s="1" t="s">
        <v>68</v>
      </c>
    </row>
    <row r="7" spans="1:5">
      <c r="A7">
        <v>106</v>
      </c>
      <c r="B7" s="3" t="s">
        <v>69</v>
      </c>
      <c r="C7">
        <v>10</v>
      </c>
      <c r="D7">
        <v>1</v>
      </c>
      <c r="E7" s="1" t="s">
        <v>70</v>
      </c>
    </row>
    <row r="8" spans="1:5">
      <c r="A8">
        <v>107</v>
      </c>
      <c r="B8" s="3" t="s">
        <v>71</v>
      </c>
      <c r="C8">
        <v>100</v>
      </c>
      <c r="D8">
        <v>1</v>
      </c>
      <c r="E8" s="1" t="s">
        <v>72</v>
      </c>
    </row>
    <row r="9" spans="1:5">
      <c r="A9">
        <v>108</v>
      </c>
      <c r="B9" s="3" t="s">
        <v>73</v>
      </c>
      <c r="C9">
        <v>100</v>
      </c>
      <c r="D9">
        <v>1</v>
      </c>
      <c r="E9" s="1" t="s">
        <v>74</v>
      </c>
    </row>
    <row r="10" spans="1:5">
      <c r="A10">
        <v>109</v>
      </c>
      <c r="B10" s="3" t="s">
        <v>75</v>
      </c>
      <c r="C10">
        <v>100</v>
      </c>
      <c r="D10">
        <v>1</v>
      </c>
      <c r="E10" s="1" t="s">
        <v>76</v>
      </c>
    </row>
    <row r="11" spans="1:5">
      <c r="A11">
        <v>110</v>
      </c>
      <c r="B11" s="3" t="s">
        <v>77</v>
      </c>
      <c r="C11">
        <v>10</v>
      </c>
      <c r="D11">
        <v>1</v>
      </c>
      <c r="E11" s="1"/>
    </row>
    <row r="12" spans="1:5">
      <c r="A12">
        <v>111</v>
      </c>
      <c r="B12" s="3" t="s">
        <v>78</v>
      </c>
      <c r="C12">
        <v>50</v>
      </c>
      <c r="D12">
        <v>1</v>
      </c>
      <c r="E12" s="1"/>
    </row>
    <row r="13" spans="1:4">
      <c r="A13">
        <v>201</v>
      </c>
      <c r="B13" s="3" t="s">
        <v>79</v>
      </c>
      <c r="C13">
        <v>100</v>
      </c>
      <c r="D13">
        <v>2</v>
      </c>
    </row>
    <row r="14" spans="1:4">
      <c r="A14">
        <v>202</v>
      </c>
      <c r="B14" s="3" t="s">
        <v>80</v>
      </c>
      <c r="C14">
        <v>100</v>
      </c>
      <c r="D14">
        <v>2</v>
      </c>
    </row>
    <row r="15" spans="1:4">
      <c r="A15">
        <v>203</v>
      </c>
      <c r="B15" s="3" t="s">
        <v>81</v>
      </c>
      <c r="C15">
        <v>100</v>
      </c>
      <c r="D15">
        <v>2</v>
      </c>
    </row>
    <row r="16" spans="1:5">
      <c r="A16">
        <v>204</v>
      </c>
      <c r="B16" s="3" t="s">
        <v>82</v>
      </c>
      <c r="C16">
        <v>50</v>
      </c>
      <c r="D16">
        <v>2</v>
      </c>
      <c r="E16" s="1" t="s">
        <v>83</v>
      </c>
    </row>
    <row r="17" spans="1:4">
      <c r="A17">
        <v>205</v>
      </c>
      <c r="B17" s="3" t="s">
        <v>84</v>
      </c>
      <c r="C17">
        <v>100</v>
      </c>
      <c r="D17">
        <v>2</v>
      </c>
    </row>
    <row r="18" spans="1:5">
      <c r="A18">
        <v>206</v>
      </c>
      <c r="B18" s="3" t="s">
        <v>69</v>
      </c>
      <c r="C18">
        <v>100</v>
      </c>
      <c r="D18">
        <v>2</v>
      </c>
      <c r="E18" s="1" t="s">
        <v>85</v>
      </c>
    </row>
    <row r="19" spans="1:4">
      <c r="A19">
        <v>207</v>
      </c>
      <c r="B19" s="3" t="s">
        <v>86</v>
      </c>
      <c r="C19">
        <v>100</v>
      </c>
      <c r="D19">
        <v>2</v>
      </c>
    </row>
    <row r="20" spans="1:4">
      <c r="A20">
        <v>208</v>
      </c>
      <c r="B20" s="3" t="s">
        <v>87</v>
      </c>
      <c r="C20">
        <v>100</v>
      </c>
      <c r="D20">
        <v>2</v>
      </c>
    </row>
    <row r="21" spans="1:4">
      <c r="A21">
        <v>209</v>
      </c>
      <c r="B21" s="3" t="s">
        <v>88</v>
      </c>
      <c r="C21">
        <v>100</v>
      </c>
      <c r="D21">
        <v>2</v>
      </c>
    </row>
  </sheetData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C2" sqref="C2:C5"/>
    </sheetView>
  </sheetViews>
  <sheetFormatPr defaultColWidth="9" defaultRowHeight="15" outlineLevelRow="4" outlineLevelCol="3"/>
  <cols>
    <col min="2" max="2" width="14.8761904761905" customWidth="1"/>
    <col min="3" max="3" width="30.8761904761905" customWidth="1"/>
    <col min="4" max="4" width="36.6285714285714" customWidth="1"/>
  </cols>
  <sheetData>
    <row r="1" spans="1:4">
      <c r="A1" t="s">
        <v>28</v>
      </c>
      <c r="B1" t="s">
        <v>89</v>
      </c>
      <c r="C1" t="s">
        <v>90</v>
      </c>
      <c r="D1" t="s">
        <v>91</v>
      </c>
    </row>
    <row r="2" spans="1:4">
      <c r="A2">
        <v>1</v>
      </c>
      <c r="B2">
        <v>539</v>
      </c>
      <c r="C2" s="2" t="s">
        <v>92</v>
      </c>
      <c r="D2" t="s">
        <v>93</v>
      </c>
    </row>
    <row r="3" spans="1:4">
      <c r="A3">
        <v>2</v>
      </c>
      <c r="B3">
        <v>181</v>
      </c>
      <c r="C3" s="2" t="s">
        <v>94</v>
      </c>
      <c r="D3" t="s">
        <v>95</v>
      </c>
    </row>
    <row r="4" spans="1:4">
      <c r="A4">
        <v>3</v>
      </c>
      <c r="B4">
        <v>480</v>
      </c>
      <c r="C4" s="2" t="s">
        <v>96</v>
      </c>
      <c r="D4" t="s">
        <v>97</v>
      </c>
    </row>
    <row r="5" spans="1:4">
      <c r="A5">
        <v>4</v>
      </c>
      <c r="B5">
        <v>240</v>
      </c>
      <c r="C5" s="2" t="s">
        <v>98</v>
      </c>
      <c r="D5" t="s">
        <v>99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G29" sqref="G29"/>
    </sheetView>
  </sheetViews>
  <sheetFormatPr defaultColWidth="9" defaultRowHeight="15" outlineLevelRow="3" outlineLevelCol="4"/>
  <cols>
    <col min="3" max="3" width="10.8761904761905" customWidth="1"/>
    <col min="4" max="4" width="45.8761904761905" customWidth="1"/>
  </cols>
  <sheetData>
    <row r="1" spans="1:5">
      <c r="A1" t="s">
        <v>28</v>
      </c>
      <c r="B1" t="s">
        <v>90</v>
      </c>
      <c r="C1" t="s">
        <v>100</v>
      </c>
      <c r="D1" t="s">
        <v>39</v>
      </c>
      <c r="E1" t="s">
        <v>101</v>
      </c>
    </row>
    <row r="2" spans="1:5">
      <c r="A2">
        <v>1</v>
      </c>
      <c r="B2" t="s">
        <v>102</v>
      </c>
      <c r="C2">
        <v>1</v>
      </c>
      <c r="D2" s="1" t="s">
        <v>103</v>
      </c>
      <c r="E2">
        <v>0.7</v>
      </c>
    </row>
    <row r="3" spans="1:5">
      <c r="A3">
        <v>2</v>
      </c>
      <c r="B3" t="s">
        <v>104</v>
      </c>
      <c r="C3">
        <v>2</v>
      </c>
      <c r="D3" s="1" t="s">
        <v>105</v>
      </c>
      <c r="E3">
        <v>1</v>
      </c>
    </row>
    <row r="4" spans="1:5">
      <c r="A4">
        <v>3</v>
      </c>
      <c r="B4" t="s">
        <v>106</v>
      </c>
      <c r="C4">
        <v>3</v>
      </c>
      <c r="D4" s="1" t="s">
        <v>107</v>
      </c>
      <c r="E4">
        <v>1.3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公会战据点</vt:lpstr>
      <vt:lpstr>公会战排行榜奖励</vt:lpstr>
      <vt:lpstr>公会战废墟BUFF</vt:lpstr>
      <vt:lpstr>公会战结算奖励</vt:lpstr>
      <vt:lpstr>公会战时间表</vt:lpstr>
      <vt:lpstr>公会战挑战难度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2023-10-20T17:26:04Z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1033-12.2.0.13266</vt:lpwstr>
  </property>
  <property fmtid="{D5CDD505-2E9C-101B-9397-08002B2CF9AE}" pid="3" name="ICV">
    <vt:lpwstr>9109172C03F0485D958EB1538CDE748D_12</vt:lpwstr>
  </property>
</Properties>
</file>