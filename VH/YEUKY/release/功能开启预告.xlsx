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 activeTab="2"/>
  </bookViews>
  <sheets>
    <sheet name="功能开启预告" sheetId="1" r:id="rId1"/>
    <sheet name="Sheet1" sheetId="4" r:id="rId2"/>
    <sheet name="Sheet2" sheetId="5" r:id="rId3"/>
  </sheets>
  <calcPr calcId="144525"/>
</workbook>
</file>

<file path=xl/comments1.xml><?xml version="1.0" encoding="utf-8"?>
<comments xmlns="http://schemas.openxmlformats.org/spreadsheetml/2006/main">
  <authors>
    <author>y'c</author>
  </authors>
  <commentList>
    <comment ref="B1" authorId="0">
      <text>
        <r>
          <rPr>
            <b/>
            <sz val="9"/>
            <rFont val="SimSun"/>
            <charset val="134"/>
          </rPr>
          <t>y'c:</t>
        </r>
        <r>
          <rPr>
            <sz val="9"/>
            <rFont val="SimSun"/>
            <charset val="134"/>
          </rPr>
          <t xml:space="preserve">
填写后，在该等级时提前主动显示1次功能提示内容</t>
        </r>
      </text>
    </comment>
    <comment ref="D1" authorId="0">
      <text>
        <r>
          <rPr>
            <b/>
            <sz val="9"/>
            <rFont val="SimSun"/>
            <charset val="134"/>
          </rPr>
          <t>y'c:</t>
        </r>
        <r>
          <rPr>
            <sz val="9"/>
            <rFont val="SimSun"/>
            <charset val="134"/>
          </rPr>
          <t xml:space="preserve">
最多15个字</t>
        </r>
      </text>
    </comment>
    <comment ref="E1" authorId="0">
      <text>
        <r>
          <rPr>
            <b/>
            <sz val="9"/>
            <rFont val="SimSun"/>
            <charset val="134"/>
          </rPr>
          <t>y'c:</t>
        </r>
        <r>
          <rPr>
            <sz val="9"/>
            <rFont val="SimSun"/>
            <charset val="134"/>
          </rPr>
          <t xml:space="preserve">
最多40个字</t>
        </r>
      </text>
    </comment>
  </commentList>
</comments>
</file>

<file path=xl/sharedStrings.xml><?xml version="1.0" encoding="utf-8"?>
<sst xmlns="http://schemas.openxmlformats.org/spreadsheetml/2006/main" count="143" uniqueCount="142">
  <si>
    <t>ID</t>
  </si>
  <si>
    <t>提示等级</t>
  </si>
  <si>
    <t>开启等级</t>
  </si>
  <si>
    <t>提示文字</t>
  </si>
  <si>
    <t>功能描述</t>
  </si>
  <si>
    <t>行为ID</t>
  </si>
  <si>
    <t>可预览等级</t>
  </si>
  <si>
    <t>Cấp 2 mở [ Điểm tướng đài]</t>
  </si>
  <si>
    <t>Thần binh điểm tướng, vãi đậu thành binh, các lộ thần tiên đến giúp đỡ</t>
  </si>
  <si>
    <t>Cấp 5 mở [ May mắn tầm bảo]</t>
  </si>
  <si>
    <t>Ngôi sao may mắn, tầm bảo con đường vui mừng không thôi</t>
  </si>
  <si>
    <t>Cấp 5 mở [ Hảo hữu]</t>
  </si>
  <si>
    <t>Tài lữ đạo pháp, đặc sắc tiên lộ há có thể không bạn làm bạn</t>
  </si>
  <si>
    <t>Cấp 8 mở [ đấu trường]</t>
  </si>
  <si>
    <t>Thần binh thiên tướng, tiên võ diễn luyện</t>
  </si>
  <si>
    <t>Lên tới cấp 10 mở nhiều đặc sắc hơn [ Hoạt động]</t>
  </si>
  <si>
    <t>Đặc sắc hoạt động, tức thời hiện ra</t>
  </si>
  <si>
    <t>Cấp 10 mở [ Thành tựu]</t>
  </si>
  <si>
    <t>Hoàn thành một cái nhỏ mục tiêu, nhận lấy phần thưởng của ngươi</t>
  </si>
  <si>
    <t>Cấp 10 mở [ Linh Lung Tháp]</t>
  </si>
  <si>
    <t>Linh Lung Tháp khiêu chiến các lộ thần tiên, thắng được tài nguyên ban thưởng</t>
  </si>
  <si>
    <t>Cấp 12 [ Miễn phí] Thu hoạch được 5 Tinh anh hùng</t>
  </si>
  <si>
    <t>5 sao thần tướng, quần thể pháp thuật, khiêu chiến cửa ải càng vui sướng hơn</t>
  </si>
  <si>
    <t>Cấp 15 mở [ Tiên minh]</t>
  </si>
  <si>
    <t>Gia nhập tiên minh, cùng hưởng tu tiên chi đạo, càng nhiều khiêu chiến cùng tài nguyên</t>
  </si>
  <si>
    <t>Cấp 15 mở [ Thường ngày phó bản]</t>
  </si>
  <si>
    <t>Hoàn thành thường ngày khiêu chiến, thu hoạch được đối ứng tài nguyên</t>
  </si>
  <si>
    <t>Cấp 15 mở [ Lục soát thần kỷ]</t>
  </si>
  <si>
    <t>Khiêu chiến bảy quyển Sưu Thần Ký, thắng được ban thưởng, mặc dù có chút khó, nhưng rất phong phú nha ~</t>
  </si>
  <si>
    <t>Cấp 18 mở [ Hiểu số mệnh con người xem]</t>
  </si>
  <si>
    <t>Hiểu số mệnh con người xem mệnh ký hỏi Thần Ma, ngẫu nhiên gặp chỉ định chủng tộc anh hùng</t>
  </si>
  <si>
    <t>Cấp 20 mở [ Tam Sinh Thạch]</t>
  </si>
  <si>
    <t>Thấp tinh anh hùng hợp thành cao tinh</t>
  </si>
  <si>
    <t>Cấp 20 mở [ Ràng buộc]</t>
  </si>
  <si>
    <t>Anh hùng ràng buộc, thuộc tính tương liên</t>
  </si>
  <si>
    <t>Cấp 25 mở [ Vô tận luân hồi]</t>
  </si>
  <si>
    <t>Vô tận khiêu chiến, cao cấp điểm vé xổ số, anh hùng dưỡng thành tài nguyên tận hưởng không hết</t>
  </si>
  <si>
    <t>Cấp 30 mở [ Côn Luân bí cảnh]</t>
  </si>
  <si>
    <t>Bí cảnh thăm dò, nhiều cái thăm dò độ khó, ban thưởng liên tục</t>
  </si>
  <si>
    <t>Cấp 40 mở [ Sơn Hải kinh]</t>
  </si>
  <si>
    <t>Sơn hải đại mạo hiểm, kỳ ngộ thượng cổ Thần thú</t>
  </si>
  <si>
    <t>Cấp 40 mở [ Thú hồn]</t>
  </si>
  <si>
    <t>Sơn hải dị thú, tăng lên thuộc tính, còn có ngoài định mức kỹ năng tăng thêm</t>
  </si>
  <si>
    <t>Cấp 50 mở [ Phong Thần đài]</t>
  </si>
  <si>
    <t>Vinh Đăng Phong thần đài, anh hùng cùng hưởng đẳng cấp, không cần từng cái bồi dưỡng</t>
  </si>
  <si>
    <t>Cấp 60 mở [ Thú linh]</t>
  </si>
  <si>
    <t>Mười hai cầm tinh, Thần thú chi linh, toàn anh hùng thuộc tính tăng thêm, thú hồn ràng buộc, ra trận trợ chiến càng hơn một bậc</t>
  </si>
  <si>
    <t>Cấp 70 mở [ Đồ đằng]</t>
  </si>
  <si>
    <t>Đặc sắc nội dung, cạnh tướng hiện ra</t>
  </si>
  <si>
    <t>Cấp 70 mở [ Trận pháp thăng]</t>
  </si>
  <si>
    <t>Ngũ hành bát quái, phục long khóa yêu, trận hình khắc chế càng hơn một bậc</t>
  </si>
  <si>
    <t>Cấp 70 mở [ Đồ đằng Thánh Điện]</t>
  </si>
  <si>
    <t>Ngũ đại Thánh Điện, thu hoạch được các tộc chuyên môn tài nguyên</t>
  </si>
  <si>
    <t>Cấp 70 mở [ Dung hợp thần điện]</t>
  </si>
  <si>
    <t>Đồ đằng thần điện thông quan sau, mở ra càng khó khiêu chiến, ban thưởng phong phú hơn tài nguyên</t>
  </si>
  <si>
    <t>Cấp 70 mở [ Vượt phục BOSS]</t>
  </si>
  <si>
    <t>Vượt phục BOSS, cạnh xếp hạng cầm tài nguyên</t>
  </si>
  <si>
    <t>Cấp 70 mở [ LSV tranh bá thi đấu]</t>
  </si>
  <si>
    <t>Cuối tuần đấu LSV, điểm tích lũy cầm ban thưởng</t>
  </si>
  <si>
    <t>Cấp 70 mở [ Trang bị phụ ma]</t>
  </si>
  <si>
    <t>Trang bị phụ ma, thuộc tính bồi dưỡng, cũng đến cộng minh kỹ năng chuyên hưởng</t>
  </si>
  <si>
    <t>Cấp 70 mở [ Lăng Tiêu Bảo Điện]</t>
  </si>
  <si>
    <t>Lăng Tiêu Bảo Điện vòng tới làm, chuyên môn xưng hào chuyên môn thuộc tính tăng thêm</t>
  </si>
  <si>
    <t>Cấp 75 mở [ Động thiên phúc địa]</t>
  </si>
  <si>
    <t>Long mạch đào quáng, thăng cấp phúc địa, cạnh hưởng hi hữu tài nguyên ( Cần nhân vật chính 75 Cấp, thế giới đẳng cấp 70 Cấp )</t>
  </si>
  <si>
    <t>Cấp 80 mở [ Thiên giới mê cung]</t>
  </si>
  <si>
    <t>Mới kỳ ngộ cùng khiêu chiến</t>
  </si>
  <si>
    <t>Cấp 80 mở [ Tinh tú đồ]</t>
  </si>
  <si>
    <t>Hoàn thành mê cung khiêu chiến, thắp sáng tinh tú lấy được thuộc tính tăng thêm</t>
  </si>
  <si>
    <t>Cấp 80 mở [ Vượt phục PVP]</t>
  </si>
  <si>
    <t>Vượt phục tổ đội chiến, hùng bá thiên hạ</t>
  </si>
  <si>
    <t>Cấp 90 mở [ Thần long]</t>
  </si>
  <si>
    <t>Thần Long Sâm chiến, phi long tại thiên</t>
  </si>
  <si>
    <t>Cấp 100 mở [ Đỉnh phong biết võ]</t>
  </si>
  <si>
    <t>Đỉnh phong bá chủ, vô thượng vinh dự</t>
  </si>
  <si>
    <t>Cấp 100 mở [ Vượt phục lôi đài thi đấu]</t>
  </si>
  <si>
    <t>Vượt thời không khiêu chiến, các lộ thần tiên trổ hết tài năng, xếp hạng điểm tích lũy đổi tặng phẩm lệ</t>
  </si>
  <si>
    <t>Cấp 100 mở [ Vấn đỉnh phục chiến]</t>
  </si>
  <si>
    <t>Vấn đỉnh phục chiến, cùng hưởng chiến trường tài nguyên</t>
  </si>
  <si>
    <t>Cấp 115 mở [ Đồ cất giữ định chế]</t>
  </si>
  <si>
    <t>Thần bí trân tàng, làm anh hùng thu hoạch được bay vọt về chất</t>
  </si>
  <si>
    <t>Ngươi tiên đồ vừa mới bắt đầu ~</t>
  </si>
  <si>
    <t>Mới thể nghiệm, chờ ngươi thăm dò...</t>
  </si>
  <si>
    <t>Điểm tướng đài</t>
  </si>
  <si>
    <t>Điểm tướng đài công năng mở ra</t>
  </si>
  <si>
    <t>May mắn tầm bảo</t>
  </si>
  <si>
    <t>Tầm bảo công năng mở ra</t>
  </si>
  <si>
    <t>Hảo hữu</t>
  </si>
  <si>
    <t>Hảo hữu công năng mở ra</t>
  </si>
  <si>
    <t>đấu trường</t>
  </si>
  <si>
    <t>đấu trường công năng mở ra</t>
  </si>
  <si>
    <t>Thành tựu</t>
  </si>
  <si>
    <t>Thành tựu công năng mở ra</t>
  </si>
  <si>
    <t>Linh Lung Tháp</t>
  </si>
  <si>
    <t>Thông Thiên tháp công năng mở ra</t>
  </si>
  <si>
    <t>Chỉ định anh hùng triệu hoán</t>
  </si>
  <si>
    <t>Chỉ định anh hùng thăng tinh</t>
  </si>
  <si>
    <t>Đồ đằng</t>
  </si>
  <si>
    <t>Tiên minh</t>
  </si>
  <si>
    <t>Tiên minh công năng mở ra</t>
  </si>
  <si>
    <t>Thường ngày phó bản</t>
  </si>
  <si>
    <t>Mỗi ngày phó bản công năng mở ra</t>
  </si>
  <si>
    <t>Lục soát thần kỷ</t>
  </si>
  <si>
    <t>Lục soát thần kỷ mở ra</t>
  </si>
  <si>
    <t>Hiểu số mệnh con người xem</t>
  </si>
  <si>
    <t>Hiểu số mệnh con người xem công năng mở ra</t>
  </si>
  <si>
    <t>Tam Sinh Thạch</t>
  </si>
  <si>
    <t>Tam Sinh Thạch công năng mở ra</t>
  </si>
  <si>
    <t>Ràng buộc</t>
  </si>
  <si>
    <t>Vô tận luân hồi</t>
  </si>
  <si>
    <t>Vô tận luân hồi công năng mở ra</t>
  </si>
  <si>
    <t>Côn Luân bí cảnh</t>
  </si>
  <si>
    <t>Côn Luân bí cảnh công năng mở ra</t>
  </si>
  <si>
    <t>Sơn Hải kinh</t>
  </si>
  <si>
    <t>Sơn Hải kinh mở ra</t>
  </si>
  <si>
    <t>Thú hồn UP</t>
  </si>
  <si>
    <t>Phong Thần đài</t>
  </si>
  <si>
    <t>Thú linh</t>
  </si>
  <si>
    <t>Thú linh công năng mở ra</t>
  </si>
  <si>
    <t>Đồ đằng công năng mở ra</t>
  </si>
  <si>
    <t>Trận pháp thăng cấp</t>
  </si>
  <si>
    <t>Trận pháp thăng cấp mở ra</t>
  </si>
  <si>
    <t>Dung hợp thần điện</t>
  </si>
  <si>
    <t>Dung hợp thần điện mở ra</t>
  </si>
  <si>
    <t>Đồ đằng Thánh Điện</t>
  </si>
  <si>
    <t>Đồ đằng Thánh Điện công năng mở ra</t>
  </si>
  <si>
    <t>Vượt phục BOSS</t>
  </si>
  <si>
    <t>Vượt phục chiến trường cửa vào</t>
  </si>
  <si>
    <t>LSV tranh bá cửa vào</t>
  </si>
  <si>
    <t>Trang bị phụ ma</t>
  </si>
  <si>
    <t>Lăng Tiêu Bảo Điện</t>
  </si>
  <si>
    <t>Động thiên phúc địa</t>
  </si>
  <si>
    <t>Thiên giới mê cung</t>
  </si>
  <si>
    <t>Thiên giới mê cung mở ra</t>
  </si>
  <si>
    <t>Tinh tú đồ</t>
  </si>
  <si>
    <t>Vượt phục PVP</t>
  </si>
  <si>
    <t>Thần long</t>
  </si>
  <si>
    <t>Thần long công năng mở ra</t>
  </si>
  <si>
    <t>Đỉnh phong biết võ</t>
  </si>
  <si>
    <t>Vượt phục lôi đài thi đấu cửa vào</t>
  </si>
  <si>
    <t>Vấn đỉnh phục chiến</t>
  </si>
  <si>
    <t>Đồ cất giữ định chế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</si>
</sst>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7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name val="宋体"/>
      <charset val="134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name val="Noto Sans CJK S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SimSun"/>
      <charset val="134"/>
    </font>
    <font>
      <sz val="9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ill="1" applyBorder="1"/>
    <xf numFmtId="0" fontId="0" fillId="0" borderId="0" xfId="0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opLeftCell="B23" workbookViewId="0">
      <selection activeCell="E27" sqref="E27"/>
    </sheetView>
  </sheetViews>
  <sheetFormatPr defaultColWidth="9" defaultRowHeight="15" outlineLevelCol="7"/>
  <cols>
    <col min="1" max="1" width="7.5047619047619" customWidth="1"/>
    <col min="2" max="2" width="13.247619047619" customWidth="1"/>
    <col min="3" max="3" width="9.37142857142857" customWidth="1"/>
    <col min="4" max="4" width="47.247619047619" customWidth="1"/>
    <col min="5" max="5" width="69.3714285714286" customWidth="1"/>
    <col min="6" max="6" width="10.6285714285714" customWidth="1"/>
    <col min="7" max="7" width="20.5047619047619" customWidth="1"/>
    <col min="8" max="8" width="9" style="5"/>
  </cols>
  <sheetData>
    <row r="1" s="4" customFormat="1" spans="1:8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/>
    </row>
    <row r="2" spans="1:7">
      <c r="A2" s="7">
        <v>1001</v>
      </c>
      <c r="C2" s="9">
        <v>2</v>
      </c>
      <c r="D2" s="3" t="s">
        <v>7</v>
      </c>
      <c r="E2" s="3" t="s">
        <v>8</v>
      </c>
      <c r="G2" s="4">
        <v>6</v>
      </c>
    </row>
    <row r="3" spans="1:7">
      <c r="A3" s="7">
        <v>1002</v>
      </c>
      <c r="C3" s="9">
        <v>5</v>
      </c>
      <c r="D3" s="3" t="s">
        <v>9</v>
      </c>
      <c r="E3" s="3" t="s">
        <v>10</v>
      </c>
      <c r="G3" s="4">
        <v>6</v>
      </c>
    </row>
    <row r="4" spans="1:7">
      <c r="A4" s="7">
        <v>1003</v>
      </c>
      <c r="C4" s="9">
        <v>5</v>
      </c>
      <c r="D4" s="3" t="s">
        <v>11</v>
      </c>
      <c r="E4" s="3" t="s">
        <v>12</v>
      </c>
      <c r="G4" s="4">
        <v>6</v>
      </c>
    </row>
    <row r="5" spans="1:7">
      <c r="A5" s="7">
        <v>1004</v>
      </c>
      <c r="C5" s="9">
        <v>8</v>
      </c>
      <c r="D5" s="3" t="s">
        <v>13</v>
      </c>
      <c r="E5" s="3" t="s">
        <v>14</v>
      </c>
      <c r="G5" s="4">
        <v>6</v>
      </c>
    </row>
    <row r="6" spans="1:7">
      <c r="A6" s="7">
        <v>1005</v>
      </c>
      <c r="B6">
        <v>6</v>
      </c>
      <c r="C6">
        <v>10</v>
      </c>
      <c r="D6" s="3" t="s">
        <v>15</v>
      </c>
      <c r="E6" s="3" t="s">
        <v>16</v>
      </c>
      <c r="G6" s="4">
        <v>6</v>
      </c>
    </row>
    <row r="7" spans="1:7">
      <c r="A7" s="7">
        <v>1006</v>
      </c>
      <c r="C7" s="9">
        <v>10</v>
      </c>
      <c r="D7" s="3" t="s">
        <v>17</v>
      </c>
      <c r="E7" s="3" t="s">
        <v>18</v>
      </c>
      <c r="G7" s="4">
        <v>6</v>
      </c>
    </row>
    <row r="8" ht="30" spans="1:7">
      <c r="A8" s="7">
        <v>1007</v>
      </c>
      <c r="C8" s="9">
        <v>10</v>
      </c>
      <c r="D8" s="3" t="s">
        <v>19</v>
      </c>
      <c r="E8" s="3" t="s">
        <v>20</v>
      </c>
      <c r="G8" s="4">
        <v>6</v>
      </c>
    </row>
    <row r="9" spans="1:7">
      <c r="A9" s="7">
        <v>1008</v>
      </c>
      <c r="C9" s="7">
        <v>12</v>
      </c>
      <c r="D9" s="3" t="s">
        <v>21</v>
      </c>
      <c r="E9" s="3" t="s">
        <v>22</v>
      </c>
      <c r="G9" s="4">
        <v>10</v>
      </c>
    </row>
    <row r="10" ht="30" spans="1:7">
      <c r="A10" s="7">
        <v>1009</v>
      </c>
      <c r="C10" s="9">
        <v>15</v>
      </c>
      <c r="D10" s="3" t="s">
        <v>23</v>
      </c>
      <c r="E10" s="3" t="s">
        <v>24</v>
      </c>
      <c r="G10" s="4">
        <v>10</v>
      </c>
    </row>
    <row r="11" spans="1:7">
      <c r="A11" s="7">
        <v>1010</v>
      </c>
      <c r="C11" s="9">
        <v>15</v>
      </c>
      <c r="D11" s="3" t="s">
        <v>25</v>
      </c>
      <c r="E11" s="3" t="s">
        <v>26</v>
      </c>
      <c r="G11" s="4">
        <v>10</v>
      </c>
    </row>
    <row r="12" ht="30" spans="1:7">
      <c r="A12" s="7">
        <v>1011</v>
      </c>
      <c r="C12" s="9">
        <v>15</v>
      </c>
      <c r="D12" s="3" t="s">
        <v>27</v>
      </c>
      <c r="E12" s="3" t="s">
        <v>28</v>
      </c>
      <c r="G12" s="4">
        <v>10</v>
      </c>
    </row>
    <row r="13" ht="30" spans="1:7">
      <c r="A13" s="7">
        <v>1012</v>
      </c>
      <c r="C13" s="9">
        <v>18</v>
      </c>
      <c r="D13" s="3" t="s">
        <v>29</v>
      </c>
      <c r="E13" s="3" t="s">
        <v>30</v>
      </c>
      <c r="G13" s="7">
        <v>15</v>
      </c>
    </row>
    <row r="14" spans="1:7">
      <c r="A14" s="7">
        <v>1013</v>
      </c>
      <c r="C14" s="9">
        <v>20</v>
      </c>
      <c r="D14" s="3" t="s">
        <v>31</v>
      </c>
      <c r="E14" s="3" t="s">
        <v>32</v>
      </c>
      <c r="G14" s="7">
        <v>15</v>
      </c>
    </row>
    <row r="15" spans="1:7">
      <c r="A15" s="7">
        <v>1014</v>
      </c>
      <c r="C15" s="9">
        <v>20</v>
      </c>
      <c r="D15" s="3" t="s">
        <v>33</v>
      </c>
      <c r="E15" s="3" t="s">
        <v>34</v>
      </c>
      <c r="G15" s="7">
        <v>15</v>
      </c>
    </row>
    <row r="16" ht="30" spans="1:7">
      <c r="A16" s="7">
        <v>1015</v>
      </c>
      <c r="C16" s="9">
        <v>25</v>
      </c>
      <c r="D16" s="3" t="s">
        <v>35</v>
      </c>
      <c r="E16" s="3" t="s">
        <v>36</v>
      </c>
      <c r="G16" s="7">
        <v>20</v>
      </c>
    </row>
    <row r="17" spans="1:7">
      <c r="A17" s="7">
        <v>1016</v>
      </c>
      <c r="C17" s="9">
        <v>30</v>
      </c>
      <c r="D17" s="3" t="s">
        <v>37</v>
      </c>
      <c r="E17" s="3" t="s">
        <v>38</v>
      </c>
      <c r="G17" s="7">
        <v>20</v>
      </c>
    </row>
    <row r="18" spans="1:7">
      <c r="A18" s="7">
        <v>1017</v>
      </c>
      <c r="C18" s="9">
        <v>40</v>
      </c>
      <c r="D18" s="3" t="s">
        <v>39</v>
      </c>
      <c r="E18" s="3" t="s">
        <v>40</v>
      </c>
      <c r="G18" s="4">
        <v>30</v>
      </c>
    </row>
    <row r="19" spans="1:7">
      <c r="A19" s="7">
        <v>1018</v>
      </c>
      <c r="C19" s="9">
        <v>40</v>
      </c>
      <c r="D19" s="3" t="s">
        <v>41</v>
      </c>
      <c r="E19" s="3" t="s">
        <v>42</v>
      </c>
      <c r="G19" s="4">
        <v>30</v>
      </c>
    </row>
    <row r="20" ht="30" spans="1:7">
      <c r="A20" s="7">
        <v>1019</v>
      </c>
      <c r="C20" s="9">
        <v>50</v>
      </c>
      <c r="D20" s="3" t="s">
        <v>43</v>
      </c>
      <c r="E20" s="3" t="s">
        <v>44</v>
      </c>
      <c r="G20">
        <v>40</v>
      </c>
    </row>
    <row r="21" ht="30" spans="1:7">
      <c r="A21" s="7">
        <v>1020</v>
      </c>
      <c r="C21" s="10">
        <v>60</v>
      </c>
      <c r="D21" s="3" t="s">
        <v>45</v>
      </c>
      <c r="E21" s="3" t="s">
        <v>46</v>
      </c>
      <c r="G21">
        <v>40</v>
      </c>
    </row>
    <row r="22" spans="1:7">
      <c r="A22" s="7">
        <v>1021</v>
      </c>
      <c r="C22" s="9">
        <v>70</v>
      </c>
      <c r="D22" s="3" t="s">
        <v>47</v>
      </c>
      <c r="E22" s="3" t="s">
        <v>48</v>
      </c>
      <c r="G22">
        <v>50</v>
      </c>
    </row>
    <row r="23" spans="1:7">
      <c r="A23" s="7">
        <v>1022</v>
      </c>
      <c r="C23" s="9">
        <v>70</v>
      </c>
      <c r="D23" s="3" t="s">
        <v>49</v>
      </c>
      <c r="E23" s="3" t="s">
        <v>50</v>
      </c>
      <c r="G23">
        <v>50</v>
      </c>
    </row>
    <row r="24" spans="1:7">
      <c r="A24" s="7">
        <v>1023</v>
      </c>
      <c r="C24" s="9">
        <v>70</v>
      </c>
      <c r="D24" s="3" t="s">
        <v>51</v>
      </c>
      <c r="E24" s="3" t="s">
        <v>52</v>
      </c>
      <c r="G24">
        <v>50</v>
      </c>
    </row>
    <row r="25" ht="30" spans="1:7">
      <c r="A25" s="7">
        <v>1024</v>
      </c>
      <c r="C25" s="11">
        <v>70</v>
      </c>
      <c r="D25" s="3" t="s">
        <v>53</v>
      </c>
      <c r="E25" s="3" t="s">
        <v>54</v>
      </c>
      <c r="G25">
        <v>50</v>
      </c>
    </row>
    <row r="26" spans="1:7">
      <c r="A26" s="7">
        <v>1025</v>
      </c>
      <c r="C26" s="12">
        <v>70</v>
      </c>
      <c r="D26" s="3" t="s">
        <v>55</v>
      </c>
      <c r="E26" s="3" t="s">
        <v>56</v>
      </c>
      <c r="G26">
        <v>50</v>
      </c>
    </row>
    <row r="27" spans="1:7">
      <c r="A27" s="7">
        <v>1026</v>
      </c>
      <c r="C27" s="9">
        <v>70</v>
      </c>
      <c r="D27" s="3" t="s">
        <v>57</v>
      </c>
      <c r="E27" s="3" t="s">
        <v>58</v>
      </c>
      <c r="G27">
        <v>50</v>
      </c>
    </row>
    <row r="28" ht="30" spans="1:7">
      <c r="A28" s="7">
        <v>1027</v>
      </c>
      <c r="C28" s="9">
        <v>70</v>
      </c>
      <c r="D28" s="3" t="s">
        <v>59</v>
      </c>
      <c r="E28" s="3" t="s">
        <v>60</v>
      </c>
      <c r="G28">
        <v>50</v>
      </c>
    </row>
    <row r="29" ht="30" spans="1:7">
      <c r="A29" s="7">
        <v>1028</v>
      </c>
      <c r="C29" s="9">
        <v>70</v>
      </c>
      <c r="D29" s="3" t="s">
        <v>61</v>
      </c>
      <c r="E29" s="3" t="s">
        <v>62</v>
      </c>
      <c r="G29">
        <v>50</v>
      </c>
    </row>
    <row r="30" ht="30" spans="1:7">
      <c r="A30" s="7">
        <v>1029</v>
      </c>
      <c r="C30" s="13">
        <v>75</v>
      </c>
      <c r="D30" s="3" t="s">
        <v>63</v>
      </c>
      <c r="E30" s="3" t="s">
        <v>64</v>
      </c>
      <c r="G30">
        <v>60</v>
      </c>
    </row>
    <row r="31" spans="1:7">
      <c r="A31" s="7">
        <v>1030</v>
      </c>
      <c r="C31" s="9">
        <v>80</v>
      </c>
      <c r="D31" s="3" t="s">
        <v>65</v>
      </c>
      <c r="E31" s="3" t="s">
        <v>66</v>
      </c>
      <c r="G31">
        <v>70</v>
      </c>
    </row>
    <row r="32" ht="30" spans="1:7">
      <c r="A32" s="7">
        <v>1031</v>
      </c>
      <c r="C32" s="9">
        <v>80</v>
      </c>
      <c r="D32" s="3" t="s">
        <v>67</v>
      </c>
      <c r="E32" s="3" t="s">
        <v>68</v>
      </c>
      <c r="G32">
        <v>70</v>
      </c>
    </row>
    <row r="33" spans="1:7">
      <c r="A33" s="7">
        <v>1032</v>
      </c>
      <c r="C33" s="9">
        <v>80</v>
      </c>
      <c r="D33" s="3" t="s">
        <v>69</v>
      </c>
      <c r="E33" s="3" t="s">
        <v>70</v>
      </c>
      <c r="G33">
        <v>70</v>
      </c>
    </row>
    <row r="34" spans="1:7">
      <c r="A34" s="7">
        <v>1033</v>
      </c>
      <c r="C34" s="14">
        <v>90</v>
      </c>
      <c r="D34" s="3" t="s">
        <v>71</v>
      </c>
      <c r="E34" s="3" t="s">
        <v>72</v>
      </c>
      <c r="G34">
        <v>80</v>
      </c>
    </row>
    <row r="35" spans="1:7">
      <c r="A35" s="7">
        <v>1034</v>
      </c>
      <c r="C35" s="9">
        <v>100</v>
      </c>
      <c r="D35" s="3" t="s">
        <v>73</v>
      </c>
      <c r="E35" s="3" t="s">
        <v>74</v>
      </c>
      <c r="G35">
        <v>90</v>
      </c>
    </row>
    <row r="36" ht="30" spans="1:7">
      <c r="A36" s="7">
        <v>1035</v>
      </c>
      <c r="C36" s="9">
        <v>100</v>
      </c>
      <c r="D36" s="3" t="s">
        <v>75</v>
      </c>
      <c r="E36" s="3" t="s">
        <v>76</v>
      </c>
      <c r="G36">
        <v>90</v>
      </c>
    </row>
    <row r="37" spans="1:7">
      <c r="A37" s="7">
        <v>1036</v>
      </c>
      <c r="C37" s="9">
        <v>100</v>
      </c>
      <c r="D37" s="3" t="s">
        <v>77</v>
      </c>
      <c r="E37" s="3" t="s">
        <v>78</v>
      </c>
      <c r="G37">
        <v>90</v>
      </c>
    </row>
    <row r="38" spans="1:7">
      <c r="A38" s="7">
        <v>1037</v>
      </c>
      <c r="C38" s="9">
        <v>115</v>
      </c>
      <c r="D38" s="3" t="s">
        <v>79</v>
      </c>
      <c r="E38" s="3" t="s">
        <v>80</v>
      </c>
      <c r="G38">
        <v>90</v>
      </c>
    </row>
    <row r="39" spans="1:7">
      <c r="A39" s="7">
        <v>1038</v>
      </c>
      <c r="C39">
        <v>120</v>
      </c>
      <c r="D39" s="3" t="s">
        <v>81</v>
      </c>
      <c r="E39" s="3" t="s">
        <v>82</v>
      </c>
      <c r="G39">
        <v>100</v>
      </c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K11" sqref="K11:K12"/>
    </sheetView>
  </sheetViews>
  <sheetFormatPr defaultColWidth="9" defaultRowHeight="15" outlineLevelRow="4" outlineLevelCol="2"/>
  <sheetData>
    <row r="1" spans="1:2">
      <c r="A1">
        <v>60</v>
      </c>
      <c r="B1">
        <v>7</v>
      </c>
    </row>
    <row r="2" spans="1:1">
      <c r="A2">
        <v>24</v>
      </c>
    </row>
    <row r="3" spans="1:3">
      <c r="A3">
        <f>A1*A2</f>
        <v>1440</v>
      </c>
      <c r="B3">
        <f>A3*B1</f>
        <v>10080</v>
      </c>
      <c r="C3">
        <f>120*14*7</f>
        <v>11760</v>
      </c>
    </row>
    <row r="4" spans="3:3">
      <c r="C4">
        <f>B3+C3</f>
        <v>21840</v>
      </c>
    </row>
    <row r="5" spans="3:3">
      <c r="C5">
        <f>C4/14</f>
        <v>1560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0"/>
  <sheetViews>
    <sheetView tabSelected="1" topLeftCell="A28" workbookViewId="0">
      <selection activeCell="F31" sqref="F31"/>
    </sheetView>
  </sheetViews>
  <sheetFormatPr defaultColWidth="9" defaultRowHeight="15" outlineLevelCol="3"/>
  <sheetData>
    <row r="2" ht="75" spans="2:4">
      <c r="B2" s="1" t="s">
        <v>83</v>
      </c>
      <c r="C2" s="1">
        <v>2</v>
      </c>
      <c r="D2" s="1" t="s">
        <v>84</v>
      </c>
    </row>
    <row r="3" ht="60" spans="2:4">
      <c r="B3" s="1" t="s">
        <v>85</v>
      </c>
      <c r="C3" s="1">
        <v>5</v>
      </c>
      <c r="D3" s="1" t="s">
        <v>86</v>
      </c>
    </row>
    <row r="4" ht="60" spans="2:4">
      <c r="B4" s="1" t="s">
        <v>87</v>
      </c>
      <c r="C4" s="1">
        <v>5</v>
      </c>
      <c r="D4" s="1" t="s">
        <v>88</v>
      </c>
    </row>
    <row r="5" ht="75" spans="2:4">
      <c r="B5" s="1" t="s">
        <v>89</v>
      </c>
      <c r="C5" s="1">
        <v>8</v>
      </c>
      <c r="D5" s="1" t="s">
        <v>90</v>
      </c>
    </row>
    <row r="6" ht="60" spans="2:4">
      <c r="B6" s="1" t="s">
        <v>91</v>
      </c>
      <c r="C6" s="1">
        <v>10</v>
      </c>
      <c r="D6" s="1" t="s">
        <v>92</v>
      </c>
    </row>
    <row r="7" ht="90" spans="2:4">
      <c r="B7" s="1" t="s">
        <v>93</v>
      </c>
      <c r="C7" s="1">
        <v>10</v>
      </c>
      <c r="D7" s="1" t="s">
        <v>94</v>
      </c>
    </row>
    <row r="8" ht="60" spans="2:4">
      <c r="B8" s="1" t="s">
        <v>95</v>
      </c>
      <c r="C8" s="1">
        <v>10</v>
      </c>
      <c r="D8" s="2"/>
    </row>
    <row r="9" ht="60" spans="2:4">
      <c r="B9" s="1" t="s">
        <v>96</v>
      </c>
      <c r="C9" s="1">
        <v>10</v>
      </c>
      <c r="D9" s="2"/>
    </row>
    <row r="10" spans="2:4">
      <c r="B10" s="1" t="s">
        <v>97</v>
      </c>
      <c r="C10" s="1">
        <v>10</v>
      </c>
      <c r="D10" s="2"/>
    </row>
    <row r="11" ht="75" spans="2:4">
      <c r="B11" s="1" t="s">
        <v>98</v>
      </c>
      <c r="C11" s="1">
        <v>15</v>
      </c>
      <c r="D11" s="1" t="s">
        <v>99</v>
      </c>
    </row>
    <row r="12" ht="75" spans="2:4">
      <c r="B12" s="1" t="s">
        <v>100</v>
      </c>
      <c r="C12" s="1">
        <v>15</v>
      </c>
      <c r="D12" s="1" t="s">
        <v>101</v>
      </c>
    </row>
    <row r="13" ht="45" spans="2:4">
      <c r="B13" s="1" t="s">
        <v>102</v>
      </c>
      <c r="C13" s="1">
        <v>15</v>
      </c>
      <c r="D13" s="1" t="s">
        <v>103</v>
      </c>
    </row>
    <row r="14" ht="120" spans="2:4">
      <c r="B14" s="1" t="s">
        <v>104</v>
      </c>
      <c r="C14" s="1">
        <v>18</v>
      </c>
      <c r="D14" s="1" t="s">
        <v>105</v>
      </c>
    </row>
    <row r="15" ht="75" spans="2:4">
      <c r="B15" s="1" t="s">
        <v>106</v>
      </c>
      <c r="C15" s="1">
        <v>20</v>
      </c>
      <c r="D15" s="1" t="s">
        <v>107</v>
      </c>
    </row>
    <row r="16" ht="30" spans="2:4">
      <c r="B16" s="1" t="s">
        <v>108</v>
      </c>
      <c r="C16" s="1">
        <v>20</v>
      </c>
      <c r="D16" s="2"/>
    </row>
    <row r="17" ht="75" spans="2:4">
      <c r="B17" s="1" t="s">
        <v>109</v>
      </c>
      <c r="C17" s="1">
        <v>25</v>
      </c>
      <c r="D17" s="1" t="s">
        <v>110</v>
      </c>
    </row>
    <row r="18" ht="75" spans="2:4">
      <c r="B18" s="1" t="s">
        <v>111</v>
      </c>
      <c r="C18" s="1">
        <v>30</v>
      </c>
      <c r="D18" s="1" t="s">
        <v>112</v>
      </c>
    </row>
    <row r="19" ht="45" spans="2:4">
      <c r="B19" s="1" t="s">
        <v>113</v>
      </c>
      <c r="C19" s="1">
        <v>40</v>
      </c>
      <c r="D19" s="1" t="s">
        <v>114</v>
      </c>
    </row>
    <row r="20" ht="30" spans="2:4">
      <c r="B20" s="1" t="s">
        <v>115</v>
      </c>
      <c r="C20" s="1">
        <v>40</v>
      </c>
      <c r="D20" s="2"/>
    </row>
    <row r="21" ht="30" spans="2:4">
      <c r="B21" s="1" t="s">
        <v>116</v>
      </c>
      <c r="C21" s="1">
        <v>50</v>
      </c>
      <c r="D21" s="2"/>
    </row>
    <row r="22" ht="60" spans="2:4">
      <c r="B22" s="1" t="s">
        <v>117</v>
      </c>
      <c r="C22" s="1">
        <v>60</v>
      </c>
      <c r="D22" s="1" t="s">
        <v>118</v>
      </c>
    </row>
    <row r="23" ht="60" spans="2:4">
      <c r="B23" s="1" t="s">
        <v>97</v>
      </c>
      <c r="C23" s="1">
        <v>70</v>
      </c>
      <c r="D23" s="1" t="s">
        <v>119</v>
      </c>
    </row>
    <row r="24" ht="75" spans="2:4">
      <c r="B24" s="1" t="s">
        <v>120</v>
      </c>
      <c r="C24" s="1">
        <v>70</v>
      </c>
      <c r="D24" s="1" t="s">
        <v>121</v>
      </c>
    </row>
    <row r="25" ht="60" spans="2:4">
      <c r="B25" s="1" t="s">
        <v>122</v>
      </c>
      <c r="C25" s="1">
        <v>70</v>
      </c>
      <c r="D25" s="1" t="s">
        <v>123</v>
      </c>
    </row>
    <row r="26" ht="90" spans="2:4">
      <c r="B26" s="1" t="s">
        <v>124</v>
      </c>
      <c r="C26" s="1">
        <v>70</v>
      </c>
      <c r="D26" s="1" t="s">
        <v>125</v>
      </c>
    </row>
    <row r="27" ht="45" spans="2:4">
      <c r="B27" s="1" t="s">
        <v>126</v>
      </c>
      <c r="C27" s="1">
        <v>70</v>
      </c>
      <c r="D27" s="2"/>
    </row>
    <row r="28" ht="75" spans="2:4">
      <c r="B28" s="1" t="s">
        <v>127</v>
      </c>
      <c r="C28" s="1">
        <v>70</v>
      </c>
      <c r="D28" s="2"/>
    </row>
    <row r="29" ht="45" spans="2:4">
      <c r="B29" s="1" t="s">
        <v>128</v>
      </c>
      <c r="C29" s="1">
        <v>70</v>
      </c>
      <c r="D29" s="2"/>
    </row>
    <row r="30" ht="30" spans="2:4">
      <c r="B30" s="1" t="s">
        <v>129</v>
      </c>
      <c r="C30" s="1">
        <v>70</v>
      </c>
      <c r="D30" s="2"/>
    </row>
    <row r="31" ht="30" spans="2:4">
      <c r="B31" s="1" t="s">
        <v>130</v>
      </c>
      <c r="C31" s="1">
        <v>70</v>
      </c>
      <c r="D31" s="2"/>
    </row>
    <row r="32" ht="45" spans="2:4">
      <c r="B32" s="1" t="s">
        <v>131</v>
      </c>
      <c r="C32" s="1">
        <v>75</v>
      </c>
      <c r="D32" s="2"/>
    </row>
    <row r="33" ht="60" spans="2:4">
      <c r="B33" s="1" t="s">
        <v>132</v>
      </c>
      <c r="C33" s="1">
        <v>80</v>
      </c>
      <c r="D33" s="1" t="s">
        <v>133</v>
      </c>
    </row>
    <row r="34" ht="30" spans="2:4">
      <c r="B34" s="1" t="s">
        <v>134</v>
      </c>
      <c r="C34" s="1">
        <v>80</v>
      </c>
      <c r="D34" s="2"/>
    </row>
    <row r="35" ht="30" spans="2:4">
      <c r="B35" s="1" t="s">
        <v>135</v>
      </c>
      <c r="C35" s="1">
        <v>80</v>
      </c>
      <c r="D35" s="2"/>
    </row>
    <row r="36" ht="75" spans="2:4">
      <c r="B36" s="1" t="s">
        <v>136</v>
      </c>
      <c r="C36" s="1">
        <v>90</v>
      </c>
      <c r="D36" s="1" t="s">
        <v>137</v>
      </c>
    </row>
    <row r="37" ht="45" spans="2:4">
      <c r="B37" s="1" t="s">
        <v>138</v>
      </c>
      <c r="C37" s="1">
        <v>100</v>
      </c>
      <c r="D37" s="2"/>
    </row>
    <row r="38" ht="75" spans="2:4">
      <c r="B38" s="1" t="s">
        <v>139</v>
      </c>
      <c r="C38" s="1">
        <v>100</v>
      </c>
      <c r="D38" s="2"/>
    </row>
    <row r="39" ht="45" spans="2:4">
      <c r="B39" s="1" t="s">
        <v>140</v>
      </c>
      <c r="C39" s="1">
        <v>100</v>
      </c>
      <c r="D39" s="2"/>
    </row>
    <row r="40" ht="45" spans="2:3">
      <c r="B40" s="3" t="s">
        <v>141</v>
      </c>
      <c r="C40" s="3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功能开启预告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2023-10-21T02:20:50Z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40BF2F73B5CC45BD8C923E293F8B48BE</vt:lpwstr>
  </property>
  <property fmtid="{D5CDD505-2E9C-101B-9397-08002B2CF9AE}" pid="3" name="KSOProductBuildVer">
    <vt:lpwstr>1033-12.2.0.13266</vt:lpwstr>
  </property>
</Properties>
</file>