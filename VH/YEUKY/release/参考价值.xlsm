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1880"/>
  </bookViews>
  <sheets>
    <sheet name="价值" sheetId="2" r:id="rId1"/>
    <sheet name="Sheet3" sheetId="4" r:id="rId2"/>
    <sheet name="sheet1" sheetId="1" r:id="rId3"/>
    <sheet name="Sheet2" sheetId="3" r:id="rId4"/>
  </sheets>
  <externalReferences>
    <externalReference r:id="rId5"/>
  </externalReferences>
  <calcPr calcId="144525"/>
</workbook>
</file>

<file path=xl/sharedStrings.xml><?xml version="1.0" encoding="utf-8"?>
<sst xmlns="http://schemas.openxmlformats.org/spreadsheetml/2006/main" count="7324" uniqueCount="3005">
  <si>
    <t>填完了记得点更新</t>
  </si>
  <si>
    <t>活动日期1</t>
  </si>
  <si>
    <t>活动日期2</t>
  </si>
  <si>
    <t>活动日期3</t>
  </si>
  <si>
    <t>活动日期4</t>
  </si>
  <si>
    <t>活动日期5</t>
  </si>
  <si>
    <t>活动日期6</t>
  </si>
  <si>
    <t>活动日期7</t>
  </si>
  <si>
    <t>活动日期8</t>
  </si>
  <si>
    <t>活动日期9</t>
  </si>
  <si>
    <t>活动日期10</t>
  </si>
  <si>
    <t>活动日期11</t>
  </si>
  <si>
    <t>活动日期12</t>
  </si>
  <si>
    <t>活动日期13</t>
  </si>
  <si>
    <t>活动日期14</t>
  </si>
  <si>
    <t>活动日期15</t>
  </si>
  <si>
    <t>ID</t>
  </si>
  <si>
    <t>名称</t>
  </si>
  <si>
    <t>最新价值</t>
  </si>
  <si>
    <t>初始估值</t>
  </si>
  <si>
    <t>价值变更1</t>
  </si>
  <si>
    <t>价值变更2</t>
  </si>
  <si>
    <t>价值变更3</t>
  </si>
  <si>
    <t>价值变更4</t>
  </si>
  <si>
    <t>价值变更5</t>
  </si>
  <si>
    <t>价值变更6</t>
  </si>
  <si>
    <t>价值变更7</t>
  </si>
  <si>
    <t>价值变更8</t>
  </si>
  <si>
    <t>价值变更9</t>
  </si>
  <si>
    <t>价值变更10</t>
  </si>
  <si>
    <t>价值变更11</t>
  </si>
  <si>
    <t>价值变更12</t>
  </si>
  <si>
    <t>价值变更13</t>
  </si>
  <si>
    <t>价值变更14</t>
  </si>
  <si>
    <t>价值变更15</t>
  </si>
  <si>
    <t>0:0</t>
  </si>
  <si>
    <t>Kim Tệ</t>
  </si>
  <si>
    <t>0:1</t>
  </si>
  <si>
    <t>Nguyên Bảo</t>
  </si>
  <si>
    <t>0:2</t>
  </si>
  <si>
    <t>Ngân Lượng</t>
  </si>
  <si>
    <t>0:3</t>
  </si>
  <si>
    <t>Nhân Vật Chính Kinh Nghiệm</t>
  </si>
  <si>
    <t>0:4</t>
  </si>
  <si>
    <t>Anh Hùng Kinh Nghiệm</t>
  </si>
  <si>
    <t>0:5</t>
  </si>
  <si>
    <t>Hữu Nghị Điểm</t>
  </si>
  <si>
    <t>0:6</t>
  </si>
  <si>
    <t>Hồn Tinh</t>
  </si>
  <si>
    <t>0:7</t>
  </si>
  <si>
    <t>Tiên Tổ Kết Tinh</t>
  </si>
  <si>
    <t>0:8</t>
  </si>
  <si>
    <t>Hòe Ấm Lá</t>
  </si>
  <si>
    <t>0:10</t>
  </si>
  <si>
    <t>Càn Khôn Tệ</t>
  </si>
  <si>
    <t>0:11</t>
  </si>
  <si>
    <t>đấu trường Danh Vọng</t>
  </si>
  <si>
    <t>0:12</t>
  </si>
  <si>
    <t>Tiên Minh Cống Hiến</t>
  </si>
  <si>
    <t>0:13</t>
  </si>
  <si>
    <t>Tầm Bảo Điểm Tích Lũy</t>
  </si>
  <si>
    <t>0:14</t>
  </si>
  <si>
    <t>Vinh Dự</t>
  </si>
  <si>
    <t>0:15</t>
  </si>
  <si>
    <t>Thường Ngày Sinh Động Độ</t>
  </si>
  <si>
    <t>0:16</t>
  </si>
  <si>
    <t>VIP Điểm Tích Lũy</t>
  </si>
  <si>
    <t>0:17</t>
  </si>
  <si>
    <t>Tuần Thường Sinh Động Độ</t>
  </si>
  <si>
    <t>0:18</t>
  </si>
  <si>
    <t>Vượt Phục LSV Thi Đấu Điểm Tích Lũy</t>
  </si>
  <si>
    <t>0:19</t>
  </si>
  <si>
    <t>Vượt Phục Sân Thi Đấu Công Huân</t>
  </si>
  <si>
    <t>0:20</t>
  </si>
  <si>
    <t>Vượt Phục Đẳng Cấp Thi Đấu Điểm Tích Lũy</t>
  </si>
  <si>
    <t>4:606013</t>
  </si>
  <si>
    <t>3 Tinh Ngẫu Nhiên Mảnh Vỡ</t>
  </si>
  <si>
    <t>4:606001</t>
  </si>
  <si>
    <t>4 Tinh Ngẫu Nhiên Mảnh Vỡ</t>
  </si>
  <si>
    <t>4:606002</t>
  </si>
  <si>
    <t>5 Tinh Ngẫu Nhiên Mảnh Vỡ</t>
  </si>
  <si>
    <t>4:606003</t>
  </si>
  <si>
    <t>4 Tinh Nhân Tộc Mảnh Vỡ</t>
  </si>
  <si>
    <t>4:606004</t>
  </si>
  <si>
    <t>4 Tinh Tiên Tộc Mảnh Vỡ</t>
  </si>
  <si>
    <t>4:606005</t>
  </si>
  <si>
    <t>4 Tinh Yêu Tộc Mảnh Vỡ</t>
  </si>
  <si>
    <t>4:606006</t>
  </si>
  <si>
    <t>4 Tinh Thần Tộc Mảnh Vỡ</t>
  </si>
  <si>
    <t>4:606007</t>
  </si>
  <si>
    <t>4 Tinh Ma Tộc Mảnh Vỡ</t>
  </si>
  <si>
    <t>4:606008</t>
  </si>
  <si>
    <t>5 Tinh Nhân Tộc Mảnh Vỡ</t>
  </si>
  <si>
    <t>4:606009</t>
  </si>
  <si>
    <t>5 Tinh Tiên Tộc Mảnh Vỡ</t>
  </si>
  <si>
    <t>4:606010</t>
  </si>
  <si>
    <t>5 Tinh Yêu Tộc Mảnh Vỡ</t>
  </si>
  <si>
    <t>4:606011</t>
  </si>
  <si>
    <t>5 Tinh Thần Tộc Mảnh Vỡ</t>
  </si>
  <si>
    <t>4:606012</t>
  </si>
  <si>
    <t>5 Tinh Ma Tộc Mảnh Vỡ</t>
  </si>
  <si>
    <t>4:606014</t>
  </si>
  <si>
    <t>4 Tinh Thần Ma Mảnh Vỡ</t>
  </si>
  <si>
    <t>4:606015</t>
  </si>
  <si>
    <t>5 Tinh Thần Ma Mảnh Vỡ</t>
  </si>
  <si>
    <t>2:19000100</t>
  </si>
  <si>
    <t>Làm Thô Đoản Kiếm</t>
  </si>
  <si>
    <t>2:19000101</t>
  </si>
  <si>
    <t>Tinh Xảo Đoản Kiếm</t>
  </si>
  <si>
    <t>2:19000102</t>
  </si>
  <si>
    <t>Thông Mây Đoản Kiếm</t>
  </si>
  <si>
    <t>2:19000103</t>
  </si>
  <si>
    <t>Đỡ Chỉ Riêng Phiến</t>
  </si>
  <si>
    <t>2:19000104</t>
  </si>
  <si>
    <t>Đốt Hoa Đoản Kiếm</t>
  </si>
  <si>
    <t>2:19000105</t>
  </si>
  <si>
    <t>Nghê Thường Pháp Trượng</t>
  </si>
  <si>
    <t>2:19000106</t>
  </si>
  <si>
    <t>Tử Tiêu Trường Kiếm</t>
  </si>
  <si>
    <t>2:19000107</t>
  </si>
  <si>
    <t>Hướng Nghi Pháp Trượng</t>
  </si>
  <si>
    <t>2:19000108</t>
  </si>
  <si>
    <t>Bạch Giả Pháp Trượng</t>
  </si>
  <si>
    <t>2:19000109</t>
  </si>
  <si>
    <t>Mây Lục Pháp Trượng</t>
  </si>
  <si>
    <t>2:19000110</t>
  </si>
  <si>
    <t>Quỷ Vương Trường Kiếm</t>
  </si>
  <si>
    <t>2:19000111</t>
  </si>
  <si>
    <t>Động Huyền Đạo Kiếm</t>
  </si>
  <si>
    <t>2:19000112</t>
  </si>
  <si>
    <t>Trạm Lư Trường Kiếm</t>
  </si>
  <si>
    <t>2:19000113</t>
  </si>
  <si>
    <t>Tử Lân Cự Kiếm</t>
  </si>
  <si>
    <t>2:19000114</t>
  </si>
  <si>
    <t>Lưu Hà Quạt Lông</t>
  </si>
  <si>
    <t>2:19000115</t>
  </si>
  <si>
    <t>Long Tước Cự Kiếm</t>
  </si>
  <si>
    <t>2:19000116</t>
  </si>
  <si>
    <t>Cung Điện Khổng Lồ Chiến Nhận</t>
  </si>
  <si>
    <t>2:19000200</t>
  </si>
  <si>
    <t>Làm Thô Áo Vải</t>
  </si>
  <si>
    <t>2:19000201</t>
  </si>
  <si>
    <t>Tinh Xảo Đạo Bào</t>
  </si>
  <si>
    <t>2:19000202</t>
  </si>
  <si>
    <t>Thông Vân Chiến Áo</t>
  </si>
  <si>
    <t>2:19000203</t>
  </si>
  <si>
    <t>Đỡ Chỉ Riêng Vạt Áo Bào</t>
  </si>
  <si>
    <t>2:19000204</t>
  </si>
  <si>
    <t>Đốt Hoa Vạt Áo Bào</t>
  </si>
  <si>
    <t>2:19000205</t>
  </si>
  <si>
    <t>Nghê Thường Vũ Y</t>
  </si>
  <si>
    <t>2:19000206</t>
  </si>
  <si>
    <t>Tử Tiêu Chiến Giáp</t>
  </si>
  <si>
    <t>2:19000207</t>
  </si>
  <si>
    <t>Hướng Nghi Pháp Bào</t>
  </si>
  <si>
    <t>2:19000208</t>
  </si>
  <si>
    <t>Bạch Giả Áo Choàng</t>
  </si>
  <si>
    <t>2:19000209</t>
  </si>
  <si>
    <t>Mây Lục Pháp Bào</t>
  </si>
  <si>
    <t>2:19000210</t>
  </si>
  <si>
    <t>Quỷ Vương Chiến Giáp</t>
  </si>
  <si>
    <t>2:19000211</t>
  </si>
  <si>
    <t>Động Huyền Đạo Bào</t>
  </si>
  <si>
    <t>2:19000212</t>
  </si>
  <si>
    <t>Trạm Lư Chiến Giáp</t>
  </si>
  <si>
    <t>2:19000213</t>
  </si>
  <si>
    <t>Tử Lân Chiến Giáp</t>
  </si>
  <si>
    <t>2:19000214</t>
  </si>
  <si>
    <t>Lưu Hà Pháp Bào</t>
  </si>
  <si>
    <t>2:19000215</t>
  </si>
  <si>
    <t>Long Tước Chiến Giáp</t>
  </si>
  <si>
    <t>2:19000216</t>
  </si>
  <si>
    <t>Cung Điện Khổng Lồ Chiến Giáp</t>
  </si>
  <si>
    <t>2:19000300</t>
  </si>
  <si>
    <t>Làm Thô Khăn Trùm Đầu</t>
  </si>
  <si>
    <t>2:19000301</t>
  </si>
  <si>
    <t>Tinh Xảo Mào Đầu</t>
  </si>
  <si>
    <t>2:19000302</t>
  </si>
  <si>
    <t>Thông Đám Mây Quan</t>
  </si>
  <si>
    <t>2:19000303</t>
  </si>
  <si>
    <t>Đỡ Chỉ Riêng Pháp Quan</t>
  </si>
  <si>
    <t>2:19000304</t>
  </si>
  <si>
    <t>Đốt Hoa Chiến Nón Trụ</t>
  </si>
  <si>
    <t>2:19000305</t>
  </si>
  <si>
    <t>Nghê Thường Mào Đầu</t>
  </si>
  <si>
    <t>2:19000306</t>
  </si>
  <si>
    <t>Tử Tiêu Chiến Nón Trụ</t>
  </si>
  <si>
    <t>2:19000307</t>
  </si>
  <si>
    <t>Hướng Nghi Mào Đầu</t>
  </si>
  <si>
    <t>2:19000308</t>
  </si>
  <si>
    <t>Bạch Giả Mào Đầu</t>
  </si>
  <si>
    <t>2:19000309</t>
  </si>
  <si>
    <t>Mây Lục Mào Đầu</t>
  </si>
  <si>
    <t>2:19000310</t>
  </si>
  <si>
    <t>Quỷ Vương Chiến Nón Trụ</t>
  </si>
  <si>
    <t>2:19000311</t>
  </si>
  <si>
    <t>Động Huyền Đạo Quan</t>
  </si>
  <si>
    <t>2:19000312</t>
  </si>
  <si>
    <t>Trạm Lư Chiến Nón Trụ</t>
  </si>
  <si>
    <t>2:19000313</t>
  </si>
  <si>
    <t>Tử Lân Chiến Nón Trụ</t>
  </si>
  <si>
    <t>2:19000314</t>
  </si>
  <si>
    <t>Lưu Hà Mào Đầu</t>
  </si>
  <si>
    <t>2:19000315</t>
  </si>
  <si>
    <t>Long Tước Chiến Nón Trụ</t>
  </si>
  <si>
    <t>2:19000316</t>
  </si>
  <si>
    <t>Cung Điện Khổng Lồ Chiến Nón Trụ</t>
  </si>
  <si>
    <t>2:19000400</t>
  </si>
  <si>
    <t>Làm Thô Giày Vải</t>
  </si>
  <si>
    <t>2:19000401</t>
  </si>
  <si>
    <t>Tinh Xảo Ủng Ngắn</t>
  </si>
  <si>
    <t>2:19000402</t>
  </si>
  <si>
    <t>Thông Mây Ủng Ngắn</t>
  </si>
  <si>
    <t>2:19000403</t>
  </si>
  <si>
    <t>Đỡ Chỉ Riêng Ủng Ngắn</t>
  </si>
  <si>
    <t>2:19000404</t>
  </si>
  <si>
    <t>Đốt Hoa Giày Chiến</t>
  </si>
  <si>
    <t>2:19000405</t>
  </si>
  <si>
    <t>Nghê Thường Ủng Ngắn</t>
  </si>
  <si>
    <t>2:19000406</t>
  </si>
  <si>
    <t>Tử Tiêu Giày Chiến</t>
  </si>
  <si>
    <t>2:19000407</t>
  </si>
  <si>
    <t>Hướng Nghi Ủng Ngắn</t>
  </si>
  <si>
    <t>2:19000408</t>
  </si>
  <si>
    <t>Bạch Giả Ủng Ngắn</t>
  </si>
  <si>
    <t>2:19000409</t>
  </si>
  <si>
    <t>Mây Lục Ủng Ngắn</t>
  </si>
  <si>
    <t>2:19000410</t>
  </si>
  <si>
    <t>Quỷ Vương Giày Chiến</t>
  </si>
  <si>
    <t>2:19000411</t>
  </si>
  <si>
    <t>Động Huyền Đạo Giày</t>
  </si>
  <si>
    <t>2:19000412</t>
  </si>
  <si>
    <t>Trạm Lư Giày Chiến</t>
  </si>
  <si>
    <t>2:19000413</t>
  </si>
  <si>
    <t>Tử Lân Giày Chiến</t>
  </si>
  <si>
    <t>2:19000414</t>
  </si>
  <si>
    <t>Lưu Hà Vũ Giày</t>
  </si>
  <si>
    <t>2:19000415</t>
  </si>
  <si>
    <t>Long Tước Giày Chiến</t>
  </si>
  <si>
    <t>2:19000416</t>
  </si>
  <si>
    <t>Cung Điện Khổng Lồ Giày Chiến</t>
  </si>
  <si>
    <t>2:20000111</t>
  </si>
  <si>
    <t>Tinh · Động Huyền Đạo Kiếm</t>
  </si>
  <si>
    <t>2:20000112</t>
  </si>
  <si>
    <t>Tinh · Trạm Lư Trường Kiếm</t>
  </si>
  <si>
    <t>2:20000113</t>
  </si>
  <si>
    <t>Tinh · Tử Lân Cự Kiếm</t>
  </si>
  <si>
    <t>2:20000114</t>
  </si>
  <si>
    <t>Tinh · Lưu Hà Quạt Lông</t>
  </si>
  <si>
    <t>2:20000115</t>
  </si>
  <si>
    <t>Tinh · Long Tước Cự Kiếm</t>
  </si>
  <si>
    <t>2:20000116</t>
  </si>
  <si>
    <t>Tinh · Cung Điện Khổng Lồ Chiến Nhận</t>
  </si>
  <si>
    <t>2:20000211</t>
  </si>
  <si>
    <t>Tinh · Động Huyền Đạo Bào</t>
  </si>
  <si>
    <t>2:20000212</t>
  </si>
  <si>
    <t>Tinh · Trạm Lư Chiến Giáp</t>
  </si>
  <si>
    <t>2:20000213</t>
  </si>
  <si>
    <t>Tinh · Tử Lân Chiến Giáp</t>
  </si>
  <si>
    <t>2:20000214</t>
  </si>
  <si>
    <t>Tinh · Lưu Hà Pháp Bào</t>
  </si>
  <si>
    <t>2:20000215</t>
  </si>
  <si>
    <t>Tinh · Long Tước Chiến Giáp</t>
  </si>
  <si>
    <t>2:20000216</t>
  </si>
  <si>
    <t>Tinh · Cung Điện Khổng Lồ Chiến Giáp</t>
  </si>
  <si>
    <t>2:20000311</t>
  </si>
  <si>
    <t>Tinh · Động Huyền Đạo Quan</t>
  </si>
  <si>
    <t>2:20000312</t>
  </si>
  <si>
    <t>Tinh · Trạm Lư Chiến Nón Trụ</t>
  </si>
  <si>
    <t>2:20000313</t>
  </si>
  <si>
    <t>Tinh · Tử Lân Chiến Nón Trụ</t>
  </si>
  <si>
    <t>2:20000314</t>
  </si>
  <si>
    <t>Tinh · Lưu Hà Mào Đầu</t>
  </si>
  <si>
    <t>2:20000315</t>
  </si>
  <si>
    <t>Tinh · Long Tước Chiến Nón Trụ</t>
  </si>
  <si>
    <t>2:20000316</t>
  </si>
  <si>
    <t>Tinh · Cung Điện Khổng Lồ Chiến Nón Trụ</t>
  </si>
  <si>
    <t>2:20000411</t>
  </si>
  <si>
    <t>Tinh · Động Huyền Đạo Giày</t>
  </si>
  <si>
    <t>2:20000412</t>
  </si>
  <si>
    <t>Tinh · Trạm Lư Giày Chiến</t>
  </si>
  <si>
    <t>2:20000413</t>
  </si>
  <si>
    <t>Tinh · Tử Lân Giày Chiến</t>
  </si>
  <si>
    <t>2:20000414</t>
  </si>
  <si>
    <t>Tinh · Lưu Hà Vũ Giày</t>
  </si>
  <si>
    <t>2:20000415</t>
  </si>
  <si>
    <t>Tinh · Long Tước Giày Chiến</t>
  </si>
  <si>
    <t>2:20000416</t>
  </si>
  <si>
    <t>Tinh · Cung Điện Khổng Lồ Giày Chiến</t>
  </si>
  <si>
    <t>5:1</t>
  </si>
  <si>
    <t>Mặt Trăng Ấn</t>
  </si>
  <si>
    <t>5:2</t>
  </si>
  <si>
    <t>Hổ Phương Ấn</t>
  </si>
  <si>
    <t>5:3</t>
  </si>
  <si>
    <t>Bạch Trạch Ấn</t>
  </si>
  <si>
    <t>5:4</t>
  </si>
  <si>
    <t>Huyền Vũ Ấn</t>
  </si>
  <si>
    <t>5:5</t>
  </si>
  <si>
    <t>Long Tước Ấn</t>
  </si>
  <si>
    <t>5:10001</t>
  </si>
  <si>
    <t>Chân Long Ấn</t>
  </si>
  <si>
    <t>5:10002</t>
  </si>
  <si>
    <t>5:10003</t>
  </si>
  <si>
    <t>5:10004</t>
  </si>
  <si>
    <t>5:10005</t>
  </si>
  <si>
    <t>5:10006</t>
  </si>
  <si>
    <t>5:10007</t>
  </si>
  <si>
    <t>5:10008</t>
  </si>
  <si>
    <t>5:10009</t>
  </si>
  <si>
    <t>5:10010</t>
  </si>
  <si>
    <t>5:10011</t>
  </si>
  <si>
    <t>5:10012</t>
  </si>
  <si>
    <t>5:10013</t>
  </si>
  <si>
    <t>5:10014</t>
  </si>
  <si>
    <t>5:10015</t>
  </si>
  <si>
    <t>5:10016</t>
  </si>
  <si>
    <t>5:20001</t>
  </si>
  <si>
    <t>Long Hồn</t>
  </si>
  <si>
    <t>6:10001</t>
  </si>
  <si>
    <t>Tý Thử</t>
  </si>
  <si>
    <t>6:10002</t>
  </si>
  <si>
    <t>6:10003</t>
  </si>
  <si>
    <t>6:10004</t>
  </si>
  <si>
    <t>6:10011</t>
  </si>
  <si>
    <t>Sửu Ngưu</t>
  </si>
  <si>
    <t>6:10012</t>
  </si>
  <si>
    <t>6:10013</t>
  </si>
  <si>
    <t>6:10014</t>
  </si>
  <si>
    <t>6:10021</t>
  </si>
  <si>
    <t>Dần Hổ</t>
  </si>
  <si>
    <t>6:10022</t>
  </si>
  <si>
    <t>6:10023</t>
  </si>
  <si>
    <t>6:10024</t>
  </si>
  <si>
    <t>6:10031</t>
  </si>
  <si>
    <t>Mão Thỏ</t>
  </si>
  <si>
    <t>6:10032</t>
  </si>
  <si>
    <t>6:10033</t>
  </si>
  <si>
    <t>6:10034</t>
  </si>
  <si>
    <t>6:10041</t>
  </si>
  <si>
    <t>Thìn Long</t>
  </si>
  <si>
    <t>6:10042</t>
  </si>
  <si>
    <t>6:10043</t>
  </si>
  <si>
    <t>6:10044</t>
  </si>
  <si>
    <t>6:10051</t>
  </si>
  <si>
    <t>Tị Xà</t>
  </si>
  <si>
    <t>6:10052</t>
  </si>
  <si>
    <t>6:10053</t>
  </si>
  <si>
    <t>6:10054</t>
  </si>
  <si>
    <t>6:10061</t>
  </si>
  <si>
    <t>Ngọ ngựa</t>
  </si>
  <si>
    <t>6:10062</t>
  </si>
  <si>
    <t>6:10063</t>
  </si>
  <si>
    <t>6:10064</t>
  </si>
  <si>
    <t>6:10071</t>
  </si>
  <si>
    <t>Mùi Dê</t>
  </si>
  <si>
    <t>6:10072</t>
  </si>
  <si>
    <t>6:10073</t>
  </si>
  <si>
    <t>6:10074</t>
  </si>
  <si>
    <t>6:10081</t>
  </si>
  <si>
    <t>Thân Hầu</t>
  </si>
  <si>
    <t>6:10082</t>
  </si>
  <si>
    <t>6:10083</t>
  </si>
  <si>
    <t>6:10084</t>
  </si>
  <si>
    <t>6:10091</t>
  </si>
  <si>
    <t>Dậu Kê</t>
  </si>
  <si>
    <t>6:10092</t>
  </si>
  <si>
    <t>6:10093</t>
  </si>
  <si>
    <t>6:10094</t>
  </si>
  <si>
    <t>6:10101</t>
  </si>
  <si>
    <t>Tuất Cẩu</t>
  </si>
  <si>
    <t>6:10102</t>
  </si>
  <si>
    <t>6:10103</t>
  </si>
  <si>
    <t>6:10104</t>
  </si>
  <si>
    <t>6:10111</t>
  </si>
  <si>
    <t>Hợi Trư</t>
  </si>
  <si>
    <t>6:10112</t>
  </si>
  <si>
    <t>6:10113</t>
  </si>
  <si>
    <t>6:10114</t>
  </si>
  <si>
    <t>6:20001</t>
  </si>
  <si>
    <t>Thanh Long</t>
  </si>
  <si>
    <t>6:20002</t>
  </si>
  <si>
    <t>6:20011</t>
  </si>
  <si>
    <t>Bạch Hổ</t>
  </si>
  <si>
    <t>6:20012</t>
  </si>
  <si>
    <t>6:20021</t>
  </si>
  <si>
    <t>Chu Tước</t>
  </si>
  <si>
    <t>6:20022</t>
  </si>
  <si>
    <t>6:20031</t>
  </si>
  <si>
    <t>Huyền Vũ</t>
  </si>
  <si>
    <t>6:20032</t>
  </si>
  <si>
    <t>6:20041</t>
  </si>
  <si>
    <t>Thao Thiết</t>
  </si>
  <si>
    <t>6:20042</t>
  </si>
  <si>
    <t>6:20051</t>
  </si>
  <si>
    <t>Kỳ Lân</t>
  </si>
  <si>
    <t>6:20052</t>
  </si>
  <si>
    <t>6:20061</t>
  </si>
  <si>
    <t>Quỳ Ngưu</t>
  </si>
  <si>
    <t>6:20062</t>
  </si>
  <si>
    <t>6:20071</t>
  </si>
  <si>
    <t>Phượng Hoàng</t>
  </si>
  <si>
    <t>6:20072</t>
  </si>
  <si>
    <t>6:20081</t>
  </si>
  <si>
    <t>Câu Trần</t>
  </si>
  <si>
    <t>6:20082</t>
  </si>
  <si>
    <t>6:20091</t>
  </si>
  <si>
    <t>Đào Ngột</t>
  </si>
  <si>
    <t>6:20092</t>
  </si>
  <si>
    <t>6:30001</t>
  </si>
  <si>
    <t>Thú Hồn Kinh Nghiệm ( Nhỏ )</t>
  </si>
  <si>
    <t>6:30002</t>
  </si>
  <si>
    <t>Thú Hồn Kinh Nghiệm ( Lớn )</t>
  </si>
  <si>
    <t>7:100101</t>
  </si>
  <si>
    <t>Phiên Thiên Ấn</t>
  </si>
  <si>
    <t>7:200101</t>
  </si>
  <si>
    <t>Thanh Long Rơi</t>
  </si>
  <si>
    <t>7:300101</t>
  </si>
  <si>
    <t>Hoa Sen Bảo Sách</t>
  </si>
  <si>
    <t>7:400101</t>
  </si>
  <si>
    <t>Trảm Tiên Phi Đao</t>
  </si>
  <si>
    <t>7:500101</t>
  </si>
  <si>
    <t>Long Uyên Thương</t>
  </si>
  <si>
    <t>7:600101</t>
  </si>
  <si>
    <t>Cô Hồng Kiếm</t>
  </si>
  <si>
    <t>7:1000101</t>
  </si>
  <si>
    <t>Long Vương Cái Sọt</t>
  </si>
  <si>
    <t>7:2000101</t>
  </si>
  <si>
    <t>Tinh Kim Đồng Tiền</t>
  </si>
  <si>
    <t>7:3000101</t>
  </si>
  <si>
    <t>Lửa Anh Thương</t>
  </si>
  <si>
    <t>7:4000101</t>
  </si>
  <si>
    <t>Thái Hư Thần Giáp</t>
  </si>
  <si>
    <t>7:5000101</t>
  </si>
  <si>
    <t>Đông Hoàng Chung</t>
  </si>
  <si>
    <t>7:6000101</t>
  </si>
  <si>
    <t>Lạc Nhật Cung</t>
  </si>
  <si>
    <t>7:7000101</t>
  </si>
  <si>
    <t>Bên Trên Bảo Thấm Kim Bá</t>
  </si>
  <si>
    <t>7:8000101</t>
  </si>
  <si>
    <t>Áng Mây Phiêu</t>
  </si>
  <si>
    <t>7:9000101</t>
  </si>
  <si>
    <t>Thần Nông Đỉnh</t>
  </si>
  <si>
    <t>7:10000101</t>
  </si>
  <si>
    <t>Vong Ưu</t>
  </si>
  <si>
    <t>7:11000101</t>
  </si>
  <si>
    <t>Ánh Trăng</t>
  </si>
  <si>
    <t>7:12000101</t>
  </si>
  <si>
    <t>Lão Long Bố Mưa</t>
  </si>
  <si>
    <t>7:13000101</t>
  </si>
  <si>
    <t>Hỗn Thiên Lăng</t>
  </si>
  <si>
    <t>7:14000101</t>
  </si>
  <si>
    <t>Hổ Phách Đao</t>
  </si>
  <si>
    <t>7:15000101</t>
  </si>
  <si>
    <t>Mộng Cảnh Di Châu</t>
  </si>
  <si>
    <t>7:16000101</t>
  </si>
  <si>
    <t>Muối Biển Trân Châu Con Trai</t>
  </si>
  <si>
    <t>7:17000101</t>
  </si>
  <si>
    <t>Tùy Tâm Đáng Tin Binh</t>
  </si>
  <si>
    <t>7:18000101</t>
  </si>
  <si>
    <t>Phù Thế Thanh Hoan</t>
  </si>
  <si>
    <t>7:19000101</t>
  </si>
  <si>
    <t>Như Ý Kim Cô Bổng</t>
  </si>
  <si>
    <t>7:20000101</t>
  </si>
  <si>
    <t>Vĩnh Dạ</t>
  </si>
  <si>
    <t>7:21000101</t>
  </si>
  <si>
    <t>Bông Tuyết Linh</t>
  </si>
  <si>
    <t>7:22000101</t>
  </si>
  <si>
    <t>Hộp Kiếm</t>
  </si>
  <si>
    <t>7:23000101</t>
  </si>
  <si>
    <t>Trảm Hồn</t>
  </si>
  <si>
    <t>7:24000101</t>
  </si>
  <si>
    <t>Ly Long Ấn</t>
  </si>
  <si>
    <t>7:25000101</t>
  </si>
  <si>
    <t>Ngũ Thải Thần Thạch</t>
  </si>
  <si>
    <t>7:26000101</t>
  </si>
  <si>
    <t>Huyền Hỏa Giám</t>
  </si>
  <si>
    <t>7:27000101</t>
  </si>
  <si>
    <t>Làm Thích</t>
  </si>
  <si>
    <t>7:28000101</t>
  </si>
  <si>
    <t>Mộ Chỉ Riêng</t>
  </si>
  <si>
    <t>7:29000101</t>
  </si>
  <si>
    <t>Tinh Hồng Chi Mắt</t>
  </si>
  <si>
    <t>7:30000101</t>
  </si>
  <si>
    <t>Toa La Bảo Trượng</t>
  </si>
  <si>
    <t>7:31000101</t>
  </si>
  <si>
    <t>Ly Châu</t>
  </si>
  <si>
    <t>7:32000101</t>
  </si>
  <si>
    <t>Bèo Tấm</t>
  </si>
  <si>
    <t>7:33000101</t>
  </si>
  <si>
    <t>Linh Lung Bảo Tháp</t>
  </si>
  <si>
    <t>7:34000101</t>
  </si>
  <si>
    <t>Gấm Lan Cà Sa</t>
  </si>
  <si>
    <t>7:35000101</t>
  </si>
  <si>
    <t>Chú Oán</t>
  </si>
  <si>
    <t>7:36000101</t>
  </si>
  <si>
    <t>Ngũ Sắc Thần Quang</t>
  </si>
  <si>
    <t>7:37000101</t>
  </si>
  <si>
    <t>Tam Bảo Ngọc Như Ý</t>
  </si>
  <si>
    <t>7:38000101</t>
  </si>
  <si>
    <t>Hoàng Việt</t>
  </si>
  <si>
    <t>7:39000101</t>
  </si>
  <si>
    <t>Hỗn Thiết Côn</t>
  </si>
  <si>
    <t>7:40000101</t>
  </si>
  <si>
    <t>Vu Độc Con Rối</t>
  </si>
  <si>
    <t>7:41000101</t>
  </si>
  <si>
    <t>Huyết Liên Đài</t>
  </si>
  <si>
    <t>8:100001</t>
  </si>
  <si>
    <t>Trời · Phiên Thiên Ấn</t>
  </si>
  <si>
    <t>8:100002</t>
  </si>
  <si>
    <t>· Phiên Thiên Ấn</t>
  </si>
  <si>
    <t>8:100003</t>
  </si>
  <si>
    <t>Huyền · Phiên Thiên Ấn</t>
  </si>
  <si>
    <t>8:100004</t>
  </si>
  <si>
    <t>Hoàng · Phiên Thiên Ấn</t>
  </si>
  <si>
    <t>8:200001</t>
  </si>
  <si>
    <t>Trời · Thanh Long Rơi</t>
  </si>
  <si>
    <t>8:200002</t>
  </si>
  <si>
    <t>· Thanh Long Rơi</t>
  </si>
  <si>
    <t>8:200003</t>
  </si>
  <si>
    <t>Huyền · Thanh Long Rơi</t>
  </si>
  <si>
    <t>8:200004</t>
  </si>
  <si>
    <t>Hoàng · Thanh Long Rơi</t>
  </si>
  <si>
    <t>8:300001</t>
  </si>
  <si>
    <t>Trời · Hoa Sen Bảo Sách</t>
  </si>
  <si>
    <t>8:300002</t>
  </si>
  <si>
    <t>· Hoa Sen Bảo Sách</t>
  </si>
  <si>
    <t>8:300003</t>
  </si>
  <si>
    <t>Huyền · Hoa Sen Bảo Sách</t>
  </si>
  <si>
    <t>8:300004</t>
  </si>
  <si>
    <t>Hoàng · Hoa Sen Bảo Sách</t>
  </si>
  <si>
    <t>8:400001</t>
  </si>
  <si>
    <t>Trời · Trảm Tiên Phi Đao</t>
  </si>
  <si>
    <t>8:400002</t>
  </si>
  <si>
    <t>· Trảm Tiên Phi Đao</t>
  </si>
  <si>
    <t>8:400003</t>
  </si>
  <si>
    <t>Huyền · Trảm Tiên Phi Đao</t>
  </si>
  <si>
    <t>8:400004</t>
  </si>
  <si>
    <t>Hoàng · Trảm Tiên Phi Đao</t>
  </si>
  <si>
    <t>8:500001</t>
  </si>
  <si>
    <t>Trời · Long Uyên Thương</t>
  </si>
  <si>
    <t>8:500002</t>
  </si>
  <si>
    <t>· Long Uyên Thương</t>
  </si>
  <si>
    <t>8:500003</t>
  </si>
  <si>
    <t>Huyền · Long Uyên Thương</t>
  </si>
  <si>
    <t>8:500004</t>
  </si>
  <si>
    <t>Hoàng · Long Uyên Thương</t>
  </si>
  <si>
    <t>8:600001</t>
  </si>
  <si>
    <t>Trời · Cô Hồng Kiếm</t>
  </si>
  <si>
    <t>8:600002</t>
  </si>
  <si>
    <t>· Cô Hồng Kiếm</t>
  </si>
  <si>
    <t>8:600003</t>
  </si>
  <si>
    <t>Huyền · Cô Hồng Kiếm</t>
  </si>
  <si>
    <t>8:600004</t>
  </si>
  <si>
    <t>Hoàng · Cô Hồng Kiếm</t>
  </si>
  <si>
    <t>8:1000001</t>
  </si>
  <si>
    <t>Trời · Long Vương Cái Sọt</t>
  </si>
  <si>
    <t>8:1000002</t>
  </si>
  <si>
    <t>· Long Vương Cái Sọt</t>
  </si>
  <si>
    <t>8:1000003</t>
  </si>
  <si>
    <t>Huyền · Long Vương Cái Sọt</t>
  </si>
  <si>
    <t>8:1000004</t>
  </si>
  <si>
    <t>Hoàng · Long Vương Cái Sọt</t>
  </si>
  <si>
    <t>8:2000001</t>
  </si>
  <si>
    <t>Trời · Tinh Kim Đồng Tiền</t>
  </si>
  <si>
    <t>8:2000002</t>
  </si>
  <si>
    <t>· Tinh Kim Đồng Tiền</t>
  </si>
  <si>
    <t>8:2000003</t>
  </si>
  <si>
    <t>Huyền · Tinh Kim Đồng Tiền</t>
  </si>
  <si>
    <t>8:2000004</t>
  </si>
  <si>
    <t>Hoàng · Tinh Kim Đồng Tiền</t>
  </si>
  <si>
    <t>8:3000001</t>
  </si>
  <si>
    <t>Trời · Lửa Anh Thương</t>
  </si>
  <si>
    <t>8:3000002</t>
  </si>
  <si>
    <t>· Lửa Anh Thương</t>
  </si>
  <si>
    <t>8:3000003</t>
  </si>
  <si>
    <t>Huyền · Lửa Anh Thương</t>
  </si>
  <si>
    <t>8:3000004</t>
  </si>
  <si>
    <t>Hoàng · Lửa Anh Thương</t>
  </si>
  <si>
    <t>8:4000001</t>
  </si>
  <si>
    <t>Trời · Thái Hư Thần Giáp</t>
  </si>
  <si>
    <t>8:4000002</t>
  </si>
  <si>
    <t>· Thái Hư Thần Giáp</t>
  </si>
  <si>
    <t>8:4000003</t>
  </si>
  <si>
    <t>Huyền · Thái Hư Thần Giáp</t>
  </si>
  <si>
    <t>8:4000004</t>
  </si>
  <si>
    <t>Hoàng · Thái Hư Thần Giáp</t>
  </si>
  <si>
    <t>8:5000001</t>
  </si>
  <si>
    <t>Trời · Đông Hoàng Chung</t>
  </si>
  <si>
    <t>8:5000002</t>
  </si>
  <si>
    <t>· Đông Hoàng Chung</t>
  </si>
  <si>
    <t>8:5000003</t>
  </si>
  <si>
    <t>Huyền · Đông Hoàng Chung</t>
  </si>
  <si>
    <t>8:5000004</t>
  </si>
  <si>
    <t>Hoàng · Đông Hoàng Chung</t>
  </si>
  <si>
    <t>8:6000001</t>
  </si>
  <si>
    <t>Trời · Lạc Nhật Cung</t>
  </si>
  <si>
    <t>8:6000002</t>
  </si>
  <si>
    <t>· Lạc Nhật Cung</t>
  </si>
  <si>
    <t>8:6000003</t>
  </si>
  <si>
    <t>Huyền · Lạc Nhật Cung</t>
  </si>
  <si>
    <t>8:6000004</t>
  </si>
  <si>
    <t>Hoàng · Lạc Nhật Cung</t>
  </si>
  <si>
    <t>8:7000001</t>
  </si>
  <si>
    <t>Trời · Bên Trên Bảo Thấm Kim Bá</t>
  </si>
  <si>
    <t>8:7000002</t>
  </si>
  <si>
    <t>· Bên Trên Bảo Thấm Kim Bá</t>
  </si>
  <si>
    <t>8:7000003</t>
  </si>
  <si>
    <t>Huyền · Bên Trên Bảo Thấm Kim Bá</t>
  </si>
  <si>
    <t>8:7000004</t>
  </si>
  <si>
    <t>Hoàng · Bên Trên Bảo Thấm Kim Bá</t>
  </si>
  <si>
    <t>8:8000001</t>
  </si>
  <si>
    <t>Trời · Áng Mây Phiêu</t>
  </si>
  <si>
    <t>8:8000002</t>
  </si>
  <si>
    <t>· Áng Mây Phiêu</t>
  </si>
  <si>
    <t>8:8000003</t>
  </si>
  <si>
    <t>Huyền · Áng Mây Phiêu</t>
  </si>
  <si>
    <t>8:8000004</t>
  </si>
  <si>
    <t>Hoàng · Áng Mây Phiêu</t>
  </si>
  <si>
    <t>8:9000001</t>
  </si>
  <si>
    <t>Trời · Thần Nông Đỉnh</t>
  </si>
  <si>
    <t>8:9000002</t>
  </si>
  <si>
    <t>· Thần Nông Đỉnh</t>
  </si>
  <si>
    <t>8:9000003</t>
  </si>
  <si>
    <t>Huyền · Thần Nông Đỉnh</t>
  </si>
  <si>
    <t>8:9000004</t>
  </si>
  <si>
    <t>Hoàng · Thần Nông Đỉnh</t>
  </si>
  <si>
    <t>8:10000001</t>
  </si>
  <si>
    <t>Trời · Vong Ưu</t>
  </si>
  <si>
    <t>8:10000002</t>
  </si>
  <si>
    <t>· Vong Ưu</t>
  </si>
  <si>
    <t>8:10000003</t>
  </si>
  <si>
    <t>Huyền · Vong Ưu</t>
  </si>
  <si>
    <t>8:10000004</t>
  </si>
  <si>
    <t>Hoàng · Vong Ưu</t>
  </si>
  <si>
    <t>8:11000001</t>
  </si>
  <si>
    <t>Trời · Ánh Trăng</t>
  </si>
  <si>
    <t>8:11000002</t>
  </si>
  <si>
    <t>· Ánh Trăng</t>
  </si>
  <si>
    <t>8:11000003</t>
  </si>
  <si>
    <t>Huyền · Ánh Trăng</t>
  </si>
  <si>
    <t>8:11000004</t>
  </si>
  <si>
    <t>Hoàng · Ánh Trăng</t>
  </si>
  <si>
    <t>8:12000001</t>
  </si>
  <si>
    <t>Trời · Lão Long Bố Mưa</t>
  </si>
  <si>
    <t>8:12000002</t>
  </si>
  <si>
    <t>· Lão Long Bố Mưa</t>
  </si>
  <si>
    <t>8:12000003</t>
  </si>
  <si>
    <t>Huyền · Lão Long Bố Mưa</t>
  </si>
  <si>
    <t>8:12000004</t>
  </si>
  <si>
    <t>Hoàng · Lão Long Bố Mưa</t>
  </si>
  <si>
    <t>8:13000001</t>
  </si>
  <si>
    <t>Trời · Hỗn Thiên Lăng</t>
  </si>
  <si>
    <t>8:13000002</t>
  </si>
  <si>
    <t>· Hỗn Thiên Lăng</t>
  </si>
  <si>
    <t>8:13000003</t>
  </si>
  <si>
    <t>Huyền · Hỗn Thiên Lăng</t>
  </si>
  <si>
    <t>8:13000004</t>
  </si>
  <si>
    <t>Hoàng · Hỗn Thiên Lăng</t>
  </si>
  <si>
    <t>8:14000001</t>
  </si>
  <si>
    <t>Trời · Hổ Phách Đao</t>
  </si>
  <si>
    <t>8:14000002</t>
  </si>
  <si>
    <t>· Hổ Phách Đao</t>
  </si>
  <si>
    <t>8:14000003</t>
  </si>
  <si>
    <t>Huyền · Hổ Phách Đao</t>
  </si>
  <si>
    <t>8:14000004</t>
  </si>
  <si>
    <t>Hoàng · Hổ Phách Đao</t>
  </si>
  <si>
    <t>8:15000001</t>
  </si>
  <si>
    <t>Trời · Mộng Cảnh Di Châu</t>
  </si>
  <si>
    <t>8:15000002</t>
  </si>
  <si>
    <t>· Mộng Cảnh Di Châu</t>
  </si>
  <si>
    <t>8:15000003</t>
  </si>
  <si>
    <t>Huyền · Mộng Cảnh Di Châu</t>
  </si>
  <si>
    <t>8:15000004</t>
  </si>
  <si>
    <t>Hoàng · Mộng Cảnh Di Châu</t>
  </si>
  <si>
    <t>8:16000001</t>
  </si>
  <si>
    <t>Trời · Muối Biển Trân Châu Con Trai</t>
  </si>
  <si>
    <t>8:16000002</t>
  </si>
  <si>
    <t>· Muối Biển Trân Châu Con Trai</t>
  </si>
  <si>
    <t>8:16000003</t>
  </si>
  <si>
    <t>Huyền · Muối Biển Trân Châu Con Trai</t>
  </si>
  <si>
    <t>8:16000004</t>
  </si>
  <si>
    <t>Hoàng · Muối Biển Trân Châu Con Trai</t>
  </si>
  <si>
    <t>8:17000001</t>
  </si>
  <si>
    <t>Trời · Tùy Tâm Đáng Tin Binh</t>
  </si>
  <si>
    <t>8:17000002</t>
  </si>
  <si>
    <t>· Tùy Tâm Đáng Tin Binh</t>
  </si>
  <si>
    <t>8:17000003</t>
  </si>
  <si>
    <t>Huyền · Tùy Tâm Đáng Tin Binh</t>
  </si>
  <si>
    <t>8:17000004</t>
  </si>
  <si>
    <t>Hoàng · Tùy Tâm Đáng Tin Binh</t>
  </si>
  <si>
    <t>8:18000001</t>
  </si>
  <si>
    <t>Trời · Phù Thế Thanh Hoan</t>
  </si>
  <si>
    <t>8:18000002</t>
  </si>
  <si>
    <t>· Phù Thế Thanh Hoan</t>
  </si>
  <si>
    <t>8:18000003</t>
  </si>
  <si>
    <t>Huyền · Phù Thế Thanh Hoan</t>
  </si>
  <si>
    <t>8:18000004</t>
  </si>
  <si>
    <t>Hoàng · Phù Thế Thanh Hoan</t>
  </si>
  <si>
    <t>8:19000001</t>
  </si>
  <si>
    <t>Trời · Như Ý Kim Cô Bổng</t>
  </si>
  <si>
    <t>8:19000002</t>
  </si>
  <si>
    <t>· Như Ý Kim Cô Bổng</t>
  </si>
  <si>
    <t>8:19000003</t>
  </si>
  <si>
    <t>Huyền · Như Ý Kim Cô Bổng</t>
  </si>
  <si>
    <t>8:19000004</t>
  </si>
  <si>
    <t>Hoàng · Như Ý Kim Cô Bổng</t>
  </si>
  <si>
    <t>8:20000001</t>
  </si>
  <si>
    <t>Trời · Vĩnh Dạ</t>
  </si>
  <si>
    <t>8:20000002</t>
  </si>
  <si>
    <t>· Vĩnh Dạ</t>
  </si>
  <si>
    <t>8:20000003</t>
  </si>
  <si>
    <t>Huyền · Vĩnh Dạ</t>
  </si>
  <si>
    <t>8:20000004</t>
  </si>
  <si>
    <t>Hoàng · Vĩnh Dạ</t>
  </si>
  <si>
    <t>8:21000001</t>
  </si>
  <si>
    <t>Trời · Bông Tuyết Linh</t>
  </si>
  <si>
    <t>8:21000002</t>
  </si>
  <si>
    <t>· Bông Tuyết Linh</t>
  </si>
  <si>
    <t>8:21000003</t>
  </si>
  <si>
    <t>Huyền · Bông Tuyết Linh</t>
  </si>
  <si>
    <t>8:21000004</t>
  </si>
  <si>
    <t>Hoàng · Bông Tuyết Linh</t>
  </si>
  <si>
    <t>8:22000001</t>
  </si>
  <si>
    <t>Trời · Hộp Kiếm</t>
  </si>
  <si>
    <t>8:22000002</t>
  </si>
  <si>
    <t>· Hộp Kiếm</t>
  </si>
  <si>
    <t>8:22000003</t>
  </si>
  <si>
    <t>Huyền · Hộp Kiếm</t>
  </si>
  <si>
    <t>8:22000004</t>
  </si>
  <si>
    <t>Hoàng · Hộp Kiếm</t>
  </si>
  <si>
    <t>8:23000001</t>
  </si>
  <si>
    <t>Trời · Trảm Hồn</t>
  </si>
  <si>
    <t>8:23000002</t>
  </si>
  <si>
    <t>· Trảm Hồn</t>
  </si>
  <si>
    <t>8:23000003</t>
  </si>
  <si>
    <t>Huyền · Trảm Hồn</t>
  </si>
  <si>
    <t>8:23000004</t>
  </si>
  <si>
    <t>Hoàng · Trảm Hồn</t>
  </si>
  <si>
    <t>8:24000001</t>
  </si>
  <si>
    <t>Trời · Ly Long Ấn</t>
  </si>
  <si>
    <t>8:24000002</t>
  </si>
  <si>
    <t>· Ly Long Ấn</t>
  </si>
  <si>
    <t>8:24000003</t>
  </si>
  <si>
    <t>Huyền · Ly Long Ấn</t>
  </si>
  <si>
    <t>8:24000004</t>
  </si>
  <si>
    <t>Hoàng · Ly Long Ấn</t>
  </si>
  <si>
    <t>8:25000001</t>
  </si>
  <si>
    <t>Trời · Ngũ Thải Thần Thạch</t>
  </si>
  <si>
    <t>8:25000002</t>
  </si>
  <si>
    <t>· Ngũ Thải Thần Thạch</t>
  </si>
  <si>
    <t>8:25000003</t>
  </si>
  <si>
    <t>Huyền · Ngũ Thải Thần Thạch</t>
  </si>
  <si>
    <t>8:25000004</t>
  </si>
  <si>
    <t>Hoàng · Ngũ Thải Thần Thạch</t>
  </si>
  <si>
    <t>8:26000001</t>
  </si>
  <si>
    <t>Trời · Huyền Hỏa Giám</t>
  </si>
  <si>
    <t>8:26000002</t>
  </si>
  <si>
    <t>· Huyền Hỏa Giám</t>
  </si>
  <si>
    <t>8:26000003</t>
  </si>
  <si>
    <t>Huyền · Huyền Hỏa Giám</t>
  </si>
  <si>
    <t>8:26000004</t>
  </si>
  <si>
    <t>Hoàng · Huyền Hỏa Giám</t>
  </si>
  <si>
    <t>8:27000001</t>
  </si>
  <si>
    <t>Trời · Làm Thích</t>
  </si>
  <si>
    <t>8:27000002</t>
  </si>
  <si>
    <t>· Làm Thích</t>
  </si>
  <si>
    <t>8:27000003</t>
  </si>
  <si>
    <t>Huyền · Làm Thích</t>
  </si>
  <si>
    <t>8:27000004</t>
  </si>
  <si>
    <t>Hoàng · Làm Thích</t>
  </si>
  <si>
    <t>8:28000001</t>
  </si>
  <si>
    <t>Trời · Mộ Chỉ Riêng</t>
  </si>
  <si>
    <t>8:28000002</t>
  </si>
  <si>
    <t>· Mộ Chỉ Riêng</t>
  </si>
  <si>
    <t>8:28000003</t>
  </si>
  <si>
    <t>Huyền · Mộ Chỉ Riêng</t>
  </si>
  <si>
    <t>8:28000004</t>
  </si>
  <si>
    <t>Hoàng · Mộ Chỉ Riêng</t>
  </si>
  <si>
    <t>8:29000001</t>
  </si>
  <si>
    <t>Trời · Tinh Hồng Chi Mắt</t>
  </si>
  <si>
    <t>8:29000002</t>
  </si>
  <si>
    <t>· Tinh Hồng Chi Mắt</t>
  </si>
  <si>
    <t>8:29000003</t>
  </si>
  <si>
    <t>Huyền · Tinh Hồng Chi Mắt</t>
  </si>
  <si>
    <t>8:29000004</t>
  </si>
  <si>
    <t>Hoàng · Tinh Hồng Chi Mắt</t>
  </si>
  <si>
    <t>8:30000001</t>
  </si>
  <si>
    <t>Trời · Toa La Bảo Trượng</t>
  </si>
  <si>
    <t>8:30000002</t>
  </si>
  <si>
    <t>· Toa La Bảo Trượng</t>
  </si>
  <si>
    <t>8:30000003</t>
  </si>
  <si>
    <t>Huyền · Toa La Bảo Trượng</t>
  </si>
  <si>
    <t>8:30000004</t>
  </si>
  <si>
    <t>Hoàng · Toa La Bảo Trượng</t>
  </si>
  <si>
    <t>8:31000001</t>
  </si>
  <si>
    <t>Trời · Ly Châu</t>
  </si>
  <si>
    <t>8:31000002</t>
  </si>
  <si>
    <t>· Ly Châu</t>
  </si>
  <si>
    <t>8:31000003</t>
  </si>
  <si>
    <t>Huyền · Ly Châu</t>
  </si>
  <si>
    <t>8:31000004</t>
  </si>
  <si>
    <t>Hoàng · Ly Châu</t>
  </si>
  <si>
    <t>8:32000001</t>
  </si>
  <si>
    <t>Trời · Bèo Tấm</t>
  </si>
  <si>
    <t>8:32000002</t>
  </si>
  <si>
    <t>· Bèo Tấm</t>
  </si>
  <si>
    <t>8:32000003</t>
  </si>
  <si>
    <t>Huyền · Bèo Tấm</t>
  </si>
  <si>
    <t>8:32000004</t>
  </si>
  <si>
    <t>Hoàng · Bèo Tấm</t>
  </si>
  <si>
    <t>8:33000001</t>
  </si>
  <si>
    <t>Trời · Linh Lung Bảo Tháp</t>
  </si>
  <si>
    <t>8:33000002</t>
  </si>
  <si>
    <t>· Linh Lung Bảo Tháp</t>
  </si>
  <si>
    <t>8:33000003</t>
  </si>
  <si>
    <t>Huyền · Linh Lung Bảo Tháp</t>
  </si>
  <si>
    <t>8:33000004</t>
  </si>
  <si>
    <t>Hoàng · Linh Lung Bảo Tháp</t>
  </si>
  <si>
    <t>8:34000001</t>
  </si>
  <si>
    <t>Trời · Gấm Lan Cà Sa</t>
  </si>
  <si>
    <t>8:34000002</t>
  </si>
  <si>
    <t>· Gấm Lan Cà Sa</t>
  </si>
  <si>
    <t>8:34000003</t>
  </si>
  <si>
    <t>Huyền · Gấm Lan Cà Sa</t>
  </si>
  <si>
    <t>8:34000004</t>
  </si>
  <si>
    <t>Hoàng · Gấm Lan Cà Sa</t>
  </si>
  <si>
    <t>8:35000001</t>
  </si>
  <si>
    <t>Trời · Chú Oán</t>
  </si>
  <si>
    <t>8:35000002</t>
  </si>
  <si>
    <t>· Chú Oán</t>
  </si>
  <si>
    <t>8:35000003</t>
  </si>
  <si>
    <t>Huyền · Chú Oán</t>
  </si>
  <si>
    <t>8:35000004</t>
  </si>
  <si>
    <t>Hoàng · Chú Oán</t>
  </si>
  <si>
    <t>8:36000001</t>
  </si>
  <si>
    <t>Trời · Ngũ Sắc Thần Quang</t>
  </si>
  <si>
    <t>8:36000002</t>
  </si>
  <si>
    <t>· Ngũ Sắc Thần Quang</t>
  </si>
  <si>
    <t>8:36000003</t>
  </si>
  <si>
    <t>Huyền · Ngũ Sắc Thần Quang</t>
  </si>
  <si>
    <t>8:36000004</t>
  </si>
  <si>
    <t>Hoàng · Ngũ Sắc Thần Quang</t>
  </si>
  <si>
    <t>8:37000001</t>
  </si>
  <si>
    <t>Trời · Tam Bảo Ngọc Như Ý</t>
  </si>
  <si>
    <t>8:37000002</t>
  </si>
  <si>
    <t>· Tam Bảo Ngọc Như Ý</t>
  </si>
  <si>
    <t>8:37000003</t>
  </si>
  <si>
    <t>Huyền · Tam Bảo Ngọc Như Ý</t>
  </si>
  <si>
    <t>8:37000004</t>
  </si>
  <si>
    <t>Hoàng · Tam Bảo Ngọc Như Ý</t>
  </si>
  <si>
    <t>8:38000001</t>
  </si>
  <si>
    <t>Trời · Hoàng Việt</t>
  </si>
  <si>
    <t>8:38000002</t>
  </si>
  <si>
    <t>· Hoàng Việt</t>
  </si>
  <si>
    <t>8:38000003</t>
  </si>
  <si>
    <t>Huyền · Hoàng Việt</t>
  </si>
  <si>
    <t>8:38000004</t>
  </si>
  <si>
    <t>Hoàng · Hoàng Việt</t>
  </si>
  <si>
    <t>8:39000001</t>
  </si>
  <si>
    <t>Trời · Hỗn Thiết Côn</t>
  </si>
  <si>
    <t>8:39000002</t>
  </si>
  <si>
    <t>· Hỗn Thiết Côn</t>
  </si>
  <si>
    <t>8:39000003</t>
  </si>
  <si>
    <t>Huyền · Hỗn Thiết Côn</t>
  </si>
  <si>
    <t>8:39000004</t>
  </si>
  <si>
    <t>Hoàng · Hỗn Thiết Côn</t>
  </si>
  <si>
    <t>8:40000001</t>
  </si>
  <si>
    <t>Trời · Vu Độc Con Rối</t>
  </si>
  <si>
    <t>8:40000002</t>
  </si>
  <si>
    <t>· Vu Độc Con Rối</t>
  </si>
  <si>
    <t>8:40000003</t>
  </si>
  <si>
    <t>Huyền · Vu Độc Con Rối</t>
  </si>
  <si>
    <t>8:40000004</t>
  </si>
  <si>
    <t>Hoàng · Vu Độc Con Rối</t>
  </si>
  <si>
    <t>8:41000001</t>
  </si>
  <si>
    <t>Trời · Huyết Liên Đài</t>
  </si>
  <si>
    <t>8:41000002</t>
  </si>
  <si>
    <t>· Huyết Liên Đài</t>
  </si>
  <si>
    <t>8:41000003</t>
  </si>
  <si>
    <t>Huyền · Huyết Liên Đài</t>
  </si>
  <si>
    <t>8:41000004</t>
  </si>
  <si>
    <t>Hoàng · Huyết Liên Đài</t>
  </si>
  <si>
    <t>3:100001</t>
  </si>
  <si>
    <t>Tiến Giai Thạch</t>
  </si>
  <si>
    <t>3:100002</t>
  </si>
  <si>
    <t>Thái Ất Tinh Kim</t>
  </si>
  <si>
    <t>3:100003</t>
  </si>
  <si>
    <t>Hạo Dương Thạch</t>
  </si>
  <si>
    <t>3:100004</t>
  </si>
  <si>
    <t>Mạ Vàng Phấn</t>
  </si>
  <si>
    <t>3:100007</t>
  </si>
  <si>
    <t>Thiên Khải Tinh Văn Tảng Đá</t>
  </si>
  <si>
    <t>3:100008</t>
  </si>
  <si>
    <t>Bích Ngọc Tủy</t>
  </si>
  <si>
    <t>3:100009</t>
  </si>
  <si>
    <t>Thiên Giới Thần Thạch</t>
  </si>
  <si>
    <t>3:100010</t>
  </si>
  <si>
    <t>Liệt Dương Tín Vật</t>
  </si>
  <si>
    <t>3:100011</t>
  </si>
  <si>
    <t>Thần Trang Mảnh Vỡ</t>
  </si>
  <si>
    <t>3:100013</t>
  </si>
  <si>
    <t>Hiền Giả Di Vật</t>
  </si>
  <si>
    <t>3:100014</t>
  </si>
  <si>
    <t>Tiên Linh Di Vật</t>
  </si>
  <si>
    <t>3:100015</t>
  </si>
  <si>
    <t>Yêu Tổ Di Vật</t>
  </si>
  <si>
    <t>3:100016</t>
  </si>
  <si>
    <t>Ma Hoàng Di Vật</t>
  </si>
  <si>
    <t>3:100017</t>
  </si>
  <si>
    <t>Cổ Thần Di Vật</t>
  </si>
  <si>
    <t>3:100018</t>
  </si>
  <si>
    <t>Tín Ngưỡng Chi Lực</t>
  </si>
  <si>
    <t>3:100024</t>
  </si>
  <si>
    <t>Linh Bàn Thờ</t>
  </si>
  <si>
    <t>3:100025</t>
  </si>
  <si>
    <t>Mệnh Ký</t>
  </si>
  <si>
    <t>3:100026</t>
  </si>
  <si>
    <t>Mệnh Cách</t>
  </si>
  <si>
    <t>3:100028</t>
  </si>
  <si>
    <t>Đổi Thành Tinh Hoa</t>
  </si>
  <si>
    <t>3:100029</t>
  </si>
  <si>
    <t>Làn Da Mảnh Vỡ</t>
  </si>
  <si>
    <t>3:100030</t>
  </si>
  <si>
    <t>Máu Anh Thạch</t>
  </si>
  <si>
    <t>3:100031</t>
  </si>
  <si>
    <t>Tẩy Luyện Thạch</t>
  </si>
  <si>
    <t>3:100032</t>
  </si>
  <si>
    <t>Hoàng Cấp Hồn Đan</t>
  </si>
  <si>
    <t>3:100033</t>
  </si>
  <si>
    <t>Huyền Cấp Hồn Đan</t>
  </si>
  <si>
    <t>3:100034</t>
  </si>
  <si>
    <t>Địa Cấp Hồn Đan</t>
  </si>
  <si>
    <t>3:100035</t>
  </si>
  <si>
    <t>Thiên Cấp Hồn Đan</t>
  </si>
  <si>
    <t>3:100036</t>
  </si>
  <si>
    <t>Thú Hồn Mảnh Vỡ</t>
  </si>
  <si>
    <t>3:100047</t>
  </si>
  <si>
    <t>Quán Ma Chi Bình · Người</t>
  </si>
  <si>
    <t>3:100048</t>
  </si>
  <si>
    <t>Quán Ma Chi Bình · Tiên</t>
  </si>
  <si>
    <t>3:100049</t>
  </si>
  <si>
    <t>Quán Ma Chi Bình · Yêu</t>
  </si>
  <si>
    <t>3:100050</t>
  </si>
  <si>
    <t>Quán Ma Chi Bình · Thần</t>
  </si>
  <si>
    <t>3:100051</t>
  </si>
  <si>
    <t>Quán Ma Chi Bình · Ma</t>
  </si>
  <si>
    <t>3:100057</t>
  </si>
  <si>
    <t>Thời Gian Tinh Hoa</t>
  </si>
  <si>
    <t>3:100059</t>
  </si>
  <si>
    <t>Hồn Đan</t>
  </si>
  <si>
    <t>3:100096</t>
  </si>
  <si>
    <t>Quán Ma Chi Bình</t>
  </si>
  <si>
    <t>3:100210</t>
  </si>
  <si>
    <t>Thời Gian Đồng Hồ Cát</t>
  </si>
  <si>
    <t>3:100212</t>
  </si>
  <si>
    <t>Huyền Thiết</t>
  </si>
  <si>
    <t>3:100213</t>
  </si>
  <si>
    <t>Thần Thiết</t>
  </si>
  <si>
    <t>3:100214</t>
  </si>
  <si>
    <t>Vẫn Thạch Tinh Hoa</t>
  </si>
  <si>
    <t>3:100215</t>
  </si>
  <si>
    <t>Động Thiên Hồng Ngọc</t>
  </si>
  <si>
    <t>3:100216</t>
  </si>
  <si>
    <t>Kỳ Lân Tiên Ngọc</t>
  </si>
  <si>
    <t>3:100217</t>
  </si>
  <si>
    <t>Tiên Khí Tinh Hoa</t>
  </si>
  <si>
    <t>3:100224</t>
  </si>
  <si>
    <t>Tu Vi Đan</t>
  </si>
  <si>
    <t>3:100225</t>
  </si>
  <si>
    <t>Bí Kíp</t>
  </si>
  <si>
    <t>3:100227</t>
  </si>
  <si>
    <t>Thông Linh Bài</t>
  </si>
  <si>
    <t>3:100228</t>
  </si>
  <si>
    <t>Cầm Tinh Khiến</t>
  </si>
  <si>
    <t>3:100229</t>
  </si>
  <si>
    <t>Thánh Thú Khiến</t>
  </si>
  <si>
    <t>3:100230</t>
  </si>
  <si>
    <t>Cộng Minh Thủy Tinh</t>
  </si>
  <si>
    <t>3:100100</t>
  </si>
  <si>
    <t>Triện Ấn: Thần Ân</t>
  </si>
  <si>
    <t>3:100101</t>
  </si>
  <si>
    <t>Triện Ấn: Pháp Liền</t>
  </si>
  <si>
    <t>3:100102</t>
  </si>
  <si>
    <t>Triện Ấn: Giáp Dày</t>
  </si>
  <si>
    <t>3:100103</t>
  </si>
  <si>
    <t>Triện Ấn: Sạch Sẽ</t>
  </si>
  <si>
    <t>3:100104</t>
  </si>
  <si>
    <t>Triện Ấn: Tự Hạn Chế</t>
  </si>
  <si>
    <t>3:100105</t>
  </si>
  <si>
    <t>Triện Ấn: Kháng Khống</t>
  </si>
  <si>
    <t>3:100106</t>
  </si>
  <si>
    <t>Triện Ấn: Né Tránh</t>
  </si>
  <si>
    <t>3:100107</t>
  </si>
  <si>
    <t>Triện Ấn: Khép Lại</t>
  </si>
  <si>
    <t>3:100108</t>
  </si>
  <si>
    <t>Triện Ấn: Miễn Tổn Thương</t>
  </si>
  <si>
    <t>3:100109</t>
  </si>
  <si>
    <t>Triện Ấn: Thần Tốc</t>
  </si>
  <si>
    <t>3:100110</t>
  </si>
  <si>
    <t>Triện Ấn: Trí Tuệ</t>
  </si>
  <si>
    <t>3:100111</t>
  </si>
  <si>
    <t>Triện Ấn: Thần Võ</t>
  </si>
  <si>
    <t>3:100112</t>
  </si>
  <si>
    <t>Triện Ấn: Truy Kích</t>
  </si>
  <si>
    <t>3:100113</t>
  </si>
  <si>
    <t>Triện Ấn: Bạo Tập</t>
  </si>
  <si>
    <t>3:100114</t>
  </si>
  <si>
    <t>Triện Ấn: Nổi Giận</t>
  </si>
  <si>
    <t>3:100115</t>
  </si>
  <si>
    <t>Triện Ấn: Cuồng Bạo</t>
  </si>
  <si>
    <t>3:100116</t>
  </si>
  <si>
    <t>Triện Ấn: Máu Giận</t>
  </si>
  <si>
    <t>3:100117</t>
  </si>
  <si>
    <t>Triện Ấn: Che Chở</t>
  </si>
  <si>
    <t>3:100118</t>
  </si>
  <si>
    <t>Triện Ấn: Chiến Rống</t>
  </si>
  <si>
    <t>3:100119</t>
  </si>
  <si>
    <t>Triện Ấn: Dịch Bệnh</t>
  </si>
  <si>
    <t>3:100120</t>
  </si>
  <si>
    <t>Triện Ấn: Câu Hồn</t>
  </si>
  <si>
    <t>3:100121</t>
  </si>
  <si>
    <t>Triện Ấn: Xua Tan</t>
  </si>
  <si>
    <t>3:100122</t>
  </si>
  <si>
    <t>Triện Ấn: Mãnh Kích</t>
  </si>
  <si>
    <t>3:100123</t>
  </si>
  <si>
    <t>Triện Ấn: Trào Phúng</t>
  </si>
  <si>
    <t>3:100124</t>
  </si>
  <si>
    <t>Triện Ấn: Giảm Tốc</t>
  </si>
  <si>
    <t>3:100125</t>
  </si>
  <si>
    <t>Triện Ấn: Hi Sinh</t>
  </si>
  <si>
    <t>3:100126</t>
  </si>
  <si>
    <t>Triện Ấn: Áp Chế</t>
  </si>
  <si>
    <t>3:100127</t>
  </si>
  <si>
    <t>Triện Ấn: Nhắm Chuẩn</t>
  </si>
  <si>
    <t>3:100128</t>
  </si>
  <si>
    <t>Triện Ấn: Tái Sinh</t>
  </si>
  <si>
    <t>3:100129</t>
  </si>
  <si>
    <t>Triện Ấn: Trùng Sinh</t>
  </si>
  <si>
    <t>3:100130</t>
  </si>
  <si>
    <t>Triện Ấn: Dừng Bạo</t>
  </si>
  <si>
    <t>3:100131</t>
  </si>
  <si>
    <t>Triện Ấn: Ma Giáp</t>
  </si>
  <si>
    <t>3:100132</t>
  </si>
  <si>
    <t>Triện Ấn: Chiến Giáp</t>
  </si>
  <si>
    <t>3:100133</t>
  </si>
  <si>
    <t>Triện Ấn: Nghị Nặng</t>
  </si>
  <si>
    <t>3:100134</t>
  </si>
  <si>
    <t>Triện Ấn: Xuyên Thấu</t>
  </si>
  <si>
    <t>3:100135</t>
  </si>
  <si>
    <t>Triện Ấn: Khống Tràng</t>
  </si>
  <si>
    <t>3:100136</t>
  </si>
  <si>
    <t>Triện Ấn: Vật Liền</t>
  </si>
  <si>
    <t>3:100137</t>
  </si>
  <si>
    <t>Triện Ấn: Hút Máu</t>
  </si>
  <si>
    <t>3:100138</t>
  </si>
  <si>
    <t>Triện Ấn: Viện Hộ</t>
  </si>
  <si>
    <t>3:100139</t>
  </si>
  <si>
    <t>Triện Ấn: Phản Tổn Thương</t>
  </si>
  <si>
    <t>3:100140</t>
  </si>
  <si>
    <t>Triện Ấn: Dũng Mãnh</t>
  </si>
  <si>
    <t>3:100141</t>
  </si>
  <si>
    <t>Triện Ấn: Hiểu Ý</t>
  </si>
  <si>
    <t>3:100142</t>
  </si>
  <si>
    <t>Triện Ấn: Lưu Động</t>
  </si>
  <si>
    <t>3:100143</t>
  </si>
  <si>
    <t>Triện Ấn: Tránh Hiểm</t>
  </si>
  <si>
    <t>3:100144</t>
  </si>
  <si>
    <t>Triện Ấn: Hồi Hồn</t>
  </si>
  <si>
    <t>3:100145</t>
  </si>
  <si>
    <t>Triện Ấn: Diệt Hồn</t>
  </si>
  <si>
    <t>3:40101</t>
  </si>
  <si>
    <t>Cấp Thấp Phụ Ma: Lôi Đình</t>
  </si>
  <si>
    <t>3:40102</t>
  </si>
  <si>
    <t>Trung Cấp Phụ Ma: Lôi Đình</t>
  </si>
  <si>
    <t>3:40103</t>
  </si>
  <si>
    <t>Cao Cấp Phụ Ma: Lôi Đình</t>
  </si>
  <si>
    <t>3:40201</t>
  </si>
  <si>
    <t>Cấp Thấp Phụ Ma: Tẩm Bổ</t>
  </si>
  <si>
    <t>3:40202</t>
  </si>
  <si>
    <t>Trung Cấp Phụ Ma: Tẩm Bổ</t>
  </si>
  <si>
    <t>3:40203</t>
  </si>
  <si>
    <t>Cao Cấp Phụ Ma: Tẩm Bổ</t>
  </si>
  <si>
    <t>3:40301</t>
  </si>
  <si>
    <t>Cấp Thấp Phụ Ma: Đạp Gió</t>
  </si>
  <si>
    <t>3:40302</t>
  </si>
  <si>
    <t>Trung Cấp Phụ Ma: Đạp Gió</t>
  </si>
  <si>
    <t>3:40303</t>
  </si>
  <si>
    <t>Cao Cấp Phụ Ma: Đạp Gió</t>
  </si>
  <si>
    <t>3:40401</t>
  </si>
  <si>
    <t>Cấp Thấp Phụ Ma: Sáng Tạo Càng</t>
  </si>
  <si>
    <t>3:40402</t>
  </si>
  <si>
    <t>Trung Cấp Phụ Ma: Sáng Tạo Càng</t>
  </si>
  <si>
    <t>3:40403</t>
  </si>
  <si>
    <t>Cao Cấp Phụ Ma: Sáng Tạo Càng</t>
  </si>
  <si>
    <t>3:40501</t>
  </si>
  <si>
    <t>Cấp Thấp Phụ Ma: Cứng Cỏi</t>
  </si>
  <si>
    <t>3:40502</t>
  </si>
  <si>
    <t>Trung Cấp Phụ Ma: Cứng Cỏi</t>
  </si>
  <si>
    <t>3:40503</t>
  </si>
  <si>
    <t>Cao Cấp Phụ Ma: Cứng Cỏi</t>
  </si>
  <si>
    <t>3:300001</t>
  </si>
  <si>
    <t>Cố Định Gói Quà -1&amp;Nbsp;</t>
  </si>
  <si>
    <t>3:300002</t>
  </si>
  <si>
    <t>Cố Định Gói Quà -2</t>
  </si>
  <si>
    <t>3:300003</t>
  </si>
  <si>
    <t>Cố Định Gói Quà -3</t>
  </si>
  <si>
    <t>3:300004</t>
  </si>
  <si>
    <t>Cố Định Gói Quà -4</t>
  </si>
  <si>
    <t>3:300005</t>
  </si>
  <si>
    <t>Q Bầy Gói Quà</t>
  </si>
  <si>
    <t>3:300006</t>
  </si>
  <si>
    <t>Manh Mới Gói Quà</t>
  </si>
  <si>
    <t>3:300007</t>
  </si>
  <si>
    <t>Hộ Lá Gan Tiến Giai Gói Quà</t>
  </si>
  <si>
    <t>3:300008</t>
  </si>
  <si>
    <t>Đề Nghị Gói Quà</t>
  </si>
  <si>
    <t>3:300009</t>
  </si>
  <si>
    <t>BUG Gói Quà</t>
  </si>
  <si>
    <t>3:300010</t>
  </si>
  <si>
    <t>Đánh Giá Gói Quà</t>
  </si>
  <si>
    <t>3:300011</t>
  </si>
  <si>
    <t>Anh Hùng Mạo Hiểm Hào Lễ</t>
  </si>
  <si>
    <t>3:300012</t>
  </si>
  <si>
    <t>Anh Hùng Làn Da Gói Quà</t>
  </si>
  <si>
    <t>3:300013</t>
  </si>
  <si>
    <t>Phiên Thiên Ấn Gói Quà</t>
  </si>
  <si>
    <t>3:300014</t>
  </si>
  <si>
    <t>Thanh Long Rơi Gói Quà</t>
  </si>
  <si>
    <t>3:300015</t>
  </si>
  <si>
    <t>Hoa Sen Bảo Sách Gói Quà</t>
  </si>
  <si>
    <t>3:300016</t>
  </si>
  <si>
    <t>Trảm Tiên Phi Đao Gói Quà</t>
  </si>
  <si>
    <t>3:300017</t>
  </si>
  <si>
    <t>Long Vương Cái Sọt Gói Quà</t>
  </si>
  <si>
    <t>3:300018</t>
  </si>
  <si>
    <t>Tinh Kim Đồng Tiền Gói Quà</t>
  </si>
  <si>
    <t>3:300019</t>
  </si>
  <si>
    <t>Lửa Anh Thương Gói Quà</t>
  </si>
  <si>
    <t>3:300020</t>
  </si>
  <si>
    <t>Thái Hư Thần Giáp Gói Quà</t>
  </si>
  <si>
    <t>3:300021</t>
  </si>
  <si>
    <t>Đông Hoàng Chung Gói Quà</t>
  </si>
  <si>
    <t>3:300022</t>
  </si>
  <si>
    <t>Lạc Nhật Cung Gói Quà</t>
  </si>
  <si>
    <t>3:300023</t>
  </si>
  <si>
    <t>Bên Trên Bảo Thấm Kim Bá Gói Quà</t>
  </si>
  <si>
    <t>3:300024</t>
  </si>
  <si>
    <t>Áng Mây Phiêu Gói Quà</t>
  </si>
  <si>
    <t>3:300025</t>
  </si>
  <si>
    <t>Thần Nông Đỉnh Gói Quà</t>
  </si>
  <si>
    <t>3:300026</t>
  </si>
  <si>
    <t>Vong Ưu Gói Quà</t>
  </si>
  <si>
    <t>3:300027</t>
  </si>
  <si>
    <t>Ánh Trăng Gói Quà</t>
  </si>
  <si>
    <t>3:300028</t>
  </si>
  <si>
    <t>Lão Long Bố Mưa Gói Quà</t>
  </si>
  <si>
    <t>3:300029</t>
  </si>
  <si>
    <t>Hỗn Thiên Lăng Gói Quà</t>
  </si>
  <si>
    <t>3:300030</t>
  </si>
  <si>
    <t>Hổ Phách Đao Gói Quà</t>
  </si>
  <si>
    <t>3:400001</t>
  </si>
  <si>
    <t>Ngẫu Nhiên Gói Quà -1</t>
  </si>
  <si>
    <t>3:400002</t>
  </si>
  <si>
    <t>Ngẫu Nhiên Gói Quà -2</t>
  </si>
  <si>
    <t>3:400003</t>
  </si>
  <si>
    <t>Ngẫu Nhiên Gói Quà -3</t>
  </si>
  <si>
    <t>3:400004</t>
  </si>
  <si>
    <t>Ngẫu Nhiên Gói Quà -4</t>
  </si>
  <si>
    <t>3:400005</t>
  </si>
  <si>
    <t>May Mắn Tầm Bảo Gói Quà</t>
  </si>
  <si>
    <t>3:400006</t>
  </si>
  <si>
    <t>Cao Cấp Tầm Bảo Gói Quà</t>
  </si>
  <si>
    <t>3:400007</t>
  </si>
  <si>
    <t>3 Tinh Trang Bị Gói Quà</t>
  </si>
  <si>
    <t>3:400008</t>
  </si>
  <si>
    <t>2 Tinh Trang Bị Gói Quà</t>
  </si>
  <si>
    <t>3:400009</t>
  </si>
  <si>
    <t>Huyền Cấp Thú Hồn Gói Quà</t>
  </si>
  <si>
    <t>3:400010</t>
  </si>
  <si>
    <t>May Mắn Điểm Tướng Gói Quà</t>
  </si>
  <si>
    <t>3:400011</t>
  </si>
  <si>
    <t>Di Vật Ngẫu Nhiên Gói Quà</t>
  </si>
  <si>
    <t>3:400012</t>
  </si>
  <si>
    <t>Triệu Hoán Gói Quà</t>
  </si>
  <si>
    <t>3:400013</t>
  </si>
  <si>
    <t>Mảnh Vỡ Gói Quà</t>
  </si>
  <si>
    <t>3:400014</t>
  </si>
  <si>
    <t>Hoàng Cấp Thú Hồn Gói Quà</t>
  </si>
  <si>
    <t>3:400015</t>
  </si>
  <si>
    <t>Địa Cấp Thú Hồn Ngẫu Nhiên</t>
  </si>
  <si>
    <t>3:400016</t>
  </si>
  <si>
    <t>Mạ Vàng Phấn Gói Quà Lớn</t>
  </si>
  <si>
    <t>3:400017</t>
  </si>
  <si>
    <t>Ngẫu Nhiên Triện Ấn Gói Quà</t>
  </si>
  <si>
    <t>3:400018</t>
  </si>
  <si>
    <t>Thiên Cấp Thú Hồn Gói Quà</t>
  </si>
  <si>
    <t>3:400019</t>
  </si>
  <si>
    <t>Mỗi Ngày Thủ Mạo Xưng Quý Tộc</t>
  </si>
  <si>
    <t>3:400020</t>
  </si>
  <si>
    <t>Mỗi Ngày Thủ Mạo Xưng Tôn Hưởng</t>
  </si>
  <si>
    <t>3:400021</t>
  </si>
  <si>
    <t>1 Tinh Trang Bị Gói Quà</t>
  </si>
  <si>
    <t>3:400022</t>
  </si>
  <si>
    <t>Tam Hệ Anh Hùng Ngẫu Nhiên</t>
  </si>
  <si>
    <t>3:400023</t>
  </si>
  <si>
    <t>Thần Ma Ngẫu Nhiên Gói Quà</t>
  </si>
  <si>
    <t>3:400024</t>
  </si>
  <si>
    <t>3 Tinh Cam Trang Gói Quà</t>
  </si>
  <si>
    <t>3:400025</t>
  </si>
  <si>
    <t>Thú Hồn Gói Quà</t>
  </si>
  <si>
    <t>3:400026</t>
  </si>
  <si>
    <t>3:400027</t>
  </si>
  <si>
    <t>3:400028</t>
  </si>
  <si>
    <t>3:400029</t>
  </si>
  <si>
    <t>3:400030</t>
  </si>
  <si>
    <t>3:400031</t>
  </si>
  <si>
    <t>Mỗi Ngày Thủ Mạo Xưng Gói Quà</t>
  </si>
  <si>
    <t>3:400032</t>
  </si>
  <si>
    <t>Đỏ 1 Trang Bị Ngẫu Nhiên</t>
  </si>
  <si>
    <t>3:400033</t>
  </si>
  <si>
    <t>Đỏ 2 Trang Bị Ngẫu Nhiên</t>
  </si>
  <si>
    <t>3:400034</t>
  </si>
  <si>
    <t>Thông Dụng Tiên Khí Ngẫu Nhiên</t>
  </si>
  <si>
    <t>3:400035</t>
  </si>
  <si>
    <t>Đỏ 3 Trang Bị Ngẫu Nhiên</t>
  </si>
  <si>
    <t>3:400036</t>
  </si>
  <si>
    <t>Cấp Thấp Phụ Ma Tự Do</t>
  </si>
  <si>
    <t>3:400037</t>
  </si>
  <si>
    <t>Trung Cấp Phụ Ma Tự Do</t>
  </si>
  <si>
    <t>3:400038</t>
  </si>
  <si>
    <t>Cao Cấp Phụ Ma Tự Do</t>
  </si>
  <si>
    <t>3:400039</t>
  </si>
  <si>
    <t>Tiên Khí Mảnh Vỡ Ngẫu Nhiên</t>
  </si>
  <si>
    <t>3:400040</t>
  </si>
  <si>
    <t>Phúc Địa Trân Tàng</t>
  </si>
  <si>
    <t>3:400041</t>
  </si>
  <si>
    <t>Phong Thần Khiến Gói Quà</t>
  </si>
  <si>
    <t>3:400042</t>
  </si>
  <si>
    <t>Thiên Địa Thú Hồn Ngẫu Nhiên</t>
  </si>
  <si>
    <t>3:400043</t>
  </si>
  <si>
    <t>Chuyên Môn Tiên Khí Ngẫu Nhiên</t>
  </si>
  <si>
    <t>3:400044</t>
  </si>
  <si>
    <t>Lá Cây Ngẫu Nhiên Gói Quà</t>
  </si>
  <si>
    <t>3:400045</t>
  </si>
  <si>
    <t>Thú Hồn Tiến Giai Gói Quà</t>
  </si>
  <si>
    <t>3:500001</t>
  </si>
  <si>
    <t>Tự Do Gói Quà -1</t>
  </si>
  <si>
    <t>3:500002</t>
  </si>
  <si>
    <t>Tự Do Gói Quà -2</t>
  </si>
  <si>
    <t>3:500003</t>
  </si>
  <si>
    <t>Tự Do Gói Quà -3</t>
  </si>
  <si>
    <t>3:500004</t>
  </si>
  <si>
    <t>Nhân Tộc Tự Do Gói Quà</t>
  </si>
  <si>
    <t>3:500005</t>
  </si>
  <si>
    <t>Tiên Tộc Tự Do Gói Quà</t>
  </si>
  <si>
    <t>3:500006</t>
  </si>
  <si>
    <t>Yêu Tộc Tự Do Gói Quà</t>
  </si>
  <si>
    <t>3:500007</t>
  </si>
  <si>
    <t>Thần Tộc Tự Do Gói Quà</t>
  </si>
  <si>
    <t>3:500008</t>
  </si>
  <si>
    <t>Ma Tộc Tự Do Gói Quà</t>
  </si>
  <si>
    <t>3:500009</t>
  </si>
  <si>
    <t>Tam Hệ Anh Hùng Tự Do</t>
  </si>
  <si>
    <t>3:500010</t>
  </si>
  <si>
    <t>Thần Ma Tự Do Gói Quà</t>
  </si>
  <si>
    <t>3:500011</t>
  </si>
  <si>
    <t>Triện Ấn Tự Do Gói Quà</t>
  </si>
  <si>
    <t>3:500012</t>
  </si>
  <si>
    <t>Địa Cấp Thú Hồn Tự Do</t>
  </si>
  <si>
    <t>3:500013</t>
  </si>
  <si>
    <t>Thiên Cấp Thú Hồn Ngẫu Nhiên</t>
  </si>
  <si>
    <t>3:500014</t>
  </si>
  <si>
    <t>Thiên Cấp Thú Hồn Tự Do</t>
  </si>
  <si>
    <t>3:500015</t>
  </si>
  <si>
    <t>Quán Ma Chi Bình Gói Quà</t>
  </si>
  <si>
    <t>3:500016</t>
  </si>
  <si>
    <t>Di Vật Tự Do Gói Quà</t>
  </si>
  <si>
    <t>3:500017</t>
  </si>
  <si>
    <t>4 Tinh Cam Trang Tự Do</t>
  </si>
  <si>
    <t>3:500018</t>
  </si>
  <si>
    <t>Hồn Đan Tự Do Gói Quà</t>
  </si>
  <si>
    <t>3:500019</t>
  </si>
  <si>
    <t>3:500020</t>
  </si>
  <si>
    <t>Cực Phẩm Thú Hồn Gói Quà</t>
  </si>
  <si>
    <t>3:500021</t>
  </si>
  <si>
    <t>3:500022</t>
  </si>
  <si>
    <t>Anh Hùng Tự Do Gói Quà</t>
  </si>
  <si>
    <t>3:500023</t>
  </si>
  <si>
    <t>Đỏ 2 Trang Bị Tự Do</t>
  </si>
  <si>
    <t>3:500024</t>
  </si>
  <si>
    <t>Đỏ 3 Trang Bị Tự Do</t>
  </si>
  <si>
    <t>3:500025</t>
  </si>
  <si>
    <t>Thông Dụng Tiên Khí Tự Do</t>
  </si>
  <si>
    <t>3:500026</t>
  </si>
  <si>
    <t>Chuyên Môn Tiên Khí Tự Do</t>
  </si>
  <si>
    <t>3:500027</t>
  </si>
  <si>
    <t>Tiên Khí Mảnh Vỡ Tự Do</t>
  </si>
  <si>
    <t>3:500028</t>
  </si>
  <si>
    <t>3:500029</t>
  </si>
  <si>
    <t>3:500030</t>
  </si>
  <si>
    <t>3:500031</t>
  </si>
  <si>
    <t>Nhân Tộc Tiên Khí Tự Do</t>
  </si>
  <si>
    <t>3:500032</t>
  </si>
  <si>
    <t>Tiên Tộc Tiên Khí Tự Do</t>
  </si>
  <si>
    <t>3:500033</t>
  </si>
  <si>
    <t>Yêu Tộc Tiên Khí Tự Do</t>
  </si>
  <si>
    <t>3:500034</t>
  </si>
  <si>
    <t>Thần Tộc Tiên Khí Tự Do</t>
  </si>
  <si>
    <t>3:500035</t>
  </si>
  <si>
    <t>Ma Tộc Tiên Khí Tự Do</t>
  </si>
  <si>
    <t>3:500036</t>
  </si>
  <si>
    <t>Nhân Tộc Tiên Khí Mảnh Vỡ</t>
  </si>
  <si>
    <t>3:500037</t>
  </si>
  <si>
    <t>Tiên Tộc Tiên Khí Mảnh Vỡ</t>
  </si>
  <si>
    <t>3:500038</t>
  </si>
  <si>
    <t>Yêu Tộc Tiên Khí Mảnh Vỡ</t>
  </si>
  <si>
    <t>3:500039</t>
  </si>
  <si>
    <t>Thần Tộc Tiên Khí Mảnh Vỡ</t>
  </si>
  <si>
    <t>3:500040</t>
  </si>
  <si>
    <t>Ma Tộc Tiên Khí Mảnh Vỡ</t>
  </si>
  <si>
    <t>3:500041</t>
  </si>
  <si>
    <t>Chủng Tộc Huy Chương Tự Do</t>
  </si>
  <si>
    <t>3:500042</t>
  </si>
  <si>
    <t>3:500043</t>
  </si>
  <si>
    <t>Tiên Khí Tự Do Gói Quà</t>
  </si>
  <si>
    <t>3:500044</t>
  </si>
  <si>
    <t>Bánh Trung Thu Tự Do Hộp Quà</t>
  </si>
  <si>
    <t>3:500045</t>
  </si>
  <si>
    <t>Tiên Khí Lui Trở Về Tự Do</t>
  </si>
  <si>
    <t>3:500046</t>
  </si>
  <si>
    <t>Làn Da Mảnh Vỡ Tự Do</t>
  </si>
  <si>
    <t>3:500047</t>
  </si>
  <si>
    <t>3:500048</t>
  </si>
  <si>
    <t>3:500049</t>
  </si>
  <si>
    <t>3:500050</t>
  </si>
  <si>
    <t>3:500052</t>
  </si>
  <si>
    <t>Lá Cây Tự Do Gói Quà</t>
  </si>
  <si>
    <t>3:500053</t>
  </si>
  <si>
    <t>Chỉ Định Thần Ma Tự Do</t>
  </si>
  <si>
    <t>3:500054</t>
  </si>
  <si>
    <t>3:560001</t>
  </si>
  <si>
    <t>Ngày Lễ Đèn Lồng</t>
  </si>
  <si>
    <t>3:560002</t>
  </si>
  <si>
    <t>Long Tước Chi Tư</t>
  </si>
  <si>
    <t>3:570001</t>
  </si>
  <si>
    <t>Đồ Cất Giữ Gói Quà</t>
  </si>
  <si>
    <t>3:100005</t>
  </si>
  <si>
    <t>Phổ Thông Tầm Bảo Khoán</t>
  </si>
  <si>
    <t>3:100006</t>
  </si>
  <si>
    <t>Cao Cấp Tầm Bảo Khoán</t>
  </si>
  <si>
    <t>3:100021</t>
  </si>
  <si>
    <t>Phổ Thông Điểm Tướng Khoán</t>
  </si>
  <si>
    <t>3:100022</t>
  </si>
  <si>
    <t>Cao Cấp Điểm Tướng Khoán</t>
  </si>
  <si>
    <t>3:100023</t>
  </si>
  <si>
    <t>đấu trường Khiêu Chiến Khoán</t>
  </si>
  <si>
    <t>3:100027</t>
  </si>
  <si>
    <t>Treo Thưởng Đổi Mới Khoán</t>
  </si>
  <si>
    <t>3:100037</t>
  </si>
  <si>
    <t>Tiểu Thanh Tân Hồng Bao</t>
  </si>
  <si>
    <t>3:100038</t>
  </si>
  <si>
    <t>Cấp Cao Khí Quyển Hồng Bao</t>
  </si>
  <si>
    <t>3:100039</t>
  </si>
  <si>
    <t>Chí Tôn Thổ Hào Hồng Bao</t>
  </si>
  <si>
    <t>3:100044</t>
  </si>
  <si>
    <t>Tinh Anh Điểm Tướng Khoán</t>
  </si>
  <si>
    <t>3:100058</t>
  </si>
  <si>
    <t>Linh Vũ</t>
  </si>
  <si>
    <t>3:100061</t>
  </si>
  <si>
    <t>Liệt Thiên</t>
  </si>
  <si>
    <t>3:100062</t>
  </si>
  <si>
    <t>Càn Khôn Bí Chìa</t>
  </si>
  <si>
    <t>3:100063</t>
  </si>
  <si>
    <t>Rút Thưởng Khoán</t>
  </si>
  <si>
    <t>3:100064</t>
  </si>
  <si>
    <t>Ngọc Như Ý</t>
  </si>
  <si>
    <t>3:100065</t>
  </si>
  <si>
    <t>Xá Lợi</t>
  </si>
  <si>
    <t>3:100072</t>
  </si>
  <si>
    <t>Bạch Long Châu</t>
  </si>
  <si>
    <t>3:100073</t>
  </si>
  <si>
    <t>Binh Phù</t>
  </si>
  <si>
    <t>3:100074</t>
  </si>
  <si>
    <t>Cận Trời Bí Chìa</t>
  </si>
  <si>
    <t>3:100075</t>
  </si>
  <si>
    <t>Hỏa Tinh</t>
  </si>
  <si>
    <t>3:100077</t>
  </si>
  <si>
    <t>Cầu Nguyện Khiến</t>
  </si>
  <si>
    <t>3:100084</t>
  </si>
  <si>
    <t>Quân Công</t>
  </si>
  <si>
    <t>3:100089</t>
  </si>
  <si>
    <t>Bảo Rương Bí Chìa</t>
  </si>
  <si>
    <t>3:100098</t>
  </si>
  <si>
    <t>Long Châu</t>
  </si>
  <si>
    <t>3:100208</t>
  </si>
  <si>
    <t>Thí Luyện Điểm Tích Lũy</t>
  </si>
  <si>
    <t>3:100209</t>
  </si>
  <si>
    <t>Mê Cung Điểm Tích Lũy</t>
  </si>
  <si>
    <t>3:100211</t>
  </si>
  <si>
    <t>LSV Điểm Tích Lũy</t>
  </si>
  <si>
    <t>3:100219</t>
  </si>
  <si>
    <t>Công Huân</t>
  </si>
  <si>
    <t>3:100222</t>
  </si>
  <si>
    <t>Đẳng Cấp Điểm Tích Lũy</t>
  </si>
  <si>
    <t>3:100226</t>
  </si>
  <si>
    <t>Bàn Quay Khoán</t>
  </si>
  <si>
    <t>3:1000010</t>
  </si>
  <si>
    <t>5 Tinh Thông Dụng Anh Linh</t>
  </si>
  <si>
    <t>3:1000011</t>
  </si>
  <si>
    <t>5 Tinh Nhân Tộc Anh Linh</t>
  </si>
  <si>
    <t>3:1000012</t>
  </si>
  <si>
    <t>5 Tinh Tiên Tộc Anh Linh</t>
  </si>
  <si>
    <t>3:1000013</t>
  </si>
  <si>
    <t>5 Tinh Yêu Tộc Anh Linh</t>
  </si>
  <si>
    <t>3:1000014</t>
  </si>
  <si>
    <t>5 Tinh Thần Tộc Anh Linh</t>
  </si>
  <si>
    <t>3:1000015</t>
  </si>
  <si>
    <t>5 Tinh Ma Tộc Anh Linh</t>
  </si>
  <si>
    <t>3:1000016</t>
  </si>
  <si>
    <t>9 Tinh Thông Dụng Anh Linh</t>
  </si>
  <si>
    <t>3:1000017</t>
  </si>
  <si>
    <t>9 Tinh Nhân Tộc Anh Linh</t>
  </si>
  <si>
    <t>3:1000018</t>
  </si>
  <si>
    <t>9 Tinh Tiên Tộc Anh Linh</t>
  </si>
  <si>
    <t>3:1000019</t>
  </si>
  <si>
    <t>9 Tinh Yêu Tộc Anh Linh</t>
  </si>
  <si>
    <t>3:1000020</t>
  </si>
  <si>
    <t>9 Tinh Thần Tộc Anh Linh</t>
  </si>
  <si>
    <t>3:1000021</t>
  </si>
  <si>
    <t>9 Tinh Ma Tộc Anh Linh</t>
  </si>
  <si>
    <t>3:1000022</t>
  </si>
  <si>
    <t>10 Tinh Thông Dụng Anh Linh</t>
  </si>
  <si>
    <t>3:100040</t>
  </si>
  <si>
    <t>Nhanh Chóng Tác Chiến Đặc Quyền</t>
  </si>
  <si>
    <t>3:100041</t>
  </si>
  <si>
    <t>Đồ Đằng Thánh Điện Đặc Quyền</t>
  </si>
  <si>
    <t>3:100042</t>
  </si>
  <si>
    <t>Treo Thưởng Cao Cấp Đặc Quyền</t>
  </si>
  <si>
    <t>3:100043</t>
  </si>
  <si>
    <t>Treo Thưởng Hào Ward Quyền</t>
  </si>
  <si>
    <t>3:100045</t>
  </si>
  <si>
    <t>Nữ Oa Thạch</t>
  </si>
  <si>
    <t>3:100046</t>
  </si>
  <si>
    <t>Đúc Lại Đan</t>
  </si>
  <si>
    <t>3:1000001</t>
  </si>
  <si>
    <t>Nhỏ Kim Tệ Túi (24 Giờ )</t>
  </si>
  <si>
    <t>3:1000002</t>
  </si>
  <si>
    <t>Ít Kinh Nghiệm Túi (24 Giờ )</t>
  </si>
  <si>
    <t>3:100053</t>
  </si>
  <si>
    <t>Hoàng Cấp Tạp Vật</t>
  </si>
  <si>
    <t>3:100054</t>
  </si>
  <si>
    <t>Huyền Cấp Tạp Vật</t>
  </si>
  <si>
    <t>3:100055</t>
  </si>
  <si>
    <t>Địa Cấp Tạp Vật</t>
  </si>
  <si>
    <t>3:100056</t>
  </si>
  <si>
    <t>Thiên Cấp Tạp Vật</t>
  </si>
  <si>
    <t>3:10022</t>
  </si>
  <si>
    <t>Tạp Vật</t>
  </si>
  <si>
    <t>3:200027</t>
  </si>
  <si>
    <t>Học Tập Điểm Tích Lũy</t>
  </si>
  <si>
    <t>3:200028</t>
  </si>
  <si>
    <t>Thần Tượng Điểm Tích Lũy</t>
  </si>
  <si>
    <t>3:200029</t>
  </si>
  <si>
    <t>Phòng Ăn Điểm Tích Lũy</t>
  </si>
  <si>
    <t>3:200030</t>
  </si>
  <si>
    <t>Âm Dương Ngư Phù</t>
  </si>
  <si>
    <t>3:200031</t>
  </si>
  <si>
    <t>Công Thành Khiến</t>
  </si>
  <si>
    <t>3:200032</t>
  </si>
  <si>
    <t>Di Chuyển Khiến</t>
  </si>
  <si>
    <t>3:200035</t>
  </si>
  <si>
    <t>Bí Đỏ Đầu</t>
  </si>
  <si>
    <t>3:200036</t>
  </si>
  <si>
    <t>Manh Chó Khẩu Phần Lương Thực</t>
  </si>
  <si>
    <t>3:200037</t>
  </si>
  <si>
    <t>Khai Thiên Phủ</t>
  </si>
  <si>
    <t>3:200038</t>
  </si>
  <si>
    <t>Danh Vọng Điểm Tích Lũy</t>
  </si>
  <si>
    <t>3:200039</t>
  </si>
  <si>
    <t>Bông Tuyết</t>
  </si>
  <si>
    <t>3:200040</t>
  </si>
  <si>
    <t>Vảy Rồng</t>
  </si>
  <si>
    <t>3:900001</t>
  </si>
  <si>
    <t>Cử Thế Vô Song</t>
  </si>
  <si>
    <t>3:900002</t>
  </si>
  <si>
    <t>Khó Gặp Địch Thủ</t>
  </si>
  <si>
    <t>3:900003</t>
  </si>
  <si>
    <t>Dũng Quan Tam Quân</t>
  </si>
  <si>
    <t>3:900004</t>
  </si>
  <si>
    <t>Nội Trắc Dũng Giả</t>
  </si>
  <si>
    <t>3:900005</t>
  </si>
  <si>
    <t>Phong Thần Dũng Sĩ</t>
  </si>
  <si>
    <t>3:900006</t>
  </si>
  <si>
    <t>Ưu Nhã Quý Tộc</t>
  </si>
  <si>
    <t>3:900007</t>
  </si>
  <si>
    <t>Siêu Phàm Đại Sư</t>
  </si>
  <si>
    <t>3:900008</t>
  </si>
  <si>
    <t>Khinh Thường Tông Sư</t>
  </si>
  <si>
    <t>3:900009</t>
  </si>
  <si>
    <t>Mạnh Nhất Vương Giả</t>
  </si>
  <si>
    <t>3:900010</t>
  </si>
  <si>
    <t>Âu Hoàng Phụ Thể</t>
  </si>
  <si>
    <t>3:900011</t>
  </si>
  <si>
    <t>3:900012</t>
  </si>
  <si>
    <t>Đăng Phong Tạo Cực</t>
  </si>
  <si>
    <t>3:900013</t>
  </si>
  <si>
    <t>Đứng Hàng Đầu</t>
  </si>
  <si>
    <t>3:900014</t>
  </si>
  <si>
    <t>LSV Đạt Nhân</t>
  </si>
  <si>
    <t>3:900015</t>
  </si>
  <si>
    <t>Mê Cung Thủ Vệ</t>
  </si>
  <si>
    <t>3:900016</t>
  </si>
  <si>
    <t>Lôi Đài Đạt Nhân</t>
  </si>
  <si>
    <t>3:900017</t>
  </si>
  <si>
    <t>Tuyệt Thế Dũng Giả</t>
  </si>
  <si>
    <t>3:900018</t>
  </si>
  <si>
    <t>Lôi Đài Vương Giả</t>
  </si>
  <si>
    <t>3:900019</t>
  </si>
  <si>
    <t>Tam Giới Chung Chủ</t>
  </si>
  <si>
    <t>3:900020</t>
  </si>
  <si>
    <t>Đại La Kim Tiên</t>
  </si>
  <si>
    <t>3:900021</t>
  </si>
  <si>
    <t>Thái Ất Chân Tiên</t>
  </si>
  <si>
    <t>3:900022</t>
  </si>
  <si>
    <t>Tiêu Dao Tán Tiên</t>
  </si>
  <si>
    <t>3:900023</t>
  </si>
  <si>
    <t>Ngũ Cốc Phong Đăng</t>
  </si>
  <si>
    <t>3:900024</t>
  </si>
  <si>
    <t>Không Làm Thì Không Có Ăn</t>
  </si>
  <si>
    <t>3:900025</t>
  </si>
  <si>
    <t>Vương Giả Chi Đỉnh</t>
  </si>
  <si>
    <t>3:900026</t>
  </si>
  <si>
    <t>Trận Đấu Mùa Giải Truyền Kỳ</t>
  </si>
  <si>
    <t>3:900027</t>
  </si>
  <si>
    <t>Trận Đấu Mùa Giải Vinh Quang</t>
  </si>
  <si>
    <t>3:1200001</t>
  </si>
  <si>
    <t>Có Một Không Hai</t>
  </si>
  <si>
    <t>3:1200002</t>
  </si>
  <si>
    <t>Siêu Quần Xuất Chúng</t>
  </si>
  <si>
    <t>3:1200003</t>
  </si>
  <si>
    <t>Xuất Trần</t>
  </si>
  <si>
    <t>3:800001</t>
  </si>
  <si>
    <t>Lục Lâm Du Hiệp</t>
  </si>
  <si>
    <t>3:800002</t>
  </si>
  <si>
    <t>Vương Giả Chi Phong</t>
  </si>
  <si>
    <t>3:800003</t>
  </si>
  <si>
    <t>3:800004</t>
  </si>
  <si>
    <t>3:800005</t>
  </si>
  <si>
    <t>3:800006</t>
  </si>
  <si>
    <t>Mệnh Lý Đại Sư</t>
  </si>
  <si>
    <t>3:800007</t>
  </si>
  <si>
    <t>Sách Âm Thanh Leng Keng</t>
  </si>
  <si>
    <t>3:800008</t>
  </si>
  <si>
    <t>Vinh Quang Vương Giả</t>
  </si>
  <si>
    <t>3:800009</t>
  </si>
  <si>
    <t>Kim Thu Tháng Mười</t>
  </si>
  <si>
    <t>3:800010</t>
  </si>
  <si>
    <t>Kim Kha Ngọc Lá</t>
  </si>
  <si>
    <t>3:800011</t>
  </si>
  <si>
    <t>Phi Long Tại Thiên</t>
  </si>
  <si>
    <t>3:800012</t>
  </si>
  <si>
    <t>Phượng Vũ Cửu Thiên</t>
  </si>
  <si>
    <t>3:800013</t>
  </si>
  <si>
    <t>Bilibili Chuyên Môn</t>
  </si>
  <si>
    <t>3:800014</t>
  </si>
  <si>
    <t>Oppo Chuyên Môn</t>
  </si>
  <si>
    <t>3:800015</t>
  </si>
  <si>
    <t>Taptap Chuyên Môn</t>
  </si>
  <si>
    <t>3:800016</t>
  </si>
  <si>
    <t>Vivo Chuyên Môn</t>
  </si>
  <si>
    <t>3:800017</t>
  </si>
  <si>
    <t>Hoa Vì Chuyên Môn</t>
  </si>
  <si>
    <t>3:800018</t>
  </si>
  <si>
    <t>Chín Du Lịch Chuyên Môn</t>
  </si>
  <si>
    <t>3:800019</t>
  </si>
  <si>
    <t>Tiểu Mễ Chuyên Môn</t>
  </si>
  <si>
    <t>3:800020</t>
  </si>
  <si>
    <t>Ứng Dụng Bảo Chuyên Môn</t>
  </si>
  <si>
    <t>3:800021</t>
  </si>
  <si>
    <t>Quỷ Ảnh Trò Chơi</t>
  </si>
  <si>
    <t>3:800022</t>
  </si>
  <si>
    <t>Thiên Diệp Công Xưởng</t>
  </si>
  <si>
    <t>3:800032</t>
  </si>
  <si>
    <t>Tài Nguyên Cuồn Cuộn</t>
  </si>
  <si>
    <t>3:1100001</t>
  </si>
  <si>
    <t>Công Thành Đại Sư</t>
  </si>
  <si>
    <t>3:1100002</t>
  </si>
  <si>
    <t>Mười Bước Một Giết</t>
  </si>
  <si>
    <t>3:1100003</t>
  </si>
  <si>
    <t>Thành Tấn Tổn Thương</t>
  </si>
  <si>
    <t>3:1300001</t>
  </si>
  <si>
    <t>Đỉnh Phong</t>
  </si>
  <si>
    <t>3:1300002</t>
  </si>
  <si>
    <t>Trác Tuyệt</t>
  </si>
  <si>
    <t>3:1300003</t>
  </si>
  <si>
    <t>Phong Thái</t>
  </si>
  <si>
    <t>3:700001</t>
  </si>
  <si>
    <t>Đầu Đường Truyền Thuyết</t>
  </si>
  <si>
    <t>3:700002</t>
  </si>
  <si>
    <t>3:700003</t>
  </si>
  <si>
    <t>Đầu Đường Đường Bá</t>
  </si>
  <si>
    <t>3:700004</t>
  </si>
  <si>
    <t>3:700005</t>
  </si>
  <si>
    <t>Tương Lai Chiến Sĩ</t>
  </si>
  <si>
    <t>3:700006</t>
  </si>
  <si>
    <t>Ngọt Ngào Hoa Hồng</t>
  </si>
  <si>
    <t>3:700007</t>
  </si>
  <si>
    <t>Săn Tâm Xạ Thủ</t>
  </si>
  <si>
    <t>3:700008</t>
  </si>
  <si>
    <t>Ngày Mùa Hè Tiệc Tùng</t>
  </si>
  <si>
    <t>3:700009</t>
  </si>
  <si>
    <t>Bao Nhiêu Số Luận</t>
  </si>
  <si>
    <t>3:700010</t>
  </si>
  <si>
    <t>Thần Tượng Luyện Tập Sinh</t>
  </si>
  <si>
    <t>3:700011</t>
  </si>
  <si>
    <t>Thỏ Nữ Lang</t>
  </si>
  <si>
    <t>3:700012</t>
  </si>
  <si>
    <t>Âm Dương Kiếm Khách</t>
  </si>
  <si>
    <t>3:700013</t>
  </si>
  <si>
    <t>Ác Linh Dũng Sĩ</t>
  </si>
  <si>
    <t>3:700014</t>
  </si>
  <si>
    <t>Manh Trạch Bảo Bối</t>
  </si>
  <si>
    <t>3:700015</t>
  </si>
  <si>
    <t>Sáng Thế Thần</t>
  </si>
  <si>
    <t>3:700016</t>
  </si>
  <si>
    <t>Giáng Sinh Bảo Bối</t>
  </si>
  <si>
    <t>3:700017</t>
  </si>
  <si>
    <t>Băng Sương Long Duệ</t>
  </si>
  <si>
    <t>3:720001</t>
  </si>
  <si>
    <t>Đầu Đường Truyền Thuyết (7 Trời )</t>
  </si>
  <si>
    <t>3:720002</t>
  </si>
  <si>
    <t>Đầu Đường Đường Bá (7 Trời )</t>
  </si>
  <si>
    <t>3:720003</t>
  </si>
  <si>
    <t>Tương Lai Chiến Sĩ (7 Trời )</t>
  </si>
  <si>
    <t>3:720004</t>
  </si>
  <si>
    <t>Ngọt Ngào Hoa Hồng (7 Trời )</t>
  </si>
  <si>
    <t>3:720005</t>
  </si>
  <si>
    <t>Săn Tâm Xạ Thủ (7 Trời )</t>
  </si>
  <si>
    <t>3:720006</t>
  </si>
  <si>
    <t>Ngày Mùa Hè Tiệc Tùng (7 Trời )</t>
  </si>
  <si>
    <t>3:720007</t>
  </si>
  <si>
    <t>Bao Nhiêu Số Luận (7 Trời )</t>
  </si>
  <si>
    <t>3:720008</t>
  </si>
  <si>
    <t>Thần Tượng Luyện Tập Sinh (7 Trời )</t>
  </si>
  <si>
    <t>3:720009</t>
  </si>
  <si>
    <t>Thỏ Nữ Lang (7 Trời )</t>
  </si>
  <si>
    <t>3:720010</t>
  </si>
  <si>
    <t>Âm Dương Kiếm Khách (7 Trời )</t>
  </si>
  <si>
    <t>3:720011</t>
  </si>
  <si>
    <t>Ác Linh Dũng Sĩ (7 Trời )</t>
  </si>
  <si>
    <t>3:720012</t>
  </si>
  <si>
    <t>Manh Trạch Bảo Bối (7 Trời )</t>
  </si>
  <si>
    <t>3:720013</t>
  </si>
  <si>
    <t>Sáng Thế Thần (7 Trời )</t>
  </si>
  <si>
    <t>3:710005</t>
  </si>
  <si>
    <t>Tương Lai Chiến Sĩ ( Mảnh Vỡ )</t>
  </si>
  <si>
    <t>3:710006</t>
  </si>
  <si>
    <t>Đầu Đường Truyền Thuyết ( Mảnh Vỡ )</t>
  </si>
  <si>
    <t>3:710007</t>
  </si>
  <si>
    <t>Đầu Đường Đường Bá ( Mảnh Vỡ )</t>
  </si>
  <si>
    <t>3:100052</t>
  </si>
  <si>
    <t>Bánh Chưng</t>
  </si>
  <si>
    <t>3:100060</t>
  </si>
  <si>
    <t>Điện Thờ</t>
  </si>
  <si>
    <t>3:100066</t>
  </si>
  <si>
    <t>Nhân Tộc Huy Chương</t>
  </si>
  <si>
    <t>3:100067</t>
  </si>
  <si>
    <t>Tiên Tộc Huy Chương</t>
  </si>
  <si>
    <t>3:100068</t>
  </si>
  <si>
    <t>Yêu Tộc Huy Chương</t>
  </si>
  <si>
    <t>3:100069</t>
  </si>
  <si>
    <t>Thần Tộc Huy Chương</t>
  </si>
  <si>
    <t>3:100070</t>
  </si>
  <si>
    <t>Ma Tộc Huy Chương</t>
  </si>
  <si>
    <t>3:100071</t>
  </si>
  <si>
    <t>Tác Chiến Vật Tư</t>
  </si>
  <si>
    <t>3:100076</t>
  </si>
  <si>
    <t>Phong Thần Khiến</t>
  </si>
  <si>
    <t>3:100078</t>
  </si>
  <si>
    <t>Năm Nhân Bánh Trung Thu</t>
  </si>
  <si>
    <t>3:100079</t>
  </si>
  <si>
    <t>Trăm Quả Bánh Trung Thu</t>
  </si>
  <si>
    <t>3:100080</t>
  </si>
  <si>
    <t>Trứng Hoàng Nguyệt Bánh</t>
  </si>
  <si>
    <t>3:100081</t>
  </si>
  <si>
    <t>Chà Bông Bánh Trung Thu</t>
  </si>
  <si>
    <t>3:100082</t>
  </si>
  <si>
    <t>Chiếu Thư</t>
  </si>
  <si>
    <t>3:100083</t>
  </si>
  <si>
    <t>Linh Năng Kết Tinh</t>
  </si>
  <si>
    <t>3:100085</t>
  </si>
  <si>
    <t>Mị Ảnh Châu</t>
  </si>
  <si>
    <t>3:100086</t>
  </si>
  <si>
    <t>Ngọn Nến</t>
  </si>
  <si>
    <t>3:100087</t>
  </si>
  <si>
    <t>Nam Hồng Mã Não</t>
  </si>
  <si>
    <t>3:100088</t>
  </si>
  <si>
    <t>Mười Ba Hương</t>
  </si>
  <si>
    <t>3:100090</t>
  </si>
  <si>
    <t>Lá Phong</t>
  </si>
  <si>
    <t>3:100091</t>
  </si>
  <si>
    <t>Bách Lá</t>
  </si>
  <si>
    <t>3:100092</t>
  </si>
  <si>
    <t>Hạnh Lá</t>
  </si>
  <si>
    <t>3:100093</t>
  </si>
  <si>
    <t>Lá Phong Đỏ</t>
  </si>
  <si>
    <t>3:100094</t>
  </si>
  <si>
    <t>Bách Lá Lục</t>
  </si>
  <si>
    <t>3:100095</t>
  </si>
  <si>
    <t>Hạnh Lá Hoàng</t>
  </si>
  <si>
    <t>3:100097</t>
  </si>
  <si>
    <t>Tước Linh</t>
  </si>
  <si>
    <t>3:100099</t>
  </si>
  <si>
    <t>Tâm Nguyện Bình</t>
  </si>
  <si>
    <t>3:100201</t>
  </si>
  <si>
    <t>Thất Thải Vảy Rồng</t>
  </si>
  <si>
    <t>3:100202</t>
  </si>
  <si>
    <t>Cẩm Nang</t>
  </si>
  <si>
    <t>3:100203</t>
  </si>
  <si>
    <t>Công Lao</t>
  </si>
  <si>
    <t>3:100204</t>
  </si>
  <si>
    <t>Tiên Lộ</t>
  </si>
  <si>
    <t>3:100205</t>
  </si>
  <si>
    <t>Mạn Đà La</t>
  </si>
  <si>
    <t>3:100206</t>
  </si>
  <si>
    <t>Thiên Sơn Tuyết Liên</t>
  </si>
  <si>
    <t>3:100207</t>
  </si>
  <si>
    <t>Bàn Đào</t>
  </si>
  <si>
    <t>3:100218</t>
  </si>
  <si>
    <t>Băng Côn</t>
  </si>
  <si>
    <t>3:100220</t>
  </si>
  <si>
    <t>Luyện Tập Sách</t>
  </si>
  <si>
    <t>3:100221</t>
  </si>
  <si>
    <t>Phác Nghiễn</t>
  </si>
  <si>
    <t>3:100223</t>
  </si>
  <si>
    <t>Bánh Kẹo</t>
  </si>
  <si>
    <t>3:500051</t>
  </si>
  <si>
    <t>Chia Sẻ Hồng Bao</t>
  </si>
  <si>
    <t>3:200033</t>
  </si>
  <si>
    <t>Chia Sẻ Điểm Tích Lũy</t>
  </si>
  <si>
    <t>人民币价值</t>
  </si>
  <si>
    <t>元宝价值</t>
  </si>
  <si>
    <t>Kim tệ</t>
  </si>
  <si>
    <t>Nguyên bảo</t>
  </si>
  <si>
    <t>Ngân lượng</t>
  </si>
  <si>
    <t>Nhân vật chính kinh nghiệm</t>
  </si>
  <si>
    <t>Anh hùng kinh nghiệm</t>
  </si>
  <si>
    <t>Hữu nghị điểm</t>
  </si>
  <si>
    <t>Hồn tinh</t>
  </si>
  <si>
    <t>Tiên tổ kết tinh</t>
  </si>
  <si>
    <t>Hòe ấm lá</t>
  </si>
  <si>
    <t>Càn khôn tệ</t>
  </si>
  <si>
    <t>đấu trường danh vọng</t>
  </si>
  <si>
    <t>Tiên minh cống hiến</t>
  </si>
  <si>
    <t>Tầm bảo điểm tích lũy</t>
  </si>
  <si>
    <t>Vinh dự</t>
  </si>
  <si>
    <t>Thường ngày sinh động độ</t>
  </si>
  <si>
    <t>VIP Điểm tích lũy</t>
  </si>
  <si>
    <t>Tuần thường sinh động độ</t>
  </si>
  <si>
    <t>Vượt phục LSV thi đấu điểm tích lũy</t>
  </si>
  <si>
    <t>Vượt phục sân thi đấu công huân</t>
  </si>
  <si>
    <t>Vượt phục đẳng cấp thi đấu điểm tích lũy</t>
  </si>
  <si>
    <t>3 Tinh ngẫu nhiên mảnh vỡ</t>
  </si>
  <si>
    <t>4 Tinh ngẫu nhiên mảnh vỡ</t>
  </si>
  <si>
    <t>5 Tinh ngẫu nhiên mảnh vỡ</t>
  </si>
  <si>
    <t>4 Tinh nhân tộc mảnh vỡ</t>
  </si>
  <si>
    <t>4 Tinh Tiên Tộc mảnh vỡ</t>
  </si>
  <si>
    <t>4 Tinh yêu tộc mảnh vỡ</t>
  </si>
  <si>
    <t>4 Tinh Thần tộc mảnh vỡ</t>
  </si>
  <si>
    <t>4 Tinh ma tộc mảnh vỡ</t>
  </si>
  <si>
    <t>5 Tinh nhân tộc mảnh vỡ</t>
  </si>
  <si>
    <t>5 Tinh Tiên Tộc mảnh vỡ</t>
  </si>
  <si>
    <t>5 Tinh yêu tộc mảnh vỡ</t>
  </si>
  <si>
    <t>5 Tinh Thần tộc mảnh vỡ</t>
  </si>
  <si>
    <t>5 Tinh ma tộc mảnh vỡ</t>
  </si>
  <si>
    <t>4 Tinh Thần Ma mảnh vỡ</t>
  </si>
  <si>
    <t>5 Tinh Thần Ma mảnh vỡ</t>
  </si>
  <si>
    <t>Làm thô đoản kiếm</t>
  </si>
  <si>
    <t>Tinh xảo đoản kiếm</t>
  </si>
  <si>
    <t>Thông mây đoản kiếm</t>
  </si>
  <si>
    <t>Đỡ chỉ riêng phiến</t>
  </si>
  <si>
    <t>Đốt hoa đoản kiếm</t>
  </si>
  <si>
    <t>Nghê thường pháp trượng</t>
  </si>
  <si>
    <t>Tử Tiêu trường kiếm</t>
  </si>
  <si>
    <t>Hướng nghi pháp trượng</t>
  </si>
  <si>
    <t>Bạch giả pháp trượng</t>
  </si>
  <si>
    <t>Mây lục pháp trượng</t>
  </si>
  <si>
    <t>Quỷ Vương trường kiếm</t>
  </si>
  <si>
    <t>Động Huyền đạo kiếm</t>
  </si>
  <si>
    <t>Trạm lư trường kiếm</t>
  </si>
  <si>
    <t>Tử Lân cự kiếm</t>
  </si>
  <si>
    <t>Lưu hà quạt lông</t>
  </si>
  <si>
    <t>Long Tước cự kiếm</t>
  </si>
  <si>
    <t>Cung điện khổng lồ chiến nhận</t>
  </si>
  <si>
    <t>Làm thô áo vải</t>
  </si>
  <si>
    <t>Tinh xảo đạo bào</t>
  </si>
  <si>
    <t>Thông Vân Chiến áo</t>
  </si>
  <si>
    <t>Đỡ chỉ riêng vạt áo bào</t>
  </si>
  <si>
    <t>Đốt hoa vạt áo bào</t>
  </si>
  <si>
    <t>Nghê thường vũ y</t>
  </si>
  <si>
    <t>Tử Tiêu chiến giáp</t>
  </si>
  <si>
    <t>Hướng nghi pháp bào</t>
  </si>
  <si>
    <t>Bạch giả áo choàng</t>
  </si>
  <si>
    <t>Mây lục pháp bào</t>
  </si>
  <si>
    <t>Động Huyền đạo bào</t>
  </si>
  <si>
    <t>Trạm lư chiến giáp</t>
  </si>
  <si>
    <t>Tử Lân chiến giáp</t>
  </si>
  <si>
    <t>Lưu hà pháp bào</t>
  </si>
  <si>
    <t>Long Tước chiến giáp</t>
  </si>
  <si>
    <t>Cung điện khổng lồ chiến giáp</t>
  </si>
  <si>
    <t>Làm thô khăn trùm đầu</t>
  </si>
  <si>
    <t>Tinh xảo mào đầu</t>
  </si>
  <si>
    <t>Thông đám mây quan</t>
  </si>
  <si>
    <t>Đỡ chỉ riêng pháp quan</t>
  </si>
  <si>
    <t>Đốt hoa chiến nón trụ</t>
  </si>
  <si>
    <t>Nghê thường mào đầu</t>
  </si>
  <si>
    <t>Tử Tiêu chiến nón trụ</t>
  </si>
  <si>
    <t>Hướng nghi mào đầu</t>
  </si>
  <si>
    <t>Bạch giả mào đầu</t>
  </si>
  <si>
    <t>Mây lục mào đầu</t>
  </si>
  <si>
    <t>Quỷ Vương chiến nón trụ</t>
  </si>
  <si>
    <t>Động Huyền đạo quan</t>
  </si>
  <si>
    <t>Trạm lư chiến nón trụ</t>
  </si>
  <si>
    <t>Tử Lân chiến nón trụ</t>
  </si>
  <si>
    <t>Lưu hà mào đầu</t>
  </si>
  <si>
    <t>Long Tước chiến nón trụ</t>
  </si>
  <si>
    <t>Cung điện khổng lồ chiến nón trụ</t>
  </si>
  <si>
    <t>Làm thô giày vải</t>
  </si>
  <si>
    <t>Tinh xảo ủng ngắn</t>
  </si>
  <si>
    <t>Thông mây ủng ngắn</t>
  </si>
  <si>
    <t>Đỡ chỉ riêng ủng ngắn</t>
  </si>
  <si>
    <t>Đốt hoa giày chiến</t>
  </si>
  <si>
    <t>Nghê thường ủng ngắn</t>
  </si>
  <si>
    <t>Tử Tiêu giày chiến</t>
  </si>
  <si>
    <t>Hướng nghi ủng ngắn</t>
  </si>
  <si>
    <t>Bạch giả ủng ngắn</t>
  </si>
  <si>
    <t>Mây lục ủng ngắn</t>
  </si>
  <si>
    <t>Quỷ Vương giày chiến</t>
  </si>
  <si>
    <t>Động Huyền đạo giày</t>
  </si>
  <si>
    <t>Trạm lư giày chiến</t>
  </si>
  <si>
    <t>Tử Lân giày chiến</t>
  </si>
  <si>
    <t>Lưu hà vũ giày</t>
  </si>
  <si>
    <t>Long Tước giày chiến</t>
  </si>
  <si>
    <t>Cung điện khổng lồ giày chiến</t>
  </si>
  <si>
    <t>Tinh · Động Huyền đạo kiếm</t>
  </si>
  <si>
    <t>Tinh · Trạm lư trường kiếm</t>
  </si>
  <si>
    <t>Tinh · Tử Lân cự kiếm</t>
  </si>
  <si>
    <t>Tinh · Lưu hà quạt lông</t>
  </si>
  <si>
    <t>Tinh · Long Tước cự kiếm</t>
  </si>
  <si>
    <t>Tinh · Cung điện khổng lồ chiến nhận</t>
  </si>
  <si>
    <t>Tinh · Động Huyền đạo bào</t>
  </si>
  <si>
    <t>Tinh · Trạm lư chiến giáp</t>
  </si>
  <si>
    <t>Tinh · Tử Lân chiến giáp</t>
  </si>
  <si>
    <t>Tinh · Lưu hà pháp bào</t>
  </si>
  <si>
    <t>Tinh · Long Tước chiến giáp</t>
  </si>
  <si>
    <t>Tinh · Cung điện khổng lồ chiến giáp</t>
  </si>
  <si>
    <t>Tinh · Động Huyền đạo quan</t>
  </si>
  <si>
    <t>Tinh · Trạm lư chiến nón trụ</t>
  </si>
  <si>
    <t>Tinh · Tử Lân chiến nón trụ</t>
  </si>
  <si>
    <t>Tinh · Lưu hà mào đầu</t>
  </si>
  <si>
    <t>Tinh · Long Tước chiến nón trụ</t>
  </si>
  <si>
    <t>Tinh · Cung điện khổng lồ chiến nón trụ</t>
  </si>
  <si>
    <t>Tinh · Động Huyền đạo giày</t>
  </si>
  <si>
    <t>Tinh · Trạm lư giày chiến</t>
  </si>
  <si>
    <t>Tinh · Tử Lân giày chiến</t>
  </si>
  <si>
    <t>Tinh · Lưu hà vũ giày</t>
  </si>
  <si>
    <t>Tinh · Long Tước giày chiến</t>
  </si>
  <si>
    <t>Tinh · Cung điện khổng lồ giày chiến</t>
  </si>
  <si>
    <t>Mặt trăng ấn</t>
  </si>
  <si>
    <t>Hổ phương ấn</t>
  </si>
  <si>
    <t>Bạch Trạch ấn</t>
  </si>
  <si>
    <t>Huyền Vũ ấn</t>
  </si>
  <si>
    <t>Long Tước ấn</t>
  </si>
  <si>
    <t>Chân Long ấn</t>
  </si>
  <si>
    <t>Long hồn</t>
  </si>
  <si>
    <t>Thú hồn kinh nghiệm ( Nhỏ )</t>
  </si>
  <si>
    <t>Thú hồn kinh nghiệm ( Lớn )</t>
  </si>
  <si>
    <t>Thanh Long rơi</t>
  </si>
  <si>
    <t>Hoa sen bảo sách</t>
  </si>
  <si>
    <t>Long Uyên thương</t>
  </si>
  <si>
    <t>Cô hồng kiếm</t>
  </si>
  <si>
    <t>Long Vương cái sọt</t>
  </si>
  <si>
    <t>Tinh kim đồng tiền</t>
  </si>
  <si>
    <t>Lửa anh thương</t>
  </si>
  <si>
    <t>Thái hư thần giáp</t>
  </si>
  <si>
    <t>Bên trên bảo thấm kim bá</t>
  </si>
  <si>
    <t>Áng mây phiêu</t>
  </si>
  <si>
    <t>Thần Nông đỉnh</t>
  </si>
  <si>
    <t>Vong ưu</t>
  </si>
  <si>
    <t>Ánh trăng</t>
  </si>
  <si>
    <t>Lão Long bố mưa</t>
  </si>
  <si>
    <t>Hổ phách đao</t>
  </si>
  <si>
    <t>Mộng cảnh di châu</t>
  </si>
  <si>
    <t>Muối biển trân châu con trai</t>
  </si>
  <si>
    <t>Tùy tâm đáng tin binh</t>
  </si>
  <si>
    <t>Phù thế thanh hoan</t>
  </si>
  <si>
    <t>Bông tuyết linh</t>
  </si>
  <si>
    <t>Hộp kiếm</t>
  </si>
  <si>
    <t>Trảm hồn</t>
  </si>
  <si>
    <t>Ly Long ấn</t>
  </si>
  <si>
    <t>Ngũ thải Thần thạch</t>
  </si>
  <si>
    <t>Làm thích</t>
  </si>
  <si>
    <t>Mộ chỉ riêng</t>
  </si>
  <si>
    <t>Tinh hồng chi mắt</t>
  </si>
  <si>
    <t>Toa la bảo trượng</t>
  </si>
  <si>
    <t>Ly châu</t>
  </si>
  <si>
    <t>Bèo tấm</t>
  </si>
  <si>
    <t>Gấm lan cà sa</t>
  </si>
  <si>
    <t>Chú oán</t>
  </si>
  <si>
    <t>Ngũ sắc thần quang</t>
  </si>
  <si>
    <t>Hoàng việt</t>
  </si>
  <si>
    <t>Vu độc con rối</t>
  </si>
  <si>
    <t>Huyết liên đài</t>
  </si>
  <si>
    <t>Trời · Thanh Long rơi</t>
  </si>
  <si>
    <t>· Thanh Long rơi</t>
  </si>
  <si>
    <t>Huyền · Thanh Long rơi</t>
  </si>
  <si>
    <t>Hoàng · Thanh Long rơi</t>
  </si>
  <si>
    <t>Trời · Hoa sen bảo sách</t>
  </si>
  <si>
    <t>· Hoa sen bảo sách</t>
  </si>
  <si>
    <t>Huyền · Hoa sen bảo sách</t>
  </si>
  <si>
    <t>Hoàng · Hoa sen bảo sách</t>
  </si>
  <si>
    <t>Trời · Long Uyên thương</t>
  </si>
  <si>
    <t>· Long Uyên thương</t>
  </si>
  <si>
    <t>Huyền · Long Uyên thương</t>
  </si>
  <si>
    <t>Hoàng · Long Uyên thương</t>
  </si>
  <si>
    <t>Trời · Cô hồng kiếm</t>
  </si>
  <si>
    <t>· Cô hồng kiếm</t>
  </si>
  <si>
    <t>Huyền · Cô hồng kiếm</t>
  </si>
  <si>
    <t>Hoàng · Cô hồng kiếm</t>
  </si>
  <si>
    <t>Trời · Long Vương cái sọt</t>
  </si>
  <si>
    <t>· Long Vương cái sọt</t>
  </si>
  <si>
    <t>Huyền · Long Vương cái sọt</t>
  </si>
  <si>
    <t>Hoàng · Long Vương cái sọt</t>
  </si>
  <si>
    <t>Trời · Tinh kim đồng tiền</t>
  </si>
  <si>
    <t>· Tinh kim đồng tiền</t>
  </si>
  <si>
    <t>Huyền · Tinh kim đồng tiền</t>
  </si>
  <si>
    <t>Hoàng · Tinh kim đồng tiền</t>
  </si>
  <si>
    <t>Trời · Lửa anh thương</t>
  </si>
  <si>
    <t>· Lửa anh thương</t>
  </si>
  <si>
    <t>Huyền · Lửa anh thương</t>
  </si>
  <si>
    <t>Hoàng · Lửa anh thương</t>
  </si>
  <si>
    <t>Trời · Thái hư thần giáp</t>
  </si>
  <si>
    <t>· Thái hư thần giáp</t>
  </si>
  <si>
    <t>Huyền · Thái hư thần giáp</t>
  </si>
  <si>
    <t>Hoàng · Thái hư thần giáp</t>
  </si>
  <si>
    <t>Trời · Bên trên bảo thấm kim bá</t>
  </si>
  <si>
    <t>· Bên trên bảo thấm kim bá</t>
  </si>
  <si>
    <t>Huyền · Bên trên bảo thấm kim bá</t>
  </si>
  <si>
    <t>Hoàng · Bên trên bảo thấm kim bá</t>
  </si>
  <si>
    <t>Trời · Áng mây phiêu</t>
  </si>
  <si>
    <t>· Áng mây phiêu</t>
  </si>
  <si>
    <t>Huyền · Áng mây phiêu</t>
  </si>
  <si>
    <t>Hoàng · Áng mây phiêu</t>
  </si>
  <si>
    <t>Trời · Thần Nông đỉnh</t>
  </si>
  <si>
    <t>· Thần Nông đỉnh</t>
  </si>
  <si>
    <t>Huyền · Thần Nông đỉnh</t>
  </si>
  <si>
    <t>Hoàng · Thần Nông đỉnh</t>
  </si>
  <si>
    <t>Trời · Vong ưu</t>
  </si>
  <si>
    <t>· Vong ưu</t>
  </si>
  <si>
    <t>Huyền · Vong ưu</t>
  </si>
  <si>
    <t>Hoàng · Vong ưu</t>
  </si>
  <si>
    <t>Trời · Ánh trăng</t>
  </si>
  <si>
    <t>· Ánh trăng</t>
  </si>
  <si>
    <t>Huyền · Ánh trăng</t>
  </si>
  <si>
    <t>Hoàng · Ánh trăng</t>
  </si>
  <si>
    <t>Trời · Lão Long bố mưa</t>
  </si>
  <si>
    <t>· Lão Long bố mưa</t>
  </si>
  <si>
    <t>Huyền · Lão Long bố mưa</t>
  </si>
  <si>
    <t>Hoàng · Lão Long bố mưa</t>
  </si>
  <si>
    <t>Trời · Hổ phách đao</t>
  </si>
  <si>
    <t>· Hổ phách đao</t>
  </si>
  <si>
    <t>Huyền · Hổ phách đao</t>
  </si>
  <si>
    <t>Hoàng · Hổ phách đao</t>
  </si>
  <si>
    <t>Trời · Mộng cảnh di châu</t>
  </si>
  <si>
    <t>· Mộng cảnh di châu</t>
  </si>
  <si>
    <t>Huyền · Mộng cảnh di châu</t>
  </si>
  <si>
    <t>Hoàng · Mộng cảnh di châu</t>
  </si>
  <si>
    <t>Trời · Muối biển trân châu con trai</t>
  </si>
  <si>
    <t>· Muối biển trân châu con trai</t>
  </si>
  <si>
    <t>Huyền · Muối biển trân châu con trai</t>
  </si>
  <si>
    <t>Hoàng · Muối biển trân châu con trai</t>
  </si>
  <si>
    <t>Trời · Tùy tâm đáng tin binh</t>
  </si>
  <si>
    <t>· Tùy tâm đáng tin binh</t>
  </si>
  <si>
    <t>Huyền · Tùy tâm đáng tin binh</t>
  </si>
  <si>
    <t>Hoàng · Tùy tâm đáng tin binh</t>
  </si>
  <si>
    <t>Trời · Phù thế thanh hoan</t>
  </si>
  <si>
    <t>· Phù thế thanh hoan</t>
  </si>
  <si>
    <t>Huyền · Phù thế thanh hoan</t>
  </si>
  <si>
    <t>Hoàng · Phù thế thanh hoan</t>
  </si>
  <si>
    <t>Trời · Bông tuyết linh</t>
  </si>
  <si>
    <t>· Bông tuyết linh</t>
  </si>
  <si>
    <t>Huyền · Bông tuyết linh</t>
  </si>
  <si>
    <t>Hoàng · Bông tuyết linh</t>
  </si>
  <si>
    <t>Trời · Hộp kiếm</t>
  </si>
  <si>
    <t>· Hộp kiếm</t>
  </si>
  <si>
    <t>Huyền · Hộp kiếm</t>
  </si>
  <si>
    <t>Hoàng · Hộp kiếm</t>
  </si>
  <si>
    <t>Trời · Trảm hồn</t>
  </si>
  <si>
    <t>· Trảm hồn</t>
  </si>
  <si>
    <t>Huyền · Trảm hồn</t>
  </si>
  <si>
    <t>Hoàng · Trảm hồn</t>
  </si>
  <si>
    <t>Trời · Ly Long ấn</t>
  </si>
  <si>
    <t>· Ly Long ấn</t>
  </si>
  <si>
    <t>Huyền · Ly Long ấn</t>
  </si>
  <si>
    <t>Hoàng · Ly Long ấn</t>
  </si>
  <si>
    <t>Trời · Ngũ thải Thần thạch</t>
  </si>
  <si>
    <t>· Ngũ thải Thần thạch</t>
  </si>
  <si>
    <t>Huyền · Ngũ thải Thần thạch</t>
  </si>
  <si>
    <t>Hoàng · Ngũ thải Thần thạch</t>
  </si>
  <si>
    <t>Trời · Làm thích</t>
  </si>
  <si>
    <t>· Làm thích</t>
  </si>
  <si>
    <t>Huyền · Làm thích</t>
  </si>
  <si>
    <t>Hoàng · Làm thích</t>
  </si>
  <si>
    <t>Trời · Mộ chỉ riêng</t>
  </si>
  <si>
    <t>· Mộ chỉ riêng</t>
  </si>
  <si>
    <t>Huyền · Mộ chỉ riêng</t>
  </si>
  <si>
    <t>Hoàng · Mộ chỉ riêng</t>
  </si>
  <si>
    <t>Trời · Tinh hồng chi mắt</t>
  </si>
  <si>
    <t>· Tinh hồng chi mắt</t>
  </si>
  <si>
    <t>Huyền · Tinh hồng chi mắt</t>
  </si>
  <si>
    <t>Hoàng · Tinh hồng chi mắt</t>
  </si>
  <si>
    <t>Trời · Toa la bảo trượng</t>
  </si>
  <si>
    <t>· Toa la bảo trượng</t>
  </si>
  <si>
    <t>Huyền · Toa la bảo trượng</t>
  </si>
  <si>
    <t>Hoàng · Toa la bảo trượng</t>
  </si>
  <si>
    <t>Trời · Ly châu</t>
  </si>
  <si>
    <t>· Ly châu</t>
  </si>
  <si>
    <t>Huyền · Ly châu</t>
  </si>
  <si>
    <t>Hoàng · Ly châu</t>
  </si>
  <si>
    <t>Trời · Bèo tấm</t>
  </si>
  <si>
    <t>· Bèo tấm</t>
  </si>
  <si>
    <t>Huyền · Bèo tấm</t>
  </si>
  <si>
    <t>Hoàng · Bèo tấm</t>
  </si>
  <si>
    <t>Trời · Gấm lan cà sa</t>
  </si>
  <si>
    <t>· Gấm lan cà sa</t>
  </si>
  <si>
    <t>Huyền · Gấm lan cà sa</t>
  </si>
  <si>
    <t>Hoàng · Gấm lan cà sa</t>
  </si>
  <si>
    <t>Trời · Chú oán</t>
  </si>
  <si>
    <t>· Chú oán</t>
  </si>
  <si>
    <t>Huyền · Chú oán</t>
  </si>
  <si>
    <t>Hoàng · Chú oán</t>
  </si>
  <si>
    <t>Trời · Ngũ sắc thần quang</t>
  </si>
  <si>
    <t>· Ngũ sắc thần quang</t>
  </si>
  <si>
    <t>Huyền · Ngũ sắc thần quang</t>
  </si>
  <si>
    <t>Hoàng · Ngũ sắc thần quang</t>
  </si>
  <si>
    <t>Trời · Hoàng việt</t>
  </si>
  <si>
    <t>· Hoàng việt</t>
  </si>
  <si>
    <t>Huyền · Hoàng việt</t>
  </si>
  <si>
    <t>Hoàng · Hoàng việt</t>
  </si>
  <si>
    <t>Trời · Vu độc con rối</t>
  </si>
  <si>
    <t>· Vu độc con rối</t>
  </si>
  <si>
    <t>Huyền · Vu độc con rối</t>
  </si>
  <si>
    <t>Hoàng · Vu độc con rối</t>
  </si>
  <si>
    <t>Trời · Huyết liên đài</t>
  </si>
  <si>
    <t>· Huyết liên đài</t>
  </si>
  <si>
    <t>Huyền · Huyết liên đài</t>
  </si>
  <si>
    <t>Hoàng · Huyết liên đài</t>
  </si>
  <si>
    <t>Tiến giai thạch</t>
  </si>
  <si>
    <t>Thái Ất tinh kim</t>
  </si>
  <si>
    <t>Hạo dương thạch</t>
  </si>
  <si>
    <t>Mạ vàng phấn</t>
  </si>
  <si>
    <t>Thiên Khải tinh văn tảng đá</t>
  </si>
  <si>
    <t>Bích ngọc tủy</t>
  </si>
  <si>
    <t>Thiên giới Thần thạch</t>
  </si>
  <si>
    <t>Liệt Dương tín vật</t>
  </si>
  <si>
    <t>Thần trang mảnh vỡ</t>
  </si>
  <si>
    <t>Hiền giả di vật</t>
  </si>
  <si>
    <t>Tiên linh di vật</t>
  </si>
  <si>
    <t>Yêu Tổ di vật</t>
  </si>
  <si>
    <t>Ma Hoàng di vật</t>
  </si>
  <si>
    <t>Cổ Thần di vật</t>
  </si>
  <si>
    <t>Tín ngưỡng chi lực</t>
  </si>
  <si>
    <t>Linh bàn thờ</t>
  </si>
  <si>
    <t>Mệnh ký</t>
  </si>
  <si>
    <t>Mệnh cách</t>
  </si>
  <si>
    <t>Đổi thành tinh hoa</t>
  </si>
  <si>
    <t>Làn da mảnh vỡ</t>
  </si>
  <si>
    <t>Máu anh thạch</t>
  </si>
  <si>
    <t>Tẩy luyện thạch</t>
  </si>
  <si>
    <t>Hoàng cấp hồn đan</t>
  </si>
  <si>
    <t>Huyền cấp hồn đan</t>
  </si>
  <si>
    <t>Địa cấp hồn đan</t>
  </si>
  <si>
    <t>Thiên cấp hồn đan</t>
  </si>
  <si>
    <t>Thú hồn mảnh vỡ</t>
  </si>
  <si>
    <t>Quán ma chi bình · Người</t>
  </si>
  <si>
    <t>Quán ma chi bình · Tiên</t>
  </si>
  <si>
    <t>Quán ma chi bình · Yêu</t>
  </si>
  <si>
    <t>Quán ma chi bình · Thần</t>
  </si>
  <si>
    <t>Quán ma chi bình · Ma</t>
  </si>
  <si>
    <t>Thời gian tinh hoa</t>
  </si>
  <si>
    <t>Hồn đan</t>
  </si>
  <si>
    <t>Quán ma chi bình</t>
  </si>
  <si>
    <t>Thời gian đồng hồ cát</t>
  </si>
  <si>
    <t>Huyền thiết</t>
  </si>
  <si>
    <t>Thần thiết</t>
  </si>
  <si>
    <t>Vẫn thạch tinh hoa</t>
  </si>
  <si>
    <t>Động thiên hồng ngọc</t>
  </si>
  <si>
    <t>Kỳ Lân tiên ngọc</t>
  </si>
  <si>
    <t>Tiên Khí tinh hoa</t>
  </si>
  <si>
    <t>Tu vi đan</t>
  </si>
  <si>
    <t>Bí kíp</t>
  </si>
  <si>
    <t>Thông linh bài</t>
  </si>
  <si>
    <t>Cầm tinh khiến</t>
  </si>
  <si>
    <t>Thánh Thú khiến</t>
  </si>
  <si>
    <t>Cộng minh thủy tinh</t>
  </si>
  <si>
    <t>Triện ấn: Thần ân</t>
  </si>
  <si>
    <t>Triện ấn: Pháp liền</t>
  </si>
  <si>
    <t>Triện ấn: Giáp dày</t>
  </si>
  <si>
    <t>Triện ấn: Sạch sẽ</t>
  </si>
  <si>
    <t>Triện ấn: Tự hạn chế</t>
  </si>
  <si>
    <t>Triện ấn: Kháng khống</t>
  </si>
  <si>
    <t>Triện ấn: Né tránh</t>
  </si>
  <si>
    <t>Triện ấn: Khép lại</t>
  </si>
  <si>
    <t>Triện ấn: Miễn tổn thương</t>
  </si>
  <si>
    <t>Triện ấn: Thần tốc</t>
  </si>
  <si>
    <t>Triện ấn: Trí tuệ</t>
  </si>
  <si>
    <t>Triện ấn: Thần võ</t>
  </si>
  <si>
    <t>Triện ấn: Truy kích</t>
  </si>
  <si>
    <t>Triện ấn: Bạo tập</t>
  </si>
  <si>
    <t>Triện ấn: Nổi giận</t>
  </si>
  <si>
    <t>Triện ấn: Cuồng bạo</t>
  </si>
  <si>
    <t>Triện ấn: Máu giận</t>
  </si>
  <si>
    <t>Triện ấn: Che chở</t>
  </si>
  <si>
    <t>Triện ấn: Chiến rống</t>
  </si>
  <si>
    <t>Triện ấn: Dịch bệnh</t>
  </si>
  <si>
    <t>Triện ấn: Câu hồn</t>
  </si>
  <si>
    <t>Triện ấn: Xua tan</t>
  </si>
  <si>
    <t>Triện ấn: Mãnh kích</t>
  </si>
  <si>
    <t>Triện ấn: Trào phúng</t>
  </si>
  <si>
    <t>Triện ấn: Giảm tốc</t>
  </si>
  <si>
    <t>Triện ấn: Hi sinh</t>
  </si>
  <si>
    <t>Triện ấn: Áp chế</t>
  </si>
  <si>
    <t>Triện ấn: Nhắm chuẩn</t>
  </si>
  <si>
    <t>Triện ấn: Tái sinh</t>
  </si>
  <si>
    <t>Triện ấn: Trùng sinh</t>
  </si>
  <si>
    <t>Triện ấn: Dừng bạo</t>
  </si>
  <si>
    <t>Triện ấn: Ma giáp</t>
  </si>
  <si>
    <t>Triện ấn: Chiến giáp</t>
  </si>
  <si>
    <t>Triện ấn: Nghị nặng</t>
  </si>
  <si>
    <t>Triện ấn: Xuyên thấu</t>
  </si>
  <si>
    <t>Triện ấn: Khống tràng</t>
  </si>
  <si>
    <t>Triện ấn: Vật liền</t>
  </si>
  <si>
    <t>Triện ấn: Hút máu</t>
  </si>
  <si>
    <t>Triện ấn: Viện hộ</t>
  </si>
  <si>
    <t>Triện ấn: Phản tổn thương</t>
  </si>
  <si>
    <t>Triện ấn: Dũng mãnh</t>
  </si>
  <si>
    <t>Triện ấn: Hiểu ý</t>
  </si>
  <si>
    <t>Triện ấn: Lưu động</t>
  </si>
  <si>
    <t>Triện ấn: Tránh hiểm</t>
  </si>
  <si>
    <t>Triện ấn: Hồi hồn</t>
  </si>
  <si>
    <t>Triện ấn: Diệt hồn</t>
  </si>
  <si>
    <t>Cấp thấp phụ ma: Lôi đình</t>
  </si>
  <si>
    <t>Trung cấp phụ ma: Lôi đình</t>
  </si>
  <si>
    <t>Cao cấp phụ ma: Lôi đình</t>
  </si>
  <si>
    <t>Cấp thấp phụ ma: Tẩm bổ</t>
  </si>
  <si>
    <t>Trung cấp phụ ma: Tẩm bổ</t>
  </si>
  <si>
    <t>Cao cấp phụ ma: Tẩm bổ</t>
  </si>
  <si>
    <t>Cấp thấp phụ ma: Đạp gió</t>
  </si>
  <si>
    <t>Trung cấp phụ ma: Đạp gió</t>
  </si>
  <si>
    <t>Cao cấp phụ ma: Đạp gió</t>
  </si>
  <si>
    <t>Cấp thấp phụ ma: Sáng tạo càng</t>
  </si>
  <si>
    <t>Trung cấp phụ ma: Sáng tạo càng</t>
  </si>
  <si>
    <t>Cao cấp phụ ma: Sáng tạo càng</t>
  </si>
  <si>
    <t>Cấp thấp phụ ma: Cứng cỏi</t>
  </si>
  <si>
    <t>Trung cấp phụ ma: Cứng cỏi</t>
  </si>
  <si>
    <t>Cao cấp phụ ma: Cứng cỏi</t>
  </si>
  <si>
    <t>Cố định gói quà -1 </t>
  </si>
  <si>
    <t>Cố định gói quà -2</t>
  </si>
  <si>
    <t>Cố định gói quà -3</t>
  </si>
  <si>
    <t>Cố định gói quà -4</t>
  </si>
  <si>
    <t>Q Bầy gói quà</t>
  </si>
  <si>
    <t>Manh mới gói quà</t>
  </si>
  <si>
    <t>Hộ lá gan tiến giai gói quà</t>
  </si>
  <si>
    <t>Đề nghị gói quà</t>
  </si>
  <si>
    <t>BUG Gói quà</t>
  </si>
  <si>
    <t>Đánh giá gói quà</t>
  </si>
  <si>
    <t>Anh hùng mạo hiểm hào lễ</t>
  </si>
  <si>
    <t>Anh hùng làn da gói quà</t>
  </si>
  <si>
    <t>Phiên Thiên Ấn gói quà</t>
  </si>
  <si>
    <t>Thanh Long rơi gói quà</t>
  </si>
  <si>
    <t>Hoa sen bảo sách gói quà</t>
  </si>
  <si>
    <t>Trảm Tiên Phi Đao gói quà</t>
  </si>
  <si>
    <t>Long Vương cái sọt gói quà</t>
  </si>
  <si>
    <t>Tinh kim đồng tiền gói quà</t>
  </si>
  <si>
    <t>Lửa anh thương gói quà</t>
  </si>
  <si>
    <t>Thái hư thần giáp gói quà</t>
  </si>
  <si>
    <t>Đông Hoàng Chung gói quà</t>
  </si>
  <si>
    <t>Lạc Nhật Cung gói quà</t>
  </si>
  <si>
    <t>Bên trên bảo thấm kim bá gói quà</t>
  </si>
  <si>
    <t>Áng mây phiêu gói quà</t>
  </si>
  <si>
    <t>Thần Nông đỉnh gói quà</t>
  </si>
  <si>
    <t>Vong ưu gói quà</t>
  </si>
  <si>
    <t>Ánh trăng gói quà</t>
  </si>
  <si>
    <t>Lão Long bố mưa gói quà</t>
  </si>
  <si>
    <t>Hỗn Thiên Lăng gói quà</t>
  </si>
  <si>
    <t>Hổ phách đao gói quà</t>
  </si>
  <si>
    <t>Ngẫu nhiên gói quà -1</t>
  </si>
  <si>
    <t>Ngẫu nhiên gói quà -2</t>
  </si>
  <si>
    <t>Ngẫu nhiên gói quà -3</t>
  </si>
  <si>
    <t>Ngẫu nhiên gói quà -4</t>
  </si>
  <si>
    <t>May mắn tầm bảo gói quà</t>
  </si>
  <si>
    <t>Cao cấp tầm bảo gói quà</t>
  </si>
  <si>
    <t>3 Tinh trang bị gói quà</t>
  </si>
  <si>
    <t>2 Tinh trang bị gói quà</t>
  </si>
  <si>
    <t>Huyền cấp thú hồn gói quà</t>
  </si>
  <si>
    <t>May mắn điểm tướng gói quà</t>
  </si>
  <si>
    <t>Di vật ngẫu nhiên gói quà</t>
  </si>
  <si>
    <t>Triệu hoán gói quà</t>
  </si>
  <si>
    <t>Mảnh vỡ gói quà</t>
  </si>
  <si>
    <t>Hoàng cấp thú hồn gói quà</t>
  </si>
  <si>
    <t>Địa cấp thú hồn ngẫu nhiên</t>
  </si>
  <si>
    <t>Mạ vàng phấn gói quà lớn</t>
  </si>
  <si>
    <t>Ngẫu nhiên triện ấn gói quà</t>
  </si>
  <si>
    <t>Thiên cấp thú hồn gói quà</t>
  </si>
  <si>
    <t>Mỗi ngày thủ mạo xưng quý tộc</t>
  </si>
  <si>
    <t>Mỗi ngày thủ mạo xưng tôn hưởng</t>
  </si>
  <si>
    <t>1 Tinh trang bị gói quà</t>
  </si>
  <si>
    <t>Tam hệ anh hùng ngẫu nhiên</t>
  </si>
  <si>
    <t>Thần Ma ngẫu nhiên gói quà</t>
  </si>
  <si>
    <t>3 Tinh cam trang gói quà</t>
  </si>
  <si>
    <t>Thú hồn gói quà</t>
  </si>
  <si>
    <t>Mỗi ngày thủ mạo xưng gói quà</t>
  </si>
  <si>
    <t>Đỏ 1 Trang bị ngẫu nhiên</t>
  </si>
  <si>
    <t>Đỏ 2 Trang bị ngẫu nhiên</t>
  </si>
  <si>
    <t>Thông dụng Tiên Khí ngẫu nhiên</t>
  </si>
  <si>
    <t>Đỏ 3 Trang bị ngẫu nhiên</t>
  </si>
  <si>
    <t>Cấp thấp phụ ma tự do</t>
  </si>
  <si>
    <t>Trung cấp phụ ma tự do</t>
  </si>
  <si>
    <t>Cao cấp phụ ma tự do</t>
  </si>
  <si>
    <t>Tiên Khí mảnh vỡ ngẫu nhiên</t>
  </si>
  <si>
    <t>Phúc địa trân tàng</t>
  </si>
  <si>
    <t>Phong thần khiến gói quà</t>
  </si>
  <si>
    <t>Thiên địa thú hồn ngẫu nhiên</t>
  </si>
  <si>
    <t>Chuyên môn Tiên Khí ngẫu nhiên</t>
  </si>
  <si>
    <t>Lá cây ngẫu nhiên gói quà</t>
  </si>
  <si>
    <t>Thú hồn tiến giai gói quà</t>
  </si>
  <si>
    <t>Tự do gói quà -1</t>
  </si>
  <si>
    <t>Tự do gói quà -2</t>
  </si>
  <si>
    <t>Tự do gói quà -3</t>
  </si>
  <si>
    <t>Nhân tộc tự do gói quà</t>
  </si>
  <si>
    <t>Tiên Tộc tự do gói quà</t>
  </si>
  <si>
    <t>Yêu tộc tự do gói quà</t>
  </si>
  <si>
    <t>Thần tộc tự do gói quà</t>
  </si>
  <si>
    <t>Ma tộc tự do gói quà</t>
  </si>
  <si>
    <t>Tam hệ anh hùng tự do</t>
  </si>
  <si>
    <t>Thần Ma tự do gói quà</t>
  </si>
  <si>
    <t>Triện ấn tự do gói quà</t>
  </si>
  <si>
    <t>Địa cấp thú hồn tự do</t>
  </si>
  <si>
    <t>Thiên cấp thú hồn ngẫu nhiên</t>
  </si>
  <si>
    <t>Thiên cấp thú hồn tự do</t>
  </si>
  <si>
    <t>Quán ma chi bình gói quà</t>
  </si>
  <si>
    <t>Di vật tự do gói quà</t>
  </si>
  <si>
    <t>4 Tinh cam trang tự do</t>
  </si>
  <si>
    <t>Hồn đan tự do gói quà</t>
  </si>
  <si>
    <t>Cực phẩm thú hồn gói quà</t>
  </si>
  <si>
    <t>Anh hùng tự do gói quà</t>
  </si>
  <si>
    <t>Đỏ 2 Trang bị tự do</t>
  </si>
  <si>
    <t>Đỏ 3 Trang bị tự do</t>
  </si>
  <si>
    <t>Thông dụng Tiên Khí tự do</t>
  </si>
  <si>
    <t>Chuyên môn Tiên Khí tự do</t>
  </si>
  <si>
    <t>Tiên Khí mảnh vỡ tự do</t>
  </si>
  <si>
    <t>Nhân tộc Tiên Khí tự do</t>
  </si>
  <si>
    <t>Tiên Tộc Tiên Khí tự do</t>
  </si>
  <si>
    <t>Yêu tộc Tiên Khí tự do</t>
  </si>
  <si>
    <t>Thần tộc Tiên Khí tự do</t>
  </si>
  <si>
    <t>Ma tộc Tiên Khí tự do</t>
  </si>
  <si>
    <t>Nhân tộc Tiên Khí mảnh vỡ</t>
  </si>
  <si>
    <t>Tiên Tộc Tiên Khí mảnh vỡ</t>
  </si>
  <si>
    <t>Yêu tộc Tiên Khí mảnh vỡ</t>
  </si>
  <si>
    <t>Thần tộc Tiên Khí mảnh vỡ</t>
  </si>
  <si>
    <t>Ma tộc Tiên Khí mảnh vỡ</t>
  </si>
  <si>
    <t>Chủng tộc huy chương tự do</t>
  </si>
  <si>
    <t>Tiên Khí tự do gói quà</t>
  </si>
  <si>
    <t>Bánh Trung thu tự do hộp quà</t>
  </si>
  <si>
    <t>Tiên Khí lui trở về tự do</t>
  </si>
  <si>
    <t>Làn da mảnh vỡ tự do</t>
  </si>
  <si>
    <t>Lá cây tự do gói quà</t>
  </si>
  <si>
    <t>Chỉ định Thần Ma tự do</t>
  </si>
  <si>
    <t>Ngày lễ đèn lồng</t>
  </si>
  <si>
    <t>Long Tước chi tư</t>
  </si>
  <si>
    <t>Đồ cất giữ gói quà</t>
  </si>
  <si>
    <t>Phổ thông tầm bảo khoán</t>
  </si>
  <si>
    <t>Cao cấp tầm bảo khoán</t>
  </si>
  <si>
    <t>Phổ thông điểm tướng khoán</t>
  </si>
  <si>
    <t>Cao cấp điểm tướng khoán</t>
  </si>
  <si>
    <t>đấu trường khiêu chiến khoán</t>
  </si>
  <si>
    <t>Treo thưởng đổi mới khoán</t>
  </si>
  <si>
    <t>Tiểu thanh tân hồng bao</t>
  </si>
  <si>
    <t>Cấp cao khí quyển hồng bao</t>
  </si>
  <si>
    <t>Chí tôn thổ hào hồng bao</t>
  </si>
  <si>
    <t>Tinh anh điểm tướng khoán</t>
  </si>
  <si>
    <t>Linh vũ</t>
  </si>
  <si>
    <t>Liệt thiên</t>
  </si>
  <si>
    <t>Càn khôn bí chìa</t>
  </si>
  <si>
    <t>Rút thưởng khoán</t>
  </si>
  <si>
    <t>Ngọc như ý</t>
  </si>
  <si>
    <t>Bạch long châu</t>
  </si>
  <si>
    <t>Binh phù</t>
  </si>
  <si>
    <t>Cận trời bí chìa</t>
  </si>
  <si>
    <t>Hỏa tinh</t>
  </si>
  <si>
    <t>Cầu nguyện khiến</t>
  </si>
  <si>
    <t>Quân công</t>
  </si>
  <si>
    <t>Bảo rương bí chìa</t>
  </si>
  <si>
    <t>Long châu</t>
  </si>
  <si>
    <t>Thí luyện điểm tích lũy</t>
  </si>
  <si>
    <t>Mê cung điểm tích lũy</t>
  </si>
  <si>
    <t>LSV điểm tích lũy</t>
  </si>
  <si>
    <t>Công huân</t>
  </si>
  <si>
    <t>Đẳng cấp điểm tích lũy</t>
  </si>
  <si>
    <t>Bàn quay khoán</t>
  </si>
  <si>
    <t>5 Tinh thông dụng anh linh</t>
  </si>
  <si>
    <t>5 Tinh nhân tộc anh linh</t>
  </si>
  <si>
    <t>5 Tinh Tiên Tộc anh linh</t>
  </si>
  <si>
    <t>5 Tinh yêu tộc anh linh</t>
  </si>
  <si>
    <t>5 Tinh Thần tộc anh linh</t>
  </si>
  <si>
    <t>5 Tinh ma tộc anh linh</t>
  </si>
  <si>
    <t>9 Tinh thông dụng anh linh</t>
  </si>
  <si>
    <t>9 Tinh nhân tộc anh linh</t>
  </si>
  <si>
    <t>9 Tinh Tiên Tộc anh linh</t>
  </si>
  <si>
    <t>9 Tinh yêu tộc anh linh</t>
  </si>
  <si>
    <t>9 Tinh Thần tộc anh linh</t>
  </si>
  <si>
    <t>9 Tinh ma tộc anh linh</t>
  </si>
  <si>
    <t>10 Tinh thông dụng anh linh</t>
  </si>
  <si>
    <t>Nhanh chóng tác chiến đặc quyền</t>
  </si>
  <si>
    <t>Đồ đằng Thánh Điện đặc quyền</t>
  </si>
  <si>
    <t>Treo thưởng cao cấp đặc quyền</t>
  </si>
  <si>
    <t>Treo thưởng hào Ward quyền</t>
  </si>
  <si>
    <t>Nữ Oa thạch</t>
  </si>
  <si>
    <t>Đúc lại đan</t>
  </si>
  <si>
    <t>Nhỏ kim tệ túi (24 Giờ )</t>
  </si>
  <si>
    <t>Ít kinh nghiệm túi (24 Giờ )</t>
  </si>
  <si>
    <t>Hoàng cấp tạp vật</t>
  </si>
  <si>
    <t>Huyền cấp tạp vật</t>
  </si>
  <si>
    <t>Địa cấp tạp vật</t>
  </si>
  <si>
    <t>Thiên cấp tạp vật</t>
  </si>
  <si>
    <t>Tạp vật</t>
  </si>
  <si>
    <t>Học tập điểm tích lũy</t>
  </si>
  <si>
    <t>Thần tượng điểm tích lũy</t>
  </si>
  <si>
    <t>Phòng ăn điểm tích lũy</t>
  </si>
  <si>
    <t>Âm Dương Ngư phù</t>
  </si>
  <si>
    <t>Công thành khiến</t>
  </si>
  <si>
    <t>Di chuyển khiến</t>
  </si>
  <si>
    <t>Bí đỏ đầu</t>
  </si>
  <si>
    <t>Manh chó khẩu phần lương thực</t>
  </si>
  <si>
    <t>Danh vọng điểm tích lũy</t>
  </si>
  <si>
    <t>Bông tuyết</t>
  </si>
  <si>
    <t>Vảy rồng</t>
  </si>
  <si>
    <t>Cử thế vô song</t>
  </si>
  <si>
    <t>Khó gặp địch thủ</t>
  </si>
  <si>
    <t>Dũng quan tam quân</t>
  </si>
  <si>
    <t>Nội trắc dũng giả</t>
  </si>
  <si>
    <t>Phong thần dũng sĩ</t>
  </si>
  <si>
    <t>Ưu nhã quý tộc</t>
  </si>
  <si>
    <t>Siêu phàm đại sư</t>
  </si>
  <si>
    <t>Khinh thường tông sư</t>
  </si>
  <si>
    <t>Mạnh nhất vương giả</t>
  </si>
  <si>
    <t>Âu hoàng phụ thể</t>
  </si>
  <si>
    <t>Đăng phong tạo cực</t>
  </si>
  <si>
    <t>Đứng hàng đầu</t>
  </si>
  <si>
    <t>LSV đạt nhân</t>
  </si>
  <si>
    <t>Mê cung thủ vệ</t>
  </si>
  <si>
    <t>Lôi đài đạt nhân</t>
  </si>
  <si>
    <t>Tuyệt thế dũng giả</t>
  </si>
  <si>
    <t>Lôi đài vương giả</t>
  </si>
  <si>
    <t>Tam giới chung chủ</t>
  </si>
  <si>
    <t>Tiêu dao Tán Tiên</t>
  </si>
  <si>
    <t>Không làm thì không có ăn</t>
  </si>
  <si>
    <t>Vương giả chi đỉnh</t>
  </si>
  <si>
    <t>Trận đấu mùa giải truyền kỳ</t>
  </si>
  <si>
    <t>Trận đấu mùa giải vinh quang</t>
  </si>
  <si>
    <t>Có một không hai</t>
  </si>
  <si>
    <t>Siêu quần xuất chúng</t>
  </si>
  <si>
    <t>Xuất trần</t>
  </si>
  <si>
    <t>Lục lâm du hiệp</t>
  </si>
  <si>
    <t>Vương giả chi phong</t>
  </si>
  <si>
    <t>Mệnh lý đại sư</t>
  </si>
  <si>
    <t>Sách âm thanh leng keng</t>
  </si>
  <si>
    <t>Vinh quang vương giả</t>
  </si>
  <si>
    <t>Kim thu tháng mười</t>
  </si>
  <si>
    <t>Kim kha ngọc lá</t>
  </si>
  <si>
    <t>Phi long tại thiên</t>
  </si>
  <si>
    <t>bilibili Chuyên môn</t>
  </si>
  <si>
    <t>oppo Chuyên môn</t>
  </si>
  <si>
    <t>taptap Chuyên môn</t>
  </si>
  <si>
    <t>vivo Chuyên môn</t>
  </si>
  <si>
    <t>Hoa vì chuyên môn</t>
  </si>
  <si>
    <t>Chín du lịch chuyên môn</t>
  </si>
  <si>
    <t>Tiểu Mễ chuyên môn</t>
  </si>
  <si>
    <t>Ứng dụng bảo chuyên môn</t>
  </si>
  <si>
    <t>Quỷ ảnh trò chơi</t>
  </si>
  <si>
    <t>Thiên Diệp công xưởng</t>
  </si>
  <si>
    <t>Tài nguyên cuồn cuộn</t>
  </si>
  <si>
    <t>Công thành đại sư</t>
  </si>
  <si>
    <t>Mười bước một giết</t>
  </si>
  <si>
    <t>Thành tấn tổn thương</t>
  </si>
  <si>
    <t>Đỉnh phong</t>
  </si>
  <si>
    <t>Trác tuyệt</t>
  </si>
  <si>
    <t>Phong thái</t>
  </si>
  <si>
    <t>Đầu đường truyền thuyết</t>
  </si>
  <si>
    <t>Đầu đường đường bá</t>
  </si>
  <si>
    <t>Tương lai chiến sĩ</t>
  </si>
  <si>
    <t>Ngọt ngào hoa hồng</t>
  </si>
  <si>
    <t>Săn tâm xạ thủ</t>
  </si>
  <si>
    <t>Ngày mùa hè tiệc tùng</t>
  </si>
  <si>
    <t>Bao nhiêu số luận</t>
  </si>
  <si>
    <t>Thần tượng luyện tập sinh</t>
  </si>
  <si>
    <t>Thỏ nữ lang</t>
  </si>
  <si>
    <t>Âm dương kiếm khách</t>
  </si>
  <si>
    <t>Ác linh dũng sĩ</t>
  </si>
  <si>
    <t>Manh trạch bảo bối</t>
  </si>
  <si>
    <t>Giáng Sinh bảo bối</t>
  </si>
  <si>
    <t>Băng sương long duệ</t>
  </si>
  <si>
    <t>Đầu đường truyền thuyết (7 Trời )</t>
  </si>
  <si>
    <t>Đầu đường đường bá (7 Trời )</t>
  </si>
  <si>
    <t>Tương lai chiến sĩ (7 Trời )</t>
  </si>
  <si>
    <t>Ngọt ngào hoa hồng (7 Trời )</t>
  </si>
  <si>
    <t>Săn tâm xạ thủ (7 Trời )</t>
  </si>
  <si>
    <t>Ngày mùa hè tiệc tùng (7 Trời )</t>
  </si>
  <si>
    <t>Bao nhiêu số luận (7 Trời )</t>
  </si>
  <si>
    <t>Thần tượng luyện tập sinh (7 Trời )</t>
  </si>
  <si>
    <t>Thỏ nữ lang (7 Trời )</t>
  </si>
  <si>
    <t>Âm dương kiếm khách (7 Trời )</t>
  </si>
  <si>
    <t>Ác linh dũng sĩ (7 Trời )</t>
  </si>
  <si>
    <t>Manh trạch bảo bối (7 Trời )</t>
  </si>
  <si>
    <t>Tương lai chiến sĩ ( Mảnh vỡ )</t>
  </si>
  <si>
    <t>Đầu đường truyền thuyết ( Mảnh vỡ )</t>
  </si>
  <si>
    <t>Đầu đường đường bá ( Mảnh vỡ )</t>
  </si>
  <si>
    <t>Bánh chưng</t>
  </si>
  <si>
    <t>Điện thờ</t>
  </si>
  <si>
    <t>Nhân tộc huy chương</t>
  </si>
  <si>
    <t>Tiên Tộc huy chương</t>
  </si>
  <si>
    <t>Yêu tộc huy chương</t>
  </si>
  <si>
    <t>Thần tộc huy chương</t>
  </si>
  <si>
    <t>Ma tộc huy chương</t>
  </si>
  <si>
    <t>Tác chiến vật tư</t>
  </si>
  <si>
    <t>Phong thần khiến</t>
  </si>
  <si>
    <t>Năm nhân bánh Trung thu</t>
  </si>
  <si>
    <t>Trăm quả bánh Trung thu</t>
  </si>
  <si>
    <t>Trứng Hoàng Nguyệt bánh</t>
  </si>
  <si>
    <t>Chà bông bánh Trung thu</t>
  </si>
  <si>
    <t>Chiếu thư</t>
  </si>
  <si>
    <t>Linh năng kết tinh</t>
  </si>
  <si>
    <t>Mị ảnh châu</t>
  </si>
  <si>
    <t>Ngọn nến</t>
  </si>
  <si>
    <t>Mười ba hương</t>
  </si>
  <si>
    <t>Lá phong</t>
  </si>
  <si>
    <t>Bách lá</t>
  </si>
  <si>
    <t>Hạnh lá</t>
  </si>
  <si>
    <t>Lá phong đỏ</t>
  </si>
  <si>
    <t>Bách lá lục</t>
  </si>
  <si>
    <t>Hạnh lá hoàng</t>
  </si>
  <si>
    <t>Tước linh</t>
  </si>
  <si>
    <t>Tâm nguyện bình</t>
  </si>
  <si>
    <t>Thất thải vảy rồng</t>
  </si>
  <si>
    <t>Cẩm nang</t>
  </si>
  <si>
    <t>Công lao</t>
  </si>
  <si>
    <t>Tiên lộ</t>
  </si>
  <si>
    <t>Thiên Sơn tuyết liên</t>
  </si>
  <si>
    <t>Bàn đào</t>
  </si>
  <si>
    <t>Băng côn</t>
  </si>
  <si>
    <t>Luyện tập sách</t>
  </si>
  <si>
    <t>Phác nghiễn</t>
  </si>
  <si>
    <t>Bánh kẹo</t>
  </si>
  <si>
    <t>Chia sẻ hồng bao</t>
  </si>
  <si>
    <t>Chia sẻ điểm tích lũy</t>
  </si>
  <si>
    <t>日常产出</t>
  </si>
  <si>
    <t>货币</t>
  </si>
  <si>
    <t>id</t>
  </si>
  <si>
    <t>备注</t>
  </si>
  <si>
    <t>售卖价值</t>
  </si>
  <si>
    <t>估值</t>
  </si>
  <si>
    <t>每日产出</t>
  </si>
  <si>
    <t>历练</t>
  </si>
  <si>
    <t>洞天福地</t>
  </si>
  <si>
    <t>单日获取数量合计</t>
  </si>
  <si>
    <t>英雄</t>
  </si>
  <si>
    <t>装备</t>
  </si>
  <si>
    <t>道具</t>
  </si>
  <si>
    <t>碎片</t>
  </si>
  <si>
    <t>玺印</t>
  </si>
  <si>
    <t>兽魂</t>
  </si>
  <si>
    <t>仙器</t>
  </si>
  <si>
    <t>Hiểu số mệnh con người xem mới tài nguyên</t>
  </si>
  <si>
    <t>仙器碎片</t>
  </si>
  <si>
    <t>Côn Luân ngọc</t>
  </si>
  <si>
    <t>藏品</t>
  </si>
  <si>
    <t>英雄碎片</t>
  </si>
  <si>
    <t>仙器ID</t>
  </si>
  <si>
    <t>Tên</t>
  </si>
  <si>
    <t>Anh hùng tiến giai</t>
  </si>
  <si>
    <t>Vật liệu</t>
  </si>
  <si>
    <t>Có thể dùng tại anh hùng tiến giai, đột phá đẳng cấp hạn mức cao nhất</t>
  </si>
  <si>
    <t>Thăng cấp pháp bảo</t>
  </si>
  <si>
    <t>Pháp bảo thăng cấp lúc tiêu hao vật liệu</t>
  </si>
  <si>
    <t>Thăng cấp pháp bảo thuộc tính lúc tiêu hao vật liệu; Nhưng tại vận doanh trong hoạt động thu hoạch</t>
  </si>
  <si>
    <t>Tỉ ấn đúc lại</t>
  </si>
  <si>
    <t>Có thể dùng tại tỉ ấn đúc lại, tỉ ấn kỹ năng đúc lại, kĩ năng thiên phú thăng cấp chờ</t>
  </si>
  <si>
    <t>Anh hùng thăng tinh</t>
  </si>
  <si>
    <t>Anh hùng thăng &lt;2467 12&gt; Tinh lúc cần tiêu hao vật liệu</t>
  </si>
  <si>
    <t>Thăng cấp pháp bảo kỹ năng</t>
  </si>
  <si>
    <t>Thăng cấp pháp bảo kỹ năng đẳng cấp lúc tiêu hao vật liệu</t>
  </si>
  <si>
    <t>Thần trang tẩy luyện</t>
  </si>
  <si>
    <t>Thần trang tẩy luyện lúc tiêu hao vật liệu</t>
  </si>
  <si>
    <t>Thiên giới cầu nguyện</t>
  </si>
  <si>
    <t>Rút ra thần trang lúc tiêu hao vật liệu</t>
  </si>
  <si>
    <t>Thần trang hợp thành</t>
  </si>
  <si>
    <t>Nhưng tại 【 Thần trang cửa hàng 】 Bên trong hối đoái thần trang</t>
  </si>
  <si>
    <t>Đồ đằng thăng cấp</t>
  </si>
  <si>
    <t>Thăng cấp 【 Người 】 Tộc đồ đằng chú có thể tài liệu cần thiết</t>
  </si>
  <si>
    <t>Thăng cấp 【 Tiên 】 Tộc đồ đằng chú có thể tài liệu cần thiết</t>
  </si>
  <si>
    <t>Thăng cấp 【 Yêu 】 Tộc đồ đằng chú có thể tài liệu cần thiết</t>
  </si>
  <si>
    <t>Thăng cấp 【 Ma 】 Tộc đồ đằng chú có thể tài liệu cần thiết</t>
  </si>
  <si>
    <t>Thăng cấp 【 Thần 】 Tộc đồ đằng chú có thể tài liệu cần thiết</t>
  </si>
  <si>
    <t>Đồ đằng tiến giai</t>
  </si>
  <si>
    <t>Toàn hệ đồ đằng tiến giai lúc tiêu hao vật liệu</t>
  </si>
  <si>
    <t>Anh hùng đổi thành</t>
  </si>
  <si>
    <t>Nhưng tại hiểu số mệnh con người xem bên trong tiến hành anh hùng đổi thành</t>
  </si>
  <si>
    <t>Anh hùng triệu hoán</t>
  </si>
  <si>
    <t>Nhưng tại hiểu số mệnh con người xem bên trong triệu hoán chỉ định trận doanh anh hùng</t>
  </si>
  <si>
    <t>Thương phẩm hối đoái</t>
  </si>
  <si>
    <t>Nhưng tại hiểu số mệnh con người trong cửa hàng hối đoái anh hùng</t>
  </si>
  <si>
    <t>&lt;2467 10&gt; Tinh trở lên anh hùng đổi thành tài liệu cần thiết</t>
  </si>
  <si>
    <t>Hợp thành làn da</t>
  </si>
  <si>
    <t>Nhưng tại làn da trong cửa hàng hối đoái làn da</t>
  </si>
  <si>
    <t>Pháp bảo tinh luyện</t>
  </si>
  <si>
    <t>Pháp bảo tinh luyện lúc tiêu hao vật liệu</t>
  </si>
  <si>
    <t>Thú hồn tẩy luyện</t>
  </si>
  <si>
    <t>Có thể dùng tại thú hồn tẩy luyện thuộc tính</t>
  </si>
  <si>
    <t>Thú hồn cầu nguyện</t>
  </si>
  <si>
    <t>Có thể dùng tại tượng thần hoàng cầu nguyện</t>
  </si>
  <si>
    <t>Có thể dùng tại tượng thần huyền cầu nguyện</t>
  </si>
  <si>
    <t>Có thể dùng tại tượng thần cầu nguyện</t>
  </si>
  <si>
    <t>Có thể dùng tại tượng thần trời cầu nguyện</t>
  </si>
  <si>
    <t>Thú hồn cửa hàng</t>
  </si>
  <si>
    <t>Có thể dùng tại thú hồn cửa hàng hối đoái thú hồn</t>
  </si>
  <si>
    <t>Có thể dùng tại nhân tộc anh hùng Tinh cấp tăng lên</t>
  </si>
  <si>
    <t>Có thể dùng tại Tiên Tộc anh hùng Tinh cấp tăng lên</t>
  </si>
  <si>
    <t>Có thể dùng tại yêu tộc anh hùng Tinh cấp tăng lên</t>
  </si>
  <si>
    <t>Có thể dùng tại Thần tộc anh hùng Tinh cấp tăng lên</t>
  </si>
  <si>
    <t>Có thể dùng tại ma tộc anh hùng Tinh cấp tăng lên</t>
  </si>
  <si>
    <t>Hạn lúc lui trở về</t>
  </si>
  <si>
    <t>Có thể dùng tại hạn lúc anh hùng lui trở về tiêu hao; Nhưng tại vận doanh trong hoạt động thu hoạch</t>
  </si>
  <si>
    <t>Có thể dùng tại thú hồn cầu nguyện</t>
  </si>
  <si>
    <t>Anh hùng lui trở về</t>
  </si>
  <si>
    <t>Có thể dùng tại anh hùng lui trở về tiêu hao</t>
  </si>
  <si>
    <t>Trang bị giám định</t>
  </si>
  <si>
    <t>Dùng cho phổ thông trang bị giám định tiêu hao, sau khi giám định phổ thông trang bị biến thành tinh anh trang bị</t>
  </si>
  <si>
    <t>Trang bị đúc lại</t>
  </si>
  <si>
    <t>Dùng cho mang theo chủng tộc ấn ký tinh anh trang bị tiến hành ấn ký đúc lại</t>
  </si>
  <si>
    <t>Trang bị thác ấn</t>
  </si>
  <si>
    <t>Dùng cho không mang theo chủng tộc ấn ký tinh anh trang bị thác ấn tăng thêm ấn ký, thác ấn xác suất thành công 100%</t>
  </si>
  <si>
    <t>Động thiên phúc địa thăng cấp</t>
  </si>
  <si>
    <t>Dùng cho ta động thiên phúc địa thăng cấp, nhưng tại cái khác động thiên phúc địa treo máy cướp đoạt thu hoạch được</t>
  </si>
  <si>
    <t>Tiên Khí thăng cấp</t>
  </si>
  <si>
    <t>Dùng cho Tiên Khí thăng cấp tiêu hao</t>
  </si>
  <si>
    <t>Tiên Khí mảnh vỡ hối đoái</t>
  </si>
  <si>
    <t>Dùng cho cửa hàng Thiên cấp Tiên Khí mảnh vỡ hối đoái, nhưng tại động thiên phúc địa bên trong sản xuất</t>
  </si>
  <si>
    <t>PVP Thuộc tính thăng cấp</t>
  </si>
  <si>
    <t>Dùng cho tiên minh PVP Thuộc tính thăng cấp, nhưng tại tiên minh trong bảo khố hối đoái thu hoạch được</t>
  </si>
  <si>
    <t>PVP Kỹ năng thăng cấp</t>
  </si>
  <si>
    <t>Dùng cho tiên minh PVP Kỹ năng thăng cấp, nhưng tại tiên minh trong bảo khố hối đoái thu hoạch được</t>
  </si>
  <si>
    <t>Chiêu mộ anh hùng</t>
  </si>
  <si>
    <t>Có thể dùng tại &lt;2608 Thông linh phù thuỷ &gt; Trong hoạt động tiến hành anh hùng chiêu mộ</t>
  </si>
  <si>
    <t>Thú hồn tiến giai</t>
  </si>
  <si>
    <t>Dùng cho cơ sở thú hồn tiến giai tiêu hao</t>
  </si>
  <si>
    <t>Dùng cho kỹ năng thú hồn tiến giai tiêu hao</t>
  </si>
  <si>
    <t>Cột vị giải tỏa</t>
  </si>
  <si>
    <t>Dùng cho thú hồn cộng minh hệ thống bên trong cột vị giải tỏa</t>
  </si>
  <si>
    <t>Thiên phú học tập</t>
  </si>
  <si>
    <t>Có thể học tập thiên phú  [Sơ cấp thần ân ]</t>
  </si>
  <si>
    <t>Có thể học tập thiên phú  [Sơ cấp pháp liền ]</t>
  </si>
  <si>
    <t>Có thể học tập thiên phú  [Sơ cấp giáp dày ]</t>
  </si>
  <si>
    <t>Có thể học tập thiên phú  [Sơ cấp sạch sẽ ]</t>
  </si>
  <si>
    <t>Có thể học tập thiên phú  [Sơ cấp tự hạn chế ]</t>
  </si>
  <si>
    <t>Có thể học tập thiên phú  [Sơ cấp kháng khống ]</t>
  </si>
  <si>
    <t>Có thể học tập thiên phú  [Sơ cấp né tránh ]</t>
  </si>
  <si>
    <t>Có thể học tập thiên phú  [Sơ cấp khép lại ]</t>
  </si>
  <si>
    <t>Có thể học tập thiên phú  [Sơ cấp miễn tổn thương ]</t>
  </si>
  <si>
    <t>Có thể học tập thiên phú  [Sơ cấp thần tốc ]</t>
  </si>
  <si>
    <t>Có thể học tập thiên phú  [Sơ cấp trí tuệ ]</t>
  </si>
  <si>
    <t>Có thể học tập thiên phú  [Sơ cấp thần võ ]</t>
  </si>
  <si>
    <t>Có thể học tập thiên phú  [Sơ cấp truy kích ]</t>
  </si>
  <si>
    <t>Có thể học tập thiên phú  [Sơ cấp bạo tập ]</t>
  </si>
  <si>
    <t>Có thể học tập thiên phú  [Sơ cấp nổi giận ]</t>
  </si>
  <si>
    <t>Có thể học tập thiên phú  [Sơ cấp cuồng bạo ]</t>
  </si>
  <si>
    <t>Có thể học tập thiên phú  [Sơ cấp máu giận ]</t>
  </si>
  <si>
    <t>Có thể học tập thiên phú  [Sơ cấp che chở ]</t>
  </si>
  <si>
    <t>Có thể học tập thiên phú  [Sơ cấp chiến rống ]</t>
  </si>
  <si>
    <t>Có thể học tập thiên phú  [Sơ cấp dịch bệnh ]</t>
  </si>
  <si>
    <t>Có thể học tập thiên phú  [Sơ cấp câu hồn ]</t>
  </si>
  <si>
    <t>Có thể học tập thiên phú  [Sơ cấp xua tan ]</t>
  </si>
  <si>
    <t>Có thể học tập thiên phú  [Sơ cấp mãnh kích ]</t>
  </si>
  <si>
    <t>Có thể học tập thiên phú  [Sơ cấp trào phúng ]</t>
  </si>
  <si>
    <t>Có thể học tập thiên phú  [Sơ cấp giảm tốc ]</t>
  </si>
  <si>
    <t>Có thể học tập thiên phú  [Sơ cấp hi sinh ]</t>
  </si>
  <si>
    <t>Có thể học tập thiên phú  [Sơ cấp áp chế ]</t>
  </si>
  <si>
    <t>Có thể học tập thiên phú  [Sơ cấp nhắm chuẩn ]</t>
  </si>
  <si>
    <t>Có thể học tập thiên phú  [Sơ cấp tái sinh ]</t>
  </si>
  <si>
    <t>Có thể học tập thiên phú  [Sơ cấp trùng sinh ]</t>
  </si>
  <si>
    <t>Có thể học tập thiên phú  [Sơ cấp dừng bạo ]</t>
  </si>
  <si>
    <t>Có thể học tập thiên phú  [Sơ cấp ma giáp ]</t>
  </si>
  <si>
    <t>Có thể học tập thiên phú  [Sơ cấp chiến giáp ]</t>
  </si>
  <si>
    <t>Có thể học tập thiên phú  [Sơ cấp nghị nặng ]</t>
  </si>
  <si>
    <t>Có thể học tập thiên phú  [Sơ cấp xuyên thấu ]</t>
  </si>
  <si>
    <t>Có thể học tập thiên phú  [Sơ cấp khống tràng ]</t>
  </si>
  <si>
    <t>Có thể học tập thiên phú  [Sơ cấp vật liền ]</t>
  </si>
  <si>
    <t>Có thể học tập thiên phú  [Sơ cấp hút máu ]</t>
  </si>
  <si>
    <t>Có thể học tập thiên phú  [Sơ cấp viện hộ ]</t>
  </si>
  <si>
    <t>Có thể học tập thiên phú  [Sơ cấp phản tổn thương ]</t>
  </si>
  <si>
    <t>Có thể học tập thiên phú  [Sơ cấp dũng mãnh ]</t>
  </si>
  <si>
    <t>Có thể học tập thiên phú  [Sơ cấp hiểu ý ]</t>
  </si>
  <si>
    <t>Có thể học tập thiên phú  [Sơ cấp lưu động ]</t>
  </si>
  <si>
    <t>Có thể học tập thiên phú  [Sơ cấp tránh hiểm ]</t>
  </si>
  <si>
    <t>Có thể học tập thiên phú  [Sơ cấp hồi hồn ]</t>
  </si>
  <si>
    <t>Có thể học tập thiên phú  [Sơ cấp diệt hồn ]</t>
  </si>
  <si>
    <t>Trang bị phụ ma</t>
  </si>
  <si>
    <t>Phụ ma vật liệu</t>
  </si>
  <si>
    <t>Nhưng vì tinh anh trang bị phụ ma &lt;2407 Lôi đình &gt; Hiệu quả, anh hùng mặc &lt;2405 2/4&gt; Kiện phụ ma &lt;2407 Lôi đình &gt; Hiệu quả trang bị, nhưng kích hoạt cộng minh hiệu quả</t>
  </si>
  <si>
    <t>Nhưng vì tinh anh trang bị phụ ma &lt;2407 Tẩm bổ &gt; Hiệu quả, anh hùng mặc &lt;2405 2/4&gt; Kiện phụ ma &lt;2407 Tẩm bổ &gt; Hiệu quả trang bị, nhưng kích hoạt cộng minh hiệu quả</t>
  </si>
  <si>
    <t>Nhưng vì tinh anh trang bị phụ ma &lt;2407 Đạp gió &gt; Hiệu quả, anh hùng mặc &lt;2405 2/4&gt; Kiện phụ ma &lt;2407 Đạp gió &gt; Hiệu quả trang bị, nhưng kích hoạt cộng minh hiệu quả</t>
  </si>
  <si>
    <t>Nhưng vì tinh anh trang bị phụ ma &lt;2407 Sáng tạo càng &gt; Hiệu quả, anh hùng mặc &lt;2405 2/4&gt; Kiện phụ ma &lt;2407 Sáng tạo càng &gt; Hiệu quả trang bị, nhưng kích hoạt cộng minh hiệu quả</t>
  </si>
  <si>
    <t>Nhưng vì tinh anh trang bị phụ ma &lt;2407 Cứng cỏi &gt; Hiệu quả, anh hùng mặc &lt;2405 2/4&gt; Kiện phụ ma &lt;2407 Cứng cỏi &gt; Hiệu quả trang bị, nhưng kích hoạt cộng minh hiệu quả</t>
  </si>
  <si>
    <t>Thu hoạch gói quà ban thưởng</t>
  </si>
  <si>
    <t>Gói quà</t>
  </si>
  <si>
    <t>Sử dụng có thể đạt được phối trí tất cả ban thưởng</t>
  </si>
  <si>
    <t>Sử dụng sau, có thể đạt được trở xuống ban thưởng: Nguyên bảo &lt;2605 100&gt;, kim tệ &lt;2605  5&gt; Vạn cùng &lt;2608 Tầm bảo quyển &gt;&lt;2605  5&gt; Cái</t>
  </si>
  <si>
    <t>Sử dụng sau, có thể đạt được trở xuống ban thưởng: Nguyên bảo &lt;2605 150&gt;, kim tệ &lt;2605  5&gt; Vạn cùng &lt;2608 Cao cấp điểm tướng quyển &gt;&lt;2605  4&gt; Cái</t>
  </si>
  <si>
    <t>Sử dụng sau, có thể đạt được trở xuống ban thưởng: Nguyên bảo &lt;2605 150&gt;, kim tệ &lt;2605  5&gt; Vạn cùng &lt;2608 Tiến giai thạch &gt;&lt;2605  500&gt; Cái</t>
  </si>
  <si>
    <t>Sử dụng sau, có thể đạt được trở xuống ban thưởng: Nguyên bảo &lt;2605 200&gt;, kim tệ &lt;2605  10&gt; Vạn cùng &lt;2608 Tầm bảo quyển &gt;&lt;2605  5&gt; Cái</t>
  </si>
  <si>
    <t>Sử dụng sau, có thể đạt được trở xuống ban thưởng: Nguyên bảo &lt;2605 200&gt;, kim tệ &lt;2605  10&gt; Vạn cùng &lt;2608 Tầm bảo quyển &gt;&lt;2605  10&gt; Cái</t>
  </si>
  <si>
    <t>Sử dụng sau, có thể đạt được trở xuống ban thưởng: Nguyên bảo &lt;2605 300&gt;, kim tệ &lt;2605  10&gt; Vạn cùng &lt;2608 Cao cấp điểm tướng quyển &gt;&lt;2605  10&gt; Cái</t>
  </si>
  <si>
    <t>Sử dụng sau, có thể đạt được trở xuống ban thưởng: Nguyên bảo &lt;2605 300&gt;, kim tệ &lt;2605  10&gt; Vạn cùng &lt;2608 5 Tinh ngẫu nhiên anh hùng mảnh vỡ &gt;&lt;2605  50&gt; Cái</t>
  </si>
  <si>
    <t>Sử dụng sau, nhưng tại: &lt;2608 Đầu đường đường bá &gt; Cùng &lt;2608 Đầu đường truyền thuyết &gt; Hai khoản làn da bên trong, lựa chọn trong đó một cái thu hoạch được</t>
  </si>
  <si>
    <t>Sử dụng sau, có thể đạt được trở xuống ban thưởng: &lt;2408 Trời · Phiên Thiên Ấn &gt;*1, &lt;2407 · Phiên Thiên Ấn &gt;*1, &lt;2406  Huyền · Phiên Thiên Ấn &gt;*1 Cùng &lt;2405 Hoàng · Phiên Thiên Ấn &gt;*1</t>
  </si>
  <si>
    <t>Sử dụng sau, có thể đạt được trở xuống ban thưởng: &lt;2408 Trời · Thanh Long rơi &gt;*1, &lt;2407 · Thanh Long rơi &gt;*1, &lt;2406  Huyền · Thanh Long rơi &gt;*1 Cùng &lt;2405 Hoàng · Thanh Long rơi &gt;*1</t>
  </si>
  <si>
    <t>Sử dụng sau, có thể đạt được trở xuống ban thưởng: &lt;2408 Trời · Hoa sen bảo sách &gt;*1, &lt;2407 · Hoa sen bảo sách &gt;*1, &lt;2406  Huyền · Hoa sen bảo sách &gt;*1 Cùng &lt;2405 Hoàng · Hoa sen bảo sách &gt;*1</t>
  </si>
  <si>
    <t>Sử dụng sau, có thể đạt được trở xuống ban thưởng: &lt;2408 Trời · Trảm Tiên Phi Đao &gt;*1, &lt;2407 · Trảm Tiên Phi Đao &gt;*1, &lt;2406  Huyền · Trảm Tiên Phi Đao &gt;*1 Cùng &lt;2405 Hoàng · Trảm Tiên Phi Đao &gt;*1</t>
  </si>
  <si>
    <t>Sử dụng sau, có thể đạt được trở xuống ban thưởng: &lt;2408 Trời · Long Vương cái sọt &gt;*1, &lt;2407 · Long Vương cái sọt &gt;*1, &lt;2406  Huyền · Long Vương cái sọt &gt;*1 Cùng &lt;2405 Hoàng · Long Vương cái sọt &gt;*1</t>
  </si>
  <si>
    <t>Sử dụng sau, có thể đạt được trở xuống ban thưởng: &lt;2408 Trời · Tinh kim đồng tiền &gt;*1, &lt;2407 · Tinh kim đồng tiền &gt;*1, &lt;2406  Huyền · Tinh kim đồng tiền &gt;*1 Cùng &lt;2405 Hoàng · Tinh kim đồng tiền &gt;*1</t>
  </si>
  <si>
    <t>Sử dụng sau, có thể đạt được trở xuống ban thưởng: &lt;2408 Trời · Lửa anh thương &gt;*1, &lt;2407 · Lửa anh thương &gt;*1, &lt;2406  Huyền · Lửa anh thương &gt;*1 Cùng &lt;2405 Hoàng · Lửa anh thương &gt;*1</t>
  </si>
  <si>
    <t>Sử dụng sau, có thể đạt được trở xuống ban thưởng: &lt;2408 Trời · Thái hư thần giáp &gt;*1, &lt;2407 · Thái hư thần giáp &gt;*1, &lt;2406  Huyền · Thái hư thần giáp &gt;*1 Cùng &lt;2405 Hoàng · Thái hư thần giáp &gt;*1</t>
  </si>
  <si>
    <t>Sử dụng sau, có thể đạt được trở xuống ban thưởng: &lt;2408 Trời · Đông Hoàng Chung &gt;*1, &lt;2407 · Đông Hoàng Chung &gt;*1, &lt;2406  Huyền · Đông Hoàng Chung &gt;*1 Cùng &lt;2405 Hoàng · Đông Hoàng Chung &gt;*1</t>
  </si>
  <si>
    <t>Sử dụng sau, có thể đạt được trở xuống ban thưởng: &lt;2408 Trời · Lạc Nhật Cung &gt;*1, &lt;2407 · Lạc Nhật Cung &gt;*1, &lt;2406  Huyền · Lạc Nhật Cung &gt;*1 Cùng &lt;2405 Hoàng · Lạc Nhật Cung &gt;*1</t>
  </si>
  <si>
    <t>Sử dụng sau, có thể đạt được trở xuống ban thưởng: &lt;2408 Trời · Bên trên bảo thấm kim bá &gt;*1, &lt;2407 · Bên trên bảo thấm kim bá &gt;*1, &lt;2406  Huyền · Bên trên bảo thấm kim bá &gt;*1 Cùng &lt;2405 Hoàng · Bên trên bảo thấm kim bá &gt;*1</t>
  </si>
  <si>
    <t>Sử dụng sau, có thể đạt được trở xuống ban thưởng: &lt;2408 Trời · Áng mây phiêu &gt;*1, &lt;2407 · Áng mây phiêu &gt;*1, &lt;2406  Huyền · Áng mây phiêu &gt;*1 Cùng &lt;2405 Hoàng · Áng mây phiêu &gt;*1</t>
  </si>
  <si>
    <t>Sử dụng sau, có thể đạt được trở xuống ban thưởng: &lt;2408 Trời · Thần Nông đỉnh &gt;*1, &lt;2407 · Thần Nông đỉnh &gt;*1, &lt;2406  Huyền · Thần Nông đỉnh &gt;*1 Cùng &lt;2405 Hoàng · Thần Nông đỉnh &gt;*1</t>
  </si>
  <si>
    <t>Sử dụng sau, có thể đạt được trở xuống ban thưởng: &lt;2408 Trời · Vong ưu &gt;*1, &lt;2407 · Vong ưu &gt;*1, &lt;2406  Huyền · Vong ưu &gt;*1 Cùng &lt;2405 Hoàng · Vong ưu &gt;*1</t>
  </si>
  <si>
    <t>Sử dụng sau, có thể đạt được trở xuống ban thưởng: &lt;2408 Trời · Ánh trăng &gt;*1, &lt;2407 · Ánh trăng &gt;*1, &lt;2406  Huyền · Ánh trăng &gt;*1 Cùng &lt;2405 Hoàng · Ánh trăng &gt;*1</t>
  </si>
  <si>
    <t>Sử dụng sau, có thể đạt được trở xuống ban thưởng: &lt;2408 Trời · Lão Long bố mưa &gt;*1, &lt;2407 · Lão Long bố mưa &gt;*1, &lt;2406  Huyền · Lão Long bố mưa &gt;*1 Cùng &lt;2405 Hoàng · Lão Long bố mưa &gt;*1</t>
  </si>
  <si>
    <t>Sử dụng sau, có thể đạt được trở xuống ban thưởng: &lt;2408 Trời · Hỗn Thiên Lăng &gt;*1, &lt;2407 · Hỗn Thiên Lăng &gt;*1, &lt;2406  Huyền · Hỗn Thiên Lăng &gt;*1 Cùng &lt;2405 Hoàng · Hỗn Thiên Lăng &gt;*1</t>
  </si>
  <si>
    <t>Sử dụng sau, có thể đạt được trở xuống ban thưởng: &lt;2408 Trời · Hổ phách đao &gt;*1, &lt;2407 · Hổ phách đao &gt;*1, &lt;2406  Huyền · Hổ phách đao &gt;*1 Cùng &lt;2405 Hoàng · Hổ phách đao &gt;*1</t>
  </si>
  <si>
    <t>Sử dụng có thể đạt được phối trí nhiều loại ban thưởng bên trong một loại, lại cần căn cứ phối trí quyền trọng giá trị tiến hành ngẫu nhiên</t>
  </si>
  <si>
    <t>Nhưng ngẫu nhiên thu hoạch được &lt;2608 Kim tệ &gt; Hoặc &lt;2608 Anh hùng kinh nghiệm &gt; Ban thưởng</t>
  </si>
  <si>
    <t>Nhưng ngẫu nhiên thu hoạch được &lt;2608 5 Tinh Vân Trung Tử &gt; Hoặc &lt;2608 5 Tinh Hoàng Tuyền &gt; Mảnh vỡ</t>
  </si>
  <si>
    <t>Nhưng ngẫu nhiên thu hoạch được &lt;2608 Mây lục pháp trượng &gt;, &lt;2608 Mây lục pháp bào &gt;, &lt;2608 Mây lục mào đầu &gt; Hoặc &lt;2608 Mây lục ủng ngắn &gt;</t>
  </si>
  <si>
    <t>Nhưng ngẫu nhiên thu hoạch được &lt;2608 Bạch giả pháp trượng &gt;, &lt;2608 Bạch giả áo choàng &gt;, &lt;2608 Bạch giả mào đầu &gt; Hoặc &lt;2608 Bạch giả ủng ngắn &gt;</t>
  </si>
  <si>
    <t>Nhưng ngẫu nhiên thu hoạch được Huyền cấp thú hồn</t>
  </si>
  <si>
    <t>Nhưng ngẫu nhiên thu hoạch được &lt;2608 Cao cấp điểm tướng quyển *2&gt;, &lt;2608 Cao cấp điểm tướng quyển *5&gt; Hoặc &lt;2608 Cao cấp điểm tướng quyển *10&gt;</t>
  </si>
  <si>
    <t>Ngẫu nhiên thu hoạch được một loại di vật</t>
  </si>
  <si>
    <t>Nhưng ngẫu nhiên thu hoạch được &lt;2608 Cao cấp điểm tướng quyển *2&gt;, &lt;2608 Cao cấp điểm tướng quyển *5&gt; Hoặc &lt;2608 Mệnh ký *1&gt;</t>
  </si>
  <si>
    <t>Nhưng ngẫu nhiên thu hoạch được số lượng nhất định ngũ tinh ngẫu nhiên anh hùng mảnh vỡ</t>
  </si>
  <si>
    <t>Nhưng ngẫu nhiên thu hoạch được Hoàng cấp thú hồn</t>
  </si>
  <si>
    <t>Nhưng ngẫu nhiên thu hoạch được Địa cấp thú hồn</t>
  </si>
  <si>
    <t>Nhưng ngẫu nhiên thu hoạch được số lượng nhất định mạ vàng phấn</t>
  </si>
  <si>
    <t>Nhưng ngẫu nhiên thu hoạch được một cái triện ấn</t>
  </si>
  <si>
    <t>Nhưng ngẫu nhiên thu hoạch được Thiên cấp thú hồn</t>
  </si>
  <si>
    <t>Nhưng ngẫu nhiên thu hoạch được &lt;2608 Tiến giai thạch *300&gt;, &lt;2608 Hạo dương thạch *1&gt;, &lt;2608 Mạ vàng phấn *200&gt;, &lt;2608 Hổ phương ấn *1&gt;, &lt;2608 Ngũ tinh ngẫu nhiên anh hùng mảnh vỡ *3&gt; Hoặc &lt;2608 Tứ tinh ngẫu nhiên anh hùng mảnh vỡ *30&gt;</t>
  </si>
  <si>
    <t>Nhưng ngẫu nhiên thu hoạch được &lt;2608 Tiến giai thạch *1000&gt;, &lt;2608 Mệnh ký *1&gt;, &lt;2608 Mạ vàng phấn *800&gt; Hoặc &lt;2608 Bạch Trạch ấn *1&gt;</t>
  </si>
  <si>
    <t>Nhưng ngẫu nhiên thu hoạch được &lt;2608 Hướng nghi pháp trượng *1&gt;, &lt;2608 Hướng nghi pháp bào *1&gt;, &lt;2608 Hướng nghi mào đầu *1&gt;, &lt;2608 Hướng nghi ủng ngắn *1&gt;</t>
  </si>
  <si>
    <t>Nhưng ngẫu nhiên thu hoạch được một người Tiên Yêu tam hệ anh hùng</t>
  </si>
  <si>
    <t>Nhưng ngẫu nhiên thu hoạch được một cái Thần Ma anh hùng anh hùng</t>
  </si>
  <si>
    <t>Nhưng từ &lt;2608 Thiên Địa Huyền Hoàng &gt; Phẩm chất thú hồn ban thưởng bên trong ngẫu nhiên thu hoạch được 1 Loại thú hồn</t>
  </si>
  <si>
    <t>Nhưng từ &lt;2608 Địa Huyền hoàng &gt; Phẩm chất thú hồn ban thưởng bên trong ngẫu nhiên thu hoạch được 1 Loại thú hồn</t>
  </si>
  <si>
    <t>Nhưng từ &lt;2608 Huyền Hoàng &gt; Phẩm chất thú hồn ban thưởng bên trong ngẫu nhiên thu hoạch được 1 Loại thú hồn</t>
  </si>
  <si>
    <t>Nhưng từ &lt;2608 Hoàng &gt; Phẩm chất thú hồn ban thưởng bên trong ngẫu nhiên thu hoạch được 1 Loại thú hồn</t>
  </si>
  <si>
    <t>Nhưng từ &lt;2608 Trời &gt; Phẩm chất thú hồn ban thưởng bên trong ngẫu nhiên thu hoạch được 1 Loại thú hồn</t>
  </si>
  <si>
    <t>Nhưng từ &lt;2608 Thiên địa &gt; Phẩm chất thú hồn ban thưởng bên trong ngẫu nhiên thu hoạch được 1 Loại thú hồn</t>
  </si>
  <si>
    <t>Nhưng ngẫu nhiên thu hoạch được &lt;2608 Tiến giai thạch *100&gt;, &lt;2608 Phổ thông tầm bảo khoán *5&gt;, &lt;2608 Mạ vàng phấn *200&gt;, &lt;2608 Ngũ tinh ngẫu nhiên anh hùng mảnh vỡ *1&gt; Hoặc &lt;2608 Tứ tinh ngẫu nhiên anh hùng mảnh vỡ *10&gt;</t>
  </si>
  <si>
    <t>Nhưng ngẫu nhiên thu hoạch được một kiện đỏ 1 Tinh trang bị</t>
  </si>
  <si>
    <t>Nhưng ngẫu nhiên thu hoạch được một kiện đỏ 2 Tinh trang bị</t>
  </si>
  <si>
    <t>Nhưng ngẫu nhiên thu hoạch được một kiện thông dụng Tiên Khí</t>
  </si>
  <si>
    <t>Nhưng ngẫu nhiên thu hoạch được một kiện đỏ 3 Tinh trang bị</t>
  </si>
  <si>
    <t>Có thể tự chọn một ngón tay định cấp thấp phụ ma vật liệu</t>
  </si>
  <si>
    <t>Có thể tự chọn một ngón tay định trung cấp phụ ma vật liệu</t>
  </si>
  <si>
    <t>Có thể tự chọn một ngón tay định cao cấp phụ ma vật liệu</t>
  </si>
  <si>
    <t>Nhưng ngẫu nhiên thu hoạch được một kiện Thiên cấp chuyên môn Tiên Khí mảnh vỡ</t>
  </si>
  <si>
    <t>Nhưng tại Tiên Khí bên trong ngẫu nhiên thu hoạch được một kiện &lt;2408 Trời &gt;, &lt;2407 &gt;, &lt;2406  Huyền &gt; Cấp Tiên Khí mảnh vỡ</t>
  </si>
  <si>
    <t>Nhưng ngẫu nhiên thu hoạch được trở xuống trong đó một loại ban thưởng: &lt;2408 Phong thần khiến *1&gt;, &lt;2408 Phong thần khiến *2&gt;, &lt;2408 Phong thần khiến *3&gt; Hoặc &lt;2408 5 Tinh ngẫu nhiên mảnh vỡ *5&gt;</t>
  </si>
  <si>
    <t>Nhưng ngẫu nhiên thu hoạch được một cái Thiên cấp hoặc Địa cấp thú hồn</t>
  </si>
  <si>
    <t>Nhưng ngẫu nhiên thu hoạch được một kiện chuyên môn Tiên Khí</t>
  </si>
  <si>
    <t>Nhưng ngẫu nhiên thu hoạch được một mảnh lá cây</t>
  </si>
  <si>
    <t>Nhưng ngẫu nhiên thu hoạch được cầm tinh khiến *1, Thánh Thú khiến *1, cùng Thánh Thú khiến *2</t>
  </si>
  <si>
    <t>Sử dụng sau nhưng bắn ra lựa chọn bảng, người chơi nhưng tự hành lựa chọn thu hoạch được trong đó 1 Loại hoặc nhiều loại ban thưởng</t>
  </si>
  <si>
    <t>Có thể tự chọn một ngón tay định nhân tộc anh hùng</t>
  </si>
  <si>
    <t>Có thể tự chọn một ngón tay định Tiên Tộc anh hùng</t>
  </si>
  <si>
    <t>Có thể tự chọn một ngón tay định yêu tộc anh hùng</t>
  </si>
  <si>
    <t>Có thể tự chọn một ngón tay định Thần tộc anh hùng</t>
  </si>
  <si>
    <t>Có thể tự chọn một ngón tay định ma tộc anh hùng</t>
  </si>
  <si>
    <t>Có thể tự chọn một cái tùy ý chỉ định anh hùng</t>
  </si>
  <si>
    <t>Có thể tự chọn một ngón tay định Thần Ma anh hùng</t>
  </si>
  <si>
    <t>Có thể tự chọn một ngón tay định triện ấn</t>
  </si>
  <si>
    <t>Có thể tự chọn một ngón tay định Địa cấp thú hồn</t>
  </si>
  <si>
    <t>Nhưng ngẫu nhiên thu hoạch được một cái Thiên cấp thú hồn</t>
  </si>
  <si>
    <t>Có thể tự chọn một ngón tay định Thiên cấp thú hồn</t>
  </si>
  <si>
    <t>Có thể tự chọn một ngón tay định quán ma chi bình</t>
  </si>
  <si>
    <t>Có thể tự chọn một ngón tay định một loại di vật</t>
  </si>
  <si>
    <t>Có thể tự chọn một kiện &lt;2608 Quỷ Vương trường kiếm &gt;, &lt;2608 Quỷ Vương Chiến Giáp &gt;, &lt;2608 Quỷ Vương chiến nón trụ &gt; Hoặc &lt;2608 Quỷ Vương giày chiến &gt;</t>
  </si>
  <si>
    <t>Có thể tự chọn một ngón tay định phẩm cấp hồn đan</t>
  </si>
  <si>
    <t>Có thể tự chọn một ngón tay định Thiên cấp kỹ năng thú hồn</t>
  </si>
  <si>
    <t>Có thể tự chọn một ngón tay định anh hùng</t>
  </si>
  <si>
    <t>Có thể tự chọn một ngón tay định trang bị</t>
  </si>
  <si>
    <t>Có thể tự chọn một ngón tay định thông dụng Tiên Khí</t>
  </si>
  <si>
    <t>Có thể tự chọn một ngón tay định chuyên môn Tiên Khí</t>
  </si>
  <si>
    <t>Nhưng ngẫu nhiên thu hoạch được một cái thông dụng Tiên Khí mảnh vỡ</t>
  </si>
  <si>
    <t>Có thể tự chọn một ngón tay định nhân tộc chuyên môn Tiên Khí</t>
  </si>
  <si>
    <t>Có thể tự chọn một ngón tay định Tiên Tộc chuyên môn Tiên Khí</t>
  </si>
  <si>
    <t>Có thể tự chọn một ngón tay định yêu tộc chuyên môn Tiên Khí</t>
  </si>
  <si>
    <t>Có thể tự chọn một ngón tay định Thần tộc chuyên môn Tiên Khí</t>
  </si>
  <si>
    <t>Có thể tự chọn một ngón tay định ma tộc chuyên môn Tiên Khí</t>
  </si>
  <si>
    <t>Có thể tự chọn một ngón tay định nhân tộc chuyên môn Tiên Khí mảnh vỡ</t>
  </si>
  <si>
    <t>Có thể tự chọn một ngón tay định Tiên Tộc chuyên môn Tiên Khí mảnh vỡ</t>
  </si>
  <si>
    <t>Có thể tự chọn một ngón tay định yêu tộc chuyên môn Tiên Khí mảnh vỡ</t>
  </si>
  <si>
    <t>Có thể tự chọn một ngón tay định Thần tộc chuyên môn Tiên Khí mảnh vỡ</t>
  </si>
  <si>
    <t>Có thể tự chọn một ngón tay định ma tộc chuyên môn Tiên Khí mảnh vỡ</t>
  </si>
  <si>
    <t>Có thể tự chọn một chủng tộc huy chương</t>
  </si>
  <si>
    <t>Có thể tự chọn một ngón tay định thông dụng Tiên Khí mảnh vỡ gói quà</t>
  </si>
  <si>
    <t>Có thể tự chọn một ngón tay định bánh Trung thu</t>
  </si>
  <si>
    <t>Thu về Bàn Cổ Tiên Khí 【 Thái hư thần giáp 】, Hồng hài nhi Tiên Khí 【 Lửa anh thương 】 Lúc trả về gói quà, nhưng một lần nữa tự do một cái cái khác chuyên môn Tiên Khí</t>
  </si>
  <si>
    <t>Có thể tự chọn một ngón tay định anh hùng làn da mảnh vỡ</t>
  </si>
  <si>
    <t>Có thể tự chọn một ngón tay định anh hùng Tiên Khí mảnh vỡ</t>
  </si>
  <si>
    <t>Có thể tự chọn thu hoạch được một mảnh lá cây</t>
  </si>
  <si>
    <t>Thu hoạch được gói quà ban thưởng</t>
  </si>
  <si>
    <t>Ai cũng không biết sẽ thu hoạch được ban thưởng gì</t>
  </si>
  <si>
    <t>Mở ra Long Tước ấn</t>
  </si>
  <si>
    <t>Có thể đạt được một cái tự do cao cấp kỹ năng Long Tước ấn</t>
  </si>
  <si>
    <t>Ngẫu nhiên thu hoạch được đồ cất giữ</t>
  </si>
  <si>
    <t>Có thể thu hoạch được một cái ngẫu nhiên màu đỏ đồ cất giữ</t>
  </si>
  <si>
    <t>Phổ thông tầm bảo</t>
  </si>
  <si>
    <t>Khoán tệ</t>
  </si>
  <si>
    <t>May mắn tầm bảo lúc tiêu hao đạo cụ</t>
  </si>
  <si>
    <t>Cao cấp tầm bảo</t>
  </si>
  <si>
    <t>Cao cấp tầm bảo lúc tiêu hao đạo cụ</t>
  </si>
  <si>
    <t>Phổ thông điểm tướng lúc tiêu hao đạo cụ</t>
  </si>
  <si>
    <t>Cao cấp điểm tướng lúc tiêu hao đạo cụ</t>
  </si>
  <si>
    <t>Khiêu chiến đấu trường</t>
  </si>
  <si>
    <t>đấu trường khiêu chiến đối thủ lúc tiêu hao vé vào cửa</t>
  </si>
  <si>
    <t>Đổi mới treo thưởng nhiệm vụ</t>
  </si>
  <si>
    <t>Có thể dùng tại đổi mới treo thưởng nhiệm vụ</t>
  </si>
  <si>
    <t>Tiên minh kim tệ hồng bao</t>
  </si>
  <si>
    <t>Có thể dùng tại tiên minh gửi đi kim tệ hồng bao</t>
  </si>
  <si>
    <t>Tiên minh Nguyên bảo hồng bao</t>
  </si>
  <si>
    <t>Có thể dùng tại tiên minh gửi đi Nguyên bảo hồng bao</t>
  </si>
  <si>
    <t>Tinh anh điểm tướng tiêu hao đạo cụ; Nhưng tại vận doanh trong hoạt động thu hoạch</t>
  </si>
  <si>
    <t>Có thể dùng tại &lt;2608 Huyền Nữ giáng lâm &gt; Trong hoạt động tiến hành &lt;2608 Cửu Thiên Huyền Nữ &gt;up Triệu hoán</t>
  </si>
  <si>
    <t>Có thể dùng tại &lt;2608 Hình Thiên xuất thế &gt; Trong hoạt động tiến hành &lt;2608 Hình Thiên &gt;up Triệu hoán</t>
  </si>
  <si>
    <t>Bảo hộp lật bài</t>
  </si>
  <si>
    <t>Có thể dùng tại &lt;2608 Càn khôn bảo hộp &gt; Trong hoạt động tiến hành lật bài</t>
  </si>
  <si>
    <t>Hoạt động rút thưởng</t>
  </si>
  <si>
    <t>Nhưng tại &lt;2608 Trên trời rơi xuống phúc túi &gt; Trong hoạt động tiến hành rút thưởng</t>
  </si>
  <si>
    <t>Có thể dùng tại &lt;2608 Ngọc Đế &gt; Trong hoạt động tiến hành &lt;2608 Ngọc Đế &gt;up Triệu hoán</t>
  </si>
  <si>
    <t>Có thể dùng tại &lt;2608 Huyền Trang du lịch &gt; Trong hoạt động tiến hành &lt;2608 Tam Tạng &gt;up Triệu hoán</t>
  </si>
  <si>
    <t>Có thể dùng tại &lt;2608 Bạch long ra biển &gt; Trong hoạt động tiến hành &lt;2608 Bạch long &gt;up Triệu hoán</t>
  </si>
  <si>
    <t>Tiên Khí trang bị rút thưởng</t>
  </si>
  <si>
    <t>Có thể dùng tại &lt;2608 Bảo thanh phường &gt; Trong hoạt động tiến hành &lt;2608 Tiên Khí &gt;, &lt;2608 Trang bị &gt; Triệu hoán</t>
  </si>
  <si>
    <t>Có thể dùng tại &lt;2608 Cận Thiên Bảo hộp &gt; Trong hoạt động tiến hành lật bài</t>
  </si>
  <si>
    <t>Có thể dùng tại &lt;2608 Chúc Long thật cảnh &gt; Trong hoạt động tiến hành &lt;2608 Chúc Long &gt;up Triệu hoán</t>
  </si>
  <si>
    <t>Có thể dùng tại &lt;2608 Anh hùng cầu nguyện &gt; Trong hoạt động tiến hành anh hùng triệu hoán</t>
  </si>
  <si>
    <t>Phục chiến quân công tiền tệ</t>
  </si>
  <si>
    <t>Có thể dùng tại &lt;2608 Phục chiến &gt; Trong hoạt động tiến hành mua</t>
  </si>
  <si>
    <t>Tiên Khí mở rương</t>
  </si>
  <si>
    <t>Có thể dùng tại &lt;2608 Tiên Khí UP&gt; Trong hoạt động tiến hành mở rương</t>
  </si>
  <si>
    <t>Đồ cất giữ triệu hoán</t>
  </si>
  <si>
    <t>Có thể dùng tại &lt;2608 Đồ cất giữ định chế &gt; Bên trong tiến hành đồ cất giữ triệu hoán</t>
  </si>
  <si>
    <t>Chiến lệnh điểm tích lũy</t>
  </si>
  <si>
    <t>Nhưng tại phong thần thí luyện bên trong tăng lên đẳng cấp</t>
  </si>
  <si>
    <t>Nhưng tại thiên giới trong mê cung tăng lên mê cung chiến lệnh đẳng cấp</t>
  </si>
  <si>
    <t>Nhưng tại LSV tranh bá điểm tích lũy trong Thương Thành hối đoái thương phẩm</t>
  </si>
  <si>
    <t>Công huân điểm tích lũy</t>
  </si>
  <si>
    <t>Nhưng tại vượt phục lôi đài thi đấu công huân trong Thương Thành hối đoái thương phẩm</t>
  </si>
  <si>
    <t>Nhưng tại vượt phục đẳng cấp thi đấu đẳng cấp trong Thương Thành hối đoái thương phẩm</t>
  </si>
  <si>
    <t>Bàn quay triệu hoán</t>
  </si>
  <si>
    <t>Có thể dùng tại &lt;2608 Siêu cấp bàn quay &gt; Trong hoạt động tiến hành bàn quay triệu hoán</t>
  </si>
  <si>
    <t>Thăng tinh đạo cụ</t>
  </si>
  <si>
    <t>Nhưng làm anh hùng thăng tinh tiêu hao vật liệu, thay thế không phải chỉ định &lt;2408 Tùy ý chủng tộc anh hùng thăng tinh &gt;</t>
  </si>
  <si>
    <t>Nhưng làm anh hùng thăng tinh tiêu hao vật liệu, thay thế không phải chỉ định &lt;2408 Nhân tộc anh hùng thăng tinh &gt;</t>
  </si>
  <si>
    <t>Nhưng làm anh hùng thăng tinh tiêu hao vật liệu, thay thế không phải chỉ định &lt;2408 Tiên Tộc anh hùng thăng tinh &gt;</t>
  </si>
  <si>
    <t>Nhưng làm anh hùng thăng tinh tiêu hao vật liệu, thay thế không phải chỉ định &lt;2408 Yêu tộc anh hùng thăng tinh &gt;</t>
  </si>
  <si>
    <t>Nhưng làm anh hùng thăng tinh tiêu hao vật liệu, thay thế không phải chỉ định &lt;2408 Thần tộc anh hùng thăng tinh &gt;</t>
  </si>
  <si>
    <t>Nhưng làm anh hùng thăng tinh tiêu hao vật liệu, thay thế không phải chỉ định &lt;2408 Ma tộc anh hùng thăng tinh &gt;</t>
  </si>
  <si>
    <t>Kích hoạt đặc quyền</t>
  </si>
  <si>
    <t>Tiêu hao đạo cụ</t>
  </si>
  <si>
    <t>Có thể dùng tại kích hoạt nhanh chóng tác chiến đặc quyền (&lt;2467 30&gt; Trời), mỗi ngày &lt;2467 4&gt; Lần miễn phí tác chiến, &lt;2467 11&gt; Lần ngoài định mức mua số lần</t>
  </si>
  <si>
    <t>Có thể dùng tại kích hoạt đồ đằng Thánh Điện đặc quyền (&lt;246730&gt; Trời ), mỗi ngày &lt;2467 2&gt; Lần miễn phí tác chiến, &lt;2467 6&gt; Lần ngoài định mức mua số lần</t>
  </si>
  <si>
    <t>Có thể dùng tại kích hoạt treo thưởng cao cấp đặc quyền, mỗi ngày lần đầu Nguyên bảo, đổi mới khoán đổi mới tất ra tử sắc nhiệm vụ</t>
  </si>
  <si>
    <t>Có thể dùng tại kích hoạt treo thưởng hào Ward quyền, mỗi ngày thứ &lt;24673&gt; Thứ nguyên bảo, đổi mới khoán đổi mới tất ra màu cam nhiệm vụ</t>
  </si>
  <si>
    <t>Phục sinh anh hùng</t>
  </si>
  <si>
    <t>Có thể dùng với thiên giới mê cung phục sinh anh hùng</t>
  </si>
  <si>
    <t>May mắn đúc lại</t>
  </si>
  <si>
    <t>Tại tỉ ấn tiến hành đúc lại lúc, trực tiếp phát động may mắn đúc lại; Nhưng tại vận doanh trong hoạt động thu hoạch</t>
  </si>
  <si>
    <t>Vật phẩm thu hoạch</t>
  </si>
  <si>
    <t>Đại lượng kim tệ, sử dụng sau thu hoạch được treo máy &lt;2408 24 Giờ &gt; Kim tệ ích lợi, không nhận VIP Đẳng cấp tăng thêm ảnh hưởng</t>
  </si>
  <si>
    <t>Đại lượng kinh nghiệm, sử dụng sau thu hoạch được treo máy &lt;2408 24 Giờ &gt; Kinh nghiệm ích lợi, không nhận VIP Đẳng cấp tăng thêm ảnh hưởng</t>
  </si>
  <si>
    <t>Bán ra</t>
  </si>
  <si>
    <t>Bán ra có thể đạt được 20000 Kim tệ</t>
  </si>
  <si>
    <t>Bán ra có thể đạt được 40000 Kim tệ</t>
  </si>
  <si>
    <t>Bán ra có thể đạt được 60000 Kim tệ</t>
  </si>
  <si>
    <t>Bán ra có thể đạt được 80000 Kim tệ</t>
  </si>
  <si>
    <t>Trực tiếp bán ra</t>
  </si>
  <si>
    <t>Mời trực tiếp bán ra</t>
  </si>
  <si>
    <t>Tăng lên nhân vật chính đẳng cấp</t>
  </si>
  <si>
    <t>Tài nguyên</t>
  </si>
  <si>
    <t>Dùng cho tăng lên người chơi nhân vật chính đẳng cấp</t>
  </si>
  <si>
    <t>Thăng cấp anh hùng</t>
  </si>
  <si>
    <t>Có thể dùng để thăng cấp anh hùng, tăng lên anh hùng đẳng cấp cùng thuộc tính</t>
  </si>
  <si>
    <t>Cơ sở tiền tệ</t>
  </si>
  <si>
    <t>Trong trò chơi thường ngày sản xuất tiền tệ</t>
  </si>
  <si>
    <t>Hàng cao cấp tệ</t>
  </si>
  <si>
    <t>Trong trò chơi thường ngày sản xuất, nạp tiền thu hoạch được tiền tệ</t>
  </si>
  <si>
    <t>Nhận lấy sinh động bảo rương</t>
  </si>
  <si>
    <t>Nhiệm vụ hàng ngày sản xuất tài nguyên, có thể dùng tại nhận lấy thường ngày sinh động bảo rương</t>
  </si>
  <si>
    <t>Tiên minh tiền tệ</t>
  </si>
  <si>
    <t>Tiên minh hoạt động sản xuất tài nguyên, nhưng tại tiên minh trong cửa hàng mua vật phẩm</t>
  </si>
  <si>
    <t>Hữu nghị triệu hoán</t>
  </si>
  <si>
    <t>Hảo hữu hỗ động lúc sản xuất tài nguyên, nhưng tại điểm tướng đài bên trong tiến hành 【 Hữu nghị triệu hoán 】</t>
  </si>
  <si>
    <t>Danh vọng</t>
  </si>
  <si>
    <t>Trong đấu trường sản xuất tài nguyên, nhưng tại đấu trường trong cửa hàng hối đoái vật phẩm</t>
  </si>
  <si>
    <t>Siêu phàm đẳng cấp thi đấu bên trong sản xuất tài nguyên, nhưng tại đẳng cấp trong cửa hàng hối đoái vật phẩm</t>
  </si>
  <si>
    <t>Uy vọng</t>
  </si>
  <si>
    <t>Vượt phục trong đấu trường sản xuất tài nguyên, nhưng tại vượt phục đấu trường trong cửa hàng hối đoái vật phẩm</t>
  </si>
  <si>
    <t>Lệnh treo giải thưởng</t>
  </si>
  <si>
    <t>Xác nhận treo thưởng nhiệm vụ</t>
  </si>
  <si>
    <t>Có thể dùng tại xác nhận treo thưởng nhiệm vụ, có thể dùng tại xác nhận treo thưởng nhiệm vụ</t>
  </si>
  <si>
    <t>Côn Luân bí cảnh phó bản sản xuất tài nguyên, nhưng tại bí cảnh trong cửa hàng hối đoái vật phẩm</t>
  </si>
  <si>
    <t>May mắn tầm bảo bên trong sản xuất tài nguyên, nhưng tại tầm bảo trong cửa hàng hối đoái vật phẩm</t>
  </si>
  <si>
    <t>Phân Giải Anh hùng cả thẻ hoặc mảnh vỡ sau trả về tài nguyên, nhưng tại anh hùng trong cửa hàng hối đoái vật phẩm</t>
  </si>
  <si>
    <t>Tiên minh kinh nghiệm</t>
  </si>
  <si>
    <t>Thăng cấp tiên minh</t>
  </si>
  <si>
    <t>Dùng cho thăng cấp tiên minh đẳng cấp</t>
  </si>
  <si>
    <t>Thăng cấp VIP</t>
  </si>
  <si>
    <t>Dùng cho thăng cấp VIP Đẳng cấp</t>
  </si>
  <si>
    <t>Nhưng tại hiểu số mệnh con người trong cửa hàng hối đoái ngẫu nhiên anh hùng mảnh vỡ</t>
  </si>
  <si>
    <t>Bụi sương mù</t>
  </si>
  <si>
    <t>Dùng cho tăng lên thiên giới mê cung tinh tú đồ đẳng cấp</t>
  </si>
  <si>
    <t>Hồn có thể thủy tinh</t>
  </si>
  <si>
    <t>Dùng cho giải tỏa đúc hồn rãnh vị</t>
  </si>
  <si>
    <t>Tuần lâu dài vụ sản xuất tài nguyên</t>
  </si>
  <si>
    <t>Ngày mùa hè điểm tích lũy</t>
  </si>
  <si>
    <t>Thăng cấp ngày mùa hè đại tác chiến</t>
  </si>
  <si>
    <t>Hợp phục điểm tích lũy</t>
  </si>
  <si>
    <t>Nhận lấy hợp phục mục tiêu ban thưởng</t>
  </si>
  <si>
    <t>Chăm học điểm tích lũy</t>
  </si>
  <si>
    <t>Thăng cấp chăm học bút ký</t>
  </si>
  <si>
    <t>Tiên minh chiến tích</t>
  </si>
  <si>
    <t>Dùng cho tiên minh chiến tích xếp hạng</t>
  </si>
  <si>
    <t>Si long lệnh</t>
  </si>
  <si>
    <t>Tiên minh bảo khố tiền tệ</t>
  </si>
  <si>
    <t>Dùng cho tiên minh bảo khố hối đoái vật phẩm</t>
  </si>
  <si>
    <t>Thăng cấp bao nhiêu số luận</t>
  </si>
  <si>
    <t>Thăng cấp thần tượng mộng công trường</t>
  </si>
  <si>
    <t>Thăng cấp hầu gái phòng ăn</t>
  </si>
  <si>
    <t>Thăng cấp dị giới khách tới</t>
  </si>
  <si>
    <t>Phục chiến công thành khiến</t>
  </si>
  <si>
    <t>Dùng cho vượt phục hoạt động  [Vấn đỉnh phục chiến ] Bên trong tiến công địch quân thành trì tiêu hao</t>
  </si>
  <si>
    <t>Phục chiến di chuyển khiến</t>
  </si>
  <si>
    <t>Dùng cho vượt phục hoạt động  [Vấn đỉnh phục chiến ] Bên trong di chuyển chí hữu phương chiến loạn thành trì</t>
  </si>
  <si>
    <t>Thăng cấp trang điểm vũ hội</t>
  </si>
  <si>
    <t>Thăng cấp độc thân tiệc tùng</t>
  </si>
  <si>
    <t>Thăng cấp Hồng Mông ban đầu</t>
  </si>
  <si>
    <t>Vấn đỉnh phục chiến danh nhìn nhiệm vụ</t>
  </si>
  <si>
    <t>Vấn đỉnh phục chiến danh nhìn nhiệm vụ sản xuất tài nguyên</t>
  </si>
  <si>
    <t>Thăng cấp đông Nhật tinh linh</t>
  </si>
  <si>
    <t>Thăng cấp lẫm đông sắp tới</t>
  </si>
  <si>
    <t>Kích hoạt xưng hào</t>
  </si>
  <si>
    <t>Xưng hào</t>
  </si>
  <si>
    <t>Kích hoạt danh hiệu: &lt;2408 [Cử thế vô song ]&gt;, hiệu quả tiếp tục 7 ngày &lt;br&gt; thuộc tính danh hiệu: &lt;2405 Sinh mệnh +1200, công kích +250&gt;</t>
  </si>
  <si>
    <t>Kích hoạt danh hiệu: &lt;2408 [Khó gặp địch thủ ]&gt;, hiệu quả tiếp tục 7 ngày &lt;br&gt; thuộc tính danh hiệu: &lt;2405 Sinh mệnh +800, công kích +150&gt;</t>
  </si>
  <si>
    <t>Kích hoạt danh hiệu: &lt;2408 [Dũng quan tam quân ]&gt;, hiệu quả tiếp tục 7 ngày &lt;br&gt; thuộc tính danh hiệu: &lt;2405 Sinh mệnh +500, công kích +100&gt;</t>
  </si>
  <si>
    <t>Kích hoạt danh hiệu: &lt;2408 [Nội trắc dũng giả ]&gt;&lt;br&gt; thuộc tính danh hiệu: &lt;2405 Sinh mệnh +2%, công kích +2%&gt;</t>
  </si>
  <si>
    <t>Kích hoạt danh hiệu: &lt;2408 [Phong thần dũng sĩ ]&gt;, hiệu quả tiếp tục 30 ngày &lt;br&gt; thuộc tính danh hiệu: &lt;2405 Sinh mệnh +2%, công kích +2%&gt;</t>
  </si>
  <si>
    <t>Kích hoạt danh hiệu: &lt;2408 [Ưu nhã quý tộc ]&gt;, vĩnh cửu hữu hiệu &lt;br&gt; thuộc tính danh hiệu: &lt;2405 Sinh mệnh +2%, công kích +2%&gt;</t>
  </si>
  <si>
    <t>Kích hoạt danh hiệu: &lt;2408 [Siêu phàm đại sư ]&gt;, hiệu quả tiếp tục 7 ngày &lt;br&gt; thuộc tính danh hiệu: &lt;2405 Sinh mệnh +500, công kích +100&gt;</t>
  </si>
  <si>
    <t>Kích hoạt danh hiệu: &lt;2408 [Khinh thường tông sư ]&gt;, hiệu quả tiếp tục 7 ngày &lt;br&gt; thuộc tính danh hiệu: &lt;2405 Sinh mệnh +800, công kích +150&gt;</t>
  </si>
  <si>
    <t>Kích hoạt danh hiệu: &lt;2408 [Mạnh nhất vương giả ]&gt;, hiệu quả tiếp tục 7 ngày &lt;br&gt; thuộc tính danh hiệu: &lt;2405 Sinh mệnh +1200, công kích +250&gt;</t>
  </si>
  <si>
    <t>Kích hoạt danh hiệu: &lt;2408 [Âu hoàng phụ thể ]&gt;, hiệu quả tiếp tục 30 ngày &lt;br&gt; thuộc tính danh hiệu: &lt;2405 Sinh mệnh +2%, công kích +2%&gt;</t>
  </si>
  <si>
    <t>Kích hoạt danh hiệu: &lt;2408 [Âu hoàng phụ thể ]&gt;, vĩnh cửu hữu hiệu &lt;br&gt; thuộc tính danh hiệu: &lt;2405 Sinh mệnh +2%, công kích +2%&gt;</t>
  </si>
  <si>
    <t>Kích hoạt danh hiệu: &lt;2408 [Đăng phong tạo cực ]&gt;, hiệu quả tiếp tục 7 ngày &lt;br&gt; thuộc tính danh hiệu: &lt;2405 Sinh mệnh +1200, công kích +250&gt;</t>
  </si>
  <si>
    <t>Kích hoạt danh hiệu: &lt;2408 [Đứng hàng đầu ]&gt;, hiệu quả tiếp tục 7 ngày &lt;br&gt; thuộc tính danh hiệu: &lt;2405 Sinh mệnh +800, công kích +150&gt;</t>
  </si>
  <si>
    <t>Kích hoạt danh hiệu: &lt;2408 [LSV đạt nhân ]&gt;, hiệu quả tiếp tục 7 ngày &lt;br&gt; thuộc tính danh hiệu: &lt;2405 Sinh mệnh +500, công kích +100&gt;</t>
  </si>
  <si>
    <t>Kích hoạt danh hiệu: &lt;2408 [Mê cung thủ vệ ]&gt;, hiệu quả tiếp tục 30 ngày &lt;br&gt; thuộc tính danh hiệu: &lt;2405 Sinh mệnh +2%, công kích +2%&gt;</t>
  </si>
  <si>
    <t>Kích hoạt danh hiệu: &lt;2408 [Lôi đài đạt nhân ]&gt;, hiệu quả tiếp tục 7 ngày &lt;br&gt; thuộc tính danh hiệu: &lt;2405 Sinh mệnh +500, công kích +100&gt;</t>
  </si>
  <si>
    <t>Kích hoạt danh hiệu: &lt;2408 [Tuyệt thế dũng giả ]&gt;, hiệu quả tiếp tục 7 ngày &lt;br&gt; thuộc tính danh hiệu: &lt;2405 Sinh mệnh +800, công kích +150&gt;</t>
  </si>
  <si>
    <t>Kích hoạt danh hiệu: &lt;2408 [Lôi đài vương giả ]&gt;, hiệu quả tiếp tục 7 ngày &lt;br&gt; thuộc tính danh hiệu: &lt;2405 Sinh mệnh +1200, công kích +250&gt;</t>
  </si>
  <si>
    <t>Kích hoạt danh hiệu: &lt;2408 [Tam giới chung chủ ]&gt;, &lt;br&gt; thuộc tính danh hiệu: &lt;2405 Sinh mệnh +4%, công kích +4%&gt;</t>
  </si>
  <si>
    <t>Kích hoạt danh hiệu: &lt;2408 [Đại La Kim Tiên ]&gt;, &lt;br&gt; thuộc tính danh hiệu: &lt;2405 Sinh mệnh +3%, công kích +3%&gt;</t>
  </si>
  <si>
    <t>Kích hoạt danh hiệu: &lt;2408 [Thái Ất Chân Tiên ]&gt;, &lt;br&gt; thuộc tính danh hiệu: &lt;2405 Sinh mệnh +2%, công kích +2%&gt;</t>
  </si>
  <si>
    <t>Kích hoạt danh hiệu: &lt;2408 [Tiêu dao Tán Tiên ]&gt;, &lt;br&gt; thuộc tính danh hiệu: &lt;2405 Sinh mệnh +1%, công kích +1%&gt;</t>
  </si>
  <si>
    <t>Kích hoạt danh hiệu: &lt;2408 [Ngũ Cốc Phong Đăng ]&gt;&lt;br&gt; thuộc tính danh hiệu: &lt;2405 Treo máy kim tệ +5%&gt;</t>
  </si>
  <si>
    <t>Kích hoạt danh hiệu: &lt;2408 [Không làm thì không có ăn ]&gt;&lt;br&gt; thuộc tính danh hiệu: &lt;2405 Treo máy anh hùng kinh nghiệm +5%&gt;</t>
  </si>
  <si>
    <t>Kích hoạt danh hiệu: &lt;2408 [Vương giả chi đỉnh ]&gt;, hiệu quả tiếp tục 30 ngày &lt;br&gt; thuộc tính danh hiệu: &lt;2405 Sinh mệnh +3%, công kích +3%&gt;</t>
  </si>
  <si>
    <t>Kích hoạt danh hiệu: &lt;2408 [Trận đấu mùa giải truyền kỳ ]&gt;, hiệu quả tiếp tục 30 ngày &lt;br&gt; thuộc tính danh hiệu: &lt;2405 Sinh mệnh +2%, công kích +2%&gt;</t>
  </si>
  <si>
    <t>Kích hoạt danh hiệu: &lt;2408 [Trận đấu mùa giải vinh quang ]&gt;, hiệu quả tiếp tục 30 ngày &lt;br&gt; thuộc tính danh hiệu: &lt;2405 Sinh mệnh +1%, công kích +1%&gt;</t>
  </si>
  <si>
    <t>Kích hoạt nói chuyện phiếm nhãn hiệu</t>
  </si>
  <si>
    <t>Nhãn hiệu: &lt;2408 [Có một không hai ]&gt;, hiệu quả tiếp tục 7 ngày</t>
  </si>
  <si>
    <t>Nhãn hiệu: &lt;2408 [Siêu quần xuất chúng ]&gt;, hiệu quả tiếp tục 7 ngày</t>
  </si>
  <si>
    <t>Nhãn hiệu: &lt;2408 [Xuất trần ]&gt;, hiệu quả tiếp tục 7 ngày</t>
  </si>
  <si>
    <t>Kích hoạt ảnh chân dung khung</t>
  </si>
  <si>
    <t>Ảnh chân dung khung</t>
  </si>
  <si>
    <t>Kích hoạt ảnh chân dung:  [Vương giả chi phong ], hiệu quả tiếp tục 7 ngày</t>
  </si>
  <si>
    <t>Kích hoạt ảnh chân dung:  [Ưu nhã quý tộc ], vĩnh cửu hữu hiệu</t>
  </si>
  <si>
    <t>Kích hoạt ảnh chân dung:  [Đăng phong tạo cực ], hiệu quả tiếp tục 7 ngày</t>
  </si>
  <si>
    <t>Kích hoạt ảnh chân dung:  [Lôi đài vương giả ], hiệu quả tiếp tục 7 ngày</t>
  </si>
  <si>
    <t>Kích hoạt ảnh chân dung:  [Mệnh lý đại sư ], vĩnh cửu hữu hiệu</t>
  </si>
  <si>
    <t>Kích hoạt ảnh chân dung:  [Sách âm thanh leng keng ], vĩnh cửu hữu hiệu</t>
  </si>
  <si>
    <t>Kích hoạt ảnh chân dung:  [Vinh quang vương giả ], hiệu quả tiếp tục 14 Trời</t>
  </si>
  <si>
    <t>Kích hoạt ảnh chân dung:  [Kim thu tháng mười ], vĩnh cửu hữu hiệu</t>
  </si>
  <si>
    <t>Kích hoạt ảnh chân dung:  [Kim kha ngọc lá ], vĩnh cửu hữu hiệu</t>
  </si>
  <si>
    <t>Kích hoạt ảnh chân dung:  [Phi long tại thiên ], vĩnh cửu hữu hiệu</t>
  </si>
  <si>
    <t>Kích hoạt ảnh chân dung:  [Phượng Vũ Cửu Thiên ], vĩnh cửu hữu hiệu</t>
  </si>
  <si>
    <t>Kích hoạt ảnh chân dung: [bilibili Chuyên môn ], vĩnh cửu hữu hiệu</t>
  </si>
  <si>
    <t>Kích hoạt ảnh chân dung: [oppo Chuyên môn ], vĩnh cửu hữu hiệu</t>
  </si>
  <si>
    <t>Kích hoạt ảnh chân dung: [taptap Chuyên môn ], vĩnh cửu hữu hiệu</t>
  </si>
  <si>
    <t>Kích hoạt ảnh chân dung: [vivo Chuyên môn ], vĩnh cửu hữu hiệu</t>
  </si>
  <si>
    <t>Kích hoạt ảnh chân dung:  [Hoa vì chuyên môn ], vĩnh cửu hữu hiệu</t>
  </si>
  <si>
    <t>Kích hoạt ảnh chân dung:  [Chín du lịch chuyên môn ], vĩnh cửu hữu hiệu</t>
  </si>
  <si>
    <t>Kích hoạt ảnh chân dung:  [Tiểu Mễ chuyên môn ], vĩnh cửu hữu hiệu</t>
  </si>
  <si>
    <t>Kích hoạt ảnh chân dung:  [Ứng dụng bảo chuyên môn ], vĩnh cửu hữu hiệu</t>
  </si>
  <si>
    <t>Kích hoạt ảnh chân dung:  [Quỷ ảnh trò chơi ], vĩnh cửu hữu hiệu</t>
  </si>
  <si>
    <t>Kích hoạt ảnh chân dung:  [Thiên Diệp công xưởng ], vĩnh cửu hữu hiệu</t>
  </si>
  <si>
    <t>Kích hoạt ảnh chân dung:  [Tài nguyên cuồn cuộn ], vĩnh cửu hữu hiệu</t>
  </si>
  <si>
    <t>Kích hoạt ảnh chân dung:  [Công thành đại sư ], vĩnh cửu hữu hiệu</t>
  </si>
  <si>
    <t>Kích hoạt ảnh chân dung:  [Mười bước một giết ], vĩnh cửu hữu hiệu</t>
  </si>
  <si>
    <t>Kích hoạt ảnh chân dung:  [Thành tấn tổn thương ], vĩnh cửu hữu hiệu</t>
  </si>
  <si>
    <t>Kích hoạt ảnh chân dung:  [Đỉnh phong ], vĩnh cửu hữu hiệu</t>
  </si>
  <si>
    <t>Kích hoạt ảnh chân dung:  [Trác tuyệt ], vĩnh cửu hữu hiệu</t>
  </si>
  <si>
    <t>Kích hoạt ảnh chân dung:  [Phong thái ], vĩnh cửu hữu hiệu</t>
  </si>
  <si>
    <t>Kích hoạt anh hùng làn da</t>
  </si>
  <si>
    <t>Làn da</t>
  </si>
  <si>
    <t>Kích hoạt thời trang:  [Đầu đường truyền thuyết ], hiệu quả tiếp tục 3 Trời</t>
  </si>
  <si>
    <t>Kích hoạt thời trang:  [Đầu đường truyền thuyết ], vĩnh cửu hữu hiệu</t>
  </si>
  <si>
    <t>Kích hoạt thời trang:  [Đầu đường đường bá ], hiệu quả tiếp tục 3 Trời</t>
  </si>
  <si>
    <t>Kích hoạt thời trang:  [Đầu đường đường bá ], vĩnh cửu hữu hiệu</t>
  </si>
  <si>
    <t>Kích hoạt thời trang:  [Tương lai chiến sĩ ], vĩnh cửu hữu hiệu</t>
  </si>
  <si>
    <t>Kích hoạt thời trang:  [Ngọt ngào hoa hồng ], vĩnh cửu hữu hiệu</t>
  </si>
  <si>
    <t>Kích hoạt thời trang:  [Săn tâm xạ thủ ], vĩnh cửu hữu hiệu</t>
  </si>
  <si>
    <t>Kích hoạt thời trang:  [Ngày mùa hè tiệc tùng ], vĩnh cửu hữu hiệu</t>
  </si>
  <si>
    <t>Kích hoạt thời trang:  [Bao nhiêu số luận ], vĩnh cửu hữu hiệu</t>
  </si>
  <si>
    <t>Kích hoạt thời trang:  [Thần tượng luyện tập sinh ], vĩnh cửu hữu hiệu</t>
  </si>
  <si>
    <t>Kích hoạt thời trang:  [Thỏ nữ lang ], vĩnh cửu hữu hiệu</t>
  </si>
  <si>
    <t>Kích hoạt thời trang:  [Âm dương kiếm khách ], vĩnh cửu hữu hiệu</t>
  </si>
  <si>
    <t>Kích hoạt thời trang:  [Ác linh dũng sĩ ], vĩnh cửu hữu hiệu</t>
  </si>
  <si>
    <t>Kích hoạt thời trang:  [Manh trạch bảo bối ], vĩnh cửu hữu hiệu</t>
  </si>
  <si>
    <t>Kích hoạt thời trang:  [Sáng Thế Thần ], vĩnh cửu hữu hiệu</t>
  </si>
  <si>
    <t>Kích hoạt thời trang:  [Giáng Sinh bảo bối ], vĩnh cửu hữu hiệu</t>
  </si>
  <si>
    <t>Kích hoạt thời trang:  [Băng sương long duệ ], vĩnh cửu hữu hiệu</t>
  </si>
  <si>
    <t>Kích hoạt thời trang:  [Đầu đường truyền thuyết ], hiệu quả tiếp tục 7 ngày</t>
  </si>
  <si>
    <t>Kích hoạt thời trang:  [Đầu đường đường bá ], hiệu quả tiếp tục 7 ngày</t>
  </si>
  <si>
    <t>Kích hoạt thời trang:  [Tương lai chiến sĩ ], hiệu quả tiếp tục 7 ngày</t>
  </si>
  <si>
    <t>Kích hoạt thời trang:  [Ngọt ngào hoa hồng ], hiệu quả tiếp tục 7 ngày</t>
  </si>
  <si>
    <t>Kích hoạt thời trang:  [Săn tâm xạ thủ ], hiệu quả tiếp tục 7 ngày</t>
  </si>
  <si>
    <t>Kích hoạt thời trang:  [Ngày mùa hè tiệc tùng ], hiệu quả tiếp tục 7 ngày</t>
  </si>
  <si>
    <t>Kích hoạt thời trang:  [Bao nhiêu số luận ], hiệu quả tiếp tục 7 ngày</t>
  </si>
  <si>
    <t>Kích hoạt thời trang:  [Thần tượng luyện tập sinh ], hiệu quả tiếp tục 7 ngày</t>
  </si>
  <si>
    <t>Kích hoạt thời trang:  [Thỏ nữ lang ], hiệu quả tiếp tục 7 ngày</t>
  </si>
  <si>
    <t>Kích hoạt thời trang:  [Âm dương kiếm khách ], hiệu quả tiếp tục 7 ngày</t>
  </si>
  <si>
    <t>Kích hoạt thời trang:  [Ác linh dũng sĩ ], hiệu quả tiếp tục 7 ngày</t>
  </si>
  <si>
    <t>Kích hoạt thời trang:  [Manh trạch bảo bối ], hiệu quả tiếp tục 7 ngày</t>
  </si>
  <si>
    <t>Hợp thành anh hùng làn da</t>
  </si>
  <si>
    <t>Thu thập 50 mảnh ghép thời trang:  [Tương lai chiến sĩ ], vĩnh cửu hữu hiệu</t>
  </si>
  <si>
    <t>Thu thập 50 mảnh ghép thời trang:  [Đầu đường truyền thuyết ], vĩnh cửu hữu hiệu</t>
  </si>
  <si>
    <t>Thu thập 50 mảnh ghép thời trang:  [Đầu đường đường bá ], vĩnh cửu hữu hiệu</t>
  </si>
  <si>
    <t>Hoạt động hối đoái</t>
  </si>
  <si>
    <t>Nhưng tại hoạt động trong lúc đó hối đoái đạo cụ</t>
  </si>
  <si>
    <t>Biểu hiện đổi thành</t>
  </si>
  <si>
    <t>Có thể dùng tại hạn lúc anh hùng đổi thành; Nhưng tại vận doanh trong hoạt động thu hoạch</t>
  </si>
  <si>
    <t>Có thể dùng tại &lt;2608 Quân đoàn xâm lấn &gt; hoạt động trao đổi vật phẩm</t>
  </si>
  <si>
    <t>Hoạt động hiến cho</t>
  </si>
  <si>
    <t>Có thể dùng tại &lt;2608 Quân đoàn xâm lấn &gt; Trong hoạt động tiến hành hiến cho</t>
  </si>
  <si>
    <t>Hối đoái đạo cụ</t>
  </si>
  <si>
    <t>Có thể dùng tại &lt;2608 Phong thần cửa hàng &gt; Bên trong hối đoái đạo cụ</t>
  </si>
  <si>
    <t>Có thể dùng tại &lt;2608 Trung thu đoàn viên &gt; Trong hoạt động tiến hành đạo cụ hối đoái</t>
  </si>
  <si>
    <t>Có thể dùng tại &lt;2608 Thay cha tòng quân &gt; Trong hoạt động tiến hành đạo cụ hối đoái</t>
  </si>
  <si>
    <t>Hoạt động triệu hoán</t>
  </si>
  <si>
    <t>Có thể dùng tại &lt;2608 Khoa học kỹ thuật công xưởng &gt; Trong hoạt động tiến hành triệu hoán</t>
  </si>
  <si>
    <t>Có thể dùng tại &lt;2608 Mị ảnh dạ hành &gt; Trong hoạt động tiến hành triệu hoán</t>
  </si>
  <si>
    <t>Mở ra mù hộp</t>
  </si>
  <si>
    <t>Có thể dùng tại &lt;2608 Ngày lễ đèn lồng &gt; Trong hoạt động thắp sáng đèn lồng</t>
  </si>
  <si>
    <t>Tiên Khí đổi thành</t>
  </si>
  <si>
    <t>Có thể dùng tại &lt;2608 Tiên Khí đổi thành &gt; Trong hoạt động tiến hành Tiên Khí thiết lập lại</t>
  </si>
  <si>
    <t>Có thể dùng tại &lt;2608 Gà tây thịnh yến &gt; Trong hoạt động tiến hành hoạt động triệu hoán</t>
  </si>
  <si>
    <t>Có thể dùng tại &lt;2608 Chắt lọc khí &gt; Trong hoạt động tiến hành chắt lọc</t>
  </si>
  <si>
    <t>Có thể dùng tại &lt;2608 Thuốc nhuộm hối đoái thương thành &gt; Bên trong tiến hành đạo cụ hối đoái</t>
  </si>
  <si>
    <t>Có thể dùng tại &lt;2608 Khổng Tước Đông Nam bay &gt; Trong hoạt động tiến hành anh hùng chiêu mộ</t>
  </si>
  <si>
    <t>Có thể dùng tại &lt;2608 Tâm nguyện cửa hàng &gt; hoạt động trao đổi vật phẩm, &lt;2608 Cây thông Noel &gt; Trong hoạt động tạo ra tâm nguyện hộp quà</t>
  </si>
  <si>
    <t>Nhưng tại hoạt động trong Thương Thành hối đoái thương phẩm</t>
  </si>
  <si>
    <t>Hối đoái</t>
  </si>
  <si>
    <t>Dùng cho ngày mùa hè quầy bán quà vặt hối đoái đạo cụ</t>
  </si>
  <si>
    <t>Dùng cho sân trường quầy bán quà vặt hối đoái đạo cụ</t>
  </si>
  <si>
    <t>Dùng cho bút thú các hối đoái đạo cụ</t>
  </si>
  <si>
    <t>Dùng cho kỳ diệu nhà ma hối đoái đạo cụ</t>
  </si>
  <si>
    <t>Thu hoạch được hồng bao ban thưởng</t>
  </si>
  <si>
    <t>Hồng bao</t>
  </si>
  <si>
    <t>Mở ra hồng bao, thu hoạch 100 Nguyên bảo</t>
  </si>
  <si>
    <t>Chia sẻ cửa hàng</t>
  </si>
  <si>
    <t>Tiền tệ</t>
  </si>
  <si>
    <t>Chia sẻ trong cửa hàng mua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</si>
</sst>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176" formatCode="_ * #,##0.00_ ;_ * \-#,##0.00_ ;_ * &quot;-&quot;??_ ;_ @_ "/>
    <numFmt numFmtId="177" formatCode="_-* #,##0.00\ &quot;₫&quot;_-;\-* #,##0.00\ &quot;₫&quot;_-;_-* &quot;-&quot;??\ &quot;₫&quot;_-;_-@_-"/>
    <numFmt numFmtId="178" formatCode="_ * #,##0_ ;_ * \-#,##0_ ;_ * &quot;-&quot;_ ;_ @_ "/>
    <numFmt numFmtId="179" formatCode="_-* #,##0\ &quot;₫&quot;_-;\-* #,##0\ &quot;₫&quot;_-;_-* &quot;-&quot;\ &quot;₫&quot;_-;_-@_-"/>
  </numFmts>
  <fonts count="24">
    <font>
      <sz val="11"/>
      <color theme="1"/>
      <name val="Calibri"/>
      <charset val="134"/>
      <scheme val="minor"/>
    </font>
    <font>
      <sz val="11"/>
      <color theme="1"/>
      <name val="黑体"/>
      <charset val="134"/>
    </font>
    <font>
      <sz val="11"/>
      <color rgb="FF000000"/>
      <name val="Calibri"/>
      <charset val="134"/>
      <scheme val="minor"/>
    </font>
    <font>
      <b/>
      <sz val="11"/>
      <color theme="1"/>
      <name val="黑体"/>
      <charset val="134"/>
    </font>
    <font>
      <b/>
      <sz val="11"/>
      <color rgb="FFFF000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5" borderId="4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6" borderId="4" applyNumberFormat="0" applyAlignment="0" applyProtection="0">
      <alignment vertical="center"/>
    </xf>
    <xf numFmtId="0" fontId="16" fillId="7" borderId="6" applyNumberFormat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2" borderId="0" xfId="0" applyFont="1" applyFill="1" applyAlignment="1">
      <alignment vertical="center" wrapText="1"/>
    </xf>
    <xf numFmtId="0" fontId="1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2" borderId="0" xfId="0" applyFont="1" applyFill="1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4" fillId="0" borderId="0" xfId="0" applyFont="1" applyAlignment="1">
      <alignment horizontal="center"/>
    </xf>
    <xf numFmtId="0" fontId="2" fillId="3" borderId="0" xfId="0" applyFont="1" applyFill="1" applyAlignment="1">
      <alignment vertical="center" wrapText="1"/>
    </xf>
  </cellXfs>
  <cellStyles count="50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常规 2" xfId="49"/>
  </cellStyles>
  <dxfs count="3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00"/>
        </patternFill>
      </fill>
    </dxf>
    <dxf>
      <font>
        <color rgb="FFFF0000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9525</xdr:rowOff>
        </xdr:from>
        <xdr:to>
          <xdr:col>2</xdr:col>
          <xdr:colOff>1162050</xdr:colOff>
          <xdr:row>1</xdr:row>
          <xdr:rowOff>161925</xdr:rowOff>
        </xdr:to>
        <xdr:sp macro="[0]!填充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171700" y="9525"/>
              <a:ext cx="990600" cy="3429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400" b="1" i="0" u="none" strike="noStrike" baseline="0">
                  <a:solidFill>
                    <a:srgbClr val="000000"/>
                  </a:solidFill>
                  <a:ea typeface="等线"/>
                </a:rPr>
                <a:t>更新</a:t>
              </a:r>
              <a:endParaRPr lang="vi-VN" sz="1400" b="1" i="0" u="none" strike="noStrike" baseline="0">
                <a:solidFill>
                  <a:srgbClr val="000000"/>
                </a:solidFill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Admin\Desktop\honkai\&#29616;&#29256;&#26412;&#20869;&#23481;\&#20135;&#20986;&#32479;&#35745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功能"/>
      <sheetName val="道具来源"/>
      <sheetName val="历练产出"/>
      <sheetName val="任务成就产出"/>
      <sheetName val="冒险产出"/>
      <sheetName val="仙盟产出"/>
      <sheetName val="山海经产出"/>
      <sheetName val="玲珑塔产出"/>
      <sheetName val="图腾圣殿产出"/>
      <sheetName val="道具消耗"/>
      <sheetName val="洞天福地产出"/>
      <sheetName val="英雄升级"/>
      <sheetName val="掉落配置"/>
    </sheetNames>
    <sheetDataSet>
      <sheetData sheetId="0"/>
      <sheetData sheetId="1"/>
      <sheetData sheetId="2">
        <row r="6">
          <cell r="Z6">
            <v>6600</v>
          </cell>
        </row>
        <row r="6">
          <cell r="AB6" t="str">
            <v>3:100001</v>
          </cell>
        </row>
        <row r="7">
          <cell r="Z7">
            <v>900</v>
          </cell>
        </row>
        <row r="7">
          <cell r="AB7">
            <v>0.000694444444444444</v>
          </cell>
        </row>
        <row r="8">
          <cell r="Z8">
            <v>180</v>
          </cell>
        </row>
        <row r="8">
          <cell r="AB8" t="str">
            <v>4:606002</v>
          </cell>
        </row>
        <row r="9">
          <cell r="Z9">
            <v>60</v>
          </cell>
        </row>
        <row r="9">
          <cell r="AB9">
            <v>0.209027777777778</v>
          </cell>
        </row>
        <row r="10">
          <cell r="Z10">
            <v>48.4163808755295</v>
          </cell>
        </row>
        <row r="10">
          <cell r="AB10" t="str">
            <v>2:19000100</v>
          </cell>
        </row>
        <row r="11">
          <cell r="Z11">
            <v>48.4163808755295</v>
          </cell>
        </row>
        <row r="11">
          <cell r="AB11" t="str">
            <v>2:19000200</v>
          </cell>
        </row>
        <row r="12">
          <cell r="Z12">
            <v>48.4163808755295</v>
          </cell>
        </row>
        <row r="12">
          <cell r="AB12" t="str">
            <v>2:19000300</v>
          </cell>
        </row>
        <row r="13">
          <cell r="Z13">
            <v>48.4163808755295</v>
          </cell>
        </row>
        <row r="13">
          <cell r="AB13" t="str">
            <v>2:19000400</v>
          </cell>
        </row>
        <row r="14">
          <cell r="Z14">
            <v>40.8513213637281</v>
          </cell>
        </row>
        <row r="14">
          <cell r="AB14" t="str">
            <v>2:19000101</v>
          </cell>
        </row>
        <row r="15">
          <cell r="Z15">
            <v>40.8513213637281</v>
          </cell>
        </row>
        <row r="15">
          <cell r="AB15" t="str">
            <v>2:19000201</v>
          </cell>
        </row>
        <row r="16">
          <cell r="Z16">
            <v>40.8513213637281</v>
          </cell>
        </row>
        <row r="16">
          <cell r="AB16" t="str">
            <v>2:19000301</v>
          </cell>
        </row>
        <row r="17">
          <cell r="Z17">
            <v>40.8513213637281</v>
          </cell>
        </row>
        <row r="17">
          <cell r="AB17" t="str">
            <v>2:19000401</v>
          </cell>
        </row>
        <row r="18">
          <cell r="Z18">
            <v>15.130119023603</v>
          </cell>
        </row>
        <row r="18">
          <cell r="AB18" t="str">
            <v>2:19000102</v>
          </cell>
        </row>
        <row r="19">
          <cell r="Z19">
            <v>15.130119023603</v>
          </cell>
        </row>
        <row r="19">
          <cell r="AB19" t="str">
            <v>2:19000202</v>
          </cell>
        </row>
        <row r="20">
          <cell r="Z20">
            <v>15.130119023603</v>
          </cell>
        </row>
        <row r="20">
          <cell r="AB20" t="str">
            <v>2:19000302</v>
          </cell>
        </row>
        <row r="21">
          <cell r="Z21">
            <v>15.130119023603</v>
          </cell>
        </row>
        <row r="21">
          <cell r="AB21" t="str">
            <v>2:19000402</v>
          </cell>
        </row>
        <row r="22">
          <cell r="Z22">
            <v>13.6171071212427</v>
          </cell>
        </row>
        <row r="22">
          <cell r="AB22" t="str">
            <v>2:19000103</v>
          </cell>
        </row>
        <row r="23">
          <cell r="Z23">
            <v>13.6171071212427</v>
          </cell>
        </row>
        <row r="23">
          <cell r="AB23" t="str">
            <v>2:19000203</v>
          </cell>
        </row>
        <row r="24">
          <cell r="Z24">
            <v>13.6171071212427</v>
          </cell>
        </row>
        <row r="24">
          <cell r="AB24" t="str">
            <v>2:19000303</v>
          </cell>
        </row>
        <row r="25">
          <cell r="Z25">
            <v>13.6171071212427</v>
          </cell>
        </row>
        <row r="25">
          <cell r="AB25" t="str">
            <v>2:19000403</v>
          </cell>
        </row>
        <row r="26">
          <cell r="Z26">
            <v>12.1040952188824</v>
          </cell>
        </row>
        <row r="26">
          <cell r="AB26" t="str">
            <v>2:19000104</v>
          </cell>
        </row>
        <row r="27">
          <cell r="Z27">
            <v>12.1040952188824</v>
          </cell>
        </row>
        <row r="27">
          <cell r="AB27" t="str">
            <v>2:19000204</v>
          </cell>
        </row>
        <row r="28">
          <cell r="Z28">
            <v>12.1040952188824</v>
          </cell>
        </row>
        <row r="28">
          <cell r="AB28" t="str">
            <v>2:19000304</v>
          </cell>
        </row>
        <row r="29">
          <cell r="Z29">
            <v>12.1040952188824</v>
          </cell>
        </row>
        <row r="29">
          <cell r="AB29" t="str">
            <v>2:19000404</v>
          </cell>
        </row>
        <row r="30">
          <cell r="Z30">
            <v>10.5910833165221</v>
          </cell>
        </row>
        <row r="30">
          <cell r="AB30" t="str">
            <v>2:19000105</v>
          </cell>
        </row>
        <row r="31">
          <cell r="Z31">
            <v>10.5910833165221</v>
          </cell>
        </row>
        <row r="31">
          <cell r="AB31" t="str">
            <v>2:19000205</v>
          </cell>
        </row>
        <row r="32">
          <cell r="Z32">
            <v>10.5910833165221</v>
          </cell>
        </row>
        <row r="32">
          <cell r="AB32" t="str">
            <v>2:19000305</v>
          </cell>
        </row>
        <row r="33">
          <cell r="Z33">
            <v>10.5910833165221</v>
          </cell>
        </row>
        <row r="33">
          <cell r="AB33" t="str">
            <v>2:19000405</v>
          </cell>
        </row>
        <row r="34">
          <cell r="Z34">
            <v>9.07807141416179</v>
          </cell>
        </row>
        <row r="34">
          <cell r="AB34" t="str">
            <v>2:19000106</v>
          </cell>
        </row>
        <row r="35">
          <cell r="Z35">
            <v>9.07807141416179</v>
          </cell>
        </row>
        <row r="35">
          <cell r="AB35" t="str">
            <v>2:19000206</v>
          </cell>
        </row>
        <row r="36">
          <cell r="Z36">
            <v>9.07807141416179</v>
          </cell>
        </row>
        <row r="36">
          <cell r="AB36" t="str">
            <v>2:19000306</v>
          </cell>
        </row>
        <row r="37">
          <cell r="Z37">
            <v>9.07807141416179</v>
          </cell>
        </row>
        <row r="37">
          <cell r="AB37" t="str">
            <v>2:19000406</v>
          </cell>
        </row>
        <row r="38">
          <cell r="Z38">
            <v>7.56505951180149</v>
          </cell>
        </row>
        <row r="38">
          <cell r="AB38" t="str">
            <v>2:19000107</v>
          </cell>
        </row>
        <row r="39">
          <cell r="Z39">
            <v>7.56505951180149</v>
          </cell>
        </row>
        <row r="39">
          <cell r="AB39" t="str">
            <v>2:19000207</v>
          </cell>
        </row>
        <row r="40">
          <cell r="Z40">
            <v>7.56505951180149</v>
          </cell>
        </row>
        <row r="40">
          <cell r="AB40" t="str">
            <v>2:19000307</v>
          </cell>
        </row>
        <row r="41">
          <cell r="Z41">
            <v>7.56505951180149</v>
          </cell>
        </row>
        <row r="41">
          <cell r="AB41" t="str">
            <v>2:19000407</v>
          </cell>
        </row>
        <row r="42">
          <cell r="Z42">
            <v>6.05204760944119</v>
          </cell>
        </row>
        <row r="42">
          <cell r="AB42" t="str">
            <v>2:19000108</v>
          </cell>
        </row>
        <row r="43">
          <cell r="Z43">
            <v>6.05204760944119</v>
          </cell>
        </row>
        <row r="43">
          <cell r="AB43" t="str">
            <v>2:19000208</v>
          </cell>
        </row>
        <row r="44">
          <cell r="Z44">
            <v>6.05204760944119</v>
          </cell>
        </row>
        <row r="44">
          <cell r="AB44" t="str">
            <v>2:19000308</v>
          </cell>
        </row>
        <row r="45">
          <cell r="Z45">
            <v>6.05204760944119</v>
          </cell>
        </row>
        <row r="45">
          <cell r="AB45" t="str">
            <v>2:19000408</v>
          </cell>
        </row>
        <row r="46">
          <cell r="Z46">
            <v>4.5390357070809</v>
          </cell>
        </row>
        <row r="46">
          <cell r="AB46" t="str">
            <v>2:19000109</v>
          </cell>
        </row>
        <row r="47">
          <cell r="Z47">
            <v>4.5390357070809</v>
          </cell>
        </row>
        <row r="47">
          <cell r="AB47" t="str">
            <v>2:19000209</v>
          </cell>
        </row>
        <row r="48">
          <cell r="Z48">
            <v>4.5390357070809</v>
          </cell>
        </row>
        <row r="48">
          <cell r="AB48" t="str">
            <v>2:19000309</v>
          </cell>
        </row>
        <row r="49">
          <cell r="Z49">
            <v>4.5390357070809</v>
          </cell>
        </row>
        <row r="49">
          <cell r="AB49" t="str">
            <v>2:19000409</v>
          </cell>
        </row>
        <row r="50">
          <cell r="Z50">
            <v>0.30260238047206</v>
          </cell>
        </row>
        <row r="50">
          <cell r="AB50" t="str">
            <v>2:19000110</v>
          </cell>
        </row>
        <row r="51">
          <cell r="Z51">
            <v>0.30260238047206</v>
          </cell>
        </row>
        <row r="51">
          <cell r="AB51" t="str">
            <v>2:19000210</v>
          </cell>
        </row>
        <row r="52">
          <cell r="Z52">
            <v>0.30260238047206</v>
          </cell>
        </row>
        <row r="52">
          <cell r="AB52" t="str">
            <v>2:19000310</v>
          </cell>
        </row>
        <row r="53">
          <cell r="Z53">
            <v>0.30260238047206</v>
          </cell>
        </row>
        <row r="53">
          <cell r="AB53" t="str">
            <v>2:19000410</v>
          </cell>
        </row>
        <row r="54">
          <cell r="Z54">
            <v>0.30260238047206</v>
          </cell>
        </row>
        <row r="54">
          <cell r="AB54" t="str">
            <v>2:19000111</v>
          </cell>
        </row>
        <row r="55">
          <cell r="Z55">
            <v>0.30260238047206</v>
          </cell>
        </row>
        <row r="55">
          <cell r="AB55" t="str">
            <v>2:19000211</v>
          </cell>
        </row>
        <row r="56">
          <cell r="Z56">
            <v>0.30260238047206</v>
          </cell>
        </row>
        <row r="56">
          <cell r="AB56" t="str">
            <v>2:19000311</v>
          </cell>
        </row>
        <row r="57">
          <cell r="Z57">
            <v>0.30260238047206</v>
          </cell>
        </row>
        <row r="57">
          <cell r="AB57" t="str">
            <v>2:19000411</v>
          </cell>
        </row>
        <row r="58">
          <cell r="Z58">
            <v>0</v>
          </cell>
        </row>
        <row r="58">
          <cell r="AB58" t="str">
            <v>3:200003</v>
          </cell>
        </row>
        <row r="59">
          <cell r="Z59">
            <v>0</v>
          </cell>
        </row>
        <row r="60">
          <cell r="Z60">
            <v>0</v>
          </cell>
        </row>
        <row r="60">
          <cell r="AB60" t="str">
            <v>8:100001</v>
          </cell>
        </row>
        <row r="61">
          <cell r="Z61">
            <v>0.15</v>
          </cell>
        </row>
        <row r="61">
          <cell r="AB61" t="str">
            <v>8:100001</v>
          </cell>
        </row>
        <row r="62">
          <cell r="Z62">
            <v>3.75</v>
          </cell>
        </row>
        <row r="62">
          <cell r="AB62" t="str">
            <v>8:100002</v>
          </cell>
        </row>
        <row r="63">
          <cell r="Z63">
            <v>7.5</v>
          </cell>
        </row>
        <row r="63">
          <cell r="AB63" t="str">
            <v>8:100003</v>
          </cell>
        </row>
        <row r="64">
          <cell r="Z64">
            <v>15</v>
          </cell>
        </row>
        <row r="64">
          <cell r="AB64" t="str">
            <v>8:100004</v>
          </cell>
        </row>
        <row r="65">
          <cell r="Z65">
            <v>0.15</v>
          </cell>
        </row>
        <row r="65">
          <cell r="AB65" t="str">
            <v>8:200001</v>
          </cell>
        </row>
        <row r="66">
          <cell r="Z66">
            <v>3.75</v>
          </cell>
        </row>
        <row r="66">
          <cell r="AB66" t="str">
            <v>8:200002</v>
          </cell>
        </row>
        <row r="67">
          <cell r="Z67">
            <v>7.5</v>
          </cell>
        </row>
        <row r="67">
          <cell r="AB67" t="str">
            <v>8:200003</v>
          </cell>
        </row>
        <row r="68">
          <cell r="Z68">
            <v>15</v>
          </cell>
        </row>
        <row r="68">
          <cell r="AB68" t="str">
            <v>8:200004</v>
          </cell>
        </row>
        <row r="69">
          <cell r="Z69">
            <v>0.15</v>
          </cell>
        </row>
        <row r="69">
          <cell r="AB69" t="str">
            <v>8:300001</v>
          </cell>
        </row>
        <row r="70">
          <cell r="Z70">
            <v>3.75</v>
          </cell>
        </row>
        <row r="70">
          <cell r="AB70" t="str">
            <v>8:300002</v>
          </cell>
        </row>
        <row r="71">
          <cell r="Z71">
            <v>7.5</v>
          </cell>
        </row>
        <row r="71">
          <cell r="AB71" t="str">
            <v>8:300003</v>
          </cell>
        </row>
        <row r="72">
          <cell r="Z72">
            <v>15</v>
          </cell>
        </row>
        <row r="72">
          <cell r="AB72" t="str">
            <v>8:300004</v>
          </cell>
        </row>
        <row r="73">
          <cell r="Z73">
            <v>0.15</v>
          </cell>
        </row>
        <row r="73">
          <cell r="AB73" t="str">
            <v>8:400001</v>
          </cell>
        </row>
        <row r="74">
          <cell r="Z74">
            <v>3.75</v>
          </cell>
        </row>
        <row r="74">
          <cell r="AB74" t="str">
            <v>8:400002</v>
          </cell>
        </row>
        <row r="75">
          <cell r="Z75">
            <v>7.5</v>
          </cell>
        </row>
        <row r="75">
          <cell r="AB75" t="str">
            <v>8:400003</v>
          </cell>
        </row>
        <row r="76">
          <cell r="Z76">
            <v>15</v>
          </cell>
        </row>
        <row r="76">
          <cell r="AB76" t="str">
            <v>8:400004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K3" t="str">
            <v>104:30</v>
          </cell>
        </row>
        <row r="4">
          <cell r="K4" t="str">
            <v>8:100001:0:39296</v>
          </cell>
        </row>
        <row r="5">
          <cell r="K5" t="str">
            <v>4:606002:0=99&amp;1=1</v>
          </cell>
        </row>
        <row r="6">
          <cell r="K6" t="str">
            <v>5:1:0=99&amp;1=1</v>
          </cell>
        </row>
        <row r="7">
          <cell r="K7" t="str">
            <v>2:19000100:1:800</v>
          </cell>
        </row>
        <row r="13">
          <cell r="K13">
            <v>0</v>
          </cell>
        </row>
        <row r="14">
          <cell r="H14">
            <v>3.32307692307692</v>
          </cell>
        </row>
        <row r="14">
          <cell r="K14" t="str">
            <v>4:606002</v>
          </cell>
        </row>
        <row r="15">
          <cell r="H15">
            <v>3.32307692307692</v>
          </cell>
        </row>
        <row r="15">
          <cell r="K15" t="str">
            <v>5:1</v>
          </cell>
        </row>
        <row r="16">
          <cell r="H16">
            <v>0</v>
          </cell>
        </row>
        <row r="16">
          <cell r="K16" t="str">
            <v>8:100001</v>
          </cell>
        </row>
        <row r="17">
          <cell r="H17">
            <v>0.0110769230769231</v>
          </cell>
        </row>
        <row r="17">
          <cell r="K17" t="str">
            <v>8:100001</v>
          </cell>
        </row>
        <row r="18">
          <cell r="H18">
            <v>0.276923076923077</v>
          </cell>
        </row>
        <row r="18">
          <cell r="K18" t="str">
            <v>8:100002</v>
          </cell>
        </row>
        <row r="19">
          <cell r="H19">
            <v>0.553846153846154</v>
          </cell>
        </row>
        <row r="19">
          <cell r="K19" t="str">
            <v>8:100003</v>
          </cell>
        </row>
        <row r="20">
          <cell r="H20">
            <v>1.10769230769231</v>
          </cell>
        </row>
        <row r="20">
          <cell r="K20" t="str">
            <v>8:100004</v>
          </cell>
        </row>
        <row r="21">
          <cell r="H21">
            <v>0.0110769230769231</v>
          </cell>
        </row>
        <row r="21">
          <cell r="K21" t="str">
            <v>8:200001</v>
          </cell>
        </row>
        <row r="22">
          <cell r="H22">
            <v>0.276923076923077</v>
          </cell>
        </row>
        <row r="22">
          <cell r="K22" t="str">
            <v>8:200002</v>
          </cell>
        </row>
        <row r="23">
          <cell r="H23">
            <v>0.553846153846154</v>
          </cell>
        </row>
        <row r="23">
          <cell r="K23" t="str">
            <v>8:200003</v>
          </cell>
        </row>
        <row r="24">
          <cell r="H24">
            <v>1.10769230769231</v>
          </cell>
        </row>
        <row r="24">
          <cell r="K24" t="str">
            <v>8:200004</v>
          </cell>
        </row>
        <row r="25">
          <cell r="H25">
            <v>0.0110769230769231</v>
          </cell>
        </row>
        <row r="25">
          <cell r="K25" t="str">
            <v>8:300001</v>
          </cell>
        </row>
        <row r="26">
          <cell r="H26">
            <v>0.276923076923077</v>
          </cell>
        </row>
        <row r="26">
          <cell r="K26" t="str">
            <v>8:300002</v>
          </cell>
        </row>
        <row r="27">
          <cell r="H27">
            <v>0.553846153846154</v>
          </cell>
        </row>
        <row r="27">
          <cell r="K27" t="str">
            <v>8:300003</v>
          </cell>
        </row>
        <row r="28">
          <cell r="H28">
            <v>1.10769230769231</v>
          </cell>
        </row>
        <row r="28">
          <cell r="K28" t="str">
            <v>8:300004</v>
          </cell>
        </row>
        <row r="29">
          <cell r="H29">
            <v>0.0110769230769231</v>
          </cell>
        </row>
        <row r="29">
          <cell r="K29" t="str">
            <v>8:400001</v>
          </cell>
        </row>
        <row r="30">
          <cell r="H30">
            <v>0.276923076923077</v>
          </cell>
        </row>
        <row r="30">
          <cell r="K30" t="str">
            <v>8:400002</v>
          </cell>
        </row>
        <row r="31">
          <cell r="H31">
            <v>0.553846153846154</v>
          </cell>
        </row>
        <row r="31">
          <cell r="K31" t="str">
            <v>8:400003</v>
          </cell>
        </row>
        <row r="32">
          <cell r="H32">
            <v>1.10769230769231</v>
          </cell>
        </row>
        <row r="32">
          <cell r="K32" t="str">
            <v>8:400004</v>
          </cell>
        </row>
        <row r="33">
          <cell r="H33">
            <v>0</v>
          </cell>
        </row>
        <row r="33">
          <cell r="K33" t="str">
            <v>8:500001</v>
          </cell>
        </row>
        <row r="34">
          <cell r="H34">
            <v>0</v>
          </cell>
        </row>
        <row r="34">
          <cell r="K34" t="str">
            <v>8:500002</v>
          </cell>
        </row>
        <row r="35">
          <cell r="H35">
            <v>0</v>
          </cell>
        </row>
        <row r="35">
          <cell r="K35" t="str">
            <v>8:500003</v>
          </cell>
        </row>
        <row r="36">
          <cell r="H36">
            <v>0</v>
          </cell>
        </row>
        <row r="36">
          <cell r="K36" t="str">
            <v>8:500004</v>
          </cell>
        </row>
        <row r="37">
          <cell r="H37">
            <v>0</v>
          </cell>
        </row>
        <row r="37">
          <cell r="K37">
            <v>0</v>
          </cell>
        </row>
        <row r="38">
          <cell r="H38">
            <v>2.77211839255635</v>
          </cell>
        </row>
        <row r="38">
          <cell r="K38" t="str">
            <v>2:19000100</v>
          </cell>
        </row>
        <row r="39">
          <cell r="H39">
            <v>2.77211839255635</v>
          </cell>
        </row>
        <row r="39">
          <cell r="K39" t="str">
            <v>2:19000200</v>
          </cell>
        </row>
        <row r="40">
          <cell r="H40">
            <v>2.77211839255635</v>
          </cell>
        </row>
        <row r="40">
          <cell r="K40" t="str">
            <v>2:19000300</v>
          </cell>
        </row>
        <row r="41">
          <cell r="H41">
            <v>2.77211839255635</v>
          </cell>
        </row>
        <row r="41">
          <cell r="K41" t="str">
            <v>2:19000400</v>
          </cell>
        </row>
        <row r="42">
          <cell r="H42">
            <v>2.33897489371942</v>
          </cell>
        </row>
        <row r="42">
          <cell r="K42" t="str">
            <v>2:19000101</v>
          </cell>
        </row>
        <row r="43">
          <cell r="H43">
            <v>2.33897489371942</v>
          </cell>
        </row>
        <row r="43">
          <cell r="K43" t="str">
            <v>2:19000201</v>
          </cell>
        </row>
        <row r="44">
          <cell r="H44">
            <v>2.33897489371942</v>
          </cell>
        </row>
        <row r="44">
          <cell r="K44" t="str">
            <v>2:19000301</v>
          </cell>
        </row>
        <row r="45">
          <cell r="H45">
            <v>2.33897489371942</v>
          </cell>
        </row>
        <row r="45">
          <cell r="K45" t="str">
            <v>2:19000401</v>
          </cell>
        </row>
        <row r="46">
          <cell r="H46">
            <v>0.866286997673859</v>
          </cell>
        </row>
        <row r="46">
          <cell r="K46" t="str">
            <v>2:19000102</v>
          </cell>
        </row>
        <row r="47">
          <cell r="H47">
            <v>0.866286997673859</v>
          </cell>
        </row>
        <row r="47">
          <cell r="K47" t="str">
            <v>2:19000202</v>
          </cell>
        </row>
        <row r="48">
          <cell r="H48">
            <v>0.866286997673859</v>
          </cell>
        </row>
        <row r="48">
          <cell r="K48" t="str">
            <v>2:19000302</v>
          </cell>
        </row>
        <row r="49">
          <cell r="H49">
            <v>0.866286997673859</v>
          </cell>
        </row>
        <row r="49">
          <cell r="K49" t="str">
            <v>2:19000402</v>
          </cell>
        </row>
        <row r="50">
          <cell r="H50">
            <v>0.779658297906473</v>
          </cell>
        </row>
        <row r="50">
          <cell r="K50" t="str">
            <v>2:19000103</v>
          </cell>
        </row>
        <row r="51">
          <cell r="H51">
            <v>0.779658297906473</v>
          </cell>
        </row>
        <row r="51">
          <cell r="K51" t="str">
            <v>2:19000203</v>
          </cell>
        </row>
        <row r="52">
          <cell r="H52">
            <v>0.779658297906473</v>
          </cell>
        </row>
        <row r="52">
          <cell r="K52" t="str">
            <v>2:19000303</v>
          </cell>
        </row>
        <row r="53">
          <cell r="H53">
            <v>0.779658297906473</v>
          </cell>
        </row>
        <row r="53">
          <cell r="K53" t="str">
            <v>2:19000403</v>
          </cell>
        </row>
        <row r="54">
          <cell r="H54">
            <v>0.693029598139087</v>
          </cell>
        </row>
        <row r="54">
          <cell r="K54" t="str">
            <v>2:19000104</v>
          </cell>
        </row>
        <row r="55">
          <cell r="H55">
            <v>0.693029598139087</v>
          </cell>
        </row>
        <row r="55">
          <cell r="K55" t="str">
            <v>2:19000204</v>
          </cell>
        </row>
        <row r="56">
          <cell r="H56">
            <v>0.693029598139087</v>
          </cell>
        </row>
        <row r="56">
          <cell r="K56" t="str">
            <v>2:19000304</v>
          </cell>
        </row>
        <row r="57">
          <cell r="H57">
            <v>0.693029598139087</v>
          </cell>
        </row>
        <row r="57">
          <cell r="K57" t="str">
            <v>2:19000404</v>
          </cell>
        </row>
        <row r="58">
          <cell r="H58">
            <v>0.606400898371701</v>
          </cell>
        </row>
        <row r="58">
          <cell r="K58" t="str">
            <v>2:19000105</v>
          </cell>
        </row>
        <row r="59">
          <cell r="H59">
            <v>0.606400898371701</v>
          </cell>
        </row>
        <row r="59">
          <cell r="K59" t="str">
            <v>2:19000205</v>
          </cell>
        </row>
        <row r="60">
          <cell r="H60">
            <v>0.606400898371701</v>
          </cell>
        </row>
        <row r="60">
          <cell r="K60" t="str">
            <v>2:19000305</v>
          </cell>
        </row>
        <row r="61">
          <cell r="H61">
            <v>0.606400898371701</v>
          </cell>
        </row>
        <row r="61">
          <cell r="K61" t="str">
            <v>2:19000405</v>
          </cell>
        </row>
        <row r="62">
          <cell r="H62">
            <v>0.519772198604315</v>
          </cell>
        </row>
        <row r="62">
          <cell r="K62" t="str">
            <v>2:19000106</v>
          </cell>
        </row>
        <row r="63">
          <cell r="H63">
            <v>0.519772198604315</v>
          </cell>
        </row>
        <row r="63">
          <cell r="K63" t="str">
            <v>2:19000206</v>
          </cell>
        </row>
        <row r="64">
          <cell r="H64">
            <v>0.519772198604315</v>
          </cell>
        </row>
        <row r="64">
          <cell r="K64" t="str">
            <v>2:19000306</v>
          </cell>
        </row>
        <row r="65">
          <cell r="H65">
            <v>0.519772198604315</v>
          </cell>
        </row>
        <row r="65">
          <cell r="K65" t="str">
            <v>2:19000406</v>
          </cell>
        </row>
        <row r="66">
          <cell r="H66">
            <v>0</v>
          </cell>
        </row>
        <row r="66">
          <cell r="K66" t="str">
            <v>3:200003</v>
          </cell>
        </row>
        <row r="67">
          <cell r="K67">
            <v>0</v>
          </cell>
        </row>
        <row r="70">
          <cell r="H70" t="str">
            <v>每日时长</v>
          </cell>
        </row>
        <row r="71">
          <cell r="H71">
            <v>1440</v>
          </cell>
        </row>
        <row r="72">
          <cell r="K72" t="str">
            <v>1005:30</v>
          </cell>
        </row>
        <row r="73">
          <cell r="K73" t="str">
            <v>1014:10</v>
          </cell>
        </row>
        <row r="74">
          <cell r="K74" t="str">
            <v>0:0:1320</v>
          </cell>
        </row>
        <row r="75">
          <cell r="H75">
            <v>0.25</v>
          </cell>
        </row>
        <row r="75">
          <cell r="K75" t="str">
            <v>3:100217:0:99</v>
          </cell>
        </row>
        <row r="76">
          <cell r="H76">
            <v>0.25</v>
          </cell>
        </row>
        <row r="76">
          <cell r="K76" t="str">
            <v>4:606002:0=99</v>
          </cell>
        </row>
        <row r="77">
          <cell r="H77">
            <v>0.25</v>
          </cell>
        </row>
        <row r="77">
          <cell r="K77" t="str">
            <v>5:1:0=99</v>
          </cell>
        </row>
        <row r="78">
          <cell r="H78">
            <v>0.25</v>
          </cell>
        </row>
        <row r="78">
          <cell r="K78" t="str">
            <v>2:19000100:1:800</v>
          </cell>
        </row>
        <row r="79">
          <cell r="H79">
            <v>0.25</v>
          </cell>
        </row>
        <row r="79">
          <cell r="K79" t="str">
            <v>2:19000100:1:800</v>
          </cell>
        </row>
        <row r="80">
          <cell r="H80">
            <v>0.743589743589744</v>
          </cell>
        </row>
        <row r="80">
          <cell r="K80" t="str">
            <v>3:100217:1:200</v>
          </cell>
        </row>
        <row r="81">
          <cell r="H81">
            <v>0.256410256410256</v>
          </cell>
        </row>
        <row r="81">
          <cell r="K81" t="str">
            <v>3:100217:1:200</v>
          </cell>
        </row>
        <row r="82">
          <cell r="K82" t="str">
            <v>3:100215:11</v>
          </cell>
        </row>
        <row r="83">
          <cell r="K83" t="str">
            <v>0:0:1320</v>
          </cell>
        </row>
        <row r="84">
          <cell r="K84" t="str">
            <v>0:4:1320</v>
          </cell>
        </row>
        <row r="86">
          <cell r="H86">
            <v>15840</v>
          </cell>
        </row>
        <row r="86">
          <cell r="K86" t="str">
            <v>3:100215:11</v>
          </cell>
        </row>
        <row r="87">
          <cell r="H87">
            <v>1900800</v>
          </cell>
        </row>
        <row r="87">
          <cell r="K87" t="str">
            <v>0:0:1320</v>
          </cell>
        </row>
        <row r="88">
          <cell r="H88">
            <v>1900800</v>
          </cell>
        </row>
        <row r="88">
          <cell r="K88" t="str">
            <v>0:4:1320</v>
          </cell>
        </row>
        <row r="90">
          <cell r="H90">
            <v>14.4</v>
          </cell>
        </row>
        <row r="90">
          <cell r="K90" t="str">
            <v>3:100217:0:99</v>
          </cell>
        </row>
        <row r="91">
          <cell r="H91">
            <v>14.4</v>
          </cell>
        </row>
        <row r="91">
          <cell r="K91" t="str">
            <v>4:606002:0=99</v>
          </cell>
        </row>
        <row r="92">
          <cell r="H92">
            <v>14.4</v>
          </cell>
        </row>
        <row r="92">
          <cell r="K92" t="str">
            <v>5:1:0=99</v>
          </cell>
        </row>
        <row r="94">
          <cell r="H94">
            <v>12.0125130344108</v>
          </cell>
        </row>
        <row r="94">
          <cell r="K94" t="str">
            <v>2:19000100:1:800</v>
          </cell>
        </row>
        <row r="95">
          <cell r="H95">
            <v>12.0125130344108</v>
          </cell>
        </row>
        <row r="95">
          <cell r="K95" t="str">
            <v>2:19000200:1:800</v>
          </cell>
        </row>
        <row r="96">
          <cell r="H96">
            <v>12.0125130344108</v>
          </cell>
        </row>
        <row r="96">
          <cell r="K96" t="str">
            <v>2:19000300:1:800</v>
          </cell>
        </row>
        <row r="97">
          <cell r="H97">
            <v>12.0125130344108</v>
          </cell>
        </row>
        <row r="97">
          <cell r="K97" t="str">
            <v>2:19000400:1:800</v>
          </cell>
        </row>
        <row r="98">
          <cell r="H98">
            <v>10.1355578727842</v>
          </cell>
        </row>
        <row r="98">
          <cell r="K98" t="str">
            <v>2:19000101:1:675</v>
          </cell>
        </row>
        <row r="99">
          <cell r="H99">
            <v>10.1355578727842</v>
          </cell>
        </row>
        <row r="99">
          <cell r="K99" t="str">
            <v>2:19000201:1:675</v>
          </cell>
        </row>
        <row r="100">
          <cell r="H100">
            <v>10.1355578727842</v>
          </cell>
        </row>
        <row r="100">
          <cell r="K100" t="str">
            <v>2:19000301:1:675</v>
          </cell>
        </row>
        <row r="101">
          <cell r="H101">
            <v>10.1355578727842</v>
          </cell>
        </row>
        <row r="101">
          <cell r="K101" t="str">
            <v>2:19000401:1:675</v>
          </cell>
        </row>
        <row r="102">
          <cell r="H102">
            <v>3.75391032325339</v>
          </cell>
        </row>
        <row r="102">
          <cell r="K102" t="str">
            <v>2:19000102:1:250</v>
          </cell>
        </row>
        <row r="103">
          <cell r="H103">
            <v>3.75391032325339</v>
          </cell>
        </row>
        <row r="103">
          <cell r="K103" t="str">
            <v>2:19000202:1:250</v>
          </cell>
        </row>
        <row r="104">
          <cell r="H104">
            <v>3.75391032325339</v>
          </cell>
        </row>
        <row r="104">
          <cell r="K104" t="str">
            <v>2:19000302:1:250</v>
          </cell>
        </row>
        <row r="105">
          <cell r="H105">
            <v>3.75391032325339</v>
          </cell>
        </row>
        <row r="105">
          <cell r="K105" t="str">
            <v>2:19000402:1:250</v>
          </cell>
        </row>
        <row r="106">
          <cell r="H106">
            <v>3.37851929092805</v>
          </cell>
        </row>
        <row r="106">
          <cell r="K106" t="str">
            <v>2:19000103:1:225</v>
          </cell>
        </row>
        <row r="107">
          <cell r="H107">
            <v>3.37851929092805</v>
          </cell>
        </row>
        <row r="107">
          <cell r="K107" t="str">
            <v>2:19000203:1:225</v>
          </cell>
        </row>
        <row r="108">
          <cell r="H108">
            <v>3.37851929092805</v>
          </cell>
        </row>
        <row r="108">
          <cell r="K108" t="str">
            <v>2:19000303:1:225</v>
          </cell>
        </row>
        <row r="109">
          <cell r="H109">
            <v>3.37851929092805</v>
          </cell>
        </row>
        <row r="109">
          <cell r="K109" t="str">
            <v>2:19000403:1:225</v>
          </cell>
        </row>
        <row r="110">
          <cell r="H110">
            <v>3.00312825860271</v>
          </cell>
        </row>
        <row r="110">
          <cell r="K110" t="str">
            <v>2:19000104:1:200</v>
          </cell>
        </row>
        <row r="111">
          <cell r="H111">
            <v>3.00312825860271</v>
          </cell>
        </row>
        <row r="111">
          <cell r="K111" t="str">
            <v>2:19000204:1:200</v>
          </cell>
        </row>
        <row r="112">
          <cell r="H112">
            <v>3.00312825860271</v>
          </cell>
        </row>
        <row r="112">
          <cell r="K112" t="str">
            <v>2:19000304:1:200</v>
          </cell>
        </row>
        <row r="113">
          <cell r="H113">
            <v>3.00312825860271</v>
          </cell>
        </row>
        <row r="113">
          <cell r="K113" t="str">
            <v>2:19000404:1:200</v>
          </cell>
        </row>
        <row r="114">
          <cell r="H114">
            <v>2.62773722627737</v>
          </cell>
        </row>
        <row r="114">
          <cell r="K114" t="str">
            <v>2:19000105:1:175</v>
          </cell>
        </row>
        <row r="115">
          <cell r="H115">
            <v>2.62773722627737</v>
          </cell>
        </row>
        <row r="115">
          <cell r="K115" t="str">
            <v>2:19000205:1:175</v>
          </cell>
        </row>
        <row r="116">
          <cell r="H116">
            <v>2.62773722627737</v>
          </cell>
        </row>
        <row r="116">
          <cell r="K116" t="str">
            <v>2:19000305:1:175</v>
          </cell>
        </row>
        <row r="117">
          <cell r="H117">
            <v>2.62773722627737</v>
          </cell>
        </row>
        <row r="117">
          <cell r="K117" t="str">
            <v>2:19000405:1:175</v>
          </cell>
        </row>
        <row r="118">
          <cell r="H118">
            <v>2.25234619395203</v>
          </cell>
        </row>
        <row r="118">
          <cell r="K118" t="str">
            <v>2:19000106:1:150</v>
          </cell>
        </row>
        <row r="119">
          <cell r="H119">
            <v>2.25234619395203</v>
          </cell>
        </row>
        <row r="119">
          <cell r="K119" t="str">
            <v>2:19000206:1:150</v>
          </cell>
        </row>
        <row r="120">
          <cell r="H120">
            <v>2.25234619395203</v>
          </cell>
        </row>
        <row r="120">
          <cell r="K120" t="str">
            <v>2:19000306:1:150</v>
          </cell>
        </row>
        <row r="121">
          <cell r="H121">
            <v>2.25234619395203</v>
          </cell>
        </row>
        <row r="121">
          <cell r="K121" t="str">
            <v>2:19000406:1:150</v>
          </cell>
        </row>
        <row r="122">
          <cell r="H122">
            <v>0</v>
          </cell>
        </row>
        <row r="122">
          <cell r="K122" t="str">
            <v>3:200003:0:86000</v>
          </cell>
        </row>
        <row r="123">
          <cell r="H123">
            <v>0</v>
          </cell>
        </row>
        <row r="124">
          <cell r="H124">
            <v>12.0125130344108</v>
          </cell>
        </row>
        <row r="124">
          <cell r="K124" t="str">
            <v>2:19000100:1:800</v>
          </cell>
        </row>
        <row r="125">
          <cell r="H125">
            <v>12.0125130344108</v>
          </cell>
        </row>
        <row r="125">
          <cell r="K125" t="str">
            <v>2:19000200:1:800</v>
          </cell>
        </row>
        <row r="126">
          <cell r="H126">
            <v>12.0125130344108</v>
          </cell>
        </row>
        <row r="126">
          <cell r="K126" t="str">
            <v>2:19000300:1:800</v>
          </cell>
        </row>
        <row r="127">
          <cell r="H127">
            <v>12.0125130344108</v>
          </cell>
        </row>
        <row r="127">
          <cell r="K127" t="str">
            <v>2:19000400:1:800</v>
          </cell>
        </row>
        <row r="128">
          <cell r="H128">
            <v>10.1355578727842</v>
          </cell>
        </row>
        <row r="128">
          <cell r="K128" t="str">
            <v>2:19000101:1:675</v>
          </cell>
        </row>
        <row r="129">
          <cell r="H129">
            <v>10.1355578727842</v>
          </cell>
        </row>
        <row r="129">
          <cell r="K129" t="str">
            <v>2:19000201:1:675</v>
          </cell>
        </row>
        <row r="130">
          <cell r="H130">
            <v>10.1355578727842</v>
          </cell>
        </row>
        <row r="130">
          <cell r="K130" t="str">
            <v>2:19000301:1:675</v>
          </cell>
        </row>
        <row r="131">
          <cell r="H131">
            <v>10.1355578727842</v>
          </cell>
        </row>
        <row r="131">
          <cell r="K131" t="str">
            <v>2:19000401:1:675</v>
          </cell>
        </row>
        <row r="132">
          <cell r="H132">
            <v>3.75391032325339</v>
          </cell>
        </row>
        <row r="132">
          <cell r="K132" t="str">
            <v>2:19000102:1:250</v>
          </cell>
        </row>
        <row r="133">
          <cell r="H133">
            <v>3.75391032325339</v>
          </cell>
        </row>
        <row r="133">
          <cell r="K133" t="str">
            <v>2:19000202:1:250</v>
          </cell>
        </row>
        <row r="134">
          <cell r="H134">
            <v>3.75391032325339</v>
          </cell>
        </row>
        <row r="134">
          <cell r="K134" t="str">
            <v>2:19000302:1:250</v>
          </cell>
        </row>
        <row r="135">
          <cell r="H135">
            <v>3.75391032325339</v>
          </cell>
        </row>
        <row r="135">
          <cell r="K135" t="str">
            <v>2:19000402:1:250</v>
          </cell>
        </row>
        <row r="136">
          <cell r="H136">
            <v>3.37851929092805</v>
          </cell>
        </row>
        <row r="136">
          <cell r="K136" t="str">
            <v>2:19000103:1:225</v>
          </cell>
        </row>
        <row r="137">
          <cell r="H137">
            <v>3.37851929092805</v>
          </cell>
        </row>
        <row r="137">
          <cell r="K137" t="str">
            <v>2:19000203:1:225</v>
          </cell>
        </row>
        <row r="138">
          <cell r="H138">
            <v>3.37851929092805</v>
          </cell>
        </row>
        <row r="138">
          <cell r="K138" t="str">
            <v>2:19000303:1:225</v>
          </cell>
        </row>
        <row r="139">
          <cell r="H139">
            <v>3.37851929092805</v>
          </cell>
        </row>
        <row r="139">
          <cell r="K139" t="str">
            <v>2:19000403:1:225</v>
          </cell>
        </row>
        <row r="140">
          <cell r="H140">
            <v>3.00312825860271</v>
          </cell>
        </row>
        <row r="140">
          <cell r="K140" t="str">
            <v>2:19000104:1:200</v>
          </cell>
        </row>
        <row r="141">
          <cell r="H141">
            <v>3.00312825860271</v>
          </cell>
        </row>
        <row r="141">
          <cell r="K141" t="str">
            <v>2:19000204:1:200</v>
          </cell>
        </row>
        <row r="142">
          <cell r="H142">
            <v>3.00312825860271</v>
          </cell>
        </row>
        <row r="142">
          <cell r="K142" t="str">
            <v>2:19000304:1:200</v>
          </cell>
        </row>
        <row r="143">
          <cell r="H143">
            <v>3.00312825860271</v>
          </cell>
        </row>
        <row r="143">
          <cell r="K143" t="str">
            <v>2:19000404:1:200</v>
          </cell>
        </row>
        <row r="144">
          <cell r="H144">
            <v>2.62773722627737</v>
          </cell>
        </row>
        <row r="144">
          <cell r="K144" t="str">
            <v>2:19000105:1:175</v>
          </cell>
        </row>
        <row r="145">
          <cell r="H145">
            <v>2.62773722627737</v>
          </cell>
        </row>
        <row r="145">
          <cell r="K145" t="str">
            <v>2:19000205:1:175</v>
          </cell>
        </row>
        <row r="146">
          <cell r="H146">
            <v>2.62773722627737</v>
          </cell>
        </row>
        <row r="146">
          <cell r="K146" t="str">
            <v>2:19000305:1:175</v>
          </cell>
        </row>
        <row r="147">
          <cell r="H147">
            <v>2.62773722627737</v>
          </cell>
        </row>
        <row r="147">
          <cell r="K147" t="str">
            <v>2:19000405:1:175</v>
          </cell>
        </row>
        <row r="148">
          <cell r="H148">
            <v>2.25234619395203</v>
          </cell>
        </row>
        <row r="148">
          <cell r="K148" t="str">
            <v>2:19000106:1:150</v>
          </cell>
        </row>
        <row r="149">
          <cell r="H149">
            <v>2.25234619395203</v>
          </cell>
        </row>
        <row r="149">
          <cell r="K149" t="str">
            <v>2:19000206:1:150</v>
          </cell>
        </row>
        <row r="150">
          <cell r="H150">
            <v>2.25234619395203</v>
          </cell>
        </row>
        <row r="150">
          <cell r="K150" t="str">
            <v>2:19000306:1:150</v>
          </cell>
        </row>
        <row r="151">
          <cell r="H151">
            <v>2.25234619395203</v>
          </cell>
        </row>
        <row r="151">
          <cell r="K151" t="str">
            <v>2:19000406:1:150</v>
          </cell>
        </row>
        <row r="152">
          <cell r="H152">
            <v>0</v>
          </cell>
        </row>
        <row r="152">
          <cell r="K152" t="str">
            <v>3:200003:0:86000</v>
          </cell>
        </row>
        <row r="153">
          <cell r="H153">
            <v>0</v>
          </cell>
        </row>
        <row r="154">
          <cell r="H154">
            <v>0.853649499814746</v>
          </cell>
        </row>
        <row r="154">
          <cell r="K154" t="str">
            <v>3:100217:1:200</v>
          </cell>
        </row>
        <row r="155">
          <cell r="H155">
            <v>0</v>
          </cell>
        </row>
        <row r="155">
          <cell r="K155" t="str">
            <v>8:1000001:0:330000</v>
          </cell>
        </row>
        <row r="156">
          <cell r="H156">
            <v>0.106706187476843</v>
          </cell>
        </row>
        <row r="156">
          <cell r="K156" t="str">
            <v>8:1000002:1:25</v>
          </cell>
        </row>
        <row r="157">
          <cell r="H157">
            <v>0.213412374953687</v>
          </cell>
        </row>
        <row r="157">
          <cell r="K157" t="str">
            <v>8:1000003:1:50</v>
          </cell>
        </row>
        <row r="158">
          <cell r="H158">
            <v>0.426824749907373</v>
          </cell>
        </row>
        <row r="158">
          <cell r="K158" t="str">
            <v>8:1000004:1:100</v>
          </cell>
        </row>
        <row r="159">
          <cell r="H159">
            <v>0.106706187476843</v>
          </cell>
        </row>
        <row r="159">
          <cell r="K159" t="str">
            <v>8:2000002:1:25</v>
          </cell>
        </row>
        <row r="160">
          <cell r="H160">
            <v>0.213412374953687</v>
          </cell>
        </row>
        <row r="160">
          <cell r="K160" t="str">
            <v>8:2000003:1:50</v>
          </cell>
        </row>
        <row r="161">
          <cell r="H161">
            <v>0.426824749907373</v>
          </cell>
        </row>
        <row r="161">
          <cell r="K161" t="str">
            <v>8:2000004:1:100</v>
          </cell>
        </row>
        <row r="162">
          <cell r="H162">
            <v>0.106706187476843</v>
          </cell>
        </row>
        <row r="162">
          <cell r="K162" t="str">
            <v>8:3000002:1:25</v>
          </cell>
        </row>
        <row r="163">
          <cell r="H163">
            <v>0.213412374953687</v>
          </cell>
        </row>
        <row r="163">
          <cell r="K163" t="str">
            <v>8:3000003:1:50</v>
          </cell>
        </row>
        <row r="164">
          <cell r="H164">
            <v>0.426824749907373</v>
          </cell>
        </row>
        <row r="164">
          <cell r="K164" t="str">
            <v>8:3000004:1:100</v>
          </cell>
        </row>
        <row r="165">
          <cell r="H165">
            <v>0.106706187476843</v>
          </cell>
        </row>
        <row r="165">
          <cell r="K165" t="str">
            <v>8:4000002:1:25</v>
          </cell>
        </row>
        <row r="166">
          <cell r="H166">
            <v>0.213412374953687</v>
          </cell>
        </row>
        <row r="166">
          <cell r="K166" t="str">
            <v>8:4000003:1:50</v>
          </cell>
        </row>
        <row r="167">
          <cell r="H167">
            <v>0.426824749907373</v>
          </cell>
        </row>
        <row r="167">
          <cell r="K167" t="str">
            <v>8:4000004:1:100</v>
          </cell>
        </row>
        <row r="168">
          <cell r="H168">
            <v>0.106706187476843</v>
          </cell>
        </row>
        <row r="168">
          <cell r="K168" t="str">
            <v>8:5000002:1:25</v>
          </cell>
        </row>
        <row r="169">
          <cell r="H169">
            <v>0.213412374953687</v>
          </cell>
        </row>
        <row r="169">
          <cell r="K169" t="str">
            <v>8:5000003:1:50</v>
          </cell>
        </row>
        <row r="170">
          <cell r="H170">
            <v>0.426824749907373</v>
          </cell>
        </row>
        <row r="170">
          <cell r="K170" t="str">
            <v>8:5000004:1:100</v>
          </cell>
        </row>
        <row r="171">
          <cell r="H171">
            <v>0.106706187476843</v>
          </cell>
        </row>
        <row r="171">
          <cell r="K171" t="str">
            <v>8:6000002:1:25</v>
          </cell>
        </row>
        <row r="172">
          <cell r="H172">
            <v>0.213412374953687</v>
          </cell>
        </row>
        <row r="172">
          <cell r="K172" t="str">
            <v>8:6000003:1:50</v>
          </cell>
        </row>
        <row r="173">
          <cell r="H173">
            <v>0.426824749907373</v>
          </cell>
        </row>
        <row r="173">
          <cell r="K173" t="str">
            <v>8:6000004:1:100</v>
          </cell>
        </row>
        <row r="174">
          <cell r="H174">
            <v>0.106706187476843</v>
          </cell>
        </row>
        <row r="174">
          <cell r="K174" t="str">
            <v>8:7000002:1:25</v>
          </cell>
        </row>
        <row r="175">
          <cell r="H175">
            <v>0.213412374953687</v>
          </cell>
        </row>
        <row r="175">
          <cell r="K175" t="str">
            <v>8:7000003:1:50</v>
          </cell>
        </row>
        <row r="176">
          <cell r="H176">
            <v>0.426824749907373</v>
          </cell>
        </row>
        <row r="176">
          <cell r="K176" t="str">
            <v>8:7000004:1:100</v>
          </cell>
        </row>
        <row r="177">
          <cell r="H177">
            <v>0.106706187476843</v>
          </cell>
        </row>
        <row r="177">
          <cell r="K177" t="str">
            <v>8:8000002:1:25</v>
          </cell>
        </row>
        <row r="178">
          <cell r="H178">
            <v>0.213412374953687</v>
          </cell>
        </row>
        <row r="178">
          <cell r="K178" t="str">
            <v>8:8000003:1:50</v>
          </cell>
        </row>
        <row r="179">
          <cell r="H179">
            <v>0.426824749907373</v>
          </cell>
        </row>
        <row r="179">
          <cell r="K179" t="str">
            <v>8:8000004:1:100</v>
          </cell>
        </row>
        <row r="180">
          <cell r="H180">
            <v>0.106706187476843</v>
          </cell>
        </row>
        <row r="180">
          <cell r="K180" t="str">
            <v>8:9000002:1:25</v>
          </cell>
        </row>
        <row r="181">
          <cell r="H181">
            <v>0.213412374953687</v>
          </cell>
        </row>
        <row r="181">
          <cell r="K181" t="str">
            <v>8:9000003:1:50</v>
          </cell>
        </row>
        <row r="182">
          <cell r="H182">
            <v>0.426824749907373</v>
          </cell>
        </row>
        <row r="182">
          <cell r="K182" t="str">
            <v>8:9000004:1:100</v>
          </cell>
        </row>
        <row r="183">
          <cell r="H183">
            <v>0.106706187476843</v>
          </cell>
        </row>
        <row r="183">
          <cell r="K183" t="str">
            <v>8:10000002:1:25</v>
          </cell>
        </row>
        <row r="184">
          <cell r="H184">
            <v>0.213412374953687</v>
          </cell>
        </row>
        <row r="184">
          <cell r="K184" t="str">
            <v>8:10000003:1:50</v>
          </cell>
        </row>
        <row r="185">
          <cell r="H185">
            <v>0.426824749907373</v>
          </cell>
        </row>
        <row r="185">
          <cell r="K185" t="str">
            <v>8:10000004:1:100</v>
          </cell>
        </row>
        <row r="186">
          <cell r="H186">
            <v>0.106706187476843</v>
          </cell>
        </row>
        <row r="186">
          <cell r="K186" t="str">
            <v>8:11000002:1:25</v>
          </cell>
        </row>
        <row r="187">
          <cell r="H187">
            <v>0.213412374953687</v>
          </cell>
        </row>
        <row r="187">
          <cell r="K187" t="str">
            <v>8:11000003:1:50</v>
          </cell>
        </row>
        <row r="188">
          <cell r="H188">
            <v>0.426824749907373</v>
          </cell>
        </row>
        <row r="188">
          <cell r="K188" t="str">
            <v>8:11000004:1:100</v>
          </cell>
        </row>
        <row r="189">
          <cell r="H189">
            <v>0.106706187476843</v>
          </cell>
        </row>
        <row r="189">
          <cell r="K189" t="str">
            <v>8:12000002:1:25</v>
          </cell>
        </row>
        <row r="190">
          <cell r="H190">
            <v>0.213412374953687</v>
          </cell>
        </row>
        <row r="190">
          <cell r="K190" t="str">
            <v>8:12000003:1:50</v>
          </cell>
        </row>
        <row r="191">
          <cell r="H191">
            <v>0.426824749907373</v>
          </cell>
        </row>
        <row r="191">
          <cell r="K191" t="str">
            <v>8:12000004:1:100</v>
          </cell>
        </row>
        <row r="192">
          <cell r="H192">
            <v>0.106706187476843</v>
          </cell>
        </row>
        <row r="192">
          <cell r="K192" t="str">
            <v>8:13000002:1:25</v>
          </cell>
        </row>
        <row r="193">
          <cell r="H193">
            <v>0.213412374953687</v>
          </cell>
        </row>
        <row r="193">
          <cell r="K193" t="str">
            <v>8:13000003:1:50</v>
          </cell>
        </row>
        <row r="194">
          <cell r="H194">
            <v>0.426824749907373</v>
          </cell>
        </row>
        <row r="194">
          <cell r="K194" t="str">
            <v>8:13000004:1:100</v>
          </cell>
        </row>
        <row r="195">
          <cell r="H195">
            <v>0.106706187476843</v>
          </cell>
        </row>
        <row r="195">
          <cell r="K195" t="str">
            <v>8:14000002:1:25</v>
          </cell>
        </row>
        <row r="196">
          <cell r="H196">
            <v>0.213412374953687</v>
          </cell>
        </row>
        <row r="196">
          <cell r="K196" t="str">
            <v>8:14000003:1:50</v>
          </cell>
        </row>
        <row r="197">
          <cell r="H197">
            <v>0.426824749907373</v>
          </cell>
        </row>
        <row r="197">
          <cell r="K197" t="str">
            <v>8:14000004:1:100</v>
          </cell>
        </row>
        <row r="198">
          <cell r="H198">
            <v>0.106706187476843</v>
          </cell>
        </row>
        <row r="198">
          <cell r="K198" t="str">
            <v>8:15000002:1:25</v>
          </cell>
        </row>
        <row r="199">
          <cell r="H199">
            <v>0.213412374953687</v>
          </cell>
        </row>
        <row r="199">
          <cell r="K199" t="str">
            <v>8:15000003:1:50</v>
          </cell>
        </row>
        <row r="200">
          <cell r="H200">
            <v>0.426824749907373</v>
          </cell>
        </row>
        <row r="200">
          <cell r="K200" t="str">
            <v>8:15000004:1:100</v>
          </cell>
        </row>
        <row r="201">
          <cell r="H201">
            <v>0.106706187476843</v>
          </cell>
        </row>
        <row r="201">
          <cell r="K201" t="str">
            <v>8:16000002:1:25</v>
          </cell>
        </row>
        <row r="202">
          <cell r="H202">
            <v>0.213412374953687</v>
          </cell>
        </row>
        <row r="202">
          <cell r="K202" t="str">
            <v>8:16000003:1:50</v>
          </cell>
        </row>
        <row r="203">
          <cell r="H203">
            <v>0.426824749907373</v>
          </cell>
        </row>
        <row r="203">
          <cell r="K203" t="str">
            <v>8:16000004:1:100</v>
          </cell>
        </row>
        <row r="204">
          <cell r="H204">
            <v>0.106706187476843</v>
          </cell>
        </row>
        <row r="204">
          <cell r="K204" t="str">
            <v>8:17000002:1:25</v>
          </cell>
        </row>
        <row r="205">
          <cell r="H205">
            <v>0.213412374953687</v>
          </cell>
        </row>
        <row r="205">
          <cell r="K205" t="str">
            <v>8:17000003:1:50</v>
          </cell>
        </row>
        <row r="206">
          <cell r="H206">
            <v>0.426824749907373</v>
          </cell>
        </row>
        <row r="206">
          <cell r="K206" t="str">
            <v>8:17000004:1:100</v>
          </cell>
        </row>
        <row r="207">
          <cell r="H207">
            <v>0.106706187476843</v>
          </cell>
        </row>
        <row r="207">
          <cell r="K207" t="str">
            <v>8:18000002:1:25</v>
          </cell>
        </row>
        <row r="208">
          <cell r="H208">
            <v>0.213412374953687</v>
          </cell>
        </row>
        <row r="208">
          <cell r="K208" t="str">
            <v>8:18000003:1:50</v>
          </cell>
        </row>
        <row r="209">
          <cell r="H209">
            <v>0.426824749907373</v>
          </cell>
        </row>
        <row r="209">
          <cell r="K209" t="str">
            <v>8:18000004:1:100</v>
          </cell>
        </row>
        <row r="210">
          <cell r="H210">
            <v>0.106706187476843</v>
          </cell>
        </row>
        <row r="210">
          <cell r="K210" t="str">
            <v>8:19000002:1:25</v>
          </cell>
        </row>
        <row r="211">
          <cell r="H211">
            <v>0.213412374953687</v>
          </cell>
        </row>
        <row r="211">
          <cell r="K211" t="str">
            <v>8:19000003:1:50</v>
          </cell>
        </row>
        <row r="212">
          <cell r="H212">
            <v>0.426824749907373</v>
          </cell>
        </row>
        <row r="212">
          <cell r="K212" t="str">
            <v>8:19000004:1:100</v>
          </cell>
        </row>
        <row r="213">
          <cell r="H213">
            <v>0.106706187476843</v>
          </cell>
        </row>
        <row r="213">
          <cell r="K213" t="str">
            <v>8:20000002:1:25</v>
          </cell>
        </row>
        <row r="214">
          <cell r="H214">
            <v>0.213412374953687</v>
          </cell>
        </row>
        <row r="214">
          <cell r="K214" t="str">
            <v>8:20000003:1:50</v>
          </cell>
        </row>
        <row r="215">
          <cell r="H215">
            <v>0.426824749907373</v>
          </cell>
        </row>
        <row r="215">
          <cell r="K215" t="str">
            <v>8:20000004:1:100</v>
          </cell>
        </row>
        <row r="216">
          <cell r="H216">
            <v>0.106706187476843</v>
          </cell>
        </row>
        <row r="216">
          <cell r="K216" t="str">
            <v>8:21000002:1:25</v>
          </cell>
        </row>
        <row r="217">
          <cell r="H217">
            <v>0.213412374953687</v>
          </cell>
        </row>
        <row r="217">
          <cell r="K217" t="str">
            <v>8:21000003:1:50</v>
          </cell>
        </row>
        <row r="218">
          <cell r="H218">
            <v>0.426824749907373</v>
          </cell>
        </row>
        <row r="218">
          <cell r="K218" t="str">
            <v>8:21000004:1:100</v>
          </cell>
        </row>
        <row r="219">
          <cell r="H219">
            <v>0.106706187476843</v>
          </cell>
        </row>
        <row r="219">
          <cell r="K219" t="str">
            <v>8:22000002:1:25</v>
          </cell>
        </row>
        <row r="220">
          <cell r="H220">
            <v>0.213412374953687</v>
          </cell>
        </row>
        <row r="220">
          <cell r="K220" t="str">
            <v>8:22000003:1:50</v>
          </cell>
        </row>
        <row r="221">
          <cell r="H221">
            <v>0.426824749907373</v>
          </cell>
        </row>
        <row r="221">
          <cell r="K221" t="str">
            <v>8:22000004:1:100</v>
          </cell>
        </row>
        <row r="222">
          <cell r="H222">
            <v>0.106706187476843</v>
          </cell>
        </row>
        <row r="222">
          <cell r="K222" t="str">
            <v>8:23000002:1:25</v>
          </cell>
        </row>
        <row r="223">
          <cell r="H223">
            <v>0.213412374953687</v>
          </cell>
        </row>
        <row r="223">
          <cell r="K223" t="str">
            <v>8:23000003:1:50</v>
          </cell>
        </row>
        <row r="224">
          <cell r="H224">
            <v>0.426824749907373</v>
          </cell>
        </row>
        <row r="224">
          <cell r="K224" t="str">
            <v>8:23000004:1:100</v>
          </cell>
        </row>
        <row r="225">
          <cell r="H225">
            <v>0.106706187476843</v>
          </cell>
        </row>
        <row r="225">
          <cell r="K225" t="str">
            <v>8:24000002:1:25</v>
          </cell>
        </row>
        <row r="226">
          <cell r="H226">
            <v>0.213412374953687</v>
          </cell>
        </row>
        <row r="226">
          <cell r="K226" t="str">
            <v>8:24000003:1:50</v>
          </cell>
        </row>
        <row r="227">
          <cell r="H227">
            <v>0.426824749907373</v>
          </cell>
        </row>
        <row r="227">
          <cell r="K227" t="str">
            <v>8:24000004:1:100</v>
          </cell>
        </row>
        <row r="228">
          <cell r="H228">
            <v>0.106706187476843</v>
          </cell>
        </row>
        <row r="228">
          <cell r="K228" t="str">
            <v>8:25000002:1:25</v>
          </cell>
        </row>
        <row r="229">
          <cell r="H229">
            <v>0.213412374953687</v>
          </cell>
        </row>
        <row r="229">
          <cell r="K229" t="str">
            <v>8:25000003:1:50</v>
          </cell>
        </row>
        <row r="230">
          <cell r="H230">
            <v>0.426824749907373</v>
          </cell>
        </row>
        <row r="230">
          <cell r="K230" t="str">
            <v>8:25000004:1:100</v>
          </cell>
        </row>
        <row r="231">
          <cell r="H231">
            <v>0.106706187476843</v>
          </cell>
        </row>
        <row r="231">
          <cell r="K231" t="str">
            <v>8:26000002:1:25</v>
          </cell>
        </row>
        <row r="232">
          <cell r="H232">
            <v>0.213412374953687</v>
          </cell>
        </row>
        <row r="232">
          <cell r="K232" t="str">
            <v>8:26000003:1:50</v>
          </cell>
        </row>
        <row r="233">
          <cell r="H233">
            <v>0.426824749907373</v>
          </cell>
        </row>
        <row r="233">
          <cell r="K233" t="str">
            <v>8:26000004:1:100</v>
          </cell>
        </row>
        <row r="234">
          <cell r="H234">
            <v>0.106706187476843</v>
          </cell>
        </row>
        <row r="234">
          <cell r="K234" t="str">
            <v>8:27000002:1:25</v>
          </cell>
        </row>
        <row r="235">
          <cell r="H235">
            <v>0.213412374953687</v>
          </cell>
        </row>
        <row r="235">
          <cell r="K235" t="str">
            <v>8:27000003:1:50</v>
          </cell>
        </row>
        <row r="236">
          <cell r="H236">
            <v>0.426824749907373</v>
          </cell>
        </row>
        <row r="236">
          <cell r="K236" t="str">
            <v>8:27000004:1:100</v>
          </cell>
        </row>
        <row r="237">
          <cell r="H237">
            <v>0.106706187476843</v>
          </cell>
        </row>
        <row r="237">
          <cell r="K237" t="str">
            <v>8:28000002:1:25</v>
          </cell>
        </row>
        <row r="238">
          <cell r="H238">
            <v>0.213412374953687</v>
          </cell>
        </row>
        <row r="238">
          <cell r="K238" t="str">
            <v>8:28000003:1:50</v>
          </cell>
        </row>
        <row r="239">
          <cell r="H239">
            <v>0.426824749907373</v>
          </cell>
        </row>
        <row r="239">
          <cell r="K239" t="str">
            <v>8:28000004:1:100</v>
          </cell>
        </row>
        <row r="240">
          <cell r="H240">
            <v>0.106706187476843</v>
          </cell>
        </row>
        <row r="240">
          <cell r="K240" t="str">
            <v>8:29000002:1:25</v>
          </cell>
        </row>
        <row r="241">
          <cell r="H241">
            <v>0.213412374953687</v>
          </cell>
        </row>
        <row r="241">
          <cell r="K241" t="str">
            <v>8:29000003:1:50</v>
          </cell>
        </row>
        <row r="242">
          <cell r="H242">
            <v>0.426824749907373</v>
          </cell>
        </row>
        <row r="242">
          <cell r="K242" t="str">
            <v>8:29000004:1:100</v>
          </cell>
        </row>
        <row r="243">
          <cell r="H243">
            <v>0.106706187476843</v>
          </cell>
        </row>
        <row r="243">
          <cell r="K243" t="str">
            <v>8:30000002:1:25</v>
          </cell>
        </row>
        <row r="244">
          <cell r="H244">
            <v>0.213412374953687</v>
          </cell>
        </row>
        <row r="244">
          <cell r="K244" t="str">
            <v>8:30000003:1:50</v>
          </cell>
        </row>
        <row r="245">
          <cell r="H245">
            <v>0.426824749907373</v>
          </cell>
        </row>
        <row r="245">
          <cell r="K245" t="str">
            <v>8:30000004:1:100</v>
          </cell>
        </row>
        <row r="246">
          <cell r="H246">
            <v>0.106706187476843</v>
          </cell>
        </row>
        <row r="246">
          <cell r="K246" t="str">
            <v>8:31000002:1:25</v>
          </cell>
        </row>
        <row r="247">
          <cell r="H247">
            <v>0.213412374953687</v>
          </cell>
        </row>
        <row r="247">
          <cell r="K247" t="str">
            <v>8:31000003:1:50</v>
          </cell>
        </row>
        <row r="248">
          <cell r="H248">
            <v>0.426824749907373</v>
          </cell>
        </row>
        <row r="248">
          <cell r="K248" t="str">
            <v>8:31000004:1:100</v>
          </cell>
        </row>
        <row r="249">
          <cell r="H249">
            <v>0.106706187476843</v>
          </cell>
        </row>
        <row r="249">
          <cell r="K249" t="str">
            <v>8:32000002:1:25</v>
          </cell>
        </row>
        <row r="250">
          <cell r="H250">
            <v>0.213412374953687</v>
          </cell>
        </row>
        <row r="250">
          <cell r="K250" t="str">
            <v>8:32000003:1:50</v>
          </cell>
        </row>
        <row r="251">
          <cell r="H251">
            <v>0.426824749907373</v>
          </cell>
        </row>
        <row r="251">
          <cell r="K251" t="str">
            <v>8:32000004:1:100</v>
          </cell>
        </row>
        <row r="252">
          <cell r="H252">
            <v>0.106706187476843</v>
          </cell>
        </row>
        <row r="252">
          <cell r="K252" t="str">
            <v>8:33000002:1:25</v>
          </cell>
        </row>
        <row r="253">
          <cell r="H253">
            <v>0.213412374953687</v>
          </cell>
        </row>
        <row r="253">
          <cell r="K253" t="str">
            <v>8:33000003:1:50</v>
          </cell>
        </row>
        <row r="254">
          <cell r="H254">
            <v>0.426824749907373</v>
          </cell>
        </row>
        <row r="254">
          <cell r="K254" t="str">
            <v>8:33000004:1:100</v>
          </cell>
        </row>
        <row r="255">
          <cell r="H255">
            <v>0.106706187476843</v>
          </cell>
        </row>
        <row r="255">
          <cell r="K255" t="str">
            <v>8:34000002:1:25</v>
          </cell>
        </row>
        <row r="256">
          <cell r="H256">
            <v>0.213412374953687</v>
          </cell>
        </row>
        <row r="256">
          <cell r="K256" t="str">
            <v>8:34000003:1:50</v>
          </cell>
        </row>
        <row r="257">
          <cell r="H257">
            <v>0.426824749907373</v>
          </cell>
        </row>
        <row r="257">
          <cell r="K257" t="str">
            <v>8:34000004:1:100</v>
          </cell>
        </row>
        <row r="258">
          <cell r="H258">
            <v>0.106706187476843</v>
          </cell>
        </row>
        <row r="258">
          <cell r="K258" t="str">
            <v>8:35000002:1:25</v>
          </cell>
        </row>
        <row r="259">
          <cell r="H259">
            <v>0.213412374953687</v>
          </cell>
        </row>
        <row r="259">
          <cell r="K259" t="str">
            <v>8:35000003:1:50</v>
          </cell>
        </row>
        <row r="260">
          <cell r="H260">
            <v>0.426824749907373</v>
          </cell>
        </row>
        <row r="260">
          <cell r="K260" t="str">
            <v>8:35000004:1:100</v>
          </cell>
        </row>
        <row r="261">
          <cell r="H261">
            <v>0.106706187476843</v>
          </cell>
        </row>
        <row r="261">
          <cell r="K261" t="str">
            <v>8:36000002:1:25</v>
          </cell>
        </row>
        <row r="262">
          <cell r="H262">
            <v>0.213412374953687</v>
          </cell>
        </row>
        <row r="262">
          <cell r="K262" t="str">
            <v>8:36000003:1:50</v>
          </cell>
        </row>
        <row r="263">
          <cell r="H263">
            <v>0.426824749907373</v>
          </cell>
        </row>
        <row r="263">
          <cell r="K263" t="str">
            <v>8:36000004:1:100</v>
          </cell>
        </row>
        <row r="264">
          <cell r="H264">
            <v>0.106706187476843</v>
          </cell>
        </row>
        <row r="264">
          <cell r="K264" t="str">
            <v>8:37000002:1:25</v>
          </cell>
        </row>
        <row r="265">
          <cell r="H265">
            <v>0.213412374953687</v>
          </cell>
        </row>
        <row r="265">
          <cell r="K265" t="str">
            <v>8:37000003:1:50</v>
          </cell>
        </row>
        <row r="266">
          <cell r="H266">
            <v>0.426824749907373</v>
          </cell>
        </row>
        <row r="266">
          <cell r="K266" t="str">
            <v>8:37000004:1:100</v>
          </cell>
        </row>
        <row r="267">
          <cell r="H267">
            <v>0.106706187476843</v>
          </cell>
        </row>
        <row r="267">
          <cell r="K267" t="str">
            <v>8:38000002:1:25</v>
          </cell>
        </row>
        <row r="268">
          <cell r="H268">
            <v>0.213412374953687</v>
          </cell>
        </row>
        <row r="268">
          <cell r="K268" t="str">
            <v>8:38000003:1:50</v>
          </cell>
        </row>
        <row r="269">
          <cell r="H269">
            <v>0.426824749907373</v>
          </cell>
        </row>
        <row r="269">
          <cell r="K269" t="str">
            <v>8:38000004:1:100</v>
          </cell>
        </row>
        <row r="270">
          <cell r="H270">
            <v>0.106706187476843</v>
          </cell>
        </row>
        <row r="270">
          <cell r="K270" t="str">
            <v>8:39000002:1:25</v>
          </cell>
        </row>
        <row r="271">
          <cell r="H271">
            <v>0.213412374953687</v>
          </cell>
        </row>
        <row r="271">
          <cell r="K271" t="str">
            <v>8:39000003:1:50</v>
          </cell>
        </row>
        <row r="272">
          <cell r="H272">
            <v>0.426824749907373</v>
          </cell>
        </row>
        <row r="272">
          <cell r="K272" t="str">
            <v>8:39000004:1:100</v>
          </cell>
        </row>
        <row r="273">
          <cell r="H273">
            <v>0.106706187476843</v>
          </cell>
        </row>
        <row r="273">
          <cell r="K273" t="str">
            <v>8:40000002:1:25</v>
          </cell>
        </row>
        <row r="274">
          <cell r="H274">
            <v>0.213412374953687</v>
          </cell>
        </row>
        <row r="274">
          <cell r="K274" t="str">
            <v>8:40000003:1:50</v>
          </cell>
        </row>
        <row r="275">
          <cell r="H275">
            <v>0.426824749907373</v>
          </cell>
        </row>
        <row r="275">
          <cell r="K275" t="str">
            <v>8:40000004:1:100</v>
          </cell>
        </row>
        <row r="276">
          <cell r="H276">
            <v>0.106706187476843</v>
          </cell>
        </row>
        <row r="276">
          <cell r="K276" t="str">
            <v>8:41000002:1:25</v>
          </cell>
        </row>
        <row r="277">
          <cell r="H277">
            <v>0.213412374953687</v>
          </cell>
        </row>
        <row r="277">
          <cell r="K277" t="str">
            <v>8:41000003:1:50</v>
          </cell>
        </row>
        <row r="278">
          <cell r="H278">
            <v>0.426824749907373</v>
          </cell>
        </row>
        <row r="278">
          <cell r="K278" t="str">
            <v>8:41000004:1:100</v>
          </cell>
        </row>
        <row r="279">
          <cell r="H279">
            <v>0</v>
          </cell>
        </row>
        <row r="280">
          <cell r="H280">
            <v>0.872090382478251</v>
          </cell>
        </row>
        <row r="280">
          <cell r="K280" t="str">
            <v>3:100217:1:200</v>
          </cell>
        </row>
        <row r="281">
          <cell r="H281">
            <v>0</v>
          </cell>
        </row>
        <row r="281">
          <cell r="K281" t="str">
            <v>8:1000001:0:330000</v>
          </cell>
        </row>
        <row r="282">
          <cell r="H282">
            <v>0.00436045191239125</v>
          </cell>
        </row>
        <row r="282">
          <cell r="K282" t="str">
            <v>8:1000001:1:1</v>
          </cell>
        </row>
        <row r="283">
          <cell r="H283">
            <v>0.00436045191239125</v>
          </cell>
        </row>
        <row r="283">
          <cell r="K283" t="str">
            <v>8:2000001:1:1</v>
          </cell>
        </row>
        <row r="284">
          <cell r="H284">
            <v>0.00436045191239125</v>
          </cell>
        </row>
        <row r="284">
          <cell r="K284" t="str">
            <v>8:3000001:1:1</v>
          </cell>
        </row>
        <row r="285">
          <cell r="H285">
            <v>0.00436045191239125</v>
          </cell>
        </row>
        <row r="285">
          <cell r="K285" t="str">
            <v>8:4000001:1:1</v>
          </cell>
        </row>
        <row r="286">
          <cell r="H286">
            <v>0.00436045191239125</v>
          </cell>
        </row>
        <row r="286">
          <cell r="K286" t="str">
            <v>8:5000001:1:1</v>
          </cell>
        </row>
        <row r="287">
          <cell r="H287">
            <v>0.00436045191239125</v>
          </cell>
        </row>
        <row r="287">
          <cell r="K287" t="str">
            <v>8:6000001:1:1</v>
          </cell>
        </row>
        <row r="288">
          <cell r="H288">
            <v>0.00436045191239125</v>
          </cell>
        </row>
        <row r="288">
          <cell r="K288" t="str">
            <v>8:7000001:1:1</v>
          </cell>
        </row>
        <row r="289">
          <cell r="H289">
            <v>0.00436045191239125</v>
          </cell>
        </row>
        <row r="289">
          <cell r="K289" t="str">
            <v>8:8000001:1:1</v>
          </cell>
        </row>
        <row r="290">
          <cell r="H290">
            <v>0.00436045191239125</v>
          </cell>
        </row>
        <row r="290">
          <cell r="K290" t="str">
            <v>8:9000001:1:1</v>
          </cell>
        </row>
        <row r="291">
          <cell r="H291">
            <v>0.00436045191239125</v>
          </cell>
        </row>
        <row r="291">
          <cell r="K291" t="str">
            <v>8:10000001:1:1</v>
          </cell>
        </row>
        <row r="292">
          <cell r="H292">
            <v>0.00436045191239125</v>
          </cell>
        </row>
        <row r="292">
          <cell r="K292" t="str">
            <v>8:11000001:1:1</v>
          </cell>
        </row>
        <row r="293">
          <cell r="H293">
            <v>0.00436045191239125</v>
          </cell>
        </row>
        <row r="293">
          <cell r="K293" t="str">
            <v>8:12000001:1:1</v>
          </cell>
        </row>
        <row r="294">
          <cell r="H294">
            <v>0.00436045191239125</v>
          </cell>
        </row>
        <row r="294">
          <cell r="K294" t="str">
            <v>8:13000001:1:1</v>
          </cell>
        </row>
        <row r="295">
          <cell r="H295">
            <v>0.00436045191239125</v>
          </cell>
        </row>
        <row r="295">
          <cell r="K295" t="str">
            <v>8:14000001:1:1</v>
          </cell>
        </row>
        <row r="296">
          <cell r="H296">
            <v>0.00436045191239125</v>
          </cell>
        </row>
        <row r="296">
          <cell r="K296" t="str">
            <v>8:15000001:1:1</v>
          </cell>
        </row>
        <row r="297">
          <cell r="H297">
            <v>0.00436045191239125</v>
          </cell>
        </row>
        <row r="297">
          <cell r="K297" t="str">
            <v>8:16000001:1:1</v>
          </cell>
        </row>
        <row r="298">
          <cell r="H298">
            <v>0.00436045191239125</v>
          </cell>
        </row>
        <row r="298">
          <cell r="K298" t="str">
            <v>8:17000001:1:1</v>
          </cell>
        </row>
        <row r="299">
          <cell r="H299">
            <v>0.00436045191239125</v>
          </cell>
        </row>
        <row r="299">
          <cell r="K299" t="str">
            <v>8:18000001:1:1</v>
          </cell>
        </row>
        <row r="300">
          <cell r="H300">
            <v>0.00436045191239125</v>
          </cell>
        </row>
        <row r="300">
          <cell r="K300" t="str">
            <v>8:19000001:1:1</v>
          </cell>
        </row>
        <row r="301">
          <cell r="H301">
            <v>0.00436045191239125</v>
          </cell>
        </row>
        <row r="301">
          <cell r="K301" t="str">
            <v>8:20000001:1:1</v>
          </cell>
        </row>
        <row r="302">
          <cell r="H302">
            <v>0.00436045191239125</v>
          </cell>
        </row>
        <row r="302">
          <cell r="K302" t="str">
            <v>8:21000001:1:1</v>
          </cell>
        </row>
        <row r="303">
          <cell r="H303">
            <v>0.00436045191239125</v>
          </cell>
        </row>
        <row r="303">
          <cell r="K303" t="str">
            <v>8:22000001:1:1</v>
          </cell>
        </row>
        <row r="304">
          <cell r="H304">
            <v>0.00436045191239125</v>
          </cell>
        </row>
        <row r="304">
          <cell r="K304" t="str">
            <v>8:23000001:1:1</v>
          </cell>
        </row>
        <row r="305">
          <cell r="H305">
            <v>0.00436045191239125</v>
          </cell>
        </row>
        <row r="305">
          <cell r="K305" t="str">
            <v>8:24000001:1:1</v>
          </cell>
        </row>
        <row r="306">
          <cell r="H306">
            <v>0.00436045191239125</v>
          </cell>
        </row>
        <row r="306">
          <cell r="K306" t="str">
            <v>8:25000001:1:1</v>
          </cell>
        </row>
        <row r="307">
          <cell r="H307">
            <v>0.00436045191239125</v>
          </cell>
        </row>
        <row r="307">
          <cell r="K307" t="str">
            <v>8:26000001:1:1</v>
          </cell>
        </row>
        <row r="308">
          <cell r="H308">
            <v>0.00436045191239125</v>
          </cell>
        </row>
        <row r="308">
          <cell r="K308" t="str">
            <v>8:27000001:1:1</v>
          </cell>
        </row>
        <row r="309">
          <cell r="H309">
            <v>0.00436045191239125</v>
          </cell>
        </row>
        <row r="309">
          <cell r="K309" t="str">
            <v>8:28000001:1:1</v>
          </cell>
        </row>
        <row r="310">
          <cell r="H310">
            <v>0.00436045191239125</v>
          </cell>
        </row>
        <row r="310">
          <cell r="K310" t="str">
            <v>8:29000001:1:1</v>
          </cell>
        </row>
        <row r="311">
          <cell r="H311">
            <v>0.00436045191239125</v>
          </cell>
        </row>
        <row r="311">
          <cell r="K311" t="str">
            <v>8:30000001:1:1</v>
          </cell>
        </row>
        <row r="312">
          <cell r="H312">
            <v>0.00436045191239125</v>
          </cell>
        </row>
        <row r="312">
          <cell r="K312" t="str">
            <v>8:31000001:1:1</v>
          </cell>
        </row>
        <row r="313">
          <cell r="H313">
            <v>0.00436045191239125</v>
          </cell>
        </row>
        <row r="313">
          <cell r="K313" t="str">
            <v>8:32000001:1:1</v>
          </cell>
        </row>
        <row r="314">
          <cell r="H314">
            <v>0.00436045191239125</v>
          </cell>
        </row>
        <row r="314">
          <cell r="K314" t="str">
            <v>8:33000001:1:1</v>
          </cell>
        </row>
        <row r="315">
          <cell r="H315">
            <v>0.00436045191239125</v>
          </cell>
        </row>
        <row r="315">
          <cell r="K315" t="str">
            <v>8:34000001:1:1</v>
          </cell>
        </row>
        <row r="316">
          <cell r="H316">
            <v>0.00436045191239125</v>
          </cell>
        </row>
        <row r="316">
          <cell r="K316" t="str">
            <v>8:35000001:1:1</v>
          </cell>
        </row>
        <row r="317">
          <cell r="H317">
            <v>0.00436045191239125</v>
          </cell>
        </row>
        <row r="317">
          <cell r="K317" t="str">
            <v>8:36000001:1:1</v>
          </cell>
        </row>
        <row r="318">
          <cell r="H318">
            <v>0.00436045191239125</v>
          </cell>
        </row>
        <row r="318">
          <cell r="K318" t="str">
            <v>8:37000001:1:1</v>
          </cell>
        </row>
        <row r="319">
          <cell r="H319">
            <v>0.00436045191239125</v>
          </cell>
        </row>
        <row r="319">
          <cell r="K319" t="str">
            <v>8:38000001:1:1</v>
          </cell>
        </row>
        <row r="320">
          <cell r="H320">
            <v>0.00436045191239125</v>
          </cell>
        </row>
        <row r="320">
          <cell r="K320" t="str">
            <v>8:39000001:1:1</v>
          </cell>
        </row>
        <row r="321">
          <cell r="H321">
            <v>0.00436045191239125</v>
          </cell>
        </row>
        <row r="321">
          <cell r="K321" t="str">
            <v>8:40000001:1:1</v>
          </cell>
        </row>
        <row r="322">
          <cell r="H322">
            <v>0.00436045191239125</v>
          </cell>
        </row>
        <row r="322">
          <cell r="K322" t="str">
            <v>8:41000001:1:1</v>
          </cell>
        </row>
      </sheetData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S897"/>
  <sheetViews>
    <sheetView tabSelected="1" workbookViewId="0">
      <pane ySplit="3" topLeftCell="A216" activePane="bottomLeft" state="frozen"/>
      <selection/>
      <selection pane="bottomLeft" activeCell="C228" sqref="C228"/>
    </sheetView>
  </sheetViews>
  <sheetFormatPr defaultColWidth="10" defaultRowHeight="15"/>
  <cols>
    <col min="1" max="1" width="11.6285714285714" style="9" customWidth="1"/>
    <col min="2" max="2" width="18.3714285714286" style="10" customWidth="1"/>
    <col min="3" max="3" width="20" style="10" customWidth="1"/>
    <col min="4" max="4" width="9.87619047619048" style="10" customWidth="1"/>
    <col min="5" max="7" width="10.5047619047619" customWidth="1"/>
    <col min="8" max="11" width="10.5047619047619" style="9" customWidth="1"/>
    <col min="12" max="18" width="10.5047619047619" customWidth="1"/>
  </cols>
  <sheetData>
    <row r="1" spans="2:19">
      <c r="B1" s="11" t="s">
        <v>0</v>
      </c>
      <c r="E1" s="9" t="s">
        <v>1</v>
      </c>
      <c r="F1" s="9" t="s">
        <v>2</v>
      </c>
      <c r="G1" s="9" t="s">
        <v>3</v>
      </c>
      <c r="H1" s="9" t="s">
        <v>4</v>
      </c>
      <c r="I1" s="9" t="s">
        <v>5</v>
      </c>
      <c r="J1" s="9" t="s">
        <v>6</v>
      </c>
      <c r="K1" s="9" t="s">
        <v>7</v>
      </c>
      <c r="L1" s="9" t="s">
        <v>8</v>
      </c>
      <c r="M1" s="9" t="s">
        <v>9</v>
      </c>
      <c r="N1" s="9" t="s">
        <v>10</v>
      </c>
      <c r="O1" s="9" t="s">
        <v>11</v>
      </c>
      <c r="P1" s="9" t="s">
        <v>12</v>
      </c>
      <c r="Q1" s="9" t="s">
        <v>13</v>
      </c>
      <c r="R1" s="9" t="s">
        <v>14</v>
      </c>
      <c r="S1" s="9" t="s">
        <v>15</v>
      </c>
    </row>
    <row r="3" s="9" customFormat="1" spans="1:19">
      <c r="A3" s="5" t="s">
        <v>16</v>
      </c>
      <c r="B3" s="5" t="s">
        <v>17</v>
      </c>
      <c r="C3" s="7" t="s">
        <v>18</v>
      </c>
      <c r="D3" s="7" t="s">
        <v>19</v>
      </c>
      <c r="E3" s="9" t="s">
        <v>20</v>
      </c>
      <c r="F3" s="9" t="s">
        <v>21</v>
      </c>
      <c r="G3" s="9" t="s">
        <v>22</v>
      </c>
      <c r="H3" s="9" t="s">
        <v>23</v>
      </c>
      <c r="I3" s="9" t="s">
        <v>24</v>
      </c>
      <c r="J3" s="9" t="s">
        <v>25</v>
      </c>
      <c r="K3" s="9" t="s">
        <v>26</v>
      </c>
      <c r="L3" s="9" t="s">
        <v>27</v>
      </c>
      <c r="M3" s="9" t="s">
        <v>28</v>
      </c>
      <c r="N3" s="9" t="s">
        <v>29</v>
      </c>
      <c r="O3" s="9" t="s">
        <v>30</v>
      </c>
      <c r="P3" s="9" t="s">
        <v>31</v>
      </c>
      <c r="Q3" s="9" t="s">
        <v>32</v>
      </c>
      <c r="R3" s="9" t="s">
        <v>33</v>
      </c>
      <c r="S3" s="9" t="s">
        <v>34</v>
      </c>
    </row>
    <row r="4" spans="1:6">
      <c r="A4" s="1" t="s">
        <v>35</v>
      </c>
      <c r="B4" s="12" t="s">
        <v>36</v>
      </c>
      <c r="C4" s="2">
        <v>1e-6</v>
      </c>
      <c r="D4" s="2">
        <v>1e-6</v>
      </c>
      <c r="E4" s="1"/>
      <c r="F4" s="1"/>
    </row>
    <row r="5" spans="1:4">
      <c r="A5" s="1" t="s">
        <v>37</v>
      </c>
      <c r="B5" s="12" t="s">
        <v>38</v>
      </c>
      <c r="C5" s="2">
        <v>0.1</v>
      </c>
      <c r="D5" s="2">
        <v>0.1</v>
      </c>
    </row>
    <row r="6" spans="1:4">
      <c r="A6" s="1" t="s">
        <v>39</v>
      </c>
      <c r="B6" s="12" t="s">
        <v>40</v>
      </c>
      <c r="C6" s="2">
        <v>0</v>
      </c>
      <c r="D6" s="2">
        <v>0</v>
      </c>
    </row>
    <row r="7" ht="30" spans="1:4">
      <c r="A7" s="1" t="s">
        <v>41</v>
      </c>
      <c r="B7" s="12" t="s">
        <v>42</v>
      </c>
      <c r="C7" s="2">
        <v>1e-6</v>
      </c>
      <c r="D7" s="2">
        <v>1e-6</v>
      </c>
    </row>
    <row r="8" ht="30" spans="1:4">
      <c r="A8" s="1" t="s">
        <v>43</v>
      </c>
      <c r="B8" s="12" t="s">
        <v>44</v>
      </c>
      <c r="C8" s="2">
        <v>2.16e-5</v>
      </c>
      <c r="D8" s="2">
        <v>2.16e-5</v>
      </c>
    </row>
    <row r="9" spans="1:4">
      <c r="A9" s="1" t="s">
        <v>45</v>
      </c>
      <c r="B9" s="12" t="s">
        <v>46</v>
      </c>
      <c r="C9" s="2">
        <v>1</v>
      </c>
      <c r="D9" s="2">
        <v>1</v>
      </c>
    </row>
    <row r="10" spans="1:4">
      <c r="A10" s="1" t="s">
        <v>47</v>
      </c>
      <c r="B10" s="12" t="s">
        <v>48</v>
      </c>
      <c r="C10" s="2">
        <v>1</v>
      </c>
      <c r="D10" s="2">
        <v>1</v>
      </c>
    </row>
    <row r="11" spans="1:4">
      <c r="A11" s="1" t="s">
        <v>49</v>
      </c>
      <c r="B11" s="12" t="s">
        <v>50</v>
      </c>
      <c r="C11" s="2">
        <v>0</v>
      </c>
      <c r="D11" s="2">
        <v>0</v>
      </c>
    </row>
    <row r="12" spans="1:4">
      <c r="A12" s="1" t="s">
        <v>51</v>
      </c>
      <c r="B12" s="12" t="s">
        <v>52</v>
      </c>
      <c r="C12" s="2">
        <v>32.4</v>
      </c>
      <c r="D12" s="2">
        <v>32.4</v>
      </c>
    </row>
    <row r="13" spans="1:4">
      <c r="A13" s="1" t="s">
        <v>53</v>
      </c>
      <c r="B13" s="12" t="s">
        <v>54</v>
      </c>
      <c r="C13" s="2">
        <v>0.001</v>
      </c>
      <c r="D13" s="2">
        <v>0.001</v>
      </c>
    </row>
    <row r="14" ht="30" spans="1:12">
      <c r="A14" s="1" t="s">
        <v>55</v>
      </c>
      <c r="B14" s="12" t="s">
        <v>56</v>
      </c>
      <c r="C14" s="2">
        <v>0.001</v>
      </c>
      <c r="D14" s="2">
        <v>0.001</v>
      </c>
      <c r="H14"/>
      <c r="L14" s="9"/>
    </row>
    <row r="15" ht="30" spans="1:12">
      <c r="A15" s="1" t="s">
        <v>57</v>
      </c>
      <c r="B15" s="12" t="s">
        <v>58</v>
      </c>
      <c r="C15" s="2">
        <v>0.0328</v>
      </c>
      <c r="D15" s="2">
        <v>0.0328</v>
      </c>
      <c r="H15"/>
      <c r="L15" s="9"/>
    </row>
    <row r="16" ht="30" spans="1:12">
      <c r="A16" s="1" t="s">
        <v>59</v>
      </c>
      <c r="B16" s="12" t="s">
        <v>60</v>
      </c>
      <c r="C16" s="2">
        <v>0.001</v>
      </c>
      <c r="D16" s="2">
        <v>0.001</v>
      </c>
      <c r="H16"/>
      <c r="L16" s="9"/>
    </row>
    <row r="17" spans="1:12">
      <c r="A17" s="1" t="s">
        <v>61</v>
      </c>
      <c r="B17" s="12" t="s">
        <v>62</v>
      </c>
      <c r="C17" s="2">
        <v>0.001</v>
      </c>
      <c r="D17" s="2">
        <v>0.001</v>
      </c>
      <c r="H17"/>
      <c r="L17" s="9"/>
    </row>
    <row r="18" ht="30" spans="1:12">
      <c r="A18" s="1" t="s">
        <v>63</v>
      </c>
      <c r="B18" s="12" t="s">
        <v>64</v>
      </c>
      <c r="C18" s="2">
        <v>0.001</v>
      </c>
      <c r="D18" s="2">
        <v>0.001</v>
      </c>
      <c r="H18"/>
      <c r="L18" s="9"/>
    </row>
    <row r="19" spans="1:12">
      <c r="A19" s="1" t="s">
        <v>65</v>
      </c>
      <c r="B19" s="12" t="s">
        <v>66</v>
      </c>
      <c r="C19" s="2">
        <v>10</v>
      </c>
      <c r="D19" s="2">
        <v>10</v>
      </c>
      <c r="H19"/>
      <c r="L19" s="9"/>
    </row>
    <row r="20" ht="30" spans="1:12">
      <c r="A20" s="1" t="s">
        <v>67</v>
      </c>
      <c r="B20" s="12" t="s">
        <v>68</v>
      </c>
      <c r="C20" s="2">
        <v>0.001</v>
      </c>
      <c r="D20" s="2">
        <v>0.001</v>
      </c>
      <c r="H20"/>
      <c r="L20" s="9"/>
    </row>
    <row r="21" ht="30" spans="1:4">
      <c r="A21" s="1" t="s">
        <v>69</v>
      </c>
      <c r="B21" s="12" t="s">
        <v>70</v>
      </c>
      <c r="C21" s="2">
        <v>0.001</v>
      </c>
      <c r="D21" s="2">
        <v>0.001</v>
      </c>
    </row>
    <row r="22" ht="30" spans="1:4">
      <c r="A22" s="1" t="s">
        <v>71</v>
      </c>
      <c r="B22" s="12" t="s">
        <v>72</v>
      </c>
      <c r="C22" s="2">
        <v>0.001</v>
      </c>
      <c r="D22" s="2">
        <v>0.001</v>
      </c>
    </row>
    <row r="23" ht="45" spans="1:4">
      <c r="A23" s="1" t="s">
        <v>73</v>
      </c>
      <c r="B23" s="12" t="s">
        <v>74</v>
      </c>
      <c r="C23" s="2">
        <v>0.001</v>
      </c>
      <c r="D23" s="2">
        <v>0.001</v>
      </c>
    </row>
    <row r="24" ht="30" spans="1:4">
      <c r="A24" s="1" t="s">
        <v>75</v>
      </c>
      <c r="B24" s="12" t="s">
        <v>76</v>
      </c>
      <c r="C24" s="2">
        <v>0.324</v>
      </c>
      <c r="D24" s="2">
        <v>0.324</v>
      </c>
    </row>
    <row r="25" ht="30" spans="1:4">
      <c r="A25" s="1" t="s">
        <v>77</v>
      </c>
      <c r="B25" s="12" t="s">
        <v>78</v>
      </c>
      <c r="C25" s="2">
        <v>1.0368</v>
      </c>
      <c r="D25" s="2">
        <v>1.0368</v>
      </c>
    </row>
    <row r="26" ht="30" spans="1:4">
      <c r="A26" s="1" t="s">
        <v>79</v>
      </c>
      <c r="B26" s="12" t="s">
        <v>80</v>
      </c>
      <c r="C26" s="2">
        <v>6.48</v>
      </c>
      <c r="D26" s="2">
        <v>6.48</v>
      </c>
    </row>
    <row r="27" ht="30" spans="1:4">
      <c r="A27" s="1" t="s">
        <v>81</v>
      </c>
      <c r="B27" s="12" t="s">
        <v>82</v>
      </c>
      <c r="C27" s="2">
        <v>1.0368</v>
      </c>
      <c r="D27" s="2">
        <v>1.0368</v>
      </c>
    </row>
    <row r="28" ht="30" spans="1:4">
      <c r="A28" s="1" t="s">
        <v>83</v>
      </c>
      <c r="B28" s="12" t="s">
        <v>84</v>
      </c>
      <c r="C28" s="2">
        <v>1.0368</v>
      </c>
      <c r="D28" s="2">
        <v>1.0368</v>
      </c>
    </row>
    <row r="29" ht="30" spans="1:4">
      <c r="A29" s="1" t="s">
        <v>85</v>
      </c>
      <c r="B29" s="12" t="s">
        <v>86</v>
      </c>
      <c r="C29" s="2">
        <v>1.0368</v>
      </c>
      <c r="D29" s="2">
        <v>1.0368</v>
      </c>
    </row>
    <row r="30" ht="30" spans="1:4">
      <c r="A30" s="1" t="s">
        <v>87</v>
      </c>
      <c r="B30" s="12" t="s">
        <v>88</v>
      </c>
      <c r="C30" s="2">
        <v>1.0368</v>
      </c>
      <c r="D30" s="2">
        <v>1.0368</v>
      </c>
    </row>
    <row r="31" ht="30" spans="1:4">
      <c r="A31" s="1" t="s">
        <v>89</v>
      </c>
      <c r="B31" s="12" t="s">
        <v>90</v>
      </c>
      <c r="C31" s="2">
        <v>1.0368</v>
      </c>
      <c r="D31" s="2">
        <v>1.0368</v>
      </c>
    </row>
    <row r="32" ht="30" spans="1:4">
      <c r="A32" s="1" t="s">
        <v>91</v>
      </c>
      <c r="B32" s="12" t="s">
        <v>92</v>
      </c>
      <c r="C32" s="2">
        <v>6.48</v>
      </c>
      <c r="D32" s="2">
        <v>6.48</v>
      </c>
    </row>
    <row r="33" ht="30" spans="1:4">
      <c r="A33" s="1" t="s">
        <v>93</v>
      </c>
      <c r="B33" s="12" t="s">
        <v>94</v>
      </c>
      <c r="C33" s="2">
        <v>6.48</v>
      </c>
      <c r="D33" s="2">
        <v>6.48</v>
      </c>
    </row>
    <row r="34" ht="30" spans="1:4">
      <c r="A34" s="1" t="s">
        <v>95</v>
      </c>
      <c r="B34" s="12" t="s">
        <v>96</v>
      </c>
      <c r="C34" s="2">
        <v>6.48</v>
      </c>
      <c r="D34" s="2">
        <v>6.48</v>
      </c>
    </row>
    <row r="35" ht="30" spans="1:4">
      <c r="A35" s="1" t="s">
        <v>97</v>
      </c>
      <c r="B35" s="12" t="s">
        <v>98</v>
      </c>
      <c r="C35" s="2">
        <v>6.48</v>
      </c>
      <c r="D35" s="2">
        <v>6.48</v>
      </c>
    </row>
    <row r="36" ht="30" spans="1:4">
      <c r="A36" s="1" t="s">
        <v>99</v>
      </c>
      <c r="B36" s="12" t="s">
        <v>100</v>
      </c>
      <c r="C36" s="2">
        <v>6.48</v>
      </c>
      <c r="D36" s="2">
        <v>6.48</v>
      </c>
    </row>
    <row r="37" ht="30" spans="1:4">
      <c r="A37" s="1" t="s">
        <v>101</v>
      </c>
      <c r="B37" s="12" t="s">
        <v>102</v>
      </c>
      <c r="C37" s="2">
        <v>6.48</v>
      </c>
      <c r="D37" s="2">
        <v>6.48</v>
      </c>
    </row>
    <row r="38" ht="30" spans="1:4">
      <c r="A38" s="1" t="s">
        <v>103</v>
      </c>
      <c r="B38" s="12" t="s">
        <v>104</v>
      </c>
      <c r="C38" s="2">
        <v>6.48</v>
      </c>
      <c r="D38" s="2">
        <v>6.48</v>
      </c>
    </row>
    <row r="39" spans="1:4">
      <c r="A39" s="1" t="s">
        <v>105</v>
      </c>
      <c r="B39" s="12" t="s">
        <v>106</v>
      </c>
      <c r="C39" s="2">
        <v>3e-5</v>
      </c>
      <c r="D39" s="2">
        <v>3e-5</v>
      </c>
    </row>
    <row r="40" spans="1:4">
      <c r="A40" s="1" t="s">
        <v>107</v>
      </c>
      <c r="B40" s="12" t="s">
        <v>108</v>
      </c>
      <c r="C40" s="2">
        <v>9e-5</v>
      </c>
      <c r="D40" s="2">
        <v>9e-5</v>
      </c>
    </row>
    <row r="41" ht="30" spans="1:4">
      <c r="A41" s="1" t="s">
        <v>109</v>
      </c>
      <c r="B41" s="12" t="s">
        <v>110</v>
      </c>
      <c r="C41" s="2">
        <v>0.000282251463473838</v>
      </c>
      <c r="D41" s="2">
        <v>0.000282251463473838</v>
      </c>
    </row>
    <row r="42" spans="1:4">
      <c r="A42" s="1" t="s">
        <v>111</v>
      </c>
      <c r="B42" s="12" t="s">
        <v>112</v>
      </c>
      <c r="C42" s="2">
        <v>0.000846754390421515</v>
      </c>
      <c r="D42" s="2">
        <v>0.000846754390421515</v>
      </c>
    </row>
    <row r="43" spans="1:4">
      <c r="A43" s="1" t="s">
        <v>113</v>
      </c>
      <c r="B43" s="12" t="s">
        <v>114</v>
      </c>
      <c r="C43" s="2">
        <v>0.00254026317126454</v>
      </c>
      <c r="D43" s="2">
        <v>0.00254026317126454</v>
      </c>
    </row>
    <row r="44" ht="30" spans="1:4">
      <c r="A44" s="1" t="s">
        <v>115</v>
      </c>
      <c r="B44" s="12" t="s">
        <v>116</v>
      </c>
      <c r="C44" s="2">
        <v>0.00762078951379363</v>
      </c>
      <c r="D44" s="2">
        <v>0.00762078951379363</v>
      </c>
    </row>
    <row r="45" ht="30" spans="1:4">
      <c r="A45" s="1" t="s">
        <v>117</v>
      </c>
      <c r="B45" s="12" t="s">
        <v>118</v>
      </c>
      <c r="C45" s="2">
        <v>0.0228623685413809</v>
      </c>
      <c r="D45" s="2">
        <v>0.0228623685413809</v>
      </c>
    </row>
    <row r="46" ht="30" spans="1:4">
      <c r="A46" s="1" t="s">
        <v>119</v>
      </c>
      <c r="B46" s="12" t="s">
        <v>120</v>
      </c>
      <c r="C46" s="2">
        <v>0.0685871056241427</v>
      </c>
      <c r="D46" s="2">
        <v>0.0685871056241427</v>
      </c>
    </row>
    <row r="47" ht="30" spans="1:4">
      <c r="A47" s="1" t="s">
        <v>121</v>
      </c>
      <c r="B47" s="12" t="s">
        <v>122</v>
      </c>
      <c r="C47" s="2">
        <v>0.205761316872428</v>
      </c>
      <c r="D47" s="2">
        <v>0.205761316872428</v>
      </c>
    </row>
    <row r="48" ht="30" spans="1:4">
      <c r="A48" s="1" t="s">
        <v>123</v>
      </c>
      <c r="B48" s="12" t="s">
        <v>124</v>
      </c>
      <c r="C48" s="2">
        <v>0.617283950617284</v>
      </c>
      <c r="D48" s="2">
        <v>0.617283950617284</v>
      </c>
    </row>
    <row r="49" ht="30" spans="1:4">
      <c r="A49" s="1" t="s">
        <v>125</v>
      </c>
      <c r="B49" s="12" t="s">
        <v>126</v>
      </c>
      <c r="C49" s="2">
        <v>1.85185185185185</v>
      </c>
      <c r="D49" s="2">
        <v>1.85185185185185</v>
      </c>
    </row>
    <row r="50" ht="30" spans="1:4">
      <c r="A50" s="1" t="s">
        <v>127</v>
      </c>
      <c r="B50" s="12" t="s">
        <v>128</v>
      </c>
      <c r="C50" s="2">
        <v>5.55555555555556</v>
      </c>
      <c r="D50" s="2">
        <v>5.55555555555556</v>
      </c>
    </row>
    <row r="51" ht="30" spans="1:4">
      <c r="A51" s="1" t="s">
        <v>129</v>
      </c>
      <c r="B51" s="12" t="s">
        <v>130</v>
      </c>
      <c r="C51" s="2">
        <v>16.6666666666667</v>
      </c>
      <c r="D51" s="2">
        <v>16.6666666666667</v>
      </c>
    </row>
    <row r="52" spans="1:4">
      <c r="A52" s="1" t="s">
        <v>131</v>
      </c>
      <c r="B52" s="12" t="s">
        <v>132</v>
      </c>
      <c r="C52" s="2">
        <v>50</v>
      </c>
      <c r="D52" s="2">
        <v>50</v>
      </c>
    </row>
    <row r="53" spans="1:4">
      <c r="A53" s="1" t="s">
        <v>133</v>
      </c>
      <c r="B53" s="12" t="s">
        <v>134</v>
      </c>
      <c r="C53" s="2">
        <v>152.4</v>
      </c>
      <c r="D53" s="2">
        <v>152.4</v>
      </c>
    </row>
    <row r="54" spans="1:4">
      <c r="A54" s="1" t="s">
        <v>135</v>
      </c>
      <c r="B54" s="12" t="s">
        <v>136</v>
      </c>
      <c r="C54" s="2">
        <v>460.4</v>
      </c>
      <c r="D54" s="2">
        <v>460.4</v>
      </c>
    </row>
    <row r="55" ht="30" spans="1:4">
      <c r="A55" s="1" t="s">
        <v>137</v>
      </c>
      <c r="B55" s="12" t="s">
        <v>138</v>
      </c>
      <c r="C55" s="2">
        <v>1386</v>
      </c>
      <c r="D55" s="2">
        <v>1386</v>
      </c>
    </row>
    <row r="56" spans="1:4">
      <c r="A56" s="1" t="s">
        <v>139</v>
      </c>
      <c r="B56" s="12" t="s">
        <v>140</v>
      </c>
      <c r="C56" s="2">
        <v>3e-5</v>
      </c>
      <c r="D56" s="2">
        <v>3e-5</v>
      </c>
    </row>
    <row r="57" spans="1:4">
      <c r="A57" s="1" t="s">
        <v>141</v>
      </c>
      <c r="B57" s="12" t="s">
        <v>142</v>
      </c>
      <c r="C57" s="2">
        <v>9e-5</v>
      </c>
      <c r="D57" s="2">
        <v>9e-5</v>
      </c>
    </row>
    <row r="58" ht="30" spans="1:4">
      <c r="A58" s="1" t="s">
        <v>143</v>
      </c>
      <c r="B58" s="12" t="s">
        <v>144</v>
      </c>
      <c r="C58" s="2">
        <v>0.000282251463473838</v>
      </c>
      <c r="D58" s="2">
        <v>0.000282251463473838</v>
      </c>
    </row>
    <row r="59" ht="30" spans="1:4">
      <c r="A59" s="1" t="s">
        <v>145</v>
      </c>
      <c r="B59" s="12" t="s">
        <v>146</v>
      </c>
      <c r="C59" s="2">
        <v>0.000846754390421515</v>
      </c>
      <c r="D59" s="2">
        <v>0.000846754390421515</v>
      </c>
    </row>
    <row r="60" spans="1:4">
      <c r="A60" s="1" t="s">
        <v>147</v>
      </c>
      <c r="B60" s="12" t="s">
        <v>148</v>
      </c>
      <c r="C60" s="2">
        <v>0.00254026317126454</v>
      </c>
      <c r="D60" s="2">
        <v>0.00254026317126454</v>
      </c>
    </row>
    <row r="61" spans="1:4">
      <c r="A61" s="1" t="s">
        <v>149</v>
      </c>
      <c r="B61" s="12" t="s">
        <v>150</v>
      </c>
      <c r="C61" s="2">
        <v>0.00762078951379363</v>
      </c>
      <c r="D61" s="2">
        <v>0.00762078951379363</v>
      </c>
    </row>
    <row r="62" spans="1:4">
      <c r="A62" s="1" t="s">
        <v>151</v>
      </c>
      <c r="B62" s="12" t="s">
        <v>152</v>
      </c>
      <c r="C62" s="2">
        <v>0.0228623685413809</v>
      </c>
      <c r="D62" s="2">
        <v>0.0228623685413809</v>
      </c>
    </row>
    <row r="63" ht="30" spans="1:4">
      <c r="A63" s="1" t="s">
        <v>153</v>
      </c>
      <c r="B63" s="12" t="s">
        <v>154</v>
      </c>
      <c r="C63" s="2">
        <v>0.0685871056241427</v>
      </c>
      <c r="D63" s="2">
        <v>0.0685871056241427</v>
      </c>
    </row>
    <row r="64" spans="1:4">
      <c r="A64" s="1" t="s">
        <v>155</v>
      </c>
      <c r="B64" s="12" t="s">
        <v>156</v>
      </c>
      <c r="C64" s="2">
        <v>0.205761316872428</v>
      </c>
      <c r="D64" s="2">
        <v>0.205761316872428</v>
      </c>
    </row>
    <row r="65" spans="1:4">
      <c r="A65" s="1" t="s">
        <v>157</v>
      </c>
      <c r="B65" s="12" t="s">
        <v>158</v>
      </c>
      <c r="C65" s="2">
        <v>0.617283950617284</v>
      </c>
      <c r="D65" s="2">
        <v>0.617283950617284</v>
      </c>
    </row>
    <row r="66" ht="30" spans="1:4">
      <c r="A66" s="1" t="s">
        <v>159</v>
      </c>
      <c r="B66" s="12" t="s">
        <v>160</v>
      </c>
      <c r="C66" s="2">
        <v>1.85185185185185</v>
      </c>
      <c r="D66" s="2">
        <v>1.85185185185185</v>
      </c>
    </row>
    <row r="67" ht="30" spans="1:4">
      <c r="A67" s="1" t="s">
        <v>161</v>
      </c>
      <c r="B67" s="12" t="s">
        <v>162</v>
      </c>
      <c r="C67" s="2">
        <v>5.55555555555556</v>
      </c>
      <c r="D67" s="2">
        <v>5.55555555555556</v>
      </c>
    </row>
    <row r="68" spans="1:4">
      <c r="A68" s="1" t="s">
        <v>163</v>
      </c>
      <c r="B68" s="12" t="s">
        <v>164</v>
      </c>
      <c r="C68" s="2">
        <v>16.6666666666667</v>
      </c>
      <c r="D68" s="2">
        <v>16.6666666666667</v>
      </c>
    </row>
    <row r="69" spans="1:4">
      <c r="A69" s="1" t="s">
        <v>165</v>
      </c>
      <c r="B69" s="12" t="s">
        <v>166</v>
      </c>
      <c r="C69" s="2">
        <v>50</v>
      </c>
      <c r="D69" s="2">
        <v>50</v>
      </c>
    </row>
    <row r="70" spans="1:4">
      <c r="A70" s="1" t="s">
        <v>167</v>
      </c>
      <c r="B70" s="12" t="s">
        <v>168</v>
      </c>
      <c r="C70" s="2">
        <v>152.4</v>
      </c>
      <c r="D70" s="2">
        <v>152.4</v>
      </c>
    </row>
    <row r="71" ht="30" spans="1:4">
      <c r="A71" s="1" t="s">
        <v>169</v>
      </c>
      <c r="B71" s="12" t="s">
        <v>170</v>
      </c>
      <c r="C71" s="2">
        <v>460.4</v>
      </c>
      <c r="D71" s="2">
        <v>460.4</v>
      </c>
    </row>
    <row r="72" ht="30" spans="1:4">
      <c r="A72" s="1" t="s">
        <v>171</v>
      </c>
      <c r="B72" s="12" t="s">
        <v>172</v>
      </c>
      <c r="C72" s="2">
        <v>1386</v>
      </c>
      <c r="D72" s="2">
        <v>1386</v>
      </c>
    </row>
    <row r="73" ht="30" spans="1:4">
      <c r="A73" s="1" t="s">
        <v>173</v>
      </c>
      <c r="B73" s="12" t="s">
        <v>174</v>
      </c>
      <c r="C73" s="2">
        <v>3e-5</v>
      </c>
      <c r="D73" s="2">
        <v>3e-5</v>
      </c>
    </row>
    <row r="74" spans="1:4">
      <c r="A74" s="1" t="s">
        <v>175</v>
      </c>
      <c r="B74" s="12" t="s">
        <v>176</v>
      </c>
      <c r="C74" s="2">
        <v>9e-5</v>
      </c>
      <c r="D74" s="2">
        <v>9e-5</v>
      </c>
    </row>
    <row r="75" ht="30" spans="1:4">
      <c r="A75" s="1" t="s">
        <v>177</v>
      </c>
      <c r="B75" s="12" t="s">
        <v>178</v>
      </c>
      <c r="C75" s="2">
        <v>0.000282251463473838</v>
      </c>
      <c r="D75" s="2">
        <v>0.000282251463473838</v>
      </c>
    </row>
    <row r="76" ht="30" spans="1:4">
      <c r="A76" s="1" t="s">
        <v>179</v>
      </c>
      <c r="B76" s="12" t="s">
        <v>180</v>
      </c>
      <c r="C76" s="2">
        <v>0.000846754390421515</v>
      </c>
      <c r="D76" s="2">
        <v>0.000846754390421515</v>
      </c>
    </row>
    <row r="77" ht="30" spans="1:4">
      <c r="A77" s="1" t="s">
        <v>181</v>
      </c>
      <c r="B77" s="12" t="s">
        <v>182</v>
      </c>
      <c r="C77" s="2">
        <v>0.00254026317126454</v>
      </c>
      <c r="D77" s="2">
        <v>0.00254026317126454</v>
      </c>
    </row>
    <row r="78" ht="30" spans="1:4">
      <c r="A78" s="1" t="s">
        <v>183</v>
      </c>
      <c r="B78" s="12" t="s">
        <v>184</v>
      </c>
      <c r="C78" s="2">
        <v>0.00762078951379363</v>
      </c>
      <c r="D78" s="2">
        <v>0.00762078951379363</v>
      </c>
    </row>
    <row r="79" ht="30" spans="1:4">
      <c r="A79" s="1" t="s">
        <v>185</v>
      </c>
      <c r="B79" s="12" t="s">
        <v>186</v>
      </c>
      <c r="C79" s="2">
        <v>0.0228623685413809</v>
      </c>
      <c r="D79" s="2">
        <v>0.0228623685413809</v>
      </c>
    </row>
    <row r="80" ht="30" spans="1:4">
      <c r="A80" s="1" t="s">
        <v>187</v>
      </c>
      <c r="B80" s="12" t="s">
        <v>188</v>
      </c>
      <c r="C80" s="2">
        <v>0.0685871056241427</v>
      </c>
      <c r="D80" s="2">
        <v>0.0685871056241427</v>
      </c>
    </row>
    <row r="81" spans="1:4">
      <c r="A81" s="1" t="s">
        <v>189</v>
      </c>
      <c r="B81" s="12" t="s">
        <v>190</v>
      </c>
      <c r="C81" s="2">
        <v>0.205761316872428</v>
      </c>
      <c r="D81" s="2">
        <v>0.205761316872428</v>
      </c>
    </row>
    <row r="82" spans="1:4">
      <c r="A82" s="1" t="s">
        <v>191</v>
      </c>
      <c r="B82" s="12" t="s">
        <v>192</v>
      </c>
      <c r="C82" s="2">
        <v>0.617283950617284</v>
      </c>
      <c r="D82" s="2">
        <v>0.617283950617284</v>
      </c>
    </row>
    <row r="83" ht="30" spans="1:4">
      <c r="A83" s="1" t="s">
        <v>193</v>
      </c>
      <c r="B83" s="12" t="s">
        <v>194</v>
      </c>
      <c r="C83" s="2">
        <v>1.85185185185185</v>
      </c>
      <c r="D83" s="2">
        <v>1.85185185185185</v>
      </c>
    </row>
    <row r="84" ht="30" spans="1:4">
      <c r="A84" s="1" t="s">
        <v>195</v>
      </c>
      <c r="B84" s="12" t="s">
        <v>196</v>
      </c>
      <c r="C84" s="2">
        <v>5.55555555555556</v>
      </c>
      <c r="D84" s="2">
        <v>5.55555555555556</v>
      </c>
    </row>
    <row r="85" ht="30" spans="1:4">
      <c r="A85" s="1" t="s">
        <v>197</v>
      </c>
      <c r="B85" s="12" t="s">
        <v>198</v>
      </c>
      <c r="C85" s="2">
        <v>16.6666666666667</v>
      </c>
      <c r="D85" s="2">
        <v>16.6666666666667</v>
      </c>
    </row>
    <row r="86" ht="30" spans="1:4">
      <c r="A86" s="1" t="s">
        <v>199</v>
      </c>
      <c r="B86" s="12" t="s">
        <v>200</v>
      </c>
      <c r="C86" s="2">
        <v>50</v>
      </c>
      <c r="D86" s="2">
        <v>50</v>
      </c>
    </row>
    <row r="87" spans="1:4">
      <c r="A87" s="1" t="s">
        <v>201</v>
      </c>
      <c r="B87" s="12" t="s">
        <v>202</v>
      </c>
      <c r="C87" s="2">
        <v>152.4</v>
      </c>
      <c r="D87" s="2">
        <v>152.4</v>
      </c>
    </row>
    <row r="88" ht="30" spans="1:4">
      <c r="A88" s="1" t="s">
        <v>203</v>
      </c>
      <c r="B88" s="12" t="s">
        <v>204</v>
      </c>
      <c r="C88" s="2">
        <v>460.4</v>
      </c>
      <c r="D88" s="2">
        <v>460.4</v>
      </c>
    </row>
    <row r="89" ht="30" spans="1:4">
      <c r="A89" s="1" t="s">
        <v>205</v>
      </c>
      <c r="B89" s="12" t="s">
        <v>206</v>
      </c>
      <c r="C89" s="2">
        <v>1386</v>
      </c>
      <c r="D89" s="2">
        <v>1386</v>
      </c>
    </row>
    <row r="90" spans="1:4">
      <c r="A90" s="1" t="s">
        <v>207</v>
      </c>
      <c r="B90" s="12" t="s">
        <v>208</v>
      </c>
      <c r="C90" s="2">
        <v>3e-5</v>
      </c>
      <c r="D90" s="2">
        <v>3e-5</v>
      </c>
    </row>
    <row r="91" spans="1:4">
      <c r="A91" s="1" t="s">
        <v>209</v>
      </c>
      <c r="B91" s="12" t="s">
        <v>210</v>
      </c>
      <c r="C91" s="2">
        <v>9e-5</v>
      </c>
      <c r="D91" s="2">
        <v>9e-5</v>
      </c>
    </row>
    <row r="92" ht="30" spans="1:4">
      <c r="A92" s="1" t="s">
        <v>211</v>
      </c>
      <c r="B92" s="12" t="s">
        <v>212</v>
      </c>
      <c r="C92" s="2">
        <v>0.000282251463473838</v>
      </c>
      <c r="D92" s="2">
        <v>0.000282251463473838</v>
      </c>
    </row>
    <row r="93" ht="30" spans="1:4">
      <c r="A93" s="1" t="s">
        <v>213</v>
      </c>
      <c r="B93" s="12" t="s">
        <v>214</v>
      </c>
      <c r="C93" s="2">
        <v>0.000846754390421515</v>
      </c>
      <c r="D93" s="2">
        <v>0.000846754390421515</v>
      </c>
    </row>
    <row r="94" spans="1:4">
      <c r="A94" s="1" t="s">
        <v>215</v>
      </c>
      <c r="B94" s="12" t="s">
        <v>216</v>
      </c>
      <c r="C94" s="2">
        <v>0.00254026317126454</v>
      </c>
      <c r="D94" s="2">
        <v>0.00254026317126454</v>
      </c>
    </row>
    <row r="95" ht="30" spans="1:4">
      <c r="A95" s="1" t="s">
        <v>217</v>
      </c>
      <c r="B95" s="12" t="s">
        <v>218</v>
      </c>
      <c r="C95" s="2">
        <v>0.00762078951379363</v>
      </c>
      <c r="D95" s="2">
        <v>0.00762078951379363</v>
      </c>
    </row>
    <row r="96" spans="1:4">
      <c r="A96" s="1" t="s">
        <v>219</v>
      </c>
      <c r="B96" s="12" t="s">
        <v>220</v>
      </c>
      <c r="C96" s="2">
        <v>0.0228623685413809</v>
      </c>
      <c r="D96" s="2">
        <v>0.0228623685413809</v>
      </c>
    </row>
    <row r="97" ht="30" spans="1:4">
      <c r="A97" s="1" t="s">
        <v>221</v>
      </c>
      <c r="B97" s="12" t="s">
        <v>222</v>
      </c>
      <c r="C97" s="2">
        <v>0.0685871056241427</v>
      </c>
      <c r="D97" s="2">
        <v>0.0685871056241427</v>
      </c>
    </row>
    <row r="98" spans="1:4">
      <c r="A98" s="1" t="s">
        <v>223</v>
      </c>
      <c r="B98" s="12" t="s">
        <v>224</v>
      </c>
      <c r="C98" s="2">
        <v>0.205761316872428</v>
      </c>
      <c r="D98" s="2">
        <v>0.205761316872428</v>
      </c>
    </row>
    <row r="99" spans="1:4">
      <c r="A99" s="1" t="s">
        <v>225</v>
      </c>
      <c r="B99" s="12" t="s">
        <v>226</v>
      </c>
      <c r="C99" s="2">
        <v>0.617283950617284</v>
      </c>
      <c r="D99" s="2">
        <v>0.617283950617284</v>
      </c>
    </row>
    <row r="100" ht="30" spans="1:4">
      <c r="A100" s="1" t="s">
        <v>227</v>
      </c>
      <c r="B100" s="12" t="s">
        <v>228</v>
      </c>
      <c r="C100" s="2">
        <v>1.85185185185185</v>
      </c>
      <c r="D100" s="2">
        <v>1.85185185185185</v>
      </c>
    </row>
    <row r="101" ht="30" spans="1:4">
      <c r="A101" s="1" t="s">
        <v>229</v>
      </c>
      <c r="B101" s="12" t="s">
        <v>230</v>
      </c>
      <c r="C101" s="2">
        <v>5.55555555555556</v>
      </c>
      <c r="D101" s="2">
        <v>5.55555555555556</v>
      </c>
    </row>
    <row r="102" spans="1:4">
      <c r="A102" s="1" t="s">
        <v>231</v>
      </c>
      <c r="B102" s="12" t="s">
        <v>232</v>
      </c>
      <c r="C102" s="2">
        <v>16.6666666666667</v>
      </c>
      <c r="D102" s="2">
        <v>16.6666666666667</v>
      </c>
    </row>
    <row r="103" spans="1:4">
      <c r="A103" s="1" t="s">
        <v>233</v>
      </c>
      <c r="B103" s="12" t="s">
        <v>234</v>
      </c>
      <c r="C103" s="2">
        <v>50</v>
      </c>
      <c r="D103" s="2">
        <v>50</v>
      </c>
    </row>
    <row r="104" spans="1:4">
      <c r="A104" s="1" t="s">
        <v>235</v>
      </c>
      <c r="B104" s="12" t="s">
        <v>236</v>
      </c>
      <c r="C104" s="2">
        <v>150</v>
      </c>
      <c r="D104" s="2">
        <v>150</v>
      </c>
    </row>
    <row r="105" ht="30" spans="1:4">
      <c r="A105" s="1" t="s">
        <v>237</v>
      </c>
      <c r="B105" s="12" t="s">
        <v>238</v>
      </c>
      <c r="C105" s="2">
        <v>450</v>
      </c>
      <c r="D105" s="2">
        <v>450</v>
      </c>
    </row>
    <row r="106" ht="30" spans="1:4">
      <c r="A106" s="1" t="s">
        <v>239</v>
      </c>
      <c r="B106" s="12" t="s">
        <v>240</v>
      </c>
      <c r="C106" s="2">
        <v>1350</v>
      </c>
      <c r="D106" s="2">
        <v>1350</v>
      </c>
    </row>
    <row r="107" ht="30" spans="1:4">
      <c r="A107" s="1" t="s">
        <v>241</v>
      </c>
      <c r="B107" s="12" t="s">
        <v>242</v>
      </c>
      <c r="C107" s="2">
        <v>17.7955555555556</v>
      </c>
      <c r="D107" s="2">
        <v>17.7955555555556</v>
      </c>
    </row>
    <row r="108" ht="30" spans="1:4">
      <c r="A108" s="1" t="s">
        <v>243</v>
      </c>
      <c r="B108" s="12" t="s">
        <v>244</v>
      </c>
      <c r="C108" s="2">
        <v>38.3866666666667</v>
      </c>
      <c r="D108" s="2">
        <v>38.3866666666667</v>
      </c>
    </row>
    <row r="109" ht="30" spans="1:4">
      <c r="A109" s="1" t="s">
        <v>245</v>
      </c>
      <c r="B109" s="12" t="s">
        <v>246</v>
      </c>
      <c r="C109" s="2">
        <v>95.16</v>
      </c>
      <c r="D109" s="2">
        <v>95.16</v>
      </c>
    </row>
    <row r="110" ht="30" spans="1:4">
      <c r="A110" s="1" t="s">
        <v>247</v>
      </c>
      <c r="B110" s="12" t="s">
        <v>248</v>
      </c>
      <c r="C110" s="2">
        <v>263.88</v>
      </c>
      <c r="D110" s="2">
        <v>263.88</v>
      </c>
    </row>
    <row r="111" ht="30" spans="1:4">
      <c r="A111" s="1" t="s">
        <v>249</v>
      </c>
      <c r="B111" s="12" t="s">
        <v>250</v>
      </c>
      <c r="C111" s="2">
        <v>754.84</v>
      </c>
      <c r="D111" s="2">
        <v>754.84</v>
      </c>
    </row>
    <row r="112" ht="45" spans="1:4">
      <c r="A112" s="1" t="s">
        <v>251</v>
      </c>
      <c r="B112" s="12" t="s">
        <v>252</v>
      </c>
      <c r="C112" s="2">
        <v>2221.32</v>
      </c>
      <c r="D112" s="2">
        <v>2221.32</v>
      </c>
    </row>
    <row r="113" ht="30" spans="1:4">
      <c r="A113" s="1" t="s">
        <v>253</v>
      </c>
      <c r="B113" s="12" t="s">
        <v>254</v>
      </c>
      <c r="C113" s="2">
        <v>17.7955555555556</v>
      </c>
      <c r="D113" s="2">
        <v>17.7955555555556</v>
      </c>
    </row>
    <row r="114" ht="30" spans="1:4">
      <c r="A114" s="1" t="s">
        <v>255</v>
      </c>
      <c r="B114" s="12" t="s">
        <v>256</v>
      </c>
      <c r="C114" s="2">
        <v>38.3866666666667</v>
      </c>
      <c r="D114" s="2">
        <v>38.3866666666667</v>
      </c>
    </row>
    <row r="115" ht="30" spans="1:4">
      <c r="A115" s="1" t="s">
        <v>257</v>
      </c>
      <c r="B115" s="12" t="s">
        <v>258</v>
      </c>
      <c r="C115" s="2">
        <v>95.16</v>
      </c>
      <c r="D115" s="2">
        <v>95.16</v>
      </c>
    </row>
    <row r="116" ht="30" spans="1:4">
      <c r="A116" s="1" t="s">
        <v>259</v>
      </c>
      <c r="B116" s="12" t="s">
        <v>260</v>
      </c>
      <c r="C116" s="2">
        <v>263.88</v>
      </c>
      <c r="D116" s="2">
        <v>263.88</v>
      </c>
    </row>
    <row r="117" ht="30" spans="1:4">
      <c r="A117" s="1" t="s">
        <v>261</v>
      </c>
      <c r="B117" s="12" t="s">
        <v>262</v>
      </c>
      <c r="C117" s="2">
        <v>754.84</v>
      </c>
      <c r="D117" s="2">
        <v>754.84</v>
      </c>
    </row>
    <row r="118" ht="45" spans="1:4">
      <c r="A118" s="1" t="s">
        <v>263</v>
      </c>
      <c r="B118" s="12" t="s">
        <v>264</v>
      </c>
      <c r="C118" s="2">
        <v>2221.32</v>
      </c>
      <c r="D118" s="2">
        <v>2221.32</v>
      </c>
    </row>
    <row r="119" ht="30" spans="1:4">
      <c r="A119" s="1" t="s">
        <v>265</v>
      </c>
      <c r="B119" s="12" t="s">
        <v>266</v>
      </c>
      <c r="C119" s="2">
        <v>17.7955555555556</v>
      </c>
      <c r="D119" s="2">
        <v>17.7955555555556</v>
      </c>
    </row>
    <row r="120" ht="30" spans="1:4">
      <c r="A120" s="1" t="s">
        <v>267</v>
      </c>
      <c r="B120" s="12" t="s">
        <v>268</v>
      </c>
      <c r="C120" s="2">
        <v>38.3866666666667</v>
      </c>
      <c r="D120" s="2">
        <v>38.3866666666667</v>
      </c>
    </row>
    <row r="121" ht="30" spans="1:4">
      <c r="A121" s="1" t="s">
        <v>269</v>
      </c>
      <c r="B121" s="12" t="s">
        <v>270</v>
      </c>
      <c r="C121" s="2">
        <v>95.16</v>
      </c>
      <c r="D121" s="2">
        <v>95.16</v>
      </c>
    </row>
    <row r="122" ht="30" spans="1:4">
      <c r="A122" s="1" t="s">
        <v>271</v>
      </c>
      <c r="B122" s="12" t="s">
        <v>272</v>
      </c>
      <c r="C122" s="2">
        <v>263.88</v>
      </c>
      <c r="D122" s="2">
        <v>263.88</v>
      </c>
    </row>
    <row r="123" ht="30" spans="1:4">
      <c r="A123" s="1" t="s">
        <v>273</v>
      </c>
      <c r="B123" s="12" t="s">
        <v>274</v>
      </c>
      <c r="C123" s="2">
        <v>754.84</v>
      </c>
      <c r="D123" s="2">
        <v>754.84</v>
      </c>
    </row>
    <row r="124" ht="45" spans="1:4">
      <c r="A124" s="1" t="s">
        <v>275</v>
      </c>
      <c r="B124" s="12" t="s">
        <v>276</v>
      </c>
      <c r="C124" s="2">
        <v>2221.32</v>
      </c>
      <c r="D124" s="2">
        <v>2221.32</v>
      </c>
    </row>
    <row r="125" ht="30" spans="1:4">
      <c r="A125" s="1" t="s">
        <v>277</v>
      </c>
      <c r="B125" s="12" t="s">
        <v>278</v>
      </c>
      <c r="C125" s="2">
        <v>17.7955555555556</v>
      </c>
      <c r="D125" s="2">
        <v>17.7955555555556</v>
      </c>
    </row>
    <row r="126" ht="30" spans="1:4">
      <c r="A126" s="1" t="s">
        <v>279</v>
      </c>
      <c r="B126" s="12" t="s">
        <v>280</v>
      </c>
      <c r="C126" s="2">
        <v>38.3866666666667</v>
      </c>
      <c r="D126" s="2">
        <v>38.3866666666667</v>
      </c>
    </row>
    <row r="127" ht="30" spans="1:4">
      <c r="A127" s="1" t="s">
        <v>281</v>
      </c>
      <c r="B127" s="12" t="s">
        <v>282</v>
      </c>
      <c r="C127" s="2">
        <v>95.16</v>
      </c>
      <c r="D127" s="2">
        <v>95.16</v>
      </c>
    </row>
    <row r="128" ht="30" spans="1:4">
      <c r="A128" s="1" t="s">
        <v>283</v>
      </c>
      <c r="B128" s="12" t="s">
        <v>284</v>
      </c>
      <c r="C128" s="2">
        <v>263.88</v>
      </c>
      <c r="D128" s="2">
        <v>263.88</v>
      </c>
    </row>
    <row r="129" ht="30" spans="1:4">
      <c r="A129" s="1" t="s">
        <v>285</v>
      </c>
      <c r="B129" s="12" t="s">
        <v>286</v>
      </c>
      <c r="C129" s="2">
        <v>754.84</v>
      </c>
      <c r="D129" s="2">
        <v>754.84</v>
      </c>
    </row>
    <row r="130" ht="45" spans="1:4">
      <c r="A130" s="1" t="s">
        <v>287</v>
      </c>
      <c r="B130" s="12" t="s">
        <v>288</v>
      </c>
      <c r="C130" s="2">
        <v>2221.32</v>
      </c>
      <c r="D130" s="2">
        <v>2221.32</v>
      </c>
    </row>
    <row r="131" spans="1:4">
      <c r="A131" s="1" t="s">
        <v>289</v>
      </c>
      <c r="B131" s="12" t="s">
        <v>290</v>
      </c>
      <c r="C131" s="2">
        <v>0.3456</v>
      </c>
      <c r="D131" s="2">
        <v>0.3456</v>
      </c>
    </row>
    <row r="132" spans="1:4">
      <c r="A132" s="1" t="s">
        <v>291</v>
      </c>
      <c r="B132" s="12" t="s">
        <v>292</v>
      </c>
      <c r="C132" s="2">
        <v>1.728</v>
      </c>
      <c r="D132" s="2">
        <v>1.728</v>
      </c>
    </row>
    <row r="133" spans="1:4">
      <c r="A133" s="1" t="s">
        <v>293</v>
      </c>
      <c r="B133" s="12" t="s">
        <v>294</v>
      </c>
      <c r="C133" s="2">
        <v>8.64</v>
      </c>
      <c r="D133" s="2">
        <v>8.64</v>
      </c>
    </row>
    <row r="134" spans="1:4">
      <c r="A134" s="1" t="s">
        <v>295</v>
      </c>
      <c r="B134" s="12" t="s">
        <v>296</v>
      </c>
      <c r="C134" s="2">
        <v>43.2</v>
      </c>
      <c r="D134" s="2">
        <v>43.2</v>
      </c>
    </row>
    <row r="135" spans="1:4">
      <c r="A135" s="1" t="s">
        <v>297</v>
      </c>
      <c r="B135" s="12" t="s">
        <v>298</v>
      </c>
      <c r="C135" s="2">
        <v>216</v>
      </c>
      <c r="D135" s="2">
        <v>216</v>
      </c>
    </row>
    <row r="136" spans="1:4">
      <c r="A136" s="1" t="s">
        <v>299</v>
      </c>
      <c r="B136" s="12" t="s">
        <v>300</v>
      </c>
      <c r="C136" s="2">
        <v>648</v>
      </c>
      <c r="D136" s="2">
        <v>648</v>
      </c>
    </row>
    <row r="137" spans="1:4">
      <c r="A137" s="1" t="s">
        <v>301</v>
      </c>
      <c r="B137" s="12" t="s">
        <v>300</v>
      </c>
      <c r="C137" s="2">
        <v>648</v>
      </c>
      <c r="D137" s="2">
        <v>648</v>
      </c>
    </row>
    <row r="138" spans="1:4">
      <c r="A138" s="1" t="s">
        <v>302</v>
      </c>
      <c r="B138" s="12" t="s">
        <v>300</v>
      </c>
      <c r="C138" s="2">
        <v>648</v>
      </c>
      <c r="D138" s="2">
        <v>648</v>
      </c>
    </row>
    <row r="139" spans="1:4">
      <c r="A139" s="1" t="s">
        <v>303</v>
      </c>
      <c r="B139" s="12" t="s">
        <v>300</v>
      </c>
      <c r="C139" s="2">
        <v>648</v>
      </c>
      <c r="D139" s="2">
        <v>648</v>
      </c>
    </row>
    <row r="140" spans="1:4">
      <c r="A140" s="1" t="s">
        <v>304</v>
      </c>
      <c r="B140" s="12" t="s">
        <v>300</v>
      </c>
      <c r="C140" s="2">
        <v>648</v>
      </c>
      <c r="D140" s="2">
        <v>648</v>
      </c>
    </row>
    <row r="141" spans="1:4">
      <c r="A141" s="1" t="s">
        <v>305</v>
      </c>
      <c r="B141" s="12" t="s">
        <v>300</v>
      </c>
      <c r="C141" s="2">
        <v>648</v>
      </c>
      <c r="D141" s="2">
        <v>648</v>
      </c>
    </row>
    <row r="142" spans="1:4">
      <c r="A142" s="1" t="s">
        <v>306</v>
      </c>
      <c r="B142" s="12" t="s">
        <v>300</v>
      </c>
      <c r="C142" s="2">
        <v>648</v>
      </c>
      <c r="D142" s="2">
        <v>648</v>
      </c>
    </row>
    <row r="143" spans="1:4">
      <c r="A143" s="1" t="s">
        <v>307</v>
      </c>
      <c r="B143" s="12" t="s">
        <v>300</v>
      </c>
      <c r="C143" s="2">
        <v>648</v>
      </c>
      <c r="D143" s="2">
        <v>648</v>
      </c>
    </row>
    <row r="144" spans="1:4">
      <c r="A144" s="1" t="s">
        <v>308</v>
      </c>
      <c r="B144" s="12" t="s">
        <v>300</v>
      </c>
      <c r="C144" s="2">
        <v>648</v>
      </c>
      <c r="D144" s="2">
        <v>648</v>
      </c>
    </row>
    <row r="145" spans="1:4">
      <c r="A145" s="1" t="s">
        <v>309</v>
      </c>
      <c r="B145" s="12" t="s">
        <v>300</v>
      </c>
      <c r="C145" s="2">
        <v>648</v>
      </c>
      <c r="D145" s="2">
        <v>648</v>
      </c>
    </row>
    <row r="146" spans="1:4">
      <c r="A146" s="1" t="s">
        <v>310</v>
      </c>
      <c r="B146" s="12" t="s">
        <v>300</v>
      </c>
      <c r="C146" s="2">
        <v>648</v>
      </c>
      <c r="D146" s="2">
        <v>648</v>
      </c>
    </row>
    <row r="147" spans="1:4">
      <c r="A147" s="1" t="s">
        <v>311</v>
      </c>
      <c r="B147" s="12" t="s">
        <v>300</v>
      </c>
      <c r="C147" s="2">
        <v>648</v>
      </c>
      <c r="D147" s="2">
        <v>648</v>
      </c>
    </row>
    <row r="148" spans="1:4">
      <c r="A148" s="1" t="s">
        <v>312</v>
      </c>
      <c r="B148" s="12" t="s">
        <v>300</v>
      </c>
      <c r="C148" s="2">
        <v>648</v>
      </c>
      <c r="D148" s="2">
        <v>648</v>
      </c>
    </row>
    <row r="149" spans="1:4">
      <c r="A149" s="1" t="s">
        <v>313</v>
      </c>
      <c r="B149" s="12" t="s">
        <v>300</v>
      </c>
      <c r="C149" s="2">
        <v>648</v>
      </c>
      <c r="D149" s="2">
        <v>648</v>
      </c>
    </row>
    <row r="150" spans="1:4">
      <c r="A150" s="1" t="s">
        <v>314</v>
      </c>
      <c r="B150" s="12" t="s">
        <v>300</v>
      </c>
      <c r="C150" s="2">
        <v>648</v>
      </c>
      <c r="D150" s="2">
        <v>648</v>
      </c>
    </row>
    <row r="151" spans="1:4">
      <c r="A151" s="1" t="s">
        <v>315</v>
      </c>
      <c r="B151" s="12" t="s">
        <v>300</v>
      </c>
      <c r="C151" s="2">
        <v>648</v>
      </c>
      <c r="D151" s="2">
        <v>648</v>
      </c>
    </row>
    <row r="152" spans="1:4">
      <c r="A152" s="1" t="s">
        <v>316</v>
      </c>
      <c r="B152" s="12" t="s">
        <v>317</v>
      </c>
      <c r="C152" s="2">
        <v>80</v>
      </c>
      <c r="D152" s="2">
        <v>80</v>
      </c>
    </row>
    <row r="153" spans="1:4">
      <c r="A153" s="1" t="s">
        <v>318</v>
      </c>
      <c r="B153" s="12" t="s">
        <v>319</v>
      </c>
      <c r="C153" s="2">
        <v>25</v>
      </c>
      <c r="D153" s="2">
        <v>25</v>
      </c>
    </row>
    <row r="154" spans="1:4">
      <c r="A154" s="1" t="s">
        <v>320</v>
      </c>
      <c r="B154" s="12" t="s">
        <v>319</v>
      </c>
      <c r="C154" s="2">
        <v>50</v>
      </c>
      <c r="D154" s="2">
        <v>50</v>
      </c>
    </row>
    <row r="155" spans="1:4">
      <c r="A155" s="1" t="s">
        <v>321</v>
      </c>
      <c r="B155" s="12" t="s">
        <v>319</v>
      </c>
      <c r="C155" s="2">
        <v>100</v>
      </c>
      <c r="D155" s="2">
        <v>100</v>
      </c>
    </row>
    <row r="156" spans="1:4">
      <c r="A156" s="1" t="s">
        <v>322</v>
      </c>
      <c r="B156" s="12" t="s">
        <v>319</v>
      </c>
      <c r="C156" s="2">
        <v>200</v>
      </c>
      <c r="D156" s="2">
        <v>200</v>
      </c>
    </row>
    <row r="157" spans="1:4">
      <c r="A157" s="1" t="s">
        <v>323</v>
      </c>
      <c r="B157" s="12" t="s">
        <v>324</v>
      </c>
      <c r="C157" s="2">
        <v>25</v>
      </c>
      <c r="D157" s="2">
        <v>25</v>
      </c>
    </row>
    <row r="158" spans="1:4">
      <c r="A158" s="1" t="s">
        <v>325</v>
      </c>
      <c r="B158" s="12" t="s">
        <v>324</v>
      </c>
      <c r="C158" s="2">
        <v>50</v>
      </c>
      <c r="D158" s="2">
        <v>50</v>
      </c>
    </row>
    <row r="159" spans="1:4">
      <c r="A159" s="1" t="s">
        <v>326</v>
      </c>
      <c r="B159" s="12" t="s">
        <v>324</v>
      </c>
      <c r="C159" s="2">
        <v>100</v>
      </c>
      <c r="D159" s="2">
        <v>100</v>
      </c>
    </row>
    <row r="160" spans="1:4">
      <c r="A160" s="1" t="s">
        <v>327</v>
      </c>
      <c r="B160" s="12" t="s">
        <v>324</v>
      </c>
      <c r="C160" s="2">
        <v>200</v>
      </c>
      <c r="D160" s="2">
        <v>200</v>
      </c>
    </row>
    <row r="161" spans="1:4">
      <c r="A161" s="1" t="s">
        <v>328</v>
      </c>
      <c r="B161" s="12" t="s">
        <v>329</v>
      </c>
      <c r="C161" s="2">
        <v>25</v>
      </c>
      <c r="D161" s="2">
        <v>25</v>
      </c>
    </row>
    <row r="162" spans="1:4">
      <c r="A162" s="1" t="s">
        <v>330</v>
      </c>
      <c r="B162" s="12" t="s">
        <v>329</v>
      </c>
      <c r="C162" s="2">
        <v>50</v>
      </c>
      <c r="D162" s="2">
        <v>50</v>
      </c>
    </row>
    <row r="163" spans="1:4">
      <c r="A163" s="1" t="s">
        <v>331</v>
      </c>
      <c r="B163" s="12" t="s">
        <v>329</v>
      </c>
      <c r="C163" s="2">
        <v>100</v>
      </c>
      <c r="D163" s="2">
        <v>100</v>
      </c>
    </row>
    <row r="164" spans="1:4">
      <c r="A164" s="1" t="s">
        <v>332</v>
      </c>
      <c r="B164" s="12" t="s">
        <v>329</v>
      </c>
      <c r="C164" s="2">
        <v>200</v>
      </c>
      <c r="D164" s="2">
        <v>200</v>
      </c>
    </row>
    <row r="165" spans="1:4">
      <c r="A165" s="1" t="s">
        <v>333</v>
      </c>
      <c r="B165" s="12" t="s">
        <v>334</v>
      </c>
      <c r="C165" s="2">
        <v>25</v>
      </c>
      <c r="D165" s="2">
        <v>25</v>
      </c>
    </row>
    <row r="166" spans="1:4">
      <c r="A166" s="1" t="s">
        <v>335</v>
      </c>
      <c r="B166" s="12" t="s">
        <v>334</v>
      </c>
      <c r="C166" s="2">
        <v>50</v>
      </c>
      <c r="D166" s="2">
        <v>50</v>
      </c>
    </row>
    <row r="167" spans="1:4">
      <c r="A167" s="1" t="s">
        <v>336</v>
      </c>
      <c r="B167" s="12" t="s">
        <v>334</v>
      </c>
      <c r="C167" s="2">
        <v>100</v>
      </c>
      <c r="D167" s="2">
        <v>100</v>
      </c>
    </row>
    <row r="168" spans="1:4">
      <c r="A168" s="1" t="s">
        <v>337</v>
      </c>
      <c r="B168" s="12" t="s">
        <v>334</v>
      </c>
      <c r="C168" s="2">
        <v>200</v>
      </c>
      <c r="D168" s="2">
        <v>200</v>
      </c>
    </row>
    <row r="169" spans="1:4">
      <c r="A169" s="1" t="s">
        <v>338</v>
      </c>
      <c r="B169" s="12" t="s">
        <v>339</v>
      </c>
      <c r="C169" s="2">
        <v>25</v>
      </c>
      <c r="D169" s="2">
        <v>25</v>
      </c>
    </row>
    <row r="170" spans="1:4">
      <c r="A170" s="1" t="s">
        <v>340</v>
      </c>
      <c r="B170" s="12" t="s">
        <v>339</v>
      </c>
      <c r="C170" s="2">
        <v>50</v>
      </c>
      <c r="D170" s="2">
        <v>50</v>
      </c>
    </row>
    <row r="171" spans="1:4">
      <c r="A171" s="1" t="s">
        <v>341</v>
      </c>
      <c r="B171" s="12" t="s">
        <v>339</v>
      </c>
      <c r="C171" s="2">
        <v>100</v>
      </c>
      <c r="D171" s="2">
        <v>100</v>
      </c>
    </row>
    <row r="172" spans="1:4">
      <c r="A172" s="1" t="s">
        <v>342</v>
      </c>
      <c r="B172" s="12" t="s">
        <v>339</v>
      </c>
      <c r="C172" s="2">
        <v>200</v>
      </c>
      <c r="D172" s="2">
        <v>200</v>
      </c>
    </row>
    <row r="173" spans="1:4">
      <c r="A173" s="1" t="s">
        <v>343</v>
      </c>
      <c r="B173" s="12" t="s">
        <v>344</v>
      </c>
      <c r="C173" s="2">
        <v>25</v>
      </c>
      <c r="D173" s="2">
        <v>25</v>
      </c>
    </row>
    <row r="174" spans="1:4">
      <c r="A174" s="1" t="s">
        <v>345</v>
      </c>
      <c r="B174" s="12" t="s">
        <v>344</v>
      </c>
      <c r="C174" s="2">
        <v>50</v>
      </c>
      <c r="D174" s="2">
        <v>50</v>
      </c>
    </row>
    <row r="175" spans="1:4">
      <c r="A175" s="1" t="s">
        <v>346</v>
      </c>
      <c r="B175" s="12" t="s">
        <v>344</v>
      </c>
      <c r="C175" s="2">
        <v>100</v>
      </c>
      <c r="D175" s="2">
        <v>100</v>
      </c>
    </row>
    <row r="176" spans="1:4">
      <c r="A176" s="1" t="s">
        <v>347</v>
      </c>
      <c r="B176" s="12" t="s">
        <v>344</v>
      </c>
      <c r="C176" s="2">
        <v>200</v>
      </c>
      <c r="D176" s="2">
        <v>200</v>
      </c>
    </row>
    <row r="177" spans="1:4">
      <c r="A177" s="1" t="s">
        <v>348</v>
      </c>
      <c r="B177" s="12" t="s">
        <v>349</v>
      </c>
      <c r="C177" s="2">
        <v>25</v>
      </c>
      <c r="D177" s="2">
        <v>25</v>
      </c>
    </row>
    <row r="178" spans="1:4">
      <c r="A178" s="1" t="s">
        <v>350</v>
      </c>
      <c r="B178" s="12" t="s">
        <v>349</v>
      </c>
      <c r="C178" s="2">
        <v>50</v>
      </c>
      <c r="D178" s="2">
        <v>50</v>
      </c>
    </row>
    <row r="179" spans="1:4">
      <c r="A179" s="1" t="s">
        <v>351</v>
      </c>
      <c r="B179" s="12" t="s">
        <v>349</v>
      </c>
      <c r="C179" s="2">
        <v>100</v>
      </c>
      <c r="D179" s="2">
        <v>100</v>
      </c>
    </row>
    <row r="180" spans="1:4">
      <c r="A180" s="1" t="s">
        <v>352</v>
      </c>
      <c r="B180" s="12" t="s">
        <v>349</v>
      </c>
      <c r="C180" s="2">
        <v>200</v>
      </c>
      <c r="D180" s="2">
        <v>200</v>
      </c>
    </row>
    <row r="181" spans="1:4">
      <c r="A181" s="1" t="s">
        <v>353</v>
      </c>
      <c r="B181" s="12" t="s">
        <v>354</v>
      </c>
      <c r="C181" s="2">
        <v>25</v>
      </c>
      <c r="D181" s="2">
        <v>25</v>
      </c>
    </row>
    <row r="182" spans="1:4">
      <c r="A182" s="1" t="s">
        <v>355</v>
      </c>
      <c r="B182" s="12" t="s">
        <v>354</v>
      </c>
      <c r="C182" s="2">
        <v>50</v>
      </c>
      <c r="D182" s="2">
        <v>50</v>
      </c>
    </row>
    <row r="183" spans="1:4">
      <c r="A183" s="1" t="s">
        <v>356</v>
      </c>
      <c r="B183" s="12" t="s">
        <v>354</v>
      </c>
      <c r="C183" s="2">
        <v>100</v>
      </c>
      <c r="D183" s="2">
        <v>100</v>
      </c>
    </row>
    <row r="184" spans="1:4">
      <c r="A184" s="1" t="s">
        <v>357</v>
      </c>
      <c r="B184" s="12" t="s">
        <v>354</v>
      </c>
      <c r="C184" s="2">
        <v>200</v>
      </c>
      <c r="D184" s="2">
        <v>200</v>
      </c>
    </row>
    <row r="185" spans="1:4">
      <c r="A185" s="1" t="s">
        <v>358</v>
      </c>
      <c r="B185" s="12" t="s">
        <v>359</v>
      </c>
      <c r="C185" s="2">
        <v>25</v>
      </c>
      <c r="D185" s="2">
        <v>25</v>
      </c>
    </row>
    <row r="186" spans="1:4">
      <c r="A186" s="1" t="s">
        <v>360</v>
      </c>
      <c r="B186" s="12" t="s">
        <v>359</v>
      </c>
      <c r="C186" s="2">
        <v>50</v>
      </c>
      <c r="D186" s="2">
        <v>50</v>
      </c>
    </row>
    <row r="187" spans="1:4">
      <c r="A187" s="1" t="s">
        <v>361</v>
      </c>
      <c r="B187" s="12" t="s">
        <v>359</v>
      </c>
      <c r="C187" s="2">
        <v>100</v>
      </c>
      <c r="D187" s="2">
        <v>100</v>
      </c>
    </row>
    <row r="188" spans="1:4">
      <c r="A188" s="1" t="s">
        <v>362</v>
      </c>
      <c r="B188" s="12" t="s">
        <v>359</v>
      </c>
      <c r="C188" s="2">
        <v>200</v>
      </c>
      <c r="D188" s="2">
        <v>200</v>
      </c>
    </row>
    <row r="189" spans="1:4">
      <c r="A189" s="1" t="s">
        <v>363</v>
      </c>
      <c r="B189" s="12" t="s">
        <v>364</v>
      </c>
      <c r="C189" s="2">
        <v>25</v>
      </c>
      <c r="D189" s="2">
        <v>25</v>
      </c>
    </row>
    <row r="190" spans="1:4">
      <c r="A190" s="1" t="s">
        <v>365</v>
      </c>
      <c r="B190" s="12" t="s">
        <v>364</v>
      </c>
      <c r="C190" s="2">
        <v>50</v>
      </c>
      <c r="D190" s="2">
        <v>50</v>
      </c>
    </row>
    <row r="191" spans="1:4">
      <c r="A191" s="1" t="s">
        <v>366</v>
      </c>
      <c r="B191" s="12" t="s">
        <v>364</v>
      </c>
      <c r="C191" s="2">
        <v>100</v>
      </c>
      <c r="D191" s="2">
        <v>100</v>
      </c>
    </row>
    <row r="192" spans="1:4">
      <c r="A192" s="1" t="s">
        <v>367</v>
      </c>
      <c r="B192" s="12" t="s">
        <v>364</v>
      </c>
      <c r="C192" s="2">
        <v>200</v>
      </c>
      <c r="D192" s="2">
        <v>200</v>
      </c>
    </row>
    <row r="193" spans="1:4">
      <c r="A193" s="1" t="s">
        <v>368</v>
      </c>
      <c r="B193" s="12" t="s">
        <v>369</v>
      </c>
      <c r="C193" s="2">
        <v>25</v>
      </c>
      <c r="D193" s="2">
        <v>25</v>
      </c>
    </row>
    <row r="194" spans="1:4">
      <c r="A194" s="1" t="s">
        <v>370</v>
      </c>
      <c r="B194" s="12" t="s">
        <v>369</v>
      </c>
      <c r="C194" s="2">
        <v>50</v>
      </c>
      <c r="D194" s="2">
        <v>50</v>
      </c>
    </row>
    <row r="195" spans="1:4">
      <c r="A195" s="1" t="s">
        <v>371</v>
      </c>
      <c r="B195" s="12" t="s">
        <v>369</v>
      </c>
      <c r="C195" s="2">
        <v>100</v>
      </c>
      <c r="D195" s="2">
        <v>100</v>
      </c>
    </row>
    <row r="196" spans="1:4">
      <c r="A196" s="1" t="s">
        <v>372</v>
      </c>
      <c r="B196" s="12" t="s">
        <v>369</v>
      </c>
      <c r="C196" s="2">
        <v>200</v>
      </c>
      <c r="D196" s="2">
        <v>200</v>
      </c>
    </row>
    <row r="197" spans="1:4">
      <c r="A197" s="1" t="s">
        <v>373</v>
      </c>
      <c r="B197" s="12" t="s">
        <v>374</v>
      </c>
      <c r="C197" s="2">
        <v>25</v>
      </c>
      <c r="D197" s="2">
        <v>25</v>
      </c>
    </row>
    <row r="198" spans="1:4">
      <c r="A198" s="1" t="s">
        <v>375</v>
      </c>
      <c r="B198" s="12" t="s">
        <v>374</v>
      </c>
      <c r="C198" s="2">
        <v>50</v>
      </c>
      <c r="D198" s="2">
        <v>50</v>
      </c>
    </row>
    <row r="199" spans="1:4">
      <c r="A199" s="1" t="s">
        <v>376</v>
      </c>
      <c r="B199" s="12" t="s">
        <v>374</v>
      </c>
      <c r="C199" s="2">
        <v>100</v>
      </c>
      <c r="D199" s="2">
        <v>100</v>
      </c>
    </row>
    <row r="200" spans="1:4">
      <c r="A200" s="1" t="s">
        <v>377</v>
      </c>
      <c r="B200" s="12" t="s">
        <v>374</v>
      </c>
      <c r="C200" s="2">
        <v>200</v>
      </c>
      <c r="D200" s="2">
        <v>200</v>
      </c>
    </row>
    <row r="201" spans="1:4">
      <c r="A201" s="1" t="s">
        <v>378</v>
      </c>
      <c r="B201" s="12" t="s">
        <v>379</v>
      </c>
      <c r="C201" s="2">
        <v>648</v>
      </c>
      <c r="D201" s="2">
        <v>648</v>
      </c>
    </row>
    <row r="202" spans="1:4">
      <c r="A202" s="1" t="s">
        <v>380</v>
      </c>
      <c r="B202" s="12" t="s">
        <v>379</v>
      </c>
      <c r="C202" s="2">
        <v>648</v>
      </c>
      <c r="D202" s="2">
        <v>648</v>
      </c>
    </row>
    <row r="203" spans="1:4">
      <c r="A203" s="1" t="s">
        <v>381</v>
      </c>
      <c r="B203" s="12" t="s">
        <v>382</v>
      </c>
      <c r="C203" s="2">
        <v>648</v>
      </c>
      <c r="D203" s="2">
        <v>648</v>
      </c>
    </row>
    <row r="204" spans="1:4">
      <c r="A204" s="1" t="s">
        <v>383</v>
      </c>
      <c r="B204" s="12" t="s">
        <v>382</v>
      </c>
      <c r="C204" s="2">
        <v>648</v>
      </c>
      <c r="D204" s="2">
        <v>648</v>
      </c>
    </row>
    <row r="205" spans="1:4">
      <c r="A205" s="1" t="s">
        <v>384</v>
      </c>
      <c r="B205" s="12" t="s">
        <v>385</v>
      </c>
      <c r="C205" s="2">
        <v>648</v>
      </c>
      <c r="D205" s="2">
        <v>648</v>
      </c>
    </row>
    <row r="206" spans="1:4">
      <c r="A206" s="1" t="s">
        <v>386</v>
      </c>
      <c r="B206" s="12" t="s">
        <v>385</v>
      </c>
      <c r="C206" s="2">
        <v>648</v>
      </c>
      <c r="D206" s="2">
        <v>648</v>
      </c>
    </row>
    <row r="207" spans="1:4">
      <c r="A207" s="1" t="s">
        <v>387</v>
      </c>
      <c r="B207" s="12" t="s">
        <v>388</v>
      </c>
      <c r="C207" s="2">
        <v>648</v>
      </c>
      <c r="D207" s="2">
        <v>648</v>
      </c>
    </row>
    <row r="208" spans="1:4">
      <c r="A208" s="1" t="s">
        <v>389</v>
      </c>
      <c r="B208" s="12" t="s">
        <v>388</v>
      </c>
      <c r="C208" s="2">
        <v>648</v>
      </c>
      <c r="D208" s="2">
        <v>648</v>
      </c>
    </row>
    <row r="209" spans="1:4">
      <c r="A209" s="1" t="s">
        <v>390</v>
      </c>
      <c r="B209" s="12" t="s">
        <v>391</v>
      </c>
      <c r="C209" s="2">
        <v>648</v>
      </c>
      <c r="D209" s="2">
        <v>648</v>
      </c>
    </row>
    <row r="210" spans="1:4">
      <c r="A210" s="1" t="s">
        <v>392</v>
      </c>
      <c r="B210" s="12" t="s">
        <v>391</v>
      </c>
      <c r="C210" s="2">
        <v>648</v>
      </c>
      <c r="D210" s="2">
        <v>648</v>
      </c>
    </row>
    <row r="211" spans="1:4">
      <c r="A211" s="1" t="s">
        <v>393</v>
      </c>
      <c r="B211" s="12" t="s">
        <v>394</v>
      </c>
      <c r="C211" s="2">
        <v>648</v>
      </c>
      <c r="D211" s="2">
        <v>648</v>
      </c>
    </row>
    <row r="212" spans="1:4">
      <c r="A212" s="1" t="s">
        <v>395</v>
      </c>
      <c r="B212" s="12" t="s">
        <v>394</v>
      </c>
      <c r="C212" s="2">
        <v>648</v>
      </c>
      <c r="D212" s="2">
        <v>648</v>
      </c>
    </row>
    <row r="213" spans="1:4">
      <c r="A213" s="1" t="s">
        <v>396</v>
      </c>
      <c r="B213" s="12" t="s">
        <v>397</v>
      </c>
      <c r="C213" s="2">
        <v>648</v>
      </c>
      <c r="D213" s="2">
        <v>648</v>
      </c>
    </row>
    <row r="214" spans="1:4">
      <c r="A214" s="1" t="s">
        <v>398</v>
      </c>
      <c r="B214" s="12" t="s">
        <v>397</v>
      </c>
      <c r="C214" s="2">
        <v>648</v>
      </c>
      <c r="D214" s="2">
        <v>648</v>
      </c>
    </row>
    <row r="215" spans="1:4">
      <c r="A215" s="1" t="s">
        <v>399</v>
      </c>
      <c r="B215" s="12" t="s">
        <v>400</v>
      </c>
      <c r="C215" s="2">
        <v>648</v>
      </c>
      <c r="D215" s="2">
        <v>648</v>
      </c>
    </row>
    <row r="216" spans="1:4">
      <c r="A216" s="1" t="s">
        <v>401</v>
      </c>
      <c r="B216" s="12" t="s">
        <v>400</v>
      </c>
      <c r="C216" s="2">
        <v>648</v>
      </c>
      <c r="D216" s="2">
        <v>648</v>
      </c>
    </row>
    <row r="217" spans="1:4">
      <c r="A217" s="1" t="s">
        <v>402</v>
      </c>
      <c r="B217" s="12" t="s">
        <v>403</v>
      </c>
      <c r="C217" s="2">
        <v>648</v>
      </c>
      <c r="D217" s="2">
        <v>648</v>
      </c>
    </row>
    <row r="218" spans="1:4">
      <c r="A218" s="1" t="s">
        <v>404</v>
      </c>
      <c r="B218" s="12" t="s">
        <v>403</v>
      </c>
      <c r="C218" s="2">
        <v>648</v>
      </c>
      <c r="D218" s="2">
        <v>648</v>
      </c>
    </row>
    <row r="219" spans="1:4">
      <c r="A219" s="1" t="s">
        <v>405</v>
      </c>
      <c r="B219" s="12" t="s">
        <v>406</v>
      </c>
      <c r="C219" s="2">
        <v>648</v>
      </c>
      <c r="D219" s="2">
        <v>648</v>
      </c>
    </row>
    <row r="220" spans="1:4">
      <c r="A220" s="1" t="s">
        <v>407</v>
      </c>
      <c r="B220" s="12" t="s">
        <v>406</v>
      </c>
      <c r="C220" s="2">
        <v>648</v>
      </c>
      <c r="D220" s="2">
        <v>648</v>
      </c>
    </row>
    <row r="221" ht="30" spans="1:4">
      <c r="A221" s="1" t="s">
        <v>408</v>
      </c>
      <c r="B221" s="12" t="s">
        <v>409</v>
      </c>
      <c r="C221" s="2">
        <v>0.1</v>
      </c>
      <c r="D221" s="2">
        <v>0.1</v>
      </c>
    </row>
    <row r="222" ht="30" spans="1:4">
      <c r="A222" s="1" t="s">
        <v>410</v>
      </c>
      <c r="B222" s="12" t="s">
        <v>411</v>
      </c>
      <c r="C222" s="2">
        <v>20</v>
      </c>
      <c r="D222" s="2">
        <v>20</v>
      </c>
    </row>
    <row r="223" spans="1:4">
      <c r="A223" s="1" t="s">
        <v>412</v>
      </c>
      <c r="B223" s="12" t="s">
        <v>413</v>
      </c>
      <c r="C223" s="2">
        <v>25.65</v>
      </c>
      <c r="D223" s="2">
        <v>25.65</v>
      </c>
    </row>
    <row r="224" spans="1:4">
      <c r="A224" s="1" t="s">
        <v>414</v>
      </c>
      <c r="B224" s="12" t="s">
        <v>415</v>
      </c>
      <c r="C224" s="2">
        <v>25.65</v>
      </c>
      <c r="D224" s="2">
        <v>25.65</v>
      </c>
    </row>
    <row r="225" spans="1:4">
      <c r="A225" s="1" t="s">
        <v>416</v>
      </c>
      <c r="B225" s="12" t="s">
        <v>417</v>
      </c>
      <c r="C225" s="2">
        <v>25.65</v>
      </c>
      <c r="D225" s="2">
        <v>25.65</v>
      </c>
    </row>
    <row r="226" spans="1:4">
      <c r="A226" s="1" t="s">
        <v>418</v>
      </c>
      <c r="B226" s="12" t="s">
        <v>419</v>
      </c>
      <c r="C226" s="2">
        <v>25.65</v>
      </c>
      <c r="D226" s="2">
        <v>25.65</v>
      </c>
    </row>
    <row r="227" spans="1:4">
      <c r="A227" s="1" t="s">
        <v>420</v>
      </c>
      <c r="B227" s="12" t="s">
        <v>421</v>
      </c>
      <c r="C227" s="2">
        <v>25.65</v>
      </c>
      <c r="D227" s="2">
        <v>25.65</v>
      </c>
    </row>
    <row r="228" spans="1:4">
      <c r="A228" s="1" t="s">
        <v>422</v>
      </c>
      <c r="B228" s="12" t="s">
        <v>423</v>
      </c>
      <c r="C228" s="2">
        <v>25.65</v>
      </c>
      <c r="D228" s="2">
        <v>25.65</v>
      </c>
    </row>
    <row r="229" spans="1:4">
      <c r="A229" s="1" t="s">
        <v>424</v>
      </c>
      <c r="B229" s="12" t="s">
        <v>425</v>
      </c>
      <c r="C229" s="2">
        <v>656.1</v>
      </c>
      <c r="D229" s="2">
        <v>656.1</v>
      </c>
    </row>
    <row r="230" spans="1:4">
      <c r="A230" s="1" t="s">
        <v>426</v>
      </c>
      <c r="B230" s="12" t="s">
        <v>427</v>
      </c>
      <c r="C230" s="2">
        <v>656.1</v>
      </c>
      <c r="D230" s="2">
        <v>656.1</v>
      </c>
    </row>
    <row r="231" spans="1:4">
      <c r="A231" s="1" t="s">
        <v>428</v>
      </c>
      <c r="B231" s="12" t="s">
        <v>429</v>
      </c>
      <c r="C231" s="2">
        <v>656.1</v>
      </c>
      <c r="D231" s="2">
        <v>656.1</v>
      </c>
    </row>
    <row r="232" spans="1:4">
      <c r="A232" s="1" t="s">
        <v>430</v>
      </c>
      <c r="B232" s="12" t="s">
        <v>431</v>
      </c>
      <c r="C232" s="2">
        <v>656.1</v>
      </c>
      <c r="D232" s="2">
        <v>656.1</v>
      </c>
    </row>
    <row r="233" spans="1:4">
      <c r="A233" s="1" t="s">
        <v>432</v>
      </c>
      <c r="B233" s="12" t="s">
        <v>433</v>
      </c>
      <c r="C233" s="2">
        <v>656.1</v>
      </c>
      <c r="D233" s="2">
        <v>656.1</v>
      </c>
    </row>
    <row r="234" spans="1:4">
      <c r="A234" s="1" t="s">
        <v>434</v>
      </c>
      <c r="B234" s="12" t="s">
        <v>435</v>
      </c>
      <c r="C234" s="2">
        <v>656.1</v>
      </c>
      <c r="D234" s="2">
        <v>656.1</v>
      </c>
    </row>
    <row r="235" ht="30" spans="1:4">
      <c r="A235" s="1" t="s">
        <v>436</v>
      </c>
      <c r="B235" s="12" t="s">
        <v>437</v>
      </c>
      <c r="C235" s="2">
        <v>656.1</v>
      </c>
      <c r="D235" s="2">
        <v>656.1</v>
      </c>
    </row>
    <row r="236" spans="1:4">
      <c r="A236" s="1" t="s">
        <v>438</v>
      </c>
      <c r="B236" s="12" t="s">
        <v>439</v>
      </c>
      <c r="C236" s="2">
        <v>656.1</v>
      </c>
      <c r="D236" s="2">
        <v>656.1</v>
      </c>
    </row>
    <row r="237" spans="1:4">
      <c r="A237" s="1" t="s">
        <v>440</v>
      </c>
      <c r="B237" s="12" t="s">
        <v>441</v>
      </c>
      <c r="C237" s="2">
        <v>656.1</v>
      </c>
      <c r="D237" s="2">
        <v>656.1</v>
      </c>
    </row>
    <row r="238" spans="1:4">
      <c r="A238" s="1" t="s">
        <v>442</v>
      </c>
      <c r="B238" s="12" t="s">
        <v>443</v>
      </c>
      <c r="C238" s="2">
        <v>656.1</v>
      </c>
      <c r="D238" s="2">
        <v>656.1</v>
      </c>
    </row>
    <row r="239" spans="1:4">
      <c r="A239" s="1" t="s">
        <v>444</v>
      </c>
      <c r="B239" s="12" t="s">
        <v>445</v>
      </c>
      <c r="C239" s="2">
        <v>656.1</v>
      </c>
      <c r="D239" s="2">
        <v>656.1</v>
      </c>
    </row>
    <row r="240" spans="1:4">
      <c r="A240" s="1" t="s">
        <v>446</v>
      </c>
      <c r="B240" s="12" t="s">
        <v>447</v>
      </c>
      <c r="C240" s="2">
        <v>656.1</v>
      </c>
      <c r="D240" s="2">
        <v>656.1</v>
      </c>
    </row>
    <row r="241" spans="1:4">
      <c r="A241" s="1" t="s">
        <v>448</v>
      </c>
      <c r="B241" s="12" t="s">
        <v>449</v>
      </c>
      <c r="C241" s="2">
        <v>656.1</v>
      </c>
      <c r="D241" s="2">
        <v>656.1</v>
      </c>
    </row>
    <row r="242" spans="1:4">
      <c r="A242" s="1" t="s">
        <v>450</v>
      </c>
      <c r="B242" s="12" t="s">
        <v>451</v>
      </c>
      <c r="C242" s="2">
        <v>656.1</v>
      </c>
      <c r="D242" s="2">
        <v>656.1</v>
      </c>
    </row>
    <row r="243" spans="1:4">
      <c r="A243" s="1" t="s">
        <v>452</v>
      </c>
      <c r="B243" s="12" t="s">
        <v>453</v>
      </c>
      <c r="C243" s="2">
        <v>656.1</v>
      </c>
      <c r="D243" s="2">
        <v>656.1</v>
      </c>
    </row>
    <row r="244" ht="30" spans="1:4">
      <c r="A244" s="1" t="s">
        <v>454</v>
      </c>
      <c r="B244" s="12" t="s">
        <v>455</v>
      </c>
      <c r="C244" s="2">
        <v>656.1</v>
      </c>
      <c r="D244" s="2">
        <v>656.1</v>
      </c>
    </row>
    <row r="245" ht="30" spans="1:4">
      <c r="A245" s="1" t="s">
        <v>456</v>
      </c>
      <c r="B245" s="12" t="s">
        <v>457</v>
      </c>
      <c r="C245" s="2">
        <v>656.1</v>
      </c>
      <c r="D245" s="2">
        <v>656.1</v>
      </c>
    </row>
    <row r="246" ht="30" spans="1:4">
      <c r="A246" s="1" t="s">
        <v>458</v>
      </c>
      <c r="B246" s="12" t="s">
        <v>459</v>
      </c>
      <c r="C246" s="2">
        <v>656.1</v>
      </c>
      <c r="D246" s="2">
        <v>656.1</v>
      </c>
    </row>
    <row r="247" spans="1:4">
      <c r="A247" s="1" t="s">
        <v>460</v>
      </c>
      <c r="B247" s="12" t="s">
        <v>461</v>
      </c>
      <c r="C247" s="2">
        <v>656.1</v>
      </c>
      <c r="D247" s="2">
        <v>656.1</v>
      </c>
    </row>
    <row r="248" spans="1:4">
      <c r="A248" s="1" t="s">
        <v>462</v>
      </c>
      <c r="B248" s="12" t="s">
        <v>463</v>
      </c>
      <c r="C248" s="2">
        <v>656.1</v>
      </c>
      <c r="D248" s="2">
        <v>656.1</v>
      </c>
    </row>
    <row r="249" spans="1:4">
      <c r="A249" s="1" t="s">
        <v>464</v>
      </c>
      <c r="B249" s="12" t="s">
        <v>465</v>
      </c>
      <c r="C249" s="2">
        <v>656.1</v>
      </c>
      <c r="D249" s="2">
        <v>656.1</v>
      </c>
    </row>
    <row r="250" spans="1:4">
      <c r="A250" s="1" t="s">
        <v>466</v>
      </c>
      <c r="B250" s="12" t="s">
        <v>467</v>
      </c>
      <c r="C250" s="2">
        <v>656.1</v>
      </c>
      <c r="D250" s="2">
        <v>656.1</v>
      </c>
    </row>
    <row r="251" spans="1:4">
      <c r="A251" s="1" t="s">
        <v>468</v>
      </c>
      <c r="B251" s="12" t="s">
        <v>469</v>
      </c>
      <c r="C251" s="2">
        <v>656.1</v>
      </c>
      <c r="D251" s="2">
        <v>656.1</v>
      </c>
    </row>
    <row r="252" spans="1:4">
      <c r="A252" s="1" t="s">
        <v>470</v>
      </c>
      <c r="B252" s="12" t="s">
        <v>471</v>
      </c>
      <c r="C252" s="2">
        <v>656.1</v>
      </c>
      <c r="D252" s="2">
        <v>656.1</v>
      </c>
    </row>
    <row r="253" ht="30" spans="1:4">
      <c r="A253" s="1" t="s">
        <v>472</v>
      </c>
      <c r="B253" s="12" t="s">
        <v>473</v>
      </c>
      <c r="C253" s="2">
        <v>656.1</v>
      </c>
      <c r="D253" s="2">
        <v>656.1</v>
      </c>
    </row>
    <row r="254" spans="1:4">
      <c r="A254" s="1" t="s">
        <v>474</v>
      </c>
      <c r="B254" s="12" t="s">
        <v>475</v>
      </c>
      <c r="C254" s="2">
        <v>656.1</v>
      </c>
      <c r="D254" s="2">
        <v>656.1</v>
      </c>
    </row>
    <row r="255" spans="1:4">
      <c r="A255" s="1" t="s">
        <v>476</v>
      </c>
      <c r="B255" s="12" t="s">
        <v>477</v>
      </c>
      <c r="C255" s="2">
        <v>656.1</v>
      </c>
      <c r="D255" s="2">
        <v>656.1</v>
      </c>
    </row>
    <row r="256" spans="1:4">
      <c r="A256" s="1" t="s">
        <v>478</v>
      </c>
      <c r="B256" s="12" t="s">
        <v>479</v>
      </c>
      <c r="C256" s="2">
        <v>656.1</v>
      </c>
      <c r="D256" s="2">
        <v>656.1</v>
      </c>
    </row>
    <row r="257" spans="1:4">
      <c r="A257" s="1" t="s">
        <v>480</v>
      </c>
      <c r="B257" s="12" t="s">
        <v>481</v>
      </c>
      <c r="C257" s="2">
        <v>656.1</v>
      </c>
      <c r="D257" s="2">
        <v>656.1</v>
      </c>
    </row>
    <row r="258" spans="1:4">
      <c r="A258" s="1" t="s">
        <v>482</v>
      </c>
      <c r="B258" s="12" t="s">
        <v>483</v>
      </c>
      <c r="C258" s="2">
        <v>656.1</v>
      </c>
      <c r="D258" s="2">
        <v>656.1</v>
      </c>
    </row>
    <row r="259" spans="1:4">
      <c r="A259" s="1" t="s">
        <v>484</v>
      </c>
      <c r="B259" s="12" t="s">
        <v>485</v>
      </c>
      <c r="C259" s="2">
        <v>656.1</v>
      </c>
      <c r="D259" s="2">
        <v>656.1</v>
      </c>
    </row>
    <row r="260" spans="1:4">
      <c r="A260" s="1" t="s">
        <v>486</v>
      </c>
      <c r="B260" s="12" t="s">
        <v>487</v>
      </c>
      <c r="C260" s="2">
        <v>656.1</v>
      </c>
      <c r="D260" s="2">
        <v>656.1</v>
      </c>
    </row>
    <row r="261" spans="1:4">
      <c r="A261" s="1" t="s">
        <v>488</v>
      </c>
      <c r="B261" s="12" t="s">
        <v>489</v>
      </c>
      <c r="C261" s="2">
        <v>656.1</v>
      </c>
      <c r="D261" s="2">
        <v>656.1</v>
      </c>
    </row>
    <row r="262" spans="1:4">
      <c r="A262" s="1" t="s">
        <v>490</v>
      </c>
      <c r="B262" s="12" t="s">
        <v>491</v>
      </c>
      <c r="C262" s="2">
        <v>656.1</v>
      </c>
      <c r="D262" s="2">
        <v>656.1</v>
      </c>
    </row>
    <row r="263" spans="1:4">
      <c r="A263" s="1" t="s">
        <v>492</v>
      </c>
      <c r="B263" s="12" t="s">
        <v>493</v>
      </c>
      <c r="C263" s="2">
        <v>656.1</v>
      </c>
      <c r="D263" s="2">
        <v>656.1</v>
      </c>
    </row>
    <row r="264" ht="30" spans="1:4">
      <c r="A264" s="1" t="s">
        <v>494</v>
      </c>
      <c r="B264" s="12" t="s">
        <v>495</v>
      </c>
      <c r="C264" s="2">
        <v>656.1</v>
      </c>
      <c r="D264" s="2">
        <v>656.1</v>
      </c>
    </row>
    <row r="265" ht="30" spans="1:4">
      <c r="A265" s="1" t="s">
        <v>496</v>
      </c>
      <c r="B265" s="12" t="s">
        <v>497</v>
      </c>
      <c r="C265" s="2">
        <v>656.1</v>
      </c>
      <c r="D265" s="2">
        <v>656.1</v>
      </c>
    </row>
    <row r="266" spans="1:4">
      <c r="A266" s="1" t="s">
        <v>498</v>
      </c>
      <c r="B266" s="12" t="s">
        <v>499</v>
      </c>
      <c r="C266" s="2">
        <v>656.1</v>
      </c>
      <c r="D266" s="2">
        <v>656.1</v>
      </c>
    </row>
    <row r="267" spans="1:4">
      <c r="A267" s="1" t="s">
        <v>500</v>
      </c>
      <c r="B267" s="12" t="s">
        <v>501</v>
      </c>
      <c r="C267" s="2">
        <v>656.1</v>
      </c>
      <c r="D267" s="2">
        <v>656.1</v>
      </c>
    </row>
    <row r="268" spans="1:4">
      <c r="A268" s="1" t="s">
        <v>502</v>
      </c>
      <c r="B268" s="12" t="s">
        <v>503</v>
      </c>
      <c r="C268" s="2">
        <v>656.1</v>
      </c>
      <c r="D268" s="2">
        <v>656.1</v>
      </c>
    </row>
    <row r="269" spans="1:4">
      <c r="A269" s="1" t="s">
        <v>504</v>
      </c>
      <c r="B269" s="12" t="s">
        <v>505</v>
      </c>
      <c r="C269" s="2">
        <v>656.1</v>
      </c>
      <c r="D269" s="2">
        <v>656.1</v>
      </c>
    </row>
    <row r="270" ht="30" spans="1:4">
      <c r="A270" s="1" t="s">
        <v>506</v>
      </c>
      <c r="B270" s="12" t="s">
        <v>507</v>
      </c>
      <c r="C270" s="2">
        <v>20.0390625</v>
      </c>
      <c r="D270" s="2">
        <v>20.0390625</v>
      </c>
    </row>
    <row r="271" spans="1:4">
      <c r="A271" s="1" t="s">
        <v>508</v>
      </c>
      <c r="B271" s="12" t="s">
        <v>509</v>
      </c>
      <c r="C271" s="2">
        <v>3.20625</v>
      </c>
      <c r="D271" s="2">
        <v>3.20625</v>
      </c>
    </row>
    <row r="272" ht="30" spans="1:4">
      <c r="A272" s="1" t="s">
        <v>510</v>
      </c>
      <c r="B272" s="12" t="s">
        <v>511</v>
      </c>
      <c r="C272" s="2">
        <v>1.603125</v>
      </c>
      <c r="D272" s="2">
        <v>1.603125</v>
      </c>
    </row>
    <row r="273" ht="30" spans="1:4">
      <c r="A273" s="1" t="s">
        <v>512</v>
      </c>
      <c r="B273" s="12" t="s">
        <v>513</v>
      </c>
      <c r="C273" s="2">
        <v>0.8015625</v>
      </c>
      <c r="D273" s="2">
        <v>0.8015625</v>
      </c>
    </row>
    <row r="274" ht="30" spans="1:4">
      <c r="A274" s="1" t="s">
        <v>514</v>
      </c>
      <c r="B274" s="12" t="s">
        <v>515</v>
      </c>
      <c r="C274" s="2">
        <v>20.0390625</v>
      </c>
      <c r="D274" s="2">
        <v>20.0390625</v>
      </c>
    </row>
    <row r="275" spans="1:4">
      <c r="A275" s="1" t="s">
        <v>516</v>
      </c>
      <c r="B275" s="12" t="s">
        <v>517</v>
      </c>
      <c r="C275" s="2">
        <v>3.20625</v>
      </c>
      <c r="D275" s="2">
        <v>3.20625</v>
      </c>
    </row>
    <row r="276" ht="30" spans="1:4">
      <c r="A276" s="1" t="s">
        <v>518</v>
      </c>
      <c r="B276" s="12" t="s">
        <v>519</v>
      </c>
      <c r="C276" s="2">
        <v>1.603125</v>
      </c>
      <c r="D276" s="2">
        <v>1.603125</v>
      </c>
    </row>
    <row r="277" ht="30" spans="1:4">
      <c r="A277" s="1" t="s">
        <v>520</v>
      </c>
      <c r="B277" s="12" t="s">
        <v>521</v>
      </c>
      <c r="C277" s="2">
        <v>0.8015625</v>
      </c>
      <c r="D277" s="2">
        <v>0.8015625</v>
      </c>
    </row>
    <row r="278" ht="30" spans="1:4">
      <c r="A278" s="1" t="s">
        <v>522</v>
      </c>
      <c r="B278" s="12" t="s">
        <v>523</v>
      </c>
      <c r="C278" s="2">
        <v>20.0390625</v>
      </c>
      <c r="D278" s="2">
        <v>20.0390625</v>
      </c>
    </row>
    <row r="279" spans="1:4">
      <c r="A279" s="1" t="s">
        <v>524</v>
      </c>
      <c r="B279" s="12" t="s">
        <v>525</v>
      </c>
      <c r="C279" s="2">
        <v>3.20625</v>
      </c>
      <c r="D279" s="2">
        <v>3.20625</v>
      </c>
    </row>
    <row r="280" ht="30" spans="1:4">
      <c r="A280" s="1" t="s">
        <v>526</v>
      </c>
      <c r="B280" s="12" t="s">
        <v>527</v>
      </c>
      <c r="C280" s="2">
        <v>1.603125</v>
      </c>
      <c r="D280" s="2">
        <v>1.603125</v>
      </c>
    </row>
    <row r="281" ht="30" spans="1:4">
      <c r="A281" s="1" t="s">
        <v>528</v>
      </c>
      <c r="B281" s="12" t="s">
        <v>529</v>
      </c>
      <c r="C281" s="2">
        <v>0.8015625</v>
      </c>
      <c r="D281" s="2">
        <v>0.8015625</v>
      </c>
    </row>
    <row r="282" ht="30" spans="1:4">
      <c r="A282" s="1" t="s">
        <v>530</v>
      </c>
      <c r="B282" s="12" t="s">
        <v>531</v>
      </c>
      <c r="C282" s="2">
        <v>20.0390625</v>
      </c>
      <c r="D282" s="2">
        <v>20.0390625</v>
      </c>
    </row>
    <row r="283" spans="1:4">
      <c r="A283" s="1" t="s">
        <v>532</v>
      </c>
      <c r="B283" s="12" t="s">
        <v>533</v>
      </c>
      <c r="C283" s="2">
        <v>3.20625</v>
      </c>
      <c r="D283" s="2">
        <v>3.20625</v>
      </c>
    </row>
    <row r="284" ht="30" spans="1:4">
      <c r="A284" s="1" t="s">
        <v>534</v>
      </c>
      <c r="B284" s="12" t="s">
        <v>535</v>
      </c>
      <c r="C284" s="2">
        <v>1.603125</v>
      </c>
      <c r="D284" s="2">
        <v>1.603125</v>
      </c>
    </row>
    <row r="285" ht="30" spans="1:4">
      <c r="A285" s="1" t="s">
        <v>536</v>
      </c>
      <c r="B285" s="12" t="s">
        <v>537</v>
      </c>
      <c r="C285" s="2">
        <v>0.8015625</v>
      </c>
      <c r="D285" s="2">
        <v>0.8015625</v>
      </c>
    </row>
    <row r="286" ht="30" spans="1:4">
      <c r="A286" s="1" t="s">
        <v>538</v>
      </c>
      <c r="B286" s="12" t="s">
        <v>539</v>
      </c>
      <c r="C286" s="2">
        <v>20.0390625</v>
      </c>
      <c r="D286" s="2">
        <v>20.0390625</v>
      </c>
    </row>
    <row r="287" spans="1:4">
      <c r="A287" s="1" t="s">
        <v>540</v>
      </c>
      <c r="B287" s="12" t="s">
        <v>541</v>
      </c>
      <c r="C287" s="2">
        <v>3.20625</v>
      </c>
      <c r="D287" s="2">
        <v>3.20625</v>
      </c>
    </row>
    <row r="288" ht="30" spans="1:4">
      <c r="A288" s="1" t="s">
        <v>542</v>
      </c>
      <c r="B288" s="12" t="s">
        <v>543</v>
      </c>
      <c r="C288" s="2">
        <v>1.603125</v>
      </c>
      <c r="D288" s="2">
        <v>1.603125</v>
      </c>
    </row>
    <row r="289" ht="30" spans="1:4">
      <c r="A289" s="1" t="s">
        <v>544</v>
      </c>
      <c r="B289" s="12" t="s">
        <v>545</v>
      </c>
      <c r="C289" s="2">
        <v>0.8015625</v>
      </c>
      <c r="D289" s="2">
        <v>0.8015625</v>
      </c>
    </row>
    <row r="290" spans="1:4">
      <c r="A290" s="1" t="s">
        <v>546</v>
      </c>
      <c r="B290" s="12" t="s">
        <v>547</v>
      </c>
      <c r="C290" s="2">
        <v>20.0390625</v>
      </c>
      <c r="D290" s="2">
        <v>20.0390625</v>
      </c>
    </row>
    <row r="291" spans="1:4">
      <c r="A291" s="1" t="s">
        <v>548</v>
      </c>
      <c r="B291" s="12" t="s">
        <v>549</v>
      </c>
      <c r="C291" s="2">
        <v>3.20625</v>
      </c>
      <c r="D291" s="2">
        <v>3.20625</v>
      </c>
    </row>
    <row r="292" ht="30" spans="1:4">
      <c r="A292" s="1" t="s">
        <v>550</v>
      </c>
      <c r="B292" s="12" t="s">
        <v>551</v>
      </c>
      <c r="C292" s="2">
        <v>1.603125</v>
      </c>
      <c r="D292" s="2">
        <v>1.603125</v>
      </c>
    </row>
    <row r="293" ht="30" spans="1:4">
      <c r="A293" s="1" t="s">
        <v>552</v>
      </c>
      <c r="B293" s="12" t="s">
        <v>553</v>
      </c>
      <c r="C293" s="2">
        <v>0.8015625</v>
      </c>
      <c r="D293" s="2">
        <v>0.8015625</v>
      </c>
    </row>
    <row r="294" ht="30" spans="1:4">
      <c r="A294" s="1" t="s">
        <v>554</v>
      </c>
      <c r="B294" s="12" t="s">
        <v>555</v>
      </c>
      <c r="C294" s="2">
        <v>573.639344262295</v>
      </c>
      <c r="D294" s="2">
        <v>573.639344262295</v>
      </c>
    </row>
    <row r="295" ht="30" spans="1:4">
      <c r="A295" s="1" t="s">
        <v>556</v>
      </c>
      <c r="B295" s="12" t="s">
        <v>557</v>
      </c>
      <c r="C295" s="2">
        <v>42.4918032786885</v>
      </c>
      <c r="D295" s="2">
        <v>42.4918032786885</v>
      </c>
    </row>
    <row r="296" ht="30" spans="1:4">
      <c r="A296" s="1" t="s">
        <v>558</v>
      </c>
      <c r="B296" s="12" t="s">
        <v>559</v>
      </c>
      <c r="C296" s="2">
        <v>21.2459016393443</v>
      </c>
      <c r="D296" s="2">
        <v>21.2459016393443</v>
      </c>
    </row>
    <row r="297" ht="30" spans="1:4">
      <c r="A297" s="1" t="s">
        <v>560</v>
      </c>
      <c r="B297" s="12" t="s">
        <v>561</v>
      </c>
      <c r="C297" s="2">
        <v>10.6229508196721</v>
      </c>
      <c r="D297" s="2">
        <v>10.6229508196721</v>
      </c>
    </row>
    <row r="298" ht="30" spans="1:4">
      <c r="A298" s="1" t="s">
        <v>562</v>
      </c>
      <c r="B298" s="12" t="s">
        <v>563</v>
      </c>
      <c r="C298" s="2">
        <v>573.639344262295</v>
      </c>
      <c r="D298" s="2">
        <v>573.639344262295</v>
      </c>
    </row>
    <row r="299" ht="30" spans="1:4">
      <c r="A299" s="1" t="s">
        <v>564</v>
      </c>
      <c r="B299" s="12" t="s">
        <v>565</v>
      </c>
      <c r="C299" s="2">
        <v>42.4918032786885</v>
      </c>
      <c r="D299" s="2">
        <v>42.4918032786885</v>
      </c>
    </row>
    <row r="300" ht="30" spans="1:4">
      <c r="A300" s="1" t="s">
        <v>566</v>
      </c>
      <c r="B300" s="12" t="s">
        <v>567</v>
      </c>
      <c r="C300" s="2">
        <v>21.2459016393443</v>
      </c>
      <c r="D300" s="2">
        <v>21.2459016393443</v>
      </c>
    </row>
    <row r="301" ht="30" spans="1:4">
      <c r="A301" s="1" t="s">
        <v>568</v>
      </c>
      <c r="B301" s="12" t="s">
        <v>569</v>
      </c>
      <c r="C301" s="2">
        <v>10.6229508196721</v>
      </c>
      <c r="D301" s="2">
        <v>10.6229508196721</v>
      </c>
    </row>
    <row r="302" ht="30" spans="1:4">
      <c r="A302" s="1" t="s">
        <v>570</v>
      </c>
      <c r="B302" s="12" t="s">
        <v>571</v>
      </c>
      <c r="C302" s="2">
        <v>573.639344262295</v>
      </c>
      <c r="D302" s="2">
        <v>573.639344262295</v>
      </c>
    </row>
    <row r="303" spans="1:4">
      <c r="A303" s="1" t="s">
        <v>572</v>
      </c>
      <c r="B303" s="12" t="s">
        <v>573</v>
      </c>
      <c r="C303" s="2">
        <v>42.4918032786885</v>
      </c>
      <c r="D303" s="2">
        <v>42.4918032786885</v>
      </c>
    </row>
    <row r="304" ht="30" spans="1:4">
      <c r="A304" s="1" t="s">
        <v>574</v>
      </c>
      <c r="B304" s="12" t="s">
        <v>575</v>
      </c>
      <c r="C304" s="2">
        <v>21.2459016393443</v>
      </c>
      <c r="D304" s="2">
        <v>21.2459016393443</v>
      </c>
    </row>
    <row r="305" ht="30" spans="1:4">
      <c r="A305" s="1" t="s">
        <v>576</v>
      </c>
      <c r="B305" s="12" t="s">
        <v>577</v>
      </c>
      <c r="C305" s="2">
        <v>10.6229508196721</v>
      </c>
      <c r="D305" s="2">
        <v>10.6229508196721</v>
      </c>
    </row>
    <row r="306" ht="30" spans="1:4">
      <c r="A306" s="1" t="s">
        <v>578</v>
      </c>
      <c r="B306" s="12" t="s">
        <v>579</v>
      </c>
      <c r="C306" s="2">
        <v>573.639344262295</v>
      </c>
      <c r="D306" s="2">
        <v>573.639344262295</v>
      </c>
    </row>
    <row r="307" spans="1:4">
      <c r="A307" s="1" t="s">
        <v>580</v>
      </c>
      <c r="B307" s="12" t="s">
        <v>581</v>
      </c>
      <c r="C307" s="2">
        <v>42.4918032786885</v>
      </c>
      <c r="D307" s="2">
        <v>42.4918032786885</v>
      </c>
    </row>
    <row r="308" ht="30" spans="1:4">
      <c r="A308" s="1" t="s">
        <v>582</v>
      </c>
      <c r="B308" s="12" t="s">
        <v>583</v>
      </c>
      <c r="C308" s="2">
        <v>21.2459016393443</v>
      </c>
      <c r="D308" s="2">
        <v>21.2459016393443</v>
      </c>
    </row>
    <row r="309" ht="30" spans="1:4">
      <c r="A309" s="1" t="s">
        <v>584</v>
      </c>
      <c r="B309" s="12" t="s">
        <v>585</v>
      </c>
      <c r="C309" s="2">
        <v>10.6229508196721</v>
      </c>
      <c r="D309" s="2">
        <v>10.6229508196721</v>
      </c>
    </row>
    <row r="310" ht="30" spans="1:4">
      <c r="A310" s="1" t="s">
        <v>586</v>
      </c>
      <c r="B310" s="12" t="s">
        <v>587</v>
      </c>
      <c r="C310" s="2">
        <v>573.639344262295</v>
      </c>
      <c r="D310" s="2">
        <v>573.639344262295</v>
      </c>
    </row>
    <row r="311" spans="1:4">
      <c r="A311" s="1" t="s">
        <v>588</v>
      </c>
      <c r="B311" s="12" t="s">
        <v>589</v>
      </c>
      <c r="C311" s="2">
        <v>42.4918032786885</v>
      </c>
      <c r="D311" s="2">
        <v>42.4918032786885</v>
      </c>
    </row>
    <row r="312" ht="30" spans="1:4">
      <c r="A312" s="1" t="s">
        <v>590</v>
      </c>
      <c r="B312" s="12" t="s">
        <v>591</v>
      </c>
      <c r="C312" s="2">
        <v>21.2459016393443</v>
      </c>
      <c r="D312" s="2">
        <v>21.2459016393443</v>
      </c>
    </row>
    <row r="313" ht="30" spans="1:4">
      <c r="A313" s="1" t="s">
        <v>592</v>
      </c>
      <c r="B313" s="12" t="s">
        <v>593</v>
      </c>
      <c r="C313" s="2">
        <v>10.6229508196721</v>
      </c>
      <c r="D313" s="2">
        <v>10.6229508196721</v>
      </c>
    </row>
    <row r="314" spans="1:4">
      <c r="A314" s="1" t="s">
        <v>594</v>
      </c>
      <c r="B314" s="12" t="s">
        <v>595</v>
      </c>
      <c r="C314" s="2">
        <v>573.639344262295</v>
      </c>
      <c r="D314" s="2">
        <v>573.639344262295</v>
      </c>
    </row>
    <row r="315" spans="1:4">
      <c r="A315" s="1" t="s">
        <v>596</v>
      </c>
      <c r="B315" s="12" t="s">
        <v>597</v>
      </c>
      <c r="C315" s="2">
        <v>42.4918032786885</v>
      </c>
      <c r="D315" s="2">
        <v>42.4918032786885</v>
      </c>
    </row>
    <row r="316" ht="30" spans="1:4">
      <c r="A316" s="1" t="s">
        <v>598</v>
      </c>
      <c r="B316" s="12" t="s">
        <v>599</v>
      </c>
      <c r="C316" s="2">
        <v>21.2459016393443</v>
      </c>
      <c r="D316" s="2">
        <v>21.2459016393443</v>
      </c>
    </row>
    <row r="317" ht="30" spans="1:4">
      <c r="A317" s="1" t="s">
        <v>600</v>
      </c>
      <c r="B317" s="12" t="s">
        <v>601</v>
      </c>
      <c r="C317" s="2">
        <v>10.6229508196721</v>
      </c>
      <c r="D317" s="2">
        <v>10.6229508196721</v>
      </c>
    </row>
    <row r="318" ht="30" spans="1:4">
      <c r="A318" s="1" t="s">
        <v>602</v>
      </c>
      <c r="B318" s="12" t="s">
        <v>603</v>
      </c>
      <c r="C318" s="2">
        <v>573.639344262295</v>
      </c>
      <c r="D318" s="2">
        <v>573.639344262295</v>
      </c>
    </row>
    <row r="319" ht="30" spans="1:4">
      <c r="A319" s="1" t="s">
        <v>604</v>
      </c>
      <c r="B319" s="12" t="s">
        <v>605</v>
      </c>
      <c r="C319" s="2">
        <v>42.4918032786885</v>
      </c>
      <c r="D319" s="2">
        <v>42.4918032786885</v>
      </c>
    </row>
    <row r="320" ht="30" spans="1:4">
      <c r="A320" s="1" t="s">
        <v>606</v>
      </c>
      <c r="B320" s="12" t="s">
        <v>607</v>
      </c>
      <c r="C320" s="2">
        <v>21.2459016393443</v>
      </c>
      <c r="D320" s="2">
        <v>21.2459016393443</v>
      </c>
    </row>
    <row r="321" ht="30" spans="1:4">
      <c r="A321" s="1" t="s">
        <v>608</v>
      </c>
      <c r="B321" s="12" t="s">
        <v>609</v>
      </c>
      <c r="C321" s="2">
        <v>10.6229508196721</v>
      </c>
      <c r="D321" s="2">
        <v>10.6229508196721</v>
      </c>
    </row>
    <row r="322" ht="30" spans="1:4">
      <c r="A322" s="1" t="s">
        <v>610</v>
      </c>
      <c r="B322" s="12" t="s">
        <v>611</v>
      </c>
      <c r="C322" s="2">
        <v>573.639344262295</v>
      </c>
      <c r="D322" s="2">
        <v>573.639344262295</v>
      </c>
    </row>
    <row r="323" spans="1:4">
      <c r="A323" s="1" t="s">
        <v>612</v>
      </c>
      <c r="B323" s="12" t="s">
        <v>613</v>
      </c>
      <c r="C323" s="2">
        <v>42.4918032786885</v>
      </c>
      <c r="D323" s="2">
        <v>42.4918032786885</v>
      </c>
    </row>
    <row r="324" ht="30" spans="1:4">
      <c r="A324" s="1" t="s">
        <v>614</v>
      </c>
      <c r="B324" s="12" t="s">
        <v>615</v>
      </c>
      <c r="C324" s="2">
        <v>21.2459016393443</v>
      </c>
      <c r="D324" s="2">
        <v>21.2459016393443</v>
      </c>
    </row>
    <row r="325" ht="30" spans="1:4">
      <c r="A325" s="1" t="s">
        <v>616</v>
      </c>
      <c r="B325" s="12" t="s">
        <v>617</v>
      </c>
      <c r="C325" s="2">
        <v>10.6229508196721</v>
      </c>
      <c r="D325" s="2">
        <v>10.6229508196721</v>
      </c>
    </row>
    <row r="326" ht="30" spans="1:4">
      <c r="A326" s="1" t="s">
        <v>618</v>
      </c>
      <c r="B326" s="12" t="s">
        <v>619</v>
      </c>
      <c r="C326" s="2">
        <v>573.639344262295</v>
      </c>
      <c r="D326" s="2">
        <v>573.639344262295</v>
      </c>
    </row>
    <row r="327" spans="1:4">
      <c r="A327" s="1" t="s">
        <v>620</v>
      </c>
      <c r="B327" s="12" t="s">
        <v>621</v>
      </c>
      <c r="C327" s="2">
        <v>42.4918032786885</v>
      </c>
      <c r="D327" s="2">
        <v>42.4918032786885</v>
      </c>
    </row>
    <row r="328" ht="30" spans="1:4">
      <c r="A328" s="1" t="s">
        <v>622</v>
      </c>
      <c r="B328" s="12" t="s">
        <v>623</v>
      </c>
      <c r="C328" s="2">
        <v>21.2459016393443</v>
      </c>
      <c r="D328" s="2">
        <v>21.2459016393443</v>
      </c>
    </row>
    <row r="329" ht="30" spans="1:4">
      <c r="A329" s="1" t="s">
        <v>624</v>
      </c>
      <c r="B329" s="12" t="s">
        <v>625</v>
      </c>
      <c r="C329" s="2">
        <v>10.6229508196721</v>
      </c>
      <c r="D329" s="2">
        <v>10.6229508196721</v>
      </c>
    </row>
    <row r="330" spans="1:4">
      <c r="A330" s="1" t="s">
        <v>626</v>
      </c>
      <c r="B330" s="12" t="s">
        <v>627</v>
      </c>
      <c r="C330" s="2">
        <v>573.639344262295</v>
      </c>
      <c r="D330" s="2">
        <v>573.639344262295</v>
      </c>
    </row>
    <row r="331" spans="1:4">
      <c r="A331" s="1" t="s">
        <v>628</v>
      </c>
      <c r="B331" s="12" t="s">
        <v>629</v>
      </c>
      <c r="C331" s="2">
        <v>42.4918032786885</v>
      </c>
      <c r="D331" s="2">
        <v>42.4918032786885</v>
      </c>
    </row>
    <row r="332" spans="1:4">
      <c r="A332" s="1" t="s">
        <v>630</v>
      </c>
      <c r="B332" s="12" t="s">
        <v>631</v>
      </c>
      <c r="C332" s="2">
        <v>21.2459016393443</v>
      </c>
      <c r="D332" s="2">
        <v>21.2459016393443</v>
      </c>
    </row>
    <row r="333" spans="1:4">
      <c r="A333" s="1" t="s">
        <v>632</v>
      </c>
      <c r="B333" s="12" t="s">
        <v>633</v>
      </c>
      <c r="C333" s="2">
        <v>10.6229508196721</v>
      </c>
      <c r="D333" s="2">
        <v>10.6229508196721</v>
      </c>
    </row>
    <row r="334" spans="1:4">
      <c r="A334" s="1" t="s">
        <v>634</v>
      </c>
      <c r="B334" s="12" t="s">
        <v>635</v>
      </c>
      <c r="C334" s="2">
        <v>573.639344262295</v>
      </c>
      <c r="D334" s="2">
        <v>573.639344262295</v>
      </c>
    </row>
    <row r="335" spans="1:4">
      <c r="A335" s="1" t="s">
        <v>636</v>
      </c>
      <c r="B335" s="12" t="s">
        <v>637</v>
      </c>
      <c r="C335" s="2">
        <v>42.4918032786885</v>
      </c>
      <c r="D335" s="2">
        <v>42.4918032786885</v>
      </c>
    </row>
    <row r="336" spans="1:4">
      <c r="A336" s="1" t="s">
        <v>638</v>
      </c>
      <c r="B336" s="12" t="s">
        <v>639</v>
      </c>
      <c r="C336" s="2">
        <v>21.2459016393443</v>
      </c>
      <c r="D336" s="2">
        <v>21.2459016393443</v>
      </c>
    </row>
    <row r="337" spans="1:4">
      <c r="A337" s="1" t="s">
        <v>640</v>
      </c>
      <c r="B337" s="12" t="s">
        <v>641</v>
      </c>
      <c r="C337" s="2">
        <v>10.6229508196721</v>
      </c>
      <c r="D337" s="2">
        <v>10.6229508196721</v>
      </c>
    </row>
    <row r="338" ht="30" spans="1:4">
      <c r="A338" s="1" t="s">
        <v>642</v>
      </c>
      <c r="B338" s="12" t="s">
        <v>643</v>
      </c>
      <c r="C338" s="2">
        <v>573.639344262295</v>
      </c>
      <c r="D338" s="2">
        <v>573.639344262295</v>
      </c>
    </row>
    <row r="339" spans="1:4">
      <c r="A339" s="1" t="s">
        <v>644</v>
      </c>
      <c r="B339" s="12" t="s">
        <v>645</v>
      </c>
      <c r="C339" s="2">
        <v>42.4918032786885</v>
      </c>
      <c r="D339" s="2">
        <v>42.4918032786885</v>
      </c>
    </row>
    <row r="340" ht="30" spans="1:4">
      <c r="A340" s="1" t="s">
        <v>646</v>
      </c>
      <c r="B340" s="12" t="s">
        <v>647</v>
      </c>
      <c r="C340" s="2">
        <v>21.2459016393443</v>
      </c>
      <c r="D340" s="2">
        <v>21.2459016393443</v>
      </c>
    </row>
    <row r="341" ht="30" spans="1:4">
      <c r="A341" s="1" t="s">
        <v>648</v>
      </c>
      <c r="B341" s="12" t="s">
        <v>649</v>
      </c>
      <c r="C341" s="2">
        <v>10.6229508196721</v>
      </c>
      <c r="D341" s="2">
        <v>10.6229508196721</v>
      </c>
    </row>
    <row r="342" ht="30" spans="1:4">
      <c r="A342" s="1" t="s">
        <v>650</v>
      </c>
      <c r="B342" s="12" t="s">
        <v>651</v>
      </c>
      <c r="C342" s="2">
        <v>573.639344262295</v>
      </c>
      <c r="D342" s="2">
        <v>573.639344262295</v>
      </c>
    </row>
    <row r="343" spans="1:4">
      <c r="A343" s="1" t="s">
        <v>652</v>
      </c>
      <c r="B343" s="12" t="s">
        <v>653</v>
      </c>
      <c r="C343" s="2">
        <v>42.4918032786885</v>
      </c>
      <c r="D343" s="2">
        <v>42.4918032786885</v>
      </c>
    </row>
    <row r="344" ht="30" spans="1:4">
      <c r="A344" s="1" t="s">
        <v>654</v>
      </c>
      <c r="B344" s="12" t="s">
        <v>655</v>
      </c>
      <c r="C344" s="2">
        <v>21.2459016393443</v>
      </c>
      <c r="D344" s="2">
        <v>21.2459016393443</v>
      </c>
    </row>
    <row r="345" ht="30" spans="1:4">
      <c r="A345" s="1" t="s">
        <v>656</v>
      </c>
      <c r="B345" s="12" t="s">
        <v>657</v>
      </c>
      <c r="C345" s="2">
        <v>10.6229508196721</v>
      </c>
      <c r="D345" s="2">
        <v>10.6229508196721</v>
      </c>
    </row>
    <row r="346" spans="1:4">
      <c r="A346" s="1" t="s">
        <v>658</v>
      </c>
      <c r="B346" s="12" t="s">
        <v>659</v>
      </c>
      <c r="C346" s="2">
        <v>573.639344262295</v>
      </c>
      <c r="D346" s="2">
        <v>573.639344262295</v>
      </c>
    </row>
    <row r="347" spans="1:4">
      <c r="A347" s="1" t="s">
        <v>660</v>
      </c>
      <c r="B347" s="12" t="s">
        <v>661</v>
      </c>
      <c r="C347" s="2">
        <v>42.4918032786885</v>
      </c>
      <c r="D347" s="2">
        <v>42.4918032786885</v>
      </c>
    </row>
    <row r="348" ht="30" spans="1:4">
      <c r="A348" s="1" t="s">
        <v>662</v>
      </c>
      <c r="B348" s="12" t="s">
        <v>663</v>
      </c>
      <c r="C348" s="2">
        <v>21.2459016393443</v>
      </c>
      <c r="D348" s="2">
        <v>21.2459016393443</v>
      </c>
    </row>
    <row r="349" ht="30" spans="1:4">
      <c r="A349" s="1" t="s">
        <v>664</v>
      </c>
      <c r="B349" s="12" t="s">
        <v>665</v>
      </c>
      <c r="C349" s="2">
        <v>10.6229508196721</v>
      </c>
      <c r="D349" s="2">
        <v>10.6229508196721</v>
      </c>
    </row>
    <row r="350" ht="30" spans="1:4">
      <c r="A350" s="1" t="s">
        <v>666</v>
      </c>
      <c r="B350" s="12" t="s">
        <v>667</v>
      </c>
      <c r="C350" s="2">
        <v>573.639344262295</v>
      </c>
      <c r="D350" s="2">
        <v>573.639344262295</v>
      </c>
    </row>
    <row r="351" ht="30" spans="1:4">
      <c r="A351" s="1" t="s">
        <v>668</v>
      </c>
      <c r="B351" s="12" t="s">
        <v>669</v>
      </c>
      <c r="C351" s="2">
        <v>42.4918032786885</v>
      </c>
      <c r="D351" s="2">
        <v>42.4918032786885</v>
      </c>
    </row>
    <row r="352" ht="30" spans="1:4">
      <c r="A352" s="1" t="s">
        <v>670</v>
      </c>
      <c r="B352" s="12" t="s">
        <v>671</v>
      </c>
      <c r="C352" s="2">
        <v>21.2459016393443</v>
      </c>
      <c r="D352" s="2">
        <v>21.2459016393443</v>
      </c>
    </row>
    <row r="353" ht="30" spans="1:4">
      <c r="A353" s="1" t="s">
        <v>672</v>
      </c>
      <c r="B353" s="12" t="s">
        <v>673</v>
      </c>
      <c r="C353" s="2">
        <v>10.6229508196721</v>
      </c>
      <c r="D353" s="2">
        <v>10.6229508196721</v>
      </c>
    </row>
    <row r="354" ht="30" spans="1:4">
      <c r="A354" s="1" t="s">
        <v>674</v>
      </c>
      <c r="B354" s="12" t="s">
        <v>675</v>
      </c>
      <c r="C354" s="2">
        <v>573.639344262295</v>
      </c>
      <c r="D354" s="2">
        <v>573.639344262295</v>
      </c>
    </row>
    <row r="355" ht="30" spans="1:4">
      <c r="A355" s="1" t="s">
        <v>676</v>
      </c>
      <c r="B355" s="12" t="s">
        <v>677</v>
      </c>
      <c r="C355" s="2">
        <v>42.4918032786885</v>
      </c>
      <c r="D355" s="2">
        <v>42.4918032786885</v>
      </c>
    </row>
    <row r="356" ht="30" spans="1:4">
      <c r="A356" s="1" t="s">
        <v>678</v>
      </c>
      <c r="B356" s="12" t="s">
        <v>679</v>
      </c>
      <c r="C356" s="2">
        <v>21.2459016393443</v>
      </c>
      <c r="D356" s="2">
        <v>21.2459016393443</v>
      </c>
    </row>
    <row r="357" ht="30" spans="1:4">
      <c r="A357" s="1" t="s">
        <v>680</v>
      </c>
      <c r="B357" s="12" t="s">
        <v>681</v>
      </c>
      <c r="C357" s="2">
        <v>10.6229508196721</v>
      </c>
      <c r="D357" s="2">
        <v>10.6229508196721</v>
      </c>
    </row>
    <row r="358" ht="30" spans="1:4">
      <c r="A358" s="1" t="s">
        <v>682</v>
      </c>
      <c r="B358" s="12" t="s">
        <v>683</v>
      </c>
      <c r="C358" s="2">
        <v>573.639344262295</v>
      </c>
      <c r="D358" s="2">
        <v>573.639344262295</v>
      </c>
    </row>
    <row r="359" ht="30" spans="1:4">
      <c r="A359" s="1" t="s">
        <v>684</v>
      </c>
      <c r="B359" s="12" t="s">
        <v>685</v>
      </c>
      <c r="C359" s="2">
        <v>42.4918032786885</v>
      </c>
      <c r="D359" s="2">
        <v>42.4918032786885</v>
      </c>
    </row>
    <row r="360" ht="30" spans="1:4">
      <c r="A360" s="1" t="s">
        <v>686</v>
      </c>
      <c r="B360" s="12" t="s">
        <v>687</v>
      </c>
      <c r="C360" s="2">
        <v>21.2459016393443</v>
      </c>
      <c r="D360" s="2">
        <v>21.2459016393443</v>
      </c>
    </row>
    <row r="361" ht="30" spans="1:4">
      <c r="A361" s="1" t="s">
        <v>688</v>
      </c>
      <c r="B361" s="12" t="s">
        <v>689</v>
      </c>
      <c r="C361" s="2">
        <v>10.6229508196721</v>
      </c>
      <c r="D361" s="2">
        <v>10.6229508196721</v>
      </c>
    </row>
    <row r="362" ht="30" spans="1:4">
      <c r="A362" s="1" t="s">
        <v>690</v>
      </c>
      <c r="B362" s="12" t="s">
        <v>691</v>
      </c>
      <c r="C362" s="2">
        <v>573.639344262295</v>
      </c>
      <c r="D362" s="2">
        <v>573.639344262295</v>
      </c>
    </row>
    <row r="363" ht="30" spans="1:4">
      <c r="A363" s="1" t="s">
        <v>692</v>
      </c>
      <c r="B363" s="12" t="s">
        <v>693</v>
      </c>
      <c r="C363" s="2">
        <v>42.4918032786885</v>
      </c>
      <c r="D363" s="2">
        <v>42.4918032786885</v>
      </c>
    </row>
    <row r="364" ht="30" spans="1:4">
      <c r="A364" s="1" t="s">
        <v>694</v>
      </c>
      <c r="B364" s="12" t="s">
        <v>695</v>
      </c>
      <c r="C364" s="2">
        <v>21.2459016393443</v>
      </c>
      <c r="D364" s="2">
        <v>21.2459016393443</v>
      </c>
    </row>
    <row r="365" ht="30" spans="1:4">
      <c r="A365" s="1" t="s">
        <v>696</v>
      </c>
      <c r="B365" s="12" t="s">
        <v>697</v>
      </c>
      <c r="C365" s="2">
        <v>10.6229508196721</v>
      </c>
      <c r="D365" s="2">
        <v>10.6229508196721</v>
      </c>
    </row>
    <row r="366" ht="30" spans="1:4">
      <c r="A366" s="1" t="s">
        <v>698</v>
      </c>
      <c r="B366" s="12" t="s">
        <v>699</v>
      </c>
      <c r="C366" s="2">
        <v>573.639344262295</v>
      </c>
      <c r="D366" s="2">
        <v>573.639344262295</v>
      </c>
    </row>
    <row r="367" ht="30" spans="1:4">
      <c r="A367" s="1" t="s">
        <v>700</v>
      </c>
      <c r="B367" s="12" t="s">
        <v>701</v>
      </c>
      <c r="C367" s="2">
        <v>42.4918032786885</v>
      </c>
      <c r="D367" s="2">
        <v>42.4918032786885</v>
      </c>
    </row>
    <row r="368" ht="30" spans="1:4">
      <c r="A368" s="1" t="s">
        <v>702</v>
      </c>
      <c r="B368" s="12" t="s">
        <v>703</v>
      </c>
      <c r="C368" s="2">
        <v>21.2459016393443</v>
      </c>
      <c r="D368" s="2">
        <v>21.2459016393443</v>
      </c>
    </row>
    <row r="369" ht="30" spans="1:4">
      <c r="A369" s="1" t="s">
        <v>704</v>
      </c>
      <c r="B369" s="12" t="s">
        <v>705</v>
      </c>
      <c r="C369" s="2">
        <v>10.6229508196721</v>
      </c>
      <c r="D369" s="2">
        <v>10.6229508196721</v>
      </c>
    </row>
    <row r="370" spans="1:4">
      <c r="A370" s="1" t="s">
        <v>706</v>
      </c>
      <c r="B370" s="12" t="s">
        <v>707</v>
      </c>
      <c r="C370" s="2">
        <v>573.639344262295</v>
      </c>
      <c r="D370" s="2">
        <v>573.639344262295</v>
      </c>
    </row>
    <row r="371" spans="1:4">
      <c r="A371" s="1" t="s">
        <v>708</v>
      </c>
      <c r="B371" s="12" t="s">
        <v>709</v>
      </c>
      <c r="C371" s="2">
        <v>42.4918032786885</v>
      </c>
      <c r="D371" s="2">
        <v>42.4918032786885</v>
      </c>
    </row>
    <row r="372" spans="1:4">
      <c r="A372" s="1" t="s">
        <v>710</v>
      </c>
      <c r="B372" s="12" t="s">
        <v>711</v>
      </c>
      <c r="C372" s="2">
        <v>21.2459016393443</v>
      </c>
      <c r="D372" s="2">
        <v>21.2459016393443</v>
      </c>
    </row>
    <row r="373" spans="1:4">
      <c r="A373" s="1" t="s">
        <v>712</v>
      </c>
      <c r="B373" s="12" t="s">
        <v>713</v>
      </c>
      <c r="C373" s="2">
        <v>10.6229508196721</v>
      </c>
      <c r="D373" s="2">
        <v>10.6229508196721</v>
      </c>
    </row>
    <row r="374" ht="30" spans="1:4">
      <c r="A374" s="1" t="s">
        <v>714</v>
      </c>
      <c r="B374" s="12" t="s">
        <v>715</v>
      </c>
      <c r="C374" s="2">
        <v>573.639344262295</v>
      </c>
      <c r="D374" s="2">
        <v>573.639344262295</v>
      </c>
    </row>
    <row r="375" spans="1:4">
      <c r="A375" s="1" t="s">
        <v>716</v>
      </c>
      <c r="B375" s="12" t="s">
        <v>717</v>
      </c>
      <c r="C375" s="2">
        <v>42.4918032786885</v>
      </c>
      <c r="D375" s="2">
        <v>42.4918032786885</v>
      </c>
    </row>
    <row r="376" ht="30" spans="1:4">
      <c r="A376" s="1" t="s">
        <v>718</v>
      </c>
      <c r="B376" s="12" t="s">
        <v>719</v>
      </c>
      <c r="C376" s="2">
        <v>21.2459016393443</v>
      </c>
      <c r="D376" s="2">
        <v>21.2459016393443</v>
      </c>
    </row>
    <row r="377" ht="30" spans="1:4">
      <c r="A377" s="1" t="s">
        <v>720</v>
      </c>
      <c r="B377" s="12" t="s">
        <v>721</v>
      </c>
      <c r="C377" s="2">
        <v>10.6229508196721</v>
      </c>
      <c r="D377" s="2">
        <v>10.6229508196721</v>
      </c>
    </row>
    <row r="378" spans="1:4">
      <c r="A378" s="1" t="s">
        <v>722</v>
      </c>
      <c r="B378" s="12" t="s">
        <v>723</v>
      </c>
      <c r="C378" s="2">
        <v>573.639344262295</v>
      </c>
      <c r="D378" s="2">
        <v>573.639344262295</v>
      </c>
    </row>
    <row r="379" spans="1:4">
      <c r="A379" s="1" t="s">
        <v>724</v>
      </c>
      <c r="B379" s="12" t="s">
        <v>725</v>
      </c>
      <c r="C379" s="2">
        <v>42.4918032786885</v>
      </c>
      <c r="D379" s="2">
        <v>42.4918032786885</v>
      </c>
    </row>
    <row r="380" spans="1:4">
      <c r="A380" s="1" t="s">
        <v>726</v>
      </c>
      <c r="B380" s="12" t="s">
        <v>727</v>
      </c>
      <c r="C380" s="2">
        <v>21.2459016393443</v>
      </c>
      <c r="D380" s="2">
        <v>21.2459016393443</v>
      </c>
    </row>
    <row r="381" spans="1:4">
      <c r="A381" s="1" t="s">
        <v>728</v>
      </c>
      <c r="B381" s="12" t="s">
        <v>729</v>
      </c>
      <c r="C381" s="2">
        <v>10.6229508196721</v>
      </c>
      <c r="D381" s="2">
        <v>10.6229508196721</v>
      </c>
    </row>
    <row r="382" spans="1:4">
      <c r="A382" s="1" t="s">
        <v>730</v>
      </c>
      <c r="B382" s="12" t="s">
        <v>731</v>
      </c>
      <c r="C382" s="2">
        <v>573.639344262295</v>
      </c>
      <c r="D382" s="2">
        <v>573.639344262295</v>
      </c>
    </row>
    <row r="383" spans="1:4">
      <c r="A383" s="1" t="s">
        <v>732</v>
      </c>
      <c r="B383" s="12" t="s">
        <v>733</v>
      </c>
      <c r="C383" s="2">
        <v>42.4918032786885</v>
      </c>
      <c r="D383" s="2">
        <v>42.4918032786885</v>
      </c>
    </row>
    <row r="384" spans="1:4">
      <c r="A384" s="1" t="s">
        <v>734</v>
      </c>
      <c r="B384" s="12" t="s">
        <v>735</v>
      </c>
      <c r="C384" s="2">
        <v>21.2459016393443</v>
      </c>
      <c r="D384" s="2">
        <v>21.2459016393443</v>
      </c>
    </row>
    <row r="385" spans="1:4">
      <c r="A385" s="1" t="s">
        <v>736</v>
      </c>
      <c r="B385" s="12" t="s">
        <v>737</v>
      </c>
      <c r="C385" s="2">
        <v>10.6229508196721</v>
      </c>
      <c r="D385" s="2">
        <v>10.6229508196721</v>
      </c>
    </row>
    <row r="386" spans="1:4">
      <c r="A386" s="1" t="s">
        <v>738</v>
      </c>
      <c r="B386" s="12" t="s">
        <v>739</v>
      </c>
      <c r="C386" s="2">
        <v>573.639344262295</v>
      </c>
      <c r="D386" s="2">
        <v>573.639344262295</v>
      </c>
    </row>
    <row r="387" spans="1:4">
      <c r="A387" s="1" t="s">
        <v>740</v>
      </c>
      <c r="B387" s="12" t="s">
        <v>741</v>
      </c>
      <c r="C387" s="2">
        <v>42.4918032786885</v>
      </c>
      <c r="D387" s="2">
        <v>42.4918032786885</v>
      </c>
    </row>
    <row r="388" spans="1:4">
      <c r="A388" s="1" t="s">
        <v>742</v>
      </c>
      <c r="B388" s="12" t="s">
        <v>743</v>
      </c>
      <c r="C388" s="2">
        <v>21.2459016393443</v>
      </c>
      <c r="D388" s="2">
        <v>21.2459016393443</v>
      </c>
    </row>
    <row r="389" spans="1:4">
      <c r="A389" s="1" t="s">
        <v>744</v>
      </c>
      <c r="B389" s="12" t="s">
        <v>745</v>
      </c>
      <c r="C389" s="2">
        <v>10.6229508196721</v>
      </c>
      <c r="D389" s="2">
        <v>10.6229508196721</v>
      </c>
    </row>
    <row r="390" ht="30" spans="1:4">
      <c r="A390" s="1" t="s">
        <v>746</v>
      </c>
      <c r="B390" s="12" t="s">
        <v>747</v>
      </c>
      <c r="C390" s="2">
        <v>573.639344262295</v>
      </c>
      <c r="D390" s="2">
        <v>573.639344262295</v>
      </c>
    </row>
    <row r="391" ht="30" spans="1:4">
      <c r="A391" s="1" t="s">
        <v>748</v>
      </c>
      <c r="B391" s="12" t="s">
        <v>749</v>
      </c>
      <c r="C391" s="2">
        <v>42.4918032786885</v>
      </c>
      <c r="D391" s="2">
        <v>42.4918032786885</v>
      </c>
    </row>
    <row r="392" ht="30" spans="1:4">
      <c r="A392" s="1" t="s">
        <v>750</v>
      </c>
      <c r="B392" s="12" t="s">
        <v>751</v>
      </c>
      <c r="C392" s="2">
        <v>21.2459016393443</v>
      </c>
      <c r="D392" s="2">
        <v>21.2459016393443</v>
      </c>
    </row>
    <row r="393" ht="30" spans="1:4">
      <c r="A393" s="1" t="s">
        <v>752</v>
      </c>
      <c r="B393" s="12" t="s">
        <v>753</v>
      </c>
      <c r="C393" s="2">
        <v>10.6229508196721</v>
      </c>
      <c r="D393" s="2">
        <v>10.6229508196721</v>
      </c>
    </row>
    <row r="394" ht="30" spans="1:4">
      <c r="A394" s="1" t="s">
        <v>754</v>
      </c>
      <c r="B394" s="12" t="s">
        <v>755</v>
      </c>
      <c r="C394" s="2">
        <v>573.639344262295</v>
      </c>
      <c r="D394" s="2">
        <v>573.639344262295</v>
      </c>
    </row>
    <row r="395" spans="1:4">
      <c r="A395" s="1" t="s">
        <v>756</v>
      </c>
      <c r="B395" s="12" t="s">
        <v>757</v>
      </c>
      <c r="C395" s="2">
        <v>42.4918032786885</v>
      </c>
      <c r="D395" s="2">
        <v>42.4918032786885</v>
      </c>
    </row>
    <row r="396" ht="30" spans="1:4">
      <c r="A396" s="1" t="s">
        <v>758</v>
      </c>
      <c r="B396" s="12" t="s">
        <v>759</v>
      </c>
      <c r="C396" s="2">
        <v>21.2459016393443</v>
      </c>
      <c r="D396" s="2">
        <v>21.2459016393443</v>
      </c>
    </row>
    <row r="397" ht="30" spans="1:4">
      <c r="A397" s="1" t="s">
        <v>760</v>
      </c>
      <c r="B397" s="12" t="s">
        <v>761</v>
      </c>
      <c r="C397" s="2">
        <v>10.6229508196721</v>
      </c>
      <c r="D397" s="2">
        <v>10.6229508196721</v>
      </c>
    </row>
    <row r="398" spans="1:4">
      <c r="A398" s="1" t="s">
        <v>762</v>
      </c>
      <c r="B398" s="12" t="s">
        <v>763</v>
      </c>
      <c r="C398" s="2">
        <v>573.639344262295</v>
      </c>
      <c r="D398" s="2">
        <v>573.639344262295</v>
      </c>
    </row>
    <row r="399" spans="1:4">
      <c r="A399" s="1" t="s">
        <v>764</v>
      </c>
      <c r="B399" s="12" t="s">
        <v>765</v>
      </c>
      <c r="C399" s="2">
        <v>42.4918032786885</v>
      </c>
      <c r="D399" s="2">
        <v>42.4918032786885</v>
      </c>
    </row>
    <row r="400" spans="1:4">
      <c r="A400" s="1" t="s">
        <v>766</v>
      </c>
      <c r="B400" s="12" t="s">
        <v>767</v>
      </c>
      <c r="C400" s="2">
        <v>21.2459016393443</v>
      </c>
      <c r="D400" s="2">
        <v>21.2459016393443</v>
      </c>
    </row>
    <row r="401" spans="1:4">
      <c r="A401" s="1" t="s">
        <v>768</v>
      </c>
      <c r="B401" s="12" t="s">
        <v>769</v>
      </c>
      <c r="C401" s="2">
        <v>10.6229508196721</v>
      </c>
      <c r="D401" s="2">
        <v>10.6229508196721</v>
      </c>
    </row>
    <row r="402" spans="1:4">
      <c r="A402" s="1" t="s">
        <v>770</v>
      </c>
      <c r="B402" s="12" t="s">
        <v>771</v>
      </c>
      <c r="C402" s="2">
        <v>573.639344262295</v>
      </c>
      <c r="D402" s="2">
        <v>573.639344262295</v>
      </c>
    </row>
    <row r="403" spans="1:4">
      <c r="A403" s="1" t="s">
        <v>772</v>
      </c>
      <c r="B403" s="12" t="s">
        <v>773</v>
      </c>
      <c r="C403" s="2">
        <v>42.4918032786885</v>
      </c>
      <c r="D403" s="2">
        <v>42.4918032786885</v>
      </c>
    </row>
    <row r="404" ht="30" spans="1:4">
      <c r="A404" s="1" t="s">
        <v>774</v>
      </c>
      <c r="B404" s="12" t="s">
        <v>775</v>
      </c>
      <c r="C404" s="2">
        <v>21.2459016393443</v>
      </c>
      <c r="D404" s="2">
        <v>21.2459016393443</v>
      </c>
    </row>
    <row r="405" ht="30" spans="1:4">
      <c r="A405" s="1" t="s">
        <v>776</v>
      </c>
      <c r="B405" s="12" t="s">
        <v>777</v>
      </c>
      <c r="C405" s="2">
        <v>10.6229508196721</v>
      </c>
      <c r="D405" s="2">
        <v>10.6229508196721</v>
      </c>
    </row>
    <row r="406" ht="30" spans="1:4">
      <c r="A406" s="1" t="s">
        <v>778</v>
      </c>
      <c r="B406" s="12" t="s">
        <v>779</v>
      </c>
      <c r="C406" s="2">
        <v>573.639344262295</v>
      </c>
      <c r="D406" s="2">
        <v>573.639344262295</v>
      </c>
    </row>
    <row r="407" spans="1:4">
      <c r="A407" s="1" t="s">
        <v>780</v>
      </c>
      <c r="B407" s="12" t="s">
        <v>781</v>
      </c>
      <c r="C407" s="2">
        <v>42.4918032786885</v>
      </c>
      <c r="D407" s="2">
        <v>42.4918032786885</v>
      </c>
    </row>
    <row r="408" ht="30" spans="1:4">
      <c r="A408" s="1" t="s">
        <v>782</v>
      </c>
      <c r="B408" s="12" t="s">
        <v>783</v>
      </c>
      <c r="C408" s="2">
        <v>21.2459016393443</v>
      </c>
      <c r="D408" s="2">
        <v>21.2459016393443</v>
      </c>
    </row>
    <row r="409" ht="30" spans="1:4">
      <c r="A409" s="1" t="s">
        <v>784</v>
      </c>
      <c r="B409" s="12" t="s">
        <v>785</v>
      </c>
      <c r="C409" s="2">
        <v>10.6229508196721</v>
      </c>
      <c r="D409" s="2">
        <v>10.6229508196721</v>
      </c>
    </row>
    <row r="410" ht="30" spans="1:4">
      <c r="A410" s="1" t="s">
        <v>786</v>
      </c>
      <c r="B410" s="12" t="s">
        <v>787</v>
      </c>
      <c r="C410" s="2">
        <v>573.639344262295</v>
      </c>
      <c r="D410" s="2">
        <v>573.639344262295</v>
      </c>
    </row>
    <row r="411" spans="1:4">
      <c r="A411" s="1" t="s">
        <v>788</v>
      </c>
      <c r="B411" s="12" t="s">
        <v>789</v>
      </c>
      <c r="C411" s="2">
        <v>42.4918032786885</v>
      </c>
      <c r="D411" s="2">
        <v>42.4918032786885</v>
      </c>
    </row>
    <row r="412" ht="30" spans="1:4">
      <c r="A412" s="1" t="s">
        <v>790</v>
      </c>
      <c r="B412" s="12" t="s">
        <v>791</v>
      </c>
      <c r="C412" s="2">
        <v>21.2459016393443</v>
      </c>
      <c r="D412" s="2">
        <v>21.2459016393443</v>
      </c>
    </row>
    <row r="413" ht="30" spans="1:4">
      <c r="A413" s="1" t="s">
        <v>792</v>
      </c>
      <c r="B413" s="12" t="s">
        <v>793</v>
      </c>
      <c r="C413" s="2">
        <v>10.6229508196721</v>
      </c>
      <c r="D413" s="2">
        <v>10.6229508196721</v>
      </c>
    </row>
    <row r="414" spans="1:4">
      <c r="A414" s="1" t="s">
        <v>794</v>
      </c>
      <c r="B414" s="12" t="s">
        <v>795</v>
      </c>
      <c r="C414" s="2">
        <v>573.639344262295</v>
      </c>
      <c r="D414" s="2">
        <v>573.639344262295</v>
      </c>
    </row>
    <row r="415" spans="1:4">
      <c r="A415" s="1" t="s">
        <v>796</v>
      </c>
      <c r="B415" s="12" t="s">
        <v>797</v>
      </c>
      <c r="C415" s="2">
        <v>42.4918032786885</v>
      </c>
      <c r="D415" s="2">
        <v>42.4918032786885</v>
      </c>
    </row>
    <row r="416" spans="1:4">
      <c r="A416" s="1" t="s">
        <v>798</v>
      </c>
      <c r="B416" s="12" t="s">
        <v>799</v>
      </c>
      <c r="C416" s="2">
        <v>21.2459016393443</v>
      </c>
      <c r="D416" s="2">
        <v>21.2459016393443</v>
      </c>
    </row>
    <row r="417" spans="1:4">
      <c r="A417" s="1" t="s">
        <v>800</v>
      </c>
      <c r="B417" s="12" t="s">
        <v>801</v>
      </c>
      <c r="C417" s="2">
        <v>10.6229508196721</v>
      </c>
      <c r="D417" s="2">
        <v>10.6229508196721</v>
      </c>
    </row>
    <row r="418" spans="1:4">
      <c r="A418" s="1" t="s">
        <v>802</v>
      </c>
      <c r="B418" s="12" t="s">
        <v>803</v>
      </c>
      <c r="C418" s="2">
        <v>573.639344262295</v>
      </c>
      <c r="D418" s="2">
        <v>573.639344262295</v>
      </c>
    </row>
    <row r="419" spans="1:4">
      <c r="A419" s="1" t="s">
        <v>804</v>
      </c>
      <c r="B419" s="12" t="s">
        <v>805</v>
      </c>
      <c r="C419" s="2">
        <v>42.4918032786885</v>
      </c>
      <c r="D419" s="2">
        <v>42.4918032786885</v>
      </c>
    </row>
    <row r="420" spans="1:4">
      <c r="A420" s="1" t="s">
        <v>806</v>
      </c>
      <c r="B420" s="12" t="s">
        <v>807</v>
      </c>
      <c r="C420" s="2">
        <v>21.2459016393443</v>
      </c>
      <c r="D420" s="2">
        <v>21.2459016393443</v>
      </c>
    </row>
    <row r="421" spans="1:4">
      <c r="A421" s="1" t="s">
        <v>808</v>
      </c>
      <c r="B421" s="12" t="s">
        <v>809</v>
      </c>
      <c r="C421" s="2">
        <v>10.6229508196721</v>
      </c>
      <c r="D421" s="2">
        <v>10.6229508196721</v>
      </c>
    </row>
    <row r="422" ht="30" spans="1:4">
      <c r="A422" s="1" t="s">
        <v>810</v>
      </c>
      <c r="B422" s="12" t="s">
        <v>811</v>
      </c>
      <c r="C422" s="2">
        <v>573.639344262295</v>
      </c>
      <c r="D422" s="2">
        <v>573.639344262295</v>
      </c>
    </row>
    <row r="423" ht="30" spans="1:4">
      <c r="A423" s="1" t="s">
        <v>812</v>
      </c>
      <c r="B423" s="12" t="s">
        <v>813</v>
      </c>
      <c r="C423" s="2">
        <v>42.4918032786885</v>
      </c>
      <c r="D423" s="2">
        <v>42.4918032786885</v>
      </c>
    </row>
    <row r="424" ht="30" spans="1:4">
      <c r="A424" s="1" t="s">
        <v>814</v>
      </c>
      <c r="B424" s="12" t="s">
        <v>815</v>
      </c>
      <c r="C424" s="2">
        <v>21.2459016393443</v>
      </c>
      <c r="D424" s="2">
        <v>21.2459016393443</v>
      </c>
    </row>
    <row r="425" ht="30" spans="1:4">
      <c r="A425" s="1" t="s">
        <v>816</v>
      </c>
      <c r="B425" s="12" t="s">
        <v>817</v>
      </c>
      <c r="C425" s="2">
        <v>10.6229508196721</v>
      </c>
      <c r="D425" s="2">
        <v>10.6229508196721</v>
      </c>
    </row>
    <row r="426" spans="1:4">
      <c r="A426" s="1" t="s">
        <v>818</v>
      </c>
      <c r="B426" s="12" t="s">
        <v>819</v>
      </c>
      <c r="C426" s="2">
        <v>573.639344262295</v>
      </c>
      <c r="D426" s="2">
        <v>573.639344262295</v>
      </c>
    </row>
    <row r="427" spans="1:4">
      <c r="A427" s="1" t="s">
        <v>820</v>
      </c>
      <c r="B427" s="12" t="s">
        <v>821</v>
      </c>
      <c r="C427" s="2">
        <v>42.4918032786885</v>
      </c>
      <c r="D427" s="2">
        <v>42.4918032786885</v>
      </c>
    </row>
    <row r="428" ht="30" spans="1:4">
      <c r="A428" s="1" t="s">
        <v>822</v>
      </c>
      <c r="B428" s="12" t="s">
        <v>823</v>
      </c>
      <c r="C428" s="2">
        <v>21.2459016393443</v>
      </c>
      <c r="D428" s="2">
        <v>21.2459016393443</v>
      </c>
    </row>
    <row r="429" ht="30" spans="1:4">
      <c r="A429" s="1" t="s">
        <v>824</v>
      </c>
      <c r="B429" s="12" t="s">
        <v>825</v>
      </c>
      <c r="C429" s="2">
        <v>10.6229508196721</v>
      </c>
      <c r="D429" s="2">
        <v>10.6229508196721</v>
      </c>
    </row>
    <row r="430" spans="1:4">
      <c r="A430" s="1" t="s">
        <v>826</v>
      </c>
      <c r="B430" s="12" t="s">
        <v>827</v>
      </c>
      <c r="C430" s="2">
        <v>573.639344262295</v>
      </c>
      <c r="D430" s="2">
        <v>573.639344262295</v>
      </c>
    </row>
    <row r="431" spans="1:4">
      <c r="A431" s="1" t="s">
        <v>828</v>
      </c>
      <c r="B431" s="12" t="s">
        <v>829</v>
      </c>
      <c r="C431" s="2">
        <v>42.4918032786885</v>
      </c>
      <c r="D431" s="2">
        <v>42.4918032786885</v>
      </c>
    </row>
    <row r="432" spans="1:4">
      <c r="A432" s="1" t="s">
        <v>830</v>
      </c>
      <c r="B432" s="12" t="s">
        <v>831</v>
      </c>
      <c r="C432" s="2">
        <v>21.2459016393443</v>
      </c>
      <c r="D432" s="2">
        <v>21.2459016393443</v>
      </c>
    </row>
    <row r="433" spans="1:4">
      <c r="A433" s="1" t="s">
        <v>832</v>
      </c>
      <c r="B433" s="12" t="s">
        <v>833</v>
      </c>
      <c r="C433" s="2">
        <v>10.6229508196721</v>
      </c>
      <c r="D433" s="2">
        <v>10.6229508196721</v>
      </c>
    </row>
    <row r="434" ht="30" spans="1:4">
      <c r="A434" s="1" t="s">
        <v>834</v>
      </c>
      <c r="B434" s="12" t="s">
        <v>835</v>
      </c>
      <c r="C434" s="2">
        <v>573.639344262295</v>
      </c>
      <c r="D434" s="2">
        <v>573.639344262295</v>
      </c>
    </row>
    <row r="435" ht="30" spans="1:4">
      <c r="A435" s="1" t="s">
        <v>836</v>
      </c>
      <c r="B435" s="12" t="s">
        <v>837</v>
      </c>
      <c r="C435" s="2">
        <v>42.4918032786885</v>
      </c>
      <c r="D435" s="2">
        <v>42.4918032786885</v>
      </c>
    </row>
    <row r="436" ht="30" spans="1:4">
      <c r="A436" s="1" t="s">
        <v>838</v>
      </c>
      <c r="B436" s="12" t="s">
        <v>839</v>
      </c>
      <c r="C436" s="2">
        <v>21.2459016393443</v>
      </c>
      <c r="D436" s="2">
        <v>21.2459016393443</v>
      </c>
    </row>
    <row r="437" ht="30" spans="1:4">
      <c r="A437" s="1" t="s">
        <v>840</v>
      </c>
      <c r="B437" s="12" t="s">
        <v>841</v>
      </c>
      <c r="C437" s="2">
        <v>10.6229508196721</v>
      </c>
      <c r="D437" s="2">
        <v>10.6229508196721</v>
      </c>
    </row>
    <row r="438" ht="30" spans="1:4">
      <c r="A438" s="1" t="s">
        <v>842</v>
      </c>
      <c r="B438" s="12" t="s">
        <v>843</v>
      </c>
      <c r="C438" s="2">
        <v>573.639344262295</v>
      </c>
      <c r="D438" s="2">
        <v>573.639344262295</v>
      </c>
    </row>
    <row r="439" ht="30" spans="1:4">
      <c r="A439" s="1" t="s">
        <v>844</v>
      </c>
      <c r="B439" s="12" t="s">
        <v>845</v>
      </c>
      <c r="C439" s="2">
        <v>42.4918032786885</v>
      </c>
      <c r="D439" s="2">
        <v>42.4918032786885</v>
      </c>
    </row>
    <row r="440" ht="30" spans="1:4">
      <c r="A440" s="1" t="s">
        <v>846</v>
      </c>
      <c r="B440" s="12" t="s">
        <v>847</v>
      </c>
      <c r="C440" s="2">
        <v>21.2459016393443</v>
      </c>
      <c r="D440" s="2">
        <v>21.2459016393443</v>
      </c>
    </row>
    <row r="441" ht="30" spans="1:4">
      <c r="A441" s="1" t="s">
        <v>848</v>
      </c>
      <c r="B441" s="12" t="s">
        <v>849</v>
      </c>
      <c r="C441" s="2">
        <v>10.6229508196721</v>
      </c>
      <c r="D441" s="2">
        <v>10.6229508196721</v>
      </c>
    </row>
    <row r="442" spans="1:4">
      <c r="A442" s="1" t="s">
        <v>850</v>
      </c>
      <c r="B442" s="12" t="s">
        <v>851</v>
      </c>
      <c r="C442" s="2">
        <v>573.639344262295</v>
      </c>
      <c r="D442" s="2">
        <v>573.639344262295</v>
      </c>
    </row>
    <row r="443" spans="1:4">
      <c r="A443" s="1" t="s">
        <v>852</v>
      </c>
      <c r="B443" s="12" t="s">
        <v>853</v>
      </c>
      <c r="C443" s="2">
        <v>42.4918032786885</v>
      </c>
      <c r="D443" s="2">
        <v>42.4918032786885</v>
      </c>
    </row>
    <row r="444" spans="1:4">
      <c r="A444" s="1" t="s">
        <v>854</v>
      </c>
      <c r="B444" s="12" t="s">
        <v>855</v>
      </c>
      <c r="C444" s="2">
        <v>21.2459016393443</v>
      </c>
      <c r="D444" s="2">
        <v>21.2459016393443</v>
      </c>
    </row>
    <row r="445" spans="1:4">
      <c r="A445" s="1" t="s">
        <v>856</v>
      </c>
      <c r="B445" s="12" t="s">
        <v>857</v>
      </c>
      <c r="C445" s="2">
        <v>10.6229508196721</v>
      </c>
      <c r="D445" s="2">
        <v>10.6229508196721</v>
      </c>
    </row>
    <row r="446" spans="1:4">
      <c r="A446" s="1" t="s">
        <v>858</v>
      </c>
      <c r="B446" s="12" t="s">
        <v>859</v>
      </c>
      <c r="C446" s="2">
        <v>573.639344262295</v>
      </c>
      <c r="D446" s="2">
        <v>573.639344262295</v>
      </c>
    </row>
    <row r="447" spans="1:4">
      <c r="A447" s="1" t="s">
        <v>860</v>
      </c>
      <c r="B447" s="12" t="s">
        <v>861</v>
      </c>
      <c r="C447" s="2">
        <v>42.4918032786885</v>
      </c>
      <c r="D447" s="2">
        <v>42.4918032786885</v>
      </c>
    </row>
    <row r="448" ht="30" spans="1:4">
      <c r="A448" s="1" t="s">
        <v>862</v>
      </c>
      <c r="B448" s="12" t="s">
        <v>863</v>
      </c>
      <c r="C448" s="2">
        <v>21.2459016393443</v>
      </c>
      <c r="D448" s="2">
        <v>21.2459016393443</v>
      </c>
    </row>
    <row r="449" ht="30" spans="1:4">
      <c r="A449" s="1" t="s">
        <v>864</v>
      </c>
      <c r="B449" s="12" t="s">
        <v>865</v>
      </c>
      <c r="C449" s="2">
        <v>10.6229508196721</v>
      </c>
      <c r="D449" s="2">
        <v>10.6229508196721</v>
      </c>
    </row>
    <row r="450" ht="30" spans="1:4">
      <c r="A450" s="1" t="s">
        <v>866</v>
      </c>
      <c r="B450" s="12" t="s">
        <v>867</v>
      </c>
      <c r="C450" s="2">
        <v>573.639344262295</v>
      </c>
      <c r="D450" s="2">
        <v>573.639344262295</v>
      </c>
    </row>
    <row r="451" spans="1:4">
      <c r="A451" s="1" t="s">
        <v>868</v>
      </c>
      <c r="B451" s="12" t="s">
        <v>869</v>
      </c>
      <c r="C451" s="2">
        <v>42.4918032786885</v>
      </c>
      <c r="D451" s="2">
        <v>42.4918032786885</v>
      </c>
    </row>
    <row r="452" ht="30" spans="1:4">
      <c r="A452" s="1" t="s">
        <v>870</v>
      </c>
      <c r="B452" s="12" t="s">
        <v>871</v>
      </c>
      <c r="C452" s="2">
        <v>21.2459016393443</v>
      </c>
      <c r="D452" s="2">
        <v>21.2459016393443</v>
      </c>
    </row>
    <row r="453" ht="30" spans="1:4">
      <c r="A453" s="1" t="s">
        <v>872</v>
      </c>
      <c r="B453" s="12" t="s">
        <v>873</v>
      </c>
      <c r="C453" s="2">
        <v>10.6229508196721</v>
      </c>
      <c r="D453" s="2">
        <v>10.6229508196721</v>
      </c>
    </row>
    <row r="454" ht="30" spans="1:4">
      <c r="A454" s="1" t="s">
        <v>874</v>
      </c>
      <c r="B454" s="12" t="s">
        <v>875</v>
      </c>
      <c r="C454" s="2">
        <v>573.639344262295</v>
      </c>
      <c r="D454" s="2">
        <v>573.639344262295</v>
      </c>
    </row>
    <row r="455" spans="1:4">
      <c r="A455" s="1" t="s">
        <v>876</v>
      </c>
      <c r="B455" s="12" t="s">
        <v>877</v>
      </c>
      <c r="C455" s="2">
        <v>42.4918032786885</v>
      </c>
      <c r="D455" s="2">
        <v>42.4918032786885</v>
      </c>
    </row>
    <row r="456" ht="30" spans="1:4">
      <c r="A456" s="1" t="s">
        <v>878</v>
      </c>
      <c r="B456" s="12" t="s">
        <v>879</v>
      </c>
      <c r="C456" s="2">
        <v>21.2459016393443</v>
      </c>
      <c r="D456" s="2">
        <v>21.2459016393443</v>
      </c>
    </row>
    <row r="457" ht="30" spans="1:4">
      <c r="A457" s="1" t="s">
        <v>880</v>
      </c>
      <c r="B457" s="12" t="s">
        <v>881</v>
      </c>
      <c r="C457" s="2">
        <v>10.6229508196721</v>
      </c>
      <c r="D457" s="2">
        <v>10.6229508196721</v>
      </c>
    </row>
    <row r="458" spans="1:4">
      <c r="A458" s="1" t="s">
        <v>882</v>
      </c>
      <c r="B458" s="12" t="s">
        <v>883</v>
      </c>
      <c r="C458" s="2">
        <v>0.162</v>
      </c>
      <c r="D458" s="1">
        <f>648/4000</f>
        <v>0.162</v>
      </c>
    </row>
    <row r="459" spans="1:4">
      <c r="A459" s="1" t="s">
        <v>884</v>
      </c>
      <c r="B459" s="12" t="s">
        <v>885</v>
      </c>
      <c r="C459" s="2">
        <v>1</v>
      </c>
      <c r="D459" s="1">
        <v>1</v>
      </c>
    </row>
    <row r="460" spans="1:4">
      <c r="A460" s="1" t="s">
        <v>886</v>
      </c>
      <c r="B460" s="12" t="s">
        <v>887</v>
      </c>
      <c r="C460" s="2">
        <v>1</v>
      </c>
      <c r="D460" s="1">
        <v>1</v>
      </c>
    </row>
    <row r="461" spans="1:4">
      <c r="A461" s="1" t="s">
        <v>888</v>
      </c>
      <c r="B461" s="12" t="s">
        <v>889</v>
      </c>
      <c r="C461" s="2">
        <v>0.0324</v>
      </c>
      <c r="D461" s="1">
        <f>648/20000</f>
        <v>0.0324</v>
      </c>
    </row>
    <row r="462" ht="30" spans="1:4">
      <c r="A462" s="1" t="s">
        <v>890</v>
      </c>
      <c r="B462" s="12" t="s">
        <v>891</v>
      </c>
      <c r="C462" s="2">
        <v>1</v>
      </c>
      <c r="D462" s="1">
        <v>1</v>
      </c>
    </row>
    <row r="463" spans="1:4">
      <c r="A463" s="1" t="s">
        <v>892</v>
      </c>
      <c r="B463" s="12" t="s">
        <v>893</v>
      </c>
      <c r="C463" s="2">
        <v>1</v>
      </c>
      <c r="D463" s="1">
        <v>1</v>
      </c>
    </row>
    <row r="464" ht="30" spans="1:4">
      <c r="A464" s="1" t="s">
        <v>894</v>
      </c>
      <c r="B464" s="12" t="s">
        <v>895</v>
      </c>
      <c r="C464" s="2">
        <v>1</v>
      </c>
      <c r="D464" s="1">
        <v>1</v>
      </c>
    </row>
    <row r="465" spans="1:4">
      <c r="A465" s="1" t="s">
        <v>896</v>
      </c>
      <c r="B465" s="12" t="s">
        <v>897</v>
      </c>
      <c r="C465" s="2">
        <v>1</v>
      </c>
      <c r="D465" s="1">
        <v>1</v>
      </c>
    </row>
    <row r="466" ht="30" spans="1:4">
      <c r="A466" s="1" t="s">
        <v>898</v>
      </c>
      <c r="B466" s="12" t="s">
        <v>899</v>
      </c>
      <c r="C466" s="2">
        <v>1</v>
      </c>
      <c r="D466" s="1">
        <v>1</v>
      </c>
    </row>
    <row r="467" spans="1:4">
      <c r="A467" s="1" t="s">
        <v>900</v>
      </c>
      <c r="B467" s="12" t="s">
        <v>901</v>
      </c>
      <c r="C467" s="2">
        <v>1</v>
      </c>
      <c r="D467" s="1">
        <v>1</v>
      </c>
    </row>
    <row r="468" spans="1:4">
      <c r="A468" s="1" t="s">
        <v>902</v>
      </c>
      <c r="B468" s="12" t="s">
        <v>903</v>
      </c>
      <c r="C468" s="2">
        <v>1</v>
      </c>
      <c r="D468" s="1">
        <v>1</v>
      </c>
    </row>
    <row r="469" spans="1:4">
      <c r="A469" s="1" t="s">
        <v>904</v>
      </c>
      <c r="B469" s="12" t="s">
        <v>905</v>
      </c>
      <c r="C469" s="2">
        <v>1</v>
      </c>
      <c r="D469" s="1">
        <v>1</v>
      </c>
    </row>
    <row r="470" spans="1:4">
      <c r="A470" s="1" t="s">
        <v>906</v>
      </c>
      <c r="B470" s="12" t="s">
        <v>907</v>
      </c>
      <c r="C470" s="2">
        <v>1</v>
      </c>
      <c r="D470" s="1">
        <v>1</v>
      </c>
    </row>
    <row r="471" spans="1:4">
      <c r="A471" s="1" t="s">
        <v>908</v>
      </c>
      <c r="B471" s="12" t="s">
        <v>909</v>
      </c>
      <c r="C471" s="2">
        <v>1</v>
      </c>
      <c r="D471" s="1">
        <v>1</v>
      </c>
    </row>
    <row r="472" spans="1:4">
      <c r="A472" s="1" t="s">
        <v>910</v>
      </c>
      <c r="B472" s="12" t="s">
        <v>911</v>
      </c>
      <c r="C472" s="2">
        <v>1</v>
      </c>
      <c r="D472" s="1">
        <v>1</v>
      </c>
    </row>
    <row r="473" spans="1:4">
      <c r="A473" s="1" t="s">
        <v>912</v>
      </c>
      <c r="B473" s="12" t="s">
        <v>913</v>
      </c>
      <c r="C473" s="2">
        <v>1.08</v>
      </c>
      <c r="D473" s="1">
        <f>D474/30</f>
        <v>1.08</v>
      </c>
    </row>
    <row r="474" spans="1:4">
      <c r="A474" s="1" t="s">
        <v>914</v>
      </c>
      <c r="B474" s="12" t="s">
        <v>915</v>
      </c>
      <c r="C474" s="2">
        <v>32.4</v>
      </c>
      <c r="D474" s="1">
        <f>648/20</f>
        <v>32.4</v>
      </c>
    </row>
    <row r="475" spans="1:4">
      <c r="A475" s="1" t="s">
        <v>916</v>
      </c>
      <c r="B475" s="12" t="s">
        <v>917</v>
      </c>
      <c r="C475" s="2">
        <v>32.4</v>
      </c>
      <c r="D475" s="1">
        <v>32.4</v>
      </c>
    </row>
    <row r="476" spans="1:4">
      <c r="A476" s="1" t="s">
        <v>918</v>
      </c>
      <c r="B476" s="12" t="s">
        <v>919</v>
      </c>
      <c r="C476" s="2">
        <v>1</v>
      </c>
      <c r="D476" s="1">
        <v>1</v>
      </c>
    </row>
    <row r="477" spans="1:4">
      <c r="A477" s="1" t="s">
        <v>920</v>
      </c>
      <c r="B477" s="12" t="s">
        <v>921</v>
      </c>
      <c r="C477" s="2">
        <v>8.2</v>
      </c>
      <c r="D477" s="1">
        <f>328/40</f>
        <v>8.2</v>
      </c>
    </row>
    <row r="478" spans="1:4">
      <c r="A478" s="1" t="s">
        <v>922</v>
      </c>
      <c r="B478" s="12" t="s">
        <v>923</v>
      </c>
      <c r="C478" s="2">
        <v>0.000937142857142857</v>
      </c>
      <c r="D478" s="1">
        <f>328/350000</f>
        <v>0.000937142857142857</v>
      </c>
    </row>
    <row r="479" spans="1:4">
      <c r="A479" s="1" t="s">
        <v>924</v>
      </c>
      <c r="B479" s="12" t="s">
        <v>925</v>
      </c>
      <c r="C479" s="2">
        <v>1</v>
      </c>
      <c r="D479" s="1">
        <v>1</v>
      </c>
    </row>
    <row r="480" spans="1:4">
      <c r="A480" s="1" t="s">
        <v>926</v>
      </c>
      <c r="B480" s="12" t="s">
        <v>927</v>
      </c>
      <c r="C480" s="2">
        <v>1</v>
      </c>
      <c r="D480" s="1">
        <v>1</v>
      </c>
    </row>
    <row r="481" spans="1:4">
      <c r="A481" s="1" t="s">
        <v>928</v>
      </c>
      <c r="B481" s="12" t="s">
        <v>929</v>
      </c>
      <c r="C481" s="2">
        <v>1</v>
      </c>
      <c r="D481" s="1">
        <v>1</v>
      </c>
    </row>
    <row r="482" spans="1:4">
      <c r="A482" s="1" t="s">
        <v>930</v>
      </c>
      <c r="B482" s="12" t="s">
        <v>931</v>
      </c>
      <c r="C482" s="2">
        <v>1</v>
      </c>
      <c r="D482" s="1">
        <v>1</v>
      </c>
    </row>
    <row r="483" spans="1:4">
      <c r="A483" s="1" t="s">
        <v>932</v>
      </c>
      <c r="B483" s="12" t="s">
        <v>933</v>
      </c>
      <c r="C483" s="2">
        <v>1</v>
      </c>
      <c r="D483" s="1">
        <v>1</v>
      </c>
    </row>
    <row r="484" spans="1:4">
      <c r="A484" s="1" t="s">
        <v>934</v>
      </c>
      <c r="B484" s="12" t="s">
        <v>935</v>
      </c>
      <c r="C484" s="2">
        <v>0.432</v>
      </c>
      <c r="D484" s="1">
        <f>648/1500</f>
        <v>0.432</v>
      </c>
    </row>
    <row r="485" ht="30" spans="1:4">
      <c r="A485" s="1" t="s">
        <v>936</v>
      </c>
      <c r="B485" s="12" t="s">
        <v>937</v>
      </c>
      <c r="C485" s="2">
        <v>12.96</v>
      </c>
      <c r="D485" s="1">
        <f>648/50</f>
        <v>12.96</v>
      </c>
    </row>
    <row r="486" ht="30" spans="1:4">
      <c r="A486" s="1" t="s">
        <v>938</v>
      </c>
      <c r="B486" s="12" t="s">
        <v>939</v>
      </c>
      <c r="C486" s="2">
        <v>12.96</v>
      </c>
      <c r="D486" s="1">
        <f t="shared" ref="D486:D489" si="0">648/50</f>
        <v>12.96</v>
      </c>
    </row>
    <row r="487" ht="30" spans="1:4">
      <c r="A487" s="1" t="s">
        <v>940</v>
      </c>
      <c r="B487" s="12" t="s">
        <v>941</v>
      </c>
      <c r="C487" s="2">
        <v>12.96</v>
      </c>
      <c r="D487" s="1">
        <f t="shared" si="0"/>
        <v>12.96</v>
      </c>
    </row>
    <row r="488" ht="30" spans="1:4">
      <c r="A488" s="1" t="s">
        <v>942</v>
      </c>
      <c r="B488" s="12" t="s">
        <v>943</v>
      </c>
      <c r="C488" s="2">
        <v>12.96</v>
      </c>
      <c r="D488" s="1">
        <f t="shared" si="0"/>
        <v>12.96</v>
      </c>
    </row>
    <row r="489" ht="30" spans="1:4">
      <c r="A489" s="1" t="s">
        <v>944</v>
      </c>
      <c r="B489" s="12" t="s">
        <v>945</v>
      </c>
      <c r="C489" s="2">
        <v>12.96</v>
      </c>
      <c r="D489" s="1">
        <f t="shared" si="0"/>
        <v>12.96</v>
      </c>
    </row>
    <row r="490" spans="1:4">
      <c r="A490" s="1" t="s">
        <v>946</v>
      </c>
      <c r="B490" s="12" t="s">
        <v>947</v>
      </c>
      <c r="C490" s="2">
        <v>6</v>
      </c>
      <c r="D490" s="1">
        <v>6</v>
      </c>
    </row>
    <row r="491" spans="1:4">
      <c r="A491" s="1" t="s">
        <v>948</v>
      </c>
      <c r="B491" s="12" t="s">
        <v>949</v>
      </c>
      <c r="C491" s="2">
        <v>2.16</v>
      </c>
      <c r="D491" s="1">
        <f>648/300</f>
        <v>2.16</v>
      </c>
    </row>
    <row r="492" spans="1:4">
      <c r="A492" s="1" t="s">
        <v>950</v>
      </c>
      <c r="B492" s="12" t="s">
        <v>951</v>
      </c>
      <c r="C492" s="2">
        <v>12.96</v>
      </c>
      <c r="D492" s="1">
        <f>648/50</f>
        <v>12.96</v>
      </c>
    </row>
    <row r="493" ht="30" spans="1:4">
      <c r="A493" s="1" t="s">
        <v>952</v>
      </c>
      <c r="B493" s="12" t="s">
        <v>953</v>
      </c>
      <c r="C493" s="2">
        <v>25.6</v>
      </c>
      <c r="D493" s="1">
        <f>128/5</f>
        <v>25.6</v>
      </c>
    </row>
    <row r="494" spans="1:4">
      <c r="A494" s="1" t="s">
        <v>954</v>
      </c>
      <c r="B494" s="12" t="s">
        <v>955</v>
      </c>
      <c r="C494" s="2">
        <v>3.24</v>
      </c>
      <c r="D494" s="1">
        <f>648/200</f>
        <v>3.24</v>
      </c>
    </row>
    <row r="495" spans="1:4">
      <c r="A495" s="1" t="s">
        <v>956</v>
      </c>
      <c r="B495" s="12" t="s">
        <v>957</v>
      </c>
      <c r="C495" s="2">
        <v>8.1</v>
      </c>
      <c r="D495" s="1">
        <f>648/80</f>
        <v>8.1</v>
      </c>
    </row>
    <row r="496" spans="1:4">
      <c r="A496" s="1" t="s">
        <v>958</v>
      </c>
      <c r="B496" s="12" t="s">
        <v>959</v>
      </c>
      <c r="C496" s="2">
        <v>50</v>
      </c>
      <c r="D496" s="1">
        <v>50</v>
      </c>
    </row>
    <row r="497" ht="30" spans="1:4">
      <c r="A497" s="1" t="s">
        <v>960</v>
      </c>
      <c r="B497" s="12" t="s">
        <v>961</v>
      </c>
      <c r="C497" s="2">
        <v>10</v>
      </c>
      <c r="D497" s="1">
        <v>10</v>
      </c>
    </row>
    <row r="498" spans="1:4">
      <c r="A498" s="1" t="s">
        <v>962</v>
      </c>
      <c r="B498" s="12" t="s">
        <v>963</v>
      </c>
      <c r="C498" s="2">
        <v>0.0405</v>
      </c>
      <c r="D498" s="1">
        <f>648/16000</f>
        <v>0.0405</v>
      </c>
    </row>
    <row r="499" spans="1:4">
      <c r="A499" s="1" t="s">
        <v>964</v>
      </c>
      <c r="B499" s="12" t="s">
        <v>965</v>
      </c>
      <c r="C499" s="2">
        <v>10</v>
      </c>
      <c r="D499" s="1">
        <v>10</v>
      </c>
    </row>
    <row r="500" spans="1:4">
      <c r="A500" s="1" t="s">
        <v>966</v>
      </c>
      <c r="B500" s="12" t="s">
        <v>967</v>
      </c>
      <c r="C500" s="2">
        <v>0.5125</v>
      </c>
      <c r="D500" s="1">
        <f>328/640</f>
        <v>0.5125</v>
      </c>
    </row>
    <row r="501" spans="1:4">
      <c r="A501" s="1" t="s">
        <v>968</v>
      </c>
      <c r="B501" s="12" t="s">
        <v>969</v>
      </c>
      <c r="C501" s="2">
        <v>1</v>
      </c>
      <c r="D501" s="1">
        <v>1</v>
      </c>
    </row>
    <row r="502" spans="1:4">
      <c r="A502" s="1" t="s">
        <v>970</v>
      </c>
      <c r="B502" s="12" t="s">
        <v>971</v>
      </c>
      <c r="C502" s="2">
        <v>10</v>
      </c>
      <c r="D502" s="1">
        <v>10</v>
      </c>
    </row>
    <row r="503" spans="1:4">
      <c r="A503" s="1" t="s">
        <v>972</v>
      </c>
      <c r="B503" s="12" t="s">
        <v>973</v>
      </c>
      <c r="C503" s="2">
        <v>20</v>
      </c>
      <c r="D503" s="1">
        <v>20</v>
      </c>
    </row>
    <row r="504" spans="1:4">
      <c r="A504" s="1" t="s">
        <v>974</v>
      </c>
      <c r="B504" s="12" t="s">
        <v>975</v>
      </c>
      <c r="C504" s="2">
        <v>10</v>
      </c>
      <c r="D504" s="1">
        <v>10</v>
      </c>
    </row>
    <row r="505" ht="30" spans="1:4">
      <c r="A505" s="1" t="s">
        <v>976</v>
      </c>
      <c r="B505" s="12" t="s">
        <v>977</v>
      </c>
      <c r="C505" s="2">
        <v>1</v>
      </c>
      <c r="D505" s="1">
        <v>1</v>
      </c>
    </row>
    <row r="506" spans="1:4">
      <c r="A506" s="1" t="s">
        <v>978</v>
      </c>
      <c r="B506" s="12" t="s">
        <v>979</v>
      </c>
      <c r="C506" s="2">
        <v>81</v>
      </c>
      <c r="D506" s="1">
        <v>81</v>
      </c>
    </row>
    <row r="507" spans="1:4">
      <c r="A507" s="1" t="s">
        <v>980</v>
      </c>
      <c r="B507" s="12" t="s">
        <v>981</v>
      </c>
      <c r="C507" s="2">
        <v>81</v>
      </c>
      <c r="D507" s="1">
        <v>81</v>
      </c>
    </row>
    <row r="508" spans="1:4">
      <c r="A508" s="1" t="s">
        <v>982</v>
      </c>
      <c r="B508" s="12" t="s">
        <v>983</v>
      </c>
      <c r="C508" s="2">
        <v>81</v>
      </c>
      <c r="D508" s="1">
        <v>81</v>
      </c>
    </row>
    <row r="509" spans="1:4">
      <c r="A509" s="1" t="s">
        <v>984</v>
      </c>
      <c r="B509" s="12" t="s">
        <v>985</v>
      </c>
      <c r="C509" s="2">
        <v>81</v>
      </c>
      <c r="D509" s="1">
        <v>81</v>
      </c>
    </row>
    <row r="510" ht="30" spans="1:4">
      <c r="A510" s="1" t="s">
        <v>986</v>
      </c>
      <c r="B510" s="12" t="s">
        <v>987</v>
      </c>
      <c r="C510" s="2">
        <v>81</v>
      </c>
      <c r="D510" s="1">
        <v>81</v>
      </c>
    </row>
    <row r="511" ht="30" spans="1:4">
      <c r="A511" s="1" t="s">
        <v>988</v>
      </c>
      <c r="B511" s="12" t="s">
        <v>989</v>
      </c>
      <c r="C511" s="2">
        <v>81</v>
      </c>
      <c r="D511" s="1">
        <v>81</v>
      </c>
    </row>
    <row r="512" spans="1:4">
      <c r="A512" s="1" t="s">
        <v>990</v>
      </c>
      <c r="B512" s="12" t="s">
        <v>991</v>
      </c>
      <c r="C512" s="2">
        <v>81</v>
      </c>
      <c r="D512" s="1">
        <v>81</v>
      </c>
    </row>
    <row r="513" spans="1:4">
      <c r="A513" s="1" t="s">
        <v>992</v>
      </c>
      <c r="B513" s="12" t="s">
        <v>993</v>
      </c>
      <c r="C513" s="2">
        <v>81</v>
      </c>
      <c r="D513" s="1">
        <v>81</v>
      </c>
    </row>
    <row r="514" ht="30" spans="1:4">
      <c r="A514" s="1" t="s">
        <v>994</v>
      </c>
      <c r="B514" s="12" t="s">
        <v>995</v>
      </c>
      <c r="C514" s="2">
        <v>81</v>
      </c>
      <c r="D514" s="1">
        <v>81</v>
      </c>
    </row>
    <row r="515" spans="1:4">
      <c r="A515" s="1" t="s">
        <v>996</v>
      </c>
      <c r="B515" s="12" t="s">
        <v>997</v>
      </c>
      <c r="C515" s="2">
        <v>81</v>
      </c>
      <c r="D515" s="1">
        <v>81</v>
      </c>
    </row>
    <row r="516" spans="1:4">
      <c r="A516" s="1" t="s">
        <v>998</v>
      </c>
      <c r="B516" s="12" t="s">
        <v>999</v>
      </c>
      <c r="C516" s="2">
        <v>81</v>
      </c>
      <c r="D516" s="1">
        <v>81</v>
      </c>
    </row>
    <row r="517" spans="1:4">
      <c r="A517" s="1" t="s">
        <v>1000</v>
      </c>
      <c r="B517" s="12" t="s">
        <v>1001</v>
      </c>
      <c r="C517" s="2">
        <v>81</v>
      </c>
      <c r="D517" s="1">
        <v>81</v>
      </c>
    </row>
    <row r="518" spans="1:4">
      <c r="A518" s="1" t="s">
        <v>1002</v>
      </c>
      <c r="B518" s="12" t="s">
        <v>1003</v>
      </c>
      <c r="C518" s="2">
        <v>81</v>
      </c>
      <c r="D518" s="1">
        <v>81</v>
      </c>
    </row>
    <row r="519" spans="1:4">
      <c r="A519" s="1" t="s">
        <v>1004</v>
      </c>
      <c r="B519" s="12" t="s">
        <v>1005</v>
      </c>
      <c r="C519" s="2">
        <v>81</v>
      </c>
      <c r="D519" s="1">
        <v>81</v>
      </c>
    </row>
    <row r="520" spans="1:4">
      <c r="A520" s="1" t="s">
        <v>1006</v>
      </c>
      <c r="B520" s="12" t="s">
        <v>1007</v>
      </c>
      <c r="C520" s="2">
        <v>81</v>
      </c>
      <c r="D520" s="1">
        <v>81</v>
      </c>
    </row>
    <row r="521" ht="30" spans="1:4">
      <c r="A521" s="1" t="s">
        <v>1008</v>
      </c>
      <c r="B521" s="12" t="s">
        <v>1009</v>
      </c>
      <c r="C521" s="2">
        <v>81</v>
      </c>
      <c r="D521" s="1">
        <v>81</v>
      </c>
    </row>
    <row r="522" spans="1:4">
      <c r="A522" s="1" t="s">
        <v>1010</v>
      </c>
      <c r="B522" s="12" t="s">
        <v>1011</v>
      </c>
      <c r="C522" s="2">
        <v>81</v>
      </c>
      <c r="D522" s="1">
        <v>81</v>
      </c>
    </row>
    <row r="523" spans="1:4">
      <c r="A523" s="1" t="s">
        <v>1012</v>
      </c>
      <c r="B523" s="12" t="s">
        <v>1013</v>
      </c>
      <c r="C523" s="2">
        <v>81</v>
      </c>
      <c r="D523" s="1">
        <v>81</v>
      </c>
    </row>
    <row r="524" ht="30" spans="1:4">
      <c r="A524" s="1" t="s">
        <v>1014</v>
      </c>
      <c r="B524" s="12" t="s">
        <v>1015</v>
      </c>
      <c r="C524" s="2">
        <v>81</v>
      </c>
      <c r="D524" s="1">
        <v>81</v>
      </c>
    </row>
    <row r="525" spans="1:4">
      <c r="A525" s="1" t="s">
        <v>1016</v>
      </c>
      <c r="B525" s="12" t="s">
        <v>1017</v>
      </c>
      <c r="C525" s="2">
        <v>81</v>
      </c>
      <c r="D525" s="1">
        <v>81</v>
      </c>
    </row>
    <row r="526" spans="1:4">
      <c r="A526" s="1" t="s">
        <v>1018</v>
      </c>
      <c r="B526" s="12" t="s">
        <v>1019</v>
      </c>
      <c r="C526" s="2">
        <v>81</v>
      </c>
      <c r="D526" s="1">
        <v>81</v>
      </c>
    </row>
    <row r="527" spans="1:4">
      <c r="A527" s="1" t="s">
        <v>1020</v>
      </c>
      <c r="B527" s="12" t="s">
        <v>1021</v>
      </c>
      <c r="C527" s="2">
        <v>81</v>
      </c>
      <c r="D527" s="1">
        <v>81</v>
      </c>
    </row>
    <row r="528" spans="1:4">
      <c r="A528" s="1" t="s">
        <v>1022</v>
      </c>
      <c r="B528" s="12" t="s">
        <v>1023</v>
      </c>
      <c r="C528" s="2">
        <v>81</v>
      </c>
      <c r="D528" s="1">
        <v>81</v>
      </c>
    </row>
    <row r="529" ht="30" spans="1:4">
      <c r="A529" s="1" t="s">
        <v>1024</v>
      </c>
      <c r="B529" s="12" t="s">
        <v>1025</v>
      </c>
      <c r="C529" s="2">
        <v>81</v>
      </c>
      <c r="D529" s="1">
        <v>81</v>
      </c>
    </row>
    <row r="530" spans="1:4">
      <c r="A530" s="1" t="s">
        <v>1026</v>
      </c>
      <c r="B530" s="12" t="s">
        <v>1027</v>
      </c>
      <c r="C530" s="2">
        <v>81</v>
      </c>
      <c r="D530" s="1">
        <v>81</v>
      </c>
    </row>
    <row r="531" spans="1:4">
      <c r="A531" s="1" t="s">
        <v>1028</v>
      </c>
      <c r="B531" s="12" t="s">
        <v>1029</v>
      </c>
      <c r="C531" s="2">
        <v>81</v>
      </c>
      <c r="D531" s="1">
        <v>81</v>
      </c>
    </row>
    <row r="532" spans="1:4">
      <c r="A532" s="1" t="s">
        <v>1030</v>
      </c>
      <c r="B532" s="12" t="s">
        <v>1031</v>
      </c>
      <c r="C532" s="2">
        <v>81</v>
      </c>
      <c r="D532" s="1">
        <v>81</v>
      </c>
    </row>
    <row r="533" ht="30" spans="1:4">
      <c r="A533" s="1" t="s">
        <v>1032</v>
      </c>
      <c r="B533" s="12" t="s">
        <v>1033</v>
      </c>
      <c r="C533" s="2">
        <v>81</v>
      </c>
      <c r="D533" s="1">
        <v>81</v>
      </c>
    </row>
    <row r="534" spans="1:4">
      <c r="A534" s="1" t="s">
        <v>1034</v>
      </c>
      <c r="B534" s="12" t="s">
        <v>1035</v>
      </c>
      <c r="C534" s="2">
        <v>81</v>
      </c>
      <c r="D534" s="1">
        <v>81</v>
      </c>
    </row>
    <row r="535" ht="30" spans="1:4">
      <c r="A535" s="1" t="s">
        <v>1036</v>
      </c>
      <c r="B535" s="12" t="s">
        <v>1037</v>
      </c>
      <c r="C535" s="2">
        <v>81</v>
      </c>
      <c r="D535" s="1">
        <v>81</v>
      </c>
    </row>
    <row r="536" spans="1:4">
      <c r="A536" s="1" t="s">
        <v>1038</v>
      </c>
      <c r="B536" s="12" t="s">
        <v>1039</v>
      </c>
      <c r="C536" s="2">
        <v>81</v>
      </c>
      <c r="D536" s="1">
        <v>81</v>
      </c>
    </row>
    <row r="537" spans="1:4">
      <c r="A537" s="1" t="s">
        <v>1040</v>
      </c>
      <c r="B537" s="12" t="s">
        <v>1041</v>
      </c>
      <c r="C537" s="2">
        <v>81</v>
      </c>
      <c r="D537" s="1">
        <v>81</v>
      </c>
    </row>
    <row r="538" ht="30" spans="1:4">
      <c r="A538" s="1" t="s">
        <v>1042</v>
      </c>
      <c r="B538" s="12" t="s">
        <v>1043</v>
      </c>
      <c r="C538" s="2">
        <v>81</v>
      </c>
      <c r="D538" s="1">
        <v>81</v>
      </c>
    </row>
    <row r="539" spans="1:4">
      <c r="A539" s="1" t="s">
        <v>1044</v>
      </c>
      <c r="B539" s="12" t="s">
        <v>1045</v>
      </c>
      <c r="C539" s="2">
        <v>81</v>
      </c>
      <c r="D539" s="1">
        <v>81</v>
      </c>
    </row>
    <row r="540" ht="30" spans="1:4">
      <c r="A540" s="1" t="s">
        <v>1046</v>
      </c>
      <c r="B540" s="12" t="s">
        <v>1047</v>
      </c>
      <c r="C540" s="2">
        <v>81</v>
      </c>
      <c r="D540" s="1">
        <v>81</v>
      </c>
    </row>
    <row r="541" ht="30" spans="1:4">
      <c r="A541" s="1" t="s">
        <v>1048</v>
      </c>
      <c r="B541" s="12" t="s">
        <v>1049</v>
      </c>
      <c r="C541" s="2">
        <v>81</v>
      </c>
      <c r="D541" s="1">
        <v>81</v>
      </c>
    </row>
    <row r="542" spans="1:4">
      <c r="A542" s="1" t="s">
        <v>1050</v>
      </c>
      <c r="B542" s="12" t="s">
        <v>1051</v>
      </c>
      <c r="C542" s="2">
        <v>81</v>
      </c>
      <c r="D542" s="1">
        <v>81</v>
      </c>
    </row>
    <row r="543" spans="1:4">
      <c r="A543" s="1" t="s">
        <v>1052</v>
      </c>
      <c r="B543" s="12" t="s">
        <v>1053</v>
      </c>
      <c r="C543" s="2">
        <v>81</v>
      </c>
      <c r="D543" s="1">
        <v>81</v>
      </c>
    </row>
    <row r="544" spans="1:4">
      <c r="A544" s="1" t="s">
        <v>1054</v>
      </c>
      <c r="B544" s="12" t="s">
        <v>1055</v>
      </c>
      <c r="C544" s="2">
        <v>81</v>
      </c>
      <c r="D544" s="1">
        <v>81</v>
      </c>
    </row>
    <row r="545" ht="30" spans="1:4">
      <c r="A545" s="1" t="s">
        <v>1056</v>
      </c>
      <c r="B545" s="12" t="s">
        <v>1057</v>
      </c>
      <c r="C545" s="2">
        <v>81</v>
      </c>
      <c r="D545" s="1">
        <v>81</v>
      </c>
    </row>
    <row r="546" ht="30" spans="1:4">
      <c r="A546" s="1" t="s">
        <v>1058</v>
      </c>
      <c r="B546" s="12" t="s">
        <v>1059</v>
      </c>
      <c r="C546" s="2">
        <v>81</v>
      </c>
      <c r="D546" s="1">
        <v>81</v>
      </c>
    </row>
    <row r="547" spans="1:4">
      <c r="A547" s="1" t="s">
        <v>1060</v>
      </c>
      <c r="B547" s="12" t="s">
        <v>1061</v>
      </c>
      <c r="C547" s="2">
        <v>81</v>
      </c>
      <c r="D547" s="1">
        <v>81</v>
      </c>
    </row>
    <row r="548" spans="1:4">
      <c r="A548" s="1" t="s">
        <v>1062</v>
      </c>
      <c r="B548" s="12" t="s">
        <v>1063</v>
      </c>
      <c r="C548" s="2">
        <v>81</v>
      </c>
      <c r="D548" s="1">
        <v>81</v>
      </c>
    </row>
    <row r="549" ht="30" spans="1:4">
      <c r="A549" s="1" t="s">
        <v>1064</v>
      </c>
      <c r="B549" s="12" t="s">
        <v>1065</v>
      </c>
      <c r="C549" s="2">
        <v>81</v>
      </c>
      <c r="D549" s="1">
        <v>81</v>
      </c>
    </row>
    <row r="550" spans="1:4">
      <c r="A550" s="1" t="s">
        <v>1066</v>
      </c>
      <c r="B550" s="12" t="s">
        <v>1067</v>
      </c>
      <c r="C550" s="2">
        <v>81</v>
      </c>
      <c r="D550" s="1">
        <v>81</v>
      </c>
    </row>
    <row r="551" spans="1:4">
      <c r="A551" s="1" t="s">
        <v>1068</v>
      </c>
      <c r="B551" s="12" t="s">
        <v>1069</v>
      </c>
      <c r="C551" s="2">
        <v>81</v>
      </c>
      <c r="D551" s="1">
        <v>81</v>
      </c>
    </row>
    <row r="552" ht="30" spans="1:4">
      <c r="A552" s="1" t="s">
        <v>1070</v>
      </c>
      <c r="B552" s="12" t="s">
        <v>1071</v>
      </c>
      <c r="C552" s="2">
        <v>80</v>
      </c>
      <c r="D552" s="1">
        <v>80</v>
      </c>
    </row>
    <row r="553" ht="30" spans="1:4">
      <c r="A553" s="1" t="s">
        <v>1072</v>
      </c>
      <c r="B553" s="12" t="s">
        <v>1073</v>
      </c>
      <c r="C553" s="2">
        <v>160</v>
      </c>
      <c r="D553" s="1">
        <v>160</v>
      </c>
    </row>
    <row r="554" ht="30" spans="1:4">
      <c r="A554" s="1" t="s">
        <v>1074</v>
      </c>
      <c r="B554" s="12" t="s">
        <v>1075</v>
      </c>
      <c r="C554" s="2">
        <v>320</v>
      </c>
      <c r="D554" s="1">
        <v>320</v>
      </c>
    </row>
    <row r="555" ht="30" spans="1:4">
      <c r="A555" s="1" t="s">
        <v>1076</v>
      </c>
      <c r="B555" s="12" t="s">
        <v>1077</v>
      </c>
      <c r="C555" s="2">
        <v>80</v>
      </c>
      <c r="D555" s="1">
        <v>80</v>
      </c>
    </row>
    <row r="556" ht="30" spans="1:4">
      <c r="A556" s="1" t="s">
        <v>1078</v>
      </c>
      <c r="B556" s="12" t="s">
        <v>1079</v>
      </c>
      <c r="C556" s="2">
        <v>160</v>
      </c>
      <c r="D556" s="1">
        <v>160</v>
      </c>
    </row>
    <row r="557" ht="30" spans="1:4">
      <c r="A557" s="1" t="s">
        <v>1080</v>
      </c>
      <c r="B557" s="12" t="s">
        <v>1081</v>
      </c>
      <c r="C557" s="2">
        <v>320</v>
      </c>
      <c r="D557" s="1">
        <v>320</v>
      </c>
    </row>
    <row r="558" ht="30" spans="1:4">
      <c r="A558" s="1" t="s">
        <v>1082</v>
      </c>
      <c r="B558" s="12" t="s">
        <v>1083</v>
      </c>
      <c r="C558" s="2">
        <v>80</v>
      </c>
      <c r="D558" s="1">
        <v>80</v>
      </c>
    </row>
    <row r="559" ht="30" spans="1:4">
      <c r="A559" s="1" t="s">
        <v>1084</v>
      </c>
      <c r="B559" s="12" t="s">
        <v>1085</v>
      </c>
      <c r="C559" s="2">
        <v>160</v>
      </c>
      <c r="D559" s="1">
        <v>160</v>
      </c>
    </row>
    <row r="560" ht="30" spans="1:4">
      <c r="A560" s="1" t="s">
        <v>1086</v>
      </c>
      <c r="B560" s="12" t="s">
        <v>1087</v>
      </c>
      <c r="C560" s="2">
        <v>320</v>
      </c>
      <c r="D560" s="1">
        <v>320</v>
      </c>
    </row>
    <row r="561" ht="30" spans="1:4">
      <c r="A561" s="1" t="s">
        <v>1088</v>
      </c>
      <c r="B561" s="12" t="s">
        <v>1089</v>
      </c>
      <c r="C561" s="2">
        <v>80</v>
      </c>
      <c r="D561" s="1">
        <v>80</v>
      </c>
    </row>
    <row r="562" ht="30" spans="1:4">
      <c r="A562" s="1" t="s">
        <v>1090</v>
      </c>
      <c r="B562" s="12" t="s">
        <v>1091</v>
      </c>
      <c r="C562" s="2">
        <v>160</v>
      </c>
      <c r="D562" s="1">
        <v>160</v>
      </c>
    </row>
    <row r="563" ht="30" spans="1:4">
      <c r="A563" s="1" t="s">
        <v>1092</v>
      </c>
      <c r="B563" s="12" t="s">
        <v>1093</v>
      </c>
      <c r="C563" s="2">
        <v>320</v>
      </c>
      <c r="D563" s="1">
        <v>320</v>
      </c>
    </row>
    <row r="564" ht="30" spans="1:4">
      <c r="A564" s="1" t="s">
        <v>1094</v>
      </c>
      <c r="B564" s="12" t="s">
        <v>1095</v>
      </c>
      <c r="C564" s="2">
        <v>80</v>
      </c>
      <c r="D564" s="1">
        <v>80</v>
      </c>
    </row>
    <row r="565" ht="30" spans="1:4">
      <c r="A565" s="1" t="s">
        <v>1096</v>
      </c>
      <c r="B565" s="12" t="s">
        <v>1097</v>
      </c>
      <c r="C565" s="2">
        <v>160</v>
      </c>
      <c r="D565" s="1">
        <v>160</v>
      </c>
    </row>
    <row r="566" ht="30" spans="1:4">
      <c r="A566" s="1" t="s">
        <v>1098</v>
      </c>
      <c r="B566" s="12" t="s">
        <v>1099</v>
      </c>
      <c r="C566" s="2">
        <v>320</v>
      </c>
      <c r="D566" s="1">
        <v>320</v>
      </c>
    </row>
    <row r="567" ht="30" spans="1:4">
      <c r="A567" s="1" t="s">
        <v>1100</v>
      </c>
      <c r="B567" s="12" t="s">
        <v>1101</v>
      </c>
      <c r="C567" s="2">
        <v>100</v>
      </c>
      <c r="D567" s="1">
        <v>100</v>
      </c>
    </row>
    <row r="568" spans="1:4">
      <c r="A568" s="1" t="s">
        <v>1102</v>
      </c>
      <c r="B568" s="12" t="s">
        <v>1103</v>
      </c>
      <c r="C568" s="2">
        <v>100</v>
      </c>
      <c r="D568" s="1">
        <v>100</v>
      </c>
    </row>
    <row r="569" spans="1:4">
      <c r="A569" s="1" t="s">
        <v>1104</v>
      </c>
      <c r="B569" s="12" t="s">
        <v>1105</v>
      </c>
      <c r="C569" s="2">
        <v>100</v>
      </c>
      <c r="D569" s="1">
        <v>100</v>
      </c>
    </row>
    <row r="570" spans="1:4">
      <c r="A570" s="1" t="s">
        <v>1106</v>
      </c>
      <c r="B570" s="12" t="s">
        <v>1107</v>
      </c>
      <c r="C570" s="2">
        <v>100</v>
      </c>
      <c r="D570" s="1">
        <v>100</v>
      </c>
    </row>
    <row r="571" spans="1:4">
      <c r="A571" s="1" t="s">
        <v>1108</v>
      </c>
      <c r="B571" s="12" t="s">
        <v>1109</v>
      </c>
      <c r="C571" s="2">
        <v>100</v>
      </c>
      <c r="D571" s="1">
        <v>100</v>
      </c>
    </row>
    <row r="572" spans="1:4">
      <c r="A572" s="1" t="s">
        <v>1110</v>
      </c>
      <c r="B572" s="12" t="s">
        <v>1111</v>
      </c>
      <c r="C572" s="2">
        <v>100</v>
      </c>
      <c r="D572" s="1">
        <v>100</v>
      </c>
    </row>
    <row r="573" ht="30" spans="1:4">
      <c r="A573" s="1" t="s">
        <v>1112</v>
      </c>
      <c r="B573" s="12" t="s">
        <v>1113</v>
      </c>
      <c r="C573" s="2">
        <v>100</v>
      </c>
      <c r="D573" s="1">
        <v>100</v>
      </c>
    </row>
    <row r="574" spans="1:4">
      <c r="A574" s="1" t="s">
        <v>1114</v>
      </c>
      <c r="B574" s="12" t="s">
        <v>1115</v>
      </c>
      <c r="C574" s="2">
        <v>100</v>
      </c>
      <c r="D574" s="1">
        <v>100</v>
      </c>
    </row>
    <row r="575" spans="1:4">
      <c r="A575" s="1" t="s">
        <v>1116</v>
      </c>
      <c r="B575" s="12" t="s">
        <v>1117</v>
      </c>
      <c r="C575" s="2">
        <v>100</v>
      </c>
      <c r="D575" s="1">
        <v>100</v>
      </c>
    </row>
    <row r="576" spans="1:4">
      <c r="A576" s="1" t="s">
        <v>1118</v>
      </c>
      <c r="B576" s="12" t="s">
        <v>1119</v>
      </c>
      <c r="C576" s="2">
        <v>100</v>
      </c>
      <c r="D576" s="1">
        <v>100</v>
      </c>
    </row>
    <row r="577" ht="30" spans="1:4">
      <c r="A577" s="1" t="s">
        <v>1120</v>
      </c>
      <c r="B577" s="12" t="s">
        <v>1121</v>
      </c>
      <c r="C577" s="2">
        <v>100</v>
      </c>
      <c r="D577" s="1">
        <v>100</v>
      </c>
    </row>
    <row r="578" ht="30" spans="1:4">
      <c r="A578" s="1" t="s">
        <v>1122</v>
      </c>
      <c r="B578" s="12" t="s">
        <v>1123</v>
      </c>
      <c r="C578" s="2">
        <v>100</v>
      </c>
      <c r="D578" s="1">
        <v>100</v>
      </c>
    </row>
    <row r="579" ht="30" spans="1:4">
      <c r="A579" s="1" t="s">
        <v>1124</v>
      </c>
      <c r="B579" s="12" t="s">
        <v>1125</v>
      </c>
      <c r="C579" s="2">
        <v>100</v>
      </c>
      <c r="D579" s="1">
        <v>100</v>
      </c>
    </row>
    <row r="580" ht="30" spans="1:4">
      <c r="A580" s="1" t="s">
        <v>1126</v>
      </c>
      <c r="B580" s="12" t="s">
        <v>1127</v>
      </c>
      <c r="C580" s="2">
        <v>100</v>
      </c>
      <c r="D580" s="1">
        <v>100</v>
      </c>
    </row>
    <row r="581" ht="30" spans="1:4">
      <c r="A581" s="1" t="s">
        <v>1128</v>
      </c>
      <c r="B581" s="12" t="s">
        <v>1129</v>
      </c>
      <c r="C581" s="2">
        <v>100</v>
      </c>
      <c r="D581" s="1">
        <v>100</v>
      </c>
    </row>
    <row r="582" ht="30" spans="1:4">
      <c r="A582" s="1" t="s">
        <v>1130</v>
      </c>
      <c r="B582" s="12" t="s">
        <v>1131</v>
      </c>
      <c r="C582" s="2">
        <v>100</v>
      </c>
      <c r="D582" s="1">
        <v>100</v>
      </c>
    </row>
    <row r="583" ht="30" spans="1:4">
      <c r="A583" s="1" t="s">
        <v>1132</v>
      </c>
      <c r="B583" s="12" t="s">
        <v>1133</v>
      </c>
      <c r="C583" s="2">
        <v>100</v>
      </c>
      <c r="D583" s="1">
        <v>100</v>
      </c>
    </row>
    <row r="584" ht="30" spans="1:4">
      <c r="A584" s="1" t="s">
        <v>1134</v>
      </c>
      <c r="B584" s="12" t="s">
        <v>1135</v>
      </c>
      <c r="C584" s="2">
        <v>100</v>
      </c>
      <c r="D584" s="1">
        <v>100</v>
      </c>
    </row>
    <row r="585" ht="30" spans="1:4">
      <c r="A585" s="1" t="s">
        <v>1136</v>
      </c>
      <c r="B585" s="12" t="s">
        <v>1137</v>
      </c>
      <c r="C585" s="2">
        <v>100</v>
      </c>
      <c r="D585" s="1">
        <v>100</v>
      </c>
    </row>
    <row r="586" ht="30" spans="1:4">
      <c r="A586" s="1" t="s">
        <v>1138</v>
      </c>
      <c r="B586" s="12" t="s">
        <v>1139</v>
      </c>
      <c r="C586" s="2">
        <v>100</v>
      </c>
      <c r="D586" s="1">
        <v>100</v>
      </c>
    </row>
    <row r="587" ht="30" spans="1:4">
      <c r="A587" s="1" t="s">
        <v>1140</v>
      </c>
      <c r="B587" s="12" t="s">
        <v>1141</v>
      </c>
      <c r="C587" s="2">
        <v>100</v>
      </c>
      <c r="D587" s="1">
        <v>100</v>
      </c>
    </row>
    <row r="588" ht="30" spans="1:4">
      <c r="A588" s="1" t="s">
        <v>1142</v>
      </c>
      <c r="B588" s="12" t="s">
        <v>1143</v>
      </c>
      <c r="C588" s="2">
        <v>100</v>
      </c>
      <c r="D588" s="1">
        <v>100</v>
      </c>
    </row>
    <row r="589" ht="30" spans="1:4">
      <c r="A589" s="1" t="s">
        <v>1144</v>
      </c>
      <c r="B589" s="12" t="s">
        <v>1145</v>
      </c>
      <c r="C589" s="2">
        <v>100</v>
      </c>
      <c r="D589" s="1">
        <v>100</v>
      </c>
    </row>
    <row r="590" ht="30" spans="1:4">
      <c r="A590" s="1" t="s">
        <v>1146</v>
      </c>
      <c r="B590" s="12" t="s">
        <v>1147</v>
      </c>
      <c r="C590" s="2">
        <v>100</v>
      </c>
      <c r="D590" s="1">
        <v>100</v>
      </c>
    </row>
    <row r="591" ht="30" spans="1:4">
      <c r="A591" s="1" t="s">
        <v>1148</v>
      </c>
      <c r="B591" s="12" t="s">
        <v>1149</v>
      </c>
      <c r="C591" s="2">
        <v>100</v>
      </c>
      <c r="D591" s="1">
        <v>100</v>
      </c>
    </row>
    <row r="592" spans="1:4">
      <c r="A592" s="1" t="s">
        <v>1150</v>
      </c>
      <c r="B592" s="12" t="s">
        <v>1151</v>
      </c>
      <c r="C592" s="2">
        <v>100</v>
      </c>
      <c r="D592" s="1">
        <v>100</v>
      </c>
    </row>
    <row r="593" spans="1:4">
      <c r="A593" s="1" t="s">
        <v>1152</v>
      </c>
      <c r="B593" s="12" t="s">
        <v>1153</v>
      </c>
      <c r="C593" s="2">
        <v>100</v>
      </c>
      <c r="D593" s="1">
        <v>100</v>
      </c>
    </row>
    <row r="594" ht="30" spans="1:4">
      <c r="A594" s="1" t="s">
        <v>1154</v>
      </c>
      <c r="B594" s="12" t="s">
        <v>1155</v>
      </c>
      <c r="C594" s="2">
        <v>100</v>
      </c>
      <c r="D594" s="1">
        <v>100</v>
      </c>
    </row>
    <row r="595" ht="30" spans="1:4">
      <c r="A595" s="1" t="s">
        <v>1156</v>
      </c>
      <c r="B595" s="12" t="s">
        <v>1157</v>
      </c>
      <c r="C595" s="2">
        <v>100</v>
      </c>
      <c r="D595" s="1">
        <v>100</v>
      </c>
    </row>
    <row r="596" ht="30" spans="1:4">
      <c r="A596" s="1" t="s">
        <v>1158</v>
      </c>
      <c r="B596" s="12" t="s">
        <v>1159</v>
      </c>
      <c r="C596" s="2">
        <v>100</v>
      </c>
      <c r="D596" s="1">
        <v>100</v>
      </c>
    </row>
    <row r="597" ht="30" spans="1:4">
      <c r="A597" s="1" t="s">
        <v>1160</v>
      </c>
      <c r="B597" s="12" t="s">
        <v>1161</v>
      </c>
      <c r="C597" s="2">
        <v>100</v>
      </c>
      <c r="D597" s="1">
        <v>100</v>
      </c>
    </row>
    <row r="598" ht="30" spans="1:4">
      <c r="A598" s="1" t="s">
        <v>1162</v>
      </c>
      <c r="B598" s="12" t="s">
        <v>1163</v>
      </c>
      <c r="C598" s="2">
        <v>100</v>
      </c>
      <c r="D598" s="1">
        <v>100</v>
      </c>
    </row>
    <row r="599" ht="30" spans="1:4">
      <c r="A599" s="1" t="s">
        <v>1164</v>
      </c>
      <c r="B599" s="12" t="s">
        <v>1165</v>
      </c>
      <c r="C599" s="2">
        <v>100</v>
      </c>
      <c r="D599" s="1">
        <v>100</v>
      </c>
    </row>
    <row r="600" ht="30" spans="1:4">
      <c r="A600" s="1" t="s">
        <v>1166</v>
      </c>
      <c r="B600" s="12" t="s">
        <v>1167</v>
      </c>
      <c r="C600" s="2">
        <v>100</v>
      </c>
      <c r="D600" s="1">
        <v>100</v>
      </c>
    </row>
    <row r="601" ht="30" spans="1:4">
      <c r="A601" s="1" t="s">
        <v>1168</v>
      </c>
      <c r="B601" s="12" t="s">
        <v>1169</v>
      </c>
      <c r="C601" s="2">
        <v>100</v>
      </c>
      <c r="D601" s="1">
        <v>100</v>
      </c>
    </row>
    <row r="602" ht="30" spans="1:4">
      <c r="A602" s="1" t="s">
        <v>1170</v>
      </c>
      <c r="B602" s="12" t="s">
        <v>1171</v>
      </c>
      <c r="C602" s="2">
        <v>100</v>
      </c>
      <c r="D602" s="1">
        <v>100</v>
      </c>
    </row>
    <row r="603" ht="30" spans="1:4">
      <c r="A603" s="1" t="s">
        <v>1172</v>
      </c>
      <c r="B603" s="12" t="s">
        <v>1173</v>
      </c>
      <c r="C603" s="2">
        <v>100</v>
      </c>
      <c r="D603" s="1">
        <v>100</v>
      </c>
    </row>
    <row r="604" ht="30" spans="1:4">
      <c r="A604" s="1" t="s">
        <v>1174</v>
      </c>
      <c r="B604" s="12" t="s">
        <v>1175</v>
      </c>
      <c r="C604" s="2">
        <v>100</v>
      </c>
      <c r="D604" s="1">
        <v>100</v>
      </c>
    </row>
    <row r="605" ht="30" spans="1:4">
      <c r="A605" s="1" t="s">
        <v>1176</v>
      </c>
      <c r="B605" s="12" t="s">
        <v>1177</v>
      </c>
      <c r="C605" s="2">
        <v>100</v>
      </c>
      <c r="D605" s="1">
        <v>100</v>
      </c>
    </row>
    <row r="606" ht="30" spans="1:4">
      <c r="A606" s="1" t="s">
        <v>1178</v>
      </c>
      <c r="B606" s="12" t="s">
        <v>1179</v>
      </c>
      <c r="C606" s="2">
        <v>100</v>
      </c>
      <c r="D606" s="1">
        <v>100</v>
      </c>
    </row>
    <row r="607" ht="30" spans="1:4">
      <c r="A607" s="1" t="s">
        <v>1180</v>
      </c>
      <c r="B607" s="12" t="s">
        <v>1181</v>
      </c>
      <c r="C607" s="2">
        <v>100</v>
      </c>
      <c r="D607" s="1">
        <v>100</v>
      </c>
    </row>
    <row r="608" spans="1:4">
      <c r="A608" s="1" t="s">
        <v>1182</v>
      </c>
      <c r="B608" s="12" t="s">
        <v>1183</v>
      </c>
      <c r="C608" s="2">
        <v>100</v>
      </c>
      <c r="D608" s="1">
        <v>100</v>
      </c>
    </row>
    <row r="609" spans="1:4">
      <c r="A609" s="1" t="s">
        <v>1184</v>
      </c>
      <c r="B609" s="12" t="s">
        <v>1185</v>
      </c>
      <c r="C609" s="2">
        <v>100</v>
      </c>
      <c r="D609" s="1">
        <v>100</v>
      </c>
    </row>
    <row r="610" ht="30" spans="1:4">
      <c r="A610" s="1" t="s">
        <v>1186</v>
      </c>
      <c r="B610" s="12" t="s">
        <v>1187</v>
      </c>
      <c r="C610" s="2">
        <v>100</v>
      </c>
      <c r="D610" s="1">
        <v>100</v>
      </c>
    </row>
    <row r="611" ht="30" spans="1:4">
      <c r="A611" s="1" t="s">
        <v>1188</v>
      </c>
      <c r="B611" s="12" t="s">
        <v>1189</v>
      </c>
      <c r="C611" s="2">
        <v>100</v>
      </c>
      <c r="D611" s="1">
        <v>100</v>
      </c>
    </row>
    <row r="612" ht="30" spans="1:4">
      <c r="A612" s="1" t="s">
        <v>1190</v>
      </c>
      <c r="B612" s="12" t="s">
        <v>1191</v>
      </c>
      <c r="C612" s="2">
        <v>100</v>
      </c>
      <c r="D612" s="1">
        <v>100</v>
      </c>
    </row>
    <row r="613" ht="30" spans="1:4">
      <c r="A613" s="1" t="s">
        <v>1192</v>
      </c>
      <c r="B613" s="12" t="s">
        <v>1193</v>
      </c>
      <c r="C613" s="2">
        <v>100</v>
      </c>
      <c r="D613" s="1">
        <v>100</v>
      </c>
    </row>
    <row r="614" ht="30" spans="1:4">
      <c r="A614" s="1" t="s">
        <v>1194</v>
      </c>
      <c r="B614" s="12" t="s">
        <v>1195</v>
      </c>
      <c r="C614" s="2">
        <v>100</v>
      </c>
      <c r="D614" s="1">
        <v>100</v>
      </c>
    </row>
    <row r="615" ht="30" spans="1:4">
      <c r="A615" s="1" t="s">
        <v>1196</v>
      </c>
      <c r="B615" s="12" t="s">
        <v>1197</v>
      </c>
      <c r="C615" s="2">
        <v>100</v>
      </c>
      <c r="D615" s="1">
        <v>100</v>
      </c>
    </row>
    <row r="616" ht="30" spans="1:4">
      <c r="A616" s="1" t="s">
        <v>1198</v>
      </c>
      <c r="B616" s="12" t="s">
        <v>1199</v>
      </c>
      <c r="C616" s="2">
        <v>100</v>
      </c>
      <c r="D616" s="1">
        <v>100</v>
      </c>
    </row>
    <row r="617" ht="30" spans="1:4">
      <c r="A617" s="1" t="s">
        <v>1200</v>
      </c>
      <c r="B617" s="12" t="s">
        <v>1201</v>
      </c>
      <c r="C617" s="2">
        <v>100</v>
      </c>
      <c r="D617" s="1">
        <v>100</v>
      </c>
    </row>
    <row r="618" ht="30" spans="1:4">
      <c r="A618" s="1" t="s">
        <v>1202</v>
      </c>
      <c r="B618" s="12" t="s">
        <v>1203</v>
      </c>
      <c r="C618" s="2">
        <v>100</v>
      </c>
      <c r="D618" s="1">
        <v>100</v>
      </c>
    </row>
    <row r="619" ht="30" spans="1:4">
      <c r="A619" s="1" t="s">
        <v>1204</v>
      </c>
      <c r="B619" s="12" t="s">
        <v>1205</v>
      </c>
      <c r="C619" s="2">
        <v>100</v>
      </c>
      <c r="D619" s="1">
        <v>100</v>
      </c>
    </row>
    <row r="620" ht="30" spans="1:4">
      <c r="A620" s="1" t="s">
        <v>1206</v>
      </c>
      <c r="B620" s="12" t="s">
        <v>1207</v>
      </c>
      <c r="C620" s="2">
        <v>100</v>
      </c>
      <c r="D620" s="1">
        <v>100</v>
      </c>
    </row>
    <row r="621" spans="1:4">
      <c r="A621" s="1" t="s">
        <v>1208</v>
      </c>
      <c r="B621" s="12" t="s">
        <v>1209</v>
      </c>
      <c r="C621" s="2">
        <v>100</v>
      </c>
      <c r="D621" s="1">
        <v>100</v>
      </c>
    </row>
    <row r="622" spans="1:4">
      <c r="A622" s="1" t="s">
        <v>1210</v>
      </c>
      <c r="B622" s="12" t="s">
        <v>1209</v>
      </c>
      <c r="C622" s="2">
        <v>100</v>
      </c>
      <c r="D622" s="1">
        <v>100</v>
      </c>
    </row>
    <row r="623" spans="1:4">
      <c r="A623" s="1" t="s">
        <v>1211</v>
      </c>
      <c r="B623" s="12" t="s">
        <v>1209</v>
      </c>
      <c r="C623" s="2">
        <v>100</v>
      </c>
      <c r="D623" s="1">
        <v>100</v>
      </c>
    </row>
    <row r="624" spans="1:4">
      <c r="A624" s="1" t="s">
        <v>1212</v>
      </c>
      <c r="B624" s="12" t="s">
        <v>1209</v>
      </c>
      <c r="C624" s="2">
        <v>100</v>
      </c>
      <c r="D624" s="1">
        <v>100</v>
      </c>
    </row>
    <row r="625" spans="1:4">
      <c r="A625" s="1" t="s">
        <v>1213</v>
      </c>
      <c r="B625" s="12" t="s">
        <v>1209</v>
      </c>
      <c r="C625" s="2">
        <v>100</v>
      </c>
      <c r="D625" s="1">
        <v>100</v>
      </c>
    </row>
    <row r="626" spans="1:4">
      <c r="A626" s="1" t="s">
        <v>1214</v>
      </c>
      <c r="B626" s="12" t="s">
        <v>1209</v>
      </c>
      <c r="C626" s="2">
        <v>100</v>
      </c>
      <c r="D626" s="1">
        <v>100</v>
      </c>
    </row>
    <row r="627" ht="30" spans="1:4">
      <c r="A627" s="1" t="s">
        <v>1215</v>
      </c>
      <c r="B627" s="12" t="s">
        <v>1216</v>
      </c>
      <c r="C627" s="2">
        <v>100</v>
      </c>
      <c r="D627" s="1">
        <v>100</v>
      </c>
    </row>
    <row r="628" ht="30" spans="1:4">
      <c r="A628" s="1" t="s">
        <v>1217</v>
      </c>
      <c r="B628" s="12" t="s">
        <v>1218</v>
      </c>
      <c r="C628" s="2">
        <v>100</v>
      </c>
      <c r="D628" s="1">
        <v>100</v>
      </c>
    </row>
    <row r="629" ht="30" spans="1:4">
      <c r="A629" s="1" t="s">
        <v>1219</v>
      </c>
      <c r="B629" s="12" t="s">
        <v>1220</v>
      </c>
      <c r="C629" s="2">
        <v>100</v>
      </c>
      <c r="D629" s="1">
        <v>100</v>
      </c>
    </row>
    <row r="630" ht="30" spans="1:4">
      <c r="A630" s="1" t="s">
        <v>1221</v>
      </c>
      <c r="B630" s="12" t="s">
        <v>1222</v>
      </c>
      <c r="C630" s="2">
        <v>100</v>
      </c>
      <c r="D630" s="1">
        <v>100</v>
      </c>
    </row>
    <row r="631" ht="30" spans="1:4">
      <c r="A631" s="1" t="s">
        <v>1223</v>
      </c>
      <c r="B631" s="12" t="s">
        <v>1224</v>
      </c>
      <c r="C631" s="2">
        <v>100</v>
      </c>
      <c r="D631" s="1">
        <v>100</v>
      </c>
    </row>
    <row r="632" ht="30" spans="1:4">
      <c r="A632" s="1" t="s">
        <v>1225</v>
      </c>
      <c r="B632" s="12" t="s">
        <v>1226</v>
      </c>
      <c r="C632" s="2">
        <v>100</v>
      </c>
      <c r="D632" s="1">
        <v>100</v>
      </c>
    </row>
    <row r="633" ht="30" spans="1:4">
      <c r="A633" s="1" t="s">
        <v>1227</v>
      </c>
      <c r="B633" s="12" t="s">
        <v>1228</v>
      </c>
      <c r="C633" s="2">
        <v>100</v>
      </c>
      <c r="D633" s="1">
        <v>100</v>
      </c>
    </row>
    <row r="634" ht="30" spans="1:4">
      <c r="A634" s="1" t="s">
        <v>1229</v>
      </c>
      <c r="B634" s="12" t="s">
        <v>1230</v>
      </c>
      <c r="C634" s="2">
        <v>100</v>
      </c>
      <c r="D634" s="1">
        <v>100</v>
      </c>
    </row>
    <row r="635" ht="30" spans="1:4">
      <c r="A635" s="1" t="s">
        <v>1231</v>
      </c>
      <c r="B635" s="12" t="s">
        <v>1232</v>
      </c>
      <c r="C635" s="2">
        <v>100</v>
      </c>
      <c r="D635" s="1">
        <v>100</v>
      </c>
    </row>
    <row r="636" spans="1:4">
      <c r="A636" s="1" t="s">
        <v>1233</v>
      </c>
      <c r="B636" s="12" t="s">
        <v>1234</v>
      </c>
      <c r="C636" s="2">
        <v>100</v>
      </c>
      <c r="D636" s="1">
        <v>100</v>
      </c>
    </row>
    <row r="637" ht="30" spans="1:4">
      <c r="A637" s="1" t="s">
        <v>1235</v>
      </c>
      <c r="B637" s="12" t="s">
        <v>1236</v>
      </c>
      <c r="C637" s="2">
        <v>100</v>
      </c>
      <c r="D637" s="1">
        <v>100</v>
      </c>
    </row>
    <row r="638" ht="30" spans="1:4">
      <c r="A638" s="1" t="s">
        <v>1237</v>
      </c>
      <c r="B638" s="12" t="s">
        <v>1238</v>
      </c>
      <c r="C638" s="2">
        <v>100</v>
      </c>
      <c r="D638" s="1">
        <v>100</v>
      </c>
    </row>
    <row r="639" ht="30" spans="1:4">
      <c r="A639" s="1" t="s">
        <v>1239</v>
      </c>
      <c r="B639" s="12" t="s">
        <v>1240</v>
      </c>
      <c r="C639" s="2">
        <v>100</v>
      </c>
      <c r="D639" s="1">
        <v>100</v>
      </c>
    </row>
    <row r="640" ht="30" spans="1:4">
      <c r="A640" s="1" t="s">
        <v>1241</v>
      </c>
      <c r="B640" s="12" t="s">
        <v>1242</v>
      </c>
      <c r="C640" s="2">
        <v>100</v>
      </c>
      <c r="D640" s="1">
        <v>100</v>
      </c>
    </row>
    <row r="641" ht="30" spans="1:4">
      <c r="A641" s="1" t="s">
        <v>1243</v>
      </c>
      <c r="B641" s="12" t="s">
        <v>1244</v>
      </c>
      <c r="C641" s="2">
        <v>100</v>
      </c>
      <c r="D641" s="1">
        <v>100</v>
      </c>
    </row>
    <row r="642" spans="1:4">
      <c r="A642" s="1" t="s">
        <v>1245</v>
      </c>
      <c r="B642" s="12" t="s">
        <v>1246</v>
      </c>
      <c r="C642" s="2">
        <v>100</v>
      </c>
      <c r="D642" s="1">
        <v>100</v>
      </c>
    </row>
    <row r="643" spans="1:4">
      <c r="A643" s="1" t="s">
        <v>1247</v>
      </c>
      <c r="B643" s="12" t="s">
        <v>1248</v>
      </c>
      <c r="C643" s="2">
        <v>100</v>
      </c>
      <c r="D643" s="1">
        <v>100</v>
      </c>
    </row>
    <row r="644" spans="1:4">
      <c r="A644" s="1" t="s">
        <v>1249</v>
      </c>
      <c r="B644" s="12" t="s">
        <v>1250</v>
      </c>
      <c r="C644" s="2">
        <v>100</v>
      </c>
      <c r="D644" s="1">
        <v>100</v>
      </c>
    </row>
    <row r="645" ht="30" spans="1:4">
      <c r="A645" s="1" t="s">
        <v>1251</v>
      </c>
      <c r="B645" s="12" t="s">
        <v>1252</v>
      </c>
      <c r="C645" s="2">
        <v>100</v>
      </c>
      <c r="D645" s="1">
        <v>100</v>
      </c>
    </row>
    <row r="646" ht="30" spans="1:4">
      <c r="A646" s="1" t="s">
        <v>1253</v>
      </c>
      <c r="B646" s="12" t="s">
        <v>1254</v>
      </c>
      <c r="C646" s="2">
        <v>100</v>
      </c>
      <c r="D646" s="1">
        <v>100</v>
      </c>
    </row>
    <row r="647" ht="30" spans="1:4">
      <c r="A647" s="1" t="s">
        <v>1255</v>
      </c>
      <c r="B647" s="12" t="s">
        <v>1256</v>
      </c>
      <c r="C647" s="2">
        <v>100</v>
      </c>
      <c r="D647" s="1">
        <v>100</v>
      </c>
    </row>
    <row r="648" ht="30" spans="1:4">
      <c r="A648" s="1" t="s">
        <v>1257</v>
      </c>
      <c r="B648" s="12" t="s">
        <v>1258</v>
      </c>
      <c r="C648" s="2">
        <v>100</v>
      </c>
      <c r="D648" s="1">
        <v>100</v>
      </c>
    </row>
    <row r="649" ht="30" spans="1:4">
      <c r="A649" s="1" t="s">
        <v>1259</v>
      </c>
      <c r="B649" s="12" t="s">
        <v>1260</v>
      </c>
      <c r="C649" s="2">
        <v>100</v>
      </c>
      <c r="D649" s="1">
        <v>100</v>
      </c>
    </row>
    <row r="650" ht="30" spans="1:4">
      <c r="A650" s="1" t="s">
        <v>1261</v>
      </c>
      <c r="B650" s="12" t="s">
        <v>1262</v>
      </c>
      <c r="C650" s="2">
        <v>100</v>
      </c>
      <c r="D650" s="1">
        <v>100</v>
      </c>
    </row>
    <row r="651" ht="30" spans="1:4">
      <c r="A651" s="1" t="s">
        <v>1263</v>
      </c>
      <c r="B651" s="12" t="s">
        <v>1264</v>
      </c>
      <c r="C651" s="2">
        <v>100</v>
      </c>
      <c r="D651" s="1">
        <v>100</v>
      </c>
    </row>
    <row r="652" ht="30" spans="1:4">
      <c r="A652" s="1" t="s">
        <v>1265</v>
      </c>
      <c r="B652" s="12" t="s">
        <v>1266</v>
      </c>
      <c r="C652" s="2">
        <v>100</v>
      </c>
      <c r="D652" s="1">
        <v>100</v>
      </c>
    </row>
    <row r="653" ht="30" spans="1:4">
      <c r="A653" s="1" t="s">
        <v>1267</v>
      </c>
      <c r="B653" s="12" t="s">
        <v>1268</v>
      </c>
      <c r="C653" s="2">
        <v>100</v>
      </c>
      <c r="D653" s="1">
        <v>100</v>
      </c>
    </row>
    <row r="654" ht="30" spans="1:4">
      <c r="A654" s="1" t="s">
        <v>1269</v>
      </c>
      <c r="B654" s="12" t="s">
        <v>1270</v>
      </c>
      <c r="C654" s="2">
        <v>100</v>
      </c>
      <c r="D654" s="1">
        <v>100</v>
      </c>
    </row>
    <row r="655" ht="30" spans="1:4">
      <c r="A655" s="1" t="s">
        <v>1271</v>
      </c>
      <c r="B655" s="12" t="s">
        <v>1272</v>
      </c>
      <c r="C655" s="2">
        <v>100</v>
      </c>
      <c r="D655" s="1">
        <v>100</v>
      </c>
    </row>
    <row r="656" ht="30" spans="1:4">
      <c r="A656" s="1" t="s">
        <v>1273</v>
      </c>
      <c r="B656" s="12" t="s">
        <v>1274</v>
      </c>
      <c r="C656" s="2">
        <v>100</v>
      </c>
      <c r="D656" s="1">
        <v>100</v>
      </c>
    </row>
    <row r="657" ht="30" spans="1:4">
      <c r="A657" s="1" t="s">
        <v>1275</v>
      </c>
      <c r="B657" s="12" t="s">
        <v>1276</v>
      </c>
      <c r="C657" s="2">
        <v>100</v>
      </c>
      <c r="D657" s="1">
        <v>100</v>
      </c>
    </row>
    <row r="658" ht="30" spans="1:4">
      <c r="A658" s="1" t="s">
        <v>1277</v>
      </c>
      <c r="B658" s="12" t="s">
        <v>1278</v>
      </c>
      <c r="C658" s="2">
        <v>100</v>
      </c>
      <c r="D658" s="1">
        <v>100</v>
      </c>
    </row>
    <row r="659" ht="30" spans="1:4">
      <c r="A659" s="1" t="s">
        <v>1279</v>
      </c>
      <c r="B659" s="12" t="s">
        <v>1280</v>
      </c>
      <c r="C659" s="2">
        <v>100</v>
      </c>
      <c r="D659" s="1">
        <v>100</v>
      </c>
    </row>
    <row r="660" ht="30" spans="1:4">
      <c r="A660" s="1" t="s">
        <v>1281</v>
      </c>
      <c r="B660" s="12" t="s">
        <v>1276</v>
      </c>
      <c r="C660" s="2">
        <v>100</v>
      </c>
      <c r="D660" s="1">
        <v>100</v>
      </c>
    </row>
    <row r="661" ht="30" spans="1:4">
      <c r="A661" s="1" t="s">
        <v>1282</v>
      </c>
      <c r="B661" s="12" t="s">
        <v>1283</v>
      </c>
      <c r="C661" s="2">
        <v>100</v>
      </c>
      <c r="D661" s="1">
        <v>100</v>
      </c>
    </row>
    <row r="662" ht="30" spans="1:4">
      <c r="A662" s="1" t="s">
        <v>1284</v>
      </c>
      <c r="B662" s="12" t="s">
        <v>1270</v>
      </c>
      <c r="C662" s="2">
        <v>100</v>
      </c>
      <c r="D662" s="1">
        <v>100</v>
      </c>
    </row>
    <row r="663" ht="30" spans="1:4">
      <c r="A663" s="1" t="s">
        <v>1285</v>
      </c>
      <c r="B663" s="12" t="s">
        <v>1286</v>
      </c>
      <c r="C663" s="2">
        <v>100</v>
      </c>
      <c r="D663" s="1">
        <v>100</v>
      </c>
    </row>
    <row r="664" spans="1:4">
      <c r="A664" s="1" t="s">
        <v>1287</v>
      </c>
      <c r="B664" s="12" t="s">
        <v>1288</v>
      </c>
      <c r="C664" s="2">
        <v>100</v>
      </c>
      <c r="D664" s="1">
        <v>100</v>
      </c>
    </row>
    <row r="665" spans="1:4">
      <c r="A665" s="1" t="s">
        <v>1289</v>
      </c>
      <c r="B665" s="12" t="s">
        <v>1290</v>
      </c>
      <c r="C665" s="2">
        <v>100</v>
      </c>
      <c r="D665" s="1">
        <v>100</v>
      </c>
    </row>
    <row r="666" ht="30" spans="1:4">
      <c r="A666" s="1" t="s">
        <v>1291</v>
      </c>
      <c r="B666" s="12" t="s">
        <v>1292</v>
      </c>
      <c r="C666" s="2">
        <v>100</v>
      </c>
      <c r="D666" s="1">
        <v>100</v>
      </c>
    </row>
    <row r="667" ht="30" spans="1:4">
      <c r="A667" s="1" t="s">
        <v>1293</v>
      </c>
      <c r="B667" s="12" t="s">
        <v>1294</v>
      </c>
      <c r="C667" s="2">
        <v>100</v>
      </c>
      <c r="D667" s="1">
        <v>100</v>
      </c>
    </row>
    <row r="668" ht="30" spans="1:4">
      <c r="A668" s="1" t="s">
        <v>1295</v>
      </c>
      <c r="B668" s="12" t="s">
        <v>1296</v>
      </c>
      <c r="C668" s="2">
        <v>100</v>
      </c>
      <c r="D668" s="1">
        <v>100</v>
      </c>
    </row>
    <row r="669" ht="30" spans="1:4">
      <c r="A669" s="1" t="s">
        <v>1297</v>
      </c>
      <c r="B669" s="12" t="s">
        <v>1232</v>
      </c>
      <c r="C669" s="2">
        <v>100</v>
      </c>
      <c r="D669" s="1">
        <v>100</v>
      </c>
    </row>
    <row r="670" ht="30" spans="1:4">
      <c r="A670" s="1" t="s">
        <v>1298</v>
      </c>
      <c r="B670" s="12" t="s">
        <v>1268</v>
      </c>
      <c r="C670" s="2">
        <v>100</v>
      </c>
      <c r="D670" s="1">
        <v>100</v>
      </c>
    </row>
    <row r="671" ht="30" spans="1:4">
      <c r="A671" s="1" t="s">
        <v>1299</v>
      </c>
      <c r="B671" s="12" t="s">
        <v>1272</v>
      </c>
      <c r="C671" s="2">
        <v>100</v>
      </c>
      <c r="D671" s="1">
        <v>100</v>
      </c>
    </row>
    <row r="672" ht="30" spans="1:4">
      <c r="A672" s="1" t="s">
        <v>1300</v>
      </c>
      <c r="B672" s="12" t="s">
        <v>1301</v>
      </c>
      <c r="C672" s="2">
        <v>100</v>
      </c>
      <c r="D672" s="1">
        <v>100</v>
      </c>
    </row>
    <row r="673" ht="30" spans="1:4">
      <c r="A673" s="1" t="s">
        <v>1302</v>
      </c>
      <c r="B673" s="12" t="s">
        <v>1303</v>
      </c>
      <c r="C673" s="2">
        <v>100</v>
      </c>
      <c r="D673" s="1">
        <v>100</v>
      </c>
    </row>
    <row r="674" ht="30" spans="1:4">
      <c r="A674" s="1" t="s">
        <v>1304</v>
      </c>
      <c r="B674" s="12" t="s">
        <v>1305</v>
      </c>
      <c r="C674" s="2">
        <v>100</v>
      </c>
      <c r="D674" s="1">
        <v>100</v>
      </c>
    </row>
    <row r="675" ht="30" spans="1:4">
      <c r="A675" s="1" t="s">
        <v>1306</v>
      </c>
      <c r="B675" s="12" t="s">
        <v>1307</v>
      </c>
      <c r="C675" s="2">
        <v>100</v>
      </c>
      <c r="D675" s="1">
        <v>100</v>
      </c>
    </row>
    <row r="676" ht="30" spans="1:4">
      <c r="A676" s="1" t="s">
        <v>1308</v>
      </c>
      <c r="B676" s="12" t="s">
        <v>1309</v>
      </c>
      <c r="C676" s="2">
        <v>100</v>
      </c>
      <c r="D676" s="1">
        <v>100</v>
      </c>
    </row>
    <row r="677" ht="30" spans="1:4">
      <c r="A677" s="1" t="s">
        <v>1310</v>
      </c>
      <c r="B677" s="12" t="s">
        <v>1311</v>
      </c>
      <c r="C677" s="2">
        <v>100</v>
      </c>
      <c r="D677" s="1">
        <v>100</v>
      </c>
    </row>
    <row r="678" ht="30" spans="1:4">
      <c r="A678" s="1" t="s">
        <v>1312</v>
      </c>
      <c r="B678" s="12" t="s">
        <v>1313</v>
      </c>
      <c r="C678" s="2">
        <v>100</v>
      </c>
      <c r="D678" s="1">
        <v>100</v>
      </c>
    </row>
    <row r="679" ht="30" spans="1:4">
      <c r="A679" s="1" t="s">
        <v>1314</v>
      </c>
      <c r="B679" s="12" t="s">
        <v>1315</v>
      </c>
      <c r="C679" s="2">
        <v>100</v>
      </c>
      <c r="D679" s="1">
        <v>100</v>
      </c>
    </row>
    <row r="680" ht="30" spans="1:4">
      <c r="A680" s="1" t="s">
        <v>1316</v>
      </c>
      <c r="B680" s="12" t="s">
        <v>1317</v>
      </c>
      <c r="C680" s="2">
        <v>100</v>
      </c>
      <c r="D680" s="1">
        <v>100</v>
      </c>
    </row>
    <row r="681" ht="30" spans="1:4">
      <c r="A681" s="1" t="s">
        <v>1318</v>
      </c>
      <c r="B681" s="12" t="s">
        <v>1319</v>
      </c>
      <c r="C681" s="2">
        <v>100</v>
      </c>
      <c r="D681" s="1">
        <v>100</v>
      </c>
    </row>
    <row r="682" ht="30" spans="1:4">
      <c r="A682" s="1" t="s">
        <v>1320</v>
      </c>
      <c r="B682" s="12" t="s">
        <v>1321</v>
      </c>
      <c r="C682" s="2">
        <v>100</v>
      </c>
      <c r="D682" s="1">
        <v>100</v>
      </c>
    </row>
    <row r="683" ht="30" spans="1:4">
      <c r="A683" s="1" t="s">
        <v>1322</v>
      </c>
      <c r="B683" s="12" t="s">
        <v>1296</v>
      </c>
      <c r="C683" s="2">
        <v>100</v>
      </c>
      <c r="D683" s="1">
        <v>100</v>
      </c>
    </row>
    <row r="684" ht="30" spans="1:4">
      <c r="A684" s="1" t="s">
        <v>1323</v>
      </c>
      <c r="B684" s="12" t="s">
        <v>1324</v>
      </c>
      <c r="C684" s="2">
        <v>100</v>
      </c>
      <c r="D684" s="1">
        <v>100</v>
      </c>
    </row>
    <row r="685" ht="30" spans="1:4">
      <c r="A685" s="1" t="s">
        <v>1325</v>
      </c>
      <c r="B685" s="12" t="s">
        <v>1326</v>
      </c>
      <c r="C685" s="2">
        <v>100</v>
      </c>
      <c r="D685" s="1">
        <v>100</v>
      </c>
    </row>
    <row r="686" ht="30" spans="1:4">
      <c r="A686" s="1" t="s">
        <v>1327</v>
      </c>
      <c r="B686" s="12" t="s">
        <v>1328</v>
      </c>
      <c r="C686" s="2">
        <v>100</v>
      </c>
      <c r="D686" s="1">
        <v>100</v>
      </c>
    </row>
    <row r="687" ht="30" spans="1:4">
      <c r="A687" s="1" t="s">
        <v>1329</v>
      </c>
      <c r="B687" s="12" t="s">
        <v>1330</v>
      </c>
      <c r="C687" s="2">
        <v>100</v>
      </c>
      <c r="D687" s="1">
        <v>100</v>
      </c>
    </row>
    <row r="688" ht="30" spans="1:4">
      <c r="A688" s="1" t="s">
        <v>1331</v>
      </c>
      <c r="B688" s="12" t="s">
        <v>1296</v>
      </c>
      <c r="C688" s="2">
        <v>100</v>
      </c>
      <c r="D688" s="1">
        <v>100</v>
      </c>
    </row>
    <row r="689" ht="30" spans="1:4">
      <c r="A689" s="1" t="s">
        <v>1332</v>
      </c>
      <c r="B689" s="12" t="s">
        <v>1296</v>
      </c>
      <c r="C689" s="2">
        <v>100</v>
      </c>
      <c r="D689" s="1">
        <v>100</v>
      </c>
    </row>
    <row r="690" ht="30" spans="1:4">
      <c r="A690" s="1" t="s">
        <v>1333</v>
      </c>
      <c r="B690" s="12" t="s">
        <v>1296</v>
      </c>
      <c r="C690" s="2">
        <v>100</v>
      </c>
      <c r="D690" s="1">
        <v>100</v>
      </c>
    </row>
    <row r="691" ht="30" spans="1:4">
      <c r="A691" s="1" t="s">
        <v>1334</v>
      </c>
      <c r="B691" s="12" t="s">
        <v>1296</v>
      </c>
      <c r="C691" s="2">
        <v>100</v>
      </c>
      <c r="D691" s="1">
        <v>100</v>
      </c>
    </row>
    <row r="692" ht="30" spans="1:4">
      <c r="A692" s="1" t="s">
        <v>1335</v>
      </c>
      <c r="B692" s="12" t="s">
        <v>1336</v>
      </c>
      <c r="C692" s="2">
        <v>100</v>
      </c>
      <c r="D692" s="1">
        <v>100</v>
      </c>
    </row>
    <row r="693" ht="30" spans="1:4">
      <c r="A693" s="1" t="s">
        <v>1337</v>
      </c>
      <c r="B693" s="12" t="s">
        <v>1338</v>
      </c>
      <c r="C693" s="2">
        <v>100</v>
      </c>
      <c r="D693" s="1">
        <v>100</v>
      </c>
    </row>
    <row r="694" ht="30" spans="1:4">
      <c r="A694" s="1" t="s">
        <v>1339</v>
      </c>
      <c r="B694" s="12" t="s">
        <v>1262</v>
      </c>
      <c r="C694" s="2">
        <v>100</v>
      </c>
      <c r="D694" s="1">
        <v>100</v>
      </c>
    </row>
    <row r="695" spans="1:4">
      <c r="A695" s="1" t="s">
        <v>1340</v>
      </c>
      <c r="B695" s="12" t="s">
        <v>1341</v>
      </c>
      <c r="C695" s="2">
        <v>100</v>
      </c>
      <c r="D695" s="1">
        <v>100</v>
      </c>
    </row>
    <row r="696" spans="1:4">
      <c r="A696" s="1" t="s">
        <v>1342</v>
      </c>
      <c r="B696" s="12" t="s">
        <v>1343</v>
      </c>
      <c r="C696" s="2">
        <v>100</v>
      </c>
      <c r="D696" s="1">
        <v>100</v>
      </c>
    </row>
    <row r="697" spans="1:4">
      <c r="A697" s="1" t="s">
        <v>1344</v>
      </c>
      <c r="B697" s="12" t="s">
        <v>1345</v>
      </c>
      <c r="C697" s="2">
        <v>648</v>
      </c>
      <c r="D697" s="1">
        <v>648</v>
      </c>
    </row>
    <row r="698" ht="30" spans="1:4">
      <c r="A698" s="1" t="s">
        <v>1346</v>
      </c>
      <c r="B698" s="12" t="s">
        <v>1347</v>
      </c>
      <c r="C698" s="2">
        <v>3</v>
      </c>
      <c r="D698" s="1">
        <v>3</v>
      </c>
    </row>
    <row r="699" ht="30" spans="1:4">
      <c r="A699" s="1" t="s">
        <v>1348</v>
      </c>
      <c r="B699" s="12" t="s">
        <v>1349</v>
      </c>
      <c r="C699" s="2">
        <v>10</v>
      </c>
      <c r="D699" s="1">
        <v>10</v>
      </c>
    </row>
    <row r="700" ht="30" spans="1:4">
      <c r="A700" s="1" t="s">
        <v>1350</v>
      </c>
      <c r="B700" s="12" t="s">
        <v>1351</v>
      </c>
      <c r="C700" s="2">
        <v>1</v>
      </c>
      <c r="D700" s="1">
        <v>1</v>
      </c>
    </row>
    <row r="701" ht="30" spans="1:4">
      <c r="A701" s="1" t="s">
        <v>1352</v>
      </c>
      <c r="B701" s="12" t="s">
        <v>1353</v>
      </c>
      <c r="C701" s="2">
        <v>8.1</v>
      </c>
      <c r="D701" s="1">
        <f>648/80</f>
        <v>8.1</v>
      </c>
    </row>
    <row r="702" ht="30" spans="1:4">
      <c r="A702" s="1" t="s">
        <v>1354</v>
      </c>
      <c r="B702" s="12" t="s">
        <v>1355</v>
      </c>
      <c r="C702" s="2">
        <v>0.001</v>
      </c>
      <c r="D702" s="1">
        <v>0.001</v>
      </c>
    </row>
    <row r="703" ht="30" spans="1:4">
      <c r="A703" s="1" t="s">
        <v>1356</v>
      </c>
      <c r="B703" s="12" t="s">
        <v>1357</v>
      </c>
      <c r="C703" s="2">
        <v>0.0005</v>
      </c>
      <c r="D703" s="1">
        <f>1/2000</f>
        <v>0.0005</v>
      </c>
    </row>
    <row r="704" ht="30" spans="1:4">
      <c r="A704" s="1" t="s">
        <v>1358</v>
      </c>
      <c r="B704" s="12" t="s">
        <v>1359</v>
      </c>
      <c r="C704" s="2">
        <v>1</v>
      </c>
      <c r="D704" s="1">
        <v>1</v>
      </c>
    </row>
    <row r="705" ht="30" spans="1:4">
      <c r="A705" s="1" t="s">
        <v>1360</v>
      </c>
      <c r="B705" s="12" t="s">
        <v>1361</v>
      </c>
      <c r="C705" s="2">
        <v>1</v>
      </c>
      <c r="D705" s="1">
        <v>1</v>
      </c>
    </row>
    <row r="706" ht="30" spans="1:4">
      <c r="A706" s="1" t="s">
        <v>1362</v>
      </c>
      <c r="B706" s="12" t="s">
        <v>1363</v>
      </c>
      <c r="C706" s="2">
        <v>1</v>
      </c>
      <c r="D706" s="1">
        <v>1</v>
      </c>
    </row>
    <row r="707" ht="30" spans="1:4">
      <c r="A707" s="1" t="s">
        <v>1364</v>
      </c>
      <c r="B707" s="12" t="s">
        <v>1365</v>
      </c>
      <c r="C707" s="2">
        <v>8.1</v>
      </c>
      <c r="D707" s="1">
        <v>8.1</v>
      </c>
    </row>
    <row r="708" spans="1:4">
      <c r="A708" s="1" t="s">
        <v>1366</v>
      </c>
      <c r="B708" s="12" t="s">
        <v>1367</v>
      </c>
      <c r="C708" s="2">
        <v>1</v>
      </c>
      <c r="D708" s="1">
        <v>1</v>
      </c>
    </row>
    <row r="709" spans="1:4">
      <c r="A709" s="1" t="s">
        <v>1368</v>
      </c>
      <c r="B709" s="12" t="s">
        <v>1369</v>
      </c>
      <c r="C709" s="2">
        <v>1</v>
      </c>
      <c r="D709" s="1">
        <v>1</v>
      </c>
    </row>
    <row r="710" spans="1:4">
      <c r="A710" s="1" t="s">
        <v>1370</v>
      </c>
      <c r="B710" s="12" t="s">
        <v>1371</v>
      </c>
      <c r="C710" s="2">
        <v>1</v>
      </c>
      <c r="D710" s="1">
        <v>1</v>
      </c>
    </row>
    <row r="711" spans="1:4">
      <c r="A711" s="1" t="s">
        <v>1372</v>
      </c>
      <c r="B711" s="12" t="s">
        <v>1373</v>
      </c>
      <c r="C711" s="2">
        <v>1</v>
      </c>
      <c r="D711" s="1">
        <v>1</v>
      </c>
    </row>
    <row r="712" spans="1:4">
      <c r="A712" s="1" t="s">
        <v>1374</v>
      </c>
      <c r="B712" s="12" t="s">
        <v>1375</v>
      </c>
      <c r="C712" s="2">
        <v>1</v>
      </c>
      <c r="D712" s="1">
        <v>1</v>
      </c>
    </row>
    <row r="713" spans="1:4">
      <c r="A713" s="1" t="s">
        <v>1376</v>
      </c>
      <c r="B713" s="12" t="s">
        <v>1377</v>
      </c>
      <c r="C713" s="2">
        <v>1</v>
      </c>
      <c r="D713" s="1">
        <v>1</v>
      </c>
    </row>
    <row r="714" spans="1:4">
      <c r="A714" s="1" t="s">
        <v>1378</v>
      </c>
      <c r="B714" s="12" t="s">
        <v>1379</v>
      </c>
      <c r="C714" s="2">
        <v>1</v>
      </c>
      <c r="D714" s="1">
        <v>1</v>
      </c>
    </row>
    <row r="715" spans="1:4">
      <c r="A715" s="1" t="s">
        <v>1380</v>
      </c>
      <c r="B715" s="12" t="s">
        <v>1381</v>
      </c>
      <c r="C715" s="2">
        <v>1</v>
      </c>
      <c r="D715" s="1">
        <v>1</v>
      </c>
    </row>
    <row r="716" spans="1:4">
      <c r="A716" s="1" t="s">
        <v>1382</v>
      </c>
      <c r="B716" s="12" t="s">
        <v>1383</v>
      </c>
      <c r="C716" s="2">
        <v>1</v>
      </c>
      <c r="D716" s="1">
        <v>1</v>
      </c>
    </row>
    <row r="717" spans="1:4">
      <c r="A717" s="1" t="s">
        <v>1384</v>
      </c>
      <c r="B717" s="12" t="s">
        <v>1385</v>
      </c>
      <c r="C717" s="2">
        <v>1</v>
      </c>
      <c r="D717" s="1">
        <v>1</v>
      </c>
    </row>
    <row r="718" spans="1:4">
      <c r="A718" s="1" t="s">
        <v>1386</v>
      </c>
      <c r="B718" s="12" t="s">
        <v>1387</v>
      </c>
      <c r="C718" s="2">
        <v>1</v>
      </c>
      <c r="D718" s="1">
        <v>1</v>
      </c>
    </row>
    <row r="719" spans="1:4">
      <c r="A719" s="1" t="s">
        <v>1388</v>
      </c>
      <c r="B719" s="12" t="s">
        <v>1389</v>
      </c>
      <c r="C719" s="2">
        <v>1</v>
      </c>
      <c r="D719" s="1">
        <v>1</v>
      </c>
    </row>
    <row r="720" spans="1:4">
      <c r="A720" s="1" t="s">
        <v>1390</v>
      </c>
      <c r="B720" s="12" t="s">
        <v>1391</v>
      </c>
      <c r="C720" s="2">
        <v>1</v>
      </c>
      <c r="D720" s="1">
        <v>1</v>
      </c>
    </row>
    <row r="721" spans="1:4">
      <c r="A721" s="1" t="s">
        <v>1392</v>
      </c>
      <c r="B721" s="12" t="s">
        <v>1393</v>
      </c>
      <c r="C721" s="2">
        <v>1</v>
      </c>
      <c r="D721" s="1">
        <v>1</v>
      </c>
    </row>
    <row r="722" ht="30" spans="1:4">
      <c r="A722" s="1" t="s">
        <v>1394</v>
      </c>
      <c r="B722" s="12" t="s">
        <v>1395</v>
      </c>
      <c r="C722" s="2">
        <v>0.001</v>
      </c>
      <c r="D722" s="1">
        <v>0.001</v>
      </c>
    </row>
    <row r="723" ht="30" spans="1:4">
      <c r="A723" s="1" t="s">
        <v>1396</v>
      </c>
      <c r="B723" s="12" t="s">
        <v>1397</v>
      </c>
      <c r="C723" s="2">
        <v>0.001</v>
      </c>
      <c r="D723" s="1">
        <v>0.001</v>
      </c>
    </row>
    <row r="724" spans="1:4">
      <c r="A724" s="1" t="s">
        <v>1398</v>
      </c>
      <c r="B724" s="12" t="s">
        <v>1399</v>
      </c>
      <c r="C724" s="2">
        <v>0.001</v>
      </c>
      <c r="D724" s="1">
        <v>0.001</v>
      </c>
    </row>
    <row r="725" spans="1:4">
      <c r="A725" s="1" t="s">
        <v>1400</v>
      </c>
      <c r="B725" s="12" t="s">
        <v>1401</v>
      </c>
      <c r="C725" s="2">
        <v>0.001</v>
      </c>
      <c r="D725" s="1">
        <v>0.001</v>
      </c>
    </row>
    <row r="726" ht="30" spans="1:4">
      <c r="A726" s="1" t="s">
        <v>1402</v>
      </c>
      <c r="B726" s="12" t="s">
        <v>1403</v>
      </c>
      <c r="C726" s="2">
        <v>0.001</v>
      </c>
      <c r="D726" s="1">
        <v>0.001</v>
      </c>
    </row>
    <row r="727" spans="1:4">
      <c r="A727" s="1" t="s">
        <v>1404</v>
      </c>
      <c r="B727" s="12" t="s">
        <v>1405</v>
      </c>
      <c r="C727" s="2">
        <v>0.001</v>
      </c>
      <c r="D727" s="1">
        <v>0.001</v>
      </c>
    </row>
    <row r="728" ht="30" spans="1:4">
      <c r="A728" s="1" t="s">
        <v>1406</v>
      </c>
      <c r="B728" s="12" t="s">
        <v>1407</v>
      </c>
      <c r="C728" s="2">
        <v>1</v>
      </c>
      <c r="D728" s="1">
        <v>1</v>
      </c>
    </row>
    <row r="729" ht="30" spans="1:4">
      <c r="A729" s="1" t="s">
        <v>1408</v>
      </c>
      <c r="B729" s="12" t="s">
        <v>1409</v>
      </c>
      <c r="C729" s="2">
        <v>1</v>
      </c>
      <c r="D729" s="1">
        <v>1</v>
      </c>
    </row>
    <row r="730" ht="30" spans="1:4">
      <c r="A730" s="1" t="s">
        <v>1410</v>
      </c>
      <c r="B730" s="12" t="s">
        <v>1411</v>
      </c>
      <c r="C730" s="2">
        <v>1</v>
      </c>
      <c r="D730" s="1">
        <v>1</v>
      </c>
    </row>
    <row r="731" ht="30" spans="1:4">
      <c r="A731" s="1" t="s">
        <v>1412</v>
      </c>
      <c r="B731" s="12" t="s">
        <v>1413</v>
      </c>
      <c r="C731" s="2">
        <v>1</v>
      </c>
      <c r="D731" s="1">
        <v>1</v>
      </c>
    </row>
    <row r="732" ht="30" spans="1:4">
      <c r="A732" s="1" t="s">
        <v>1414</v>
      </c>
      <c r="B732" s="12" t="s">
        <v>1415</v>
      </c>
      <c r="C732" s="2">
        <v>1</v>
      </c>
      <c r="D732" s="1">
        <v>1</v>
      </c>
    </row>
    <row r="733" ht="30" spans="1:4">
      <c r="A733" s="1" t="s">
        <v>1416</v>
      </c>
      <c r="B733" s="12" t="s">
        <v>1417</v>
      </c>
      <c r="C733" s="2">
        <v>1</v>
      </c>
      <c r="D733" s="1">
        <v>1</v>
      </c>
    </row>
    <row r="734" ht="30" spans="1:4">
      <c r="A734" s="1" t="s">
        <v>1418</v>
      </c>
      <c r="B734" s="12" t="s">
        <v>1419</v>
      </c>
      <c r="C734" s="2">
        <v>1</v>
      </c>
      <c r="D734" s="1">
        <v>1</v>
      </c>
    </row>
    <row r="735" ht="30" spans="1:4">
      <c r="A735" s="1" t="s">
        <v>1420</v>
      </c>
      <c r="B735" s="12" t="s">
        <v>1421</v>
      </c>
      <c r="C735" s="2">
        <v>1</v>
      </c>
      <c r="D735" s="1">
        <v>1</v>
      </c>
    </row>
    <row r="736" ht="30" spans="1:4">
      <c r="A736" s="1" t="s">
        <v>1422</v>
      </c>
      <c r="B736" s="12" t="s">
        <v>1423</v>
      </c>
      <c r="C736" s="2">
        <v>1</v>
      </c>
      <c r="D736" s="1">
        <v>1</v>
      </c>
    </row>
    <row r="737" ht="30" spans="1:4">
      <c r="A737" s="1" t="s">
        <v>1424</v>
      </c>
      <c r="B737" s="12" t="s">
        <v>1425</v>
      </c>
      <c r="C737" s="2">
        <v>1</v>
      </c>
      <c r="D737" s="1">
        <v>1</v>
      </c>
    </row>
    <row r="738" ht="30" spans="1:4">
      <c r="A738" s="1" t="s">
        <v>1426</v>
      </c>
      <c r="B738" s="12" t="s">
        <v>1427</v>
      </c>
      <c r="C738" s="2">
        <v>1</v>
      </c>
      <c r="D738" s="1">
        <v>1</v>
      </c>
    </row>
    <row r="739" ht="30" spans="1:4">
      <c r="A739" s="1" t="s">
        <v>1428</v>
      </c>
      <c r="B739" s="12" t="s">
        <v>1429</v>
      </c>
      <c r="C739" s="2">
        <v>1</v>
      </c>
      <c r="D739" s="1">
        <v>1</v>
      </c>
    </row>
    <row r="740" ht="30" spans="1:4">
      <c r="A740" s="1" t="s">
        <v>1430</v>
      </c>
      <c r="B740" s="12" t="s">
        <v>1431</v>
      </c>
      <c r="C740" s="2">
        <v>1</v>
      </c>
      <c r="D740" s="1">
        <v>1</v>
      </c>
    </row>
    <row r="741" ht="30" spans="1:4">
      <c r="A741" s="1" t="s">
        <v>1432</v>
      </c>
      <c r="B741" s="12" t="s">
        <v>1433</v>
      </c>
      <c r="C741" s="2">
        <v>68</v>
      </c>
      <c r="D741" s="1">
        <v>68</v>
      </c>
    </row>
    <row r="742" ht="30" spans="1:4">
      <c r="A742" s="1" t="s">
        <v>1434</v>
      </c>
      <c r="B742" s="12" t="s">
        <v>1435</v>
      </c>
      <c r="C742" s="2">
        <v>30</v>
      </c>
      <c r="D742" s="1">
        <v>30</v>
      </c>
    </row>
    <row r="743" ht="30" spans="1:4">
      <c r="A743" s="1" t="s">
        <v>1436</v>
      </c>
      <c r="B743" s="12" t="s">
        <v>1437</v>
      </c>
      <c r="C743" s="2">
        <v>9.8</v>
      </c>
      <c r="D743" s="1">
        <v>9.8</v>
      </c>
    </row>
    <row r="744" ht="30" spans="1:4">
      <c r="A744" s="1" t="s">
        <v>1438</v>
      </c>
      <c r="B744" s="12" t="s">
        <v>1439</v>
      </c>
      <c r="C744" s="2">
        <v>19.8</v>
      </c>
      <c r="D744" s="1">
        <v>19.8</v>
      </c>
    </row>
    <row r="745" spans="1:4">
      <c r="A745" s="1" t="s">
        <v>1440</v>
      </c>
      <c r="B745" s="12" t="s">
        <v>1441</v>
      </c>
      <c r="C745" s="2">
        <v>1</v>
      </c>
      <c r="D745" s="1">
        <v>1</v>
      </c>
    </row>
    <row r="746" spans="1:4">
      <c r="A746" s="1" t="s">
        <v>1442</v>
      </c>
      <c r="B746" s="12" t="s">
        <v>1443</v>
      </c>
      <c r="C746" s="2">
        <v>1</v>
      </c>
      <c r="D746" s="1">
        <v>1</v>
      </c>
    </row>
    <row r="747" ht="30" spans="1:4">
      <c r="A747" s="1" t="s">
        <v>1444</v>
      </c>
      <c r="B747" s="12" t="s">
        <v>1445</v>
      </c>
      <c r="C747" s="2">
        <v>1</v>
      </c>
      <c r="D747" s="1">
        <v>1</v>
      </c>
    </row>
    <row r="748" ht="30" spans="1:4">
      <c r="A748" s="1" t="s">
        <v>1446</v>
      </c>
      <c r="B748" s="12" t="s">
        <v>1447</v>
      </c>
      <c r="C748" s="2">
        <v>1</v>
      </c>
      <c r="D748" s="1">
        <v>1</v>
      </c>
    </row>
    <row r="749" spans="1:4">
      <c r="A749" s="1" t="s">
        <v>1448</v>
      </c>
      <c r="B749" s="12" t="s">
        <v>1449</v>
      </c>
      <c r="C749" s="2">
        <v>0.2</v>
      </c>
      <c r="D749" s="1">
        <v>0.2</v>
      </c>
    </row>
    <row r="750" spans="1:4">
      <c r="A750" s="1" t="s">
        <v>1450</v>
      </c>
      <c r="B750" s="12" t="s">
        <v>1451</v>
      </c>
      <c r="C750" s="2">
        <v>0.4</v>
      </c>
      <c r="D750" s="1">
        <v>0.4</v>
      </c>
    </row>
    <row r="751" spans="1:4">
      <c r="A751" s="1" t="s">
        <v>1452</v>
      </c>
      <c r="B751" s="12" t="s">
        <v>1453</v>
      </c>
      <c r="C751" s="2">
        <v>0.6</v>
      </c>
      <c r="D751" s="1">
        <v>0.6</v>
      </c>
    </row>
    <row r="752" spans="1:4">
      <c r="A752" s="1" t="s">
        <v>1454</v>
      </c>
      <c r="B752" s="12" t="s">
        <v>1455</v>
      </c>
      <c r="C752" s="2">
        <v>0.8</v>
      </c>
      <c r="D752" s="1">
        <v>0.8</v>
      </c>
    </row>
    <row r="753" spans="1:4">
      <c r="A753" s="1" t="s">
        <v>1456</v>
      </c>
      <c r="B753" s="12" t="s">
        <v>1457</v>
      </c>
      <c r="C753" s="2">
        <v>0.1</v>
      </c>
      <c r="D753" s="1">
        <v>0.1</v>
      </c>
    </row>
    <row r="754" ht="30" spans="1:4">
      <c r="A754" s="1" t="s">
        <v>1458</v>
      </c>
      <c r="B754" s="12" t="s">
        <v>1459</v>
      </c>
      <c r="C754" s="2">
        <v>0.0005</v>
      </c>
      <c r="D754" s="1">
        <f>1/2000</f>
        <v>0.0005</v>
      </c>
    </row>
    <row r="755" ht="30" spans="1:4">
      <c r="A755" s="1" t="s">
        <v>1460</v>
      </c>
      <c r="B755" s="12" t="s">
        <v>1461</v>
      </c>
      <c r="C755" s="2">
        <v>0.0005</v>
      </c>
      <c r="D755" s="1">
        <f t="shared" ref="D755:D765" si="1">1/2000</f>
        <v>0.0005</v>
      </c>
    </row>
    <row r="756" ht="30" spans="1:4">
      <c r="A756" s="1" t="s">
        <v>1462</v>
      </c>
      <c r="B756" s="12" t="s">
        <v>1463</v>
      </c>
      <c r="C756" s="2">
        <v>0.0005</v>
      </c>
      <c r="D756" s="1">
        <f t="shared" si="1"/>
        <v>0.0005</v>
      </c>
    </row>
    <row r="757" spans="1:4">
      <c r="A757" s="1" t="s">
        <v>1464</v>
      </c>
      <c r="B757" s="12" t="s">
        <v>1465</v>
      </c>
      <c r="C757" s="2">
        <v>0.0005</v>
      </c>
      <c r="D757" s="1">
        <f t="shared" si="1"/>
        <v>0.0005</v>
      </c>
    </row>
    <row r="758" spans="1:4">
      <c r="A758" s="1" t="s">
        <v>1466</v>
      </c>
      <c r="B758" s="12" t="s">
        <v>1467</v>
      </c>
      <c r="C758" s="2">
        <v>0.0005</v>
      </c>
      <c r="D758" s="1">
        <f t="shared" si="1"/>
        <v>0.0005</v>
      </c>
    </row>
    <row r="759" spans="1:4">
      <c r="A759" s="1" t="s">
        <v>1468</v>
      </c>
      <c r="B759" s="12" t="s">
        <v>1469</v>
      </c>
      <c r="C759" s="2">
        <v>0.0005</v>
      </c>
      <c r="D759" s="1">
        <f t="shared" si="1"/>
        <v>0.0005</v>
      </c>
    </row>
    <row r="760" spans="1:4">
      <c r="A760" s="1" t="s">
        <v>1470</v>
      </c>
      <c r="B760" s="12" t="s">
        <v>1471</v>
      </c>
      <c r="C760" s="2">
        <v>0.0005</v>
      </c>
      <c r="D760" s="1">
        <f t="shared" si="1"/>
        <v>0.0005</v>
      </c>
    </row>
    <row r="761" ht="30" spans="1:4">
      <c r="A761" s="1" t="s">
        <v>1472</v>
      </c>
      <c r="B761" s="12" t="s">
        <v>1473</v>
      </c>
      <c r="C761" s="2">
        <v>0.0005</v>
      </c>
      <c r="D761" s="1">
        <f t="shared" si="1"/>
        <v>0.0005</v>
      </c>
    </row>
    <row r="762" spans="1:4">
      <c r="A762" s="1" t="s">
        <v>1474</v>
      </c>
      <c r="B762" s="12" t="s">
        <v>1475</v>
      </c>
      <c r="C762" s="2">
        <v>0.0005</v>
      </c>
      <c r="D762" s="1">
        <f t="shared" si="1"/>
        <v>0.0005</v>
      </c>
    </row>
    <row r="763" ht="30" spans="1:4">
      <c r="A763" s="1" t="s">
        <v>1476</v>
      </c>
      <c r="B763" s="12" t="s">
        <v>1477</v>
      </c>
      <c r="C763" s="2">
        <v>0.0005</v>
      </c>
      <c r="D763" s="1">
        <f t="shared" si="1"/>
        <v>0.0005</v>
      </c>
    </row>
    <row r="764" spans="1:4">
      <c r="A764" s="1" t="s">
        <v>1478</v>
      </c>
      <c r="B764" s="12" t="s">
        <v>1479</v>
      </c>
      <c r="C764" s="2">
        <v>0.0005</v>
      </c>
      <c r="D764" s="1">
        <f t="shared" si="1"/>
        <v>0.0005</v>
      </c>
    </row>
    <row r="765" spans="1:4">
      <c r="A765" s="1" t="s">
        <v>1480</v>
      </c>
      <c r="B765" s="12" t="s">
        <v>1481</v>
      </c>
      <c r="C765" s="2">
        <v>0.0005</v>
      </c>
      <c r="D765" s="1">
        <f t="shared" si="1"/>
        <v>0.0005</v>
      </c>
    </row>
    <row r="766" spans="1:4">
      <c r="A766" s="1" t="s">
        <v>1482</v>
      </c>
      <c r="B766" s="12" t="s">
        <v>1483</v>
      </c>
      <c r="C766" s="2">
        <v>1</v>
      </c>
      <c r="D766" s="1">
        <v>1</v>
      </c>
    </row>
    <row r="767" spans="1:4">
      <c r="A767" s="1" t="s">
        <v>1484</v>
      </c>
      <c r="B767" s="12" t="s">
        <v>1485</v>
      </c>
      <c r="C767" s="2">
        <v>1</v>
      </c>
      <c r="D767" s="1">
        <v>1</v>
      </c>
    </row>
    <row r="768" ht="30" spans="1:4">
      <c r="A768" s="1" t="s">
        <v>1486</v>
      </c>
      <c r="B768" s="12" t="s">
        <v>1487</v>
      </c>
      <c r="C768" s="2">
        <v>1</v>
      </c>
      <c r="D768" s="1">
        <v>1</v>
      </c>
    </row>
    <row r="769" spans="1:4">
      <c r="A769" s="1" t="s">
        <v>1488</v>
      </c>
      <c r="B769" s="12" t="s">
        <v>1489</v>
      </c>
      <c r="C769" s="2">
        <v>1</v>
      </c>
      <c r="D769" s="1">
        <v>1</v>
      </c>
    </row>
    <row r="770" spans="1:4">
      <c r="A770" s="1" t="s">
        <v>1490</v>
      </c>
      <c r="B770" s="12" t="s">
        <v>1491</v>
      </c>
      <c r="C770" s="2">
        <v>1</v>
      </c>
      <c r="D770" s="1">
        <v>1</v>
      </c>
    </row>
    <row r="771" spans="1:4">
      <c r="A771" s="1" t="s">
        <v>1492</v>
      </c>
      <c r="B771" s="12" t="s">
        <v>1493</v>
      </c>
      <c r="C771" s="2">
        <v>1</v>
      </c>
      <c r="D771" s="1">
        <v>1</v>
      </c>
    </row>
    <row r="772" spans="1:4">
      <c r="A772" s="1" t="s">
        <v>1494</v>
      </c>
      <c r="B772" s="12" t="s">
        <v>1495</v>
      </c>
      <c r="C772" s="2">
        <v>1</v>
      </c>
      <c r="D772" s="1">
        <v>1</v>
      </c>
    </row>
    <row r="773" ht="30" spans="1:4">
      <c r="A773" s="1" t="s">
        <v>1496</v>
      </c>
      <c r="B773" s="12" t="s">
        <v>1497</v>
      </c>
      <c r="C773" s="2">
        <v>1</v>
      </c>
      <c r="D773" s="1">
        <v>1</v>
      </c>
    </row>
    <row r="774" ht="30" spans="1:4">
      <c r="A774" s="1" t="s">
        <v>1498</v>
      </c>
      <c r="B774" s="12" t="s">
        <v>1499</v>
      </c>
      <c r="C774" s="2">
        <v>1</v>
      </c>
      <c r="D774" s="1">
        <v>1</v>
      </c>
    </row>
    <row r="775" spans="1:4">
      <c r="A775" s="1" t="s">
        <v>1500</v>
      </c>
      <c r="B775" s="12" t="s">
        <v>1501</v>
      </c>
      <c r="C775" s="2">
        <v>1</v>
      </c>
      <c r="D775" s="1">
        <v>1</v>
      </c>
    </row>
    <row r="776" spans="1:4">
      <c r="A776" s="1" t="s">
        <v>1502</v>
      </c>
      <c r="B776" s="12" t="s">
        <v>1501</v>
      </c>
      <c r="C776" s="2">
        <v>1</v>
      </c>
      <c r="D776" s="1">
        <v>1</v>
      </c>
    </row>
    <row r="777" ht="30" spans="1:4">
      <c r="A777" s="1" t="s">
        <v>1503</v>
      </c>
      <c r="B777" s="12" t="s">
        <v>1504</v>
      </c>
      <c r="C777" s="2">
        <v>1</v>
      </c>
      <c r="D777" s="1">
        <v>1</v>
      </c>
    </row>
    <row r="778" spans="1:4">
      <c r="A778" s="1" t="s">
        <v>1505</v>
      </c>
      <c r="B778" s="12" t="s">
        <v>1506</v>
      </c>
      <c r="C778" s="2">
        <v>1</v>
      </c>
      <c r="D778" s="1">
        <v>1</v>
      </c>
    </row>
    <row r="779" spans="1:4">
      <c r="A779" s="1" t="s">
        <v>1507</v>
      </c>
      <c r="B779" s="12" t="s">
        <v>1508</v>
      </c>
      <c r="C779" s="2">
        <v>1</v>
      </c>
      <c r="D779" s="1">
        <v>1</v>
      </c>
    </row>
    <row r="780" spans="1:4">
      <c r="A780" s="1" t="s">
        <v>1509</v>
      </c>
      <c r="B780" s="12" t="s">
        <v>1510</v>
      </c>
      <c r="C780" s="2">
        <v>1</v>
      </c>
      <c r="D780" s="1">
        <v>1</v>
      </c>
    </row>
    <row r="781" spans="1:4">
      <c r="A781" s="1" t="s">
        <v>1511</v>
      </c>
      <c r="B781" s="12" t="s">
        <v>1512</v>
      </c>
      <c r="C781" s="2">
        <v>1</v>
      </c>
      <c r="D781" s="1">
        <v>1</v>
      </c>
    </row>
    <row r="782" spans="1:4">
      <c r="A782" s="1" t="s">
        <v>1513</v>
      </c>
      <c r="B782" s="12" t="s">
        <v>1514</v>
      </c>
      <c r="C782" s="2">
        <v>1</v>
      </c>
      <c r="D782" s="1">
        <v>1</v>
      </c>
    </row>
    <row r="783" spans="1:4">
      <c r="A783" s="1" t="s">
        <v>1515</v>
      </c>
      <c r="B783" s="12" t="s">
        <v>1516</v>
      </c>
      <c r="C783" s="2">
        <v>1</v>
      </c>
      <c r="D783" s="1">
        <v>1</v>
      </c>
    </row>
    <row r="784" ht="30" spans="1:4">
      <c r="A784" s="1" t="s">
        <v>1517</v>
      </c>
      <c r="B784" s="12" t="s">
        <v>1518</v>
      </c>
      <c r="C784" s="2">
        <v>1</v>
      </c>
      <c r="D784" s="1">
        <v>1</v>
      </c>
    </row>
    <row r="785" spans="1:4">
      <c r="A785" s="1" t="s">
        <v>1519</v>
      </c>
      <c r="B785" s="12" t="s">
        <v>1520</v>
      </c>
      <c r="C785" s="2">
        <v>1</v>
      </c>
      <c r="D785" s="1">
        <v>1</v>
      </c>
    </row>
    <row r="786" spans="1:4">
      <c r="A786" s="1" t="s">
        <v>1521</v>
      </c>
      <c r="B786" s="12" t="s">
        <v>1522</v>
      </c>
      <c r="C786" s="2">
        <v>1</v>
      </c>
      <c r="D786" s="1">
        <v>1</v>
      </c>
    </row>
    <row r="787" spans="1:4">
      <c r="A787" s="1" t="s">
        <v>1523</v>
      </c>
      <c r="B787" s="12" t="s">
        <v>1524</v>
      </c>
      <c r="C787" s="2">
        <v>1</v>
      </c>
      <c r="D787" s="1">
        <v>1</v>
      </c>
    </row>
    <row r="788" ht="30" spans="1:4">
      <c r="A788" s="1" t="s">
        <v>1525</v>
      </c>
      <c r="B788" s="12" t="s">
        <v>1526</v>
      </c>
      <c r="C788" s="2">
        <v>1</v>
      </c>
      <c r="D788" s="1">
        <v>1</v>
      </c>
    </row>
    <row r="789" ht="30" spans="1:4">
      <c r="A789" s="1" t="s">
        <v>1527</v>
      </c>
      <c r="B789" s="12" t="s">
        <v>1528</v>
      </c>
      <c r="C789" s="2">
        <v>1</v>
      </c>
      <c r="D789" s="1">
        <v>1</v>
      </c>
    </row>
    <row r="790" spans="1:4">
      <c r="A790" s="1" t="s">
        <v>1529</v>
      </c>
      <c r="B790" s="12" t="s">
        <v>1530</v>
      </c>
      <c r="C790" s="2">
        <v>1</v>
      </c>
      <c r="D790" s="1">
        <v>1</v>
      </c>
    </row>
    <row r="791" ht="30" spans="1:4">
      <c r="A791" s="1" t="s">
        <v>1531</v>
      </c>
      <c r="B791" s="12" t="s">
        <v>1532</v>
      </c>
      <c r="C791" s="2">
        <v>1</v>
      </c>
      <c r="D791" s="1">
        <v>1</v>
      </c>
    </row>
    <row r="792" ht="30" spans="1:4">
      <c r="A792" s="1" t="s">
        <v>1533</v>
      </c>
      <c r="B792" s="12" t="s">
        <v>1534</v>
      </c>
      <c r="C792" s="2">
        <v>1</v>
      </c>
      <c r="D792" s="1">
        <v>1</v>
      </c>
    </row>
    <row r="793" spans="1:4">
      <c r="A793" s="1" t="s">
        <v>1535</v>
      </c>
      <c r="B793" s="12" t="s">
        <v>1536</v>
      </c>
      <c r="C793" s="2">
        <v>1</v>
      </c>
      <c r="D793" s="1">
        <v>1</v>
      </c>
    </row>
    <row r="794" ht="30" spans="1:4">
      <c r="A794" s="1" t="s">
        <v>1537</v>
      </c>
      <c r="B794" s="12" t="s">
        <v>1538</v>
      </c>
      <c r="C794" s="2">
        <v>1</v>
      </c>
      <c r="D794" s="1">
        <v>1</v>
      </c>
    </row>
    <row r="795" spans="1:4">
      <c r="A795" s="1" t="s">
        <v>1539</v>
      </c>
      <c r="B795" s="12" t="s">
        <v>1540</v>
      </c>
      <c r="C795" s="2">
        <v>1</v>
      </c>
      <c r="D795" s="1">
        <v>1</v>
      </c>
    </row>
    <row r="796" spans="1:4">
      <c r="A796" s="1" t="s">
        <v>1541</v>
      </c>
      <c r="B796" s="12" t="s">
        <v>1542</v>
      </c>
      <c r="C796" s="2">
        <v>1</v>
      </c>
      <c r="D796" s="1">
        <v>1</v>
      </c>
    </row>
    <row r="797" ht="30" spans="1:4">
      <c r="A797" s="1" t="s">
        <v>1543</v>
      </c>
      <c r="B797" s="12" t="s">
        <v>1544</v>
      </c>
      <c r="C797" s="2">
        <v>1</v>
      </c>
      <c r="D797" s="1">
        <v>1</v>
      </c>
    </row>
    <row r="798" spans="1:4">
      <c r="A798" s="1" t="s">
        <v>1545</v>
      </c>
      <c r="B798" s="12" t="s">
        <v>1493</v>
      </c>
      <c r="C798" s="2">
        <v>1</v>
      </c>
      <c r="D798" s="1">
        <v>1</v>
      </c>
    </row>
    <row r="799" ht="30" spans="1:4">
      <c r="A799" s="1" t="s">
        <v>1546</v>
      </c>
      <c r="B799" s="12" t="s">
        <v>1504</v>
      </c>
      <c r="C799" s="2">
        <v>1</v>
      </c>
      <c r="D799" s="1">
        <v>1</v>
      </c>
    </row>
    <row r="800" spans="1:4">
      <c r="A800" s="1" t="s">
        <v>1547</v>
      </c>
      <c r="B800" s="12" t="s">
        <v>1516</v>
      </c>
      <c r="C800" s="2">
        <v>1</v>
      </c>
      <c r="D800" s="1">
        <v>1</v>
      </c>
    </row>
    <row r="801" spans="1:4">
      <c r="A801" s="1" t="s">
        <v>1548</v>
      </c>
      <c r="B801" s="12" t="s">
        <v>1549</v>
      </c>
      <c r="C801" s="2">
        <v>1</v>
      </c>
      <c r="D801" s="1">
        <v>1</v>
      </c>
    </row>
    <row r="802" ht="30" spans="1:4">
      <c r="A802" s="1" t="s">
        <v>1550</v>
      </c>
      <c r="B802" s="12" t="s">
        <v>1551</v>
      </c>
      <c r="C802" s="2">
        <v>1</v>
      </c>
      <c r="D802" s="1">
        <v>1</v>
      </c>
    </row>
    <row r="803" ht="30" spans="1:4">
      <c r="A803" s="1" t="s">
        <v>1552</v>
      </c>
      <c r="B803" s="12" t="s">
        <v>1553</v>
      </c>
      <c r="C803" s="2">
        <v>1</v>
      </c>
      <c r="D803" s="1">
        <v>1</v>
      </c>
    </row>
    <row r="804" ht="30" spans="1:4">
      <c r="A804" s="1" t="s">
        <v>1554</v>
      </c>
      <c r="B804" s="12" t="s">
        <v>1555</v>
      </c>
      <c r="C804" s="2">
        <v>1</v>
      </c>
      <c r="D804" s="1">
        <v>1</v>
      </c>
    </row>
    <row r="805" spans="1:4">
      <c r="A805" s="1" t="s">
        <v>1556</v>
      </c>
      <c r="B805" s="12" t="s">
        <v>1557</v>
      </c>
      <c r="C805" s="2">
        <v>1</v>
      </c>
      <c r="D805" s="1">
        <v>1</v>
      </c>
    </row>
    <row r="806" spans="1:4">
      <c r="A806" s="1" t="s">
        <v>1558</v>
      </c>
      <c r="B806" s="12" t="s">
        <v>1559</v>
      </c>
      <c r="C806" s="2">
        <v>1</v>
      </c>
      <c r="D806" s="1">
        <v>1</v>
      </c>
    </row>
    <row r="807" ht="30" spans="1:4">
      <c r="A807" s="1" t="s">
        <v>1560</v>
      </c>
      <c r="B807" s="12" t="s">
        <v>1561</v>
      </c>
      <c r="C807" s="2">
        <v>1</v>
      </c>
      <c r="D807" s="1">
        <v>1</v>
      </c>
    </row>
    <row r="808" spans="1:4">
      <c r="A808" s="1" t="s">
        <v>1562</v>
      </c>
      <c r="B808" s="12" t="s">
        <v>1563</v>
      </c>
      <c r="C808" s="2">
        <v>1</v>
      </c>
      <c r="D808" s="1">
        <v>1</v>
      </c>
    </row>
    <row r="809" spans="1:4">
      <c r="A809" s="1" t="s">
        <v>1564</v>
      </c>
      <c r="B809" s="12" t="s">
        <v>1565</v>
      </c>
      <c r="C809" s="2">
        <v>1</v>
      </c>
      <c r="D809" s="1">
        <v>1</v>
      </c>
    </row>
    <row r="810" spans="1:4">
      <c r="A810" s="1" t="s">
        <v>1566</v>
      </c>
      <c r="B810" s="12" t="s">
        <v>1567</v>
      </c>
      <c r="C810" s="2">
        <v>1</v>
      </c>
      <c r="D810" s="1">
        <v>1</v>
      </c>
    </row>
    <row r="811" spans="1:4">
      <c r="A811" s="1" t="s">
        <v>1568</v>
      </c>
      <c r="B811" s="12" t="s">
        <v>1569</v>
      </c>
      <c r="C811" s="2">
        <v>1</v>
      </c>
      <c r="D811" s="1">
        <v>1</v>
      </c>
    </row>
    <row r="812" spans="1:4">
      <c r="A812" s="1" t="s">
        <v>1570</v>
      </c>
      <c r="B812" s="12" t="s">
        <v>1571</v>
      </c>
      <c r="C812" s="2">
        <v>1</v>
      </c>
      <c r="D812" s="1">
        <v>1</v>
      </c>
    </row>
    <row r="813" ht="30" spans="1:4">
      <c r="A813" s="1" t="s">
        <v>1572</v>
      </c>
      <c r="B813" s="12" t="s">
        <v>1573</v>
      </c>
      <c r="C813" s="2">
        <v>1</v>
      </c>
      <c r="D813" s="1">
        <v>1</v>
      </c>
    </row>
    <row r="814" ht="30" spans="1:4">
      <c r="A814" s="1" t="s">
        <v>1574</v>
      </c>
      <c r="B814" s="12" t="s">
        <v>1575</v>
      </c>
      <c r="C814" s="2">
        <v>1</v>
      </c>
      <c r="D814" s="1">
        <v>1</v>
      </c>
    </row>
    <row r="815" ht="30" spans="1:4">
      <c r="A815" s="1" t="s">
        <v>1576</v>
      </c>
      <c r="B815" s="12" t="s">
        <v>1577</v>
      </c>
      <c r="C815" s="2">
        <v>1</v>
      </c>
      <c r="D815" s="1">
        <v>1</v>
      </c>
    </row>
    <row r="816" spans="1:4">
      <c r="A816" s="1" t="s">
        <v>1578</v>
      </c>
      <c r="B816" s="12" t="s">
        <v>1579</v>
      </c>
      <c r="C816" s="2">
        <v>1</v>
      </c>
      <c r="D816" s="1">
        <v>1</v>
      </c>
    </row>
    <row r="817" ht="30" spans="1:4">
      <c r="A817" s="1" t="s">
        <v>1580</v>
      </c>
      <c r="B817" s="12" t="s">
        <v>1581</v>
      </c>
      <c r="C817" s="2">
        <v>1</v>
      </c>
      <c r="D817" s="1">
        <v>1</v>
      </c>
    </row>
    <row r="818" ht="30" spans="1:4">
      <c r="A818" s="1" t="s">
        <v>1582</v>
      </c>
      <c r="B818" s="12" t="s">
        <v>1583</v>
      </c>
      <c r="C818" s="2">
        <v>1</v>
      </c>
      <c r="D818" s="1">
        <v>1</v>
      </c>
    </row>
    <row r="819" spans="1:4">
      <c r="A819" s="1" t="s">
        <v>1584</v>
      </c>
      <c r="B819" s="12" t="s">
        <v>1585</v>
      </c>
      <c r="C819" s="2">
        <v>1</v>
      </c>
      <c r="D819" s="1">
        <v>1</v>
      </c>
    </row>
    <row r="820" ht="30" spans="1:4">
      <c r="A820" s="1" t="s">
        <v>1586</v>
      </c>
      <c r="B820" s="12" t="s">
        <v>1587</v>
      </c>
      <c r="C820" s="2">
        <v>1</v>
      </c>
      <c r="D820" s="1">
        <v>1</v>
      </c>
    </row>
    <row r="821" ht="30" spans="1:4">
      <c r="A821" s="1" t="s">
        <v>1588</v>
      </c>
      <c r="B821" s="12" t="s">
        <v>1589</v>
      </c>
      <c r="C821" s="2">
        <v>1</v>
      </c>
      <c r="D821" s="1">
        <v>1</v>
      </c>
    </row>
    <row r="822" spans="1:4">
      <c r="A822" s="1" t="s">
        <v>1590</v>
      </c>
      <c r="B822" s="12" t="s">
        <v>1591</v>
      </c>
      <c r="C822" s="2">
        <v>1</v>
      </c>
      <c r="D822" s="1">
        <v>1</v>
      </c>
    </row>
    <row r="823" spans="1:4">
      <c r="A823" s="1" t="s">
        <v>1592</v>
      </c>
      <c r="B823" s="12" t="s">
        <v>1593</v>
      </c>
      <c r="C823" s="2">
        <v>1</v>
      </c>
      <c r="D823" s="1">
        <v>1</v>
      </c>
    </row>
    <row r="824" spans="1:4">
      <c r="A824" s="1" t="s">
        <v>1594</v>
      </c>
      <c r="B824" s="12" t="s">
        <v>1595</v>
      </c>
      <c r="C824" s="2">
        <v>1</v>
      </c>
      <c r="D824" s="1">
        <v>1</v>
      </c>
    </row>
    <row r="825" ht="30" spans="1:4">
      <c r="A825" s="1" t="s">
        <v>1596</v>
      </c>
      <c r="B825" s="12" t="s">
        <v>1597</v>
      </c>
      <c r="C825" s="2">
        <v>1</v>
      </c>
      <c r="D825" s="1">
        <v>1</v>
      </c>
    </row>
    <row r="826" ht="30" spans="1:4">
      <c r="A826" s="1" t="s">
        <v>1598</v>
      </c>
      <c r="B826" s="12" t="s">
        <v>1597</v>
      </c>
      <c r="C826" s="2">
        <v>1</v>
      </c>
      <c r="D826" s="1">
        <v>1</v>
      </c>
    </row>
    <row r="827" ht="30" spans="1:4">
      <c r="A827" s="1" t="s">
        <v>1599</v>
      </c>
      <c r="B827" s="12" t="s">
        <v>1600</v>
      </c>
      <c r="C827" s="2">
        <v>1</v>
      </c>
      <c r="D827" s="1">
        <v>1</v>
      </c>
    </row>
    <row r="828" ht="30" spans="1:4">
      <c r="A828" s="1" t="s">
        <v>1601</v>
      </c>
      <c r="B828" s="12" t="s">
        <v>1600</v>
      </c>
      <c r="C828" s="2">
        <v>1</v>
      </c>
      <c r="D828" s="1">
        <v>1</v>
      </c>
    </row>
    <row r="829" spans="1:4">
      <c r="A829" s="1" t="s">
        <v>1602</v>
      </c>
      <c r="B829" s="12" t="s">
        <v>1603</v>
      </c>
      <c r="C829" s="2">
        <v>1</v>
      </c>
      <c r="D829" s="1">
        <v>1</v>
      </c>
    </row>
    <row r="830" ht="30" spans="1:4">
      <c r="A830" s="1" t="s">
        <v>1604</v>
      </c>
      <c r="B830" s="12" t="s">
        <v>1605</v>
      </c>
      <c r="C830" s="2">
        <v>1</v>
      </c>
      <c r="D830" s="1">
        <v>1</v>
      </c>
    </row>
    <row r="831" spans="1:4">
      <c r="A831" s="1" t="s">
        <v>1606</v>
      </c>
      <c r="B831" s="12" t="s">
        <v>1607</v>
      </c>
      <c r="C831" s="2">
        <v>1</v>
      </c>
      <c r="D831" s="1">
        <v>1</v>
      </c>
    </row>
    <row r="832" ht="30" spans="1:4">
      <c r="A832" s="1" t="s">
        <v>1608</v>
      </c>
      <c r="B832" s="12" t="s">
        <v>1609</v>
      </c>
      <c r="C832" s="2">
        <v>1</v>
      </c>
      <c r="D832" s="1">
        <v>1</v>
      </c>
    </row>
    <row r="833" spans="1:4">
      <c r="A833" s="1" t="s">
        <v>1610</v>
      </c>
      <c r="B833" s="12" t="s">
        <v>1611</v>
      </c>
      <c r="C833" s="2">
        <v>1</v>
      </c>
      <c r="D833" s="1">
        <v>1</v>
      </c>
    </row>
    <row r="834" ht="30" spans="1:4">
      <c r="A834" s="1" t="s">
        <v>1612</v>
      </c>
      <c r="B834" s="12" t="s">
        <v>1613</v>
      </c>
      <c r="C834" s="2">
        <v>1</v>
      </c>
      <c r="D834" s="1">
        <v>1</v>
      </c>
    </row>
    <row r="835" spans="1:4">
      <c r="A835" s="1" t="s">
        <v>1614</v>
      </c>
      <c r="B835" s="12" t="s">
        <v>1615</v>
      </c>
      <c r="C835" s="2">
        <v>1</v>
      </c>
      <c r="D835" s="1">
        <v>1</v>
      </c>
    </row>
    <row r="836" ht="30" spans="1:4">
      <c r="A836" s="1" t="s">
        <v>1616</v>
      </c>
      <c r="B836" s="12" t="s">
        <v>1617</v>
      </c>
      <c r="C836" s="2">
        <v>1</v>
      </c>
      <c r="D836" s="1">
        <v>1</v>
      </c>
    </row>
    <row r="837" spans="1:4">
      <c r="A837" s="1" t="s">
        <v>1618</v>
      </c>
      <c r="B837" s="12" t="s">
        <v>1619</v>
      </c>
      <c r="C837" s="2">
        <v>1</v>
      </c>
      <c r="D837" s="1">
        <v>1</v>
      </c>
    </row>
    <row r="838" spans="1:4">
      <c r="A838" s="1" t="s">
        <v>1620</v>
      </c>
      <c r="B838" s="12" t="s">
        <v>1621</v>
      </c>
      <c r="C838" s="2">
        <v>1</v>
      </c>
      <c r="D838" s="1">
        <v>1</v>
      </c>
    </row>
    <row r="839" spans="1:4">
      <c r="A839" s="1" t="s">
        <v>1622</v>
      </c>
      <c r="B839" s="12" t="s">
        <v>1623</v>
      </c>
      <c r="C839" s="2">
        <v>1</v>
      </c>
      <c r="D839" s="1">
        <v>1</v>
      </c>
    </row>
    <row r="840" spans="1:4">
      <c r="A840" s="1" t="s">
        <v>1624</v>
      </c>
      <c r="B840" s="12" t="s">
        <v>1625</v>
      </c>
      <c r="C840" s="2">
        <v>1</v>
      </c>
      <c r="D840" s="1">
        <v>1</v>
      </c>
    </row>
    <row r="841" ht="30" spans="1:4">
      <c r="A841" s="1" t="s">
        <v>1626</v>
      </c>
      <c r="B841" s="12" t="s">
        <v>1627</v>
      </c>
      <c r="C841" s="2">
        <v>1</v>
      </c>
      <c r="D841" s="1">
        <v>1</v>
      </c>
    </row>
    <row r="842" ht="30" spans="1:4">
      <c r="A842" s="1" t="s">
        <v>1628</v>
      </c>
      <c r="B842" s="12" t="s">
        <v>1629</v>
      </c>
      <c r="C842" s="2">
        <v>1</v>
      </c>
      <c r="D842" s="1">
        <v>1</v>
      </c>
    </row>
    <row r="843" ht="30" spans="1:4">
      <c r="A843" s="1" t="s">
        <v>1630</v>
      </c>
      <c r="B843" s="12" t="s">
        <v>1631</v>
      </c>
      <c r="C843" s="2">
        <v>1</v>
      </c>
      <c r="D843" s="1">
        <v>1</v>
      </c>
    </row>
    <row r="844" ht="30" spans="1:4">
      <c r="A844" s="1" t="s">
        <v>1632</v>
      </c>
      <c r="B844" s="12" t="s">
        <v>1633</v>
      </c>
      <c r="C844" s="2">
        <v>1</v>
      </c>
      <c r="D844" s="1">
        <v>1</v>
      </c>
    </row>
    <row r="845" ht="30" spans="1:4">
      <c r="A845" s="1" t="s">
        <v>1634</v>
      </c>
      <c r="B845" s="12" t="s">
        <v>1635</v>
      </c>
      <c r="C845" s="2">
        <v>1</v>
      </c>
      <c r="D845" s="1">
        <v>1</v>
      </c>
    </row>
    <row r="846" ht="30" spans="1:4">
      <c r="A846" s="1" t="s">
        <v>1636</v>
      </c>
      <c r="B846" s="12" t="s">
        <v>1637</v>
      </c>
      <c r="C846" s="2">
        <v>1</v>
      </c>
      <c r="D846" s="1">
        <v>1</v>
      </c>
    </row>
    <row r="847" ht="30" spans="1:4">
      <c r="A847" s="1" t="s">
        <v>1638</v>
      </c>
      <c r="B847" s="12" t="s">
        <v>1639</v>
      </c>
      <c r="C847" s="2">
        <v>1</v>
      </c>
      <c r="D847" s="1">
        <v>1</v>
      </c>
    </row>
    <row r="848" ht="30" spans="1:4">
      <c r="A848" s="1" t="s">
        <v>1640</v>
      </c>
      <c r="B848" s="12" t="s">
        <v>1641</v>
      </c>
      <c r="C848" s="2">
        <v>1</v>
      </c>
      <c r="D848" s="1">
        <v>1</v>
      </c>
    </row>
    <row r="849" ht="30" spans="1:4">
      <c r="A849" s="1" t="s">
        <v>1642</v>
      </c>
      <c r="B849" s="12" t="s">
        <v>1643</v>
      </c>
      <c r="C849" s="2">
        <v>1</v>
      </c>
      <c r="D849" s="1">
        <v>1</v>
      </c>
    </row>
    <row r="850" ht="30" spans="1:4">
      <c r="A850" s="1" t="s">
        <v>1644</v>
      </c>
      <c r="B850" s="12" t="s">
        <v>1645</v>
      </c>
      <c r="C850" s="2">
        <v>1</v>
      </c>
      <c r="D850" s="1">
        <v>1</v>
      </c>
    </row>
    <row r="851" ht="30" spans="1:4">
      <c r="A851" s="1" t="s">
        <v>1646</v>
      </c>
      <c r="B851" s="12" t="s">
        <v>1647</v>
      </c>
      <c r="C851" s="2">
        <v>1</v>
      </c>
      <c r="D851" s="1">
        <v>1</v>
      </c>
    </row>
    <row r="852" ht="30" spans="1:4">
      <c r="A852" s="1" t="s">
        <v>1648</v>
      </c>
      <c r="B852" s="12" t="s">
        <v>1649</v>
      </c>
      <c r="C852" s="2">
        <v>1</v>
      </c>
      <c r="D852" s="1">
        <v>1</v>
      </c>
    </row>
    <row r="853" ht="30" spans="1:4">
      <c r="A853" s="1" t="s">
        <v>1650</v>
      </c>
      <c r="B853" s="12" t="s">
        <v>1651</v>
      </c>
      <c r="C853" s="2">
        <v>1</v>
      </c>
      <c r="D853" s="1">
        <v>1</v>
      </c>
    </row>
    <row r="854" ht="30" spans="1:4">
      <c r="A854" s="1" t="s">
        <v>1652</v>
      </c>
      <c r="B854" s="12" t="s">
        <v>1653</v>
      </c>
      <c r="C854" s="2">
        <v>1</v>
      </c>
      <c r="D854" s="1">
        <v>1</v>
      </c>
    </row>
    <row r="855" ht="30" spans="1:4">
      <c r="A855" s="1" t="s">
        <v>1654</v>
      </c>
      <c r="B855" s="12" t="s">
        <v>1655</v>
      </c>
      <c r="C855" s="2">
        <v>1</v>
      </c>
      <c r="D855" s="1">
        <v>1</v>
      </c>
    </row>
    <row r="856" ht="30" spans="1:4">
      <c r="A856" s="1" t="s">
        <v>1656</v>
      </c>
      <c r="B856" s="12" t="s">
        <v>1657</v>
      </c>
      <c r="C856" s="2">
        <v>1</v>
      </c>
      <c r="D856" s="1">
        <v>1</v>
      </c>
    </row>
    <row r="857" ht="30" spans="1:4">
      <c r="A857" s="1" t="s">
        <v>1658</v>
      </c>
      <c r="B857" s="12" t="s">
        <v>1659</v>
      </c>
      <c r="C857" s="2">
        <v>1</v>
      </c>
      <c r="D857" s="1">
        <v>1</v>
      </c>
    </row>
    <row r="858" spans="1:4">
      <c r="A858" s="1" t="s">
        <v>1660</v>
      </c>
      <c r="B858" s="12" t="s">
        <v>1661</v>
      </c>
      <c r="C858" s="2">
        <v>0.0005</v>
      </c>
      <c r="D858" s="1">
        <f>1/2000</f>
        <v>0.0005</v>
      </c>
    </row>
    <row r="859" spans="1:4">
      <c r="A859" s="1" t="s">
        <v>1662</v>
      </c>
      <c r="B859" s="12" t="s">
        <v>1663</v>
      </c>
      <c r="C859" s="2">
        <v>0.0005</v>
      </c>
      <c r="D859" s="1">
        <f t="shared" ref="D859:D897" si="2">1/2000</f>
        <v>0.0005</v>
      </c>
    </row>
    <row r="860" ht="30" spans="1:4">
      <c r="A860" s="1" t="s">
        <v>1664</v>
      </c>
      <c r="B860" s="12" t="s">
        <v>1665</v>
      </c>
      <c r="C860" s="2">
        <v>0.0005</v>
      </c>
      <c r="D860" s="1">
        <f t="shared" si="2"/>
        <v>0.0005</v>
      </c>
    </row>
    <row r="861" ht="30" spans="1:4">
      <c r="A861" s="1" t="s">
        <v>1666</v>
      </c>
      <c r="B861" s="12" t="s">
        <v>1667</v>
      </c>
      <c r="C861" s="2">
        <v>0.0005</v>
      </c>
      <c r="D861" s="1">
        <f t="shared" si="2"/>
        <v>0.0005</v>
      </c>
    </row>
    <row r="862" ht="30" spans="1:4">
      <c r="A862" s="1" t="s">
        <v>1668</v>
      </c>
      <c r="B862" s="12" t="s">
        <v>1669</v>
      </c>
      <c r="C862" s="2">
        <v>0.0005</v>
      </c>
      <c r="D862" s="1">
        <f t="shared" si="2"/>
        <v>0.0005</v>
      </c>
    </row>
    <row r="863" ht="30" spans="1:4">
      <c r="A863" s="1" t="s">
        <v>1670</v>
      </c>
      <c r="B863" s="12" t="s">
        <v>1671</v>
      </c>
      <c r="C863" s="2">
        <v>0.0005</v>
      </c>
      <c r="D863" s="1">
        <f t="shared" si="2"/>
        <v>0.0005</v>
      </c>
    </row>
    <row r="864" spans="1:4">
      <c r="A864" s="1" t="s">
        <v>1672</v>
      </c>
      <c r="B864" s="12" t="s">
        <v>1673</v>
      </c>
      <c r="C864" s="2">
        <v>0.0005</v>
      </c>
      <c r="D864" s="1">
        <f t="shared" si="2"/>
        <v>0.0005</v>
      </c>
    </row>
    <row r="865" spans="1:4">
      <c r="A865" s="1" t="s">
        <v>1674</v>
      </c>
      <c r="B865" s="12" t="s">
        <v>1675</v>
      </c>
      <c r="C865" s="2">
        <v>0.0005</v>
      </c>
      <c r="D865" s="1">
        <f t="shared" si="2"/>
        <v>0.0005</v>
      </c>
    </row>
    <row r="866" spans="1:4">
      <c r="A866" s="1" t="s">
        <v>1676</v>
      </c>
      <c r="B866" s="12" t="s">
        <v>1677</v>
      </c>
      <c r="C866" s="2">
        <v>0.0005</v>
      </c>
      <c r="D866" s="1">
        <f t="shared" si="2"/>
        <v>0.0005</v>
      </c>
    </row>
    <row r="867" ht="30" spans="1:4">
      <c r="A867" s="1" t="s">
        <v>1678</v>
      </c>
      <c r="B867" s="12" t="s">
        <v>1679</v>
      </c>
      <c r="C867" s="2">
        <v>0.0005</v>
      </c>
      <c r="D867" s="1">
        <f t="shared" si="2"/>
        <v>0.0005</v>
      </c>
    </row>
    <row r="868" ht="30" spans="1:4">
      <c r="A868" s="1" t="s">
        <v>1680</v>
      </c>
      <c r="B868" s="12" t="s">
        <v>1681</v>
      </c>
      <c r="C868" s="2">
        <v>0.0005</v>
      </c>
      <c r="D868" s="1">
        <f t="shared" si="2"/>
        <v>0.0005</v>
      </c>
    </row>
    <row r="869" ht="30" spans="1:4">
      <c r="A869" s="1" t="s">
        <v>1682</v>
      </c>
      <c r="B869" s="12" t="s">
        <v>1683</v>
      </c>
      <c r="C869" s="2">
        <v>0.0005</v>
      </c>
      <c r="D869" s="1">
        <f t="shared" si="2"/>
        <v>0.0005</v>
      </c>
    </row>
    <row r="870" ht="30" spans="1:4">
      <c r="A870" s="1" t="s">
        <v>1684</v>
      </c>
      <c r="B870" s="12" t="s">
        <v>1685</v>
      </c>
      <c r="C870" s="2">
        <v>0.0005</v>
      </c>
      <c r="D870" s="1">
        <f t="shared" si="2"/>
        <v>0.0005</v>
      </c>
    </row>
    <row r="871" spans="1:4">
      <c r="A871" s="1" t="s">
        <v>1686</v>
      </c>
      <c r="B871" s="12" t="s">
        <v>1687</v>
      </c>
      <c r="C871" s="2">
        <v>0.0005</v>
      </c>
      <c r="D871" s="1">
        <f t="shared" si="2"/>
        <v>0.0005</v>
      </c>
    </row>
    <row r="872" spans="1:4">
      <c r="A872" s="1" t="s">
        <v>1688</v>
      </c>
      <c r="B872" s="12" t="s">
        <v>1689</v>
      </c>
      <c r="C872" s="2">
        <v>0.0005</v>
      </c>
      <c r="D872" s="1">
        <f t="shared" si="2"/>
        <v>0.0005</v>
      </c>
    </row>
    <row r="873" spans="1:4">
      <c r="A873" s="1" t="s">
        <v>1690</v>
      </c>
      <c r="B873" s="12" t="s">
        <v>1691</v>
      </c>
      <c r="C873" s="2">
        <v>0.0005</v>
      </c>
      <c r="D873" s="1">
        <f t="shared" si="2"/>
        <v>0.0005</v>
      </c>
    </row>
    <row r="874" spans="1:4">
      <c r="A874" s="1" t="s">
        <v>1692</v>
      </c>
      <c r="B874" s="12" t="s">
        <v>1693</v>
      </c>
      <c r="C874" s="2">
        <v>0.0005</v>
      </c>
      <c r="D874" s="1">
        <f t="shared" si="2"/>
        <v>0.0005</v>
      </c>
    </row>
    <row r="875" spans="1:4">
      <c r="A875" s="1" t="s">
        <v>1694</v>
      </c>
      <c r="B875" s="12" t="s">
        <v>1695</v>
      </c>
      <c r="C875" s="2">
        <v>0.0005</v>
      </c>
      <c r="D875" s="1">
        <f t="shared" si="2"/>
        <v>0.0005</v>
      </c>
    </row>
    <row r="876" spans="1:4">
      <c r="A876" s="1" t="s">
        <v>1696</v>
      </c>
      <c r="B876" s="12" t="s">
        <v>1697</v>
      </c>
      <c r="C876" s="2">
        <v>0.0005</v>
      </c>
      <c r="D876" s="1">
        <f t="shared" si="2"/>
        <v>0.0005</v>
      </c>
    </row>
    <row r="877" spans="1:4">
      <c r="A877" s="1" t="s">
        <v>1698</v>
      </c>
      <c r="B877" s="12" t="s">
        <v>1699</v>
      </c>
      <c r="C877" s="2">
        <v>0.0005</v>
      </c>
      <c r="D877" s="1">
        <f t="shared" si="2"/>
        <v>0.0005</v>
      </c>
    </row>
    <row r="878" spans="1:4">
      <c r="A878" s="1" t="s">
        <v>1700</v>
      </c>
      <c r="B878" s="12" t="s">
        <v>1701</v>
      </c>
      <c r="C878" s="2">
        <v>0.0005</v>
      </c>
      <c r="D878" s="1">
        <f t="shared" si="2"/>
        <v>0.0005</v>
      </c>
    </row>
    <row r="879" spans="1:4">
      <c r="A879" s="1" t="s">
        <v>1702</v>
      </c>
      <c r="B879" s="12" t="s">
        <v>1703</v>
      </c>
      <c r="C879" s="2">
        <v>0.0005</v>
      </c>
      <c r="D879" s="1">
        <f t="shared" si="2"/>
        <v>0.0005</v>
      </c>
    </row>
    <row r="880" spans="1:4">
      <c r="A880" s="1" t="s">
        <v>1704</v>
      </c>
      <c r="B880" s="12" t="s">
        <v>1705</v>
      </c>
      <c r="C880" s="2">
        <v>0.0005</v>
      </c>
      <c r="D880" s="1">
        <f t="shared" si="2"/>
        <v>0.0005</v>
      </c>
    </row>
    <row r="881" spans="1:4">
      <c r="A881" s="1" t="s">
        <v>1706</v>
      </c>
      <c r="B881" s="12" t="s">
        <v>1707</v>
      </c>
      <c r="C881" s="2">
        <v>0.0005</v>
      </c>
      <c r="D881" s="1">
        <f t="shared" si="2"/>
        <v>0.0005</v>
      </c>
    </row>
    <row r="882" spans="1:4">
      <c r="A882" s="1" t="s">
        <v>1708</v>
      </c>
      <c r="B882" s="12" t="s">
        <v>1709</v>
      </c>
      <c r="C882" s="2">
        <v>0.0005</v>
      </c>
      <c r="D882" s="1">
        <f t="shared" si="2"/>
        <v>0.0005</v>
      </c>
    </row>
    <row r="883" spans="1:4">
      <c r="A883" s="1" t="s">
        <v>1710</v>
      </c>
      <c r="B883" s="12" t="s">
        <v>1711</v>
      </c>
      <c r="C883" s="2">
        <v>0.0005</v>
      </c>
      <c r="D883" s="1">
        <f t="shared" si="2"/>
        <v>0.0005</v>
      </c>
    </row>
    <row r="884" spans="1:4">
      <c r="A884" s="1" t="s">
        <v>1712</v>
      </c>
      <c r="B884" s="12" t="s">
        <v>1713</v>
      </c>
      <c r="C884" s="2">
        <v>0.0005</v>
      </c>
      <c r="D884" s="1">
        <f t="shared" si="2"/>
        <v>0.0005</v>
      </c>
    </row>
    <row r="885" spans="1:4">
      <c r="A885" s="1" t="s">
        <v>1714</v>
      </c>
      <c r="B885" s="12" t="s">
        <v>1715</v>
      </c>
      <c r="C885" s="2">
        <v>0.0005</v>
      </c>
      <c r="D885" s="1">
        <f t="shared" si="2"/>
        <v>0.0005</v>
      </c>
    </row>
    <row r="886" spans="1:4">
      <c r="A886" s="1" t="s">
        <v>1716</v>
      </c>
      <c r="B886" s="12" t="s">
        <v>1717</v>
      </c>
      <c r="C886" s="2">
        <v>0.0005</v>
      </c>
      <c r="D886" s="1">
        <f t="shared" si="2"/>
        <v>0.0005</v>
      </c>
    </row>
    <row r="887" spans="1:4">
      <c r="A887" s="1" t="s">
        <v>1718</v>
      </c>
      <c r="B887" s="12" t="s">
        <v>1719</v>
      </c>
      <c r="C887" s="2">
        <v>0.0005</v>
      </c>
      <c r="D887" s="1">
        <f t="shared" si="2"/>
        <v>0.0005</v>
      </c>
    </row>
    <row r="888" spans="1:4">
      <c r="A888" s="1" t="s">
        <v>1720</v>
      </c>
      <c r="B888" s="12" t="s">
        <v>1721</v>
      </c>
      <c r="C888" s="2">
        <v>0.0005</v>
      </c>
      <c r="D888" s="1">
        <f t="shared" si="2"/>
        <v>0.0005</v>
      </c>
    </row>
    <row r="889" spans="1:4">
      <c r="A889" s="1" t="s">
        <v>1722</v>
      </c>
      <c r="B889" s="12" t="s">
        <v>1723</v>
      </c>
      <c r="C889" s="2">
        <v>0.0005</v>
      </c>
      <c r="D889" s="1">
        <f t="shared" si="2"/>
        <v>0.0005</v>
      </c>
    </row>
    <row r="890" ht="30" spans="1:4">
      <c r="A890" s="1" t="s">
        <v>1724</v>
      </c>
      <c r="B890" s="12" t="s">
        <v>1725</v>
      </c>
      <c r="C890" s="2">
        <v>0.0005</v>
      </c>
      <c r="D890" s="1">
        <f t="shared" si="2"/>
        <v>0.0005</v>
      </c>
    </row>
    <row r="891" spans="1:4">
      <c r="A891" s="1" t="s">
        <v>1726</v>
      </c>
      <c r="B891" s="12" t="s">
        <v>1727</v>
      </c>
      <c r="C891" s="2">
        <v>0.0005</v>
      </c>
      <c r="D891" s="1">
        <f t="shared" si="2"/>
        <v>0.0005</v>
      </c>
    </row>
    <row r="892" spans="1:4">
      <c r="A892" s="1" t="s">
        <v>1728</v>
      </c>
      <c r="B892" s="12" t="s">
        <v>1729</v>
      </c>
      <c r="C892" s="2">
        <v>0.0005</v>
      </c>
      <c r="D892" s="1">
        <f t="shared" si="2"/>
        <v>0.0005</v>
      </c>
    </row>
    <row r="893" spans="1:4">
      <c r="A893" s="1" t="s">
        <v>1730</v>
      </c>
      <c r="B893" s="12" t="s">
        <v>1731</v>
      </c>
      <c r="C893" s="2">
        <v>0.0005</v>
      </c>
      <c r="D893" s="1">
        <f t="shared" si="2"/>
        <v>0.0005</v>
      </c>
    </row>
    <row r="894" spans="1:4">
      <c r="A894" s="1" t="s">
        <v>1732</v>
      </c>
      <c r="B894" s="12" t="s">
        <v>1733</v>
      </c>
      <c r="C894" s="2">
        <v>0.0005</v>
      </c>
      <c r="D894" s="1">
        <f t="shared" si="2"/>
        <v>0.0005</v>
      </c>
    </row>
    <row r="895" spans="1:4">
      <c r="A895" s="1" t="s">
        <v>1734</v>
      </c>
      <c r="B895" s="12" t="s">
        <v>1735</v>
      </c>
      <c r="C895" s="2">
        <v>0.0005</v>
      </c>
      <c r="D895" s="1">
        <f t="shared" si="2"/>
        <v>0.0005</v>
      </c>
    </row>
    <row r="896" spans="1:4">
      <c r="A896" s="1" t="s">
        <v>1736</v>
      </c>
      <c r="B896" s="12" t="s">
        <v>1737</v>
      </c>
      <c r="C896" s="2">
        <v>0.0005</v>
      </c>
      <c r="D896" s="1">
        <f t="shared" si="2"/>
        <v>0.0005</v>
      </c>
    </row>
    <row r="897" ht="30" spans="1:4">
      <c r="A897" s="1" t="s">
        <v>1738</v>
      </c>
      <c r="B897" s="12" t="s">
        <v>1739</v>
      </c>
      <c r="C897" s="2">
        <v>0.0005</v>
      </c>
      <c r="D897" s="1">
        <f t="shared" si="2"/>
        <v>0.0005</v>
      </c>
    </row>
  </sheetData>
  <pageMargins left="0.7" right="0.7" top="0.75" bottom="0.75" header="0.3" footer="0.3"/>
  <pageSetup paperSize="9" orientation="portrait" horizontalDpi="3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2</xdr:col>
                    <xdr:colOff>171450</xdr:colOff>
                    <xdr:row>0</xdr:row>
                    <xdr:rowOff>9525</xdr:rowOff>
                  </from>
                  <to>
                    <xdr:col>2</xdr:col>
                    <xdr:colOff>1162050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L896"/>
  <sheetViews>
    <sheetView topLeftCell="A860" workbookViewId="0">
      <selection activeCell="A879" sqref="A879"/>
    </sheetView>
  </sheetViews>
  <sheetFormatPr defaultColWidth="10" defaultRowHeight="15"/>
  <cols>
    <col min="1" max="1" width="16.3714285714286" style="9" customWidth="1"/>
    <col min="2" max="2" width="16.3714285714286" style="10" customWidth="1"/>
    <col min="3" max="3" width="16.3714285714286" style="9" customWidth="1"/>
    <col min="4" max="4" width="16.3714285714286" customWidth="1"/>
    <col min="8" max="11" width="12.8761904761905" style="9" customWidth="1"/>
  </cols>
  <sheetData>
    <row r="1" spans="2:2">
      <c r="B1" s="2"/>
    </row>
    <row r="2" s="9" customFormat="1" spans="1:4">
      <c r="A2" s="5" t="s">
        <v>16</v>
      </c>
      <c r="B2" s="5" t="s">
        <v>17</v>
      </c>
      <c r="C2" s="5" t="s">
        <v>1740</v>
      </c>
      <c r="D2" s="1" t="s">
        <v>1741</v>
      </c>
    </row>
    <row r="3" spans="1:4">
      <c r="A3" s="1" t="s">
        <v>35</v>
      </c>
      <c r="B3" s="3" t="s">
        <v>1742</v>
      </c>
      <c r="C3" s="1">
        <f>INDEX(sheet1!$G:$G,MATCH(A3,sheet1!$B:$B,0))</f>
        <v>1e-6</v>
      </c>
      <c r="D3" s="1">
        <f>INDEX(sheet1!$G:$G,MATCH(A3,sheet1!$B:$B,0))*10</f>
        <v>1e-5</v>
      </c>
    </row>
    <row r="4" spans="1:4">
      <c r="A4" s="1" t="s">
        <v>37</v>
      </c>
      <c r="B4" s="3" t="s">
        <v>1743</v>
      </c>
      <c r="C4" s="1">
        <f>INDEX(sheet1!$G:$G,MATCH(A4,sheet1!$B:$B,0))</f>
        <v>0.1</v>
      </c>
      <c r="D4" s="1">
        <f>INDEX(sheet1!$G:$G,MATCH(A4,sheet1!$B:$B,0))*10</f>
        <v>1</v>
      </c>
    </row>
    <row r="5" spans="1:4">
      <c r="A5" s="1" t="s">
        <v>39</v>
      </c>
      <c r="B5" s="3" t="s">
        <v>1744</v>
      </c>
      <c r="C5" s="1">
        <f>INDEX(sheet1!$G:$G,MATCH(A5,sheet1!$B:$B,0))</f>
        <v>0</v>
      </c>
      <c r="D5" s="1">
        <f>INDEX(sheet1!$G:$G,MATCH(A5,sheet1!$B:$B,0))*10</f>
        <v>0</v>
      </c>
    </row>
    <row r="6" ht="30" spans="1:4">
      <c r="A6" s="1" t="s">
        <v>41</v>
      </c>
      <c r="B6" s="3" t="s">
        <v>1745</v>
      </c>
      <c r="C6" s="1">
        <f>INDEX(sheet1!$G:$G,MATCH(A6,sheet1!$B:$B,0))</f>
        <v>1e-6</v>
      </c>
      <c r="D6" s="1">
        <f>INDEX(sheet1!$G:$G,MATCH(A6,sheet1!$B:$B,0))*10</f>
        <v>1e-5</v>
      </c>
    </row>
    <row r="7" ht="30" spans="1:4">
      <c r="A7" s="1" t="s">
        <v>43</v>
      </c>
      <c r="B7" s="3" t="s">
        <v>1746</v>
      </c>
      <c r="C7" s="1">
        <f>INDEX(sheet1!$G:$G,MATCH(A7,sheet1!$B:$B,0))</f>
        <v>2.16e-5</v>
      </c>
      <c r="D7" s="1">
        <f>INDEX(sheet1!$G:$G,MATCH(A7,sheet1!$B:$B,0))*10</f>
        <v>0.000216</v>
      </c>
    </row>
    <row r="8" spans="1:4">
      <c r="A8" s="1" t="s">
        <v>45</v>
      </c>
      <c r="B8" s="3" t="s">
        <v>1747</v>
      </c>
      <c r="C8" s="1">
        <f>INDEX(sheet1!$G:$G,MATCH(A8,sheet1!$B:$B,0))</f>
        <v>1</v>
      </c>
      <c r="D8" s="1">
        <f>INDEX(sheet1!$G:$G,MATCH(A8,sheet1!$B:$B,0))*10</f>
        <v>10</v>
      </c>
    </row>
    <row r="9" spans="1:4">
      <c r="A9" s="1" t="s">
        <v>47</v>
      </c>
      <c r="B9" s="3" t="s">
        <v>1748</v>
      </c>
      <c r="C9" s="1">
        <f>INDEX(sheet1!$G:$G,MATCH(A9,sheet1!$B:$B,0))</f>
        <v>1</v>
      </c>
      <c r="D9" s="1">
        <f>INDEX(sheet1!$G:$G,MATCH(A9,sheet1!$B:$B,0))*10</f>
        <v>10</v>
      </c>
    </row>
    <row r="10" spans="1:4">
      <c r="A10" s="1" t="s">
        <v>49</v>
      </c>
      <c r="B10" s="3" t="s">
        <v>1749</v>
      </c>
      <c r="C10" s="1">
        <f>INDEX(sheet1!$G:$G,MATCH(A10,sheet1!$B:$B,0))</f>
        <v>0</v>
      </c>
      <c r="D10" s="1">
        <f>INDEX(sheet1!$G:$G,MATCH(A10,sheet1!$B:$B,0))*10</f>
        <v>0</v>
      </c>
    </row>
    <row r="11" spans="1:4">
      <c r="A11" s="1" t="s">
        <v>51</v>
      </c>
      <c r="B11" s="3" t="s">
        <v>1750</v>
      </c>
      <c r="C11" s="1">
        <f>INDEX(sheet1!$G:$G,MATCH(A11,sheet1!$B:$B,0))</f>
        <v>32.4</v>
      </c>
      <c r="D11" s="1">
        <f>INDEX(sheet1!$G:$G,MATCH(A11,sheet1!$B:$B,0))*10</f>
        <v>324</v>
      </c>
    </row>
    <row r="12" spans="1:4">
      <c r="A12" s="1" t="s">
        <v>53</v>
      </c>
      <c r="B12" s="3" t="s">
        <v>1751</v>
      </c>
      <c r="C12" s="1">
        <f>INDEX(sheet1!$G:$G,MATCH(A12,sheet1!$B:$B,0))</f>
        <v>0.001</v>
      </c>
      <c r="D12" s="1">
        <f>INDEX(sheet1!$G:$G,MATCH(A12,sheet1!$B:$B,0))*10</f>
        <v>0.01</v>
      </c>
    </row>
    <row r="13" ht="30" spans="1:12">
      <c r="A13" s="1" t="s">
        <v>55</v>
      </c>
      <c r="B13" s="3" t="s">
        <v>1752</v>
      </c>
      <c r="C13" s="1">
        <f>INDEX(sheet1!$G:$G,MATCH(A13,sheet1!$B:$B,0))</f>
        <v>0.001</v>
      </c>
      <c r="D13" s="1">
        <f>INDEX(sheet1!$G:$G,MATCH(A13,sheet1!$B:$B,0))*10</f>
        <v>0.01</v>
      </c>
      <c r="H13"/>
      <c r="L13" s="9"/>
    </row>
    <row r="14" ht="30" spans="1:12">
      <c r="A14" s="1" t="s">
        <v>57</v>
      </c>
      <c r="B14" s="3" t="s">
        <v>1753</v>
      </c>
      <c r="C14" s="1">
        <f>INDEX(sheet1!$G:$G,MATCH(A14,sheet1!$B:$B,0))</f>
        <v>0.0328</v>
      </c>
      <c r="D14" s="1">
        <f>INDEX(sheet1!$G:$G,MATCH(A14,sheet1!$B:$B,0))*10</f>
        <v>0.328</v>
      </c>
      <c r="H14"/>
      <c r="L14" s="9"/>
    </row>
    <row r="15" ht="30" spans="1:12">
      <c r="A15" s="1" t="s">
        <v>59</v>
      </c>
      <c r="B15" s="3" t="s">
        <v>1754</v>
      </c>
      <c r="C15" s="1">
        <f>INDEX(sheet1!$G:$G,MATCH(A15,sheet1!$B:$B,0))</f>
        <v>0.001</v>
      </c>
      <c r="D15" s="1">
        <f>INDEX(sheet1!$G:$G,MATCH(A15,sheet1!$B:$B,0))*10</f>
        <v>0.01</v>
      </c>
      <c r="H15"/>
      <c r="L15" s="9"/>
    </row>
    <row r="16" spans="1:12">
      <c r="A16" s="1" t="s">
        <v>61</v>
      </c>
      <c r="B16" s="3" t="s">
        <v>1755</v>
      </c>
      <c r="C16" s="1">
        <f>INDEX(sheet1!$G:$G,MATCH(A16,sheet1!$B:$B,0))</f>
        <v>0.001</v>
      </c>
      <c r="D16" s="1">
        <f>INDEX(sheet1!$G:$G,MATCH(A16,sheet1!$B:$B,0))*10</f>
        <v>0.01</v>
      </c>
      <c r="H16"/>
      <c r="L16" s="9"/>
    </row>
    <row r="17" ht="30" spans="1:12">
      <c r="A17" s="1" t="s">
        <v>63</v>
      </c>
      <c r="B17" s="3" t="s">
        <v>1756</v>
      </c>
      <c r="C17" s="1">
        <f>INDEX(sheet1!$G:$G,MATCH(A17,sheet1!$B:$B,0))</f>
        <v>0.001</v>
      </c>
      <c r="D17" s="1">
        <f>INDEX(sheet1!$G:$G,MATCH(A17,sheet1!$B:$B,0))*10</f>
        <v>0.01</v>
      </c>
      <c r="H17"/>
      <c r="L17" s="9"/>
    </row>
    <row r="18" spans="1:12">
      <c r="A18" s="1" t="s">
        <v>65</v>
      </c>
      <c r="B18" s="3" t="s">
        <v>1757</v>
      </c>
      <c r="C18" s="1">
        <f>INDEX(sheet1!$G:$G,MATCH(A18,sheet1!$B:$B,0))</f>
        <v>10</v>
      </c>
      <c r="D18" s="1">
        <f>INDEX(sheet1!$G:$G,MATCH(A18,sheet1!$B:$B,0))*10</f>
        <v>100</v>
      </c>
      <c r="H18"/>
      <c r="L18" s="9"/>
    </row>
    <row r="19" ht="30" spans="1:12">
      <c r="A19" s="1" t="s">
        <v>67</v>
      </c>
      <c r="B19" s="3" t="s">
        <v>1758</v>
      </c>
      <c r="C19" s="1">
        <f>INDEX(sheet1!$G:$G,MATCH(A19,sheet1!$B:$B,0))</f>
        <v>0.001</v>
      </c>
      <c r="D19" s="1">
        <f>INDEX(sheet1!$G:$G,MATCH(A19,sheet1!$B:$B,0))*10</f>
        <v>0.01</v>
      </c>
      <c r="H19"/>
      <c r="L19" s="9"/>
    </row>
    <row r="20" ht="45" spans="1:4">
      <c r="A20" s="1" t="s">
        <v>69</v>
      </c>
      <c r="B20" s="3" t="s">
        <v>1759</v>
      </c>
      <c r="C20" s="1">
        <f>INDEX(sheet1!$G:$G,MATCH(A20,sheet1!$B:$B,0))</f>
        <v>0.001</v>
      </c>
      <c r="D20" s="1">
        <f>INDEX(sheet1!$G:$G,MATCH(A20,sheet1!$B:$B,0))*10</f>
        <v>0.01</v>
      </c>
    </row>
    <row r="21" ht="30" spans="1:4">
      <c r="A21" s="1" t="s">
        <v>71</v>
      </c>
      <c r="B21" s="3" t="s">
        <v>1760</v>
      </c>
      <c r="C21" s="1">
        <f>INDEX(sheet1!$G:$G,MATCH(A21,sheet1!$B:$B,0))</f>
        <v>0.001</v>
      </c>
      <c r="D21" s="1">
        <f>INDEX(sheet1!$G:$G,MATCH(A21,sheet1!$B:$B,0))*10</f>
        <v>0.01</v>
      </c>
    </row>
    <row r="22" ht="45" spans="1:4">
      <c r="A22" s="1" t="s">
        <v>73</v>
      </c>
      <c r="B22" s="3" t="s">
        <v>1761</v>
      </c>
      <c r="C22" s="1">
        <f>INDEX(sheet1!$G:$G,MATCH(A22,sheet1!$B:$B,0))</f>
        <v>0.001</v>
      </c>
      <c r="D22" s="1">
        <f>INDEX(sheet1!$G:$G,MATCH(A22,sheet1!$B:$B,0))*10</f>
        <v>0.01</v>
      </c>
    </row>
    <row r="23" ht="30" spans="1:4">
      <c r="A23" s="1" t="s">
        <v>75</v>
      </c>
      <c r="B23" s="3" t="s">
        <v>1762</v>
      </c>
      <c r="C23" s="1">
        <f>INDEX(sheet1!$G:$G,MATCH(A23,sheet1!$B:$B,0))</f>
        <v>0.324</v>
      </c>
      <c r="D23" s="1">
        <f>INDEX(sheet1!$G:$G,MATCH(A23,sheet1!$B:$B,0))*10</f>
        <v>3.24</v>
      </c>
    </row>
    <row r="24" ht="30" spans="1:4">
      <c r="A24" s="1" t="s">
        <v>77</v>
      </c>
      <c r="B24" s="3" t="s">
        <v>1763</v>
      </c>
      <c r="C24" s="1">
        <f>INDEX(sheet1!$G:$G,MATCH(A24,sheet1!$B:$B,0))</f>
        <v>1.0368</v>
      </c>
      <c r="D24" s="1">
        <f>INDEX(sheet1!$G:$G,MATCH(A24,sheet1!$B:$B,0))*10</f>
        <v>10.368</v>
      </c>
    </row>
    <row r="25" ht="30" spans="1:4">
      <c r="A25" s="1" t="s">
        <v>79</v>
      </c>
      <c r="B25" s="3" t="s">
        <v>1764</v>
      </c>
      <c r="C25" s="1">
        <f>INDEX(sheet1!$G:$G,MATCH(A25,sheet1!$B:$B,0))</f>
        <v>6.48</v>
      </c>
      <c r="D25" s="1">
        <f>INDEX(sheet1!$G:$G,MATCH(A25,sheet1!$B:$B,0))*10</f>
        <v>64.8</v>
      </c>
    </row>
    <row r="26" ht="30" spans="1:4">
      <c r="A26" s="1" t="s">
        <v>81</v>
      </c>
      <c r="B26" s="3" t="s">
        <v>1765</v>
      </c>
      <c r="C26" s="1">
        <f>INDEX(sheet1!$G:$G,MATCH(A26,sheet1!$B:$B,0))</f>
        <v>1.0368</v>
      </c>
      <c r="D26" s="1">
        <f>INDEX(sheet1!$G:$G,MATCH(A26,sheet1!$B:$B,0))*10</f>
        <v>10.368</v>
      </c>
    </row>
    <row r="27" ht="30" spans="1:4">
      <c r="A27" s="1" t="s">
        <v>83</v>
      </c>
      <c r="B27" s="3" t="s">
        <v>1766</v>
      </c>
      <c r="C27" s="1">
        <f>INDEX(sheet1!$G:$G,MATCH(A27,sheet1!$B:$B,0))</f>
        <v>1.0368</v>
      </c>
      <c r="D27" s="1">
        <f>INDEX(sheet1!$G:$G,MATCH(A27,sheet1!$B:$B,0))*10</f>
        <v>10.368</v>
      </c>
    </row>
    <row r="28" ht="30" spans="1:4">
      <c r="A28" s="1" t="s">
        <v>85</v>
      </c>
      <c r="B28" s="3" t="s">
        <v>1767</v>
      </c>
      <c r="C28" s="1">
        <f>INDEX(sheet1!$G:$G,MATCH(A28,sheet1!$B:$B,0))</f>
        <v>1.0368</v>
      </c>
      <c r="D28" s="1">
        <f>INDEX(sheet1!$G:$G,MATCH(A28,sheet1!$B:$B,0))*10</f>
        <v>10.368</v>
      </c>
    </row>
    <row r="29" ht="30" spans="1:4">
      <c r="A29" s="1" t="s">
        <v>87</v>
      </c>
      <c r="B29" s="3" t="s">
        <v>1768</v>
      </c>
      <c r="C29" s="1">
        <f>INDEX(sheet1!$G:$G,MATCH(A29,sheet1!$B:$B,0))</f>
        <v>1.0368</v>
      </c>
      <c r="D29" s="1">
        <f>INDEX(sheet1!$G:$G,MATCH(A29,sheet1!$B:$B,0))*10</f>
        <v>10.368</v>
      </c>
    </row>
    <row r="30" ht="30" spans="1:4">
      <c r="A30" s="1" t="s">
        <v>89</v>
      </c>
      <c r="B30" s="3" t="s">
        <v>1769</v>
      </c>
      <c r="C30" s="1">
        <f>INDEX(sheet1!$G:$G,MATCH(A30,sheet1!$B:$B,0))</f>
        <v>1.0368</v>
      </c>
      <c r="D30" s="1">
        <f>INDEX(sheet1!$G:$G,MATCH(A30,sheet1!$B:$B,0))*10</f>
        <v>10.368</v>
      </c>
    </row>
    <row r="31" ht="30" spans="1:4">
      <c r="A31" s="1" t="s">
        <v>91</v>
      </c>
      <c r="B31" s="3" t="s">
        <v>1770</v>
      </c>
      <c r="C31" s="1">
        <f>INDEX(sheet1!$G:$G,MATCH(A31,sheet1!$B:$B,0))</f>
        <v>6.48</v>
      </c>
      <c r="D31" s="1">
        <f>INDEX(sheet1!$G:$G,MATCH(A31,sheet1!$B:$B,0))*10</f>
        <v>64.8</v>
      </c>
    </row>
    <row r="32" ht="30" spans="1:4">
      <c r="A32" s="1" t="s">
        <v>93</v>
      </c>
      <c r="B32" s="3" t="s">
        <v>1771</v>
      </c>
      <c r="C32" s="1">
        <f>INDEX(sheet1!$G:$G,MATCH(A32,sheet1!$B:$B,0))</f>
        <v>6.48</v>
      </c>
      <c r="D32" s="1">
        <f>INDEX(sheet1!$G:$G,MATCH(A32,sheet1!$B:$B,0))*10</f>
        <v>64.8</v>
      </c>
    </row>
    <row r="33" ht="30" spans="1:4">
      <c r="A33" s="1" t="s">
        <v>95</v>
      </c>
      <c r="B33" s="3" t="s">
        <v>1772</v>
      </c>
      <c r="C33" s="1">
        <f>INDEX(sheet1!$G:$G,MATCH(A33,sheet1!$B:$B,0))</f>
        <v>6.48</v>
      </c>
      <c r="D33" s="1">
        <f>INDEX(sheet1!$G:$G,MATCH(A33,sheet1!$B:$B,0))*10</f>
        <v>64.8</v>
      </c>
    </row>
    <row r="34" ht="30" spans="1:4">
      <c r="A34" s="1" t="s">
        <v>97</v>
      </c>
      <c r="B34" s="3" t="s">
        <v>1773</v>
      </c>
      <c r="C34" s="1">
        <f>INDEX(sheet1!$G:$G,MATCH(A34,sheet1!$B:$B,0))</f>
        <v>6.48</v>
      </c>
      <c r="D34" s="1">
        <f>INDEX(sheet1!$G:$G,MATCH(A34,sheet1!$B:$B,0))*10</f>
        <v>64.8</v>
      </c>
    </row>
    <row r="35" ht="30" spans="1:4">
      <c r="A35" s="1" t="s">
        <v>99</v>
      </c>
      <c r="B35" s="3" t="s">
        <v>1774</v>
      </c>
      <c r="C35" s="1">
        <f>INDEX(sheet1!$G:$G,MATCH(A35,sheet1!$B:$B,0))</f>
        <v>6.48</v>
      </c>
      <c r="D35" s="1">
        <f>INDEX(sheet1!$G:$G,MATCH(A35,sheet1!$B:$B,0))*10</f>
        <v>64.8</v>
      </c>
    </row>
    <row r="36" ht="30" spans="1:4">
      <c r="A36" s="1" t="s">
        <v>101</v>
      </c>
      <c r="B36" s="3" t="s">
        <v>1775</v>
      </c>
      <c r="C36" s="1">
        <f>INDEX(sheet1!$G:$G,MATCH(A36,sheet1!$B:$B,0))</f>
        <v>6.48</v>
      </c>
      <c r="D36" s="1">
        <f>INDEX(sheet1!$G:$G,MATCH(A36,sheet1!$B:$B,0))*10</f>
        <v>64.8</v>
      </c>
    </row>
    <row r="37" ht="30" spans="1:4">
      <c r="A37" s="1" t="s">
        <v>103</v>
      </c>
      <c r="B37" s="3" t="s">
        <v>1776</v>
      </c>
      <c r="C37" s="1">
        <f>INDEX(sheet1!$G:$G,MATCH(A37,sheet1!$B:$B,0))</f>
        <v>6.48</v>
      </c>
      <c r="D37" s="1">
        <f>INDEX(sheet1!$G:$G,MATCH(A37,sheet1!$B:$B,0))*10</f>
        <v>64.8</v>
      </c>
    </row>
    <row r="38" ht="30" spans="1:4">
      <c r="A38" s="1" t="s">
        <v>105</v>
      </c>
      <c r="B38" s="3" t="s">
        <v>1777</v>
      </c>
      <c r="C38" s="1">
        <f>INDEX(sheet1!$G:$G,MATCH(A38,sheet1!$B:$B,0))</f>
        <v>3e-5</v>
      </c>
      <c r="D38" s="1">
        <f>INDEX(sheet1!$G:$G,MATCH(A38,sheet1!$B:$B,0))*10</f>
        <v>0.0003</v>
      </c>
    </row>
    <row r="39" ht="30" spans="1:4">
      <c r="A39" s="1" t="s">
        <v>107</v>
      </c>
      <c r="B39" s="3" t="s">
        <v>1778</v>
      </c>
      <c r="C39" s="1">
        <f>INDEX(sheet1!$G:$G,MATCH(A39,sheet1!$B:$B,0))</f>
        <v>9e-5</v>
      </c>
      <c r="D39" s="1">
        <f>INDEX(sheet1!$G:$G,MATCH(A39,sheet1!$B:$B,0))*10</f>
        <v>0.0009</v>
      </c>
    </row>
    <row r="40" ht="30" spans="1:4">
      <c r="A40" s="1" t="s">
        <v>109</v>
      </c>
      <c r="B40" s="3" t="s">
        <v>1779</v>
      </c>
      <c r="C40" s="1">
        <f>INDEX(sheet1!$G:$G,MATCH(A40,sheet1!$B:$B,0))</f>
        <v>0.000282251463473838</v>
      </c>
      <c r="D40" s="1">
        <f>INDEX(sheet1!$G:$G,MATCH(A40,sheet1!$B:$B,0))*10</f>
        <v>0.00282251463473838</v>
      </c>
    </row>
    <row r="41" ht="30" spans="1:4">
      <c r="A41" s="1" t="s">
        <v>111</v>
      </c>
      <c r="B41" s="3" t="s">
        <v>1780</v>
      </c>
      <c r="C41" s="1">
        <f>INDEX(sheet1!$G:$G,MATCH(A41,sheet1!$B:$B,0))</f>
        <v>0.000846754390421515</v>
      </c>
      <c r="D41" s="1">
        <f>INDEX(sheet1!$G:$G,MATCH(A41,sheet1!$B:$B,0))*10</f>
        <v>0.00846754390421515</v>
      </c>
    </row>
    <row r="42" ht="30" spans="1:4">
      <c r="A42" s="1" t="s">
        <v>113</v>
      </c>
      <c r="B42" s="3" t="s">
        <v>1781</v>
      </c>
      <c r="C42" s="1">
        <f>INDEX(sheet1!$G:$G,MATCH(A42,sheet1!$B:$B,0))</f>
        <v>0.00254026317126454</v>
      </c>
      <c r="D42" s="1">
        <f>INDEX(sheet1!$G:$G,MATCH(A42,sheet1!$B:$B,0))*10</f>
        <v>0.0254026317126454</v>
      </c>
    </row>
    <row r="43" ht="30" spans="1:4">
      <c r="A43" s="1" t="s">
        <v>115</v>
      </c>
      <c r="B43" s="3" t="s">
        <v>1782</v>
      </c>
      <c r="C43" s="1">
        <f>INDEX(sheet1!$G:$G,MATCH(A43,sheet1!$B:$B,0))</f>
        <v>0.00762078951379363</v>
      </c>
      <c r="D43" s="1">
        <f>INDEX(sheet1!$G:$G,MATCH(A43,sheet1!$B:$B,0))*10</f>
        <v>0.0762078951379363</v>
      </c>
    </row>
    <row r="44" ht="30" spans="1:4">
      <c r="A44" s="1" t="s">
        <v>117</v>
      </c>
      <c r="B44" s="3" t="s">
        <v>1783</v>
      </c>
      <c r="C44" s="1">
        <f>INDEX(sheet1!$G:$G,MATCH(A44,sheet1!$B:$B,0))</f>
        <v>0.0228623685413809</v>
      </c>
      <c r="D44" s="1">
        <f>INDEX(sheet1!$G:$G,MATCH(A44,sheet1!$B:$B,0))*10</f>
        <v>0.228623685413809</v>
      </c>
    </row>
    <row r="45" ht="30" spans="1:4">
      <c r="A45" s="1" t="s">
        <v>119</v>
      </c>
      <c r="B45" s="3" t="s">
        <v>1784</v>
      </c>
      <c r="C45" s="1">
        <f>INDEX(sheet1!$G:$G,MATCH(A45,sheet1!$B:$B,0))</f>
        <v>0.0685871056241427</v>
      </c>
      <c r="D45" s="1">
        <f>INDEX(sheet1!$G:$G,MATCH(A45,sheet1!$B:$B,0))*10</f>
        <v>0.685871056241427</v>
      </c>
    </row>
    <row r="46" ht="30" spans="1:4">
      <c r="A46" s="1" t="s">
        <v>121</v>
      </c>
      <c r="B46" s="3" t="s">
        <v>1785</v>
      </c>
      <c r="C46" s="1">
        <f>INDEX(sheet1!$G:$G,MATCH(A46,sheet1!$B:$B,0))</f>
        <v>0.205761316872428</v>
      </c>
      <c r="D46" s="1">
        <f>INDEX(sheet1!$G:$G,MATCH(A46,sheet1!$B:$B,0))*10</f>
        <v>2.05761316872428</v>
      </c>
    </row>
    <row r="47" ht="30" spans="1:4">
      <c r="A47" s="1" t="s">
        <v>123</v>
      </c>
      <c r="B47" s="3" t="s">
        <v>1786</v>
      </c>
      <c r="C47" s="1">
        <f>INDEX(sheet1!$G:$G,MATCH(A47,sheet1!$B:$B,0))</f>
        <v>0.617283950617284</v>
      </c>
      <c r="D47" s="1">
        <f>INDEX(sheet1!$G:$G,MATCH(A47,sheet1!$B:$B,0))*10</f>
        <v>6.17283950617284</v>
      </c>
    </row>
    <row r="48" ht="30" spans="1:4">
      <c r="A48" s="1" t="s">
        <v>125</v>
      </c>
      <c r="B48" s="3" t="s">
        <v>1787</v>
      </c>
      <c r="C48" s="1">
        <f>INDEX(sheet1!$G:$G,MATCH(A48,sheet1!$B:$B,0))</f>
        <v>1.85185185185185</v>
      </c>
      <c r="D48" s="1">
        <f>INDEX(sheet1!$G:$G,MATCH(A48,sheet1!$B:$B,0))*10</f>
        <v>18.5185185185185</v>
      </c>
    </row>
    <row r="49" ht="30" spans="1:4">
      <c r="A49" s="1" t="s">
        <v>127</v>
      </c>
      <c r="B49" s="3" t="s">
        <v>1788</v>
      </c>
      <c r="C49" s="1">
        <f>INDEX(sheet1!$G:$G,MATCH(A49,sheet1!$B:$B,0))</f>
        <v>5.55555555555556</v>
      </c>
      <c r="D49" s="1">
        <f>INDEX(sheet1!$G:$G,MATCH(A49,sheet1!$B:$B,0))*10</f>
        <v>55.5555555555556</v>
      </c>
    </row>
    <row r="50" ht="30" spans="1:4">
      <c r="A50" s="1" t="s">
        <v>129</v>
      </c>
      <c r="B50" s="3" t="s">
        <v>1789</v>
      </c>
      <c r="C50" s="1">
        <f>INDEX(sheet1!$G:$G,MATCH(A50,sheet1!$B:$B,0))</f>
        <v>16.6666666666667</v>
      </c>
      <c r="D50" s="1">
        <f>INDEX(sheet1!$G:$G,MATCH(A50,sheet1!$B:$B,0))*10</f>
        <v>166.666666666667</v>
      </c>
    </row>
    <row r="51" spans="1:4">
      <c r="A51" s="1" t="s">
        <v>131</v>
      </c>
      <c r="B51" s="3" t="s">
        <v>1790</v>
      </c>
      <c r="C51" s="1">
        <f>INDEX(sheet1!$G:$G,MATCH(A51,sheet1!$B:$B,0))</f>
        <v>50</v>
      </c>
      <c r="D51" s="1">
        <f>INDEX(sheet1!$G:$G,MATCH(A51,sheet1!$B:$B,0))*10</f>
        <v>500</v>
      </c>
    </row>
    <row r="52" spans="1:4">
      <c r="A52" s="1" t="s">
        <v>133</v>
      </c>
      <c r="B52" s="3" t="s">
        <v>1791</v>
      </c>
      <c r="C52" s="1">
        <f>INDEX(sheet1!$G:$G,MATCH(A52,sheet1!$B:$B,0))</f>
        <v>152.4</v>
      </c>
      <c r="D52" s="1">
        <f>INDEX(sheet1!$G:$G,MATCH(A52,sheet1!$B:$B,0))*10</f>
        <v>1524</v>
      </c>
    </row>
    <row r="53" ht="30" spans="1:4">
      <c r="A53" s="1" t="s">
        <v>135</v>
      </c>
      <c r="B53" s="3" t="s">
        <v>1792</v>
      </c>
      <c r="C53" s="1">
        <f>INDEX(sheet1!$G:$G,MATCH(A53,sheet1!$B:$B,0))</f>
        <v>460.4</v>
      </c>
      <c r="D53" s="1">
        <f>INDEX(sheet1!$G:$G,MATCH(A53,sheet1!$B:$B,0))*10</f>
        <v>4604</v>
      </c>
    </row>
    <row r="54" ht="30" spans="1:4">
      <c r="A54" s="1" t="s">
        <v>137</v>
      </c>
      <c r="B54" s="3" t="s">
        <v>1793</v>
      </c>
      <c r="C54" s="1">
        <f>INDEX(sheet1!$G:$G,MATCH(A54,sheet1!$B:$B,0))</f>
        <v>1386</v>
      </c>
      <c r="D54" s="1">
        <f>INDEX(sheet1!$G:$G,MATCH(A54,sheet1!$B:$B,0))*10</f>
        <v>13860</v>
      </c>
    </row>
    <row r="55" spans="1:4">
      <c r="A55" s="1" t="s">
        <v>139</v>
      </c>
      <c r="B55" s="3" t="s">
        <v>1794</v>
      </c>
      <c r="C55" s="1">
        <f>INDEX(sheet1!$G:$G,MATCH(A55,sheet1!$B:$B,0))</f>
        <v>3e-5</v>
      </c>
      <c r="D55" s="1">
        <f>INDEX(sheet1!$G:$G,MATCH(A55,sheet1!$B:$B,0))*10</f>
        <v>0.0003</v>
      </c>
    </row>
    <row r="56" spans="1:4">
      <c r="A56" s="1" t="s">
        <v>141</v>
      </c>
      <c r="B56" s="3" t="s">
        <v>1795</v>
      </c>
      <c r="C56" s="1">
        <f>INDEX(sheet1!$G:$G,MATCH(A56,sheet1!$B:$B,0))</f>
        <v>9e-5</v>
      </c>
      <c r="D56" s="1">
        <f>INDEX(sheet1!$G:$G,MATCH(A56,sheet1!$B:$B,0))*10</f>
        <v>0.0009</v>
      </c>
    </row>
    <row r="57" ht="30" spans="1:4">
      <c r="A57" s="1" t="s">
        <v>143</v>
      </c>
      <c r="B57" s="3" t="s">
        <v>1796</v>
      </c>
      <c r="C57" s="1">
        <f>INDEX(sheet1!$G:$G,MATCH(A57,sheet1!$B:$B,0))</f>
        <v>0.000282251463473838</v>
      </c>
      <c r="D57" s="1">
        <f>INDEX(sheet1!$G:$G,MATCH(A57,sheet1!$B:$B,0))*10</f>
        <v>0.00282251463473838</v>
      </c>
    </row>
    <row r="58" ht="30" spans="1:4">
      <c r="A58" s="1" t="s">
        <v>145</v>
      </c>
      <c r="B58" s="3" t="s">
        <v>1797</v>
      </c>
      <c r="C58" s="1">
        <f>INDEX(sheet1!$G:$G,MATCH(A58,sheet1!$B:$B,0))</f>
        <v>0.000846754390421515</v>
      </c>
      <c r="D58" s="1">
        <f>INDEX(sheet1!$G:$G,MATCH(A58,sheet1!$B:$B,0))*10</f>
        <v>0.00846754390421515</v>
      </c>
    </row>
    <row r="59" ht="30" spans="1:4">
      <c r="A59" s="1" t="s">
        <v>147</v>
      </c>
      <c r="B59" s="3" t="s">
        <v>1798</v>
      </c>
      <c r="C59" s="1">
        <f>INDEX(sheet1!$G:$G,MATCH(A59,sheet1!$B:$B,0))</f>
        <v>0.00254026317126454</v>
      </c>
      <c r="D59" s="1">
        <f>INDEX(sheet1!$G:$G,MATCH(A59,sheet1!$B:$B,0))*10</f>
        <v>0.0254026317126454</v>
      </c>
    </row>
    <row r="60" ht="30" spans="1:4">
      <c r="A60" s="1" t="s">
        <v>149</v>
      </c>
      <c r="B60" s="3" t="s">
        <v>1799</v>
      </c>
      <c r="C60" s="1">
        <f>INDEX(sheet1!$G:$G,MATCH(A60,sheet1!$B:$B,0))</f>
        <v>0.00762078951379363</v>
      </c>
      <c r="D60" s="1">
        <f>INDEX(sheet1!$G:$G,MATCH(A60,sheet1!$B:$B,0))*10</f>
        <v>0.0762078951379363</v>
      </c>
    </row>
    <row r="61" ht="30" spans="1:4">
      <c r="A61" s="1" t="s">
        <v>151</v>
      </c>
      <c r="B61" s="3" t="s">
        <v>1800</v>
      </c>
      <c r="C61" s="1">
        <f>INDEX(sheet1!$G:$G,MATCH(A61,sheet1!$B:$B,0))</f>
        <v>0.0228623685413809</v>
      </c>
      <c r="D61" s="1">
        <f>INDEX(sheet1!$G:$G,MATCH(A61,sheet1!$B:$B,0))*10</f>
        <v>0.228623685413809</v>
      </c>
    </row>
    <row r="62" ht="30" spans="1:4">
      <c r="A62" s="1" t="s">
        <v>153</v>
      </c>
      <c r="B62" s="3" t="s">
        <v>1801</v>
      </c>
      <c r="C62" s="1">
        <f>INDEX(sheet1!$G:$G,MATCH(A62,sheet1!$B:$B,0))</f>
        <v>0.0685871056241427</v>
      </c>
      <c r="D62" s="1">
        <f>INDEX(sheet1!$G:$G,MATCH(A62,sheet1!$B:$B,0))*10</f>
        <v>0.685871056241427</v>
      </c>
    </row>
    <row r="63" ht="30" spans="1:4">
      <c r="A63" s="1" t="s">
        <v>155</v>
      </c>
      <c r="B63" s="3" t="s">
        <v>1802</v>
      </c>
      <c r="C63" s="1">
        <f>INDEX(sheet1!$G:$G,MATCH(A63,sheet1!$B:$B,0))</f>
        <v>0.205761316872428</v>
      </c>
      <c r="D63" s="1">
        <f>INDEX(sheet1!$G:$G,MATCH(A63,sheet1!$B:$B,0))*10</f>
        <v>2.05761316872428</v>
      </c>
    </row>
    <row r="64" spans="1:4">
      <c r="A64" s="1" t="s">
        <v>157</v>
      </c>
      <c r="B64" s="3" t="s">
        <v>1803</v>
      </c>
      <c r="C64" s="1">
        <f>INDEX(sheet1!$G:$G,MATCH(A64,sheet1!$B:$B,0))</f>
        <v>0.617283950617284</v>
      </c>
      <c r="D64" s="1">
        <f>INDEX(sheet1!$G:$G,MATCH(A64,sheet1!$B:$B,0))*10</f>
        <v>6.17283950617284</v>
      </c>
    </row>
    <row r="65" ht="30" spans="1:4">
      <c r="A65" s="1" t="s">
        <v>159</v>
      </c>
      <c r="B65" s="3" t="s">
        <v>160</v>
      </c>
      <c r="C65" s="1">
        <f>INDEX(sheet1!$G:$G,MATCH(A65,sheet1!$B:$B,0))</f>
        <v>1.85185185185185</v>
      </c>
      <c r="D65" s="1">
        <f>INDEX(sheet1!$G:$G,MATCH(A65,sheet1!$B:$B,0))*10</f>
        <v>18.5185185185185</v>
      </c>
    </row>
    <row r="66" ht="30" spans="1:4">
      <c r="A66" s="1" t="s">
        <v>161</v>
      </c>
      <c r="B66" s="3" t="s">
        <v>1804</v>
      </c>
      <c r="C66" s="1">
        <f>INDEX(sheet1!$G:$G,MATCH(A66,sheet1!$B:$B,0))</f>
        <v>5.55555555555556</v>
      </c>
      <c r="D66" s="1">
        <f>INDEX(sheet1!$G:$G,MATCH(A66,sheet1!$B:$B,0))*10</f>
        <v>55.5555555555556</v>
      </c>
    </row>
    <row r="67" ht="30" spans="1:4">
      <c r="A67" s="1" t="s">
        <v>163</v>
      </c>
      <c r="B67" s="3" t="s">
        <v>1805</v>
      </c>
      <c r="C67" s="1">
        <f>INDEX(sheet1!$G:$G,MATCH(A67,sheet1!$B:$B,0))</f>
        <v>16.6666666666667</v>
      </c>
      <c r="D67" s="1">
        <f>INDEX(sheet1!$G:$G,MATCH(A67,sheet1!$B:$B,0))*10</f>
        <v>166.666666666667</v>
      </c>
    </row>
    <row r="68" spans="1:4">
      <c r="A68" s="1" t="s">
        <v>165</v>
      </c>
      <c r="B68" s="3" t="s">
        <v>1806</v>
      </c>
      <c r="C68" s="1">
        <f>INDEX(sheet1!$G:$G,MATCH(A68,sheet1!$B:$B,0))</f>
        <v>50</v>
      </c>
      <c r="D68" s="1">
        <f>INDEX(sheet1!$G:$G,MATCH(A68,sheet1!$B:$B,0))*10</f>
        <v>500</v>
      </c>
    </row>
    <row r="69" spans="1:4">
      <c r="A69" s="1" t="s">
        <v>167</v>
      </c>
      <c r="B69" s="3" t="s">
        <v>1807</v>
      </c>
      <c r="C69" s="1">
        <f>INDEX(sheet1!$G:$G,MATCH(A69,sheet1!$B:$B,0))</f>
        <v>152.4</v>
      </c>
      <c r="D69" s="1">
        <f>INDEX(sheet1!$G:$G,MATCH(A69,sheet1!$B:$B,0))*10</f>
        <v>1524</v>
      </c>
    </row>
    <row r="70" ht="30" spans="1:4">
      <c r="A70" s="1" t="s">
        <v>169</v>
      </c>
      <c r="B70" s="3" t="s">
        <v>1808</v>
      </c>
      <c r="C70" s="1">
        <f>INDEX(sheet1!$G:$G,MATCH(A70,sheet1!$B:$B,0))</f>
        <v>460.4</v>
      </c>
      <c r="D70" s="1">
        <f>INDEX(sheet1!$G:$G,MATCH(A70,sheet1!$B:$B,0))*10</f>
        <v>4604</v>
      </c>
    </row>
    <row r="71" ht="30" spans="1:4">
      <c r="A71" s="1" t="s">
        <v>171</v>
      </c>
      <c r="B71" s="3" t="s">
        <v>1809</v>
      </c>
      <c r="C71" s="1">
        <f>INDEX(sheet1!$G:$G,MATCH(A71,sheet1!$B:$B,0))</f>
        <v>1386</v>
      </c>
      <c r="D71" s="1">
        <f>INDEX(sheet1!$G:$G,MATCH(A71,sheet1!$B:$B,0))*10</f>
        <v>13860</v>
      </c>
    </row>
    <row r="72" ht="30" spans="1:4">
      <c r="A72" s="1" t="s">
        <v>173</v>
      </c>
      <c r="B72" s="3" t="s">
        <v>1810</v>
      </c>
      <c r="C72" s="1">
        <f>INDEX(sheet1!$G:$G,MATCH(A72,sheet1!$B:$B,0))</f>
        <v>3e-5</v>
      </c>
      <c r="D72" s="1">
        <f>INDEX(sheet1!$G:$G,MATCH(A72,sheet1!$B:$B,0))*10</f>
        <v>0.0003</v>
      </c>
    </row>
    <row r="73" spans="1:4">
      <c r="A73" s="1" t="s">
        <v>175</v>
      </c>
      <c r="B73" s="3" t="s">
        <v>1811</v>
      </c>
      <c r="C73" s="1">
        <f>INDEX(sheet1!$G:$G,MATCH(A73,sheet1!$B:$B,0))</f>
        <v>9e-5</v>
      </c>
      <c r="D73" s="1">
        <f>INDEX(sheet1!$G:$G,MATCH(A73,sheet1!$B:$B,0))*10</f>
        <v>0.0009</v>
      </c>
    </row>
    <row r="74" ht="30" spans="1:4">
      <c r="A74" s="1" t="s">
        <v>177</v>
      </c>
      <c r="B74" s="3" t="s">
        <v>1812</v>
      </c>
      <c r="C74" s="1">
        <f>INDEX(sheet1!$G:$G,MATCH(A74,sheet1!$B:$B,0))</f>
        <v>0.000282251463473838</v>
      </c>
      <c r="D74" s="1">
        <f>INDEX(sheet1!$G:$G,MATCH(A74,sheet1!$B:$B,0))*10</f>
        <v>0.00282251463473838</v>
      </c>
    </row>
    <row r="75" ht="30" spans="1:4">
      <c r="A75" s="1" t="s">
        <v>179</v>
      </c>
      <c r="B75" s="3" t="s">
        <v>1813</v>
      </c>
      <c r="C75" s="1">
        <f>INDEX(sheet1!$G:$G,MATCH(A75,sheet1!$B:$B,0))</f>
        <v>0.000846754390421515</v>
      </c>
      <c r="D75" s="1">
        <f>INDEX(sheet1!$G:$G,MATCH(A75,sheet1!$B:$B,0))*10</f>
        <v>0.00846754390421515</v>
      </c>
    </row>
    <row r="76" ht="30" spans="1:4">
      <c r="A76" s="1" t="s">
        <v>181</v>
      </c>
      <c r="B76" s="3" t="s">
        <v>1814</v>
      </c>
      <c r="C76" s="1">
        <f>INDEX(sheet1!$G:$G,MATCH(A76,sheet1!$B:$B,0))</f>
        <v>0.00254026317126454</v>
      </c>
      <c r="D76" s="1">
        <f>INDEX(sheet1!$G:$G,MATCH(A76,sheet1!$B:$B,0))*10</f>
        <v>0.0254026317126454</v>
      </c>
    </row>
    <row r="77" ht="30" spans="1:4">
      <c r="A77" s="1" t="s">
        <v>183</v>
      </c>
      <c r="B77" s="3" t="s">
        <v>1815</v>
      </c>
      <c r="C77" s="1">
        <f>INDEX(sheet1!$G:$G,MATCH(A77,sheet1!$B:$B,0))</f>
        <v>0.00762078951379363</v>
      </c>
      <c r="D77" s="1">
        <f>INDEX(sheet1!$G:$G,MATCH(A77,sheet1!$B:$B,0))*10</f>
        <v>0.0762078951379363</v>
      </c>
    </row>
    <row r="78" ht="30" spans="1:4">
      <c r="A78" s="1" t="s">
        <v>185</v>
      </c>
      <c r="B78" s="3" t="s">
        <v>1816</v>
      </c>
      <c r="C78" s="1">
        <f>INDEX(sheet1!$G:$G,MATCH(A78,sheet1!$B:$B,0))</f>
        <v>0.0228623685413809</v>
      </c>
      <c r="D78" s="1">
        <f>INDEX(sheet1!$G:$G,MATCH(A78,sheet1!$B:$B,0))*10</f>
        <v>0.228623685413809</v>
      </c>
    </row>
    <row r="79" ht="30" spans="1:4">
      <c r="A79" s="1" t="s">
        <v>187</v>
      </c>
      <c r="B79" s="3" t="s">
        <v>1817</v>
      </c>
      <c r="C79" s="1">
        <f>INDEX(sheet1!$G:$G,MATCH(A79,sheet1!$B:$B,0))</f>
        <v>0.0685871056241427</v>
      </c>
      <c r="D79" s="1">
        <f>INDEX(sheet1!$G:$G,MATCH(A79,sheet1!$B:$B,0))*10</f>
        <v>0.685871056241427</v>
      </c>
    </row>
    <row r="80" spans="1:4">
      <c r="A80" s="1" t="s">
        <v>189</v>
      </c>
      <c r="B80" s="3" t="s">
        <v>1818</v>
      </c>
      <c r="C80" s="1">
        <f>INDEX(sheet1!$G:$G,MATCH(A80,sheet1!$B:$B,0))</f>
        <v>0.205761316872428</v>
      </c>
      <c r="D80" s="1">
        <f>INDEX(sheet1!$G:$G,MATCH(A80,sheet1!$B:$B,0))*10</f>
        <v>2.05761316872428</v>
      </c>
    </row>
    <row r="81" spans="1:4">
      <c r="A81" s="1" t="s">
        <v>191</v>
      </c>
      <c r="B81" s="3" t="s">
        <v>1819</v>
      </c>
      <c r="C81" s="1">
        <f>INDEX(sheet1!$G:$G,MATCH(A81,sheet1!$B:$B,0))</f>
        <v>0.617283950617284</v>
      </c>
      <c r="D81" s="1">
        <f>INDEX(sheet1!$G:$G,MATCH(A81,sheet1!$B:$B,0))*10</f>
        <v>6.17283950617284</v>
      </c>
    </row>
    <row r="82" ht="30" spans="1:4">
      <c r="A82" s="1" t="s">
        <v>193</v>
      </c>
      <c r="B82" s="3" t="s">
        <v>1820</v>
      </c>
      <c r="C82" s="1">
        <f>INDEX(sheet1!$G:$G,MATCH(A82,sheet1!$B:$B,0))</f>
        <v>1.85185185185185</v>
      </c>
      <c r="D82" s="1">
        <f>INDEX(sheet1!$G:$G,MATCH(A82,sheet1!$B:$B,0))*10</f>
        <v>18.5185185185185</v>
      </c>
    </row>
    <row r="83" ht="30" spans="1:4">
      <c r="A83" s="1" t="s">
        <v>195</v>
      </c>
      <c r="B83" s="3" t="s">
        <v>1821</v>
      </c>
      <c r="C83" s="1">
        <f>INDEX(sheet1!$G:$G,MATCH(A83,sheet1!$B:$B,0))</f>
        <v>5.55555555555556</v>
      </c>
      <c r="D83" s="1">
        <f>INDEX(sheet1!$G:$G,MATCH(A83,sheet1!$B:$B,0))*10</f>
        <v>55.5555555555556</v>
      </c>
    </row>
    <row r="84" ht="30" spans="1:4">
      <c r="A84" s="1" t="s">
        <v>197</v>
      </c>
      <c r="B84" s="3" t="s">
        <v>1822</v>
      </c>
      <c r="C84" s="1">
        <f>INDEX(sheet1!$G:$G,MATCH(A84,sheet1!$B:$B,0))</f>
        <v>16.6666666666667</v>
      </c>
      <c r="D84" s="1">
        <f>INDEX(sheet1!$G:$G,MATCH(A84,sheet1!$B:$B,0))*10</f>
        <v>166.666666666667</v>
      </c>
    </row>
    <row r="85" ht="30" spans="1:4">
      <c r="A85" s="1" t="s">
        <v>199</v>
      </c>
      <c r="B85" s="3" t="s">
        <v>1823</v>
      </c>
      <c r="C85" s="1">
        <f>INDEX(sheet1!$G:$G,MATCH(A85,sheet1!$B:$B,0))</f>
        <v>50</v>
      </c>
      <c r="D85" s="1">
        <f>INDEX(sheet1!$G:$G,MATCH(A85,sheet1!$B:$B,0))*10</f>
        <v>500</v>
      </c>
    </row>
    <row r="86" spans="1:4">
      <c r="A86" s="1" t="s">
        <v>201</v>
      </c>
      <c r="B86" s="3" t="s">
        <v>1824</v>
      </c>
      <c r="C86" s="1">
        <f>INDEX(sheet1!$G:$G,MATCH(A86,sheet1!$B:$B,0))</f>
        <v>152.4</v>
      </c>
      <c r="D86" s="1">
        <f>INDEX(sheet1!$G:$G,MATCH(A86,sheet1!$B:$B,0))*10</f>
        <v>1524</v>
      </c>
    </row>
    <row r="87" ht="30" spans="1:4">
      <c r="A87" s="1" t="s">
        <v>203</v>
      </c>
      <c r="B87" s="3" t="s">
        <v>1825</v>
      </c>
      <c r="C87" s="1">
        <f>INDEX(sheet1!$G:$G,MATCH(A87,sheet1!$B:$B,0))</f>
        <v>460.4</v>
      </c>
      <c r="D87" s="1">
        <f>INDEX(sheet1!$G:$G,MATCH(A87,sheet1!$B:$B,0))*10</f>
        <v>4604</v>
      </c>
    </row>
    <row r="88" ht="30" spans="1:4">
      <c r="A88" s="1" t="s">
        <v>205</v>
      </c>
      <c r="B88" s="3" t="s">
        <v>1826</v>
      </c>
      <c r="C88" s="1">
        <f>INDEX(sheet1!$G:$G,MATCH(A88,sheet1!$B:$B,0))</f>
        <v>1386</v>
      </c>
      <c r="D88" s="1">
        <f>INDEX(sheet1!$G:$G,MATCH(A88,sheet1!$B:$B,0))*10</f>
        <v>13860</v>
      </c>
    </row>
    <row r="89" spans="1:4">
      <c r="A89" s="1" t="s">
        <v>207</v>
      </c>
      <c r="B89" s="3" t="s">
        <v>1827</v>
      </c>
      <c r="C89" s="1">
        <f>INDEX(sheet1!$G:$G,MATCH(A89,sheet1!$B:$B,0))</f>
        <v>3e-5</v>
      </c>
      <c r="D89" s="1">
        <f>INDEX(sheet1!$G:$G,MATCH(A89,sheet1!$B:$B,0))*10</f>
        <v>0.0003</v>
      </c>
    </row>
    <row r="90" ht="30" spans="1:4">
      <c r="A90" s="1" t="s">
        <v>209</v>
      </c>
      <c r="B90" s="3" t="s">
        <v>1828</v>
      </c>
      <c r="C90" s="1">
        <f>INDEX(sheet1!$G:$G,MATCH(A90,sheet1!$B:$B,0))</f>
        <v>9e-5</v>
      </c>
      <c r="D90" s="1">
        <f>INDEX(sheet1!$G:$G,MATCH(A90,sheet1!$B:$B,0))*10</f>
        <v>0.0009</v>
      </c>
    </row>
    <row r="91" ht="30" spans="1:4">
      <c r="A91" s="1" t="s">
        <v>211</v>
      </c>
      <c r="B91" s="3" t="s">
        <v>1829</v>
      </c>
      <c r="C91" s="1">
        <f>INDEX(sheet1!$G:$G,MATCH(A91,sheet1!$B:$B,0))</f>
        <v>0.000282251463473838</v>
      </c>
      <c r="D91" s="1">
        <f>INDEX(sheet1!$G:$G,MATCH(A91,sheet1!$B:$B,0))*10</f>
        <v>0.00282251463473838</v>
      </c>
    </row>
    <row r="92" ht="30" spans="1:4">
      <c r="A92" s="1" t="s">
        <v>213</v>
      </c>
      <c r="B92" s="3" t="s">
        <v>1830</v>
      </c>
      <c r="C92" s="1">
        <f>INDEX(sheet1!$G:$G,MATCH(A92,sheet1!$B:$B,0))</f>
        <v>0.000846754390421515</v>
      </c>
      <c r="D92" s="1">
        <f>INDEX(sheet1!$G:$G,MATCH(A92,sheet1!$B:$B,0))*10</f>
        <v>0.00846754390421515</v>
      </c>
    </row>
    <row r="93" ht="30" spans="1:4">
      <c r="A93" s="1" t="s">
        <v>215</v>
      </c>
      <c r="B93" s="3" t="s">
        <v>1831</v>
      </c>
      <c r="C93" s="1">
        <f>INDEX(sheet1!$G:$G,MATCH(A93,sheet1!$B:$B,0))</f>
        <v>0.00254026317126454</v>
      </c>
      <c r="D93" s="1">
        <f>INDEX(sheet1!$G:$G,MATCH(A93,sheet1!$B:$B,0))*10</f>
        <v>0.0254026317126454</v>
      </c>
    </row>
    <row r="94" ht="30" spans="1:4">
      <c r="A94" s="1" t="s">
        <v>217</v>
      </c>
      <c r="B94" s="3" t="s">
        <v>1832</v>
      </c>
      <c r="C94" s="1">
        <f>INDEX(sheet1!$G:$G,MATCH(A94,sheet1!$B:$B,0))</f>
        <v>0.00762078951379363</v>
      </c>
      <c r="D94" s="1">
        <f>INDEX(sheet1!$G:$G,MATCH(A94,sheet1!$B:$B,0))*10</f>
        <v>0.0762078951379363</v>
      </c>
    </row>
    <row r="95" ht="30" spans="1:4">
      <c r="A95" s="1" t="s">
        <v>219</v>
      </c>
      <c r="B95" s="3" t="s">
        <v>1833</v>
      </c>
      <c r="C95" s="1">
        <f>INDEX(sheet1!$G:$G,MATCH(A95,sheet1!$B:$B,0))</f>
        <v>0.0228623685413809</v>
      </c>
      <c r="D95" s="1">
        <f>INDEX(sheet1!$G:$G,MATCH(A95,sheet1!$B:$B,0))*10</f>
        <v>0.228623685413809</v>
      </c>
    </row>
    <row r="96" ht="30" spans="1:4">
      <c r="A96" s="1" t="s">
        <v>221</v>
      </c>
      <c r="B96" s="3" t="s">
        <v>1834</v>
      </c>
      <c r="C96" s="1">
        <f>INDEX(sheet1!$G:$G,MATCH(A96,sheet1!$B:$B,0))</f>
        <v>0.0685871056241427</v>
      </c>
      <c r="D96" s="1">
        <f>INDEX(sheet1!$G:$G,MATCH(A96,sheet1!$B:$B,0))*10</f>
        <v>0.685871056241427</v>
      </c>
    </row>
    <row r="97" spans="1:4">
      <c r="A97" s="1" t="s">
        <v>223</v>
      </c>
      <c r="B97" s="3" t="s">
        <v>1835</v>
      </c>
      <c r="C97" s="1">
        <f>INDEX(sheet1!$G:$G,MATCH(A97,sheet1!$B:$B,0))</f>
        <v>0.205761316872428</v>
      </c>
      <c r="D97" s="1">
        <f>INDEX(sheet1!$G:$G,MATCH(A97,sheet1!$B:$B,0))*10</f>
        <v>2.05761316872428</v>
      </c>
    </row>
    <row r="98" spans="1:4">
      <c r="A98" s="1" t="s">
        <v>225</v>
      </c>
      <c r="B98" s="3" t="s">
        <v>1836</v>
      </c>
      <c r="C98" s="1">
        <f>INDEX(sheet1!$G:$G,MATCH(A98,sheet1!$B:$B,0))</f>
        <v>0.617283950617284</v>
      </c>
      <c r="D98" s="1">
        <f>INDEX(sheet1!$G:$G,MATCH(A98,sheet1!$B:$B,0))*10</f>
        <v>6.17283950617284</v>
      </c>
    </row>
    <row r="99" ht="30" spans="1:4">
      <c r="A99" s="1" t="s">
        <v>227</v>
      </c>
      <c r="B99" s="3" t="s">
        <v>1837</v>
      </c>
      <c r="C99" s="1">
        <f>INDEX(sheet1!$G:$G,MATCH(A99,sheet1!$B:$B,0))</f>
        <v>1.85185185185185</v>
      </c>
      <c r="D99" s="1">
        <f>INDEX(sheet1!$G:$G,MATCH(A99,sheet1!$B:$B,0))*10</f>
        <v>18.5185185185185</v>
      </c>
    </row>
    <row r="100" ht="30" spans="1:4">
      <c r="A100" s="1" t="s">
        <v>229</v>
      </c>
      <c r="B100" s="3" t="s">
        <v>1838</v>
      </c>
      <c r="C100" s="1">
        <f>INDEX(sheet1!$G:$G,MATCH(A100,sheet1!$B:$B,0))</f>
        <v>5.55555555555556</v>
      </c>
      <c r="D100" s="1">
        <f>INDEX(sheet1!$G:$G,MATCH(A100,sheet1!$B:$B,0))*10</f>
        <v>55.5555555555556</v>
      </c>
    </row>
    <row r="101" ht="30" spans="1:4">
      <c r="A101" s="1" t="s">
        <v>231</v>
      </c>
      <c r="B101" s="3" t="s">
        <v>1839</v>
      </c>
      <c r="C101" s="1">
        <f>INDEX(sheet1!$G:$G,MATCH(A101,sheet1!$B:$B,0))</f>
        <v>16.6666666666667</v>
      </c>
      <c r="D101" s="1">
        <f>INDEX(sheet1!$G:$G,MATCH(A101,sheet1!$B:$B,0))*10</f>
        <v>166.666666666667</v>
      </c>
    </row>
    <row r="102" spans="1:4">
      <c r="A102" s="1" t="s">
        <v>233</v>
      </c>
      <c r="B102" s="3" t="s">
        <v>1840</v>
      </c>
      <c r="C102" s="1">
        <f>INDEX(sheet1!$G:$G,MATCH(A102,sheet1!$B:$B,0))</f>
        <v>50</v>
      </c>
      <c r="D102" s="1">
        <f>INDEX(sheet1!$G:$G,MATCH(A102,sheet1!$B:$B,0))*10</f>
        <v>500</v>
      </c>
    </row>
    <row r="103" spans="1:4">
      <c r="A103" s="1" t="s">
        <v>235</v>
      </c>
      <c r="B103" s="3" t="s">
        <v>1841</v>
      </c>
      <c r="C103" s="1">
        <f>INDEX(sheet1!$G:$G,MATCH(A103,sheet1!$B:$B,0))</f>
        <v>150</v>
      </c>
      <c r="D103" s="1">
        <f>INDEX(sheet1!$G:$G,MATCH(A103,sheet1!$B:$B,0))*10</f>
        <v>1500</v>
      </c>
    </row>
    <row r="104" ht="30" spans="1:4">
      <c r="A104" s="1" t="s">
        <v>237</v>
      </c>
      <c r="B104" s="3" t="s">
        <v>1842</v>
      </c>
      <c r="C104" s="1">
        <f>INDEX(sheet1!$G:$G,MATCH(A104,sheet1!$B:$B,0))</f>
        <v>450</v>
      </c>
      <c r="D104" s="1">
        <f>INDEX(sheet1!$G:$G,MATCH(A104,sheet1!$B:$B,0))*10</f>
        <v>4500</v>
      </c>
    </row>
    <row r="105" ht="30" spans="1:4">
      <c r="A105" s="1" t="s">
        <v>239</v>
      </c>
      <c r="B105" s="3" t="s">
        <v>1843</v>
      </c>
      <c r="C105" s="1">
        <f>INDEX(sheet1!$G:$G,MATCH(A105,sheet1!$B:$B,0))</f>
        <v>1350</v>
      </c>
      <c r="D105" s="1">
        <f>INDEX(sheet1!$G:$G,MATCH(A105,sheet1!$B:$B,0))*10</f>
        <v>13500</v>
      </c>
    </row>
    <row r="106" ht="30" spans="1:4">
      <c r="A106" s="1" t="s">
        <v>241</v>
      </c>
      <c r="B106" s="3" t="s">
        <v>1844</v>
      </c>
      <c r="C106" s="1">
        <f>INDEX(sheet1!$G:$G,MATCH(A106,sheet1!$B:$B,0))</f>
        <v>17.7955555555556</v>
      </c>
      <c r="D106" s="1">
        <f>INDEX(sheet1!$G:$G,MATCH(A106,sheet1!$B:$B,0))*10</f>
        <v>177.955555555556</v>
      </c>
    </row>
    <row r="107" ht="30" spans="1:4">
      <c r="A107" s="1" t="s">
        <v>243</v>
      </c>
      <c r="B107" s="3" t="s">
        <v>1845</v>
      </c>
      <c r="C107" s="1">
        <f>INDEX(sheet1!$G:$G,MATCH(A107,sheet1!$B:$B,0))</f>
        <v>38.3866666666667</v>
      </c>
      <c r="D107" s="1">
        <f>INDEX(sheet1!$G:$G,MATCH(A107,sheet1!$B:$B,0))*10</f>
        <v>383.866666666667</v>
      </c>
    </row>
    <row r="108" ht="30" spans="1:4">
      <c r="A108" s="1" t="s">
        <v>245</v>
      </c>
      <c r="B108" s="3" t="s">
        <v>1846</v>
      </c>
      <c r="C108" s="1">
        <f>INDEX(sheet1!$G:$G,MATCH(A108,sheet1!$B:$B,0))</f>
        <v>95.16</v>
      </c>
      <c r="D108" s="1">
        <f>INDEX(sheet1!$G:$G,MATCH(A108,sheet1!$B:$B,0))*10</f>
        <v>951.6</v>
      </c>
    </row>
    <row r="109" ht="30" spans="1:4">
      <c r="A109" s="1" t="s">
        <v>247</v>
      </c>
      <c r="B109" s="3" t="s">
        <v>1847</v>
      </c>
      <c r="C109" s="1">
        <f>INDEX(sheet1!$G:$G,MATCH(A109,sheet1!$B:$B,0))</f>
        <v>263.88</v>
      </c>
      <c r="D109" s="1">
        <f>INDEX(sheet1!$G:$G,MATCH(A109,sheet1!$B:$B,0))*10</f>
        <v>2638.8</v>
      </c>
    </row>
    <row r="110" ht="30" spans="1:4">
      <c r="A110" s="1" t="s">
        <v>249</v>
      </c>
      <c r="B110" s="3" t="s">
        <v>1848</v>
      </c>
      <c r="C110" s="1">
        <f>INDEX(sheet1!$G:$G,MATCH(A110,sheet1!$B:$B,0))</f>
        <v>754.84</v>
      </c>
      <c r="D110" s="1">
        <f>INDEX(sheet1!$G:$G,MATCH(A110,sheet1!$B:$B,0))*10</f>
        <v>7548.4</v>
      </c>
    </row>
    <row r="111" ht="45" spans="1:4">
      <c r="A111" s="1" t="s">
        <v>251</v>
      </c>
      <c r="B111" s="3" t="s">
        <v>1849</v>
      </c>
      <c r="C111" s="1">
        <f>INDEX(sheet1!$G:$G,MATCH(A111,sheet1!$B:$B,0))</f>
        <v>2221.32</v>
      </c>
      <c r="D111" s="1">
        <f>INDEX(sheet1!$G:$G,MATCH(A111,sheet1!$B:$B,0))*10</f>
        <v>22213.2</v>
      </c>
    </row>
    <row r="112" ht="30" spans="1:4">
      <c r="A112" s="1" t="s">
        <v>253</v>
      </c>
      <c r="B112" s="3" t="s">
        <v>1850</v>
      </c>
      <c r="C112" s="1">
        <f>INDEX(sheet1!$G:$G,MATCH(A112,sheet1!$B:$B,0))</f>
        <v>17.7955555555556</v>
      </c>
      <c r="D112" s="1">
        <f>INDEX(sheet1!$G:$G,MATCH(A112,sheet1!$B:$B,0))*10</f>
        <v>177.955555555556</v>
      </c>
    </row>
    <row r="113" ht="30" spans="1:4">
      <c r="A113" s="1" t="s">
        <v>255</v>
      </c>
      <c r="B113" s="3" t="s">
        <v>1851</v>
      </c>
      <c r="C113" s="1">
        <f>INDEX(sheet1!$G:$G,MATCH(A113,sheet1!$B:$B,0))</f>
        <v>38.3866666666667</v>
      </c>
      <c r="D113" s="1">
        <f>INDEX(sheet1!$G:$G,MATCH(A113,sheet1!$B:$B,0))*10</f>
        <v>383.866666666667</v>
      </c>
    </row>
    <row r="114" ht="30" spans="1:4">
      <c r="A114" s="1" t="s">
        <v>257</v>
      </c>
      <c r="B114" s="3" t="s">
        <v>1852</v>
      </c>
      <c r="C114" s="1">
        <f>INDEX(sheet1!$G:$G,MATCH(A114,sheet1!$B:$B,0))</f>
        <v>95.16</v>
      </c>
      <c r="D114" s="1">
        <f>INDEX(sheet1!$G:$G,MATCH(A114,sheet1!$B:$B,0))*10</f>
        <v>951.6</v>
      </c>
    </row>
    <row r="115" ht="30" spans="1:4">
      <c r="A115" s="1" t="s">
        <v>259</v>
      </c>
      <c r="B115" s="3" t="s">
        <v>1853</v>
      </c>
      <c r="C115" s="1">
        <f>INDEX(sheet1!$G:$G,MATCH(A115,sheet1!$B:$B,0))</f>
        <v>263.88</v>
      </c>
      <c r="D115" s="1">
        <f>INDEX(sheet1!$G:$G,MATCH(A115,sheet1!$B:$B,0))*10</f>
        <v>2638.8</v>
      </c>
    </row>
    <row r="116" ht="30" spans="1:4">
      <c r="A116" s="1" t="s">
        <v>261</v>
      </c>
      <c r="B116" s="3" t="s">
        <v>1854</v>
      </c>
      <c r="C116" s="1">
        <f>INDEX(sheet1!$G:$G,MATCH(A116,sheet1!$B:$B,0))</f>
        <v>754.84</v>
      </c>
      <c r="D116" s="1">
        <f>INDEX(sheet1!$G:$G,MATCH(A116,sheet1!$B:$B,0))*10</f>
        <v>7548.4</v>
      </c>
    </row>
    <row r="117" ht="45" spans="1:4">
      <c r="A117" s="1" t="s">
        <v>263</v>
      </c>
      <c r="B117" s="3" t="s">
        <v>1855</v>
      </c>
      <c r="C117" s="1">
        <f>INDEX(sheet1!$G:$G,MATCH(A117,sheet1!$B:$B,0))</f>
        <v>2221.32</v>
      </c>
      <c r="D117" s="1">
        <f>INDEX(sheet1!$G:$G,MATCH(A117,sheet1!$B:$B,0))*10</f>
        <v>22213.2</v>
      </c>
    </row>
    <row r="118" ht="30" spans="1:4">
      <c r="A118" s="1" t="s">
        <v>265</v>
      </c>
      <c r="B118" s="3" t="s">
        <v>1856</v>
      </c>
      <c r="C118" s="1">
        <f>INDEX(sheet1!$G:$G,MATCH(A118,sheet1!$B:$B,0))</f>
        <v>17.7955555555556</v>
      </c>
      <c r="D118" s="1">
        <f>INDEX(sheet1!$G:$G,MATCH(A118,sheet1!$B:$B,0))*10</f>
        <v>177.955555555556</v>
      </c>
    </row>
    <row r="119" ht="30" spans="1:4">
      <c r="A119" s="1" t="s">
        <v>267</v>
      </c>
      <c r="B119" s="3" t="s">
        <v>1857</v>
      </c>
      <c r="C119" s="1">
        <f>INDEX(sheet1!$G:$G,MATCH(A119,sheet1!$B:$B,0))</f>
        <v>38.3866666666667</v>
      </c>
      <c r="D119" s="1">
        <f>INDEX(sheet1!$G:$G,MATCH(A119,sheet1!$B:$B,0))*10</f>
        <v>383.866666666667</v>
      </c>
    </row>
    <row r="120" ht="30" spans="1:4">
      <c r="A120" s="1" t="s">
        <v>269</v>
      </c>
      <c r="B120" s="3" t="s">
        <v>1858</v>
      </c>
      <c r="C120" s="1">
        <f>INDEX(sheet1!$G:$G,MATCH(A120,sheet1!$B:$B,0))</f>
        <v>95.16</v>
      </c>
      <c r="D120" s="1">
        <f>INDEX(sheet1!$G:$G,MATCH(A120,sheet1!$B:$B,0))*10</f>
        <v>951.6</v>
      </c>
    </row>
    <row r="121" ht="30" spans="1:4">
      <c r="A121" s="1" t="s">
        <v>271</v>
      </c>
      <c r="B121" s="3" t="s">
        <v>1859</v>
      </c>
      <c r="C121" s="1">
        <f>INDEX(sheet1!$G:$G,MATCH(A121,sheet1!$B:$B,0))</f>
        <v>263.88</v>
      </c>
      <c r="D121" s="1">
        <f>INDEX(sheet1!$G:$G,MATCH(A121,sheet1!$B:$B,0))*10</f>
        <v>2638.8</v>
      </c>
    </row>
    <row r="122" ht="30" spans="1:4">
      <c r="A122" s="1" t="s">
        <v>273</v>
      </c>
      <c r="B122" s="3" t="s">
        <v>1860</v>
      </c>
      <c r="C122" s="1">
        <f>INDEX(sheet1!$G:$G,MATCH(A122,sheet1!$B:$B,0))</f>
        <v>754.84</v>
      </c>
      <c r="D122" s="1">
        <f>INDEX(sheet1!$G:$G,MATCH(A122,sheet1!$B:$B,0))*10</f>
        <v>7548.4</v>
      </c>
    </row>
    <row r="123" ht="45" spans="1:4">
      <c r="A123" s="1" t="s">
        <v>275</v>
      </c>
      <c r="B123" s="3" t="s">
        <v>1861</v>
      </c>
      <c r="C123" s="1">
        <f>INDEX(sheet1!$G:$G,MATCH(A123,sheet1!$B:$B,0))</f>
        <v>2221.32</v>
      </c>
      <c r="D123" s="1">
        <f>INDEX(sheet1!$G:$G,MATCH(A123,sheet1!$B:$B,0))*10</f>
        <v>22213.2</v>
      </c>
    </row>
    <row r="124" ht="30" spans="1:4">
      <c r="A124" s="1" t="s">
        <v>277</v>
      </c>
      <c r="B124" s="3" t="s">
        <v>1862</v>
      </c>
      <c r="C124" s="1">
        <f>INDEX(sheet1!$G:$G,MATCH(A124,sheet1!$B:$B,0))</f>
        <v>17.7955555555556</v>
      </c>
      <c r="D124" s="1">
        <f>INDEX(sheet1!$G:$G,MATCH(A124,sheet1!$B:$B,0))*10</f>
        <v>177.955555555556</v>
      </c>
    </row>
    <row r="125" ht="30" spans="1:4">
      <c r="A125" s="1" t="s">
        <v>279</v>
      </c>
      <c r="B125" s="3" t="s">
        <v>1863</v>
      </c>
      <c r="C125" s="1">
        <f>INDEX(sheet1!$G:$G,MATCH(A125,sheet1!$B:$B,0))</f>
        <v>38.3866666666667</v>
      </c>
      <c r="D125" s="1">
        <f>INDEX(sheet1!$G:$G,MATCH(A125,sheet1!$B:$B,0))*10</f>
        <v>383.866666666667</v>
      </c>
    </row>
    <row r="126" ht="30" spans="1:4">
      <c r="A126" s="1" t="s">
        <v>281</v>
      </c>
      <c r="B126" s="3" t="s">
        <v>1864</v>
      </c>
      <c r="C126" s="1">
        <f>INDEX(sheet1!$G:$G,MATCH(A126,sheet1!$B:$B,0))</f>
        <v>95.16</v>
      </c>
      <c r="D126" s="1">
        <f>INDEX(sheet1!$G:$G,MATCH(A126,sheet1!$B:$B,0))*10</f>
        <v>951.6</v>
      </c>
    </row>
    <row r="127" ht="30" spans="1:4">
      <c r="A127" s="1" t="s">
        <v>283</v>
      </c>
      <c r="B127" s="3" t="s">
        <v>1865</v>
      </c>
      <c r="C127" s="1">
        <f>INDEX(sheet1!$G:$G,MATCH(A127,sheet1!$B:$B,0))</f>
        <v>263.88</v>
      </c>
      <c r="D127" s="1">
        <f>INDEX(sheet1!$G:$G,MATCH(A127,sheet1!$B:$B,0))*10</f>
        <v>2638.8</v>
      </c>
    </row>
    <row r="128" ht="30" spans="1:4">
      <c r="A128" s="1" t="s">
        <v>285</v>
      </c>
      <c r="B128" s="3" t="s">
        <v>1866</v>
      </c>
      <c r="C128" s="1">
        <f>INDEX(sheet1!$G:$G,MATCH(A128,sheet1!$B:$B,0))</f>
        <v>754.84</v>
      </c>
      <c r="D128" s="1">
        <f>INDEX(sheet1!$G:$G,MATCH(A128,sheet1!$B:$B,0))*10</f>
        <v>7548.4</v>
      </c>
    </row>
    <row r="129" ht="45" spans="1:4">
      <c r="A129" s="1" t="s">
        <v>287</v>
      </c>
      <c r="B129" s="3" t="s">
        <v>1867</v>
      </c>
      <c r="C129" s="1">
        <f>INDEX(sheet1!$G:$G,MATCH(A129,sheet1!$B:$B,0))</f>
        <v>2221.32</v>
      </c>
      <c r="D129" s="1">
        <f>INDEX(sheet1!$G:$G,MATCH(A129,sheet1!$B:$B,0))*10</f>
        <v>22213.2</v>
      </c>
    </row>
    <row r="130" spans="1:4">
      <c r="A130" s="1" t="s">
        <v>289</v>
      </c>
      <c r="B130" s="3" t="s">
        <v>1868</v>
      </c>
      <c r="C130" s="1">
        <f>INDEX(sheet1!$G:$G,MATCH(A130,sheet1!$B:$B,0))</f>
        <v>0.3456</v>
      </c>
      <c r="D130" s="1">
        <f>INDEX(sheet1!$G:$G,MATCH(A130,sheet1!$B:$B,0))*10</f>
        <v>3.456</v>
      </c>
    </row>
    <row r="131" spans="1:4">
      <c r="A131" s="1" t="s">
        <v>291</v>
      </c>
      <c r="B131" s="3" t="s">
        <v>1869</v>
      </c>
      <c r="C131" s="1">
        <f>INDEX(sheet1!$G:$G,MATCH(A131,sheet1!$B:$B,0))</f>
        <v>1.728</v>
      </c>
      <c r="D131" s="1">
        <f>INDEX(sheet1!$G:$G,MATCH(A131,sheet1!$B:$B,0))*10</f>
        <v>17.28</v>
      </c>
    </row>
    <row r="132" spans="1:4">
      <c r="A132" s="1" t="s">
        <v>293</v>
      </c>
      <c r="B132" s="3" t="s">
        <v>1870</v>
      </c>
      <c r="C132" s="1">
        <f>INDEX(sheet1!$G:$G,MATCH(A132,sheet1!$B:$B,0))</f>
        <v>8.64</v>
      </c>
      <c r="D132" s="1">
        <f>INDEX(sheet1!$G:$G,MATCH(A132,sheet1!$B:$B,0))*10</f>
        <v>86.4</v>
      </c>
    </row>
    <row r="133" spans="1:4">
      <c r="A133" s="1" t="s">
        <v>295</v>
      </c>
      <c r="B133" s="3" t="s">
        <v>1871</v>
      </c>
      <c r="C133" s="1">
        <f>INDEX(sheet1!$G:$G,MATCH(A133,sheet1!$B:$B,0))</f>
        <v>43.2</v>
      </c>
      <c r="D133" s="1">
        <f>INDEX(sheet1!$G:$G,MATCH(A133,sheet1!$B:$B,0))*10</f>
        <v>432</v>
      </c>
    </row>
    <row r="134" spans="1:4">
      <c r="A134" s="1" t="s">
        <v>297</v>
      </c>
      <c r="B134" s="3" t="s">
        <v>1872</v>
      </c>
      <c r="C134" s="1">
        <f>INDEX(sheet1!$G:$G,MATCH(A134,sheet1!$B:$B,0))</f>
        <v>216</v>
      </c>
      <c r="D134" s="1">
        <f>INDEX(sheet1!$G:$G,MATCH(A134,sheet1!$B:$B,0))*10</f>
        <v>2160</v>
      </c>
    </row>
    <row r="135" spans="1:4">
      <c r="A135" s="1" t="s">
        <v>299</v>
      </c>
      <c r="B135" s="3" t="s">
        <v>1873</v>
      </c>
      <c r="C135" s="1">
        <f>INDEX(sheet1!$G:$G,MATCH(A135,sheet1!$B:$B,0))</f>
        <v>648</v>
      </c>
      <c r="D135" s="1">
        <f>INDEX(sheet1!$G:$G,MATCH(A135,sheet1!$B:$B,0))*10</f>
        <v>6480</v>
      </c>
    </row>
    <row r="136" spans="1:4">
      <c r="A136" s="1" t="s">
        <v>301</v>
      </c>
      <c r="B136" s="3" t="s">
        <v>1873</v>
      </c>
      <c r="C136" s="1">
        <f>INDEX(sheet1!$G:$G,MATCH(A136,sheet1!$B:$B,0))</f>
        <v>648</v>
      </c>
      <c r="D136" s="1">
        <f>INDEX(sheet1!$G:$G,MATCH(A136,sheet1!$B:$B,0))*10</f>
        <v>6480</v>
      </c>
    </row>
    <row r="137" spans="1:4">
      <c r="A137" s="1" t="s">
        <v>302</v>
      </c>
      <c r="B137" s="3" t="s">
        <v>1873</v>
      </c>
      <c r="C137" s="1">
        <f>INDEX(sheet1!$G:$G,MATCH(A137,sheet1!$B:$B,0))</f>
        <v>648</v>
      </c>
      <c r="D137" s="1">
        <f>INDEX(sheet1!$G:$G,MATCH(A137,sheet1!$B:$B,0))*10</f>
        <v>6480</v>
      </c>
    </row>
    <row r="138" spans="1:4">
      <c r="A138" s="1" t="s">
        <v>303</v>
      </c>
      <c r="B138" s="3" t="s">
        <v>1873</v>
      </c>
      <c r="C138" s="1">
        <f>INDEX(sheet1!$G:$G,MATCH(A138,sheet1!$B:$B,0))</f>
        <v>648</v>
      </c>
      <c r="D138" s="1">
        <f>INDEX(sheet1!$G:$G,MATCH(A138,sheet1!$B:$B,0))*10</f>
        <v>6480</v>
      </c>
    </row>
    <row r="139" spans="1:4">
      <c r="A139" s="1" t="s">
        <v>304</v>
      </c>
      <c r="B139" s="3" t="s">
        <v>1873</v>
      </c>
      <c r="C139" s="1">
        <f>INDEX(sheet1!$G:$G,MATCH(A139,sheet1!$B:$B,0))</f>
        <v>648</v>
      </c>
      <c r="D139" s="1">
        <f>INDEX(sheet1!$G:$G,MATCH(A139,sheet1!$B:$B,0))*10</f>
        <v>6480</v>
      </c>
    </row>
    <row r="140" spans="1:4">
      <c r="A140" s="1" t="s">
        <v>305</v>
      </c>
      <c r="B140" s="3" t="s">
        <v>1873</v>
      </c>
      <c r="C140" s="1">
        <f>INDEX(sheet1!$G:$G,MATCH(A140,sheet1!$B:$B,0))</f>
        <v>648</v>
      </c>
      <c r="D140" s="1">
        <f>INDEX(sheet1!$G:$G,MATCH(A140,sheet1!$B:$B,0))*10</f>
        <v>6480</v>
      </c>
    </row>
    <row r="141" spans="1:4">
      <c r="A141" s="1" t="s">
        <v>306</v>
      </c>
      <c r="B141" s="3" t="s">
        <v>1873</v>
      </c>
      <c r="C141" s="1">
        <f>INDEX(sheet1!$G:$G,MATCH(A141,sheet1!$B:$B,0))</f>
        <v>648</v>
      </c>
      <c r="D141" s="1">
        <f>INDEX(sheet1!$G:$G,MATCH(A141,sheet1!$B:$B,0))*10</f>
        <v>6480</v>
      </c>
    </row>
    <row r="142" spans="1:4">
      <c r="A142" s="1" t="s">
        <v>307</v>
      </c>
      <c r="B142" s="3" t="s">
        <v>1873</v>
      </c>
      <c r="C142" s="1">
        <f>INDEX(sheet1!$G:$G,MATCH(A142,sheet1!$B:$B,0))</f>
        <v>648</v>
      </c>
      <c r="D142" s="1">
        <f>INDEX(sheet1!$G:$G,MATCH(A142,sheet1!$B:$B,0))*10</f>
        <v>6480</v>
      </c>
    </row>
    <row r="143" spans="1:4">
      <c r="A143" s="1" t="s">
        <v>308</v>
      </c>
      <c r="B143" s="3" t="s">
        <v>1873</v>
      </c>
      <c r="C143" s="1">
        <f>INDEX(sheet1!$G:$G,MATCH(A143,sheet1!$B:$B,0))</f>
        <v>648</v>
      </c>
      <c r="D143" s="1">
        <f>INDEX(sheet1!$G:$G,MATCH(A143,sheet1!$B:$B,0))*10</f>
        <v>6480</v>
      </c>
    </row>
    <row r="144" spans="1:4">
      <c r="A144" s="1" t="s">
        <v>309</v>
      </c>
      <c r="B144" s="3" t="s">
        <v>1873</v>
      </c>
      <c r="C144" s="1">
        <f>INDEX(sheet1!$G:$G,MATCH(A144,sheet1!$B:$B,0))</f>
        <v>648</v>
      </c>
      <c r="D144" s="1">
        <f>INDEX(sheet1!$G:$G,MATCH(A144,sheet1!$B:$B,0))*10</f>
        <v>6480</v>
      </c>
    </row>
    <row r="145" spans="1:4">
      <c r="A145" s="1" t="s">
        <v>310</v>
      </c>
      <c r="B145" s="3" t="s">
        <v>1873</v>
      </c>
      <c r="C145" s="1">
        <f>INDEX(sheet1!$G:$G,MATCH(A145,sheet1!$B:$B,0))</f>
        <v>648</v>
      </c>
      <c r="D145" s="1">
        <f>INDEX(sheet1!$G:$G,MATCH(A145,sheet1!$B:$B,0))*10</f>
        <v>6480</v>
      </c>
    </row>
    <row r="146" spans="1:4">
      <c r="A146" s="1" t="s">
        <v>311</v>
      </c>
      <c r="B146" s="3" t="s">
        <v>1873</v>
      </c>
      <c r="C146" s="1">
        <f>INDEX(sheet1!$G:$G,MATCH(A146,sheet1!$B:$B,0))</f>
        <v>648</v>
      </c>
      <c r="D146" s="1">
        <f>INDEX(sheet1!$G:$G,MATCH(A146,sheet1!$B:$B,0))*10</f>
        <v>6480</v>
      </c>
    </row>
    <row r="147" spans="1:4">
      <c r="A147" s="1" t="s">
        <v>312</v>
      </c>
      <c r="B147" s="3" t="s">
        <v>1873</v>
      </c>
      <c r="C147" s="1">
        <f>INDEX(sheet1!$G:$G,MATCH(A147,sheet1!$B:$B,0))</f>
        <v>648</v>
      </c>
      <c r="D147" s="1">
        <f>INDEX(sheet1!$G:$G,MATCH(A147,sheet1!$B:$B,0))*10</f>
        <v>6480</v>
      </c>
    </row>
    <row r="148" spans="1:4">
      <c r="A148" s="1" t="s">
        <v>313</v>
      </c>
      <c r="B148" s="3" t="s">
        <v>1873</v>
      </c>
      <c r="C148" s="1">
        <f>INDEX(sheet1!$G:$G,MATCH(A148,sheet1!$B:$B,0))</f>
        <v>648</v>
      </c>
      <c r="D148" s="1">
        <f>INDEX(sheet1!$G:$G,MATCH(A148,sheet1!$B:$B,0))*10</f>
        <v>6480</v>
      </c>
    </row>
    <row r="149" spans="1:4">
      <c r="A149" s="1" t="s">
        <v>314</v>
      </c>
      <c r="B149" s="3" t="s">
        <v>1873</v>
      </c>
      <c r="C149" s="1">
        <f>INDEX(sheet1!$G:$G,MATCH(A149,sheet1!$B:$B,0))</f>
        <v>648</v>
      </c>
      <c r="D149" s="1">
        <f>INDEX(sheet1!$G:$G,MATCH(A149,sheet1!$B:$B,0))*10</f>
        <v>6480</v>
      </c>
    </row>
    <row r="150" spans="1:4">
      <c r="A150" s="1" t="s">
        <v>315</v>
      </c>
      <c r="B150" s="3" t="s">
        <v>1873</v>
      </c>
      <c r="C150" s="1">
        <f>INDEX(sheet1!$G:$G,MATCH(A150,sheet1!$B:$B,0))</f>
        <v>648</v>
      </c>
      <c r="D150" s="1">
        <f>INDEX(sheet1!$G:$G,MATCH(A150,sheet1!$B:$B,0))*10</f>
        <v>6480</v>
      </c>
    </row>
    <row r="151" spans="1:4">
      <c r="A151" s="1" t="s">
        <v>316</v>
      </c>
      <c r="B151" s="3" t="s">
        <v>1874</v>
      </c>
      <c r="C151" s="1">
        <v>80</v>
      </c>
      <c r="D151" s="1">
        <v>800</v>
      </c>
    </row>
    <row r="152" spans="1:4">
      <c r="A152" s="1" t="s">
        <v>318</v>
      </c>
      <c r="B152" s="3" t="s">
        <v>319</v>
      </c>
      <c r="C152" s="1">
        <f>INDEX(sheet1!$G:$G,MATCH(A152,sheet1!$B:$B,0))</f>
        <v>25</v>
      </c>
      <c r="D152" s="1">
        <f>INDEX(sheet1!$G:$G,MATCH(A152,sheet1!$B:$B,0))*10</f>
        <v>250</v>
      </c>
    </row>
    <row r="153" spans="1:4">
      <c r="A153" s="1" t="s">
        <v>320</v>
      </c>
      <c r="B153" s="3" t="s">
        <v>319</v>
      </c>
      <c r="C153" s="1">
        <f>INDEX(sheet1!$G:$G,MATCH(A153,sheet1!$B:$B,0))</f>
        <v>50</v>
      </c>
      <c r="D153" s="1">
        <f>INDEX(sheet1!$G:$G,MATCH(A153,sheet1!$B:$B,0))*10</f>
        <v>500</v>
      </c>
    </row>
    <row r="154" spans="1:4">
      <c r="A154" s="1" t="s">
        <v>321</v>
      </c>
      <c r="B154" s="3" t="s">
        <v>319</v>
      </c>
      <c r="C154" s="1">
        <f>INDEX(sheet1!$G:$G,MATCH(A154,sheet1!$B:$B,0))</f>
        <v>100</v>
      </c>
      <c r="D154" s="1">
        <f>INDEX(sheet1!$G:$G,MATCH(A154,sheet1!$B:$B,0))*10</f>
        <v>1000</v>
      </c>
    </row>
    <row r="155" spans="1:4">
      <c r="A155" s="1" t="s">
        <v>322</v>
      </c>
      <c r="B155" s="3" t="s">
        <v>319</v>
      </c>
      <c r="C155" s="1">
        <f>INDEX(sheet1!$G:$G,MATCH(A155,sheet1!$B:$B,0))</f>
        <v>200</v>
      </c>
      <c r="D155" s="1">
        <f>INDEX(sheet1!$G:$G,MATCH(A155,sheet1!$B:$B,0))*10</f>
        <v>2000</v>
      </c>
    </row>
    <row r="156" spans="1:4">
      <c r="A156" s="1" t="s">
        <v>323</v>
      </c>
      <c r="B156" s="3" t="s">
        <v>324</v>
      </c>
      <c r="C156" s="1">
        <f>INDEX(sheet1!$G:$G,MATCH(A156,sheet1!$B:$B,0))</f>
        <v>25</v>
      </c>
      <c r="D156" s="1">
        <f>INDEX(sheet1!$G:$G,MATCH(A156,sheet1!$B:$B,0))*10</f>
        <v>250</v>
      </c>
    </row>
    <row r="157" spans="1:4">
      <c r="A157" s="1" t="s">
        <v>325</v>
      </c>
      <c r="B157" s="3" t="s">
        <v>324</v>
      </c>
      <c r="C157" s="1">
        <f>INDEX(sheet1!$G:$G,MATCH(A157,sheet1!$B:$B,0))</f>
        <v>50</v>
      </c>
      <c r="D157" s="1">
        <f>INDEX(sheet1!$G:$G,MATCH(A157,sheet1!$B:$B,0))*10</f>
        <v>500</v>
      </c>
    </row>
    <row r="158" spans="1:4">
      <c r="A158" s="1" t="s">
        <v>326</v>
      </c>
      <c r="B158" s="3" t="s">
        <v>324</v>
      </c>
      <c r="C158" s="1">
        <f>INDEX(sheet1!$G:$G,MATCH(A158,sheet1!$B:$B,0))</f>
        <v>100</v>
      </c>
      <c r="D158" s="1">
        <f>INDEX(sheet1!$G:$G,MATCH(A158,sheet1!$B:$B,0))*10</f>
        <v>1000</v>
      </c>
    </row>
    <row r="159" spans="1:4">
      <c r="A159" s="1" t="s">
        <v>327</v>
      </c>
      <c r="B159" s="3" t="s">
        <v>324</v>
      </c>
      <c r="C159" s="1">
        <f>INDEX(sheet1!$G:$G,MATCH(A159,sheet1!$B:$B,0))</f>
        <v>200</v>
      </c>
      <c r="D159" s="1">
        <f>INDEX(sheet1!$G:$G,MATCH(A159,sheet1!$B:$B,0))*10</f>
        <v>2000</v>
      </c>
    </row>
    <row r="160" spans="1:4">
      <c r="A160" s="1" t="s">
        <v>328</v>
      </c>
      <c r="B160" s="3" t="s">
        <v>329</v>
      </c>
      <c r="C160" s="1">
        <f>INDEX(sheet1!$G:$G,MATCH(A160,sheet1!$B:$B,0))</f>
        <v>25</v>
      </c>
      <c r="D160" s="1">
        <f>INDEX(sheet1!$G:$G,MATCH(A160,sheet1!$B:$B,0))*10</f>
        <v>250</v>
      </c>
    </row>
    <row r="161" spans="1:4">
      <c r="A161" s="1" t="s">
        <v>330</v>
      </c>
      <c r="B161" s="3" t="s">
        <v>329</v>
      </c>
      <c r="C161" s="1">
        <f>INDEX(sheet1!$G:$G,MATCH(A161,sheet1!$B:$B,0))</f>
        <v>50</v>
      </c>
      <c r="D161" s="1">
        <f>INDEX(sheet1!$G:$G,MATCH(A161,sheet1!$B:$B,0))*10</f>
        <v>500</v>
      </c>
    </row>
    <row r="162" spans="1:4">
      <c r="A162" s="1" t="s">
        <v>331</v>
      </c>
      <c r="B162" s="3" t="s">
        <v>329</v>
      </c>
      <c r="C162" s="1">
        <f>INDEX(sheet1!$G:$G,MATCH(A162,sheet1!$B:$B,0))</f>
        <v>100</v>
      </c>
      <c r="D162" s="1">
        <f>INDEX(sheet1!$G:$G,MATCH(A162,sheet1!$B:$B,0))*10</f>
        <v>1000</v>
      </c>
    </row>
    <row r="163" spans="1:4">
      <c r="A163" s="1" t="s">
        <v>332</v>
      </c>
      <c r="B163" s="3" t="s">
        <v>329</v>
      </c>
      <c r="C163" s="1">
        <f>INDEX(sheet1!$G:$G,MATCH(A163,sheet1!$B:$B,0))</f>
        <v>200</v>
      </c>
      <c r="D163" s="1">
        <f>INDEX(sheet1!$G:$G,MATCH(A163,sheet1!$B:$B,0))*10</f>
        <v>2000</v>
      </c>
    </row>
    <row r="164" spans="1:4">
      <c r="A164" s="1" t="s">
        <v>333</v>
      </c>
      <c r="B164" s="3" t="s">
        <v>334</v>
      </c>
      <c r="C164" s="1">
        <f>INDEX(sheet1!$G:$G,MATCH(A164,sheet1!$B:$B,0))</f>
        <v>25</v>
      </c>
      <c r="D164" s="1">
        <f>INDEX(sheet1!$G:$G,MATCH(A164,sheet1!$B:$B,0))*10</f>
        <v>250</v>
      </c>
    </row>
    <row r="165" spans="1:4">
      <c r="A165" s="1" t="s">
        <v>335</v>
      </c>
      <c r="B165" s="3" t="s">
        <v>334</v>
      </c>
      <c r="C165" s="1">
        <f>INDEX(sheet1!$G:$G,MATCH(A165,sheet1!$B:$B,0))</f>
        <v>50</v>
      </c>
      <c r="D165" s="1">
        <f>INDEX(sheet1!$G:$G,MATCH(A165,sheet1!$B:$B,0))*10</f>
        <v>500</v>
      </c>
    </row>
    <row r="166" spans="1:4">
      <c r="A166" s="1" t="s">
        <v>336</v>
      </c>
      <c r="B166" s="3" t="s">
        <v>334</v>
      </c>
      <c r="C166" s="1">
        <f>INDEX(sheet1!$G:$G,MATCH(A166,sheet1!$B:$B,0))</f>
        <v>100</v>
      </c>
      <c r="D166" s="1">
        <f>INDEX(sheet1!$G:$G,MATCH(A166,sheet1!$B:$B,0))*10</f>
        <v>1000</v>
      </c>
    </row>
    <row r="167" spans="1:4">
      <c r="A167" s="1" t="s">
        <v>337</v>
      </c>
      <c r="B167" s="3" t="s">
        <v>334</v>
      </c>
      <c r="C167" s="1">
        <f>INDEX(sheet1!$G:$G,MATCH(A167,sheet1!$B:$B,0))</f>
        <v>200</v>
      </c>
      <c r="D167" s="1">
        <f>INDEX(sheet1!$G:$G,MATCH(A167,sheet1!$B:$B,0))*10</f>
        <v>2000</v>
      </c>
    </row>
    <row r="168" spans="1:4">
      <c r="A168" s="1" t="s">
        <v>338</v>
      </c>
      <c r="B168" s="3" t="s">
        <v>339</v>
      </c>
      <c r="C168" s="1">
        <f>INDEX(sheet1!$G:$G,MATCH(A168,sheet1!$B:$B,0))</f>
        <v>25</v>
      </c>
      <c r="D168" s="1">
        <f>INDEX(sheet1!$G:$G,MATCH(A168,sheet1!$B:$B,0))*10</f>
        <v>250</v>
      </c>
    </row>
    <row r="169" spans="1:4">
      <c r="A169" s="1" t="s">
        <v>340</v>
      </c>
      <c r="B169" s="3" t="s">
        <v>339</v>
      </c>
      <c r="C169" s="1">
        <f>INDEX(sheet1!$G:$G,MATCH(A169,sheet1!$B:$B,0))</f>
        <v>50</v>
      </c>
      <c r="D169" s="1">
        <f>INDEX(sheet1!$G:$G,MATCH(A169,sheet1!$B:$B,0))*10</f>
        <v>500</v>
      </c>
    </row>
    <row r="170" spans="1:4">
      <c r="A170" s="1" t="s">
        <v>341</v>
      </c>
      <c r="B170" s="3" t="s">
        <v>339</v>
      </c>
      <c r="C170" s="1">
        <f>INDEX(sheet1!$G:$G,MATCH(A170,sheet1!$B:$B,0))</f>
        <v>100</v>
      </c>
      <c r="D170" s="1">
        <f>INDEX(sheet1!$G:$G,MATCH(A170,sheet1!$B:$B,0))*10</f>
        <v>1000</v>
      </c>
    </row>
    <row r="171" spans="1:4">
      <c r="A171" s="1" t="s">
        <v>342</v>
      </c>
      <c r="B171" s="3" t="s">
        <v>339</v>
      </c>
      <c r="C171" s="1">
        <f>INDEX(sheet1!$G:$G,MATCH(A171,sheet1!$B:$B,0))</f>
        <v>200</v>
      </c>
      <c r="D171" s="1">
        <f>INDEX(sheet1!$G:$G,MATCH(A171,sheet1!$B:$B,0))*10</f>
        <v>2000</v>
      </c>
    </row>
    <row r="172" spans="1:4">
      <c r="A172" s="1" t="s">
        <v>343</v>
      </c>
      <c r="B172" s="3" t="s">
        <v>344</v>
      </c>
      <c r="C172" s="1">
        <f>INDEX(sheet1!$G:$G,MATCH(A172,sheet1!$B:$B,0))</f>
        <v>25</v>
      </c>
      <c r="D172" s="1">
        <f>INDEX(sheet1!$G:$G,MATCH(A172,sheet1!$B:$B,0))*10</f>
        <v>250</v>
      </c>
    </row>
    <row r="173" spans="1:4">
      <c r="A173" s="1" t="s">
        <v>345</v>
      </c>
      <c r="B173" s="3" t="s">
        <v>344</v>
      </c>
      <c r="C173" s="1">
        <f>INDEX(sheet1!$G:$G,MATCH(A173,sheet1!$B:$B,0))</f>
        <v>50</v>
      </c>
      <c r="D173" s="1">
        <f>INDEX(sheet1!$G:$G,MATCH(A173,sheet1!$B:$B,0))*10</f>
        <v>500</v>
      </c>
    </row>
    <row r="174" spans="1:4">
      <c r="A174" s="1" t="s">
        <v>346</v>
      </c>
      <c r="B174" s="3" t="s">
        <v>344</v>
      </c>
      <c r="C174" s="1">
        <f>INDEX(sheet1!$G:$G,MATCH(A174,sheet1!$B:$B,0))</f>
        <v>100</v>
      </c>
      <c r="D174" s="1">
        <f>INDEX(sheet1!$G:$G,MATCH(A174,sheet1!$B:$B,0))*10</f>
        <v>1000</v>
      </c>
    </row>
    <row r="175" spans="1:4">
      <c r="A175" s="1" t="s">
        <v>347</v>
      </c>
      <c r="B175" s="3" t="s">
        <v>344</v>
      </c>
      <c r="C175" s="1">
        <f>INDEX(sheet1!$G:$G,MATCH(A175,sheet1!$B:$B,0))</f>
        <v>200</v>
      </c>
      <c r="D175" s="1">
        <f>INDEX(sheet1!$G:$G,MATCH(A175,sheet1!$B:$B,0))*10</f>
        <v>2000</v>
      </c>
    </row>
    <row r="176" spans="1:4">
      <c r="A176" s="1" t="s">
        <v>348</v>
      </c>
      <c r="B176" s="3" t="s">
        <v>349</v>
      </c>
      <c r="C176" s="1">
        <f>INDEX(sheet1!$G:$G,MATCH(A176,sheet1!$B:$B,0))</f>
        <v>25</v>
      </c>
      <c r="D176" s="1">
        <f>INDEX(sheet1!$G:$G,MATCH(A176,sheet1!$B:$B,0))*10</f>
        <v>250</v>
      </c>
    </row>
    <row r="177" spans="1:4">
      <c r="A177" s="1" t="s">
        <v>350</v>
      </c>
      <c r="B177" s="3" t="s">
        <v>349</v>
      </c>
      <c r="C177" s="1">
        <f>INDEX(sheet1!$G:$G,MATCH(A177,sheet1!$B:$B,0))</f>
        <v>50</v>
      </c>
      <c r="D177" s="1">
        <f>INDEX(sheet1!$G:$G,MATCH(A177,sheet1!$B:$B,0))*10</f>
        <v>500</v>
      </c>
    </row>
    <row r="178" spans="1:4">
      <c r="A178" s="1" t="s">
        <v>351</v>
      </c>
      <c r="B178" s="3" t="s">
        <v>349</v>
      </c>
      <c r="C178" s="1">
        <f>INDEX(sheet1!$G:$G,MATCH(A178,sheet1!$B:$B,0))</f>
        <v>100</v>
      </c>
      <c r="D178" s="1">
        <f>INDEX(sheet1!$G:$G,MATCH(A178,sheet1!$B:$B,0))*10</f>
        <v>1000</v>
      </c>
    </row>
    <row r="179" spans="1:4">
      <c r="A179" s="1" t="s">
        <v>352</v>
      </c>
      <c r="B179" s="3" t="s">
        <v>349</v>
      </c>
      <c r="C179" s="1">
        <f>INDEX(sheet1!$G:$G,MATCH(A179,sheet1!$B:$B,0))</f>
        <v>200</v>
      </c>
      <c r="D179" s="1">
        <f>INDEX(sheet1!$G:$G,MATCH(A179,sheet1!$B:$B,0))*10</f>
        <v>2000</v>
      </c>
    </row>
    <row r="180" spans="1:4">
      <c r="A180" s="1" t="s">
        <v>353</v>
      </c>
      <c r="B180" s="3" t="s">
        <v>354</v>
      </c>
      <c r="C180" s="1">
        <f>INDEX(sheet1!$G:$G,MATCH(A180,sheet1!$B:$B,0))</f>
        <v>25</v>
      </c>
      <c r="D180" s="1">
        <f>INDEX(sheet1!$G:$G,MATCH(A180,sheet1!$B:$B,0))*10</f>
        <v>250</v>
      </c>
    </row>
    <row r="181" spans="1:4">
      <c r="A181" s="1" t="s">
        <v>355</v>
      </c>
      <c r="B181" s="3" t="s">
        <v>354</v>
      </c>
      <c r="C181" s="1">
        <f>INDEX(sheet1!$G:$G,MATCH(A181,sheet1!$B:$B,0))</f>
        <v>50</v>
      </c>
      <c r="D181" s="1">
        <f>INDEX(sheet1!$G:$G,MATCH(A181,sheet1!$B:$B,0))*10</f>
        <v>500</v>
      </c>
    </row>
    <row r="182" spans="1:4">
      <c r="A182" s="1" t="s">
        <v>356</v>
      </c>
      <c r="B182" s="3" t="s">
        <v>354</v>
      </c>
      <c r="C182" s="1">
        <f>INDEX(sheet1!$G:$G,MATCH(A182,sheet1!$B:$B,0))</f>
        <v>100</v>
      </c>
      <c r="D182" s="1">
        <f>INDEX(sheet1!$G:$G,MATCH(A182,sheet1!$B:$B,0))*10</f>
        <v>1000</v>
      </c>
    </row>
    <row r="183" spans="1:4">
      <c r="A183" s="1" t="s">
        <v>357</v>
      </c>
      <c r="B183" s="3" t="s">
        <v>354</v>
      </c>
      <c r="C183" s="1">
        <f>INDEX(sheet1!$G:$G,MATCH(A183,sheet1!$B:$B,0))</f>
        <v>200</v>
      </c>
      <c r="D183" s="1">
        <f>INDEX(sheet1!$G:$G,MATCH(A183,sheet1!$B:$B,0))*10</f>
        <v>2000</v>
      </c>
    </row>
    <row r="184" spans="1:4">
      <c r="A184" s="1" t="s">
        <v>358</v>
      </c>
      <c r="B184" s="3" t="s">
        <v>359</v>
      </c>
      <c r="C184" s="1">
        <f>INDEX(sheet1!$G:$G,MATCH(A184,sheet1!$B:$B,0))</f>
        <v>25</v>
      </c>
      <c r="D184" s="1">
        <f>INDEX(sheet1!$G:$G,MATCH(A184,sheet1!$B:$B,0))*10</f>
        <v>250</v>
      </c>
    </row>
    <row r="185" spans="1:4">
      <c r="A185" s="1" t="s">
        <v>360</v>
      </c>
      <c r="B185" s="3" t="s">
        <v>359</v>
      </c>
      <c r="C185" s="1">
        <f>INDEX(sheet1!$G:$G,MATCH(A185,sheet1!$B:$B,0))</f>
        <v>50</v>
      </c>
      <c r="D185" s="1">
        <f>INDEX(sheet1!$G:$G,MATCH(A185,sheet1!$B:$B,0))*10</f>
        <v>500</v>
      </c>
    </row>
    <row r="186" spans="1:4">
      <c r="A186" s="1" t="s">
        <v>361</v>
      </c>
      <c r="B186" s="3" t="s">
        <v>359</v>
      </c>
      <c r="C186" s="1">
        <f>INDEX(sheet1!$G:$G,MATCH(A186,sheet1!$B:$B,0))</f>
        <v>100</v>
      </c>
      <c r="D186" s="1">
        <f>INDEX(sheet1!$G:$G,MATCH(A186,sheet1!$B:$B,0))*10</f>
        <v>1000</v>
      </c>
    </row>
    <row r="187" spans="1:4">
      <c r="A187" s="1" t="s">
        <v>362</v>
      </c>
      <c r="B187" s="3" t="s">
        <v>359</v>
      </c>
      <c r="C187" s="1">
        <f>INDEX(sheet1!$G:$G,MATCH(A187,sheet1!$B:$B,0))</f>
        <v>200</v>
      </c>
      <c r="D187" s="1">
        <f>INDEX(sheet1!$G:$G,MATCH(A187,sheet1!$B:$B,0))*10</f>
        <v>2000</v>
      </c>
    </row>
    <row r="188" spans="1:4">
      <c r="A188" s="1" t="s">
        <v>363</v>
      </c>
      <c r="B188" s="3" t="s">
        <v>364</v>
      </c>
      <c r="C188" s="1">
        <f>INDEX(sheet1!$G:$G,MATCH(A188,sheet1!$B:$B,0))</f>
        <v>25</v>
      </c>
      <c r="D188" s="1">
        <f>INDEX(sheet1!$G:$G,MATCH(A188,sheet1!$B:$B,0))*10</f>
        <v>250</v>
      </c>
    </row>
    <row r="189" spans="1:4">
      <c r="A189" s="1" t="s">
        <v>365</v>
      </c>
      <c r="B189" s="3" t="s">
        <v>364</v>
      </c>
      <c r="C189" s="1">
        <f>INDEX(sheet1!$G:$G,MATCH(A189,sheet1!$B:$B,0))</f>
        <v>50</v>
      </c>
      <c r="D189" s="1">
        <f>INDEX(sheet1!$G:$G,MATCH(A189,sheet1!$B:$B,0))*10</f>
        <v>500</v>
      </c>
    </row>
    <row r="190" spans="1:4">
      <c r="A190" s="1" t="s">
        <v>366</v>
      </c>
      <c r="B190" s="3" t="s">
        <v>364</v>
      </c>
      <c r="C190" s="1">
        <f>INDEX(sheet1!$G:$G,MATCH(A190,sheet1!$B:$B,0))</f>
        <v>100</v>
      </c>
      <c r="D190" s="1">
        <f>INDEX(sheet1!$G:$G,MATCH(A190,sheet1!$B:$B,0))*10</f>
        <v>1000</v>
      </c>
    </row>
    <row r="191" spans="1:4">
      <c r="A191" s="1" t="s">
        <v>367</v>
      </c>
      <c r="B191" s="3" t="s">
        <v>364</v>
      </c>
      <c r="C191" s="1">
        <f>INDEX(sheet1!$G:$G,MATCH(A191,sheet1!$B:$B,0))</f>
        <v>200</v>
      </c>
      <c r="D191" s="1">
        <f>INDEX(sheet1!$G:$G,MATCH(A191,sheet1!$B:$B,0))*10</f>
        <v>2000</v>
      </c>
    </row>
    <row r="192" spans="1:4">
      <c r="A192" s="1" t="s">
        <v>368</v>
      </c>
      <c r="B192" s="3" t="s">
        <v>369</v>
      </c>
      <c r="C192" s="1">
        <f>INDEX(sheet1!$G:$G,MATCH(A192,sheet1!$B:$B,0))</f>
        <v>25</v>
      </c>
      <c r="D192" s="1">
        <f>INDEX(sheet1!$G:$G,MATCH(A192,sheet1!$B:$B,0))*10</f>
        <v>250</v>
      </c>
    </row>
    <row r="193" spans="1:4">
      <c r="A193" s="1" t="s">
        <v>370</v>
      </c>
      <c r="B193" s="3" t="s">
        <v>369</v>
      </c>
      <c r="C193" s="1">
        <f>INDEX(sheet1!$G:$G,MATCH(A193,sheet1!$B:$B,0))</f>
        <v>50</v>
      </c>
      <c r="D193" s="1">
        <f>INDEX(sheet1!$G:$G,MATCH(A193,sheet1!$B:$B,0))*10</f>
        <v>500</v>
      </c>
    </row>
    <row r="194" spans="1:4">
      <c r="A194" s="1" t="s">
        <v>371</v>
      </c>
      <c r="B194" s="3" t="s">
        <v>369</v>
      </c>
      <c r="C194" s="1">
        <f>INDEX(sheet1!$G:$G,MATCH(A194,sheet1!$B:$B,0))</f>
        <v>100</v>
      </c>
      <c r="D194" s="1">
        <f>INDEX(sheet1!$G:$G,MATCH(A194,sheet1!$B:$B,0))*10</f>
        <v>1000</v>
      </c>
    </row>
    <row r="195" spans="1:4">
      <c r="A195" s="1" t="s">
        <v>372</v>
      </c>
      <c r="B195" s="3" t="s">
        <v>369</v>
      </c>
      <c r="C195" s="1">
        <f>INDEX(sheet1!$G:$G,MATCH(A195,sheet1!$B:$B,0))</f>
        <v>200</v>
      </c>
      <c r="D195" s="1">
        <f>INDEX(sheet1!$G:$G,MATCH(A195,sheet1!$B:$B,0))*10</f>
        <v>2000</v>
      </c>
    </row>
    <row r="196" spans="1:4">
      <c r="A196" s="1" t="s">
        <v>373</v>
      </c>
      <c r="B196" s="3" t="s">
        <v>374</v>
      </c>
      <c r="C196" s="1">
        <f>INDEX(sheet1!$G:$G,MATCH(A196,sheet1!$B:$B,0))</f>
        <v>25</v>
      </c>
      <c r="D196" s="1">
        <f>INDEX(sheet1!$G:$G,MATCH(A196,sheet1!$B:$B,0))*10</f>
        <v>250</v>
      </c>
    </row>
    <row r="197" spans="1:4">
      <c r="A197" s="1" t="s">
        <v>375</v>
      </c>
      <c r="B197" s="3" t="s">
        <v>374</v>
      </c>
      <c r="C197" s="1">
        <f>INDEX(sheet1!$G:$G,MATCH(A197,sheet1!$B:$B,0))</f>
        <v>50</v>
      </c>
      <c r="D197" s="1">
        <f>INDEX(sheet1!$G:$G,MATCH(A197,sheet1!$B:$B,0))*10</f>
        <v>500</v>
      </c>
    </row>
    <row r="198" spans="1:4">
      <c r="A198" s="1" t="s">
        <v>376</v>
      </c>
      <c r="B198" s="3" t="s">
        <v>374</v>
      </c>
      <c r="C198" s="1">
        <f>INDEX(sheet1!$G:$G,MATCH(A198,sheet1!$B:$B,0))</f>
        <v>100</v>
      </c>
      <c r="D198" s="1">
        <f>INDEX(sheet1!$G:$G,MATCH(A198,sheet1!$B:$B,0))*10</f>
        <v>1000</v>
      </c>
    </row>
    <row r="199" spans="1:4">
      <c r="A199" s="1" t="s">
        <v>377</v>
      </c>
      <c r="B199" s="3" t="s">
        <v>374</v>
      </c>
      <c r="C199" s="1">
        <f>INDEX(sheet1!$G:$G,MATCH(A199,sheet1!$B:$B,0))</f>
        <v>200</v>
      </c>
      <c r="D199" s="1">
        <f>INDEX(sheet1!$G:$G,MATCH(A199,sheet1!$B:$B,0))*10</f>
        <v>2000</v>
      </c>
    </row>
    <row r="200" spans="1:4">
      <c r="A200" s="1" t="s">
        <v>378</v>
      </c>
      <c r="B200" s="3" t="s">
        <v>379</v>
      </c>
      <c r="C200" s="1">
        <f>INDEX(sheet1!$G:$G,MATCH(A200,sheet1!$B:$B,0))</f>
        <v>648</v>
      </c>
      <c r="D200" s="1">
        <f>INDEX(sheet1!$G:$G,MATCH(A200,sheet1!$B:$B,0))*10</f>
        <v>6480</v>
      </c>
    </row>
    <row r="201" spans="1:4">
      <c r="A201" s="1" t="s">
        <v>380</v>
      </c>
      <c r="B201" s="3" t="s">
        <v>379</v>
      </c>
      <c r="C201" s="1">
        <f>INDEX(sheet1!$G:$G,MATCH(A201,sheet1!$B:$B,0))</f>
        <v>648</v>
      </c>
      <c r="D201" s="1">
        <f>INDEX(sheet1!$G:$G,MATCH(A201,sheet1!$B:$B,0))*10</f>
        <v>6480</v>
      </c>
    </row>
    <row r="202" spans="1:4">
      <c r="A202" s="1" t="s">
        <v>381</v>
      </c>
      <c r="B202" s="3" t="s">
        <v>382</v>
      </c>
      <c r="C202" s="1">
        <f>INDEX(sheet1!$G:$G,MATCH(A202,sheet1!$B:$B,0))</f>
        <v>648</v>
      </c>
      <c r="D202" s="1">
        <f>INDEX(sheet1!$G:$G,MATCH(A202,sheet1!$B:$B,0))*10</f>
        <v>6480</v>
      </c>
    </row>
    <row r="203" spans="1:4">
      <c r="A203" s="1" t="s">
        <v>383</v>
      </c>
      <c r="B203" s="3" t="s">
        <v>382</v>
      </c>
      <c r="C203" s="1">
        <f>INDEX(sheet1!$G:$G,MATCH(A203,sheet1!$B:$B,0))</f>
        <v>648</v>
      </c>
      <c r="D203" s="1">
        <f>INDEX(sheet1!$G:$G,MATCH(A203,sheet1!$B:$B,0))*10</f>
        <v>6480</v>
      </c>
    </row>
    <row r="204" spans="1:4">
      <c r="A204" s="1" t="s">
        <v>384</v>
      </c>
      <c r="B204" s="3" t="s">
        <v>385</v>
      </c>
      <c r="C204" s="1">
        <f>INDEX(sheet1!$G:$G,MATCH(A204,sheet1!$B:$B,0))</f>
        <v>648</v>
      </c>
      <c r="D204" s="1">
        <f>INDEX(sheet1!$G:$G,MATCH(A204,sheet1!$B:$B,0))*10</f>
        <v>6480</v>
      </c>
    </row>
    <row r="205" spans="1:4">
      <c r="A205" s="1" t="s">
        <v>386</v>
      </c>
      <c r="B205" s="3" t="s">
        <v>385</v>
      </c>
      <c r="C205" s="1">
        <f>INDEX(sheet1!$G:$G,MATCH(A205,sheet1!$B:$B,0))</f>
        <v>648</v>
      </c>
      <c r="D205" s="1">
        <f>INDEX(sheet1!$G:$G,MATCH(A205,sheet1!$B:$B,0))*10</f>
        <v>6480</v>
      </c>
    </row>
    <row r="206" spans="1:4">
      <c r="A206" s="1" t="s">
        <v>387</v>
      </c>
      <c r="B206" s="3" t="s">
        <v>388</v>
      </c>
      <c r="C206" s="1">
        <f>INDEX(sheet1!$G:$G,MATCH(A206,sheet1!$B:$B,0))</f>
        <v>648</v>
      </c>
      <c r="D206" s="1">
        <f>INDEX(sheet1!$G:$G,MATCH(A206,sheet1!$B:$B,0))*10</f>
        <v>6480</v>
      </c>
    </row>
    <row r="207" spans="1:4">
      <c r="A207" s="1" t="s">
        <v>389</v>
      </c>
      <c r="B207" s="3" t="s">
        <v>388</v>
      </c>
      <c r="C207" s="1">
        <f>INDEX(sheet1!$G:$G,MATCH(A207,sheet1!$B:$B,0))</f>
        <v>648</v>
      </c>
      <c r="D207" s="1">
        <f>INDEX(sheet1!$G:$G,MATCH(A207,sheet1!$B:$B,0))*10</f>
        <v>6480</v>
      </c>
    </row>
    <row r="208" spans="1:4">
      <c r="A208" s="1" t="s">
        <v>390</v>
      </c>
      <c r="B208" s="3" t="s">
        <v>391</v>
      </c>
      <c r="C208" s="1">
        <f>INDEX(sheet1!$G:$G,MATCH(A208,sheet1!$B:$B,0))</f>
        <v>648</v>
      </c>
      <c r="D208" s="1">
        <f>INDEX(sheet1!$G:$G,MATCH(A208,sheet1!$B:$B,0))*10</f>
        <v>6480</v>
      </c>
    </row>
    <row r="209" spans="1:4">
      <c r="A209" s="1" t="s">
        <v>392</v>
      </c>
      <c r="B209" s="3" t="s">
        <v>391</v>
      </c>
      <c r="C209" s="1">
        <f>INDEX(sheet1!$G:$G,MATCH(A209,sheet1!$B:$B,0))</f>
        <v>648</v>
      </c>
      <c r="D209" s="1">
        <f>INDEX(sheet1!$G:$G,MATCH(A209,sheet1!$B:$B,0))*10</f>
        <v>6480</v>
      </c>
    </row>
    <row r="210" spans="1:4">
      <c r="A210" s="1" t="s">
        <v>393</v>
      </c>
      <c r="B210" s="3" t="s">
        <v>394</v>
      </c>
      <c r="C210" s="1">
        <f>INDEX(sheet1!$G:$G,MATCH(A210,sheet1!$B:$B,0))</f>
        <v>648</v>
      </c>
      <c r="D210" s="1">
        <f>INDEX(sheet1!$G:$G,MATCH(A210,sheet1!$B:$B,0))*10</f>
        <v>6480</v>
      </c>
    </row>
    <row r="211" spans="1:4">
      <c r="A211" s="1" t="s">
        <v>395</v>
      </c>
      <c r="B211" s="3" t="s">
        <v>394</v>
      </c>
      <c r="C211" s="1">
        <f>INDEX(sheet1!$G:$G,MATCH(A211,sheet1!$B:$B,0))</f>
        <v>648</v>
      </c>
      <c r="D211" s="1">
        <f>INDEX(sheet1!$G:$G,MATCH(A211,sheet1!$B:$B,0))*10</f>
        <v>6480</v>
      </c>
    </row>
    <row r="212" spans="1:4">
      <c r="A212" s="1" t="s">
        <v>396</v>
      </c>
      <c r="B212" s="3" t="s">
        <v>397</v>
      </c>
      <c r="C212" s="1">
        <f>INDEX(sheet1!$G:$G,MATCH(A212,sheet1!$B:$B,0))</f>
        <v>648</v>
      </c>
      <c r="D212" s="1">
        <f>INDEX(sheet1!$G:$G,MATCH(A212,sheet1!$B:$B,0))*10</f>
        <v>6480</v>
      </c>
    </row>
    <row r="213" spans="1:4">
      <c r="A213" s="1" t="s">
        <v>398</v>
      </c>
      <c r="B213" s="3" t="s">
        <v>397</v>
      </c>
      <c r="C213" s="1">
        <f>INDEX(sheet1!$G:$G,MATCH(A213,sheet1!$B:$B,0))</f>
        <v>648</v>
      </c>
      <c r="D213" s="1">
        <f>INDEX(sheet1!$G:$G,MATCH(A213,sheet1!$B:$B,0))*10</f>
        <v>6480</v>
      </c>
    </row>
    <row r="214" spans="1:4">
      <c r="A214" s="1" t="s">
        <v>399</v>
      </c>
      <c r="B214" s="3" t="s">
        <v>400</v>
      </c>
      <c r="C214" s="1">
        <f>INDEX(sheet1!$G:$G,MATCH(A214,sheet1!$B:$B,0))</f>
        <v>648</v>
      </c>
      <c r="D214" s="1">
        <f>INDEX(sheet1!$G:$G,MATCH(A214,sheet1!$B:$B,0))*10</f>
        <v>6480</v>
      </c>
    </row>
    <row r="215" spans="1:4">
      <c r="A215" s="1" t="s">
        <v>401</v>
      </c>
      <c r="B215" s="3" t="s">
        <v>400</v>
      </c>
      <c r="C215" s="1">
        <f>INDEX(sheet1!$G:$G,MATCH(A215,sheet1!$B:$B,0))</f>
        <v>648</v>
      </c>
      <c r="D215" s="1">
        <f>INDEX(sheet1!$G:$G,MATCH(A215,sheet1!$B:$B,0))*10</f>
        <v>6480</v>
      </c>
    </row>
    <row r="216" spans="1:4">
      <c r="A216" s="1" t="s">
        <v>402</v>
      </c>
      <c r="B216" s="3" t="s">
        <v>403</v>
      </c>
      <c r="C216" s="1">
        <f>INDEX(sheet1!$G:$G,MATCH(A216,sheet1!$B:$B,0))</f>
        <v>648</v>
      </c>
      <c r="D216" s="1">
        <f>INDEX(sheet1!$G:$G,MATCH(A216,sheet1!$B:$B,0))*10</f>
        <v>6480</v>
      </c>
    </row>
    <row r="217" spans="1:4">
      <c r="A217" s="1" t="s">
        <v>404</v>
      </c>
      <c r="B217" s="3" t="s">
        <v>403</v>
      </c>
      <c r="C217" s="1">
        <f>INDEX(sheet1!$G:$G,MATCH(A217,sheet1!$B:$B,0))</f>
        <v>648</v>
      </c>
      <c r="D217" s="1">
        <f>INDEX(sheet1!$G:$G,MATCH(A217,sheet1!$B:$B,0))*10</f>
        <v>6480</v>
      </c>
    </row>
    <row r="218" spans="1:4">
      <c r="A218" s="1" t="s">
        <v>405</v>
      </c>
      <c r="B218" s="3" t="s">
        <v>406</v>
      </c>
      <c r="C218" s="1">
        <f>INDEX(sheet1!$G:$G,MATCH(A218,sheet1!$B:$B,0))</f>
        <v>648</v>
      </c>
      <c r="D218" s="1">
        <f>INDEX(sheet1!$G:$G,MATCH(A218,sheet1!$B:$B,0))*10</f>
        <v>6480</v>
      </c>
    </row>
    <row r="219" spans="1:4">
      <c r="A219" s="1" t="s">
        <v>407</v>
      </c>
      <c r="B219" s="3" t="s">
        <v>406</v>
      </c>
      <c r="C219" s="1">
        <f>INDEX(sheet1!$G:$G,MATCH(A219,sheet1!$B:$B,0))</f>
        <v>648</v>
      </c>
      <c r="D219" s="1">
        <f>INDEX(sheet1!$G:$G,MATCH(A219,sheet1!$B:$B,0))*10</f>
        <v>6480</v>
      </c>
    </row>
    <row r="220" ht="30" spans="1:4">
      <c r="A220" s="1" t="s">
        <v>408</v>
      </c>
      <c r="B220" s="3" t="s">
        <v>1875</v>
      </c>
      <c r="C220" s="1">
        <f>INDEX(sheet1!$G:$G,MATCH(A220,sheet1!$B:$B,0))</f>
        <v>0.1</v>
      </c>
      <c r="D220" s="1">
        <f>INDEX(sheet1!$G:$G,MATCH(A220,sheet1!$B:$B,0))*10</f>
        <v>1</v>
      </c>
    </row>
    <row r="221" ht="30" spans="1:4">
      <c r="A221" s="1" t="s">
        <v>410</v>
      </c>
      <c r="B221" s="3" t="s">
        <v>1876</v>
      </c>
      <c r="C221" s="1">
        <f>INDEX(sheet1!$G:$G,MATCH(A221,sheet1!$B:$B,0))</f>
        <v>20</v>
      </c>
      <c r="D221" s="1">
        <f>INDEX(sheet1!$G:$G,MATCH(A221,sheet1!$B:$B,0))*10</f>
        <v>200</v>
      </c>
    </row>
    <row r="222" spans="1:4">
      <c r="A222" s="1" t="s">
        <v>412</v>
      </c>
      <c r="B222" s="3" t="s">
        <v>413</v>
      </c>
      <c r="C222" s="1">
        <f>INDEX(sheet1!$G:$G,MATCH(A222,sheet1!$B:$B,0))</f>
        <v>25.65</v>
      </c>
      <c r="D222" s="1">
        <f>INDEX(sheet1!$G:$G,MATCH(A222,sheet1!$B:$B,0))*10</f>
        <v>256.5</v>
      </c>
    </row>
    <row r="223" spans="1:4">
      <c r="A223" s="1" t="s">
        <v>414</v>
      </c>
      <c r="B223" s="3" t="s">
        <v>1877</v>
      </c>
      <c r="C223" s="1">
        <f>INDEX(sheet1!$G:$G,MATCH(A223,sheet1!$B:$B,0))</f>
        <v>25.65</v>
      </c>
      <c r="D223" s="1">
        <f>INDEX(sheet1!$G:$G,MATCH(A223,sheet1!$B:$B,0))*10</f>
        <v>256.5</v>
      </c>
    </row>
    <row r="224" spans="1:4">
      <c r="A224" s="1" t="s">
        <v>416</v>
      </c>
      <c r="B224" s="3" t="s">
        <v>1878</v>
      </c>
      <c r="C224" s="1">
        <f>INDEX(sheet1!$G:$G,MATCH(A224,sheet1!$B:$B,0))</f>
        <v>25.65</v>
      </c>
      <c r="D224" s="1">
        <f>INDEX(sheet1!$G:$G,MATCH(A224,sheet1!$B:$B,0))*10</f>
        <v>256.5</v>
      </c>
    </row>
    <row r="225" ht="30" spans="1:4">
      <c r="A225" s="1" t="s">
        <v>418</v>
      </c>
      <c r="B225" s="3" t="s">
        <v>419</v>
      </c>
      <c r="C225" s="1">
        <f>INDEX(sheet1!$G:$G,MATCH(A225,sheet1!$B:$B,0))</f>
        <v>25.65</v>
      </c>
      <c r="D225" s="1">
        <f>INDEX(sheet1!$G:$G,MATCH(A225,sheet1!$B:$B,0))*10</f>
        <v>256.5</v>
      </c>
    </row>
    <row r="226" ht="30" spans="1:4">
      <c r="A226" s="1" t="s">
        <v>420</v>
      </c>
      <c r="B226" s="3" t="s">
        <v>1879</v>
      </c>
      <c r="C226" s="1">
        <f>INDEX(sheet1!$G:$G,MATCH(A226,sheet1!$B:$B,0))</f>
        <v>25.65</v>
      </c>
      <c r="D226" s="1">
        <f>INDEX(sheet1!$G:$G,MATCH(A226,sheet1!$B:$B,0))*10</f>
        <v>256.5</v>
      </c>
    </row>
    <row r="227" spans="1:4">
      <c r="A227" s="1" t="s">
        <v>422</v>
      </c>
      <c r="B227" s="3" t="s">
        <v>1880</v>
      </c>
      <c r="C227" s="1">
        <f>INDEX(sheet1!$G:$G,MATCH(A227,sheet1!$B:$B,0))</f>
        <v>25.65</v>
      </c>
      <c r="D227" s="1">
        <f>INDEX(sheet1!$G:$G,MATCH(A227,sheet1!$B:$B,0))*10</f>
        <v>256.5</v>
      </c>
    </row>
    <row r="228" ht="30" spans="1:4">
      <c r="A228" s="1" t="s">
        <v>424</v>
      </c>
      <c r="B228" s="3" t="s">
        <v>1881</v>
      </c>
      <c r="C228" s="1">
        <f>INDEX(sheet1!$G:$G,MATCH(A228,sheet1!$B:$B,0))</f>
        <v>656.1</v>
      </c>
      <c r="D228" s="1">
        <f>INDEX(sheet1!$G:$G,MATCH(A228,sheet1!$B:$B,0))*10</f>
        <v>6561</v>
      </c>
    </row>
    <row r="229" ht="30" spans="1:4">
      <c r="A229" s="1" t="s">
        <v>426</v>
      </c>
      <c r="B229" s="3" t="s">
        <v>1882</v>
      </c>
      <c r="C229" s="1">
        <f>INDEX(sheet1!$G:$G,MATCH(A229,sheet1!$B:$B,0))</f>
        <v>656.1</v>
      </c>
      <c r="D229" s="1">
        <f>INDEX(sheet1!$G:$G,MATCH(A229,sheet1!$B:$B,0))*10</f>
        <v>6561</v>
      </c>
    </row>
    <row r="230" spans="1:4">
      <c r="A230" s="1" t="s">
        <v>428</v>
      </c>
      <c r="B230" s="3" t="s">
        <v>1883</v>
      </c>
      <c r="C230" s="1">
        <f>INDEX(sheet1!$G:$G,MATCH(A230,sheet1!$B:$B,0))</f>
        <v>656.1</v>
      </c>
      <c r="D230" s="1">
        <f>INDEX(sheet1!$G:$G,MATCH(A230,sheet1!$B:$B,0))*10</f>
        <v>6561</v>
      </c>
    </row>
    <row r="231" spans="1:4">
      <c r="A231" s="1" t="s">
        <v>430</v>
      </c>
      <c r="B231" s="3" t="s">
        <v>1884</v>
      </c>
      <c r="C231" s="1">
        <f>INDEX(sheet1!$G:$G,MATCH(A231,sheet1!$B:$B,0))</f>
        <v>656.1</v>
      </c>
      <c r="D231" s="1">
        <f>INDEX(sheet1!$G:$G,MATCH(A231,sheet1!$B:$B,0))*10</f>
        <v>6561</v>
      </c>
    </row>
    <row r="232" ht="30" spans="1:4">
      <c r="A232" s="1" t="s">
        <v>432</v>
      </c>
      <c r="B232" s="3" t="s">
        <v>433</v>
      </c>
      <c r="C232" s="1">
        <f>INDEX(sheet1!$G:$G,MATCH(A232,sheet1!$B:$B,0))</f>
        <v>656.1</v>
      </c>
      <c r="D232" s="1">
        <f>INDEX(sheet1!$G:$G,MATCH(A232,sheet1!$B:$B,0))*10</f>
        <v>6561</v>
      </c>
    </row>
    <row r="233" spans="1:4">
      <c r="A233" s="1" t="s">
        <v>434</v>
      </c>
      <c r="B233" s="3" t="s">
        <v>435</v>
      </c>
      <c r="C233" s="1">
        <f>INDEX(sheet1!$G:$G,MATCH(A233,sheet1!$B:$B,0))</f>
        <v>656.1</v>
      </c>
      <c r="D233" s="1">
        <f>INDEX(sheet1!$G:$G,MATCH(A233,sheet1!$B:$B,0))*10</f>
        <v>6561</v>
      </c>
    </row>
    <row r="234" ht="30" spans="1:4">
      <c r="A234" s="1" t="s">
        <v>436</v>
      </c>
      <c r="B234" s="3" t="s">
        <v>1885</v>
      </c>
      <c r="C234" s="1">
        <f>INDEX(sheet1!$G:$G,MATCH(A234,sheet1!$B:$B,0))</f>
        <v>656.1</v>
      </c>
      <c r="D234" s="1">
        <f>INDEX(sheet1!$G:$G,MATCH(A234,sheet1!$B:$B,0))*10</f>
        <v>6561</v>
      </c>
    </row>
    <row r="235" spans="1:4">
      <c r="A235" s="1" t="s">
        <v>438</v>
      </c>
      <c r="B235" s="3" t="s">
        <v>1886</v>
      </c>
      <c r="C235" s="1">
        <f>INDEX(sheet1!$G:$G,MATCH(A235,sheet1!$B:$B,0))</f>
        <v>656.1</v>
      </c>
      <c r="D235" s="1">
        <f>INDEX(sheet1!$G:$G,MATCH(A235,sheet1!$B:$B,0))*10</f>
        <v>6561</v>
      </c>
    </row>
    <row r="236" spans="1:4">
      <c r="A236" s="1" t="s">
        <v>440</v>
      </c>
      <c r="B236" s="3" t="s">
        <v>1887</v>
      </c>
      <c r="C236" s="1">
        <f>INDEX(sheet1!$G:$G,MATCH(A236,sheet1!$B:$B,0))</f>
        <v>656.1</v>
      </c>
      <c r="D236" s="1">
        <f>INDEX(sheet1!$G:$G,MATCH(A236,sheet1!$B:$B,0))*10</f>
        <v>6561</v>
      </c>
    </row>
    <row r="237" spans="1:4">
      <c r="A237" s="1" t="s">
        <v>442</v>
      </c>
      <c r="B237" s="3" t="s">
        <v>1888</v>
      </c>
      <c r="C237" s="1">
        <f>INDEX(sheet1!$G:$G,MATCH(A237,sheet1!$B:$B,0))</f>
        <v>656.1</v>
      </c>
      <c r="D237" s="1">
        <f>INDEX(sheet1!$G:$G,MATCH(A237,sheet1!$B:$B,0))*10</f>
        <v>6561</v>
      </c>
    </row>
    <row r="238" spans="1:4">
      <c r="A238" s="1" t="s">
        <v>444</v>
      </c>
      <c r="B238" s="3" t="s">
        <v>1889</v>
      </c>
      <c r="C238" s="1">
        <f>INDEX(sheet1!$G:$G,MATCH(A238,sheet1!$B:$B,0))</f>
        <v>656.1</v>
      </c>
      <c r="D238" s="1">
        <f>INDEX(sheet1!$G:$G,MATCH(A238,sheet1!$B:$B,0))*10</f>
        <v>6561</v>
      </c>
    </row>
    <row r="239" spans="1:4">
      <c r="A239" s="1" t="s">
        <v>446</v>
      </c>
      <c r="B239" s="3" t="s">
        <v>1890</v>
      </c>
      <c r="C239" s="1">
        <f>INDEX(sheet1!$G:$G,MATCH(A239,sheet1!$B:$B,0))</f>
        <v>656.1</v>
      </c>
      <c r="D239" s="1">
        <f>INDEX(sheet1!$G:$G,MATCH(A239,sheet1!$B:$B,0))*10</f>
        <v>6561</v>
      </c>
    </row>
    <row r="240" spans="1:4">
      <c r="A240" s="1" t="s">
        <v>448</v>
      </c>
      <c r="B240" s="3" t="s">
        <v>449</v>
      </c>
      <c r="C240" s="1">
        <f>INDEX(sheet1!$G:$G,MATCH(A240,sheet1!$B:$B,0))</f>
        <v>656.1</v>
      </c>
      <c r="D240" s="1">
        <f>INDEX(sheet1!$G:$G,MATCH(A240,sheet1!$B:$B,0))*10</f>
        <v>6561</v>
      </c>
    </row>
    <row r="241" spans="1:4">
      <c r="A241" s="1" t="s">
        <v>450</v>
      </c>
      <c r="B241" s="3" t="s">
        <v>1891</v>
      </c>
      <c r="C241" s="1">
        <f>INDEX(sheet1!$G:$G,MATCH(A241,sheet1!$B:$B,0))</f>
        <v>656.1</v>
      </c>
      <c r="D241" s="1">
        <f>INDEX(sheet1!$G:$G,MATCH(A241,sheet1!$B:$B,0))*10</f>
        <v>6561</v>
      </c>
    </row>
    <row r="242" ht="30" spans="1:4">
      <c r="A242" s="1" t="s">
        <v>452</v>
      </c>
      <c r="B242" s="3" t="s">
        <v>1892</v>
      </c>
      <c r="C242" s="1">
        <f>INDEX(sheet1!$G:$G,MATCH(A242,sheet1!$B:$B,0))</f>
        <v>656.1</v>
      </c>
      <c r="D242" s="1">
        <f>INDEX(sheet1!$G:$G,MATCH(A242,sheet1!$B:$B,0))*10</f>
        <v>6561</v>
      </c>
    </row>
    <row r="243" ht="30" spans="1:4">
      <c r="A243" s="1" t="s">
        <v>454</v>
      </c>
      <c r="B243" s="3" t="s">
        <v>1893</v>
      </c>
      <c r="C243" s="1">
        <f>INDEX(sheet1!$G:$G,MATCH(A243,sheet1!$B:$B,0))</f>
        <v>656.1</v>
      </c>
      <c r="D243" s="1">
        <f>INDEX(sheet1!$G:$G,MATCH(A243,sheet1!$B:$B,0))*10</f>
        <v>6561</v>
      </c>
    </row>
    <row r="244" ht="30" spans="1:4">
      <c r="A244" s="1" t="s">
        <v>456</v>
      </c>
      <c r="B244" s="3" t="s">
        <v>1894</v>
      </c>
      <c r="C244" s="1">
        <f>INDEX(sheet1!$G:$G,MATCH(A244,sheet1!$B:$B,0))</f>
        <v>656.1</v>
      </c>
      <c r="D244" s="1">
        <f>INDEX(sheet1!$G:$G,MATCH(A244,sheet1!$B:$B,0))*10</f>
        <v>6561</v>
      </c>
    </row>
    <row r="245" ht="30" spans="1:4">
      <c r="A245" s="1" t="s">
        <v>458</v>
      </c>
      <c r="B245" s="3" t="s">
        <v>1895</v>
      </c>
      <c r="C245" s="1">
        <f>INDEX(sheet1!$G:$G,MATCH(A245,sheet1!$B:$B,0))</f>
        <v>656.1</v>
      </c>
      <c r="D245" s="1">
        <f>INDEX(sheet1!$G:$G,MATCH(A245,sheet1!$B:$B,0))*10</f>
        <v>6561</v>
      </c>
    </row>
    <row r="246" ht="30" spans="1:4">
      <c r="A246" s="1" t="s">
        <v>460</v>
      </c>
      <c r="B246" s="3" t="s">
        <v>461</v>
      </c>
      <c r="C246" s="1">
        <f>INDEX(sheet1!$G:$G,MATCH(A246,sheet1!$B:$B,0))</f>
        <v>656.1</v>
      </c>
      <c r="D246" s="1">
        <f>INDEX(sheet1!$G:$G,MATCH(A246,sheet1!$B:$B,0))*10</f>
        <v>6561</v>
      </c>
    </row>
    <row r="247" spans="1:4">
      <c r="A247" s="1" t="s">
        <v>462</v>
      </c>
      <c r="B247" s="3" t="s">
        <v>463</v>
      </c>
      <c r="C247" s="1">
        <f>INDEX(sheet1!$G:$G,MATCH(A247,sheet1!$B:$B,0))</f>
        <v>656.1</v>
      </c>
      <c r="D247" s="1">
        <f>INDEX(sheet1!$G:$G,MATCH(A247,sheet1!$B:$B,0))*10</f>
        <v>6561</v>
      </c>
    </row>
    <row r="248" spans="1:4">
      <c r="A248" s="1" t="s">
        <v>464</v>
      </c>
      <c r="B248" s="3" t="s">
        <v>1896</v>
      </c>
      <c r="C248" s="1">
        <f>INDEX(sheet1!$G:$G,MATCH(A248,sheet1!$B:$B,0))</f>
        <v>656.1</v>
      </c>
      <c r="D248" s="1">
        <f>INDEX(sheet1!$G:$G,MATCH(A248,sheet1!$B:$B,0))*10</f>
        <v>6561</v>
      </c>
    </row>
    <row r="249" spans="1:4">
      <c r="A249" s="1" t="s">
        <v>466</v>
      </c>
      <c r="B249" s="3" t="s">
        <v>1897</v>
      </c>
      <c r="C249" s="1">
        <f>INDEX(sheet1!$G:$G,MATCH(A249,sheet1!$B:$B,0))</f>
        <v>656.1</v>
      </c>
      <c r="D249" s="1">
        <f>INDEX(sheet1!$G:$G,MATCH(A249,sheet1!$B:$B,0))*10</f>
        <v>6561</v>
      </c>
    </row>
    <row r="250" spans="1:4">
      <c r="A250" s="1" t="s">
        <v>468</v>
      </c>
      <c r="B250" s="3" t="s">
        <v>1898</v>
      </c>
      <c r="C250" s="1">
        <f>INDEX(sheet1!$G:$G,MATCH(A250,sheet1!$B:$B,0))</f>
        <v>656.1</v>
      </c>
      <c r="D250" s="1">
        <f>INDEX(sheet1!$G:$G,MATCH(A250,sheet1!$B:$B,0))*10</f>
        <v>6561</v>
      </c>
    </row>
    <row r="251" spans="1:4">
      <c r="A251" s="1" t="s">
        <v>470</v>
      </c>
      <c r="B251" s="3" t="s">
        <v>1899</v>
      </c>
      <c r="C251" s="1">
        <f>INDEX(sheet1!$G:$G,MATCH(A251,sheet1!$B:$B,0))</f>
        <v>656.1</v>
      </c>
      <c r="D251" s="1">
        <f>INDEX(sheet1!$G:$G,MATCH(A251,sheet1!$B:$B,0))*10</f>
        <v>6561</v>
      </c>
    </row>
    <row r="252" ht="30" spans="1:4">
      <c r="A252" s="1" t="s">
        <v>472</v>
      </c>
      <c r="B252" s="3" t="s">
        <v>1900</v>
      </c>
      <c r="C252" s="1">
        <f>INDEX(sheet1!$G:$G,MATCH(A252,sheet1!$B:$B,0))</f>
        <v>656.1</v>
      </c>
      <c r="D252" s="1">
        <f>INDEX(sheet1!$G:$G,MATCH(A252,sheet1!$B:$B,0))*10</f>
        <v>6561</v>
      </c>
    </row>
    <row r="253" spans="1:4">
      <c r="A253" s="1" t="s">
        <v>474</v>
      </c>
      <c r="B253" s="3" t="s">
        <v>475</v>
      </c>
      <c r="C253" s="1">
        <f>INDEX(sheet1!$G:$G,MATCH(A253,sheet1!$B:$B,0))</f>
        <v>656.1</v>
      </c>
      <c r="D253" s="1">
        <f>INDEX(sheet1!$G:$G,MATCH(A253,sheet1!$B:$B,0))*10</f>
        <v>6561</v>
      </c>
    </row>
    <row r="254" spans="1:4">
      <c r="A254" s="1" t="s">
        <v>476</v>
      </c>
      <c r="B254" s="3" t="s">
        <v>1901</v>
      </c>
      <c r="C254" s="1">
        <f>INDEX(sheet1!$G:$G,MATCH(A254,sheet1!$B:$B,0))</f>
        <v>656.1</v>
      </c>
      <c r="D254" s="1">
        <f>INDEX(sheet1!$G:$G,MATCH(A254,sheet1!$B:$B,0))*10</f>
        <v>6561</v>
      </c>
    </row>
    <row r="255" spans="1:4">
      <c r="A255" s="1" t="s">
        <v>478</v>
      </c>
      <c r="B255" s="3" t="s">
        <v>1902</v>
      </c>
      <c r="C255" s="1">
        <f>INDEX(sheet1!$G:$G,MATCH(A255,sheet1!$B:$B,0))</f>
        <v>656.1</v>
      </c>
      <c r="D255" s="1">
        <f>INDEX(sheet1!$G:$G,MATCH(A255,sheet1!$B:$B,0))*10</f>
        <v>6561</v>
      </c>
    </row>
    <row r="256" spans="1:4">
      <c r="A256" s="1" t="s">
        <v>480</v>
      </c>
      <c r="B256" s="3" t="s">
        <v>1903</v>
      </c>
      <c r="C256" s="1">
        <f>INDEX(sheet1!$G:$G,MATCH(A256,sheet1!$B:$B,0))</f>
        <v>656.1</v>
      </c>
      <c r="D256" s="1">
        <f>INDEX(sheet1!$G:$G,MATCH(A256,sheet1!$B:$B,0))*10</f>
        <v>6561</v>
      </c>
    </row>
    <row r="257" spans="1:4">
      <c r="A257" s="1" t="s">
        <v>482</v>
      </c>
      <c r="B257" s="3" t="s">
        <v>1904</v>
      </c>
      <c r="C257" s="1">
        <f>INDEX(sheet1!$G:$G,MATCH(A257,sheet1!$B:$B,0))</f>
        <v>656.1</v>
      </c>
      <c r="D257" s="1">
        <f>INDEX(sheet1!$G:$G,MATCH(A257,sheet1!$B:$B,0))*10</f>
        <v>6561</v>
      </c>
    </row>
    <row r="258" spans="1:4">
      <c r="A258" s="1" t="s">
        <v>484</v>
      </c>
      <c r="B258" s="3" t="s">
        <v>1905</v>
      </c>
      <c r="C258" s="1">
        <f>INDEX(sheet1!$G:$G,MATCH(A258,sheet1!$B:$B,0))</f>
        <v>656.1</v>
      </c>
      <c r="D258" s="1">
        <f>INDEX(sheet1!$G:$G,MATCH(A258,sheet1!$B:$B,0))*10</f>
        <v>6561</v>
      </c>
    </row>
    <row r="259" spans="1:4">
      <c r="A259" s="1" t="s">
        <v>486</v>
      </c>
      <c r="B259" s="3" t="s">
        <v>1906</v>
      </c>
      <c r="C259" s="1">
        <f>INDEX(sheet1!$G:$G,MATCH(A259,sheet1!$B:$B,0))</f>
        <v>656.1</v>
      </c>
      <c r="D259" s="1">
        <f>INDEX(sheet1!$G:$G,MATCH(A259,sheet1!$B:$B,0))*10</f>
        <v>6561</v>
      </c>
    </row>
    <row r="260" ht="30" spans="1:4">
      <c r="A260" s="1" t="s">
        <v>488</v>
      </c>
      <c r="B260" s="3" t="s">
        <v>489</v>
      </c>
      <c r="C260" s="1">
        <f>INDEX(sheet1!$G:$G,MATCH(A260,sheet1!$B:$B,0))</f>
        <v>656.1</v>
      </c>
      <c r="D260" s="1">
        <f>INDEX(sheet1!$G:$G,MATCH(A260,sheet1!$B:$B,0))*10</f>
        <v>6561</v>
      </c>
    </row>
    <row r="261" spans="1:4">
      <c r="A261" s="1" t="s">
        <v>490</v>
      </c>
      <c r="B261" s="3" t="s">
        <v>1907</v>
      </c>
      <c r="C261" s="1">
        <f>INDEX(sheet1!$G:$G,MATCH(A261,sheet1!$B:$B,0))</f>
        <v>656.1</v>
      </c>
      <c r="D261" s="1">
        <f>INDEX(sheet1!$G:$G,MATCH(A261,sheet1!$B:$B,0))*10</f>
        <v>6561</v>
      </c>
    </row>
    <row r="262" spans="1:4">
      <c r="A262" s="1" t="s">
        <v>492</v>
      </c>
      <c r="B262" s="3" t="s">
        <v>1908</v>
      </c>
      <c r="C262" s="1">
        <f>INDEX(sheet1!$G:$G,MATCH(A262,sheet1!$B:$B,0))</f>
        <v>656.1</v>
      </c>
      <c r="D262" s="1">
        <f>INDEX(sheet1!$G:$G,MATCH(A262,sheet1!$B:$B,0))*10</f>
        <v>6561</v>
      </c>
    </row>
    <row r="263" ht="30" spans="1:4">
      <c r="A263" s="1" t="s">
        <v>494</v>
      </c>
      <c r="B263" s="3" t="s">
        <v>1909</v>
      </c>
      <c r="C263" s="1">
        <f>INDEX(sheet1!$G:$G,MATCH(A263,sheet1!$B:$B,0))</f>
        <v>656.1</v>
      </c>
      <c r="D263" s="1">
        <f>INDEX(sheet1!$G:$G,MATCH(A263,sheet1!$B:$B,0))*10</f>
        <v>6561</v>
      </c>
    </row>
    <row r="264" ht="30" spans="1:4">
      <c r="A264" s="1" t="s">
        <v>496</v>
      </c>
      <c r="B264" s="3" t="s">
        <v>497</v>
      </c>
      <c r="C264" s="1">
        <f>INDEX(sheet1!$G:$G,MATCH(A264,sheet1!$B:$B,0))</f>
        <v>656.1</v>
      </c>
      <c r="D264" s="1">
        <f>INDEX(sheet1!$G:$G,MATCH(A264,sheet1!$B:$B,0))*10</f>
        <v>6561</v>
      </c>
    </row>
    <row r="265" spans="1:4">
      <c r="A265" s="1" t="s">
        <v>498</v>
      </c>
      <c r="B265" s="3" t="s">
        <v>1910</v>
      </c>
      <c r="C265" s="1">
        <f>INDEX(sheet1!$G:$G,MATCH(A265,sheet1!$B:$B,0))</f>
        <v>656.1</v>
      </c>
      <c r="D265" s="1">
        <f>INDEX(sheet1!$G:$G,MATCH(A265,sheet1!$B:$B,0))*10</f>
        <v>6561</v>
      </c>
    </row>
    <row r="266" spans="1:4">
      <c r="A266" s="1" t="s">
        <v>500</v>
      </c>
      <c r="B266" s="3" t="s">
        <v>501</v>
      </c>
      <c r="C266" s="1">
        <f>INDEX(sheet1!$G:$G,MATCH(A266,sheet1!$B:$B,0))</f>
        <v>656.1</v>
      </c>
      <c r="D266" s="1">
        <f>INDEX(sheet1!$G:$G,MATCH(A266,sheet1!$B:$B,0))*10</f>
        <v>6561</v>
      </c>
    </row>
    <row r="267" spans="1:4">
      <c r="A267" s="1" t="s">
        <v>502</v>
      </c>
      <c r="B267" s="3" t="s">
        <v>1911</v>
      </c>
      <c r="C267" s="1">
        <f>INDEX(sheet1!$G:$G,MATCH(A267,sheet1!$B:$B,0))</f>
        <v>656.1</v>
      </c>
      <c r="D267" s="1">
        <f>INDEX(sheet1!$G:$G,MATCH(A267,sheet1!$B:$B,0))*10</f>
        <v>6561</v>
      </c>
    </row>
    <row r="268" spans="1:4">
      <c r="A268" s="1" t="s">
        <v>504</v>
      </c>
      <c r="B268" s="3" t="s">
        <v>1912</v>
      </c>
      <c r="C268" s="1">
        <f>INDEX(sheet1!$G:$G,MATCH(A268,sheet1!$B:$B,0))</f>
        <v>656.1</v>
      </c>
      <c r="D268" s="1">
        <f>INDEX(sheet1!$G:$G,MATCH(A268,sheet1!$B:$B,0))*10</f>
        <v>6561</v>
      </c>
    </row>
    <row r="269" ht="30" spans="1:4">
      <c r="A269" s="1" t="s">
        <v>506</v>
      </c>
      <c r="B269" s="3" t="s">
        <v>507</v>
      </c>
      <c r="C269" s="1">
        <f>INDEX(sheet1!$G:$G,MATCH(A269,sheet1!$B:$B,0))</f>
        <v>20.0390625</v>
      </c>
      <c r="D269" s="1">
        <f>INDEX(sheet1!$G:$G,MATCH(A269,sheet1!$B:$B,0))*10</f>
        <v>200.390625</v>
      </c>
    </row>
    <row r="270" spans="1:4">
      <c r="A270" s="1" t="s">
        <v>508</v>
      </c>
      <c r="B270" s="3" t="s">
        <v>509</v>
      </c>
      <c r="C270" s="1">
        <f>INDEX(sheet1!$G:$G,MATCH(A270,sheet1!$B:$B,0))</f>
        <v>3.20625</v>
      </c>
      <c r="D270" s="1">
        <f>INDEX(sheet1!$G:$G,MATCH(A270,sheet1!$B:$B,0))*10</f>
        <v>32.0625</v>
      </c>
    </row>
    <row r="271" ht="30" spans="1:4">
      <c r="A271" s="1" t="s">
        <v>510</v>
      </c>
      <c r="B271" s="3" t="s">
        <v>511</v>
      </c>
      <c r="C271" s="1">
        <f>INDEX(sheet1!$G:$G,MATCH(A271,sheet1!$B:$B,0))</f>
        <v>1.603125</v>
      </c>
      <c r="D271" s="1">
        <f>INDEX(sheet1!$G:$G,MATCH(A271,sheet1!$B:$B,0))*10</f>
        <v>16.03125</v>
      </c>
    </row>
    <row r="272" ht="30" spans="1:4">
      <c r="A272" s="1" t="s">
        <v>512</v>
      </c>
      <c r="B272" s="3" t="s">
        <v>513</v>
      </c>
      <c r="C272" s="1">
        <f>INDEX(sheet1!$G:$G,MATCH(A272,sheet1!$B:$B,0))</f>
        <v>0.8015625</v>
      </c>
      <c r="D272" s="1">
        <f>INDEX(sheet1!$G:$G,MATCH(A272,sheet1!$B:$B,0))*10</f>
        <v>8.015625</v>
      </c>
    </row>
    <row r="273" ht="30" spans="1:4">
      <c r="A273" s="1" t="s">
        <v>514</v>
      </c>
      <c r="B273" s="3" t="s">
        <v>1913</v>
      </c>
      <c r="C273" s="1">
        <f>INDEX(sheet1!$G:$G,MATCH(A273,sheet1!$B:$B,0))</f>
        <v>20.0390625</v>
      </c>
      <c r="D273" s="1">
        <f>INDEX(sheet1!$G:$G,MATCH(A273,sheet1!$B:$B,0))*10</f>
        <v>200.390625</v>
      </c>
    </row>
    <row r="274" spans="1:4">
      <c r="A274" s="1" t="s">
        <v>516</v>
      </c>
      <c r="B274" s="3" t="s">
        <v>1914</v>
      </c>
      <c r="C274" s="1">
        <f>INDEX(sheet1!$G:$G,MATCH(A274,sheet1!$B:$B,0))</f>
        <v>3.20625</v>
      </c>
      <c r="D274" s="1">
        <f>INDEX(sheet1!$G:$G,MATCH(A274,sheet1!$B:$B,0))*10</f>
        <v>32.0625</v>
      </c>
    </row>
    <row r="275" ht="30" spans="1:4">
      <c r="A275" s="1" t="s">
        <v>518</v>
      </c>
      <c r="B275" s="3" t="s">
        <v>1915</v>
      </c>
      <c r="C275" s="1">
        <f>INDEX(sheet1!$G:$G,MATCH(A275,sheet1!$B:$B,0))</f>
        <v>1.603125</v>
      </c>
      <c r="D275" s="1">
        <f>INDEX(sheet1!$G:$G,MATCH(A275,sheet1!$B:$B,0))*10</f>
        <v>16.03125</v>
      </c>
    </row>
    <row r="276" ht="30" spans="1:4">
      <c r="A276" s="1" t="s">
        <v>520</v>
      </c>
      <c r="B276" s="3" t="s">
        <v>1916</v>
      </c>
      <c r="C276" s="1">
        <f>INDEX(sheet1!$G:$G,MATCH(A276,sheet1!$B:$B,0))</f>
        <v>0.8015625</v>
      </c>
      <c r="D276" s="1">
        <f>INDEX(sheet1!$G:$G,MATCH(A276,sheet1!$B:$B,0))*10</f>
        <v>8.015625</v>
      </c>
    </row>
    <row r="277" ht="30" spans="1:4">
      <c r="A277" s="1" t="s">
        <v>522</v>
      </c>
      <c r="B277" s="3" t="s">
        <v>1917</v>
      </c>
      <c r="C277" s="1">
        <f>INDEX(sheet1!$G:$G,MATCH(A277,sheet1!$B:$B,0))</f>
        <v>20.0390625</v>
      </c>
      <c r="D277" s="1">
        <f>INDEX(sheet1!$G:$G,MATCH(A277,sheet1!$B:$B,0))*10</f>
        <v>200.390625</v>
      </c>
    </row>
    <row r="278" ht="30" spans="1:4">
      <c r="A278" s="1" t="s">
        <v>524</v>
      </c>
      <c r="B278" s="3" t="s">
        <v>1918</v>
      </c>
      <c r="C278" s="1">
        <f>INDEX(sheet1!$G:$G,MATCH(A278,sheet1!$B:$B,0))</f>
        <v>3.20625</v>
      </c>
      <c r="D278" s="1">
        <f>INDEX(sheet1!$G:$G,MATCH(A278,sheet1!$B:$B,0))*10</f>
        <v>32.0625</v>
      </c>
    </row>
    <row r="279" ht="30" spans="1:4">
      <c r="A279" s="1" t="s">
        <v>526</v>
      </c>
      <c r="B279" s="3" t="s">
        <v>1919</v>
      </c>
      <c r="C279" s="1">
        <f>INDEX(sheet1!$G:$G,MATCH(A279,sheet1!$B:$B,0))</f>
        <v>1.603125</v>
      </c>
      <c r="D279" s="1">
        <f>INDEX(sheet1!$G:$G,MATCH(A279,sheet1!$B:$B,0))*10</f>
        <v>16.03125</v>
      </c>
    </row>
    <row r="280" ht="30" spans="1:4">
      <c r="A280" s="1" t="s">
        <v>528</v>
      </c>
      <c r="B280" s="3" t="s">
        <v>1920</v>
      </c>
      <c r="C280" s="1">
        <f>INDEX(sheet1!$G:$G,MATCH(A280,sheet1!$B:$B,0))</f>
        <v>0.8015625</v>
      </c>
      <c r="D280" s="1">
        <f>INDEX(sheet1!$G:$G,MATCH(A280,sheet1!$B:$B,0))*10</f>
        <v>8.015625</v>
      </c>
    </row>
    <row r="281" ht="30" spans="1:4">
      <c r="A281" s="1" t="s">
        <v>530</v>
      </c>
      <c r="B281" s="3" t="s">
        <v>531</v>
      </c>
      <c r="C281" s="1">
        <f>INDEX(sheet1!$G:$G,MATCH(A281,sheet1!$B:$B,0))</f>
        <v>20.0390625</v>
      </c>
      <c r="D281" s="1">
        <f>INDEX(sheet1!$G:$G,MATCH(A281,sheet1!$B:$B,0))*10</f>
        <v>200.390625</v>
      </c>
    </row>
    <row r="282" ht="30" spans="1:4">
      <c r="A282" s="1" t="s">
        <v>532</v>
      </c>
      <c r="B282" s="3" t="s">
        <v>533</v>
      </c>
      <c r="C282" s="1">
        <f>INDEX(sheet1!$G:$G,MATCH(A282,sheet1!$B:$B,0))</f>
        <v>3.20625</v>
      </c>
      <c r="D282" s="1">
        <f>INDEX(sheet1!$G:$G,MATCH(A282,sheet1!$B:$B,0))*10</f>
        <v>32.0625</v>
      </c>
    </row>
    <row r="283" ht="30" spans="1:4">
      <c r="A283" s="1" t="s">
        <v>534</v>
      </c>
      <c r="B283" s="3" t="s">
        <v>535</v>
      </c>
      <c r="C283" s="1">
        <f>INDEX(sheet1!$G:$G,MATCH(A283,sheet1!$B:$B,0))</f>
        <v>1.603125</v>
      </c>
      <c r="D283" s="1">
        <f>INDEX(sheet1!$G:$G,MATCH(A283,sheet1!$B:$B,0))*10</f>
        <v>16.03125</v>
      </c>
    </row>
    <row r="284" ht="30" spans="1:4">
      <c r="A284" s="1" t="s">
        <v>536</v>
      </c>
      <c r="B284" s="3" t="s">
        <v>537</v>
      </c>
      <c r="C284" s="1">
        <f>INDEX(sheet1!$G:$G,MATCH(A284,sheet1!$B:$B,0))</f>
        <v>0.8015625</v>
      </c>
      <c r="D284" s="1">
        <f>INDEX(sheet1!$G:$G,MATCH(A284,sheet1!$B:$B,0))*10</f>
        <v>8.015625</v>
      </c>
    </row>
    <row r="285" ht="30" spans="1:4">
      <c r="A285" s="1" t="s">
        <v>538</v>
      </c>
      <c r="B285" s="3" t="s">
        <v>1921</v>
      </c>
      <c r="C285" s="1">
        <f>INDEX(sheet1!$G:$G,MATCH(A285,sheet1!$B:$B,0))</f>
        <v>20.0390625</v>
      </c>
      <c r="D285" s="1">
        <f>INDEX(sheet1!$G:$G,MATCH(A285,sheet1!$B:$B,0))*10</f>
        <v>200.390625</v>
      </c>
    </row>
    <row r="286" ht="30" spans="1:4">
      <c r="A286" s="1" t="s">
        <v>540</v>
      </c>
      <c r="B286" s="3" t="s">
        <v>1922</v>
      </c>
      <c r="C286" s="1">
        <f>INDEX(sheet1!$G:$G,MATCH(A286,sheet1!$B:$B,0))</f>
        <v>3.20625</v>
      </c>
      <c r="D286" s="1">
        <f>INDEX(sheet1!$G:$G,MATCH(A286,sheet1!$B:$B,0))*10</f>
        <v>32.0625</v>
      </c>
    </row>
    <row r="287" ht="30" spans="1:4">
      <c r="A287" s="1" t="s">
        <v>542</v>
      </c>
      <c r="B287" s="3" t="s">
        <v>1923</v>
      </c>
      <c r="C287" s="1">
        <f>INDEX(sheet1!$G:$G,MATCH(A287,sheet1!$B:$B,0))</f>
        <v>1.603125</v>
      </c>
      <c r="D287" s="1">
        <f>INDEX(sheet1!$G:$G,MATCH(A287,sheet1!$B:$B,0))*10</f>
        <v>16.03125</v>
      </c>
    </row>
    <row r="288" ht="30" spans="1:4">
      <c r="A288" s="1" t="s">
        <v>544</v>
      </c>
      <c r="B288" s="3" t="s">
        <v>1924</v>
      </c>
      <c r="C288" s="1">
        <f>INDEX(sheet1!$G:$G,MATCH(A288,sheet1!$B:$B,0))</f>
        <v>0.8015625</v>
      </c>
      <c r="D288" s="1">
        <f>INDEX(sheet1!$G:$G,MATCH(A288,sheet1!$B:$B,0))*10</f>
        <v>8.015625</v>
      </c>
    </row>
    <row r="289" ht="30" spans="1:4">
      <c r="A289" s="1" t="s">
        <v>546</v>
      </c>
      <c r="B289" s="3" t="s">
        <v>1925</v>
      </c>
      <c r="C289" s="1">
        <f>INDEX(sheet1!$G:$G,MATCH(A289,sheet1!$B:$B,0))</f>
        <v>20.0390625</v>
      </c>
      <c r="D289" s="1">
        <f>INDEX(sheet1!$G:$G,MATCH(A289,sheet1!$B:$B,0))*10</f>
        <v>200.390625</v>
      </c>
    </row>
    <row r="290" spans="1:4">
      <c r="A290" s="1" t="s">
        <v>548</v>
      </c>
      <c r="B290" s="3" t="s">
        <v>1926</v>
      </c>
      <c r="C290" s="1">
        <f>INDEX(sheet1!$G:$G,MATCH(A290,sheet1!$B:$B,0))</f>
        <v>3.20625</v>
      </c>
      <c r="D290" s="1">
        <f>INDEX(sheet1!$G:$G,MATCH(A290,sheet1!$B:$B,0))*10</f>
        <v>32.0625</v>
      </c>
    </row>
    <row r="291" ht="30" spans="1:4">
      <c r="A291" s="1" t="s">
        <v>550</v>
      </c>
      <c r="B291" s="3" t="s">
        <v>1927</v>
      </c>
      <c r="C291" s="1">
        <f>INDEX(sheet1!$G:$G,MATCH(A291,sheet1!$B:$B,0))</f>
        <v>1.603125</v>
      </c>
      <c r="D291" s="1">
        <f>INDEX(sheet1!$G:$G,MATCH(A291,sheet1!$B:$B,0))*10</f>
        <v>16.03125</v>
      </c>
    </row>
    <row r="292" ht="30" spans="1:4">
      <c r="A292" s="1" t="s">
        <v>552</v>
      </c>
      <c r="B292" s="3" t="s">
        <v>1928</v>
      </c>
      <c r="C292" s="1">
        <f>INDEX(sheet1!$G:$G,MATCH(A292,sheet1!$B:$B,0))</f>
        <v>0.8015625</v>
      </c>
      <c r="D292" s="1">
        <f>INDEX(sheet1!$G:$G,MATCH(A292,sheet1!$B:$B,0))*10</f>
        <v>8.015625</v>
      </c>
    </row>
    <row r="293" ht="30" spans="1:4">
      <c r="A293" s="1" t="s">
        <v>554</v>
      </c>
      <c r="B293" s="3" t="s">
        <v>1929</v>
      </c>
      <c r="C293" s="1">
        <f>INDEX(sheet1!$G:$G,MATCH(A293,sheet1!$B:$B,0))</f>
        <v>573.639344262295</v>
      </c>
      <c r="D293" s="1">
        <f>INDEX(sheet1!$G:$G,MATCH(A293,sheet1!$B:$B,0))*10</f>
        <v>5736.39344262295</v>
      </c>
    </row>
    <row r="294" ht="30" spans="1:4">
      <c r="A294" s="1" t="s">
        <v>556</v>
      </c>
      <c r="B294" s="3" t="s">
        <v>1930</v>
      </c>
      <c r="C294" s="1">
        <f>INDEX(sheet1!$G:$G,MATCH(A294,sheet1!$B:$B,0))</f>
        <v>42.4918032786885</v>
      </c>
      <c r="D294" s="1">
        <f>INDEX(sheet1!$G:$G,MATCH(A294,sheet1!$B:$B,0))*10</f>
        <v>424.918032786885</v>
      </c>
    </row>
    <row r="295" ht="30" spans="1:4">
      <c r="A295" s="1" t="s">
        <v>558</v>
      </c>
      <c r="B295" s="3" t="s">
        <v>1931</v>
      </c>
      <c r="C295" s="1">
        <f>INDEX(sheet1!$G:$G,MATCH(A295,sheet1!$B:$B,0))</f>
        <v>21.2459016393443</v>
      </c>
      <c r="D295" s="1">
        <f>INDEX(sheet1!$G:$G,MATCH(A295,sheet1!$B:$B,0))*10</f>
        <v>212.459016393443</v>
      </c>
    </row>
    <row r="296" ht="30" spans="1:4">
      <c r="A296" s="1" t="s">
        <v>560</v>
      </c>
      <c r="B296" s="3" t="s">
        <v>1932</v>
      </c>
      <c r="C296" s="1">
        <f>INDEX(sheet1!$G:$G,MATCH(A296,sheet1!$B:$B,0))</f>
        <v>10.6229508196721</v>
      </c>
      <c r="D296" s="1">
        <f>INDEX(sheet1!$G:$G,MATCH(A296,sheet1!$B:$B,0))*10</f>
        <v>106.229508196721</v>
      </c>
    </row>
    <row r="297" ht="30" spans="1:4">
      <c r="A297" s="1" t="s">
        <v>562</v>
      </c>
      <c r="B297" s="3" t="s">
        <v>1933</v>
      </c>
      <c r="C297" s="1">
        <f>INDEX(sheet1!$G:$G,MATCH(A297,sheet1!$B:$B,0))</f>
        <v>573.639344262295</v>
      </c>
      <c r="D297" s="1">
        <f>INDEX(sheet1!$G:$G,MATCH(A297,sheet1!$B:$B,0))*10</f>
        <v>5736.39344262295</v>
      </c>
    </row>
    <row r="298" ht="30" spans="1:4">
      <c r="A298" s="1" t="s">
        <v>564</v>
      </c>
      <c r="B298" s="3" t="s">
        <v>1934</v>
      </c>
      <c r="C298" s="1">
        <f>INDEX(sheet1!$G:$G,MATCH(A298,sheet1!$B:$B,0))</f>
        <v>42.4918032786885</v>
      </c>
      <c r="D298" s="1">
        <f>INDEX(sheet1!$G:$G,MATCH(A298,sheet1!$B:$B,0))*10</f>
        <v>424.918032786885</v>
      </c>
    </row>
    <row r="299" ht="30" spans="1:4">
      <c r="A299" s="1" t="s">
        <v>566</v>
      </c>
      <c r="B299" s="3" t="s">
        <v>1935</v>
      </c>
      <c r="C299" s="1">
        <f>INDEX(sheet1!$G:$G,MATCH(A299,sheet1!$B:$B,0))</f>
        <v>21.2459016393443</v>
      </c>
      <c r="D299" s="1">
        <f>INDEX(sheet1!$G:$G,MATCH(A299,sheet1!$B:$B,0))*10</f>
        <v>212.459016393443</v>
      </c>
    </row>
    <row r="300" ht="30" spans="1:4">
      <c r="A300" s="1" t="s">
        <v>568</v>
      </c>
      <c r="B300" s="3" t="s">
        <v>1936</v>
      </c>
      <c r="C300" s="1">
        <f>INDEX(sheet1!$G:$G,MATCH(A300,sheet1!$B:$B,0))</f>
        <v>10.6229508196721</v>
      </c>
      <c r="D300" s="1">
        <f>INDEX(sheet1!$G:$G,MATCH(A300,sheet1!$B:$B,0))*10</f>
        <v>106.229508196721</v>
      </c>
    </row>
    <row r="301" ht="30" spans="1:4">
      <c r="A301" s="1" t="s">
        <v>570</v>
      </c>
      <c r="B301" s="3" t="s">
        <v>1937</v>
      </c>
      <c r="C301" s="1">
        <f>INDEX(sheet1!$G:$G,MATCH(A301,sheet1!$B:$B,0))</f>
        <v>573.639344262295</v>
      </c>
      <c r="D301" s="1">
        <f>INDEX(sheet1!$G:$G,MATCH(A301,sheet1!$B:$B,0))*10</f>
        <v>5736.39344262295</v>
      </c>
    </row>
    <row r="302" spans="1:4">
      <c r="A302" s="1" t="s">
        <v>572</v>
      </c>
      <c r="B302" s="3" t="s">
        <v>1938</v>
      </c>
      <c r="C302" s="1">
        <f>INDEX(sheet1!$G:$G,MATCH(A302,sheet1!$B:$B,0))</f>
        <v>42.4918032786885</v>
      </c>
      <c r="D302" s="1">
        <f>INDEX(sheet1!$G:$G,MATCH(A302,sheet1!$B:$B,0))*10</f>
        <v>424.918032786885</v>
      </c>
    </row>
    <row r="303" ht="30" spans="1:4">
      <c r="A303" s="1" t="s">
        <v>574</v>
      </c>
      <c r="B303" s="3" t="s">
        <v>1939</v>
      </c>
      <c r="C303" s="1">
        <f>INDEX(sheet1!$G:$G,MATCH(A303,sheet1!$B:$B,0))</f>
        <v>21.2459016393443</v>
      </c>
      <c r="D303" s="1">
        <f>INDEX(sheet1!$G:$G,MATCH(A303,sheet1!$B:$B,0))*10</f>
        <v>212.459016393443</v>
      </c>
    </row>
    <row r="304" ht="30" spans="1:4">
      <c r="A304" s="1" t="s">
        <v>576</v>
      </c>
      <c r="B304" s="3" t="s">
        <v>1940</v>
      </c>
      <c r="C304" s="1">
        <f>INDEX(sheet1!$G:$G,MATCH(A304,sheet1!$B:$B,0))</f>
        <v>10.6229508196721</v>
      </c>
      <c r="D304" s="1">
        <f>INDEX(sheet1!$G:$G,MATCH(A304,sheet1!$B:$B,0))*10</f>
        <v>106.229508196721</v>
      </c>
    </row>
    <row r="305" ht="30" spans="1:4">
      <c r="A305" s="1" t="s">
        <v>578</v>
      </c>
      <c r="B305" s="3" t="s">
        <v>1941</v>
      </c>
      <c r="C305" s="1">
        <f>INDEX(sheet1!$G:$G,MATCH(A305,sheet1!$B:$B,0))</f>
        <v>573.639344262295</v>
      </c>
      <c r="D305" s="1">
        <f>INDEX(sheet1!$G:$G,MATCH(A305,sheet1!$B:$B,0))*10</f>
        <v>5736.39344262295</v>
      </c>
    </row>
    <row r="306" ht="30" spans="1:4">
      <c r="A306" s="1" t="s">
        <v>580</v>
      </c>
      <c r="B306" s="3" t="s">
        <v>1942</v>
      </c>
      <c r="C306" s="1">
        <f>INDEX(sheet1!$G:$G,MATCH(A306,sheet1!$B:$B,0))</f>
        <v>42.4918032786885</v>
      </c>
      <c r="D306" s="1">
        <f>INDEX(sheet1!$G:$G,MATCH(A306,sheet1!$B:$B,0))*10</f>
        <v>424.918032786885</v>
      </c>
    </row>
    <row r="307" ht="30" spans="1:4">
      <c r="A307" s="1" t="s">
        <v>582</v>
      </c>
      <c r="B307" s="3" t="s">
        <v>1943</v>
      </c>
      <c r="C307" s="1">
        <f>INDEX(sheet1!$G:$G,MATCH(A307,sheet1!$B:$B,0))</f>
        <v>21.2459016393443</v>
      </c>
      <c r="D307" s="1">
        <f>INDEX(sheet1!$G:$G,MATCH(A307,sheet1!$B:$B,0))*10</f>
        <v>212.459016393443</v>
      </c>
    </row>
    <row r="308" ht="30" spans="1:4">
      <c r="A308" s="1" t="s">
        <v>584</v>
      </c>
      <c r="B308" s="3" t="s">
        <v>1944</v>
      </c>
      <c r="C308" s="1">
        <f>INDEX(sheet1!$G:$G,MATCH(A308,sheet1!$B:$B,0))</f>
        <v>10.6229508196721</v>
      </c>
      <c r="D308" s="1">
        <f>INDEX(sheet1!$G:$G,MATCH(A308,sheet1!$B:$B,0))*10</f>
        <v>106.229508196721</v>
      </c>
    </row>
    <row r="309" ht="30" spans="1:4">
      <c r="A309" s="1" t="s">
        <v>586</v>
      </c>
      <c r="B309" s="3" t="s">
        <v>587</v>
      </c>
      <c r="C309" s="1">
        <f>INDEX(sheet1!$G:$G,MATCH(A309,sheet1!$B:$B,0))</f>
        <v>573.639344262295</v>
      </c>
      <c r="D309" s="1">
        <f>INDEX(sheet1!$G:$G,MATCH(A309,sheet1!$B:$B,0))*10</f>
        <v>5736.39344262295</v>
      </c>
    </row>
    <row r="310" ht="30" spans="1:4">
      <c r="A310" s="1" t="s">
        <v>588</v>
      </c>
      <c r="B310" s="3" t="s">
        <v>589</v>
      </c>
      <c r="C310" s="1">
        <f>INDEX(sheet1!$G:$G,MATCH(A310,sheet1!$B:$B,0))</f>
        <v>42.4918032786885</v>
      </c>
      <c r="D310" s="1">
        <f>INDEX(sheet1!$G:$G,MATCH(A310,sheet1!$B:$B,0))*10</f>
        <v>424.918032786885</v>
      </c>
    </row>
    <row r="311" ht="30" spans="1:4">
      <c r="A311" s="1" t="s">
        <v>590</v>
      </c>
      <c r="B311" s="3" t="s">
        <v>591</v>
      </c>
      <c r="C311" s="1">
        <f>INDEX(sheet1!$G:$G,MATCH(A311,sheet1!$B:$B,0))</f>
        <v>21.2459016393443</v>
      </c>
      <c r="D311" s="1">
        <f>INDEX(sheet1!$G:$G,MATCH(A311,sheet1!$B:$B,0))*10</f>
        <v>212.459016393443</v>
      </c>
    </row>
    <row r="312" ht="30" spans="1:4">
      <c r="A312" s="1" t="s">
        <v>592</v>
      </c>
      <c r="B312" s="3" t="s">
        <v>593</v>
      </c>
      <c r="C312" s="1">
        <f>INDEX(sheet1!$G:$G,MATCH(A312,sheet1!$B:$B,0))</f>
        <v>10.6229508196721</v>
      </c>
      <c r="D312" s="1">
        <f>INDEX(sheet1!$G:$G,MATCH(A312,sheet1!$B:$B,0))*10</f>
        <v>106.229508196721</v>
      </c>
    </row>
    <row r="313" ht="30" spans="1:4">
      <c r="A313" s="1" t="s">
        <v>594</v>
      </c>
      <c r="B313" s="3" t="s">
        <v>595</v>
      </c>
      <c r="C313" s="1">
        <f>INDEX(sheet1!$G:$G,MATCH(A313,sheet1!$B:$B,0))</f>
        <v>573.639344262295</v>
      </c>
      <c r="D313" s="1">
        <f>INDEX(sheet1!$G:$G,MATCH(A313,sheet1!$B:$B,0))*10</f>
        <v>5736.39344262295</v>
      </c>
    </row>
    <row r="314" spans="1:4">
      <c r="A314" s="1" t="s">
        <v>596</v>
      </c>
      <c r="B314" s="3" t="s">
        <v>597</v>
      </c>
      <c r="C314" s="1">
        <f>INDEX(sheet1!$G:$G,MATCH(A314,sheet1!$B:$B,0))</f>
        <v>42.4918032786885</v>
      </c>
      <c r="D314" s="1">
        <f>INDEX(sheet1!$G:$G,MATCH(A314,sheet1!$B:$B,0))*10</f>
        <v>424.918032786885</v>
      </c>
    </row>
    <row r="315" ht="30" spans="1:4">
      <c r="A315" s="1" t="s">
        <v>598</v>
      </c>
      <c r="B315" s="3" t="s">
        <v>599</v>
      </c>
      <c r="C315" s="1">
        <f>INDEX(sheet1!$G:$G,MATCH(A315,sheet1!$B:$B,0))</f>
        <v>21.2459016393443</v>
      </c>
      <c r="D315" s="1">
        <f>INDEX(sheet1!$G:$G,MATCH(A315,sheet1!$B:$B,0))*10</f>
        <v>212.459016393443</v>
      </c>
    </row>
    <row r="316" ht="30" spans="1:4">
      <c r="A316" s="1" t="s">
        <v>600</v>
      </c>
      <c r="B316" s="3" t="s">
        <v>601</v>
      </c>
      <c r="C316" s="1">
        <f>INDEX(sheet1!$G:$G,MATCH(A316,sheet1!$B:$B,0))</f>
        <v>10.6229508196721</v>
      </c>
      <c r="D316" s="1">
        <f>INDEX(sheet1!$G:$G,MATCH(A316,sheet1!$B:$B,0))*10</f>
        <v>106.229508196721</v>
      </c>
    </row>
    <row r="317" ht="30" spans="1:4">
      <c r="A317" s="1" t="s">
        <v>602</v>
      </c>
      <c r="B317" s="3" t="s">
        <v>1945</v>
      </c>
      <c r="C317" s="1">
        <f>INDEX(sheet1!$G:$G,MATCH(A317,sheet1!$B:$B,0))</f>
        <v>573.639344262295</v>
      </c>
      <c r="D317" s="1">
        <f>INDEX(sheet1!$G:$G,MATCH(A317,sheet1!$B:$B,0))*10</f>
        <v>5736.39344262295</v>
      </c>
    </row>
    <row r="318" ht="30" spans="1:4">
      <c r="A318" s="1" t="s">
        <v>604</v>
      </c>
      <c r="B318" s="3" t="s">
        <v>1946</v>
      </c>
      <c r="C318" s="1">
        <f>INDEX(sheet1!$G:$G,MATCH(A318,sheet1!$B:$B,0))</f>
        <v>42.4918032786885</v>
      </c>
      <c r="D318" s="1">
        <f>INDEX(sheet1!$G:$G,MATCH(A318,sheet1!$B:$B,0))*10</f>
        <v>424.918032786885</v>
      </c>
    </row>
    <row r="319" ht="30" spans="1:4">
      <c r="A319" s="1" t="s">
        <v>606</v>
      </c>
      <c r="B319" s="3" t="s">
        <v>1947</v>
      </c>
      <c r="C319" s="1">
        <f>INDEX(sheet1!$G:$G,MATCH(A319,sheet1!$B:$B,0))</f>
        <v>21.2459016393443</v>
      </c>
      <c r="D319" s="1">
        <f>INDEX(sheet1!$G:$G,MATCH(A319,sheet1!$B:$B,0))*10</f>
        <v>212.459016393443</v>
      </c>
    </row>
    <row r="320" ht="30" spans="1:4">
      <c r="A320" s="1" t="s">
        <v>608</v>
      </c>
      <c r="B320" s="3" t="s">
        <v>1948</v>
      </c>
      <c r="C320" s="1">
        <f>INDEX(sheet1!$G:$G,MATCH(A320,sheet1!$B:$B,0))</f>
        <v>10.6229508196721</v>
      </c>
      <c r="D320" s="1">
        <f>INDEX(sheet1!$G:$G,MATCH(A320,sheet1!$B:$B,0))*10</f>
        <v>106.229508196721</v>
      </c>
    </row>
    <row r="321" ht="30" spans="1:4">
      <c r="A321" s="1" t="s">
        <v>610</v>
      </c>
      <c r="B321" s="3" t="s">
        <v>1949</v>
      </c>
      <c r="C321" s="1">
        <f>INDEX(sheet1!$G:$G,MATCH(A321,sheet1!$B:$B,0))</f>
        <v>573.639344262295</v>
      </c>
      <c r="D321" s="1">
        <f>INDEX(sheet1!$G:$G,MATCH(A321,sheet1!$B:$B,0))*10</f>
        <v>5736.39344262295</v>
      </c>
    </row>
    <row r="322" spans="1:4">
      <c r="A322" s="1" t="s">
        <v>612</v>
      </c>
      <c r="B322" s="3" t="s">
        <v>1950</v>
      </c>
      <c r="C322" s="1">
        <f>INDEX(sheet1!$G:$G,MATCH(A322,sheet1!$B:$B,0))</f>
        <v>42.4918032786885</v>
      </c>
      <c r="D322" s="1">
        <f>INDEX(sheet1!$G:$G,MATCH(A322,sheet1!$B:$B,0))*10</f>
        <v>424.918032786885</v>
      </c>
    </row>
    <row r="323" ht="30" spans="1:4">
      <c r="A323" s="1" t="s">
        <v>614</v>
      </c>
      <c r="B323" s="3" t="s">
        <v>1951</v>
      </c>
      <c r="C323" s="1">
        <f>INDEX(sheet1!$G:$G,MATCH(A323,sheet1!$B:$B,0))</f>
        <v>21.2459016393443</v>
      </c>
      <c r="D323" s="1">
        <f>INDEX(sheet1!$G:$G,MATCH(A323,sheet1!$B:$B,0))*10</f>
        <v>212.459016393443</v>
      </c>
    </row>
    <row r="324" ht="30" spans="1:4">
      <c r="A324" s="1" t="s">
        <v>616</v>
      </c>
      <c r="B324" s="3" t="s">
        <v>1952</v>
      </c>
      <c r="C324" s="1">
        <f>INDEX(sheet1!$G:$G,MATCH(A324,sheet1!$B:$B,0))</f>
        <v>10.6229508196721</v>
      </c>
      <c r="D324" s="1">
        <f>INDEX(sheet1!$G:$G,MATCH(A324,sheet1!$B:$B,0))*10</f>
        <v>106.229508196721</v>
      </c>
    </row>
    <row r="325" ht="30" spans="1:4">
      <c r="A325" s="1" t="s">
        <v>618</v>
      </c>
      <c r="B325" s="3" t="s">
        <v>1953</v>
      </c>
      <c r="C325" s="1">
        <f>INDEX(sheet1!$G:$G,MATCH(A325,sheet1!$B:$B,0))</f>
        <v>573.639344262295</v>
      </c>
      <c r="D325" s="1">
        <f>INDEX(sheet1!$G:$G,MATCH(A325,sheet1!$B:$B,0))*10</f>
        <v>5736.39344262295</v>
      </c>
    </row>
    <row r="326" spans="1:4">
      <c r="A326" s="1" t="s">
        <v>620</v>
      </c>
      <c r="B326" s="3" t="s">
        <v>1954</v>
      </c>
      <c r="C326" s="1">
        <f>INDEX(sheet1!$G:$G,MATCH(A326,sheet1!$B:$B,0))</f>
        <v>42.4918032786885</v>
      </c>
      <c r="D326" s="1">
        <f>INDEX(sheet1!$G:$G,MATCH(A326,sheet1!$B:$B,0))*10</f>
        <v>424.918032786885</v>
      </c>
    </row>
    <row r="327" ht="30" spans="1:4">
      <c r="A327" s="1" t="s">
        <v>622</v>
      </c>
      <c r="B327" s="3" t="s">
        <v>1955</v>
      </c>
      <c r="C327" s="1">
        <f>INDEX(sheet1!$G:$G,MATCH(A327,sheet1!$B:$B,0))</f>
        <v>21.2459016393443</v>
      </c>
      <c r="D327" s="1">
        <f>INDEX(sheet1!$G:$G,MATCH(A327,sheet1!$B:$B,0))*10</f>
        <v>212.459016393443</v>
      </c>
    </row>
    <row r="328" ht="30" spans="1:4">
      <c r="A328" s="1" t="s">
        <v>624</v>
      </c>
      <c r="B328" s="3" t="s">
        <v>1956</v>
      </c>
      <c r="C328" s="1">
        <f>INDEX(sheet1!$G:$G,MATCH(A328,sheet1!$B:$B,0))</f>
        <v>10.6229508196721</v>
      </c>
      <c r="D328" s="1">
        <f>INDEX(sheet1!$G:$G,MATCH(A328,sheet1!$B:$B,0))*10</f>
        <v>106.229508196721</v>
      </c>
    </row>
    <row r="329" spans="1:4">
      <c r="A329" s="1" t="s">
        <v>626</v>
      </c>
      <c r="B329" s="3" t="s">
        <v>1957</v>
      </c>
      <c r="C329" s="1">
        <f>INDEX(sheet1!$G:$G,MATCH(A329,sheet1!$B:$B,0))</f>
        <v>573.639344262295</v>
      </c>
      <c r="D329" s="1">
        <f>INDEX(sheet1!$G:$G,MATCH(A329,sheet1!$B:$B,0))*10</f>
        <v>5736.39344262295</v>
      </c>
    </row>
    <row r="330" spans="1:4">
      <c r="A330" s="1" t="s">
        <v>628</v>
      </c>
      <c r="B330" s="3" t="s">
        <v>1958</v>
      </c>
      <c r="C330" s="1">
        <f>INDEX(sheet1!$G:$G,MATCH(A330,sheet1!$B:$B,0))</f>
        <v>42.4918032786885</v>
      </c>
      <c r="D330" s="1">
        <f>INDEX(sheet1!$G:$G,MATCH(A330,sheet1!$B:$B,0))*10</f>
        <v>424.918032786885</v>
      </c>
    </row>
    <row r="331" spans="1:4">
      <c r="A331" s="1" t="s">
        <v>630</v>
      </c>
      <c r="B331" s="3" t="s">
        <v>1959</v>
      </c>
      <c r="C331" s="1">
        <f>INDEX(sheet1!$G:$G,MATCH(A331,sheet1!$B:$B,0))</f>
        <v>21.2459016393443</v>
      </c>
      <c r="D331" s="1">
        <f>INDEX(sheet1!$G:$G,MATCH(A331,sheet1!$B:$B,0))*10</f>
        <v>212.459016393443</v>
      </c>
    </row>
    <row r="332" spans="1:4">
      <c r="A332" s="1" t="s">
        <v>632</v>
      </c>
      <c r="B332" s="3" t="s">
        <v>1960</v>
      </c>
      <c r="C332" s="1">
        <f>INDEX(sheet1!$G:$G,MATCH(A332,sheet1!$B:$B,0))</f>
        <v>10.6229508196721</v>
      </c>
      <c r="D332" s="1">
        <f>INDEX(sheet1!$G:$G,MATCH(A332,sheet1!$B:$B,0))*10</f>
        <v>106.229508196721</v>
      </c>
    </row>
    <row r="333" spans="1:4">
      <c r="A333" s="1" t="s">
        <v>634</v>
      </c>
      <c r="B333" s="3" t="s">
        <v>1961</v>
      </c>
      <c r="C333" s="1">
        <f>INDEX(sheet1!$G:$G,MATCH(A333,sheet1!$B:$B,0))</f>
        <v>573.639344262295</v>
      </c>
      <c r="D333" s="1">
        <f>INDEX(sheet1!$G:$G,MATCH(A333,sheet1!$B:$B,0))*10</f>
        <v>5736.39344262295</v>
      </c>
    </row>
    <row r="334" spans="1:4">
      <c r="A334" s="1" t="s">
        <v>636</v>
      </c>
      <c r="B334" s="3" t="s">
        <v>1962</v>
      </c>
      <c r="C334" s="1">
        <f>INDEX(sheet1!$G:$G,MATCH(A334,sheet1!$B:$B,0))</f>
        <v>42.4918032786885</v>
      </c>
      <c r="D334" s="1">
        <f>INDEX(sheet1!$G:$G,MATCH(A334,sheet1!$B:$B,0))*10</f>
        <v>424.918032786885</v>
      </c>
    </row>
    <row r="335" ht="30" spans="1:4">
      <c r="A335" s="1" t="s">
        <v>638</v>
      </c>
      <c r="B335" s="3" t="s">
        <v>1963</v>
      </c>
      <c r="C335" s="1">
        <f>INDEX(sheet1!$G:$G,MATCH(A335,sheet1!$B:$B,0))</f>
        <v>21.2459016393443</v>
      </c>
      <c r="D335" s="1">
        <f>INDEX(sheet1!$G:$G,MATCH(A335,sheet1!$B:$B,0))*10</f>
        <v>212.459016393443</v>
      </c>
    </row>
    <row r="336" spans="1:4">
      <c r="A336" s="1" t="s">
        <v>640</v>
      </c>
      <c r="B336" s="3" t="s">
        <v>1964</v>
      </c>
      <c r="C336" s="1">
        <f>INDEX(sheet1!$G:$G,MATCH(A336,sheet1!$B:$B,0))</f>
        <v>10.6229508196721</v>
      </c>
      <c r="D336" s="1">
        <f>INDEX(sheet1!$G:$G,MATCH(A336,sheet1!$B:$B,0))*10</f>
        <v>106.229508196721</v>
      </c>
    </row>
    <row r="337" ht="30" spans="1:4">
      <c r="A337" s="1" t="s">
        <v>642</v>
      </c>
      <c r="B337" s="3" t="s">
        <v>1965</v>
      </c>
      <c r="C337" s="1">
        <f>INDEX(sheet1!$G:$G,MATCH(A337,sheet1!$B:$B,0))</f>
        <v>573.639344262295</v>
      </c>
      <c r="D337" s="1">
        <f>INDEX(sheet1!$G:$G,MATCH(A337,sheet1!$B:$B,0))*10</f>
        <v>5736.39344262295</v>
      </c>
    </row>
    <row r="338" ht="30" spans="1:4">
      <c r="A338" s="1" t="s">
        <v>644</v>
      </c>
      <c r="B338" s="3" t="s">
        <v>1966</v>
      </c>
      <c r="C338" s="1">
        <f>INDEX(sheet1!$G:$G,MATCH(A338,sheet1!$B:$B,0))</f>
        <v>42.4918032786885</v>
      </c>
      <c r="D338" s="1">
        <f>INDEX(sheet1!$G:$G,MATCH(A338,sheet1!$B:$B,0))*10</f>
        <v>424.918032786885</v>
      </c>
    </row>
    <row r="339" ht="30" spans="1:4">
      <c r="A339" s="1" t="s">
        <v>646</v>
      </c>
      <c r="B339" s="3" t="s">
        <v>1967</v>
      </c>
      <c r="C339" s="1">
        <f>INDEX(sheet1!$G:$G,MATCH(A339,sheet1!$B:$B,0))</f>
        <v>21.2459016393443</v>
      </c>
      <c r="D339" s="1">
        <f>INDEX(sheet1!$G:$G,MATCH(A339,sheet1!$B:$B,0))*10</f>
        <v>212.459016393443</v>
      </c>
    </row>
    <row r="340" ht="30" spans="1:4">
      <c r="A340" s="1" t="s">
        <v>648</v>
      </c>
      <c r="B340" s="3" t="s">
        <v>1968</v>
      </c>
      <c r="C340" s="1">
        <f>INDEX(sheet1!$G:$G,MATCH(A340,sheet1!$B:$B,0))</f>
        <v>10.6229508196721</v>
      </c>
      <c r="D340" s="1">
        <f>INDEX(sheet1!$G:$G,MATCH(A340,sheet1!$B:$B,0))*10</f>
        <v>106.229508196721</v>
      </c>
    </row>
    <row r="341" ht="30" spans="1:4">
      <c r="A341" s="1" t="s">
        <v>650</v>
      </c>
      <c r="B341" s="3" t="s">
        <v>651</v>
      </c>
      <c r="C341" s="1">
        <f>INDEX(sheet1!$G:$G,MATCH(A341,sheet1!$B:$B,0))</f>
        <v>573.639344262295</v>
      </c>
      <c r="D341" s="1">
        <f>INDEX(sheet1!$G:$G,MATCH(A341,sheet1!$B:$B,0))*10</f>
        <v>5736.39344262295</v>
      </c>
    </row>
    <row r="342" spans="1:4">
      <c r="A342" s="1" t="s">
        <v>652</v>
      </c>
      <c r="B342" s="3" t="s">
        <v>653</v>
      </c>
      <c r="C342" s="1">
        <f>INDEX(sheet1!$G:$G,MATCH(A342,sheet1!$B:$B,0))</f>
        <v>42.4918032786885</v>
      </c>
      <c r="D342" s="1">
        <f>INDEX(sheet1!$G:$G,MATCH(A342,sheet1!$B:$B,0))*10</f>
        <v>424.918032786885</v>
      </c>
    </row>
    <row r="343" ht="30" spans="1:4">
      <c r="A343" s="1" t="s">
        <v>654</v>
      </c>
      <c r="B343" s="3" t="s">
        <v>655</v>
      </c>
      <c r="C343" s="1">
        <f>INDEX(sheet1!$G:$G,MATCH(A343,sheet1!$B:$B,0))</f>
        <v>21.2459016393443</v>
      </c>
      <c r="D343" s="1">
        <f>INDEX(sheet1!$G:$G,MATCH(A343,sheet1!$B:$B,0))*10</f>
        <v>212.459016393443</v>
      </c>
    </row>
    <row r="344" ht="30" spans="1:4">
      <c r="A344" s="1" t="s">
        <v>656</v>
      </c>
      <c r="B344" s="3" t="s">
        <v>657</v>
      </c>
      <c r="C344" s="1">
        <f>INDEX(sheet1!$G:$G,MATCH(A344,sheet1!$B:$B,0))</f>
        <v>10.6229508196721</v>
      </c>
      <c r="D344" s="1">
        <f>INDEX(sheet1!$G:$G,MATCH(A344,sheet1!$B:$B,0))*10</f>
        <v>106.229508196721</v>
      </c>
    </row>
    <row r="345" ht="30" spans="1:4">
      <c r="A345" s="1" t="s">
        <v>658</v>
      </c>
      <c r="B345" s="3" t="s">
        <v>1969</v>
      </c>
      <c r="C345" s="1">
        <f>INDEX(sheet1!$G:$G,MATCH(A345,sheet1!$B:$B,0))</f>
        <v>573.639344262295</v>
      </c>
      <c r="D345" s="1">
        <f>INDEX(sheet1!$G:$G,MATCH(A345,sheet1!$B:$B,0))*10</f>
        <v>5736.39344262295</v>
      </c>
    </row>
    <row r="346" spans="1:4">
      <c r="A346" s="1" t="s">
        <v>660</v>
      </c>
      <c r="B346" s="3" t="s">
        <v>1970</v>
      </c>
      <c r="C346" s="1">
        <f>INDEX(sheet1!$G:$G,MATCH(A346,sheet1!$B:$B,0))</f>
        <v>42.4918032786885</v>
      </c>
      <c r="D346" s="1">
        <f>INDEX(sheet1!$G:$G,MATCH(A346,sheet1!$B:$B,0))*10</f>
        <v>424.918032786885</v>
      </c>
    </row>
    <row r="347" ht="30" spans="1:4">
      <c r="A347" s="1" t="s">
        <v>662</v>
      </c>
      <c r="B347" s="3" t="s">
        <v>1971</v>
      </c>
      <c r="C347" s="1">
        <f>INDEX(sheet1!$G:$G,MATCH(A347,sheet1!$B:$B,0))</f>
        <v>21.2459016393443</v>
      </c>
      <c r="D347" s="1">
        <f>INDEX(sheet1!$G:$G,MATCH(A347,sheet1!$B:$B,0))*10</f>
        <v>212.459016393443</v>
      </c>
    </row>
    <row r="348" ht="30" spans="1:4">
      <c r="A348" s="1" t="s">
        <v>664</v>
      </c>
      <c r="B348" s="3" t="s">
        <v>1972</v>
      </c>
      <c r="C348" s="1">
        <f>INDEX(sheet1!$G:$G,MATCH(A348,sheet1!$B:$B,0))</f>
        <v>10.6229508196721</v>
      </c>
      <c r="D348" s="1">
        <f>INDEX(sheet1!$G:$G,MATCH(A348,sheet1!$B:$B,0))*10</f>
        <v>106.229508196721</v>
      </c>
    </row>
    <row r="349" ht="30" spans="1:4">
      <c r="A349" s="1" t="s">
        <v>666</v>
      </c>
      <c r="B349" s="3" t="s">
        <v>1973</v>
      </c>
      <c r="C349" s="1">
        <f>INDEX(sheet1!$G:$G,MATCH(A349,sheet1!$B:$B,0))</f>
        <v>573.639344262295</v>
      </c>
      <c r="D349" s="1">
        <f>INDEX(sheet1!$G:$G,MATCH(A349,sheet1!$B:$B,0))*10</f>
        <v>5736.39344262295</v>
      </c>
    </row>
    <row r="350" ht="30" spans="1:4">
      <c r="A350" s="1" t="s">
        <v>668</v>
      </c>
      <c r="B350" s="3" t="s">
        <v>1974</v>
      </c>
      <c r="C350" s="1">
        <f>INDEX(sheet1!$G:$G,MATCH(A350,sheet1!$B:$B,0))</f>
        <v>42.4918032786885</v>
      </c>
      <c r="D350" s="1">
        <f>INDEX(sheet1!$G:$G,MATCH(A350,sheet1!$B:$B,0))*10</f>
        <v>424.918032786885</v>
      </c>
    </row>
    <row r="351" ht="30" spans="1:4">
      <c r="A351" s="1" t="s">
        <v>670</v>
      </c>
      <c r="B351" s="3" t="s">
        <v>1975</v>
      </c>
      <c r="C351" s="1">
        <f>INDEX(sheet1!$G:$G,MATCH(A351,sheet1!$B:$B,0))</f>
        <v>21.2459016393443</v>
      </c>
      <c r="D351" s="1">
        <f>INDEX(sheet1!$G:$G,MATCH(A351,sheet1!$B:$B,0))*10</f>
        <v>212.459016393443</v>
      </c>
    </row>
    <row r="352" ht="30" spans="1:4">
      <c r="A352" s="1" t="s">
        <v>672</v>
      </c>
      <c r="B352" s="3" t="s">
        <v>1976</v>
      </c>
      <c r="C352" s="1">
        <f>INDEX(sheet1!$G:$G,MATCH(A352,sheet1!$B:$B,0))</f>
        <v>10.6229508196721</v>
      </c>
      <c r="D352" s="1">
        <f>INDEX(sheet1!$G:$G,MATCH(A352,sheet1!$B:$B,0))*10</f>
        <v>106.229508196721</v>
      </c>
    </row>
    <row r="353" ht="30" spans="1:4">
      <c r="A353" s="1" t="s">
        <v>674</v>
      </c>
      <c r="B353" s="3" t="s">
        <v>1977</v>
      </c>
      <c r="C353" s="1">
        <f>INDEX(sheet1!$G:$G,MATCH(A353,sheet1!$B:$B,0))</f>
        <v>573.639344262295</v>
      </c>
      <c r="D353" s="1">
        <f>INDEX(sheet1!$G:$G,MATCH(A353,sheet1!$B:$B,0))*10</f>
        <v>5736.39344262295</v>
      </c>
    </row>
    <row r="354" ht="30" spans="1:4">
      <c r="A354" s="1" t="s">
        <v>676</v>
      </c>
      <c r="B354" s="3" t="s">
        <v>1978</v>
      </c>
      <c r="C354" s="1">
        <f>INDEX(sheet1!$G:$G,MATCH(A354,sheet1!$B:$B,0))</f>
        <v>42.4918032786885</v>
      </c>
      <c r="D354" s="1">
        <f>INDEX(sheet1!$G:$G,MATCH(A354,sheet1!$B:$B,0))*10</f>
        <v>424.918032786885</v>
      </c>
    </row>
    <row r="355" ht="45" spans="1:4">
      <c r="A355" s="1" t="s">
        <v>678</v>
      </c>
      <c r="B355" s="3" t="s">
        <v>1979</v>
      </c>
      <c r="C355" s="1">
        <f>INDEX(sheet1!$G:$G,MATCH(A355,sheet1!$B:$B,0))</f>
        <v>21.2459016393443</v>
      </c>
      <c r="D355" s="1">
        <f>INDEX(sheet1!$G:$G,MATCH(A355,sheet1!$B:$B,0))*10</f>
        <v>212.459016393443</v>
      </c>
    </row>
    <row r="356" ht="45" spans="1:4">
      <c r="A356" s="1" t="s">
        <v>680</v>
      </c>
      <c r="B356" s="3" t="s">
        <v>1980</v>
      </c>
      <c r="C356" s="1">
        <f>INDEX(sheet1!$G:$G,MATCH(A356,sheet1!$B:$B,0))</f>
        <v>10.6229508196721</v>
      </c>
      <c r="D356" s="1">
        <f>INDEX(sheet1!$G:$G,MATCH(A356,sheet1!$B:$B,0))*10</f>
        <v>106.229508196721</v>
      </c>
    </row>
    <row r="357" ht="30" spans="1:4">
      <c r="A357" s="1" t="s">
        <v>682</v>
      </c>
      <c r="B357" s="3" t="s">
        <v>1981</v>
      </c>
      <c r="C357" s="1">
        <f>INDEX(sheet1!$G:$G,MATCH(A357,sheet1!$B:$B,0))</f>
        <v>573.639344262295</v>
      </c>
      <c r="D357" s="1">
        <f>INDEX(sheet1!$G:$G,MATCH(A357,sheet1!$B:$B,0))*10</f>
        <v>5736.39344262295</v>
      </c>
    </row>
    <row r="358" ht="30" spans="1:4">
      <c r="A358" s="1" t="s">
        <v>684</v>
      </c>
      <c r="B358" s="3" t="s">
        <v>1982</v>
      </c>
      <c r="C358" s="1">
        <f>INDEX(sheet1!$G:$G,MATCH(A358,sheet1!$B:$B,0))</f>
        <v>42.4918032786885</v>
      </c>
      <c r="D358" s="1">
        <f>INDEX(sheet1!$G:$G,MATCH(A358,sheet1!$B:$B,0))*10</f>
        <v>424.918032786885</v>
      </c>
    </row>
    <row r="359" ht="30" spans="1:4">
      <c r="A359" s="1" t="s">
        <v>686</v>
      </c>
      <c r="B359" s="3" t="s">
        <v>1983</v>
      </c>
      <c r="C359" s="1">
        <f>INDEX(sheet1!$G:$G,MATCH(A359,sheet1!$B:$B,0))</f>
        <v>21.2459016393443</v>
      </c>
      <c r="D359" s="1">
        <f>INDEX(sheet1!$G:$G,MATCH(A359,sheet1!$B:$B,0))*10</f>
        <v>212.459016393443</v>
      </c>
    </row>
    <row r="360" ht="30" spans="1:4">
      <c r="A360" s="1" t="s">
        <v>688</v>
      </c>
      <c r="B360" s="3" t="s">
        <v>1984</v>
      </c>
      <c r="C360" s="1">
        <f>INDEX(sheet1!$G:$G,MATCH(A360,sheet1!$B:$B,0))</f>
        <v>10.6229508196721</v>
      </c>
      <c r="D360" s="1">
        <f>INDEX(sheet1!$G:$G,MATCH(A360,sheet1!$B:$B,0))*10</f>
        <v>106.229508196721</v>
      </c>
    </row>
    <row r="361" ht="30" spans="1:4">
      <c r="A361" s="1" t="s">
        <v>690</v>
      </c>
      <c r="B361" s="3" t="s">
        <v>1985</v>
      </c>
      <c r="C361" s="1">
        <f>INDEX(sheet1!$G:$G,MATCH(A361,sheet1!$B:$B,0))</f>
        <v>573.639344262295</v>
      </c>
      <c r="D361" s="1">
        <f>INDEX(sheet1!$G:$G,MATCH(A361,sheet1!$B:$B,0))*10</f>
        <v>5736.39344262295</v>
      </c>
    </row>
    <row r="362" ht="30" spans="1:4">
      <c r="A362" s="1" t="s">
        <v>692</v>
      </c>
      <c r="B362" s="3" t="s">
        <v>1986</v>
      </c>
      <c r="C362" s="1">
        <f>INDEX(sheet1!$G:$G,MATCH(A362,sheet1!$B:$B,0))</f>
        <v>42.4918032786885</v>
      </c>
      <c r="D362" s="1">
        <f>INDEX(sheet1!$G:$G,MATCH(A362,sheet1!$B:$B,0))*10</f>
        <v>424.918032786885</v>
      </c>
    </row>
    <row r="363" ht="30" spans="1:4">
      <c r="A363" s="1" t="s">
        <v>694</v>
      </c>
      <c r="B363" s="3" t="s">
        <v>1987</v>
      </c>
      <c r="C363" s="1">
        <f>INDEX(sheet1!$G:$G,MATCH(A363,sheet1!$B:$B,0))</f>
        <v>21.2459016393443</v>
      </c>
      <c r="D363" s="1">
        <f>INDEX(sheet1!$G:$G,MATCH(A363,sheet1!$B:$B,0))*10</f>
        <v>212.459016393443</v>
      </c>
    </row>
    <row r="364" ht="30" spans="1:4">
      <c r="A364" s="1" t="s">
        <v>696</v>
      </c>
      <c r="B364" s="3" t="s">
        <v>1988</v>
      </c>
      <c r="C364" s="1">
        <f>INDEX(sheet1!$G:$G,MATCH(A364,sheet1!$B:$B,0))</f>
        <v>10.6229508196721</v>
      </c>
      <c r="D364" s="1">
        <f>INDEX(sheet1!$G:$G,MATCH(A364,sheet1!$B:$B,0))*10</f>
        <v>106.229508196721</v>
      </c>
    </row>
    <row r="365" ht="30" spans="1:4">
      <c r="A365" s="1" t="s">
        <v>698</v>
      </c>
      <c r="B365" s="3" t="s">
        <v>699</v>
      </c>
      <c r="C365" s="1">
        <f>INDEX(sheet1!$G:$G,MATCH(A365,sheet1!$B:$B,0))</f>
        <v>573.639344262295</v>
      </c>
      <c r="D365" s="1">
        <f>INDEX(sheet1!$G:$G,MATCH(A365,sheet1!$B:$B,0))*10</f>
        <v>5736.39344262295</v>
      </c>
    </row>
    <row r="366" ht="30" spans="1:4">
      <c r="A366" s="1" t="s">
        <v>700</v>
      </c>
      <c r="B366" s="3" t="s">
        <v>701</v>
      </c>
      <c r="C366" s="1">
        <f>INDEX(sheet1!$G:$G,MATCH(A366,sheet1!$B:$B,0))</f>
        <v>42.4918032786885</v>
      </c>
      <c r="D366" s="1">
        <f>INDEX(sheet1!$G:$G,MATCH(A366,sheet1!$B:$B,0))*10</f>
        <v>424.918032786885</v>
      </c>
    </row>
    <row r="367" ht="30" spans="1:4">
      <c r="A367" s="1" t="s">
        <v>702</v>
      </c>
      <c r="B367" s="3" t="s">
        <v>703</v>
      </c>
      <c r="C367" s="1">
        <f>INDEX(sheet1!$G:$G,MATCH(A367,sheet1!$B:$B,0))</f>
        <v>21.2459016393443</v>
      </c>
      <c r="D367" s="1">
        <f>INDEX(sheet1!$G:$G,MATCH(A367,sheet1!$B:$B,0))*10</f>
        <v>212.459016393443</v>
      </c>
    </row>
    <row r="368" ht="30" spans="1:4">
      <c r="A368" s="1" t="s">
        <v>704</v>
      </c>
      <c r="B368" s="3" t="s">
        <v>705</v>
      </c>
      <c r="C368" s="1">
        <f>INDEX(sheet1!$G:$G,MATCH(A368,sheet1!$B:$B,0))</f>
        <v>10.6229508196721</v>
      </c>
      <c r="D368" s="1">
        <f>INDEX(sheet1!$G:$G,MATCH(A368,sheet1!$B:$B,0))*10</f>
        <v>106.229508196721</v>
      </c>
    </row>
    <row r="369" spans="1:4">
      <c r="A369" s="1" t="s">
        <v>706</v>
      </c>
      <c r="B369" s="3" t="s">
        <v>707</v>
      </c>
      <c r="C369" s="1">
        <f>INDEX(sheet1!$G:$G,MATCH(A369,sheet1!$B:$B,0))</f>
        <v>573.639344262295</v>
      </c>
      <c r="D369" s="1">
        <f>INDEX(sheet1!$G:$G,MATCH(A369,sheet1!$B:$B,0))*10</f>
        <v>5736.39344262295</v>
      </c>
    </row>
    <row r="370" spans="1:4">
      <c r="A370" s="1" t="s">
        <v>708</v>
      </c>
      <c r="B370" s="3" t="s">
        <v>709</v>
      </c>
      <c r="C370" s="1">
        <f>INDEX(sheet1!$G:$G,MATCH(A370,sheet1!$B:$B,0))</f>
        <v>42.4918032786885</v>
      </c>
      <c r="D370" s="1">
        <f>INDEX(sheet1!$G:$G,MATCH(A370,sheet1!$B:$B,0))*10</f>
        <v>424.918032786885</v>
      </c>
    </row>
    <row r="371" spans="1:4">
      <c r="A371" s="1" t="s">
        <v>710</v>
      </c>
      <c r="B371" s="3" t="s">
        <v>711</v>
      </c>
      <c r="C371" s="1">
        <f>INDEX(sheet1!$G:$G,MATCH(A371,sheet1!$B:$B,0))</f>
        <v>21.2459016393443</v>
      </c>
      <c r="D371" s="1">
        <f>INDEX(sheet1!$G:$G,MATCH(A371,sheet1!$B:$B,0))*10</f>
        <v>212.459016393443</v>
      </c>
    </row>
    <row r="372" spans="1:4">
      <c r="A372" s="1" t="s">
        <v>712</v>
      </c>
      <c r="B372" s="3" t="s">
        <v>713</v>
      </c>
      <c r="C372" s="1">
        <f>INDEX(sheet1!$G:$G,MATCH(A372,sheet1!$B:$B,0))</f>
        <v>10.6229508196721</v>
      </c>
      <c r="D372" s="1">
        <f>INDEX(sheet1!$G:$G,MATCH(A372,sheet1!$B:$B,0))*10</f>
        <v>106.229508196721</v>
      </c>
    </row>
    <row r="373" ht="30" spans="1:4">
      <c r="A373" s="1" t="s">
        <v>714</v>
      </c>
      <c r="B373" s="3" t="s">
        <v>1989</v>
      </c>
      <c r="C373" s="1">
        <f>INDEX(sheet1!$G:$G,MATCH(A373,sheet1!$B:$B,0))</f>
        <v>573.639344262295</v>
      </c>
      <c r="D373" s="1">
        <f>INDEX(sheet1!$G:$G,MATCH(A373,sheet1!$B:$B,0))*10</f>
        <v>5736.39344262295</v>
      </c>
    </row>
    <row r="374" spans="1:4">
      <c r="A374" s="1" t="s">
        <v>716</v>
      </c>
      <c r="B374" s="3" t="s">
        <v>1990</v>
      </c>
      <c r="C374" s="1">
        <f>INDEX(sheet1!$G:$G,MATCH(A374,sheet1!$B:$B,0))</f>
        <v>42.4918032786885</v>
      </c>
      <c r="D374" s="1">
        <f>INDEX(sheet1!$G:$G,MATCH(A374,sheet1!$B:$B,0))*10</f>
        <v>424.918032786885</v>
      </c>
    </row>
    <row r="375" ht="30" spans="1:4">
      <c r="A375" s="1" t="s">
        <v>718</v>
      </c>
      <c r="B375" s="3" t="s">
        <v>1991</v>
      </c>
      <c r="C375" s="1">
        <f>INDEX(sheet1!$G:$G,MATCH(A375,sheet1!$B:$B,0))</f>
        <v>21.2459016393443</v>
      </c>
      <c r="D375" s="1">
        <f>INDEX(sheet1!$G:$G,MATCH(A375,sheet1!$B:$B,0))*10</f>
        <v>212.459016393443</v>
      </c>
    </row>
    <row r="376" ht="30" spans="1:4">
      <c r="A376" s="1" t="s">
        <v>720</v>
      </c>
      <c r="B376" s="3" t="s">
        <v>1992</v>
      </c>
      <c r="C376" s="1">
        <f>INDEX(sheet1!$G:$G,MATCH(A376,sheet1!$B:$B,0))</f>
        <v>10.6229508196721</v>
      </c>
      <c r="D376" s="1">
        <f>INDEX(sheet1!$G:$G,MATCH(A376,sheet1!$B:$B,0))*10</f>
        <v>106.229508196721</v>
      </c>
    </row>
    <row r="377" spans="1:4">
      <c r="A377" s="1" t="s">
        <v>722</v>
      </c>
      <c r="B377" s="3" t="s">
        <v>1993</v>
      </c>
      <c r="C377" s="1">
        <f>INDEX(sheet1!$G:$G,MATCH(A377,sheet1!$B:$B,0))</f>
        <v>573.639344262295</v>
      </c>
      <c r="D377" s="1">
        <f>INDEX(sheet1!$G:$G,MATCH(A377,sheet1!$B:$B,0))*10</f>
        <v>5736.39344262295</v>
      </c>
    </row>
    <row r="378" spans="1:4">
      <c r="A378" s="1" t="s">
        <v>724</v>
      </c>
      <c r="B378" s="3" t="s">
        <v>1994</v>
      </c>
      <c r="C378" s="1">
        <f>INDEX(sheet1!$G:$G,MATCH(A378,sheet1!$B:$B,0))</f>
        <v>42.4918032786885</v>
      </c>
      <c r="D378" s="1">
        <f>INDEX(sheet1!$G:$G,MATCH(A378,sheet1!$B:$B,0))*10</f>
        <v>424.918032786885</v>
      </c>
    </row>
    <row r="379" spans="1:4">
      <c r="A379" s="1" t="s">
        <v>726</v>
      </c>
      <c r="B379" s="3" t="s">
        <v>1995</v>
      </c>
      <c r="C379" s="1">
        <f>INDEX(sheet1!$G:$G,MATCH(A379,sheet1!$B:$B,0))</f>
        <v>21.2459016393443</v>
      </c>
      <c r="D379" s="1">
        <f>INDEX(sheet1!$G:$G,MATCH(A379,sheet1!$B:$B,0))*10</f>
        <v>212.459016393443</v>
      </c>
    </row>
    <row r="380" spans="1:4">
      <c r="A380" s="1" t="s">
        <v>728</v>
      </c>
      <c r="B380" s="3" t="s">
        <v>1996</v>
      </c>
      <c r="C380" s="1">
        <f>INDEX(sheet1!$G:$G,MATCH(A380,sheet1!$B:$B,0))</f>
        <v>10.6229508196721</v>
      </c>
      <c r="D380" s="1">
        <f>INDEX(sheet1!$G:$G,MATCH(A380,sheet1!$B:$B,0))*10</f>
        <v>106.229508196721</v>
      </c>
    </row>
    <row r="381" spans="1:4">
      <c r="A381" s="1" t="s">
        <v>730</v>
      </c>
      <c r="B381" s="3" t="s">
        <v>1997</v>
      </c>
      <c r="C381" s="1">
        <f>INDEX(sheet1!$G:$G,MATCH(A381,sheet1!$B:$B,0))</f>
        <v>573.639344262295</v>
      </c>
      <c r="D381" s="1">
        <f>INDEX(sheet1!$G:$G,MATCH(A381,sheet1!$B:$B,0))*10</f>
        <v>5736.39344262295</v>
      </c>
    </row>
    <row r="382" spans="1:4">
      <c r="A382" s="1" t="s">
        <v>732</v>
      </c>
      <c r="B382" s="3" t="s">
        <v>1998</v>
      </c>
      <c r="C382" s="1">
        <f>INDEX(sheet1!$G:$G,MATCH(A382,sheet1!$B:$B,0))</f>
        <v>42.4918032786885</v>
      </c>
      <c r="D382" s="1">
        <f>INDEX(sheet1!$G:$G,MATCH(A382,sheet1!$B:$B,0))*10</f>
        <v>424.918032786885</v>
      </c>
    </row>
    <row r="383" spans="1:4">
      <c r="A383" s="1" t="s">
        <v>734</v>
      </c>
      <c r="B383" s="3" t="s">
        <v>1999</v>
      </c>
      <c r="C383" s="1">
        <f>INDEX(sheet1!$G:$G,MATCH(A383,sheet1!$B:$B,0))</f>
        <v>21.2459016393443</v>
      </c>
      <c r="D383" s="1">
        <f>INDEX(sheet1!$G:$G,MATCH(A383,sheet1!$B:$B,0))*10</f>
        <v>212.459016393443</v>
      </c>
    </row>
    <row r="384" spans="1:4">
      <c r="A384" s="1" t="s">
        <v>736</v>
      </c>
      <c r="B384" s="3" t="s">
        <v>2000</v>
      </c>
      <c r="C384" s="1">
        <f>INDEX(sheet1!$G:$G,MATCH(A384,sheet1!$B:$B,0))</f>
        <v>10.6229508196721</v>
      </c>
      <c r="D384" s="1">
        <f>INDEX(sheet1!$G:$G,MATCH(A384,sheet1!$B:$B,0))*10</f>
        <v>106.229508196721</v>
      </c>
    </row>
    <row r="385" spans="1:4">
      <c r="A385" s="1" t="s">
        <v>738</v>
      </c>
      <c r="B385" s="3" t="s">
        <v>2001</v>
      </c>
      <c r="C385" s="1">
        <f>INDEX(sheet1!$G:$G,MATCH(A385,sheet1!$B:$B,0))</f>
        <v>573.639344262295</v>
      </c>
      <c r="D385" s="1">
        <f>INDEX(sheet1!$G:$G,MATCH(A385,sheet1!$B:$B,0))*10</f>
        <v>5736.39344262295</v>
      </c>
    </row>
    <row r="386" spans="1:4">
      <c r="A386" s="1" t="s">
        <v>740</v>
      </c>
      <c r="B386" s="3" t="s">
        <v>2002</v>
      </c>
      <c r="C386" s="1">
        <f>INDEX(sheet1!$G:$G,MATCH(A386,sheet1!$B:$B,0))</f>
        <v>42.4918032786885</v>
      </c>
      <c r="D386" s="1">
        <f>INDEX(sheet1!$G:$G,MATCH(A386,sheet1!$B:$B,0))*10</f>
        <v>424.918032786885</v>
      </c>
    </row>
    <row r="387" ht="30" spans="1:4">
      <c r="A387" s="1" t="s">
        <v>742</v>
      </c>
      <c r="B387" s="3" t="s">
        <v>2003</v>
      </c>
      <c r="C387" s="1">
        <f>INDEX(sheet1!$G:$G,MATCH(A387,sheet1!$B:$B,0))</f>
        <v>21.2459016393443</v>
      </c>
      <c r="D387" s="1">
        <f>INDEX(sheet1!$G:$G,MATCH(A387,sheet1!$B:$B,0))*10</f>
        <v>212.459016393443</v>
      </c>
    </row>
    <row r="388" ht="30" spans="1:4">
      <c r="A388" s="1" t="s">
        <v>744</v>
      </c>
      <c r="B388" s="3" t="s">
        <v>2004</v>
      </c>
      <c r="C388" s="1">
        <f>INDEX(sheet1!$G:$G,MATCH(A388,sheet1!$B:$B,0))</f>
        <v>10.6229508196721</v>
      </c>
      <c r="D388" s="1">
        <f>INDEX(sheet1!$G:$G,MATCH(A388,sheet1!$B:$B,0))*10</f>
        <v>106.229508196721</v>
      </c>
    </row>
    <row r="389" ht="30" spans="1:4">
      <c r="A389" s="1" t="s">
        <v>746</v>
      </c>
      <c r="B389" s="3" t="s">
        <v>2005</v>
      </c>
      <c r="C389" s="1">
        <f>INDEX(sheet1!$G:$G,MATCH(A389,sheet1!$B:$B,0))</f>
        <v>573.639344262295</v>
      </c>
      <c r="D389" s="1">
        <f>INDEX(sheet1!$G:$G,MATCH(A389,sheet1!$B:$B,0))*10</f>
        <v>5736.39344262295</v>
      </c>
    </row>
    <row r="390" ht="30" spans="1:4">
      <c r="A390" s="1" t="s">
        <v>748</v>
      </c>
      <c r="B390" s="3" t="s">
        <v>2006</v>
      </c>
      <c r="C390" s="1">
        <f>INDEX(sheet1!$G:$G,MATCH(A390,sheet1!$B:$B,0))</f>
        <v>42.4918032786885</v>
      </c>
      <c r="D390" s="1">
        <f>INDEX(sheet1!$G:$G,MATCH(A390,sheet1!$B:$B,0))*10</f>
        <v>424.918032786885</v>
      </c>
    </row>
    <row r="391" ht="30" spans="1:4">
      <c r="A391" s="1" t="s">
        <v>750</v>
      </c>
      <c r="B391" s="3" t="s">
        <v>2007</v>
      </c>
      <c r="C391" s="1">
        <f>INDEX(sheet1!$G:$G,MATCH(A391,sheet1!$B:$B,0))</f>
        <v>21.2459016393443</v>
      </c>
      <c r="D391" s="1">
        <f>INDEX(sheet1!$G:$G,MATCH(A391,sheet1!$B:$B,0))*10</f>
        <v>212.459016393443</v>
      </c>
    </row>
    <row r="392" ht="30" spans="1:4">
      <c r="A392" s="1" t="s">
        <v>752</v>
      </c>
      <c r="B392" s="3" t="s">
        <v>2008</v>
      </c>
      <c r="C392" s="1">
        <f>INDEX(sheet1!$G:$G,MATCH(A392,sheet1!$B:$B,0))</f>
        <v>10.6229508196721</v>
      </c>
      <c r="D392" s="1">
        <f>INDEX(sheet1!$G:$G,MATCH(A392,sheet1!$B:$B,0))*10</f>
        <v>106.229508196721</v>
      </c>
    </row>
    <row r="393" ht="30" spans="1:4">
      <c r="A393" s="1" t="s">
        <v>754</v>
      </c>
      <c r="B393" s="3" t="s">
        <v>755</v>
      </c>
      <c r="C393" s="1">
        <f>INDEX(sheet1!$G:$G,MATCH(A393,sheet1!$B:$B,0))</f>
        <v>573.639344262295</v>
      </c>
      <c r="D393" s="1">
        <f>INDEX(sheet1!$G:$G,MATCH(A393,sheet1!$B:$B,0))*10</f>
        <v>5736.39344262295</v>
      </c>
    </row>
    <row r="394" spans="1:4">
      <c r="A394" s="1" t="s">
        <v>756</v>
      </c>
      <c r="B394" s="3" t="s">
        <v>757</v>
      </c>
      <c r="C394" s="1">
        <f>INDEX(sheet1!$G:$G,MATCH(A394,sheet1!$B:$B,0))</f>
        <v>42.4918032786885</v>
      </c>
      <c r="D394" s="1">
        <f>INDEX(sheet1!$G:$G,MATCH(A394,sheet1!$B:$B,0))*10</f>
        <v>424.918032786885</v>
      </c>
    </row>
    <row r="395" ht="30" spans="1:4">
      <c r="A395" s="1" t="s">
        <v>758</v>
      </c>
      <c r="B395" s="3" t="s">
        <v>759</v>
      </c>
      <c r="C395" s="1">
        <f>INDEX(sheet1!$G:$G,MATCH(A395,sheet1!$B:$B,0))</f>
        <v>21.2459016393443</v>
      </c>
      <c r="D395" s="1">
        <f>INDEX(sheet1!$G:$G,MATCH(A395,sheet1!$B:$B,0))*10</f>
        <v>212.459016393443</v>
      </c>
    </row>
    <row r="396" ht="30" spans="1:4">
      <c r="A396" s="1" t="s">
        <v>760</v>
      </c>
      <c r="B396" s="3" t="s">
        <v>761</v>
      </c>
      <c r="C396" s="1">
        <f>INDEX(sheet1!$G:$G,MATCH(A396,sheet1!$B:$B,0))</f>
        <v>10.6229508196721</v>
      </c>
      <c r="D396" s="1">
        <f>INDEX(sheet1!$G:$G,MATCH(A396,sheet1!$B:$B,0))*10</f>
        <v>106.229508196721</v>
      </c>
    </row>
    <row r="397" spans="1:4">
      <c r="A397" s="1" t="s">
        <v>762</v>
      </c>
      <c r="B397" s="3" t="s">
        <v>2009</v>
      </c>
      <c r="C397" s="1">
        <f>INDEX(sheet1!$G:$G,MATCH(A397,sheet1!$B:$B,0))</f>
        <v>573.639344262295</v>
      </c>
      <c r="D397" s="1">
        <f>INDEX(sheet1!$G:$G,MATCH(A397,sheet1!$B:$B,0))*10</f>
        <v>5736.39344262295</v>
      </c>
    </row>
    <row r="398" spans="1:4">
      <c r="A398" s="1" t="s">
        <v>764</v>
      </c>
      <c r="B398" s="3" t="s">
        <v>2010</v>
      </c>
      <c r="C398" s="1">
        <f>INDEX(sheet1!$G:$G,MATCH(A398,sheet1!$B:$B,0))</f>
        <v>42.4918032786885</v>
      </c>
      <c r="D398" s="1">
        <f>INDEX(sheet1!$G:$G,MATCH(A398,sheet1!$B:$B,0))*10</f>
        <v>424.918032786885</v>
      </c>
    </row>
    <row r="399" spans="1:4">
      <c r="A399" s="1" t="s">
        <v>766</v>
      </c>
      <c r="B399" s="3" t="s">
        <v>2011</v>
      </c>
      <c r="C399" s="1">
        <f>INDEX(sheet1!$G:$G,MATCH(A399,sheet1!$B:$B,0))</f>
        <v>21.2459016393443</v>
      </c>
      <c r="D399" s="1">
        <f>INDEX(sheet1!$G:$G,MATCH(A399,sheet1!$B:$B,0))*10</f>
        <v>212.459016393443</v>
      </c>
    </row>
    <row r="400" spans="1:4">
      <c r="A400" s="1" t="s">
        <v>768</v>
      </c>
      <c r="B400" s="3" t="s">
        <v>2012</v>
      </c>
      <c r="C400" s="1">
        <f>INDEX(sheet1!$G:$G,MATCH(A400,sheet1!$B:$B,0))</f>
        <v>10.6229508196721</v>
      </c>
      <c r="D400" s="1">
        <f>INDEX(sheet1!$G:$G,MATCH(A400,sheet1!$B:$B,0))*10</f>
        <v>106.229508196721</v>
      </c>
    </row>
    <row r="401" ht="30" spans="1:4">
      <c r="A401" s="1" t="s">
        <v>770</v>
      </c>
      <c r="B401" s="3" t="s">
        <v>2013</v>
      </c>
      <c r="C401" s="1">
        <f>INDEX(sheet1!$G:$G,MATCH(A401,sheet1!$B:$B,0))</f>
        <v>573.639344262295</v>
      </c>
      <c r="D401" s="1">
        <f>INDEX(sheet1!$G:$G,MATCH(A401,sheet1!$B:$B,0))*10</f>
        <v>5736.39344262295</v>
      </c>
    </row>
    <row r="402" spans="1:4">
      <c r="A402" s="1" t="s">
        <v>772</v>
      </c>
      <c r="B402" s="3" t="s">
        <v>2014</v>
      </c>
      <c r="C402" s="1">
        <f>INDEX(sheet1!$G:$G,MATCH(A402,sheet1!$B:$B,0))</f>
        <v>42.4918032786885</v>
      </c>
      <c r="D402" s="1">
        <f>INDEX(sheet1!$G:$G,MATCH(A402,sheet1!$B:$B,0))*10</f>
        <v>424.918032786885</v>
      </c>
    </row>
    <row r="403" ht="30" spans="1:4">
      <c r="A403" s="1" t="s">
        <v>774</v>
      </c>
      <c r="B403" s="3" t="s">
        <v>2015</v>
      </c>
      <c r="C403" s="1">
        <f>INDEX(sheet1!$G:$G,MATCH(A403,sheet1!$B:$B,0))</f>
        <v>21.2459016393443</v>
      </c>
      <c r="D403" s="1">
        <f>INDEX(sheet1!$G:$G,MATCH(A403,sheet1!$B:$B,0))*10</f>
        <v>212.459016393443</v>
      </c>
    </row>
    <row r="404" ht="30" spans="1:4">
      <c r="A404" s="1" t="s">
        <v>776</v>
      </c>
      <c r="B404" s="3" t="s">
        <v>2016</v>
      </c>
      <c r="C404" s="1">
        <f>INDEX(sheet1!$G:$G,MATCH(A404,sheet1!$B:$B,0))</f>
        <v>10.6229508196721</v>
      </c>
      <c r="D404" s="1">
        <f>INDEX(sheet1!$G:$G,MATCH(A404,sheet1!$B:$B,0))*10</f>
        <v>106.229508196721</v>
      </c>
    </row>
    <row r="405" ht="30" spans="1:4">
      <c r="A405" s="1" t="s">
        <v>778</v>
      </c>
      <c r="B405" s="3" t="s">
        <v>2017</v>
      </c>
      <c r="C405" s="1">
        <f>INDEX(sheet1!$G:$G,MATCH(A405,sheet1!$B:$B,0))</f>
        <v>573.639344262295</v>
      </c>
      <c r="D405" s="1">
        <f>INDEX(sheet1!$G:$G,MATCH(A405,sheet1!$B:$B,0))*10</f>
        <v>5736.39344262295</v>
      </c>
    </row>
    <row r="406" ht="30" spans="1:4">
      <c r="A406" s="1" t="s">
        <v>780</v>
      </c>
      <c r="B406" s="3" t="s">
        <v>2018</v>
      </c>
      <c r="C406" s="1">
        <f>INDEX(sheet1!$G:$G,MATCH(A406,sheet1!$B:$B,0))</f>
        <v>42.4918032786885</v>
      </c>
      <c r="D406" s="1">
        <f>INDEX(sheet1!$G:$G,MATCH(A406,sheet1!$B:$B,0))*10</f>
        <v>424.918032786885</v>
      </c>
    </row>
    <row r="407" ht="30" spans="1:4">
      <c r="A407" s="1" t="s">
        <v>782</v>
      </c>
      <c r="B407" s="3" t="s">
        <v>2019</v>
      </c>
      <c r="C407" s="1">
        <f>INDEX(sheet1!$G:$G,MATCH(A407,sheet1!$B:$B,0))</f>
        <v>21.2459016393443</v>
      </c>
      <c r="D407" s="1">
        <f>INDEX(sheet1!$G:$G,MATCH(A407,sheet1!$B:$B,0))*10</f>
        <v>212.459016393443</v>
      </c>
    </row>
    <row r="408" ht="30" spans="1:4">
      <c r="A408" s="1" t="s">
        <v>784</v>
      </c>
      <c r="B408" s="3" t="s">
        <v>2020</v>
      </c>
      <c r="C408" s="1">
        <f>INDEX(sheet1!$G:$G,MATCH(A408,sheet1!$B:$B,0))</f>
        <v>10.6229508196721</v>
      </c>
      <c r="D408" s="1">
        <f>INDEX(sheet1!$G:$G,MATCH(A408,sheet1!$B:$B,0))*10</f>
        <v>106.229508196721</v>
      </c>
    </row>
    <row r="409" ht="30" spans="1:4">
      <c r="A409" s="1" t="s">
        <v>786</v>
      </c>
      <c r="B409" s="3" t="s">
        <v>2021</v>
      </c>
      <c r="C409" s="1">
        <f>INDEX(sheet1!$G:$G,MATCH(A409,sheet1!$B:$B,0))</f>
        <v>573.639344262295</v>
      </c>
      <c r="D409" s="1">
        <f>INDEX(sheet1!$G:$G,MATCH(A409,sheet1!$B:$B,0))*10</f>
        <v>5736.39344262295</v>
      </c>
    </row>
    <row r="410" ht="30" spans="1:4">
      <c r="A410" s="1" t="s">
        <v>788</v>
      </c>
      <c r="B410" s="3" t="s">
        <v>2022</v>
      </c>
      <c r="C410" s="1">
        <f>INDEX(sheet1!$G:$G,MATCH(A410,sheet1!$B:$B,0))</f>
        <v>42.4918032786885</v>
      </c>
      <c r="D410" s="1">
        <f>INDEX(sheet1!$G:$G,MATCH(A410,sheet1!$B:$B,0))*10</f>
        <v>424.918032786885</v>
      </c>
    </row>
    <row r="411" ht="30" spans="1:4">
      <c r="A411" s="1" t="s">
        <v>790</v>
      </c>
      <c r="B411" s="3" t="s">
        <v>2023</v>
      </c>
      <c r="C411" s="1">
        <f>INDEX(sheet1!$G:$G,MATCH(A411,sheet1!$B:$B,0))</f>
        <v>21.2459016393443</v>
      </c>
      <c r="D411" s="1">
        <f>INDEX(sheet1!$G:$G,MATCH(A411,sheet1!$B:$B,0))*10</f>
        <v>212.459016393443</v>
      </c>
    </row>
    <row r="412" ht="30" spans="1:4">
      <c r="A412" s="1" t="s">
        <v>792</v>
      </c>
      <c r="B412" s="3" t="s">
        <v>2024</v>
      </c>
      <c r="C412" s="1">
        <f>INDEX(sheet1!$G:$G,MATCH(A412,sheet1!$B:$B,0))</f>
        <v>10.6229508196721</v>
      </c>
      <c r="D412" s="1">
        <f>INDEX(sheet1!$G:$G,MATCH(A412,sheet1!$B:$B,0))*10</f>
        <v>106.229508196721</v>
      </c>
    </row>
    <row r="413" spans="1:4">
      <c r="A413" s="1" t="s">
        <v>794</v>
      </c>
      <c r="B413" s="3" t="s">
        <v>2025</v>
      </c>
      <c r="C413" s="1">
        <f>INDEX(sheet1!$G:$G,MATCH(A413,sheet1!$B:$B,0))</f>
        <v>573.639344262295</v>
      </c>
      <c r="D413" s="1">
        <f>INDEX(sheet1!$G:$G,MATCH(A413,sheet1!$B:$B,0))*10</f>
        <v>5736.39344262295</v>
      </c>
    </row>
    <row r="414" spans="1:4">
      <c r="A414" s="1" t="s">
        <v>796</v>
      </c>
      <c r="B414" s="3" t="s">
        <v>2026</v>
      </c>
      <c r="C414" s="1">
        <f>INDEX(sheet1!$G:$G,MATCH(A414,sheet1!$B:$B,0))</f>
        <v>42.4918032786885</v>
      </c>
      <c r="D414" s="1">
        <f>INDEX(sheet1!$G:$G,MATCH(A414,sheet1!$B:$B,0))*10</f>
        <v>424.918032786885</v>
      </c>
    </row>
    <row r="415" spans="1:4">
      <c r="A415" s="1" t="s">
        <v>798</v>
      </c>
      <c r="B415" s="3" t="s">
        <v>2027</v>
      </c>
      <c r="C415" s="1">
        <f>INDEX(sheet1!$G:$G,MATCH(A415,sheet1!$B:$B,0))</f>
        <v>21.2459016393443</v>
      </c>
      <c r="D415" s="1">
        <f>INDEX(sheet1!$G:$G,MATCH(A415,sheet1!$B:$B,0))*10</f>
        <v>212.459016393443</v>
      </c>
    </row>
    <row r="416" spans="1:4">
      <c r="A416" s="1" t="s">
        <v>800</v>
      </c>
      <c r="B416" s="3" t="s">
        <v>2028</v>
      </c>
      <c r="C416" s="1">
        <f>INDEX(sheet1!$G:$G,MATCH(A416,sheet1!$B:$B,0))</f>
        <v>10.6229508196721</v>
      </c>
      <c r="D416" s="1">
        <f>INDEX(sheet1!$G:$G,MATCH(A416,sheet1!$B:$B,0))*10</f>
        <v>106.229508196721</v>
      </c>
    </row>
    <row r="417" spans="1:4">
      <c r="A417" s="1" t="s">
        <v>802</v>
      </c>
      <c r="B417" s="3" t="s">
        <v>2029</v>
      </c>
      <c r="C417" s="1">
        <f>INDEX(sheet1!$G:$G,MATCH(A417,sheet1!$B:$B,0))</f>
        <v>573.639344262295</v>
      </c>
      <c r="D417" s="1">
        <f>INDEX(sheet1!$G:$G,MATCH(A417,sheet1!$B:$B,0))*10</f>
        <v>5736.39344262295</v>
      </c>
    </row>
    <row r="418" spans="1:4">
      <c r="A418" s="1" t="s">
        <v>804</v>
      </c>
      <c r="B418" s="3" t="s">
        <v>2030</v>
      </c>
      <c r="C418" s="1">
        <f>INDEX(sheet1!$G:$G,MATCH(A418,sheet1!$B:$B,0))</f>
        <v>42.4918032786885</v>
      </c>
      <c r="D418" s="1">
        <f>INDEX(sheet1!$G:$G,MATCH(A418,sheet1!$B:$B,0))*10</f>
        <v>424.918032786885</v>
      </c>
    </row>
    <row r="419" spans="1:4">
      <c r="A419" s="1" t="s">
        <v>806</v>
      </c>
      <c r="B419" s="3" t="s">
        <v>2031</v>
      </c>
      <c r="C419" s="1">
        <f>INDEX(sheet1!$G:$G,MATCH(A419,sheet1!$B:$B,0))</f>
        <v>21.2459016393443</v>
      </c>
      <c r="D419" s="1">
        <f>INDEX(sheet1!$G:$G,MATCH(A419,sheet1!$B:$B,0))*10</f>
        <v>212.459016393443</v>
      </c>
    </row>
    <row r="420" spans="1:4">
      <c r="A420" s="1" t="s">
        <v>808</v>
      </c>
      <c r="B420" s="3" t="s">
        <v>2032</v>
      </c>
      <c r="C420" s="1">
        <f>INDEX(sheet1!$G:$G,MATCH(A420,sheet1!$B:$B,0))</f>
        <v>10.6229508196721</v>
      </c>
      <c r="D420" s="1">
        <f>INDEX(sheet1!$G:$G,MATCH(A420,sheet1!$B:$B,0))*10</f>
        <v>106.229508196721</v>
      </c>
    </row>
    <row r="421" ht="30" spans="1:4">
      <c r="A421" s="1" t="s">
        <v>810</v>
      </c>
      <c r="B421" s="3" t="s">
        <v>811</v>
      </c>
      <c r="C421" s="1">
        <f>INDEX(sheet1!$G:$G,MATCH(A421,sheet1!$B:$B,0))</f>
        <v>573.639344262295</v>
      </c>
      <c r="D421" s="1">
        <f>INDEX(sheet1!$G:$G,MATCH(A421,sheet1!$B:$B,0))*10</f>
        <v>5736.39344262295</v>
      </c>
    </row>
    <row r="422" ht="30" spans="1:4">
      <c r="A422" s="1" t="s">
        <v>812</v>
      </c>
      <c r="B422" s="3" t="s">
        <v>813</v>
      </c>
      <c r="C422" s="1">
        <f>INDEX(sheet1!$G:$G,MATCH(A422,sheet1!$B:$B,0))</f>
        <v>42.4918032786885</v>
      </c>
      <c r="D422" s="1">
        <f>INDEX(sheet1!$G:$G,MATCH(A422,sheet1!$B:$B,0))*10</f>
        <v>424.918032786885</v>
      </c>
    </row>
    <row r="423" ht="30" spans="1:4">
      <c r="A423" s="1" t="s">
        <v>814</v>
      </c>
      <c r="B423" s="3" t="s">
        <v>815</v>
      </c>
      <c r="C423" s="1">
        <f>INDEX(sheet1!$G:$G,MATCH(A423,sheet1!$B:$B,0))</f>
        <v>21.2459016393443</v>
      </c>
      <c r="D423" s="1">
        <f>INDEX(sheet1!$G:$G,MATCH(A423,sheet1!$B:$B,0))*10</f>
        <v>212.459016393443</v>
      </c>
    </row>
    <row r="424" ht="30" spans="1:4">
      <c r="A424" s="1" t="s">
        <v>816</v>
      </c>
      <c r="B424" s="3" t="s">
        <v>817</v>
      </c>
      <c r="C424" s="1">
        <f>INDEX(sheet1!$G:$G,MATCH(A424,sheet1!$B:$B,0))</f>
        <v>10.6229508196721</v>
      </c>
      <c r="D424" s="1">
        <f>INDEX(sheet1!$G:$G,MATCH(A424,sheet1!$B:$B,0))*10</f>
        <v>106.229508196721</v>
      </c>
    </row>
    <row r="425" ht="30" spans="1:4">
      <c r="A425" s="1" t="s">
        <v>818</v>
      </c>
      <c r="B425" s="3" t="s">
        <v>2033</v>
      </c>
      <c r="C425" s="1">
        <f>INDEX(sheet1!$G:$G,MATCH(A425,sheet1!$B:$B,0))</f>
        <v>573.639344262295</v>
      </c>
      <c r="D425" s="1">
        <f>INDEX(sheet1!$G:$G,MATCH(A425,sheet1!$B:$B,0))*10</f>
        <v>5736.39344262295</v>
      </c>
    </row>
    <row r="426" spans="1:4">
      <c r="A426" s="1" t="s">
        <v>820</v>
      </c>
      <c r="B426" s="3" t="s">
        <v>2034</v>
      </c>
      <c r="C426" s="1">
        <f>INDEX(sheet1!$G:$G,MATCH(A426,sheet1!$B:$B,0))</f>
        <v>42.4918032786885</v>
      </c>
      <c r="D426" s="1">
        <f>INDEX(sheet1!$G:$G,MATCH(A426,sheet1!$B:$B,0))*10</f>
        <v>424.918032786885</v>
      </c>
    </row>
    <row r="427" ht="30" spans="1:4">
      <c r="A427" s="1" t="s">
        <v>822</v>
      </c>
      <c r="B427" s="3" t="s">
        <v>2035</v>
      </c>
      <c r="C427" s="1">
        <f>INDEX(sheet1!$G:$G,MATCH(A427,sheet1!$B:$B,0))</f>
        <v>21.2459016393443</v>
      </c>
      <c r="D427" s="1">
        <f>INDEX(sheet1!$G:$G,MATCH(A427,sheet1!$B:$B,0))*10</f>
        <v>212.459016393443</v>
      </c>
    </row>
    <row r="428" ht="30" spans="1:4">
      <c r="A428" s="1" t="s">
        <v>824</v>
      </c>
      <c r="B428" s="3" t="s">
        <v>2036</v>
      </c>
      <c r="C428" s="1">
        <f>INDEX(sheet1!$G:$G,MATCH(A428,sheet1!$B:$B,0))</f>
        <v>10.6229508196721</v>
      </c>
      <c r="D428" s="1">
        <f>INDEX(sheet1!$G:$G,MATCH(A428,sheet1!$B:$B,0))*10</f>
        <v>106.229508196721</v>
      </c>
    </row>
    <row r="429" spans="1:4">
      <c r="A429" s="1" t="s">
        <v>826</v>
      </c>
      <c r="B429" s="3" t="s">
        <v>2037</v>
      </c>
      <c r="C429" s="1">
        <f>INDEX(sheet1!$G:$G,MATCH(A429,sheet1!$B:$B,0))</f>
        <v>573.639344262295</v>
      </c>
      <c r="D429" s="1">
        <f>INDEX(sheet1!$G:$G,MATCH(A429,sheet1!$B:$B,0))*10</f>
        <v>5736.39344262295</v>
      </c>
    </row>
    <row r="430" spans="1:4">
      <c r="A430" s="1" t="s">
        <v>828</v>
      </c>
      <c r="B430" s="3" t="s">
        <v>2038</v>
      </c>
      <c r="C430" s="1">
        <f>INDEX(sheet1!$G:$G,MATCH(A430,sheet1!$B:$B,0))</f>
        <v>42.4918032786885</v>
      </c>
      <c r="D430" s="1">
        <f>INDEX(sheet1!$G:$G,MATCH(A430,sheet1!$B:$B,0))*10</f>
        <v>424.918032786885</v>
      </c>
    </row>
    <row r="431" spans="1:4">
      <c r="A431" s="1" t="s">
        <v>830</v>
      </c>
      <c r="B431" s="3" t="s">
        <v>2039</v>
      </c>
      <c r="C431" s="1">
        <f>INDEX(sheet1!$G:$G,MATCH(A431,sheet1!$B:$B,0))</f>
        <v>21.2459016393443</v>
      </c>
      <c r="D431" s="1">
        <f>INDEX(sheet1!$G:$G,MATCH(A431,sheet1!$B:$B,0))*10</f>
        <v>212.459016393443</v>
      </c>
    </row>
    <row r="432" spans="1:4">
      <c r="A432" s="1" t="s">
        <v>832</v>
      </c>
      <c r="B432" s="3" t="s">
        <v>2040</v>
      </c>
      <c r="C432" s="1">
        <f>INDEX(sheet1!$G:$G,MATCH(A432,sheet1!$B:$B,0))</f>
        <v>10.6229508196721</v>
      </c>
      <c r="D432" s="1">
        <f>INDEX(sheet1!$G:$G,MATCH(A432,sheet1!$B:$B,0))*10</f>
        <v>106.229508196721</v>
      </c>
    </row>
    <row r="433" ht="30" spans="1:4">
      <c r="A433" s="1" t="s">
        <v>834</v>
      </c>
      <c r="B433" s="3" t="s">
        <v>2041</v>
      </c>
      <c r="C433" s="1">
        <f>INDEX(sheet1!$G:$G,MATCH(A433,sheet1!$B:$B,0))</f>
        <v>573.639344262295</v>
      </c>
      <c r="D433" s="1">
        <f>INDEX(sheet1!$G:$G,MATCH(A433,sheet1!$B:$B,0))*10</f>
        <v>5736.39344262295</v>
      </c>
    </row>
    <row r="434" ht="30" spans="1:4">
      <c r="A434" s="1" t="s">
        <v>836</v>
      </c>
      <c r="B434" s="3" t="s">
        <v>2042</v>
      </c>
      <c r="C434" s="1">
        <f>INDEX(sheet1!$G:$G,MATCH(A434,sheet1!$B:$B,0))</f>
        <v>42.4918032786885</v>
      </c>
      <c r="D434" s="1">
        <f>INDEX(sheet1!$G:$G,MATCH(A434,sheet1!$B:$B,0))*10</f>
        <v>424.918032786885</v>
      </c>
    </row>
    <row r="435" ht="30" spans="1:4">
      <c r="A435" s="1" t="s">
        <v>838</v>
      </c>
      <c r="B435" s="3" t="s">
        <v>2043</v>
      </c>
      <c r="C435" s="1">
        <f>INDEX(sheet1!$G:$G,MATCH(A435,sheet1!$B:$B,0))</f>
        <v>21.2459016393443</v>
      </c>
      <c r="D435" s="1">
        <f>INDEX(sheet1!$G:$G,MATCH(A435,sheet1!$B:$B,0))*10</f>
        <v>212.459016393443</v>
      </c>
    </row>
    <row r="436" ht="30" spans="1:4">
      <c r="A436" s="1" t="s">
        <v>840</v>
      </c>
      <c r="B436" s="3" t="s">
        <v>2044</v>
      </c>
      <c r="C436" s="1">
        <f>INDEX(sheet1!$G:$G,MATCH(A436,sheet1!$B:$B,0))</f>
        <v>10.6229508196721</v>
      </c>
      <c r="D436" s="1">
        <f>INDEX(sheet1!$G:$G,MATCH(A436,sheet1!$B:$B,0))*10</f>
        <v>106.229508196721</v>
      </c>
    </row>
    <row r="437" ht="30" spans="1:4">
      <c r="A437" s="1" t="s">
        <v>842</v>
      </c>
      <c r="B437" s="3" t="s">
        <v>843</v>
      </c>
      <c r="C437" s="1">
        <f>INDEX(sheet1!$G:$G,MATCH(A437,sheet1!$B:$B,0))</f>
        <v>573.639344262295</v>
      </c>
      <c r="D437" s="1">
        <f>INDEX(sheet1!$G:$G,MATCH(A437,sheet1!$B:$B,0))*10</f>
        <v>5736.39344262295</v>
      </c>
    </row>
    <row r="438" ht="30" spans="1:4">
      <c r="A438" s="1" t="s">
        <v>844</v>
      </c>
      <c r="B438" s="3" t="s">
        <v>845</v>
      </c>
      <c r="C438" s="1">
        <f>INDEX(sheet1!$G:$G,MATCH(A438,sheet1!$B:$B,0))</f>
        <v>42.4918032786885</v>
      </c>
      <c r="D438" s="1">
        <f>INDEX(sheet1!$G:$G,MATCH(A438,sheet1!$B:$B,0))*10</f>
        <v>424.918032786885</v>
      </c>
    </row>
    <row r="439" ht="30" spans="1:4">
      <c r="A439" s="1" t="s">
        <v>846</v>
      </c>
      <c r="B439" s="3" t="s">
        <v>847</v>
      </c>
      <c r="C439" s="1">
        <f>INDEX(sheet1!$G:$G,MATCH(A439,sheet1!$B:$B,0))</f>
        <v>21.2459016393443</v>
      </c>
      <c r="D439" s="1">
        <f>INDEX(sheet1!$G:$G,MATCH(A439,sheet1!$B:$B,0))*10</f>
        <v>212.459016393443</v>
      </c>
    </row>
    <row r="440" ht="30" spans="1:4">
      <c r="A440" s="1" t="s">
        <v>848</v>
      </c>
      <c r="B440" s="3" t="s">
        <v>849</v>
      </c>
      <c r="C440" s="1">
        <f>INDEX(sheet1!$G:$G,MATCH(A440,sheet1!$B:$B,0))</f>
        <v>10.6229508196721</v>
      </c>
      <c r="D440" s="1">
        <f>INDEX(sheet1!$G:$G,MATCH(A440,sheet1!$B:$B,0))*10</f>
        <v>106.229508196721</v>
      </c>
    </row>
    <row r="441" spans="1:4">
      <c r="A441" s="1" t="s">
        <v>850</v>
      </c>
      <c r="B441" s="3" t="s">
        <v>2045</v>
      </c>
      <c r="C441" s="1">
        <f>INDEX(sheet1!$G:$G,MATCH(A441,sheet1!$B:$B,0))</f>
        <v>573.639344262295</v>
      </c>
      <c r="D441" s="1">
        <f>INDEX(sheet1!$G:$G,MATCH(A441,sheet1!$B:$B,0))*10</f>
        <v>5736.39344262295</v>
      </c>
    </row>
    <row r="442" spans="1:4">
      <c r="A442" s="1" t="s">
        <v>852</v>
      </c>
      <c r="B442" s="3" t="s">
        <v>2046</v>
      </c>
      <c r="C442" s="1">
        <f>INDEX(sheet1!$G:$G,MATCH(A442,sheet1!$B:$B,0))</f>
        <v>42.4918032786885</v>
      </c>
      <c r="D442" s="1">
        <f>INDEX(sheet1!$G:$G,MATCH(A442,sheet1!$B:$B,0))*10</f>
        <v>424.918032786885</v>
      </c>
    </row>
    <row r="443" ht="30" spans="1:4">
      <c r="A443" s="1" t="s">
        <v>854</v>
      </c>
      <c r="B443" s="3" t="s">
        <v>2047</v>
      </c>
      <c r="C443" s="1">
        <f>INDEX(sheet1!$G:$G,MATCH(A443,sheet1!$B:$B,0))</f>
        <v>21.2459016393443</v>
      </c>
      <c r="D443" s="1">
        <f>INDEX(sheet1!$G:$G,MATCH(A443,sheet1!$B:$B,0))*10</f>
        <v>212.459016393443</v>
      </c>
    </row>
    <row r="444" ht="30" spans="1:4">
      <c r="A444" s="1" t="s">
        <v>856</v>
      </c>
      <c r="B444" s="3" t="s">
        <v>2048</v>
      </c>
      <c r="C444" s="1">
        <f>INDEX(sheet1!$G:$G,MATCH(A444,sheet1!$B:$B,0))</f>
        <v>10.6229508196721</v>
      </c>
      <c r="D444" s="1">
        <f>INDEX(sheet1!$G:$G,MATCH(A444,sheet1!$B:$B,0))*10</f>
        <v>106.229508196721</v>
      </c>
    </row>
    <row r="445" ht="30" spans="1:4">
      <c r="A445" s="1" t="s">
        <v>858</v>
      </c>
      <c r="B445" s="3" t="s">
        <v>859</v>
      </c>
      <c r="C445" s="1">
        <f>INDEX(sheet1!$G:$G,MATCH(A445,sheet1!$B:$B,0))</f>
        <v>573.639344262295</v>
      </c>
      <c r="D445" s="1">
        <f>INDEX(sheet1!$G:$G,MATCH(A445,sheet1!$B:$B,0))*10</f>
        <v>5736.39344262295</v>
      </c>
    </row>
    <row r="446" spans="1:4">
      <c r="A446" s="1" t="s">
        <v>860</v>
      </c>
      <c r="B446" s="3" t="s">
        <v>861</v>
      </c>
      <c r="C446" s="1">
        <f>INDEX(sheet1!$G:$G,MATCH(A446,sheet1!$B:$B,0))</f>
        <v>42.4918032786885</v>
      </c>
      <c r="D446" s="1">
        <f>INDEX(sheet1!$G:$G,MATCH(A446,sheet1!$B:$B,0))*10</f>
        <v>424.918032786885</v>
      </c>
    </row>
    <row r="447" ht="30" spans="1:4">
      <c r="A447" s="1" t="s">
        <v>862</v>
      </c>
      <c r="B447" s="3" t="s">
        <v>863</v>
      </c>
      <c r="C447" s="1">
        <f>INDEX(sheet1!$G:$G,MATCH(A447,sheet1!$B:$B,0))</f>
        <v>21.2459016393443</v>
      </c>
      <c r="D447" s="1">
        <f>INDEX(sheet1!$G:$G,MATCH(A447,sheet1!$B:$B,0))*10</f>
        <v>212.459016393443</v>
      </c>
    </row>
    <row r="448" ht="30" spans="1:4">
      <c r="A448" s="1" t="s">
        <v>864</v>
      </c>
      <c r="B448" s="3" t="s">
        <v>865</v>
      </c>
      <c r="C448" s="1">
        <f>INDEX(sheet1!$G:$G,MATCH(A448,sheet1!$B:$B,0))</f>
        <v>10.6229508196721</v>
      </c>
      <c r="D448" s="1">
        <f>INDEX(sheet1!$G:$G,MATCH(A448,sheet1!$B:$B,0))*10</f>
        <v>106.229508196721</v>
      </c>
    </row>
    <row r="449" ht="30" spans="1:4">
      <c r="A449" s="1" t="s">
        <v>866</v>
      </c>
      <c r="B449" s="3" t="s">
        <v>2049</v>
      </c>
      <c r="C449" s="1">
        <f>INDEX(sheet1!$G:$G,MATCH(A449,sheet1!$B:$B,0))</f>
        <v>573.639344262295</v>
      </c>
      <c r="D449" s="1">
        <f>INDEX(sheet1!$G:$G,MATCH(A449,sheet1!$B:$B,0))*10</f>
        <v>5736.39344262295</v>
      </c>
    </row>
    <row r="450" spans="1:4">
      <c r="A450" s="1" t="s">
        <v>868</v>
      </c>
      <c r="B450" s="3" t="s">
        <v>2050</v>
      </c>
      <c r="C450" s="1">
        <f>INDEX(sheet1!$G:$G,MATCH(A450,sheet1!$B:$B,0))</f>
        <v>42.4918032786885</v>
      </c>
      <c r="D450" s="1">
        <f>INDEX(sheet1!$G:$G,MATCH(A450,sheet1!$B:$B,0))*10</f>
        <v>424.918032786885</v>
      </c>
    </row>
    <row r="451" ht="30" spans="1:4">
      <c r="A451" s="1" t="s">
        <v>870</v>
      </c>
      <c r="B451" s="3" t="s">
        <v>2051</v>
      </c>
      <c r="C451" s="1">
        <f>INDEX(sheet1!$G:$G,MATCH(A451,sheet1!$B:$B,0))</f>
        <v>21.2459016393443</v>
      </c>
      <c r="D451" s="1">
        <f>INDEX(sheet1!$G:$G,MATCH(A451,sheet1!$B:$B,0))*10</f>
        <v>212.459016393443</v>
      </c>
    </row>
    <row r="452" ht="30" spans="1:4">
      <c r="A452" s="1" t="s">
        <v>872</v>
      </c>
      <c r="B452" s="3" t="s">
        <v>2052</v>
      </c>
      <c r="C452" s="1">
        <f>INDEX(sheet1!$G:$G,MATCH(A452,sheet1!$B:$B,0))</f>
        <v>10.6229508196721</v>
      </c>
      <c r="D452" s="1">
        <f>INDEX(sheet1!$G:$G,MATCH(A452,sheet1!$B:$B,0))*10</f>
        <v>106.229508196721</v>
      </c>
    </row>
    <row r="453" ht="30" spans="1:4">
      <c r="A453" s="1" t="s">
        <v>874</v>
      </c>
      <c r="B453" s="3" t="s">
        <v>2053</v>
      </c>
      <c r="C453" s="1">
        <f>INDEX(sheet1!$G:$G,MATCH(A453,sheet1!$B:$B,0))</f>
        <v>573.639344262295</v>
      </c>
      <c r="D453" s="1">
        <f>INDEX(sheet1!$G:$G,MATCH(A453,sheet1!$B:$B,0))*10</f>
        <v>5736.39344262295</v>
      </c>
    </row>
    <row r="454" spans="1:4">
      <c r="A454" s="1" t="s">
        <v>876</v>
      </c>
      <c r="B454" s="3" t="s">
        <v>2054</v>
      </c>
      <c r="C454" s="1">
        <f>INDEX(sheet1!$G:$G,MATCH(A454,sheet1!$B:$B,0))</f>
        <v>42.4918032786885</v>
      </c>
      <c r="D454" s="1">
        <f>INDEX(sheet1!$G:$G,MATCH(A454,sheet1!$B:$B,0))*10</f>
        <v>424.918032786885</v>
      </c>
    </row>
    <row r="455" ht="30" spans="1:4">
      <c r="A455" s="1" t="s">
        <v>878</v>
      </c>
      <c r="B455" s="3" t="s">
        <v>2055</v>
      </c>
      <c r="C455" s="1">
        <f>INDEX(sheet1!$G:$G,MATCH(A455,sheet1!$B:$B,0))</f>
        <v>21.2459016393443</v>
      </c>
      <c r="D455" s="1">
        <f>INDEX(sheet1!$G:$G,MATCH(A455,sheet1!$B:$B,0))*10</f>
        <v>212.459016393443</v>
      </c>
    </row>
    <row r="456" ht="30" spans="1:4">
      <c r="A456" s="1" t="s">
        <v>880</v>
      </c>
      <c r="B456" s="3" t="s">
        <v>2056</v>
      </c>
      <c r="C456" s="1">
        <f>INDEX(sheet1!$G:$G,MATCH(A456,sheet1!$B:$B,0))</f>
        <v>10.6229508196721</v>
      </c>
      <c r="D456" s="1">
        <f>INDEX(sheet1!$G:$G,MATCH(A456,sheet1!$B:$B,0))*10</f>
        <v>106.229508196721</v>
      </c>
    </row>
    <row r="457" spans="1:4">
      <c r="A457" s="1" t="s">
        <v>882</v>
      </c>
      <c r="B457" s="8" t="s">
        <v>2057</v>
      </c>
      <c r="C457" s="1">
        <v>0.162</v>
      </c>
      <c r="D457" s="1">
        <f t="shared" ref="D457:D494" si="0">C457*10</f>
        <v>1.62</v>
      </c>
    </row>
    <row r="458" spans="1:4">
      <c r="A458" s="1" t="s">
        <v>884</v>
      </c>
      <c r="B458" s="8" t="s">
        <v>2058</v>
      </c>
      <c r="C458" s="1">
        <v>1</v>
      </c>
      <c r="D458" s="1">
        <f t="shared" si="0"/>
        <v>10</v>
      </c>
    </row>
    <row r="459" spans="1:4">
      <c r="A459" s="1" t="s">
        <v>886</v>
      </c>
      <c r="B459" s="8" t="s">
        <v>2059</v>
      </c>
      <c r="C459" s="1">
        <v>1</v>
      </c>
      <c r="D459" s="1">
        <f t="shared" si="0"/>
        <v>10</v>
      </c>
    </row>
    <row r="460" spans="1:4">
      <c r="A460" s="1" t="s">
        <v>888</v>
      </c>
      <c r="B460" s="8" t="s">
        <v>2060</v>
      </c>
      <c r="C460" s="1">
        <v>0.0324</v>
      </c>
      <c r="D460" s="1">
        <f t="shared" si="0"/>
        <v>0.324</v>
      </c>
    </row>
    <row r="461" ht="30" spans="1:4">
      <c r="A461" s="1" t="s">
        <v>890</v>
      </c>
      <c r="B461" s="8" t="s">
        <v>2061</v>
      </c>
      <c r="C461" s="1">
        <v>1</v>
      </c>
      <c r="D461" s="1">
        <f t="shared" si="0"/>
        <v>10</v>
      </c>
    </row>
    <row r="462" spans="1:4">
      <c r="A462" s="1" t="s">
        <v>892</v>
      </c>
      <c r="B462" s="8" t="s">
        <v>2062</v>
      </c>
      <c r="C462" s="1">
        <v>1</v>
      </c>
      <c r="D462" s="1">
        <f t="shared" si="0"/>
        <v>10</v>
      </c>
    </row>
    <row r="463" ht="30" spans="1:4">
      <c r="A463" s="1" t="s">
        <v>894</v>
      </c>
      <c r="B463" s="8" t="s">
        <v>2063</v>
      </c>
      <c r="C463" s="1">
        <v>1</v>
      </c>
      <c r="D463" s="1">
        <f t="shared" si="0"/>
        <v>10</v>
      </c>
    </row>
    <row r="464" spans="1:4">
      <c r="A464" s="1" t="s">
        <v>896</v>
      </c>
      <c r="B464" s="8" t="s">
        <v>2064</v>
      </c>
      <c r="C464" s="1">
        <v>1</v>
      </c>
      <c r="D464" s="1">
        <f t="shared" si="0"/>
        <v>10</v>
      </c>
    </row>
    <row r="465" ht="30" spans="1:4">
      <c r="A465" s="1" t="s">
        <v>898</v>
      </c>
      <c r="B465" s="8" t="s">
        <v>2065</v>
      </c>
      <c r="C465" s="1">
        <v>1</v>
      </c>
      <c r="D465" s="1">
        <f t="shared" si="0"/>
        <v>10</v>
      </c>
    </row>
    <row r="466" spans="1:4">
      <c r="A466" s="1" t="s">
        <v>900</v>
      </c>
      <c r="B466" s="8" t="s">
        <v>2066</v>
      </c>
      <c r="C466" s="1">
        <v>1</v>
      </c>
      <c r="D466" s="1">
        <f t="shared" si="0"/>
        <v>10</v>
      </c>
    </row>
    <row r="467" spans="1:4">
      <c r="A467" s="1" t="s">
        <v>902</v>
      </c>
      <c r="B467" s="8" t="s">
        <v>2067</v>
      </c>
      <c r="C467" s="1">
        <v>1</v>
      </c>
      <c r="D467" s="1">
        <f t="shared" si="0"/>
        <v>10</v>
      </c>
    </row>
    <row r="468" spans="1:4">
      <c r="A468" s="1" t="s">
        <v>904</v>
      </c>
      <c r="B468" s="8" t="s">
        <v>2068</v>
      </c>
      <c r="C468" s="1">
        <v>1</v>
      </c>
      <c r="D468" s="1">
        <f t="shared" si="0"/>
        <v>10</v>
      </c>
    </row>
    <row r="469" spans="1:4">
      <c r="A469" s="1" t="s">
        <v>906</v>
      </c>
      <c r="B469" s="8" t="s">
        <v>2069</v>
      </c>
      <c r="C469" s="1">
        <v>1</v>
      </c>
      <c r="D469" s="1">
        <f t="shared" si="0"/>
        <v>10</v>
      </c>
    </row>
    <row r="470" spans="1:4">
      <c r="A470" s="1" t="s">
        <v>908</v>
      </c>
      <c r="B470" s="8" t="s">
        <v>2070</v>
      </c>
      <c r="C470" s="1">
        <v>1</v>
      </c>
      <c r="D470" s="1">
        <f t="shared" si="0"/>
        <v>10</v>
      </c>
    </row>
    <row r="471" ht="30" spans="1:4">
      <c r="A471" s="1" t="s">
        <v>910</v>
      </c>
      <c r="B471" s="8" t="s">
        <v>2071</v>
      </c>
      <c r="C471" s="1">
        <v>1</v>
      </c>
      <c r="D471" s="1">
        <f t="shared" si="0"/>
        <v>10</v>
      </c>
    </row>
    <row r="472" spans="1:4">
      <c r="A472" s="1" t="s">
        <v>912</v>
      </c>
      <c r="B472" s="8" t="s">
        <v>2072</v>
      </c>
      <c r="C472" s="1">
        <v>1.08</v>
      </c>
      <c r="D472" s="1">
        <f t="shared" si="0"/>
        <v>10.8</v>
      </c>
    </row>
    <row r="473" spans="1:4">
      <c r="A473" s="1" t="s">
        <v>914</v>
      </c>
      <c r="B473" s="8" t="s">
        <v>2073</v>
      </c>
      <c r="C473" s="1">
        <v>32.4</v>
      </c>
      <c r="D473" s="1">
        <f t="shared" si="0"/>
        <v>324</v>
      </c>
    </row>
    <row r="474" spans="1:4">
      <c r="A474" s="1" t="s">
        <v>916</v>
      </c>
      <c r="B474" s="8" t="s">
        <v>2074</v>
      </c>
      <c r="C474" s="1">
        <v>32.4</v>
      </c>
      <c r="D474" s="1">
        <f t="shared" si="0"/>
        <v>324</v>
      </c>
    </row>
    <row r="475" ht="30" spans="1:4">
      <c r="A475" s="1" t="s">
        <v>918</v>
      </c>
      <c r="B475" s="8" t="s">
        <v>2075</v>
      </c>
      <c r="C475" s="1">
        <v>1</v>
      </c>
      <c r="D475" s="1">
        <f t="shared" si="0"/>
        <v>10</v>
      </c>
    </row>
    <row r="476" spans="1:4">
      <c r="A476" s="1" t="s">
        <v>920</v>
      </c>
      <c r="B476" s="8" t="s">
        <v>2076</v>
      </c>
      <c r="C476" s="1">
        <v>8.2</v>
      </c>
      <c r="D476" s="1">
        <f t="shared" si="0"/>
        <v>82</v>
      </c>
    </row>
    <row r="477" spans="1:4">
      <c r="A477" s="1" t="s">
        <v>922</v>
      </c>
      <c r="B477" s="8" t="s">
        <v>2077</v>
      </c>
      <c r="C477" s="1">
        <v>0.000937142857142857</v>
      </c>
      <c r="D477" s="1">
        <f t="shared" si="0"/>
        <v>0.00937142857142857</v>
      </c>
    </row>
    <row r="478" spans="1:4">
      <c r="A478" s="1" t="s">
        <v>924</v>
      </c>
      <c r="B478" s="8" t="s">
        <v>2078</v>
      </c>
      <c r="C478" s="1">
        <v>1</v>
      </c>
      <c r="D478" s="1">
        <f t="shared" si="0"/>
        <v>10</v>
      </c>
    </row>
    <row r="479" ht="30" spans="1:4">
      <c r="A479" s="1" t="s">
        <v>926</v>
      </c>
      <c r="B479" s="8" t="s">
        <v>2079</v>
      </c>
      <c r="C479" s="1">
        <v>1</v>
      </c>
      <c r="D479" s="1">
        <f t="shared" si="0"/>
        <v>10</v>
      </c>
    </row>
    <row r="480" ht="30" spans="1:4">
      <c r="A480" s="1" t="s">
        <v>928</v>
      </c>
      <c r="B480" s="8" t="s">
        <v>2080</v>
      </c>
      <c r="C480" s="1">
        <v>1</v>
      </c>
      <c r="D480" s="1">
        <f t="shared" si="0"/>
        <v>10</v>
      </c>
    </row>
    <row r="481" spans="1:4">
      <c r="A481" s="1" t="s">
        <v>930</v>
      </c>
      <c r="B481" s="8" t="s">
        <v>2081</v>
      </c>
      <c r="C481" s="1">
        <v>1</v>
      </c>
      <c r="D481" s="1">
        <f t="shared" si="0"/>
        <v>10</v>
      </c>
    </row>
    <row r="482" ht="30" spans="1:4">
      <c r="A482" s="1" t="s">
        <v>932</v>
      </c>
      <c r="B482" s="8" t="s">
        <v>2082</v>
      </c>
      <c r="C482" s="1">
        <v>1</v>
      </c>
      <c r="D482" s="1">
        <f t="shared" si="0"/>
        <v>10</v>
      </c>
    </row>
    <row r="483" spans="1:4">
      <c r="A483" s="1" t="s">
        <v>934</v>
      </c>
      <c r="B483" s="8" t="s">
        <v>2083</v>
      </c>
      <c r="C483" s="1">
        <v>0.432</v>
      </c>
      <c r="D483" s="1">
        <f t="shared" si="0"/>
        <v>4.32</v>
      </c>
    </row>
    <row r="484" ht="30" spans="1:4">
      <c r="A484" s="1" t="s">
        <v>936</v>
      </c>
      <c r="B484" s="8" t="s">
        <v>2084</v>
      </c>
      <c r="C484" s="1">
        <v>12.96</v>
      </c>
      <c r="D484" s="1">
        <f t="shared" si="0"/>
        <v>129.6</v>
      </c>
    </row>
    <row r="485" ht="30" spans="1:4">
      <c r="A485" s="1" t="s">
        <v>938</v>
      </c>
      <c r="B485" s="8" t="s">
        <v>2085</v>
      </c>
      <c r="C485" s="1">
        <v>12.96</v>
      </c>
      <c r="D485" s="1">
        <f t="shared" si="0"/>
        <v>129.6</v>
      </c>
    </row>
    <row r="486" ht="30" spans="1:4">
      <c r="A486" s="1" t="s">
        <v>940</v>
      </c>
      <c r="B486" s="8" t="s">
        <v>2086</v>
      </c>
      <c r="C486" s="1">
        <v>12.96</v>
      </c>
      <c r="D486" s="1">
        <f t="shared" si="0"/>
        <v>129.6</v>
      </c>
    </row>
    <row r="487" ht="30" spans="1:4">
      <c r="A487" s="1" t="s">
        <v>942</v>
      </c>
      <c r="B487" s="8" t="s">
        <v>2087</v>
      </c>
      <c r="C487" s="1">
        <v>12.96</v>
      </c>
      <c r="D487" s="1">
        <f t="shared" si="0"/>
        <v>129.6</v>
      </c>
    </row>
    <row r="488" ht="30" spans="1:4">
      <c r="A488" s="1" t="s">
        <v>944</v>
      </c>
      <c r="B488" s="8" t="s">
        <v>2088</v>
      </c>
      <c r="C488" s="1">
        <v>12.96</v>
      </c>
      <c r="D488" s="1">
        <f t="shared" si="0"/>
        <v>129.6</v>
      </c>
    </row>
    <row r="489" ht="30" spans="1:4">
      <c r="A489" s="1" t="s">
        <v>946</v>
      </c>
      <c r="B489" s="8" t="s">
        <v>2089</v>
      </c>
      <c r="C489" s="1">
        <v>100</v>
      </c>
      <c r="D489" s="1">
        <f t="shared" si="0"/>
        <v>1000</v>
      </c>
    </row>
    <row r="490" spans="1:4">
      <c r="A490" s="1" t="s">
        <v>948</v>
      </c>
      <c r="B490" s="8" t="s">
        <v>2090</v>
      </c>
      <c r="C490" s="1">
        <v>2.16</v>
      </c>
      <c r="D490" s="1">
        <f t="shared" si="0"/>
        <v>21.6</v>
      </c>
    </row>
    <row r="491" spans="1:4">
      <c r="A491" s="1" t="s">
        <v>950</v>
      </c>
      <c r="B491" s="8" t="s">
        <v>2091</v>
      </c>
      <c r="C491" s="1">
        <v>12.96</v>
      </c>
      <c r="D491" s="1">
        <f t="shared" si="0"/>
        <v>129.6</v>
      </c>
    </row>
    <row r="492" ht="30" spans="1:4">
      <c r="A492" s="1" t="s">
        <v>952</v>
      </c>
      <c r="B492" s="8" t="s">
        <v>2092</v>
      </c>
      <c r="C492" s="1">
        <v>25.6</v>
      </c>
      <c r="D492" s="1">
        <f t="shared" si="0"/>
        <v>256</v>
      </c>
    </row>
    <row r="493" spans="1:4">
      <c r="A493" s="1" t="s">
        <v>954</v>
      </c>
      <c r="B493" s="8" t="s">
        <v>2093</v>
      </c>
      <c r="C493" s="1">
        <v>3.24</v>
      </c>
      <c r="D493" s="1">
        <f t="shared" si="0"/>
        <v>32.4</v>
      </c>
    </row>
    <row r="494" spans="1:4">
      <c r="A494" s="1" t="s">
        <v>956</v>
      </c>
      <c r="B494" s="8" t="s">
        <v>2094</v>
      </c>
      <c r="C494" s="1">
        <v>8.1</v>
      </c>
      <c r="D494" s="1">
        <f t="shared" si="0"/>
        <v>81</v>
      </c>
    </row>
    <row r="495" ht="30" spans="1:4">
      <c r="A495" s="1" t="s">
        <v>958</v>
      </c>
      <c r="B495" s="8" t="s">
        <v>2095</v>
      </c>
      <c r="C495" s="1">
        <v>50</v>
      </c>
      <c r="D495" s="1">
        <v>500</v>
      </c>
    </row>
    <row r="496" ht="30" spans="1:4">
      <c r="A496" s="1" t="s">
        <v>960</v>
      </c>
      <c r="B496" s="8" t="s">
        <v>2096</v>
      </c>
      <c r="C496" s="1">
        <v>10</v>
      </c>
      <c r="D496" s="1">
        <v>1</v>
      </c>
    </row>
    <row r="497" spans="1:4">
      <c r="A497" s="1" t="s">
        <v>962</v>
      </c>
      <c r="B497" s="8" t="s">
        <v>2097</v>
      </c>
      <c r="C497" s="1">
        <v>0.0405</v>
      </c>
      <c r="D497" s="1">
        <f t="shared" ref="D497:D560" si="1">C497*10</f>
        <v>0.405</v>
      </c>
    </row>
    <row r="498" spans="1:4">
      <c r="A498" s="1" t="s">
        <v>964</v>
      </c>
      <c r="B498" s="8" t="s">
        <v>2098</v>
      </c>
      <c r="C498" s="1">
        <v>10</v>
      </c>
      <c r="D498" s="1">
        <f t="shared" si="1"/>
        <v>100</v>
      </c>
    </row>
    <row r="499" spans="1:4">
      <c r="A499" s="1" t="s">
        <v>966</v>
      </c>
      <c r="B499" s="8" t="s">
        <v>2099</v>
      </c>
      <c r="C499" s="1">
        <v>0.5125</v>
      </c>
      <c r="D499" s="1">
        <f t="shared" si="1"/>
        <v>5.125</v>
      </c>
    </row>
    <row r="500" spans="1:4">
      <c r="A500" s="1" t="s">
        <v>968</v>
      </c>
      <c r="B500" s="8" t="s">
        <v>2100</v>
      </c>
      <c r="C500" s="1">
        <v>1</v>
      </c>
      <c r="D500" s="1">
        <f t="shared" si="1"/>
        <v>10</v>
      </c>
    </row>
    <row r="501" spans="1:4">
      <c r="A501" s="1" t="s">
        <v>970</v>
      </c>
      <c r="B501" s="8" t="s">
        <v>2101</v>
      </c>
      <c r="C501" s="1">
        <v>10</v>
      </c>
      <c r="D501" s="1">
        <f t="shared" si="1"/>
        <v>100</v>
      </c>
    </row>
    <row r="502" spans="1:4">
      <c r="A502" s="1" t="s">
        <v>972</v>
      </c>
      <c r="B502" s="8" t="s">
        <v>2102</v>
      </c>
      <c r="C502" s="1">
        <v>20</v>
      </c>
      <c r="D502" s="1">
        <f t="shared" si="1"/>
        <v>200</v>
      </c>
    </row>
    <row r="503" spans="1:4">
      <c r="A503" s="1" t="s">
        <v>974</v>
      </c>
      <c r="B503" s="8" t="s">
        <v>2103</v>
      </c>
      <c r="C503" s="1">
        <v>10</v>
      </c>
      <c r="D503" s="1">
        <f t="shared" si="1"/>
        <v>100</v>
      </c>
    </row>
    <row r="504" ht="30" spans="1:4">
      <c r="A504" s="1" t="s">
        <v>976</v>
      </c>
      <c r="B504" s="8" t="s">
        <v>2104</v>
      </c>
      <c r="C504" s="1">
        <v>1</v>
      </c>
      <c r="D504" s="1">
        <f t="shared" si="1"/>
        <v>10</v>
      </c>
    </row>
    <row r="505" spans="1:4">
      <c r="A505" s="1" t="s">
        <v>978</v>
      </c>
      <c r="B505" s="8" t="s">
        <v>2105</v>
      </c>
      <c r="C505" s="1">
        <v>81</v>
      </c>
      <c r="D505" s="1">
        <f t="shared" si="1"/>
        <v>810</v>
      </c>
    </row>
    <row r="506" ht="30" spans="1:4">
      <c r="A506" s="1" t="s">
        <v>980</v>
      </c>
      <c r="B506" s="8" t="s">
        <v>2106</v>
      </c>
      <c r="C506" s="1">
        <v>81</v>
      </c>
      <c r="D506" s="1">
        <f t="shared" si="1"/>
        <v>810</v>
      </c>
    </row>
    <row r="507" ht="30" spans="1:4">
      <c r="A507" s="1" t="s">
        <v>982</v>
      </c>
      <c r="B507" s="8" t="s">
        <v>2107</v>
      </c>
      <c r="C507" s="1">
        <v>81</v>
      </c>
      <c r="D507" s="1">
        <f t="shared" si="1"/>
        <v>810</v>
      </c>
    </row>
    <row r="508" spans="1:4">
      <c r="A508" s="1" t="s">
        <v>984</v>
      </c>
      <c r="B508" s="8" t="s">
        <v>2108</v>
      </c>
      <c r="C508" s="1">
        <v>81</v>
      </c>
      <c r="D508" s="1">
        <f t="shared" si="1"/>
        <v>810</v>
      </c>
    </row>
    <row r="509" ht="30" spans="1:4">
      <c r="A509" s="1" t="s">
        <v>986</v>
      </c>
      <c r="B509" s="8" t="s">
        <v>2109</v>
      </c>
      <c r="C509" s="1">
        <v>81</v>
      </c>
      <c r="D509" s="1">
        <f t="shared" si="1"/>
        <v>810</v>
      </c>
    </row>
    <row r="510" ht="30" spans="1:4">
      <c r="A510" s="1" t="s">
        <v>988</v>
      </c>
      <c r="B510" s="8" t="s">
        <v>2110</v>
      </c>
      <c r="C510" s="1">
        <v>81</v>
      </c>
      <c r="D510" s="1">
        <f t="shared" si="1"/>
        <v>810</v>
      </c>
    </row>
    <row r="511" ht="30" spans="1:4">
      <c r="A511" s="1" t="s">
        <v>990</v>
      </c>
      <c r="B511" s="8" t="s">
        <v>2111</v>
      </c>
      <c r="C511" s="1">
        <v>81</v>
      </c>
      <c r="D511" s="1">
        <f t="shared" si="1"/>
        <v>810</v>
      </c>
    </row>
    <row r="512" spans="1:4">
      <c r="A512" s="1" t="s">
        <v>992</v>
      </c>
      <c r="B512" s="8" t="s">
        <v>2112</v>
      </c>
      <c r="C512" s="1">
        <v>81</v>
      </c>
      <c r="D512" s="1">
        <f t="shared" si="1"/>
        <v>810</v>
      </c>
    </row>
    <row r="513" ht="30" spans="1:4">
      <c r="A513" s="1" t="s">
        <v>994</v>
      </c>
      <c r="B513" s="8" t="s">
        <v>2113</v>
      </c>
      <c r="C513" s="1">
        <v>81</v>
      </c>
      <c r="D513" s="1">
        <f t="shared" si="1"/>
        <v>810</v>
      </c>
    </row>
    <row r="514" spans="1:4">
      <c r="A514" s="1" t="s">
        <v>996</v>
      </c>
      <c r="B514" s="8" t="s">
        <v>2114</v>
      </c>
      <c r="C514" s="1">
        <v>81</v>
      </c>
      <c r="D514" s="1">
        <f t="shared" si="1"/>
        <v>810</v>
      </c>
    </row>
    <row r="515" spans="1:4">
      <c r="A515" s="1" t="s">
        <v>998</v>
      </c>
      <c r="B515" s="8" t="s">
        <v>2115</v>
      </c>
      <c r="C515" s="1">
        <v>81</v>
      </c>
      <c r="D515" s="1">
        <f t="shared" si="1"/>
        <v>810</v>
      </c>
    </row>
    <row r="516" spans="1:4">
      <c r="A516" s="1" t="s">
        <v>1000</v>
      </c>
      <c r="B516" s="8" t="s">
        <v>2116</v>
      </c>
      <c r="C516" s="1">
        <v>81</v>
      </c>
      <c r="D516" s="1">
        <f t="shared" si="1"/>
        <v>810</v>
      </c>
    </row>
    <row r="517" ht="30" spans="1:4">
      <c r="A517" s="1" t="s">
        <v>1002</v>
      </c>
      <c r="B517" s="8" t="s">
        <v>2117</v>
      </c>
      <c r="C517" s="1">
        <v>81</v>
      </c>
      <c r="D517" s="1">
        <f t="shared" si="1"/>
        <v>810</v>
      </c>
    </row>
    <row r="518" spans="1:4">
      <c r="A518" s="1" t="s">
        <v>1004</v>
      </c>
      <c r="B518" s="8" t="s">
        <v>2118</v>
      </c>
      <c r="C518" s="1">
        <v>81</v>
      </c>
      <c r="D518" s="1">
        <f t="shared" si="1"/>
        <v>810</v>
      </c>
    </row>
    <row r="519" spans="1:4">
      <c r="A519" s="1" t="s">
        <v>1006</v>
      </c>
      <c r="B519" s="8" t="s">
        <v>2119</v>
      </c>
      <c r="C519" s="1">
        <v>81</v>
      </c>
      <c r="D519" s="1">
        <f t="shared" si="1"/>
        <v>810</v>
      </c>
    </row>
    <row r="520" ht="30" spans="1:4">
      <c r="A520" s="1" t="s">
        <v>1008</v>
      </c>
      <c r="B520" s="8" t="s">
        <v>2120</v>
      </c>
      <c r="C520" s="1">
        <v>81</v>
      </c>
      <c r="D520" s="1">
        <f t="shared" si="1"/>
        <v>810</v>
      </c>
    </row>
    <row r="521" ht="30" spans="1:4">
      <c r="A521" s="1" t="s">
        <v>1010</v>
      </c>
      <c r="B521" s="8" t="s">
        <v>2121</v>
      </c>
      <c r="C521" s="1">
        <v>81</v>
      </c>
      <c r="D521" s="1">
        <f t="shared" si="1"/>
        <v>810</v>
      </c>
    </row>
    <row r="522" spans="1:4">
      <c r="A522" s="1" t="s">
        <v>1012</v>
      </c>
      <c r="B522" s="8" t="s">
        <v>2122</v>
      </c>
      <c r="C522" s="1">
        <v>81</v>
      </c>
      <c r="D522" s="1">
        <f t="shared" si="1"/>
        <v>810</v>
      </c>
    </row>
    <row r="523" ht="30" spans="1:4">
      <c r="A523" s="1" t="s">
        <v>1014</v>
      </c>
      <c r="B523" s="8" t="s">
        <v>2123</v>
      </c>
      <c r="C523" s="1">
        <v>81</v>
      </c>
      <c r="D523" s="1">
        <f t="shared" si="1"/>
        <v>810</v>
      </c>
    </row>
    <row r="524" ht="30" spans="1:4">
      <c r="A524" s="1" t="s">
        <v>1016</v>
      </c>
      <c r="B524" s="8" t="s">
        <v>2124</v>
      </c>
      <c r="C524" s="1">
        <v>81</v>
      </c>
      <c r="D524" s="1">
        <f t="shared" si="1"/>
        <v>810</v>
      </c>
    </row>
    <row r="525" spans="1:4">
      <c r="A525" s="1" t="s">
        <v>1018</v>
      </c>
      <c r="B525" s="8" t="s">
        <v>2125</v>
      </c>
      <c r="C525" s="1">
        <v>81</v>
      </c>
      <c r="D525" s="1">
        <f t="shared" si="1"/>
        <v>810</v>
      </c>
    </row>
    <row r="526" spans="1:4">
      <c r="A526" s="1" t="s">
        <v>1020</v>
      </c>
      <c r="B526" s="8" t="s">
        <v>2126</v>
      </c>
      <c r="C526" s="1">
        <v>81</v>
      </c>
      <c r="D526" s="1">
        <f t="shared" si="1"/>
        <v>810</v>
      </c>
    </row>
    <row r="527" ht="30" spans="1:4">
      <c r="A527" s="1" t="s">
        <v>1022</v>
      </c>
      <c r="B527" s="8" t="s">
        <v>2127</v>
      </c>
      <c r="C527" s="1">
        <v>81</v>
      </c>
      <c r="D527" s="1">
        <f t="shared" si="1"/>
        <v>810</v>
      </c>
    </row>
    <row r="528" ht="30" spans="1:4">
      <c r="A528" s="1" t="s">
        <v>1024</v>
      </c>
      <c r="B528" s="8" t="s">
        <v>2128</v>
      </c>
      <c r="C528" s="1">
        <v>81</v>
      </c>
      <c r="D528" s="1">
        <f t="shared" si="1"/>
        <v>810</v>
      </c>
    </row>
    <row r="529" ht="30" spans="1:4">
      <c r="A529" s="1" t="s">
        <v>1026</v>
      </c>
      <c r="B529" s="8" t="s">
        <v>2129</v>
      </c>
      <c r="C529" s="1">
        <v>81</v>
      </c>
      <c r="D529" s="1">
        <f t="shared" si="1"/>
        <v>810</v>
      </c>
    </row>
    <row r="530" spans="1:4">
      <c r="A530" s="1" t="s">
        <v>1028</v>
      </c>
      <c r="B530" s="8" t="s">
        <v>2130</v>
      </c>
      <c r="C530" s="1">
        <v>81</v>
      </c>
      <c r="D530" s="1">
        <f t="shared" si="1"/>
        <v>810</v>
      </c>
    </row>
    <row r="531" spans="1:4">
      <c r="A531" s="1" t="s">
        <v>1030</v>
      </c>
      <c r="B531" s="8" t="s">
        <v>2131</v>
      </c>
      <c r="C531" s="1">
        <v>81</v>
      </c>
      <c r="D531" s="1">
        <f t="shared" si="1"/>
        <v>810</v>
      </c>
    </row>
    <row r="532" ht="30" spans="1:4">
      <c r="A532" s="1" t="s">
        <v>1032</v>
      </c>
      <c r="B532" s="8" t="s">
        <v>2132</v>
      </c>
      <c r="C532" s="1">
        <v>81</v>
      </c>
      <c r="D532" s="1">
        <f t="shared" si="1"/>
        <v>810</v>
      </c>
    </row>
    <row r="533" spans="1:4">
      <c r="A533" s="1" t="s">
        <v>1034</v>
      </c>
      <c r="B533" s="8" t="s">
        <v>2133</v>
      </c>
      <c r="C533" s="1">
        <v>81</v>
      </c>
      <c r="D533" s="1">
        <f t="shared" si="1"/>
        <v>810</v>
      </c>
    </row>
    <row r="534" ht="30" spans="1:4">
      <c r="A534" s="1" t="s">
        <v>1036</v>
      </c>
      <c r="B534" s="8" t="s">
        <v>2134</v>
      </c>
      <c r="C534" s="1">
        <v>81</v>
      </c>
      <c r="D534" s="1">
        <f t="shared" si="1"/>
        <v>810</v>
      </c>
    </row>
    <row r="535" ht="30" spans="1:4">
      <c r="A535" s="1" t="s">
        <v>1038</v>
      </c>
      <c r="B535" s="8" t="s">
        <v>2135</v>
      </c>
      <c r="C535" s="1">
        <v>81</v>
      </c>
      <c r="D535" s="1">
        <f t="shared" si="1"/>
        <v>810</v>
      </c>
    </row>
    <row r="536" spans="1:4">
      <c r="A536" s="1" t="s">
        <v>1040</v>
      </c>
      <c r="B536" s="8" t="s">
        <v>2136</v>
      </c>
      <c r="C536" s="1">
        <v>81</v>
      </c>
      <c r="D536" s="1">
        <f t="shared" si="1"/>
        <v>810</v>
      </c>
    </row>
    <row r="537" ht="30" spans="1:4">
      <c r="A537" s="1" t="s">
        <v>1042</v>
      </c>
      <c r="B537" s="8" t="s">
        <v>2137</v>
      </c>
      <c r="C537" s="1">
        <v>81</v>
      </c>
      <c r="D537" s="1">
        <f t="shared" si="1"/>
        <v>810</v>
      </c>
    </row>
    <row r="538" ht="30" spans="1:4">
      <c r="A538" s="1" t="s">
        <v>1044</v>
      </c>
      <c r="B538" s="8" t="s">
        <v>2138</v>
      </c>
      <c r="C538" s="1">
        <v>81</v>
      </c>
      <c r="D538" s="1">
        <f t="shared" si="1"/>
        <v>810</v>
      </c>
    </row>
    <row r="539" ht="30" spans="1:4">
      <c r="A539" s="1" t="s">
        <v>1046</v>
      </c>
      <c r="B539" s="8" t="s">
        <v>2139</v>
      </c>
      <c r="C539" s="1">
        <v>81</v>
      </c>
      <c r="D539" s="1">
        <f t="shared" si="1"/>
        <v>810</v>
      </c>
    </row>
    <row r="540" ht="30" spans="1:4">
      <c r="A540" s="1" t="s">
        <v>1048</v>
      </c>
      <c r="B540" s="8" t="s">
        <v>2140</v>
      </c>
      <c r="C540" s="1">
        <v>81</v>
      </c>
      <c r="D540" s="1">
        <f t="shared" si="1"/>
        <v>810</v>
      </c>
    </row>
    <row r="541" spans="1:4">
      <c r="A541" s="1" t="s">
        <v>1050</v>
      </c>
      <c r="B541" s="8" t="s">
        <v>2141</v>
      </c>
      <c r="C541" s="1">
        <v>81</v>
      </c>
      <c r="D541" s="1">
        <f t="shared" si="1"/>
        <v>810</v>
      </c>
    </row>
    <row r="542" spans="1:4">
      <c r="A542" s="1" t="s">
        <v>1052</v>
      </c>
      <c r="B542" s="8" t="s">
        <v>2142</v>
      </c>
      <c r="C542" s="1">
        <v>81</v>
      </c>
      <c r="D542" s="1">
        <f t="shared" si="1"/>
        <v>810</v>
      </c>
    </row>
    <row r="543" spans="1:4">
      <c r="A543" s="1" t="s">
        <v>1054</v>
      </c>
      <c r="B543" s="8" t="s">
        <v>2143</v>
      </c>
      <c r="C543" s="1">
        <v>81</v>
      </c>
      <c r="D543" s="1">
        <f t="shared" si="1"/>
        <v>810</v>
      </c>
    </row>
    <row r="544" ht="30" spans="1:4">
      <c r="A544" s="1" t="s">
        <v>1056</v>
      </c>
      <c r="B544" s="8" t="s">
        <v>2144</v>
      </c>
      <c r="C544" s="1">
        <v>81</v>
      </c>
      <c r="D544" s="1">
        <f t="shared" si="1"/>
        <v>810</v>
      </c>
    </row>
    <row r="545" ht="30" spans="1:4">
      <c r="A545" s="1" t="s">
        <v>1058</v>
      </c>
      <c r="B545" s="8" t="s">
        <v>2145</v>
      </c>
      <c r="C545" s="1">
        <v>81</v>
      </c>
      <c r="D545" s="1">
        <f t="shared" si="1"/>
        <v>810</v>
      </c>
    </row>
    <row r="546" spans="1:4">
      <c r="A546" s="1" t="s">
        <v>1060</v>
      </c>
      <c r="B546" s="8" t="s">
        <v>2146</v>
      </c>
      <c r="C546" s="1">
        <v>81</v>
      </c>
      <c r="D546" s="1">
        <f t="shared" si="1"/>
        <v>810</v>
      </c>
    </row>
    <row r="547" ht="30" spans="1:4">
      <c r="A547" s="1" t="s">
        <v>1062</v>
      </c>
      <c r="B547" s="8" t="s">
        <v>2147</v>
      </c>
      <c r="C547" s="1">
        <v>81</v>
      </c>
      <c r="D547" s="1">
        <f t="shared" si="1"/>
        <v>810</v>
      </c>
    </row>
    <row r="548" ht="30" spans="1:4">
      <c r="A548" s="1" t="s">
        <v>1064</v>
      </c>
      <c r="B548" s="8" t="s">
        <v>2148</v>
      </c>
      <c r="C548" s="1">
        <v>81</v>
      </c>
      <c r="D548" s="1">
        <f t="shared" si="1"/>
        <v>810</v>
      </c>
    </row>
    <row r="549" spans="1:4">
      <c r="A549" s="1" t="s">
        <v>1066</v>
      </c>
      <c r="B549" s="8" t="s">
        <v>2149</v>
      </c>
      <c r="C549" s="1">
        <v>81</v>
      </c>
      <c r="D549" s="1">
        <f t="shared" si="1"/>
        <v>810</v>
      </c>
    </row>
    <row r="550" ht="30" spans="1:4">
      <c r="A550" s="1" t="s">
        <v>1068</v>
      </c>
      <c r="B550" s="8" t="s">
        <v>2150</v>
      </c>
      <c r="C550" s="1">
        <v>81</v>
      </c>
      <c r="D550" s="1">
        <f t="shared" si="1"/>
        <v>810</v>
      </c>
    </row>
    <row r="551" ht="30" spans="1:4">
      <c r="A551" s="1" t="s">
        <v>1070</v>
      </c>
      <c r="B551" s="8" t="s">
        <v>2151</v>
      </c>
      <c r="C551" s="1">
        <v>80</v>
      </c>
      <c r="D551" s="1">
        <f t="shared" si="1"/>
        <v>800</v>
      </c>
    </row>
    <row r="552" ht="30" spans="1:4">
      <c r="A552" s="1" t="s">
        <v>1072</v>
      </c>
      <c r="B552" s="8" t="s">
        <v>2152</v>
      </c>
      <c r="C552" s="1">
        <v>160</v>
      </c>
      <c r="D552" s="1">
        <f t="shared" si="1"/>
        <v>1600</v>
      </c>
    </row>
    <row r="553" ht="30" spans="1:4">
      <c r="A553" s="1" t="s">
        <v>1074</v>
      </c>
      <c r="B553" s="8" t="s">
        <v>2153</v>
      </c>
      <c r="C553" s="1">
        <v>320</v>
      </c>
      <c r="D553" s="1">
        <f t="shared" si="1"/>
        <v>3200</v>
      </c>
    </row>
    <row r="554" ht="30" spans="1:4">
      <c r="A554" s="1" t="s">
        <v>1076</v>
      </c>
      <c r="B554" s="8" t="s">
        <v>2154</v>
      </c>
      <c r="C554" s="1">
        <v>80</v>
      </c>
      <c r="D554" s="1">
        <f t="shared" si="1"/>
        <v>800</v>
      </c>
    </row>
    <row r="555" ht="30" spans="1:4">
      <c r="A555" s="1" t="s">
        <v>1078</v>
      </c>
      <c r="B555" s="8" t="s">
        <v>2155</v>
      </c>
      <c r="C555" s="1">
        <v>160</v>
      </c>
      <c r="D555" s="1">
        <f t="shared" si="1"/>
        <v>1600</v>
      </c>
    </row>
    <row r="556" ht="30" spans="1:4">
      <c r="A556" s="1" t="s">
        <v>1080</v>
      </c>
      <c r="B556" s="8" t="s">
        <v>2156</v>
      </c>
      <c r="C556" s="1">
        <v>320</v>
      </c>
      <c r="D556" s="1">
        <f t="shared" si="1"/>
        <v>3200</v>
      </c>
    </row>
    <row r="557" ht="30" spans="1:4">
      <c r="A557" s="1" t="s">
        <v>1082</v>
      </c>
      <c r="B557" s="8" t="s">
        <v>2157</v>
      </c>
      <c r="C557" s="1">
        <v>80</v>
      </c>
      <c r="D557" s="1">
        <f t="shared" si="1"/>
        <v>800</v>
      </c>
    </row>
    <row r="558" ht="30" spans="1:4">
      <c r="A558" s="1" t="s">
        <v>1084</v>
      </c>
      <c r="B558" s="8" t="s">
        <v>2158</v>
      </c>
      <c r="C558" s="1">
        <v>160</v>
      </c>
      <c r="D558" s="1">
        <f t="shared" si="1"/>
        <v>1600</v>
      </c>
    </row>
    <row r="559" ht="30" spans="1:4">
      <c r="A559" s="1" t="s">
        <v>1086</v>
      </c>
      <c r="B559" s="8" t="s">
        <v>2159</v>
      </c>
      <c r="C559" s="1">
        <v>320</v>
      </c>
      <c r="D559" s="1">
        <f t="shared" si="1"/>
        <v>3200</v>
      </c>
    </row>
    <row r="560" ht="30" spans="1:4">
      <c r="A560" s="1" t="s">
        <v>1088</v>
      </c>
      <c r="B560" s="8" t="s">
        <v>2160</v>
      </c>
      <c r="C560" s="1">
        <v>80</v>
      </c>
      <c r="D560" s="1">
        <f t="shared" si="1"/>
        <v>800</v>
      </c>
    </row>
    <row r="561" ht="30" spans="1:4">
      <c r="A561" s="1" t="s">
        <v>1090</v>
      </c>
      <c r="B561" s="8" t="s">
        <v>2161</v>
      </c>
      <c r="C561" s="1">
        <v>160</v>
      </c>
      <c r="D561" s="1">
        <f t="shared" ref="D561:D624" si="2">C561*10</f>
        <v>1600</v>
      </c>
    </row>
    <row r="562" ht="30" spans="1:4">
      <c r="A562" s="1" t="s">
        <v>1092</v>
      </c>
      <c r="B562" s="8" t="s">
        <v>2162</v>
      </c>
      <c r="C562" s="1">
        <v>320</v>
      </c>
      <c r="D562" s="1">
        <f t="shared" si="2"/>
        <v>3200</v>
      </c>
    </row>
    <row r="563" ht="30" spans="1:4">
      <c r="A563" s="1" t="s">
        <v>1094</v>
      </c>
      <c r="B563" s="8" t="s">
        <v>2163</v>
      </c>
      <c r="C563" s="1">
        <v>80</v>
      </c>
      <c r="D563" s="1">
        <f t="shared" si="2"/>
        <v>800</v>
      </c>
    </row>
    <row r="564" ht="30" spans="1:4">
      <c r="A564" s="1" t="s">
        <v>1096</v>
      </c>
      <c r="B564" s="8" t="s">
        <v>2164</v>
      </c>
      <c r="C564" s="1">
        <v>160</v>
      </c>
      <c r="D564" s="1">
        <f t="shared" si="2"/>
        <v>1600</v>
      </c>
    </row>
    <row r="565" ht="30" spans="1:4">
      <c r="A565" s="1" t="s">
        <v>1098</v>
      </c>
      <c r="B565" s="8" t="s">
        <v>2165</v>
      </c>
      <c r="C565" s="1">
        <v>320</v>
      </c>
      <c r="D565" s="1">
        <f t="shared" si="2"/>
        <v>3200</v>
      </c>
    </row>
    <row r="566" ht="30" spans="1:4">
      <c r="A566" s="1" t="s">
        <v>1100</v>
      </c>
      <c r="B566" s="8" t="s">
        <v>2166</v>
      </c>
      <c r="C566" s="1">
        <v>100</v>
      </c>
      <c r="D566" s="1">
        <f t="shared" si="2"/>
        <v>1000</v>
      </c>
    </row>
    <row r="567" ht="30" spans="1:4">
      <c r="A567" s="1" t="s">
        <v>1102</v>
      </c>
      <c r="B567" s="8" t="s">
        <v>2167</v>
      </c>
      <c r="C567" s="1">
        <v>100</v>
      </c>
      <c r="D567" s="1">
        <f t="shared" si="2"/>
        <v>1000</v>
      </c>
    </row>
    <row r="568" ht="30" spans="1:4">
      <c r="A568" s="1" t="s">
        <v>1104</v>
      </c>
      <c r="B568" s="8" t="s">
        <v>2168</v>
      </c>
      <c r="C568" s="1">
        <v>100</v>
      </c>
      <c r="D568" s="1">
        <f t="shared" si="2"/>
        <v>1000</v>
      </c>
    </row>
    <row r="569" ht="30" spans="1:4">
      <c r="A569" s="1" t="s">
        <v>1106</v>
      </c>
      <c r="B569" s="8" t="s">
        <v>2169</v>
      </c>
      <c r="C569" s="1">
        <v>100</v>
      </c>
      <c r="D569" s="1">
        <f t="shared" si="2"/>
        <v>1000</v>
      </c>
    </row>
    <row r="570" spans="1:4">
      <c r="A570" s="1" t="s">
        <v>1108</v>
      </c>
      <c r="B570" s="8" t="s">
        <v>2170</v>
      </c>
      <c r="C570" s="1">
        <v>100</v>
      </c>
      <c r="D570" s="1">
        <f t="shared" si="2"/>
        <v>1000</v>
      </c>
    </row>
    <row r="571" ht="30" spans="1:4">
      <c r="A571" s="1" t="s">
        <v>1110</v>
      </c>
      <c r="B571" s="8" t="s">
        <v>2171</v>
      </c>
      <c r="C571" s="1">
        <v>100</v>
      </c>
      <c r="D571" s="1">
        <f t="shared" si="2"/>
        <v>1000</v>
      </c>
    </row>
    <row r="572" ht="30" spans="1:4">
      <c r="A572" s="1" t="s">
        <v>1112</v>
      </c>
      <c r="B572" s="8" t="s">
        <v>2172</v>
      </c>
      <c r="C572" s="1">
        <v>100</v>
      </c>
      <c r="D572" s="1">
        <f t="shared" si="2"/>
        <v>1000</v>
      </c>
    </row>
    <row r="573" spans="1:4">
      <c r="A573" s="1" t="s">
        <v>1114</v>
      </c>
      <c r="B573" s="8" t="s">
        <v>2173</v>
      </c>
      <c r="C573" s="1">
        <v>100</v>
      </c>
      <c r="D573" s="1">
        <f t="shared" si="2"/>
        <v>1000</v>
      </c>
    </row>
    <row r="574" spans="1:4">
      <c r="A574" s="1" t="s">
        <v>1116</v>
      </c>
      <c r="B574" s="8" t="s">
        <v>2174</v>
      </c>
      <c r="C574" s="1">
        <v>100</v>
      </c>
      <c r="D574" s="1">
        <f t="shared" si="2"/>
        <v>1000</v>
      </c>
    </row>
    <row r="575" spans="1:4">
      <c r="A575" s="1" t="s">
        <v>1118</v>
      </c>
      <c r="B575" s="8" t="s">
        <v>2175</v>
      </c>
      <c r="C575" s="1">
        <v>100</v>
      </c>
      <c r="D575" s="1">
        <f t="shared" si="2"/>
        <v>1000</v>
      </c>
    </row>
    <row r="576" ht="30" spans="1:4">
      <c r="A576" s="1" t="s">
        <v>1120</v>
      </c>
      <c r="B576" s="8" t="s">
        <v>2176</v>
      </c>
      <c r="C576" s="1">
        <v>100</v>
      </c>
      <c r="D576" s="1">
        <f t="shared" si="2"/>
        <v>1000</v>
      </c>
    </row>
    <row r="577" ht="30" spans="1:4">
      <c r="A577" s="1" t="s">
        <v>1122</v>
      </c>
      <c r="B577" s="8" t="s">
        <v>2177</v>
      </c>
      <c r="C577" s="1">
        <v>100</v>
      </c>
      <c r="D577" s="1">
        <f t="shared" si="2"/>
        <v>1000</v>
      </c>
    </row>
    <row r="578" ht="30" spans="1:4">
      <c r="A578" s="1" t="s">
        <v>1124</v>
      </c>
      <c r="B578" s="8" t="s">
        <v>2178</v>
      </c>
      <c r="C578" s="1">
        <v>100</v>
      </c>
      <c r="D578" s="1">
        <f t="shared" si="2"/>
        <v>1000</v>
      </c>
    </row>
    <row r="579" ht="30" spans="1:4">
      <c r="A579" s="1" t="s">
        <v>1126</v>
      </c>
      <c r="B579" s="8" t="s">
        <v>2179</v>
      </c>
      <c r="C579" s="1">
        <v>100</v>
      </c>
      <c r="D579" s="1">
        <f t="shared" si="2"/>
        <v>1000</v>
      </c>
    </row>
    <row r="580" ht="30" spans="1:4">
      <c r="A580" s="1" t="s">
        <v>1128</v>
      </c>
      <c r="B580" s="8" t="s">
        <v>2180</v>
      </c>
      <c r="C580" s="1">
        <v>100</v>
      </c>
      <c r="D580" s="1">
        <f t="shared" si="2"/>
        <v>1000</v>
      </c>
    </row>
    <row r="581" ht="30" spans="1:4">
      <c r="A581" s="1" t="s">
        <v>1130</v>
      </c>
      <c r="B581" s="8" t="s">
        <v>2181</v>
      </c>
      <c r="C581" s="1">
        <v>100</v>
      </c>
      <c r="D581" s="1">
        <f t="shared" si="2"/>
        <v>1000</v>
      </c>
    </row>
    <row r="582" ht="30" spans="1:4">
      <c r="A582" s="1" t="s">
        <v>1132</v>
      </c>
      <c r="B582" s="8" t="s">
        <v>2182</v>
      </c>
      <c r="C582" s="1">
        <v>100</v>
      </c>
      <c r="D582" s="1">
        <f t="shared" si="2"/>
        <v>1000</v>
      </c>
    </row>
    <row r="583" ht="30" spans="1:4">
      <c r="A583" s="1" t="s">
        <v>1134</v>
      </c>
      <c r="B583" s="8" t="s">
        <v>2183</v>
      </c>
      <c r="C583" s="1">
        <v>100</v>
      </c>
      <c r="D583" s="1">
        <f t="shared" si="2"/>
        <v>1000</v>
      </c>
    </row>
    <row r="584" ht="30" spans="1:4">
      <c r="A584" s="1" t="s">
        <v>1136</v>
      </c>
      <c r="B584" s="8" t="s">
        <v>2184</v>
      </c>
      <c r="C584" s="1">
        <v>100</v>
      </c>
      <c r="D584" s="1">
        <f t="shared" si="2"/>
        <v>1000</v>
      </c>
    </row>
    <row r="585" ht="30" spans="1:4">
      <c r="A585" s="1" t="s">
        <v>1138</v>
      </c>
      <c r="B585" s="8" t="s">
        <v>2185</v>
      </c>
      <c r="C585" s="1">
        <v>100</v>
      </c>
      <c r="D585" s="1">
        <f t="shared" si="2"/>
        <v>1000</v>
      </c>
    </row>
    <row r="586" ht="30" spans="1:4">
      <c r="A586" s="1" t="s">
        <v>1140</v>
      </c>
      <c r="B586" s="8" t="s">
        <v>2186</v>
      </c>
      <c r="C586" s="1">
        <v>100</v>
      </c>
      <c r="D586" s="1">
        <f t="shared" si="2"/>
        <v>1000</v>
      </c>
    </row>
    <row r="587" ht="30" spans="1:4">
      <c r="A587" s="1" t="s">
        <v>1142</v>
      </c>
      <c r="B587" s="8" t="s">
        <v>2187</v>
      </c>
      <c r="C587" s="1">
        <v>100</v>
      </c>
      <c r="D587" s="1">
        <f t="shared" si="2"/>
        <v>1000</v>
      </c>
    </row>
    <row r="588" ht="45" spans="1:4">
      <c r="A588" s="1" t="s">
        <v>1144</v>
      </c>
      <c r="B588" s="8" t="s">
        <v>2188</v>
      </c>
      <c r="C588" s="1">
        <v>100</v>
      </c>
      <c r="D588" s="1">
        <f t="shared" si="2"/>
        <v>1000</v>
      </c>
    </row>
    <row r="589" ht="30" spans="1:4">
      <c r="A589" s="1" t="s">
        <v>1146</v>
      </c>
      <c r="B589" s="8" t="s">
        <v>2189</v>
      </c>
      <c r="C589" s="1">
        <v>100</v>
      </c>
      <c r="D589" s="1">
        <f t="shared" si="2"/>
        <v>1000</v>
      </c>
    </row>
    <row r="590" ht="30" spans="1:4">
      <c r="A590" s="1" t="s">
        <v>1148</v>
      </c>
      <c r="B590" s="8" t="s">
        <v>2190</v>
      </c>
      <c r="C590" s="1">
        <v>100</v>
      </c>
      <c r="D590" s="1">
        <f t="shared" si="2"/>
        <v>1000</v>
      </c>
    </row>
    <row r="591" spans="1:4">
      <c r="A591" s="1" t="s">
        <v>1150</v>
      </c>
      <c r="B591" s="8" t="s">
        <v>2191</v>
      </c>
      <c r="C591" s="1">
        <v>100</v>
      </c>
      <c r="D591" s="1">
        <f t="shared" si="2"/>
        <v>1000</v>
      </c>
    </row>
    <row r="592" spans="1:4">
      <c r="A592" s="1" t="s">
        <v>1152</v>
      </c>
      <c r="B592" s="8" t="s">
        <v>2192</v>
      </c>
      <c r="C592" s="1">
        <v>100</v>
      </c>
      <c r="D592" s="1">
        <f t="shared" si="2"/>
        <v>1000</v>
      </c>
    </row>
    <row r="593" ht="30" spans="1:4">
      <c r="A593" s="1" t="s">
        <v>1154</v>
      </c>
      <c r="B593" s="8" t="s">
        <v>2193</v>
      </c>
      <c r="C593" s="1">
        <v>100</v>
      </c>
      <c r="D593" s="1">
        <f t="shared" si="2"/>
        <v>1000</v>
      </c>
    </row>
    <row r="594" ht="30" spans="1:4">
      <c r="A594" s="1" t="s">
        <v>1156</v>
      </c>
      <c r="B594" s="8" t="s">
        <v>2194</v>
      </c>
      <c r="C594" s="1">
        <v>100</v>
      </c>
      <c r="D594" s="1">
        <f t="shared" si="2"/>
        <v>1000</v>
      </c>
    </row>
    <row r="595" ht="30" spans="1:4">
      <c r="A595" s="1" t="s">
        <v>1158</v>
      </c>
      <c r="B595" s="8" t="s">
        <v>2195</v>
      </c>
      <c r="C595" s="1">
        <v>100</v>
      </c>
      <c r="D595" s="1">
        <f t="shared" si="2"/>
        <v>1000</v>
      </c>
    </row>
    <row r="596" ht="30" spans="1:4">
      <c r="A596" s="1" t="s">
        <v>1160</v>
      </c>
      <c r="B596" s="8" t="s">
        <v>2196</v>
      </c>
      <c r="C596" s="1">
        <v>100</v>
      </c>
      <c r="D596" s="1">
        <f t="shared" si="2"/>
        <v>1000</v>
      </c>
    </row>
    <row r="597" ht="30" spans="1:4">
      <c r="A597" s="1" t="s">
        <v>1162</v>
      </c>
      <c r="B597" s="8" t="s">
        <v>2197</v>
      </c>
      <c r="C597" s="1">
        <v>100</v>
      </c>
      <c r="D597" s="1">
        <f t="shared" si="2"/>
        <v>1000</v>
      </c>
    </row>
    <row r="598" ht="30" spans="1:4">
      <c r="A598" s="1" t="s">
        <v>1164</v>
      </c>
      <c r="B598" s="8" t="s">
        <v>2198</v>
      </c>
      <c r="C598" s="1">
        <v>100</v>
      </c>
      <c r="D598" s="1">
        <f t="shared" si="2"/>
        <v>1000</v>
      </c>
    </row>
    <row r="599" ht="30" spans="1:4">
      <c r="A599" s="1" t="s">
        <v>1166</v>
      </c>
      <c r="B599" s="8" t="s">
        <v>2199</v>
      </c>
      <c r="C599" s="1">
        <v>100</v>
      </c>
      <c r="D599" s="1">
        <f t="shared" si="2"/>
        <v>1000</v>
      </c>
    </row>
    <row r="600" ht="30" spans="1:4">
      <c r="A600" s="1" t="s">
        <v>1168</v>
      </c>
      <c r="B600" s="8" t="s">
        <v>2200</v>
      </c>
      <c r="C600" s="1">
        <v>100</v>
      </c>
      <c r="D600" s="1">
        <f t="shared" si="2"/>
        <v>1000</v>
      </c>
    </row>
    <row r="601" ht="30" spans="1:4">
      <c r="A601" s="1" t="s">
        <v>1170</v>
      </c>
      <c r="B601" s="8" t="s">
        <v>2201</v>
      </c>
      <c r="C601" s="1">
        <v>100</v>
      </c>
      <c r="D601" s="1">
        <f t="shared" si="2"/>
        <v>1000</v>
      </c>
    </row>
    <row r="602" ht="30" spans="1:4">
      <c r="A602" s="1" t="s">
        <v>1172</v>
      </c>
      <c r="B602" s="8" t="s">
        <v>2202</v>
      </c>
      <c r="C602" s="1">
        <v>100</v>
      </c>
      <c r="D602" s="1">
        <f t="shared" si="2"/>
        <v>1000</v>
      </c>
    </row>
    <row r="603" ht="30" spans="1:4">
      <c r="A603" s="1" t="s">
        <v>1174</v>
      </c>
      <c r="B603" s="8" t="s">
        <v>2203</v>
      </c>
      <c r="C603" s="1">
        <v>100</v>
      </c>
      <c r="D603" s="1">
        <f t="shared" si="2"/>
        <v>1000</v>
      </c>
    </row>
    <row r="604" ht="30" spans="1:4">
      <c r="A604" s="1" t="s">
        <v>1176</v>
      </c>
      <c r="B604" s="8" t="s">
        <v>2204</v>
      </c>
      <c r="C604" s="1">
        <v>100</v>
      </c>
      <c r="D604" s="1">
        <f t="shared" si="2"/>
        <v>1000</v>
      </c>
    </row>
    <row r="605" ht="30" spans="1:4">
      <c r="A605" s="1" t="s">
        <v>1178</v>
      </c>
      <c r="B605" s="8" t="s">
        <v>2205</v>
      </c>
      <c r="C605" s="1">
        <v>100</v>
      </c>
      <c r="D605" s="1">
        <f t="shared" si="2"/>
        <v>1000</v>
      </c>
    </row>
    <row r="606" ht="30" spans="1:4">
      <c r="A606" s="1" t="s">
        <v>1180</v>
      </c>
      <c r="B606" s="8" t="s">
        <v>2206</v>
      </c>
      <c r="C606" s="1">
        <v>100</v>
      </c>
      <c r="D606" s="1">
        <f t="shared" si="2"/>
        <v>1000</v>
      </c>
    </row>
    <row r="607" ht="30" spans="1:4">
      <c r="A607" s="1" t="s">
        <v>1182</v>
      </c>
      <c r="B607" s="8" t="s">
        <v>2207</v>
      </c>
      <c r="C607" s="1">
        <v>100</v>
      </c>
      <c r="D607" s="1">
        <f t="shared" si="2"/>
        <v>1000</v>
      </c>
    </row>
    <row r="608" spans="1:4">
      <c r="A608" s="1" t="s">
        <v>1184</v>
      </c>
      <c r="B608" s="8" t="s">
        <v>2208</v>
      </c>
      <c r="C608" s="1">
        <v>100</v>
      </c>
      <c r="D608" s="1">
        <f t="shared" si="2"/>
        <v>1000</v>
      </c>
    </row>
    <row r="609" ht="30" spans="1:4">
      <c r="A609" s="1" t="s">
        <v>1186</v>
      </c>
      <c r="B609" s="8" t="s">
        <v>2209</v>
      </c>
      <c r="C609" s="1">
        <v>100</v>
      </c>
      <c r="D609" s="1">
        <f t="shared" si="2"/>
        <v>1000</v>
      </c>
    </row>
    <row r="610" ht="30" spans="1:4">
      <c r="A610" s="1" t="s">
        <v>1188</v>
      </c>
      <c r="B610" s="8" t="s">
        <v>2210</v>
      </c>
      <c r="C610" s="1">
        <v>100</v>
      </c>
      <c r="D610" s="1">
        <f t="shared" si="2"/>
        <v>1000</v>
      </c>
    </row>
    <row r="611" ht="30" spans="1:4">
      <c r="A611" s="1" t="s">
        <v>1190</v>
      </c>
      <c r="B611" s="8" t="s">
        <v>2211</v>
      </c>
      <c r="C611" s="1">
        <v>100</v>
      </c>
      <c r="D611" s="1">
        <f t="shared" si="2"/>
        <v>1000</v>
      </c>
    </row>
    <row r="612" ht="30" spans="1:4">
      <c r="A612" s="1" t="s">
        <v>1192</v>
      </c>
      <c r="B612" s="8" t="s">
        <v>2212</v>
      </c>
      <c r="C612" s="1">
        <v>100</v>
      </c>
      <c r="D612" s="1">
        <f t="shared" si="2"/>
        <v>1000</v>
      </c>
    </row>
    <row r="613" ht="30" spans="1:4">
      <c r="A613" s="1" t="s">
        <v>1194</v>
      </c>
      <c r="B613" s="8" t="s">
        <v>2213</v>
      </c>
      <c r="C613" s="1">
        <v>100</v>
      </c>
      <c r="D613" s="1">
        <f t="shared" si="2"/>
        <v>1000</v>
      </c>
    </row>
    <row r="614" ht="30" spans="1:4">
      <c r="A614" s="1" t="s">
        <v>1196</v>
      </c>
      <c r="B614" s="8" t="s">
        <v>2214</v>
      </c>
      <c r="C614" s="1">
        <v>100</v>
      </c>
      <c r="D614" s="1">
        <f t="shared" si="2"/>
        <v>1000</v>
      </c>
    </row>
    <row r="615" ht="45" spans="1:4">
      <c r="A615" s="1" t="s">
        <v>1198</v>
      </c>
      <c r="B615" s="8" t="s">
        <v>2215</v>
      </c>
      <c r="C615" s="1">
        <v>100</v>
      </c>
      <c r="D615" s="1">
        <f t="shared" si="2"/>
        <v>1000</v>
      </c>
    </row>
    <row r="616" ht="30" spans="1:4">
      <c r="A616" s="1" t="s">
        <v>1200</v>
      </c>
      <c r="B616" s="8" t="s">
        <v>2216</v>
      </c>
      <c r="C616" s="1">
        <v>100</v>
      </c>
      <c r="D616" s="1">
        <f t="shared" si="2"/>
        <v>1000</v>
      </c>
    </row>
    <row r="617" ht="30" spans="1:4">
      <c r="A617" s="1" t="s">
        <v>1202</v>
      </c>
      <c r="B617" s="8" t="s">
        <v>2217</v>
      </c>
      <c r="C617" s="1">
        <v>100</v>
      </c>
      <c r="D617" s="1">
        <f t="shared" si="2"/>
        <v>1000</v>
      </c>
    </row>
    <row r="618" ht="30" spans="1:4">
      <c r="A618" s="1" t="s">
        <v>1204</v>
      </c>
      <c r="B618" s="8" t="s">
        <v>2218</v>
      </c>
      <c r="C618" s="1">
        <v>100</v>
      </c>
      <c r="D618" s="1">
        <f t="shared" si="2"/>
        <v>1000</v>
      </c>
    </row>
    <row r="619" ht="30" spans="1:4">
      <c r="A619" s="1" t="s">
        <v>1206</v>
      </c>
      <c r="B619" s="8" t="s">
        <v>2219</v>
      </c>
      <c r="C619" s="1">
        <v>100</v>
      </c>
      <c r="D619" s="1">
        <f t="shared" si="2"/>
        <v>1000</v>
      </c>
    </row>
    <row r="620" spans="1:4">
      <c r="A620" s="1" t="s">
        <v>1208</v>
      </c>
      <c r="B620" s="8" t="s">
        <v>2220</v>
      </c>
      <c r="C620" s="1">
        <v>100</v>
      </c>
      <c r="D620" s="1">
        <f t="shared" si="2"/>
        <v>1000</v>
      </c>
    </row>
    <row r="621" spans="1:4">
      <c r="A621" s="1" t="s">
        <v>1210</v>
      </c>
      <c r="B621" s="8" t="s">
        <v>2220</v>
      </c>
      <c r="C621" s="1">
        <v>100</v>
      </c>
      <c r="D621" s="1">
        <f t="shared" si="2"/>
        <v>1000</v>
      </c>
    </row>
    <row r="622" spans="1:4">
      <c r="A622" s="1" t="s">
        <v>1211</v>
      </c>
      <c r="B622" s="8" t="s">
        <v>2220</v>
      </c>
      <c r="C622" s="1">
        <v>100</v>
      </c>
      <c r="D622" s="1">
        <f t="shared" si="2"/>
        <v>1000</v>
      </c>
    </row>
    <row r="623" spans="1:4">
      <c r="A623" s="1" t="s">
        <v>1212</v>
      </c>
      <c r="B623" s="8" t="s">
        <v>2220</v>
      </c>
      <c r="C623" s="1">
        <v>100</v>
      </c>
      <c r="D623" s="1">
        <f t="shared" si="2"/>
        <v>1000</v>
      </c>
    </row>
    <row r="624" spans="1:4">
      <c r="A624" s="1" t="s">
        <v>1213</v>
      </c>
      <c r="B624" s="8" t="s">
        <v>2220</v>
      </c>
      <c r="C624" s="1">
        <v>100</v>
      </c>
      <c r="D624" s="1">
        <f t="shared" si="2"/>
        <v>1000</v>
      </c>
    </row>
    <row r="625" spans="1:4">
      <c r="A625" s="1" t="s">
        <v>1214</v>
      </c>
      <c r="B625" s="8" t="s">
        <v>2220</v>
      </c>
      <c r="C625" s="1">
        <v>100</v>
      </c>
      <c r="D625" s="1">
        <f t="shared" ref="D625:D688" si="3">C625*10</f>
        <v>1000</v>
      </c>
    </row>
    <row r="626" ht="30" spans="1:4">
      <c r="A626" s="1" t="s">
        <v>1215</v>
      </c>
      <c r="B626" s="8" t="s">
        <v>2221</v>
      </c>
      <c r="C626" s="1">
        <v>100</v>
      </c>
      <c r="D626" s="1">
        <f t="shared" si="3"/>
        <v>1000</v>
      </c>
    </row>
    <row r="627" ht="30" spans="1:4">
      <c r="A627" s="1" t="s">
        <v>1217</v>
      </c>
      <c r="B627" s="8" t="s">
        <v>2222</v>
      </c>
      <c r="C627" s="1">
        <v>100</v>
      </c>
      <c r="D627" s="1">
        <f t="shared" si="3"/>
        <v>1000</v>
      </c>
    </row>
    <row r="628" ht="30" spans="1:4">
      <c r="A628" s="1" t="s">
        <v>1219</v>
      </c>
      <c r="B628" s="8" t="s">
        <v>2223</v>
      </c>
      <c r="C628" s="1">
        <v>100</v>
      </c>
      <c r="D628" s="1">
        <f t="shared" si="3"/>
        <v>1000</v>
      </c>
    </row>
    <row r="629" ht="30" spans="1:4">
      <c r="A629" s="1" t="s">
        <v>1221</v>
      </c>
      <c r="B629" s="8" t="s">
        <v>2224</v>
      </c>
      <c r="C629" s="1">
        <v>100</v>
      </c>
      <c r="D629" s="1">
        <f t="shared" si="3"/>
        <v>1000</v>
      </c>
    </row>
    <row r="630" ht="30" spans="1:4">
      <c r="A630" s="1" t="s">
        <v>1223</v>
      </c>
      <c r="B630" s="8" t="s">
        <v>2225</v>
      </c>
      <c r="C630" s="1">
        <v>100</v>
      </c>
      <c r="D630" s="1">
        <f t="shared" si="3"/>
        <v>1000</v>
      </c>
    </row>
    <row r="631" ht="30" spans="1:4">
      <c r="A631" s="1" t="s">
        <v>1225</v>
      </c>
      <c r="B631" s="8" t="s">
        <v>2226</v>
      </c>
      <c r="C631" s="1">
        <v>100</v>
      </c>
      <c r="D631" s="1">
        <f t="shared" si="3"/>
        <v>1000</v>
      </c>
    </row>
    <row r="632" ht="30" spans="1:4">
      <c r="A632" s="1" t="s">
        <v>1227</v>
      </c>
      <c r="B632" s="8" t="s">
        <v>2227</v>
      </c>
      <c r="C632" s="1">
        <v>100</v>
      </c>
      <c r="D632" s="1">
        <f t="shared" si="3"/>
        <v>1000</v>
      </c>
    </row>
    <row r="633" ht="30" spans="1:4">
      <c r="A633" s="1" t="s">
        <v>1229</v>
      </c>
      <c r="B633" s="8" t="s">
        <v>2228</v>
      </c>
      <c r="C633" s="1">
        <v>100</v>
      </c>
      <c r="D633" s="1">
        <f t="shared" si="3"/>
        <v>1000</v>
      </c>
    </row>
    <row r="634" ht="30" spans="1:4">
      <c r="A634" s="1" t="s">
        <v>1231</v>
      </c>
      <c r="B634" s="8" t="s">
        <v>2229</v>
      </c>
      <c r="C634" s="1">
        <v>100</v>
      </c>
      <c r="D634" s="1">
        <f t="shared" si="3"/>
        <v>1000</v>
      </c>
    </row>
    <row r="635" ht="30" spans="1:4">
      <c r="A635" s="1" t="s">
        <v>1233</v>
      </c>
      <c r="B635" s="8" t="s">
        <v>2230</v>
      </c>
      <c r="C635" s="1">
        <v>100</v>
      </c>
      <c r="D635" s="1">
        <f t="shared" si="3"/>
        <v>1000</v>
      </c>
    </row>
    <row r="636" ht="30" spans="1:4">
      <c r="A636" s="1" t="s">
        <v>1235</v>
      </c>
      <c r="B636" s="8" t="s">
        <v>2231</v>
      </c>
      <c r="C636" s="1">
        <v>100</v>
      </c>
      <c r="D636" s="1">
        <f t="shared" si="3"/>
        <v>1000</v>
      </c>
    </row>
    <row r="637" ht="30" spans="1:4">
      <c r="A637" s="1" t="s">
        <v>1237</v>
      </c>
      <c r="B637" s="8" t="s">
        <v>2232</v>
      </c>
      <c r="C637" s="1">
        <v>100</v>
      </c>
      <c r="D637" s="1">
        <f t="shared" si="3"/>
        <v>1000</v>
      </c>
    </row>
    <row r="638" ht="30" spans="1:4">
      <c r="A638" s="1" t="s">
        <v>1239</v>
      </c>
      <c r="B638" s="8" t="s">
        <v>2233</v>
      </c>
      <c r="C638" s="1">
        <v>100</v>
      </c>
      <c r="D638" s="1">
        <f t="shared" si="3"/>
        <v>1000</v>
      </c>
    </row>
    <row r="639" ht="30" spans="1:4">
      <c r="A639" s="1" t="s">
        <v>1241</v>
      </c>
      <c r="B639" s="8" t="s">
        <v>2234</v>
      </c>
      <c r="C639" s="1">
        <v>100</v>
      </c>
      <c r="D639" s="1">
        <f t="shared" si="3"/>
        <v>1000</v>
      </c>
    </row>
    <row r="640" ht="30" spans="1:4">
      <c r="A640" s="1" t="s">
        <v>1243</v>
      </c>
      <c r="B640" s="8" t="s">
        <v>2235</v>
      </c>
      <c r="C640" s="1">
        <v>100</v>
      </c>
      <c r="D640" s="1">
        <f t="shared" si="3"/>
        <v>1000</v>
      </c>
    </row>
    <row r="641" spans="1:4">
      <c r="A641" s="1" t="s">
        <v>1245</v>
      </c>
      <c r="B641" s="8" t="s">
        <v>2236</v>
      </c>
      <c r="C641" s="1">
        <v>100</v>
      </c>
      <c r="D641" s="1">
        <f t="shared" si="3"/>
        <v>1000</v>
      </c>
    </row>
    <row r="642" spans="1:4">
      <c r="A642" s="1" t="s">
        <v>1247</v>
      </c>
      <c r="B642" s="8" t="s">
        <v>2237</v>
      </c>
      <c r="C642" s="1">
        <v>100</v>
      </c>
      <c r="D642" s="1">
        <f t="shared" si="3"/>
        <v>1000</v>
      </c>
    </row>
    <row r="643" spans="1:4">
      <c r="A643" s="1" t="s">
        <v>1249</v>
      </c>
      <c r="B643" s="8" t="s">
        <v>2238</v>
      </c>
      <c r="C643" s="1">
        <v>100</v>
      </c>
      <c r="D643" s="1">
        <f t="shared" si="3"/>
        <v>1000</v>
      </c>
    </row>
    <row r="644" ht="30" spans="1:4">
      <c r="A644" s="1" t="s">
        <v>1251</v>
      </c>
      <c r="B644" s="8" t="s">
        <v>2239</v>
      </c>
      <c r="C644" s="1">
        <v>100</v>
      </c>
      <c r="D644" s="1">
        <f t="shared" si="3"/>
        <v>1000</v>
      </c>
    </row>
    <row r="645" ht="30" spans="1:4">
      <c r="A645" s="1" t="s">
        <v>1253</v>
      </c>
      <c r="B645" s="8" t="s">
        <v>2240</v>
      </c>
      <c r="C645" s="1">
        <v>100</v>
      </c>
      <c r="D645" s="1">
        <f t="shared" si="3"/>
        <v>1000</v>
      </c>
    </row>
    <row r="646" ht="30" spans="1:4">
      <c r="A646" s="1" t="s">
        <v>1255</v>
      </c>
      <c r="B646" s="8" t="s">
        <v>2241</v>
      </c>
      <c r="C646" s="1">
        <v>100</v>
      </c>
      <c r="D646" s="1">
        <f t="shared" si="3"/>
        <v>1000</v>
      </c>
    </row>
    <row r="647" ht="30" spans="1:4">
      <c r="A647" s="1" t="s">
        <v>1257</v>
      </c>
      <c r="B647" s="8" t="s">
        <v>2242</v>
      </c>
      <c r="C647" s="1">
        <v>100</v>
      </c>
      <c r="D647" s="1">
        <f t="shared" si="3"/>
        <v>1000</v>
      </c>
    </row>
    <row r="648" ht="30" spans="1:4">
      <c r="A648" s="1" t="s">
        <v>1259</v>
      </c>
      <c r="B648" s="8" t="s">
        <v>2243</v>
      </c>
      <c r="C648" s="1">
        <v>100</v>
      </c>
      <c r="D648" s="1">
        <f t="shared" si="3"/>
        <v>1000</v>
      </c>
    </row>
    <row r="649" ht="30" spans="1:4">
      <c r="A649" s="1" t="s">
        <v>1261</v>
      </c>
      <c r="B649" s="8" t="s">
        <v>2244</v>
      </c>
      <c r="C649" s="1">
        <v>100</v>
      </c>
      <c r="D649" s="1">
        <f t="shared" si="3"/>
        <v>1000</v>
      </c>
    </row>
    <row r="650" ht="30" spans="1:4">
      <c r="A650" s="1" t="s">
        <v>1263</v>
      </c>
      <c r="B650" s="8" t="s">
        <v>2245</v>
      </c>
      <c r="C650" s="1">
        <v>100</v>
      </c>
      <c r="D650" s="1">
        <f t="shared" si="3"/>
        <v>1000</v>
      </c>
    </row>
    <row r="651" ht="30" spans="1:4">
      <c r="A651" s="1" t="s">
        <v>1265</v>
      </c>
      <c r="B651" s="8" t="s">
        <v>2246</v>
      </c>
      <c r="C651" s="1">
        <v>100</v>
      </c>
      <c r="D651" s="1">
        <f t="shared" si="3"/>
        <v>1000</v>
      </c>
    </row>
    <row r="652" ht="30" spans="1:4">
      <c r="A652" s="1" t="s">
        <v>1267</v>
      </c>
      <c r="B652" s="8" t="s">
        <v>2247</v>
      </c>
      <c r="C652" s="1">
        <v>100</v>
      </c>
      <c r="D652" s="1">
        <f t="shared" si="3"/>
        <v>1000</v>
      </c>
    </row>
    <row r="653" ht="30" spans="1:4">
      <c r="A653" s="1" t="s">
        <v>1269</v>
      </c>
      <c r="B653" s="8" t="s">
        <v>2248</v>
      </c>
      <c r="C653" s="1">
        <v>100</v>
      </c>
      <c r="D653" s="1">
        <f t="shared" si="3"/>
        <v>1000</v>
      </c>
    </row>
    <row r="654" ht="30" spans="1:4">
      <c r="A654" s="1" t="s">
        <v>1271</v>
      </c>
      <c r="B654" s="8" t="s">
        <v>2249</v>
      </c>
      <c r="C654" s="1">
        <v>100</v>
      </c>
      <c r="D654" s="1">
        <f t="shared" si="3"/>
        <v>1000</v>
      </c>
    </row>
    <row r="655" ht="30" spans="1:4">
      <c r="A655" s="1" t="s">
        <v>1273</v>
      </c>
      <c r="B655" s="8" t="s">
        <v>2250</v>
      </c>
      <c r="C655" s="1">
        <v>100</v>
      </c>
      <c r="D655" s="1">
        <f t="shared" si="3"/>
        <v>1000</v>
      </c>
    </row>
    <row r="656" ht="30" spans="1:4">
      <c r="A656" s="1" t="s">
        <v>1275</v>
      </c>
      <c r="B656" s="8" t="s">
        <v>2251</v>
      </c>
      <c r="C656" s="1">
        <v>100</v>
      </c>
      <c r="D656" s="1">
        <f t="shared" si="3"/>
        <v>1000</v>
      </c>
    </row>
    <row r="657" ht="30" spans="1:4">
      <c r="A657" s="1" t="s">
        <v>1277</v>
      </c>
      <c r="B657" s="8" t="s">
        <v>2252</v>
      </c>
      <c r="C657" s="1">
        <v>100</v>
      </c>
      <c r="D657" s="1">
        <f t="shared" si="3"/>
        <v>1000</v>
      </c>
    </row>
    <row r="658" ht="30" spans="1:4">
      <c r="A658" s="1" t="s">
        <v>1279</v>
      </c>
      <c r="B658" s="8" t="s">
        <v>2253</v>
      </c>
      <c r="C658" s="1">
        <v>100</v>
      </c>
      <c r="D658" s="1">
        <f t="shared" si="3"/>
        <v>1000</v>
      </c>
    </row>
    <row r="659" ht="30" spans="1:4">
      <c r="A659" s="1" t="s">
        <v>1281</v>
      </c>
      <c r="B659" s="8" t="s">
        <v>2251</v>
      </c>
      <c r="C659" s="1">
        <v>100</v>
      </c>
      <c r="D659" s="1">
        <f t="shared" si="3"/>
        <v>1000</v>
      </c>
    </row>
    <row r="660" ht="30" spans="1:4">
      <c r="A660" s="1" t="s">
        <v>1282</v>
      </c>
      <c r="B660" s="8" t="s">
        <v>2254</v>
      </c>
      <c r="C660" s="1">
        <v>100</v>
      </c>
      <c r="D660" s="1">
        <f t="shared" si="3"/>
        <v>1000</v>
      </c>
    </row>
    <row r="661" ht="30" spans="1:4">
      <c r="A661" s="1" t="s">
        <v>1284</v>
      </c>
      <c r="B661" s="8" t="s">
        <v>2248</v>
      </c>
      <c r="C661" s="1">
        <v>100</v>
      </c>
      <c r="D661" s="1">
        <f t="shared" si="3"/>
        <v>1000</v>
      </c>
    </row>
    <row r="662" ht="30" spans="1:4">
      <c r="A662" s="1" t="s">
        <v>1285</v>
      </c>
      <c r="B662" s="8" t="s">
        <v>2255</v>
      </c>
      <c r="C662" s="1">
        <v>100</v>
      </c>
      <c r="D662" s="1">
        <f t="shared" si="3"/>
        <v>1000</v>
      </c>
    </row>
    <row r="663" ht="30" spans="1:4">
      <c r="A663" s="1" t="s">
        <v>1287</v>
      </c>
      <c r="B663" s="8" t="s">
        <v>2256</v>
      </c>
      <c r="C663" s="1">
        <v>100</v>
      </c>
      <c r="D663" s="1">
        <f t="shared" si="3"/>
        <v>1000</v>
      </c>
    </row>
    <row r="664" ht="30" spans="1:4">
      <c r="A664" s="1" t="s">
        <v>1289</v>
      </c>
      <c r="B664" s="8" t="s">
        <v>2257</v>
      </c>
      <c r="C664" s="1">
        <v>100</v>
      </c>
      <c r="D664" s="1">
        <f t="shared" si="3"/>
        <v>1000</v>
      </c>
    </row>
    <row r="665" ht="30" spans="1:4">
      <c r="A665" s="1" t="s">
        <v>1291</v>
      </c>
      <c r="B665" s="8" t="s">
        <v>2258</v>
      </c>
      <c r="C665" s="1">
        <v>100</v>
      </c>
      <c r="D665" s="1">
        <f t="shared" si="3"/>
        <v>1000</v>
      </c>
    </row>
    <row r="666" ht="30" spans="1:4">
      <c r="A666" s="1" t="s">
        <v>1293</v>
      </c>
      <c r="B666" s="8" t="s">
        <v>2259</v>
      </c>
      <c r="C666" s="1">
        <v>100</v>
      </c>
      <c r="D666" s="1">
        <f t="shared" si="3"/>
        <v>1000</v>
      </c>
    </row>
    <row r="667" ht="30" spans="1:4">
      <c r="A667" s="1" t="s">
        <v>1295</v>
      </c>
      <c r="B667" s="8" t="s">
        <v>2260</v>
      </c>
      <c r="C667" s="1">
        <v>100</v>
      </c>
      <c r="D667" s="1">
        <f t="shared" si="3"/>
        <v>1000</v>
      </c>
    </row>
    <row r="668" ht="30" spans="1:4">
      <c r="A668" s="1" t="s">
        <v>1297</v>
      </c>
      <c r="B668" s="8" t="s">
        <v>2229</v>
      </c>
      <c r="C668" s="1">
        <v>100</v>
      </c>
      <c r="D668" s="1">
        <f t="shared" si="3"/>
        <v>1000</v>
      </c>
    </row>
    <row r="669" ht="30" spans="1:4">
      <c r="A669" s="1" t="s">
        <v>1298</v>
      </c>
      <c r="B669" s="8" t="s">
        <v>2247</v>
      </c>
      <c r="C669" s="1">
        <v>100</v>
      </c>
      <c r="D669" s="1">
        <f t="shared" si="3"/>
        <v>1000</v>
      </c>
    </row>
    <row r="670" ht="30" spans="1:4">
      <c r="A670" s="1" t="s">
        <v>1299</v>
      </c>
      <c r="B670" s="8" t="s">
        <v>2249</v>
      </c>
      <c r="C670" s="1">
        <v>100</v>
      </c>
      <c r="D670" s="1">
        <f t="shared" si="3"/>
        <v>1000</v>
      </c>
    </row>
    <row r="671" ht="30" spans="1:4">
      <c r="A671" s="1" t="s">
        <v>1300</v>
      </c>
      <c r="B671" s="8" t="s">
        <v>2261</v>
      </c>
      <c r="C671" s="1">
        <v>100</v>
      </c>
      <c r="D671" s="1">
        <f t="shared" si="3"/>
        <v>1000</v>
      </c>
    </row>
    <row r="672" ht="30" spans="1:4">
      <c r="A672" s="1" t="s">
        <v>1302</v>
      </c>
      <c r="B672" s="8" t="s">
        <v>2262</v>
      </c>
      <c r="C672" s="1">
        <v>100</v>
      </c>
      <c r="D672" s="1">
        <f t="shared" si="3"/>
        <v>1000</v>
      </c>
    </row>
    <row r="673" ht="30" spans="1:4">
      <c r="A673" s="1" t="s">
        <v>1304</v>
      </c>
      <c r="B673" s="8" t="s">
        <v>2263</v>
      </c>
      <c r="C673" s="1">
        <v>100</v>
      </c>
      <c r="D673" s="1">
        <f t="shared" si="3"/>
        <v>1000</v>
      </c>
    </row>
    <row r="674" ht="30" spans="1:4">
      <c r="A674" s="1" t="s">
        <v>1306</v>
      </c>
      <c r="B674" s="8" t="s">
        <v>2264</v>
      </c>
      <c r="C674" s="1">
        <v>100</v>
      </c>
      <c r="D674" s="1">
        <f t="shared" si="3"/>
        <v>1000</v>
      </c>
    </row>
    <row r="675" ht="30" spans="1:4">
      <c r="A675" s="1" t="s">
        <v>1308</v>
      </c>
      <c r="B675" s="8" t="s">
        <v>2265</v>
      </c>
      <c r="C675" s="1">
        <v>100</v>
      </c>
      <c r="D675" s="1">
        <f t="shared" si="3"/>
        <v>1000</v>
      </c>
    </row>
    <row r="676" ht="30" spans="1:4">
      <c r="A676" s="1" t="s">
        <v>1310</v>
      </c>
      <c r="B676" s="8" t="s">
        <v>2266</v>
      </c>
      <c r="C676" s="1">
        <v>100</v>
      </c>
      <c r="D676" s="1">
        <f t="shared" si="3"/>
        <v>1000</v>
      </c>
    </row>
    <row r="677" ht="30" spans="1:4">
      <c r="A677" s="1" t="s">
        <v>1312</v>
      </c>
      <c r="B677" s="8" t="s">
        <v>2267</v>
      </c>
      <c r="C677" s="1">
        <v>100</v>
      </c>
      <c r="D677" s="1">
        <f t="shared" si="3"/>
        <v>1000</v>
      </c>
    </row>
    <row r="678" ht="30" spans="1:4">
      <c r="A678" s="1" t="s">
        <v>1314</v>
      </c>
      <c r="B678" s="8" t="s">
        <v>2268</v>
      </c>
      <c r="C678" s="1">
        <v>100</v>
      </c>
      <c r="D678" s="1">
        <f t="shared" si="3"/>
        <v>1000</v>
      </c>
    </row>
    <row r="679" ht="30" spans="1:4">
      <c r="A679" s="1" t="s">
        <v>1316</v>
      </c>
      <c r="B679" s="8" t="s">
        <v>2269</v>
      </c>
      <c r="C679" s="1">
        <v>100</v>
      </c>
      <c r="D679" s="1">
        <f t="shared" si="3"/>
        <v>1000</v>
      </c>
    </row>
    <row r="680" ht="30" spans="1:4">
      <c r="A680" s="1" t="s">
        <v>1318</v>
      </c>
      <c r="B680" s="8" t="s">
        <v>2270</v>
      </c>
      <c r="C680" s="1">
        <v>100</v>
      </c>
      <c r="D680" s="1">
        <f t="shared" si="3"/>
        <v>1000</v>
      </c>
    </row>
    <row r="681" ht="30" spans="1:4">
      <c r="A681" s="1" t="s">
        <v>1320</v>
      </c>
      <c r="B681" s="8" t="s">
        <v>2271</v>
      </c>
      <c r="C681" s="1">
        <v>100</v>
      </c>
      <c r="D681" s="1">
        <f t="shared" si="3"/>
        <v>1000</v>
      </c>
    </row>
    <row r="682" ht="30" spans="1:4">
      <c r="A682" s="1" t="s">
        <v>1322</v>
      </c>
      <c r="B682" s="8" t="s">
        <v>2260</v>
      </c>
      <c r="C682" s="1">
        <v>100</v>
      </c>
      <c r="D682" s="1">
        <f t="shared" si="3"/>
        <v>1000</v>
      </c>
    </row>
    <row r="683" ht="30" spans="1:4">
      <c r="A683" s="1" t="s">
        <v>1323</v>
      </c>
      <c r="B683" s="8" t="s">
        <v>2272</v>
      </c>
      <c r="C683" s="1">
        <v>100</v>
      </c>
      <c r="D683" s="1">
        <f t="shared" si="3"/>
        <v>1000</v>
      </c>
    </row>
    <row r="684" ht="30" spans="1:4">
      <c r="A684" s="1" t="s">
        <v>1325</v>
      </c>
      <c r="B684" s="8" t="s">
        <v>2273</v>
      </c>
      <c r="C684" s="1">
        <v>100</v>
      </c>
      <c r="D684" s="1">
        <f t="shared" si="3"/>
        <v>1000</v>
      </c>
    </row>
    <row r="685" ht="30" spans="1:4">
      <c r="A685" s="1" t="s">
        <v>1327</v>
      </c>
      <c r="B685" s="8" t="s">
        <v>2274</v>
      </c>
      <c r="C685" s="1">
        <v>100</v>
      </c>
      <c r="D685" s="1">
        <f t="shared" si="3"/>
        <v>1000</v>
      </c>
    </row>
    <row r="686" ht="30" spans="1:4">
      <c r="A686" s="1" t="s">
        <v>1329</v>
      </c>
      <c r="B686" s="8" t="s">
        <v>2275</v>
      </c>
      <c r="C686" s="1">
        <v>100</v>
      </c>
      <c r="D686" s="1">
        <f t="shared" si="3"/>
        <v>1000</v>
      </c>
    </row>
    <row r="687" ht="30" spans="1:4">
      <c r="A687" s="1" t="s">
        <v>1331</v>
      </c>
      <c r="B687" s="8" t="s">
        <v>2260</v>
      </c>
      <c r="C687" s="1">
        <v>100</v>
      </c>
      <c r="D687" s="1">
        <f t="shared" si="3"/>
        <v>1000</v>
      </c>
    </row>
    <row r="688" ht="30" spans="1:4">
      <c r="A688" s="1" t="s">
        <v>1332</v>
      </c>
      <c r="B688" s="8" t="s">
        <v>2260</v>
      </c>
      <c r="C688" s="1">
        <v>100</v>
      </c>
      <c r="D688" s="1">
        <f t="shared" si="3"/>
        <v>1000</v>
      </c>
    </row>
    <row r="689" ht="30" spans="1:4">
      <c r="A689" s="1" t="s">
        <v>1333</v>
      </c>
      <c r="B689" s="8" t="s">
        <v>2260</v>
      </c>
      <c r="C689" s="1">
        <v>100</v>
      </c>
      <c r="D689" s="1">
        <f t="shared" ref="D689:D752" si="4">C689*10</f>
        <v>1000</v>
      </c>
    </row>
    <row r="690" ht="30" spans="1:4">
      <c r="A690" s="1" t="s">
        <v>1334</v>
      </c>
      <c r="B690" s="8" t="s">
        <v>2260</v>
      </c>
      <c r="C690" s="1">
        <v>100</v>
      </c>
      <c r="D690" s="1">
        <f t="shared" si="4"/>
        <v>1000</v>
      </c>
    </row>
    <row r="691" ht="30" spans="1:4">
      <c r="A691" s="1" t="s">
        <v>1335</v>
      </c>
      <c r="B691" s="8" t="s">
        <v>2276</v>
      </c>
      <c r="C691" s="1">
        <v>100</v>
      </c>
      <c r="D691" s="1">
        <f t="shared" si="4"/>
        <v>1000</v>
      </c>
    </row>
    <row r="692" ht="30" spans="1:4">
      <c r="A692" s="1" t="s">
        <v>1337</v>
      </c>
      <c r="B692" s="8" t="s">
        <v>2277</v>
      </c>
      <c r="C692" s="1">
        <v>100</v>
      </c>
      <c r="D692" s="1">
        <f t="shared" si="4"/>
        <v>1000</v>
      </c>
    </row>
    <row r="693" ht="30" spans="1:4">
      <c r="A693" s="1" t="s">
        <v>1339</v>
      </c>
      <c r="B693" s="8" t="s">
        <v>2244</v>
      </c>
      <c r="C693" s="1">
        <v>100</v>
      </c>
      <c r="D693" s="1">
        <f t="shared" si="4"/>
        <v>1000</v>
      </c>
    </row>
    <row r="694" spans="1:4">
      <c r="A694" s="1" t="s">
        <v>1340</v>
      </c>
      <c r="B694" s="8" t="s">
        <v>2278</v>
      </c>
      <c r="C694" s="1">
        <v>100</v>
      </c>
      <c r="D694" s="1">
        <f t="shared" si="4"/>
        <v>1000</v>
      </c>
    </row>
    <row r="695" spans="1:4">
      <c r="A695" s="1" t="s">
        <v>1342</v>
      </c>
      <c r="B695" s="8" t="s">
        <v>2279</v>
      </c>
      <c r="C695" s="1">
        <v>100</v>
      </c>
      <c r="D695" s="1">
        <f t="shared" si="4"/>
        <v>1000</v>
      </c>
    </row>
    <row r="696" spans="1:4">
      <c r="A696" s="1" t="s">
        <v>1344</v>
      </c>
      <c r="B696" s="8" t="s">
        <v>2280</v>
      </c>
      <c r="C696" s="1">
        <v>100</v>
      </c>
      <c r="D696" s="1">
        <f t="shared" si="4"/>
        <v>1000</v>
      </c>
    </row>
    <row r="697" ht="30" spans="1:4">
      <c r="A697" s="1" t="s">
        <v>1346</v>
      </c>
      <c r="B697" s="8" t="s">
        <v>2281</v>
      </c>
      <c r="C697" s="1">
        <v>3</v>
      </c>
      <c r="D697" s="1">
        <f t="shared" si="4"/>
        <v>30</v>
      </c>
    </row>
    <row r="698" ht="30" spans="1:4">
      <c r="A698" s="1" t="s">
        <v>1348</v>
      </c>
      <c r="B698" s="8" t="s">
        <v>2282</v>
      </c>
      <c r="C698" s="1">
        <v>10</v>
      </c>
      <c r="D698" s="1">
        <f t="shared" si="4"/>
        <v>100</v>
      </c>
    </row>
    <row r="699" ht="30" spans="1:4">
      <c r="A699" s="1" t="s">
        <v>1350</v>
      </c>
      <c r="B699" s="8" t="s">
        <v>2283</v>
      </c>
      <c r="C699" s="1">
        <v>1</v>
      </c>
      <c r="D699" s="1">
        <f t="shared" si="4"/>
        <v>10</v>
      </c>
    </row>
    <row r="700" ht="30" spans="1:4">
      <c r="A700" s="1" t="s">
        <v>1352</v>
      </c>
      <c r="B700" s="8" t="s">
        <v>2284</v>
      </c>
      <c r="C700" s="1">
        <v>8.1</v>
      </c>
      <c r="D700" s="1">
        <f t="shared" si="4"/>
        <v>81</v>
      </c>
    </row>
    <row r="701" ht="30" spans="1:4">
      <c r="A701" s="1" t="s">
        <v>1354</v>
      </c>
      <c r="B701" s="8" t="s">
        <v>2285</v>
      </c>
      <c r="C701" s="1">
        <v>0.001</v>
      </c>
      <c r="D701" s="1">
        <f t="shared" si="4"/>
        <v>0.01</v>
      </c>
    </row>
    <row r="702" ht="30" spans="1:4">
      <c r="A702" s="1" t="s">
        <v>1356</v>
      </c>
      <c r="B702" s="8" t="s">
        <v>2286</v>
      </c>
      <c r="C702" s="1">
        <v>0.0005</v>
      </c>
      <c r="D702" s="1">
        <f t="shared" si="4"/>
        <v>0.005</v>
      </c>
    </row>
    <row r="703" ht="30" spans="1:4">
      <c r="A703" s="1" t="s">
        <v>1358</v>
      </c>
      <c r="B703" s="8" t="s">
        <v>2287</v>
      </c>
      <c r="C703" s="1">
        <v>1</v>
      </c>
      <c r="D703" s="1">
        <f t="shared" si="4"/>
        <v>10</v>
      </c>
    </row>
    <row r="704" ht="30" spans="1:4">
      <c r="A704" s="1" t="s">
        <v>1360</v>
      </c>
      <c r="B704" s="8" t="s">
        <v>2288</v>
      </c>
      <c r="C704" s="1">
        <v>1</v>
      </c>
      <c r="D704" s="1">
        <f t="shared" si="4"/>
        <v>10</v>
      </c>
    </row>
    <row r="705" ht="30" spans="1:4">
      <c r="A705" s="1" t="s">
        <v>1362</v>
      </c>
      <c r="B705" s="8" t="s">
        <v>2289</v>
      </c>
      <c r="C705" s="1">
        <v>1</v>
      </c>
      <c r="D705" s="1">
        <f t="shared" si="4"/>
        <v>10</v>
      </c>
    </row>
    <row r="706" ht="30" spans="1:4">
      <c r="A706" s="1" t="s">
        <v>1364</v>
      </c>
      <c r="B706" s="8" t="s">
        <v>2290</v>
      </c>
      <c r="C706" s="1">
        <v>8.1</v>
      </c>
      <c r="D706" s="1">
        <f t="shared" si="4"/>
        <v>81</v>
      </c>
    </row>
    <row r="707" spans="1:4">
      <c r="A707" s="1" t="s">
        <v>1366</v>
      </c>
      <c r="B707" s="8" t="s">
        <v>2291</v>
      </c>
      <c r="C707" s="1">
        <v>1</v>
      </c>
      <c r="D707" s="1">
        <f t="shared" si="4"/>
        <v>10</v>
      </c>
    </row>
    <row r="708" spans="1:4">
      <c r="A708" s="1" t="s">
        <v>1368</v>
      </c>
      <c r="B708" s="8" t="s">
        <v>2292</v>
      </c>
      <c r="C708" s="1">
        <v>1</v>
      </c>
      <c r="D708" s="1">
        <f t="shared" si="4"/>
        <v>10</v>
      </c>
    </row>
    <row r="709" spans="1:4">
      <c r="A709" s="1" t="s">
        <v>1370</v>
      </c>
      <c r="B709" s="8" t="s">
        <v>2293</v>
      </c>
      <c r="C709" s="1">
        <v>1</v>
      </c>
      <c r="D709" s="1">
        <f t="shared" si="4"/>
        <v>10</v>
      </c>
    </row>
    <row r="710" ht="30" spans="1:4">
      <c r="A710" s="1" t="s">
        <v>1372</v>
      </c>
      <c r="B710" s="8" t="s">
        <v>2294</v>
      </c>
      <c r="C710" s="1">
        <v>1</v>
      </c>
      <c r="D710" s="1">
        <f t="shared" si="4"/>
        <v>10</v>
      </c>
    </row>
    <row r="711" spans="1:4">
      <c r="A711" s="1" t="s">
        <v>1374</v>
      </c>
      <c r="B711" s="8" t="s">
        <v>2295</v>
      </c>
      <c r="C711" s="1">
        <v>1</v>
      </c>
      <c r="D711" s="1">
        <f t="shared" si="4"/>
        <v>10</v>
      </c>
    </row>
    <row r="712" spans="1:4">
      <c r="A712" s="1" t="s">
        <v>1376</v>
      </c>
      <c r="B712" s="8" t="s">
        <v>1377</v>
      </c>
      <c r="C712" s="1">
        <v>1</v>
      </c>
      <c r="D712" s="1">
        <f t="shared" si="4"/>
        <v>10</v>
      </c>
    </row>
    <row r="713" spans="1:4">
      <c r="A713" s="1" t="s">
        <v>1378</v>
      </c>
      <c r="B713" s="8" t="s">
        <v>2296</v>
      </c>
      <c r="C713" s="1">
        <v>1</v>
      </c>
      <c r="D713" s="1">
        <f t="shared" si="4"/>
        <v>10</v>
      </c>
    </row>
    <row r="714" spans="1:4">
      <c r="A714" s="1" t="s">
        <v>1380</v>
      </c>
      <c r="B714" s="8" t="s">
        <v>2297</v>
      </c>
      <c r="C714" s="1">
        <v>1</v>
      </c>
      <c r="D714" s="1">
        <f t="shared" si="4"/>
        <v>10</v>
      </c>
    </row>
    <row r="715" spans="1:4">
      <c r="A715" s="1" t="s">
        <v>1382</v>
      </c>
      <c r="B715" s="8" t="s">
        <v>2298</v>
      </c>
      <c r="C715" s="1">
        <v>1</v>
      </c>
      <c r="D715" s="1">
        <f t="shared" si="4"/>
        <v>10</v>
      </c>
    </row>
    <row r="716" spans="1:4">
      <c r="A716" s="1" t="s">
        <v>1384</v>
      </c>
      <c r="B716" s="8" t="s">
        <v>2299</v>
      </c>
      <c r="C716" s="1">
        <v>1</v>
      </c>
      <c r="D716" s="1">
        <f t="shared" si="4"/>
        <v>10</v>
      </c>
    </row>
    <row r="717" ht="30" spans="1:4">
      <c r="A717" s="1" t="s">
        <v>1386</v>
      </c>
      <c r="B717" s="8" t="s">
        <v>2300</v>
      </c>
      <c r="C717" s="1">
        <v>1</v>
      </c>
      <c r="D717" s="1">
        <f t="shared" si="4"/>
        <v>10</v>
      </c>
    </row>
    <row r="718" spans="1:4">
      <c r="A718" s="1" t="s">
        <v>1388</v>
      </c>
      <c r="B718" s="8" t="s">
        <v>2301</v>
      </c>
      <c r="C718" s="1">
        <v>1</v>
      </c>
      <c r="D718" s="1">
        <f t="shared" si="4"/>
        <v>10</v>
      </c>
    </row>
    <row r="719" spans="1:4">
      <c r="A719" s="1" t="s">
        <v>1390</v>
      </c>
      <c r="B719" s="8" t="s">
        <v>2302</v>
      </c>
      <c r="C719" s="1">
        <v>1</v>
      </c>
      <c r="D719" s="1">
        <f t="shared" si="4"/>
        <v>10</v>
      </c>
    </row>
    <row r="720" spans="1:4">
      <c r="A720" s="1" t="s">
        <v>1392</v>
      </c>
      <c r="B720" s="8" t="s">
        <v>2303</v>
      </c>
      <c r="C720" s="1">
        <v>1</v>
      </c>
      <c r="D720" s="1">
        <f t="shared" si="4"/>
        <v>10</v>
      </c>
    </row>
    <row r="721" ht="30" spans="1:4">
      <c r="A721" s="1" t="s">
        <v>1394</v>
      </c>
      <c r="B721" s="8" t="s">
        <v>2304</v>
      </c>
      <c r="C721" s="1">
        <v>0.001</v>
      </c>
      <c r="D721" s="1">
        <f t="shared" si="4"/>
        <v>0.01</v>
      </c>
    </row>
    <row r="722" ht="30" spans="1:4">
      <c r="A722" s="1" t="s">
        <v>1396</v>
      </c>
      <c r="B722" s="8" t="s">
        <v>2305</v>
      </c>
      <c r="C722" s="1">
        <v>0.001</v>
      </c>
      <c r="D722" s="1">
        <f t="shared" si="4"/>
        <v>0.01</v>
      </c>
    </row>
    <row r="723" spans="1:4">
      <c r="A723" s="1" t="s">
        <v>1398</v>
      </c>
      <c r="B723" s="8" t="s">
        <v>2306</v>
      </c>
      <c r="C723" s="1">
        <v>0.001</v>
      </c>
      <c r="D723" s="1">
        <f t="shared" si="4"/>
        <v>0.01</v>
      </c>
    </row>
    <row r="724" spans="1:4">
      <c r="A724" s="1" t="s">
        <v>1400</v>
      </c>
      <c r="B724" s="8" t="s">
        <v>2307</v>
      </c>
      <c r="C724" s="1">
        <v>0.001</v>
      </c>
      <c r="D724" s="1">
        <f t="shared" si="4"/>
        <v>0.01</v>
      </c>
    </row>
    <row r="725" ht="30" spans="1:4">
      <c r="A725" s="1" t="s">
        <v>1402</v>
      </c>
      <c r="B725" s="8" t="s">
        <v>2308</v>
      </c>
      <c r="C725" s="1">
        <v>0.001</v>
      </c>
      <c r="D725" s="1">
        <f t="shared" si="4"/>
        <v>0.01</v>
      </c>
    </row>
    <row r="726" spans="1:4">
      <c r="A726" s="1" t="s">
        <v>1404</v>
      </c>
      <c r="B726" s="8" t="s">
        <v>2309</v>
      </c>
      <c r="C726" s="1">
        <v>0.001</v>
      </c>
      <c r="D726" s="1">
        <f t="shared" si="4"/>
        <v>0.01</v>
      </c>
    </row>
    <row r="727" ht="30" spans="1:4">
      <c r="A727" s="1" t="s">
        <v>1406</v>
      </c>
      <c r="B727" s="8" t="s">
        <v>2310</v>
      </c>
      <c r="C727" s="1">
        <v>1</v>
      </c>
      <c r="D727" s="1">
        <f t="shared" si="4"/>
        <v>10</v>
      </c>
    </row>
    <row r="728" ht="30" spans="1:4">
      <c r="A728" s="1" t="s">
        <v>1408</v>
      </c>
      <c r="B728" s="8" t="s">
        <v>2311</v>
      </c>
      <c r="C728" s="1">
        <v>1</v>
      </c>
      <c r="D728" s="1">
        <f t="shared" si="4"/>
        <v>10</v>
      </c>
    </row>
    <row r="729" ht="30" spans="1:4">
      <c r="A729" s="1" t="s">
        <v>1410</v>
      </c>
      <c r="B729" s="8" t="s">
        <v>2312</v>
      </c>
      <c r="C729" s="1">
        <v>1</v>
      </c>
      <c r="D729" s="1">
        <f t="shared" si="4"/>
        <v>10</v>
      </c>
    </row>
    <row r="730" ht="30" spans="1:4">
      <c r="A730" s="1" t="s">
        <v>1412</v>
      </c>
      <c r="B730" s="8" t="s">
        <v>2313</v>
      </c>
      <c r="C730" s="1">
        <v>1</v>
      </c>
      <c r="D730" s="1">
        <f t="shared" si="4"/>
        <v>10</v>
      </c>
    </row>
    <row r="731" ht="30" spans="1:4">
      <c r="A731" s="1" t="s">
        <v>1414</v>
      </c>
      <c r="B731" s="8" t="s">
        <v>2314</v>
      </c>
      <c r="C731" s="1">
        <v>1</v>
      </c>
      <c r="D731" s="1">
        <f t="shared" si="4"/>
        <v>10</v>
      </c>
    </row>
    <row r="732" ht="30" spans="1:4">
      <c r="A732" s="1" t="s">
        <v>1416</v>
      </c>
      <c r="B732" s="8" t="s">
        <v>2315</v>
      </c>
      <c r="C732" s="1">
        <v>1</v>
      </c>
      <c r="D732" s="1">
        <f t="shared" si="4"/>
        <v>10</v>
      </c>
    </row>
    <row r="733" ht="30" spans="1:4">
      <c r="A733" s="1" t="s">
        <v>1418</v>
      </c>
      <c r="B733" s="8" t="s">
        <v>2316</v>
      </c>
      <c r="C733" s="1">
        <v>1</v>
      </c>
      <c r="D733" s="1">
        <f t="shared" si="4"/>
        <v>10</v>
      </c>
    </row>
    <row r="734" ht="30" spans="1:4">
      <c r="A734" s="1" t="s">
        <v>1420</v>
      </c>
      <c r="B734" s="8" t="s">
        <v>2317</v>
      </c>
      <c r="C734" s="1">
        <v>1</v>
      </c>
      <c r="D734" s="1">
        <f t="shared" si="4"/>
        <v>10</v>
      </c>
    </row>
    <row r="735" ht="30" spans="1:4">
      <c r="A735" s="1" t="s">
        <v>1422</v>
      </c>
      <c r="B735" s="8" t="s">
        <v>2318</v>
      </c>
      <c r="C735" s="1">
        <v>1</v>
      </c>
      <c r="D735" s="1">
        <f t="shared" si="4"/>
        <v>10</v>
      </c>
    </row>
    <row r="736" ht="30" spans="1:4">
      <c r="A736" s="1" t="s">
        <v>1424</v>
      </c>
      <c r="B736" s="8" t="s">
        <v>2319</v>
      </c>
      <c r="C736" s="1">
        <v>1</v>
      </c>
      <c r="D736" s="1">
        <f t="shared" si="4"/>
        <v>10</v>
      </c>
    </row>
    <row r="737" ht="30" spans="1:4">
      <c r="A737" s="1" t="s">
        <v>1426</v>
      </c>
      <c r="B737" s="8" t="s">
        <v>2320</v>
      </c>
      <c r="C737" s="1">
        <v>1</v>
      </c>
      <c r="D737" s="1">
        <f t="shared" si="4"/>
        <v>10</v>
      </c>
    </row>
    <row r="738" ht="30" spans="1:4">
      <c r="A738" s="1" t="s">
        <v>1428</v>
      </c>
      <c r="B738" s="8" t="s">
        <v>2321</v>
      </c>
      <c r="C738" s="1">
        <v>1</v>
      </c>
      <c r="D738" s="1">
        <f t="shared" si="4"/>
        <v>10</v>
      </c>
    </row>
    <row r="739" ht="30" spans="1:4">
      <c r="A739" s="1" t="s">
        <v>1430</v>
      </c>
      <c r="B739" s="8" t="s">
        <v>2322</v>
      </c>
      <c r="C739" s="1">
        <v>1</v>
      </c>
      <c r="D739" s="1">
        <f t="shared" si="4"/>
        <v>10</v>
      </c>
    </row>
    <row r="740" ht="30" spans="1:4">
      <c r="A740" s="1" t="s">
        <v>1432</v>
      </c>
      <c r="B740" s="8" t="s">
        <v>2323</v>
      </c>
      <c r="C740" s="1">
        <v>68</v>
      </c>
      <c r="D740" s="1">
        <f t="shared" si="4"/>
        <v>680</v>
      </c>
    </row>
    <row r="741" ht="30" spans="1:4">
      <c r="A741" s="1" t="s">
        <v>1434</v>
      </c>
      <c r="B741" s="8" t="s">
        <v>2324</v>
      </c>
      <c r="C741" s="1">
        <v>30</v>
      </c>
      <c r="D741" s="1">
        <f t="shared" si="4"/>
        <v>300</v>
      </c>
    </row>
    <row r="742" ht="30" spans="1:4">
      <c r="A742" s="1" t="s">
        <v>1436</v>
      </c>
      <c r="B742" s="8" t="s">
        <v>2325</v>
      </c>
      <c r="C742" s="1">
        <v>9.8</v>
      </c>
      <c r="D742" s="1">
        <f t="shared" si="4"/>
        <v>98</v>
      </c>
    </row>
    <row r="743" ht="30" spans="1:4">
      <c r="A743" s="1" t="s">
        <v>1438</v>
      </c>
      <c r="B743" s="8" t="s">
        <v>2326</v>
      </c>
      <c r="C743" s="1">
        <v>19.8</v>
      </c>
      <c r="D743" s="1">
        <f t="shared" si="4"/>
        <v>198</v>
      </c>
    </row>
    <row r="744" spans="1:4">
      <c r="A744" s="1" t="s">
        <v>1440</v>
      </c>
      <c r="B744" s="8" t="s">
        <v>2327</v>
      </c>
      <c r="C744" s="1">
        <v>1</v>
      </c>
      <c r="D744" s="1">
        <f t="shared" si="4"/>
        <v>10</v>
      </c>
    </row>
    <row r="745" spans="1:4">
      <c r="A745" s="1" t="s">
        <v>1442</v>
      </c>
      <c r="B745" s="8" t="s">
        <v>2328</v>
      </c>
      <c r="C745" s="1">
        <v>1</v>
      </c>
      <c r="D745" s="1">
        <f t="shared" si="4"/>
        <v>10</v>
      </c>
    </row>
    <row r="746" ht="30" spans="1:4">
      <c r="A746" s="1" t="s">
        <v>1444</v>
      </c>
      <c r="B746" s="8" t="s">
        <v>2329</v>
      </c>
      <c r="C746" s="1">
        <v>1</v>
      </c>
      <c r="D746" s="1">
        <f t="shared" si="4"/>
        <v>10</v>
      </c>
    </row>
    <row r="747" ht="30" spans="1:4">
      <c r="A747" s="1" t="s">
        <v>1446</v>
      </c>
      <c r="B747" s="8" t="s">
        <v>2330</v>
      </c>
      <c r="C747" s="1">
        <v>1</v>
      </c>
      <c r="D747" s="1">
        <f t="shared" si="4"/>
        <v>10</v>
      </c>
    </row>
    <row r="748" spans="1:4">
      <c r="A748" s="1" t="s">
        <v>1448</v>
      </c>
      <c r="B748" s="8" t="s">
        <v>2331</v>
      </c>
      <c r="C748" s="1">
        <v>0.2</v>
      </c>
      <c r="D748" s="1">
        <f t="shared" si="4"/>
        <v>2</v>
      </c>
    </row>
    <row r="749" spans="1:4">
      <c r="A749" s="1" t="s">
        <v>1450</v>
      </c>
      <c r="B749" s="8" t="s">
        <v>2332</v>
      </c>
      <c r="C749" s="1">
        <v>0.4</v>
      </c>
      <c r="D749" s="1">
        <f t="shared" si="4"/>
        <v>4</v>
      </c>
    </row>
    <row r="750" spans="1:4">
      <c r="A750" s="1" t="s">
        <v>1452</v>
      </c>
      <c r="B750" s="8" t="s">
        <v>2333</v>
      </c>
      <c r="C750" s="1">
        <v>0.6</v>
      </c>
      <c r="D750" s="1">
        <f t="shared" si="4"/>
        <v>6</v>
      </c>
    </row>
    <row r="751" spans="1:4">
      <c r="A751" s="1" t="s">
        <v>1454</v>
      </c>
      <c r="B751" s="8" t="s">
        <v>2334</v>
      </c>
      <c r="C751" s="1">
        <v>0.8</v>
      </c>
      <c r="D751" s="1">
        <f t="shared" si="4"/>
        <v>8</v>
      </c>
    </row>
    <row r="752" spans="1:4">
      <c r="A752" s="1" t="s">
        <v>1456</v>
      </c>
      <c r="B752" s="8" t="s">
        <v>2335</v>
      </c>
      <c r="C752" s="1">
        <v>0.1</v>
      </c>
      <c r="D752" s="1">
        <f t="shared" si="4"/>
        <v>1</v>
      </c>
    </row>
    <row r="753" ht="30" spans="1:4">
      <c r="A753" s="1" t="s">
        <v>1458</v>
      </c>
      <c r="B753" s="8" t="s">
        <v>2336</v>
      </c>
      <c r="C753" s="1">
        <v>0.0005</v>
      </c>
      <c r="D753" s="1">
        <f t="shared" ref="D753:D816" si="5">C753*10</f>
        <v>0.005</v>
      </c>
    </row>
    <row r="754" ht="30" spans="1:4">
      <c r="A754" s="1" t="s">
        <v>1460</v>
      </c>
      <c r="B754" s="8" t="s">
        <v>2337</v>
      </c>
      <c r="C754" s="1">
        <v>0.0005</v>
      </c>
      <c r="D754" s="1">
        <f t="shared" si="5"/>
        <v>0.005</v>
      </c>
    </row>
    <row r="755" ht="30" spans="1:4">
      <c r="A755" s="1" t="s">
        <v>1462</v>
      </c>
      <c r="B755" s="8" t="s">
        <v>2338</v>
      </c>
      <c r="C755" s="1">
        <v>0.0005</v>
      </c>
      <c r="D755" s="1">
        <f t="shared" si="5"/>
        <v>0.005</v>
      </c>
    </row>
    <row r="756" ht="30" spans="1:4">
      <c r="A756" s="1" t="s">
        <v>1464</v>
      </c>
      <c r="B756" s="8" t="s">
        <v>2339</v>
      </c>
      <c r="C756" s="1">
        <v>0.0005</v>
      </c>
      <c r="D756" s="1">
        <f t="shared" si="5"/>
        <v>0.005</v>
      </c>
    </row>
    <row r="757" spans="1:4">
      <c r="A757" s="1" t="s">
        <v>1466</v>
      </c>
      <c r="B757" s="8" t="s">
        <v>2340</v>
      </c>
      <c r="C757" s="1">
        <v>0.0005</v>
      </c>
      <c r="D757" s="1">
        <f t="shared" si="5"/>
        <v>0.005</v>
      </c>
    </row>
    <row r="758" spans="1:4">
      <c r="A758" s="1" t="s">
        <v>1468</v>
      </c>
      <c r="B758" s="8" t="s">
        <v>2341</v>
      </c>
      <c r="C758" s="1">
        <v>0.0005</v>
      </c>
      <c r="D758" s="1">
        <f t="shared" si="5"/>
        <v>0.005</v>
      </c>
    </row>
    <row r="759" spans="1:4">
      <c r="A759" s="1" t="s">
        <v>1470</v>
      </c>
      <c r="B759" s="8" t="s">
        <v>2342</v>
      </c>
      <c r="C759" s="1">
        <v>0.0005</v>
      </c>
      <c r="D759" s="1">
        <f t="shared" si="5"/>
        <v>0.005</v>
      </c>
    </row>
    <row r="760" ht="30" spans="1:4">
      <c r="A760" s="1" t="s">
        <v>1472</v>
      </c>
      <c r="B760" s="8" t="s">
        <v>2343</v>
      </c>
      <c r="C760" s="1">
        <v>0.0005</v>
      </c>
      <c r="D760" s="1">
        <f t="shared" si="5"/>
        <v>0.005</v>
      </c>
    </row>
    <row r="761" spans="1:4">
      <c r="A761" s="1" t="s">
        <v>1474</v>
      </c>
      <c r="B761" s="8" t="s">
        <v>1475</v>
      </c>
      <c r="C761" s="1">
        <v>0.0005</v>
      </c>
      <c r="D761" s="1">
        <f t="shared" si="5"/>
        <v>0.005</v>
      </c>
    </row>
    <row r="762" ht="30" spans="1:4">
      <c r="A762" s="1" t="s">
        <v>1476</v>
      </c>
      <c r="B762" s="8" t="s">
        <v>2344</v>
      </c>
      <c r="C762" s="1">
        <v>0.0005</v>
      </c>
      <c r="D762" s="1">
        <f t="shared" si="5"/>
        <v>0.005</v>
      </c>
    </row>
    <row r="763" spans="1:4">
      <c r="A763" s="1" t="s">
        <v>1478</v>
      </c>
      <c r="B763" s="8" t="s">
        <v>2345</v>
      </c>
      <c r="C763" s="1">
        <v>0.0005</v>
      </c>
      <c r="D763" s="1">
        <f t="shared" si="5"/>
        <v>0.005</v>
      </c>
    </row>
    <row r="764" spans="1:4">
      <c r="A764" s="1" t="s">
        <v>1480</v>
      </c>
      <c r="B764" s="8" t="s">
        <v>2346</v>
      </c>
      <c r="C764" s="1">
        <v>0.0005</v>
      </c>
      <c r="D764" s="1">
        <f t="shared" si="5"/>
        <v>0.005</v>
      </c>
    </row>
    <row r="765" spans="1:4">
      <c r="A765" s="1" t="s">
        <v>1482</v>
      </c>
      <c r="B765" s="8" t="s">
        <v>2347</v>
      </c>
      <c r="C765" s="1">
        <v>1</v>
      </c>
      <c r="D765" s="1">
        <f t="shared" si="5"/>
        <v>10</v>
      </c>
    </row>
    <row r="766" spans="1:4">
      <c r="A766" s="1" t="s">
        <v>1484</v>
      </c>
      <c r="B766" s="8" t="s">
        <v>2348</v>
      </c>
      <c r="C766" s="1">
        <v>1</v>
      </c>
      <c r="D766" s="1">
        <f t="shared" si="5"/>
        <v>10</v>
      </c>
    </row>
    <row r="767" ht="30" spans="1:4">
      <c r="A767" s="1" t="s">
        <v>1486</v>
      </c>
      <c r="B767" s="8" t="s">
        <v>2349</v>
      </c>
      <c r="C767" s="1">
        <v>1</v>
      </c>
      <c r="D767" s="1">
        <f t="shared" si="5"/>
        <v>10</v>
      </c>
    </row>
    <row r="768" spans="1:4">
      <c r="A768" s="1" t="s">
        <v>1488</v>
      </c>
      <c r="B768" s="8" t="s">
        <v>2350</v>
      </c>
      <c r="C768" s="1">
        <v>1</v>
      </c>
      <c r="D768" s="1">
        <f t="shared" si="5"/>
        <v>10</v>
      </c>
    </row>
    <row r="769" ht="30" spans="1:4">
      <c r="A769" s="1" t="s">
        <v>1490</v>
      </c>
      <c r="B769" s="8" t="s">
        <v>2351</v>
      </c>
      <c r="C769" s="1">
        <v>1</v>
      </c>
      <c r="D769" s="1">
        <f t="shared" si="5"/>
        <v>10</v>
      </c>
    </row>
    <row r="770" spans="1:4">
      <c r="A770" s="1" t="s">
        <v>1492</v>
      </c>
      <c r="B770" s="8" t="s">
        <v>2352</v>
      </c>
      <c r="C770" s="1">
        <v>1</v>
      </c>
      <c r="D770" s="1">
        <f t="shared" si="5"/>
        <v>10</v>
      </c>
    </row>
    <row r="771" spans="1:4">
      <c r="A771" s="1" t="s">
        <v>1494</v>
      </c>
      <c r="B771" s="8" t="s">
        <v>2353</v>
      </c>
      <c r="C771" s="1">
        <v>1</v>
      </c>
      <c r="D771" s="1">
        <f t="shared" si="5"/>
        <v>10</v>
      </c>
    </row>
    <row r="772" ht="30" spans="1:4">
      <c r="A772" s="1" t="s">
        <v>1496</v>
      </c>
      <c r="B772" s="8" t="s">
        <v>2354</v>
      </c>
      <c r="C772" s="1">
        <v>1</v>
      </c>
      <c r="D772" s="1">
        <f t="shared" si="5"/>
        <v>10</v>
      </c>
    </row>
    <row r="773" ht="30" spans="1:4">
      <c r="A773" s="1" t="s">
        <v>1498</v>
      </c>
      <c r="B773" s="8" t="s">
        <v>2355</v>
      </c>
      <c r="C773" s="1">
        <v>1</v>
      </c>
      <c r="D773" s="1">
        <f t="shared" si="5"/>
        <v>10</v>
      </c>
    </row>
    <row r="774" spans="1:4">
      <c r="A774" s="1" t="s">
        <v>1500</v>
      </c>
      <c r="B774" s="8" t="s">
        <v>2356</v>
      </c>
      <c r="C774" s="1">
        <v>1</v>
      </c>
      <c r="D774" s="1">
        <f t="shared" si="5"/>
        <v>10</v>
      </c>
    </row>
    <row r="775" spans="1:4">
      <c r="A775" s="1" t="s">
        <v>1502</v>
      </c>
      <c r="B775" s="8" t="s">
        <v>2356</v>
      </c>
      <c r="C775" s="1">
        <v>1</v>
      </c>
      <c r="D775" s="1">
        <f t="shared" si="5"/>
        <v>10</v>
      </c>
    </row>
    <row r="776" ht="30" spans="1:4">
      <c r="A776" s="1" t="s">
        <v>1503</v>
      </c>
      <c r="B776" s="8" t="s">
        <v>2357</v>
      </c>
      <c r="C776" s="1">
        <v>1</v>
      </c>
      <c r="D776" s="1">
        <f t="shared" si="5"/>
        <v>10</v>
      </c>
    </row>
    <row r="777" spans="1:4">
      <c r="A777" s="1" t="s">
        <v>1505</v>
      </c>
      <c r="B777" s="8" t="s">
        <v>2358</v>
      </c>
      <c r="C777" s="1">
        <v>1</v>
      </c>
      <c r="D777" s="1">
        <f t="shared" si="5"/>
        <v>10</v>
      </c>
    </row>
    <row r="778" spans="1:4">
      <c r="A778" s="1" t="s">
        <v>1507</v>
      </c>
      <c r="B778" s="8" t="s">
        <v>2359</v>
      </c>
      <c r="C778" s="1">
        <v>1</v>
      </c>
      <c r="D778" s="1">
        <f t="shared" si="5"/>
        <v>10</v>
      </c>
    </row>
    <row r="779" spans="1:4">
      <c r="A779" s="1" t="s">
        <v>1509</v>
      </c>
      <c r="B779" s="8" t="s">
        <v>2360</v>
      </c>
      <c r="C779" s="1">
        <v>1</v>
      </c>
      <c r="D779" s="1">
        <f t="shared" si="5"/>
        <v>10</v>
      </c>
    </row>
    <row r="780" spans="1:4">
      <c r="A780" s="1" t="s">
        <v>1511</v>
      </c>
      <c r="B780" s="8" t="s">
        <v>2361</v>
      </c>
      <c r="C780" s="1">
        <v>1</v>
      </c>
      <c r="D780" s="1">
        <f t="shared" si="5"/>
        <v>10</v>
      </c>
    </row>
    <row r="781" ht="30" spans="1:4">
      <c r="A781" s="1" t="s">
        <v>1513</v>
      </c>
      <c r="B781" s="8" t="s">
        <v>2362</v>
      </c>
      <c r="C781" s="1">
        <v>1</v>
      </c>
      <c r="D781" s="1">
        <f t="shared" si="5"/>
        <v>10</v>
      </c>
    </row>
    <row r="782" spans="1:4">
      <c r="A782" s="1" t="s">
        <v>1515</v>
      </c>
      <c r="B782" s="8" t="s">
        <v>2363</v>
      </c>
      <c r="C782" s="1">
        <v>1</v>
      </c>
      <c r="D782" s="1">
        <f t="shared" si="5"/>
        <v>10</v>
      </c>
    </row>
    <row r="783" ht="30" spans="1:4">
      <c r="A783" s="1" t="s">
        <v>1517</v>
      </c>
      <c r="B783" s="8" t="s">
        <v>2364</v>
      </c>
      <c r="C783" s="1">
        <v>1</v>
      </c>
      <c r="D783" s="1">
        <f t="shared" si="5"/>
        <v>10</v>
      </c>
    </row>
    <row r="784" spans="1:4">
      <c r="A784" s="1" t="s">
        <v>1519</v>
      </c>
      <c r="B784" s="8" t="s">
        <v>1520</v>
      </c>
      <c r="C784" s="1">
        <v>1</v>
      </c>
      <c r="D784" s="1">
        <f t="shared" si="5"/>
        <v>10</v>
      </c>
    </row>
    <row r="785" spans="1:4">
      <c r="A785" s="1" t="s">
        <v>1521</v>
      </c>
      <c r="B785" s="8" t="s">
        <v>1522</v>
      </c>
      <c r="C785" s="1">
        <v>1</v>
      </c>
      <c r="D785" s="1">
        <f t="shared" si="5"/>
        <v>10</v>
      </c>
    </row>
    <row r="786" spans="1:4">
      <c r="A786" s="1" t="s">
        <v>1523</v>
      </c>
      <c r="B786" s="8" t="s">
        <v>2365</v>
      </c>
      <c r="C786" s="1">
        <v>1</v>
      </c>
      <c r="D786" s="1">
        <f t="shared" si="5"/>
        <v>10</v>
      </c>
    </row>
    <row r="787" ht="30" spans="1:4">
      <c r="A787" s="1" t="s">
        <v>1525</v>
      </c>
      <c r="B787" s="8" t="s">
        <v>1526</v>
      </c>
      <c r="C787" s="1">
        <v>1</v>
      </c>
      <c r="D787" s="1">
        <f t="shared" si="5"/>
        <v>10</v>
      </c>
    </row>
    <row r="788" ht="30" spans="1:4">
      <c r="A788" s="1" t="s">
        <v>1527</v>
      </c>
      <c r="B788" s="8" t="s">
        <v>2366</v>
      </c>
      <c r="C788" s="1">
        <v>1</v>
      </c>
      <c r="D788" s="1">
        <f t="shared" si="5"/>
        <v>10</v>
      </c>
    </row>
    <row r="789" ht="30" spans="1:4">
      <c r="A789" s="1" t="s">
        <v>1529</v>
      </c>
      <c r="B789" s="8" t="s">
        <v>2367</v>
      </c>
      <c r="C789" s="1">
        <v>1</v>
      </c>
      <c r="D789" s="1">
        <f t="shared" si="5"/>
        <v>10</v>
      </c>
    </row>
    <row r="790" ht="30" spans="1:4">
      <c r="A790" s="1" t="s">
        <v>1531</v>
      </c>
      <c r="B790" s="8" t="s">
        <v>2368</v>
      </c>
      <c r="C790" s="1">
        <v>1</v>
      </c>
      <c r="D790" s="1">
        <f t="shared" si="5"/>
        <v>10</v>
      </c>
    </row>
    <row r="791" ht="30" spans="1:4">
      <c r="A791" s="1" t="s">
        <v>1533</v>
      </c>
      <c r="B791" s="8" t="s">
        <v>2369</v>
      </c>
      <c r="C791" s="1">
        <v>1</v>
      </c>
      <c r="D791" s="1">
        <f t="shared" si="5"/>
        <v>10</v>
      </c>
    </row>
    <row r="792" spans="1:4">
      <c r="A792" s="1" t="s">
        <v>1535</v>
      </c>
      <c r="B792" s="8" t="s">
        <v>2370</v>
      </c>
      <c r="C792" s="1">
        <v>1</v>
      </c>
      <c r="D792" s="1">
        <f t="shared" si="5"/>
        <v>10</v>
      </c>
    </row>
    <row r="793" ht="30" spans="1:4">
      <c r="A793" s="1" t="s">
        <v>1537</v>
      </c>
      <c r="B793" s="8" t="s">
        <v>2371</v>
      </c>
      <c r="C793" s="1">
        <v>1</v>
      </c>
      <c r="D793" s="1">
        <f t="shared" si="5"/>
        <v>10</v>
      </c>
    </row>
    <row r="794" spans="1:4">
      <c r="A794" s="1" t="s">
        <v>1539</v>
      </c>
      <c r="B794" s="8" t="s">
        <v>2372</v>
      </c>
      <c r="C794" s="1">
        <v>1</v>
      </c>
      <c r="D794" s="1">
        <f t="shared" si="5"/>
        <v>10</v>
      </c>
    </row>
    <row r="795" spans="1:4">
      <c r="A795" s="1" t="s">
        <v>1541</v>
      </c>
      <c r="B795" s="8" t="s">
        <v>2373</v>
      </c>
      <c r="C795" s="1">
        <v>1</v>
      </c>
      <c r="D795" s="1">
        <f t="shared" si="5"/>
        <v>10</v>
      </c>
    </row>
    <row r="796" ht="30" spans="1:4">
      <c r="A796" s="1" t="s">
        <v>1543</v>
      </c>
      <c r="B796" s="8" t="s">
        <v>2374</v>
      </c>
      <c r="C796" s="1">
        <v>1</v>
      </c>
      <c r="D796" s="1">
        <f t="shared" si="5"/>
        <v>10</v>
      </c>
    </row>
    <row r="797" spans="1:4">
      <c r="A797" s="1" t="s">
        <v>1545</v>
      </c>
      <c r="B797" s="8" t="s">
        <v>2352</v>
      </c>
      <c r="C797" s="1">
        <v>1</v>
      </c>
      <c r="D797" s="1">
        <f t="shared" si="5"/>
        <v>10</v>
      </c>
    </row>
    <row r="798" ht="30" spans="1:4">
      <c r="A798" s="1" t="s">
        <v>1546</v>
      </c>
      <c r="B798" s="8" t="s">
        <v>2357</v>
      </c>
      <c r="C798" s="1">
        <v>1</v>
      </c>
      <c r="D798" s="1">
        <f t="shared" si="5"/>
        <v>10</v>
      </c>
    </row>
    <row r="799" spans="1:4">
      <c r="A799" s="1" t="s">
        <v>1547</v>
      </c>
      <c r="B799" s="8" t="s">
        <v>2363</v>
      </c>
      <c r="C799" s="1">
        <v>1</v>
      </c>
      <c r="D799" s="1">
        <f t="shared" si="5"/>
        <v>10</v>
      </c>
    </row>
    <row r="800" spans="1:4">
      <c r="A800" s="1" t="s">
        <v>1548</v>
      </c>
      <c r="B800" s="8" t="s">
        <v>2375</v>
      </c>
      <c r="C800" s="1">
        <v>1</v>
      </c>
      <c r="D800" s="1">
        <f t="shared" si="5"/>
        <v>10</v>
      </c>
    </row>
    <row r="801" ht="30" spans="1:4">
      <c r="A801" s="1" t="s">
        <v>1550</v>
      </c>
      <c r="B801" s="8" t="s">
        <v>2376</v>
      </c>
      <c r="C801" s="1">
        <v>1</v>
      </c>
      <c r="D801" s="1">
        <f t="shared" si="5"/>
        <v>10</v>
      </c>
    </row>
    <row r="802" ht="30" spans="1:4">
      <c r="A802" s="1" t="s">
        <v>1552</v>
      </c>
      <c r="B802" s="8" t="s">
        <v>2377</v>
      </c>
      <c r="C802" s="1">
        <v>1</v>
      </c>
      <c r="D802" s="1">
        <f t="shared" si="5"/>
        <v>10</v>
      </c>
    </row>
    <row r="803" ht="30" spans="1:4">
      <c r="A803" s="1" t="s">
        <v>1554</v>
      </c>
      <c r="B803" s="8" t="s">
        <v>2378</v>
      </c>
      <c r="C803" s="1">
        <v>1</v>
      </c>
      <c r="D803" s="1">
        <f t="shared" si="5"/>
        <v>10</v>
      </c>
    </row>
    <row r="804" spans="1:4">
      <c r="A804" s="1" t="s">
        <v>1556</v>
      </c>
      <c r="B804" s="8" t="s">
        <v>2379</v>
      </c>
      <c r="C804" s="1">
        <v>1</v>
      </c>
      <c r="D804" s="1">
        <f t="shared" si="5"/>
        <v>10</v>
      </c>
    </row>
    <row r="805" spans="1:4">
      <c r="A805" s="1" t="s">
        <v>1558</v>
      </c>
      <c r="B805" s="8" t="s">
        <v>2380</v>
      </c>
      <c r="C805" s="1">
        <v>1</v>
      </c>
      <c r="D805" s="1">
        <f t="shared" si="5"/>
        <v>10</v>
      </c>
    </row>
    <row r="806" ht="30" spans="1:4">
      <c r="A806" s="1" t="s">
        <v>1560</v>
      </c>
      <c r="B806" s="8" t="s">
        <v>1561</v>
      </c>
      <c r="C806" s="1">
        <v>1</v>
      </c>
      <c r="D806" s="1">
        <f t="shared" si="5"/>
        <v>10</v>
      </c>
    </row>
    <row r="807" ht="30" spans="1:4">
      <c r="A807" s="1" t="s">
        <v>1562</v>
      </c>
      <c r="B807" s="8" t="s">
        <v>2381</v>
      </c>
      <c r="C807" s="1">
        <v>1</v>
      </c>
      <c r="D807" s="1">
        <f t="shared" si="5"/>
        <v>10</v>
      </c>
    </row>
    <row r="808" ht="30" spans="1:4">
      <c r="A808" s="1" t="s">
        <v>1564</v>
      </c>
      <c r="B808" s="8" t="s">
        <v>2382</v>
      </c>
      <c r="C808" s="1">
        <v>1</v>
      </c>
      <c r="D808" s="1">
        <f t="shared" si="5"/>
        <v>10</v>
      </c>
    </row>
    <row r="809" ht="30" spans="1:4">
      <c r="A809" s="1" t="s">
        <v>1566</v>
      </c>
      <c r="B809" s="8" t="s">
        <v>2383</v>
      </c>
      <c r="C809" s="1">
        <v>1</v>
      </c>
      <c r="D809" s="1">
        <f t="shared" si="5"/>
        <v>10</v>
      </c>
    </row>
    <row r="810" spans="1:4">
      <c r="A810" s="1" t="s">
        <v>1568</v>
      </c>
      <c r="B810" s="8" t="s">
        <v>2384</v>
      </c>
      <c r="C810" s="1">
        <v>1</v>
      </c>
      <c r="D810" s="1">
        <f t="shared" si="5"/>
        <v>10</v>
      </c>
    </row>
    <row r="811" ht="30" spans="1:4">
      <c r="A811" s="1" t="s">
        <v>1570</v>
      </c>
      <c r="B811" s="8" t="s">
        <v>2385</v>
      </c>
      <c r="C811" s="1">
        <v>1</v>
      </c>
      <c r="D811" s="1">
        <f t="shared" si="5"/>
        <v>10</v>
      </c>
    </row>
    <row r="812" ht="30" spans="1:4">
      <c r="A812" s="1" t="s">
        <v>1572</v>
      </c>
      <c r="B812" s="8" t="s">
        <v>2386</v>
      </c>
      <c r="C812" s="1">
        <v>1</v>
      </c>
      <c r="D812" s="1">
        <f t="shared" si="5"/>
        <v>10</v>
      </c>
    </row>
    <row r="813" ht="30" spans="1:4">
      <c r="A813" s="1" t="s">
        <v>1574</v>
      </c>
      <c r="B813" s="8" t="s">
        <v>2387</v>
      </c>
      <c r="C813" s="1">
        <v>1</v>
      </c>
      <c r="D813" s="1">
        <f t="shared" si="5"/>
        <v>10</v>
      </c>
    </row>
    <row r="814" ht="30" spans="1:4">
      <c r="A814" s="1" t="s">
        <v>1576</v>
      </c>
      <c r="B814" s="8" t="s">
        <v>2388</v>
      </c>
      <c r="C814" s="1">
        <v>1</v>
      </c>
      <c r="D814" s="1">
        <f t="shared" si="5"/>
        <v>10</v>
      </c>
    </row>
    <row r="815" spans="1:4">
      <c r="A815" s="1" t="s">
        <v>1578</v>
      </c>
      <c r="B815" s="8" t="s">
        <v>2389</v>
      </c>
      <c r="C815" s="1">
        <v>1</v>
      </c>
      <c r="D815" s="1">
        <f t="shared" si="5"/>
        <v>10</v>
      </c>
    </row>
    <row r="816" ht="30" spans="1:4">
      <c r="A816" s="1" t="s">
        <v>1580</v>
      </c>
      <c r="B816" s="8" t="s">
        <v>2390</v>
      </c>
      <c r="C816" s="1">
        <v>1</v>
      </c>
      <c r="D816" s="1">
        <f t="shared" si="5"/>
        <v>10</v>
      </c>
    </row>
    <row r="817" ht="30" spans="1:4">
      <c r="A817" s="1" t="s">
        <v>1582</v>
      </c>
      <c r="B817" s="8" t="s">
        <v>2391</v>
      </c>
      <c r="C817" s="1">
        <v>1</v>
      </c>
      <c r="D817" s="1">
        <f t="shared" ref="D817:D880" si="6">C817*10</f>
        <v>10</v>
      </c>
    </row>
    <row r="818" ht="30" spans="1:4">
      <c r="A818" s="1" t="s">
        <v>1584</v>
      </c>
      <c r="B818" s="8" t="s">
        <v>2392</v>
      </c>
      <c r="C818" s="1">
        <v>1</v>
      </c>
      <c r="D818" s="1">
        <f t="shared" si="6"/>
        <v>10</v>
      </c>
    </row>
    <row r="819" ht="30" spans="1:4">
      <c r="A819" s="1" t="s">
        <v>1586</v>
      </c>
      <c r="B819" s="8" t="s">
        <v>2393</v>
      </c>
      <c r="C819" s="1">
        <v>1</v>
      </c>
      <c r="D819" s="1">
        <f t="shared" si="6"/>
        <v>10</v>
      </c>
    </row>
    <row r="820" ht="30" spans="1:4">
      <c r="A820" s="1" t="s">
        <v>1588</v>
      </c>
      <c r="B820" s="8" t="s">
        <v>2394</v>
      </c>
      <c r="C820" s="1">
        <v>1</v>
      </c>
      <c r="D820" s="1">
        <f t="shared" si="6"/>
        <v>10</v>
      </c>
    </row>
    <row r="821" spans="1:4">
      <c r="A821" s="1" t="s">
        <v>1590</v>
      </c>
      <c r="B821" s="8" t="s">
        <v>2395</v>
      </c>
      <c r="C821" s="1">
        <v>1</v>
      </c>
      <c r="D821" s="1">
        <f t="shared" si="6"/>
        <v>10</v>
      </c>
    </row>
    <row r="822" spans="1:4">
      <c r="A822" s="1" t="s">
        <v>1592</v>
      </c>
      <c r="B822" s="8" t="s">
        <v>2396</v>
      </c>
      <c r="C822" s="1">
        <v>1</v>
      </c>
      <c r="D822" s="1">
        <f t="shared" si="6"/>
        <v>10</v>
      </c>
    </row>
    <row r="823" spans="1:4">
      <c r="A823" s="1" t="s">
        <v>1594</v>
      </c>
      <c r="B823" s="8" t="s">
        <v>2397</v>
      </c>
      <c r="C823" s="1">
        <v>1</v>
      </c>
      <c r="D823" s="1">
        <f t="shared" si="6"/>
        <v>10</v>
      </c>
    </row>
    <row r="824" ht="30" spans="1:4">
      <c r="A824" s="1" t="s">
        <v>1596</v>
      </c>
      <c r="B824" s="8" t="s">
        <v>2398</v>
      </c>
      <c r="C824" s="1">
        <v>1</v>
      </c>
      <c r="D824" s="1">
        <f t="shared" si="6"/>
        <v>10</v>
      </c>
    </row>
    <row r="825" ht="30" spans="1:4">
      <c r="A825" s="1" t="s">
        <v>1598</v>
      </c>
      <c r="B825" s="8" t="s">
        <v>2398</v>
      </c>
      <c r="C825" s="1">
        <v>1</v>
      </c>
      <c r="D825" s="1">
        <f t="shared" si="6"/>
        <v>10</v>
      </c>
    </row>
    <row r="826" ht="30" spans="1:4">
      <c r="A826" s="1" t="s">
        <v>1599</v>
      </c>
      <c r="B826" s="8" t="s">
        <v>2399</v>
      </c>
      <c r="C826" s="1">
        <v>1</v>
      </c>
      <c r="D826" s="1">
        <f t="shared" si="6"/>
        <v>10</v>
      </c>
    </row>
    <row r="827" ht="30" spans="1:4">
      <c r="A827" s="1" t="s">
        <v>1601</v>
      </c>
      <c r="B827" s="8" t="s">
        <v>2399</v>
      </c>
      <c r="C827" s="1">
        <v>1</v>
      </c>
      <c r="D827" s="1">
        <f t="shared" si="6"/>
        <v>10</v>
      </c>
    </row>
    <row r="828" spans="1:4">
      <c r="A828" s="1" t="s">
        <v>1602</v>
      </c>
      <c r="B828" s="8" t="s">
        <v>2400</v>
      </c>
      <c r="C828" s="1">
        <v>1</v>
      </c>
      <c r="D828" s="1">
        <f t="shared" si="6"/>
        <v>10</v>
      </c>
    </row>
    <row r="829" ht="30" spans="1:4">
      <c r="A829" s="1" t="s">
        <v>1604</v>
      </c>
      <c r="B829" s="8" t="s">
        <v>2401</v>
      </c>
      <c r="C829" s="1">
        <v>1</v>
      </c>
      <c r="D829" s="1">
        <f t="shared" si="6"/>
        <v>10</v>
      </c>
    </row>
    <row r="830" spans="1:4">
      <c r="A830" s="1" t="s">
        <v>1606</v>
      </c>
      <c r="B830" s="8" t="s">
        <v>2402</v>
      </c>
      <c r="C830" s="1">
        <v>1</v>
      </c>
      <c r="D830" s="1">
        <f t="shared" si="6"/>
        <v>10</v>
      </c>
    </row>
    <row r="831" ht="30" spans="1:4">
      <c r="A831" s="1" t="s">
        <v>1608</v>
      </c>
      <c r="B831" s="8" t="s">
        <v>2403</v>
      </c>
      <c r="C831" s="1">
        <v>1</v>
      </c>
      <c r="D831" s="1">
        <f t="shared" si="6"/>
        <v>10</v>
      </c>
    </row>
    <row r="832" spans="1:4">
      <c r="A832" s="1" t="s">
        <v>1610</v>
      </c>
      <c r="B832" s="8" t="s">
        <v>2404</v>
      </c>
      <c r="C832" s="1">
        <v>1</v>
      </c>
      <c r="D832" s="1">
        <f t="shared" si="6"/>
        <v>10</v>
      </c>
    </row>
    <row r="833" ht="30" spans="1:4">
      <c r="A833" s="1" t="s">
        <v>1612</v>
      </c>
      <c r="B833" s="8" t="s">
        <v>2405</v>
      </c>
      <c r="C833" s="1">
        <v>1</v>
      </c>
      <c r="D833" s="1">
        <f t="shared" si="6"/>
        <v>10</v>
      </c>
    </row>
    <row r="834" spans="1:4">
      <c r="A834" s="1" t="s">
        <v>1614</v>
      </c>
      <c r="B834" s="8" t="s">
        <v>2406</v>
      </c>
      <c r="C834" s="1">
        <v>1</v>
      </c>
      <c r="D834" s="1">
        <f t="shared" si="6"/>
        <v>10</v>
      </c>
    </row>
    <row r="835" ht="30" spans="1:4">
      <c r="A835" s="1" t="s">
        <v>1616</v>
      </c>
      <c r="B835" s="8" t="s">
        <v>2407</v>
      </c>
      <c r="C835" s="1">
        <v>1</v>
      </c>
      <c r="D835" s="1">
        <f t="shared" si="6"/>
        <v>10</v>
      </c>
    </row>
    <row r="836" spans="1:4">
      <c r="A836" s="1" t="s">
        <v>1618</v>
      </c>
      <c r="B836" s="8" t="s">
        <v>2408</v>
      </c>
      <c r="C836" s="1">
        <v>1</v>
      </c>
      <c r="D836" s="1">
        <f t="shared" si="6"/>
        <v>10</v>
      </c>
    </row>
    <row r="837" ht="30" spans="1:4">
      <c r="A837" s="1" t="s">
        <v>1620</v>
      </c>
      <c r="B837" s="8" t="s">
        <v>2409</v>
      </c>
      <c r="C837" s="1">
        <v>1</v>
      </c>
      <c r="D837" s="1">
        <f t="shared" si="6"/>
        <v>10</v>
      </c>
    </row>
    <row r="838" spans="1:4">
      <c r="A838" s="1" t="s">
        <v>1622</v>
      </c>
      <c r="B838" s="8" t="s">
        <v>1623</v>
      </c>
      <c r="C838" s="1">
        <v>1</v>
      </c>
      <c r="D838" s="1">
        <f t="shared" si="6"/>
        <v>10</v>
      </c>
    </row>
    <row r="839" ht="30" spans="1:4">
      <c r="A839" s="1" t="s">
        <v>1624</v>
      </c>
      <c r="B839" s="8" t="s">
        <v>2410</v>
      </c>
      <c r="C839" s="1">
        <v>1</v>
      </c>
      <c r="D839" s="1">
        <f t="shared" si="6"/>
        <v>10</v>
      </c>
    </row>
    <row r="840" ht="30" spans="1:4">
      <c r="A840" s="1" t="s">
        <v>1626</v>
      </c>
      <c r="B840" s="8" t="s">
        <v>2411</v>
      </c>
      <c r="C840" s="1">
        <v>1</v>
      </c>
      <c r="D840" s="1">
        <f t="shared" si="6"/>
        <v>10</v>
      </c>
    </row>
    <row r="841" ht="45" spans="1:4">
      <c r="A841" s="1" t="s">
        <v>1628</v>
      </c>
      <c r="B841" s="8" t="s">
        <v>2412</v>
      </c>
      <c r="C841" s="1">
        <v>1</v>
      </c>
      <c r="D841" s="1">
        <f t="shared" si="6"/>
        <v>10</v>
      </c>
    </row>
    <row r="842" ht="45" spans="1:4">
      <c r="A842" s="1" t="s">
        <v>1630</v>
      </c>
      <c r="B842" s="8" t="s">
        <v>2413</v>
      </c>
      <c r="C842" s="1">
        <v>1</v>
      </c>
      <c r="D842" s="1">
        <f t="shared" si="6"/>
        <v>10</v>
      </c>
    </row>
    <row r="843" ht="30" spans="1:4">
      <c r="A843" s="1" t="s">
        <v>1632</v>
      </c>
      <c r="B843" s="8" t="s">
        <v>2414</v>
      </c>
      <c r="C843" s="1">
        <v>1</v>
      </c>
      <c r="D843" s="1">
        <f t="shared" si="6"/>
        <v>10</v>
      </c>
    </row>
    <row r="844" ht="30" spans="1:4">
      <c r="A844" s="1" t="s">
        <v>1634</v>
      </c>
      <c r="B844" s="8" t="s">
        <v>2415</v>
      </c>
      <c r="C844" s="1">
        <v>1</v>
      </c>
      <c r="D844" s="1">
        <f t="shared" si="6"/>
        <v>10</v>
      </c>
    </row>
    <row r="845" ht="30" spans="1:4">
      <c r="A845" s="1" t="s">
        <v>1636</v>
      </c>
      <c r="B845" s="8" t="s">
        <v>2416</v>
      </c>
      <c r="C845" s="1">
        <v>1</v>
      </c>
      <c r="D845" s="1">
        <f t="shared" si="6"/>
        <v>10</v>
      </c>
    </row>
    <row r="846" ht="30" spans="1:4">
      <c r="A846" s="1" t="s">
        <v>1638</v>
      </c>
      <c r="B846" s="8" t="s">
        <v>2417</v>
      </c>
      <c r="C846" s="1">
        <v>1</v>
      </c>
      <c r="D846" s="1">
        <f t="shared" si="6"/>
        <v>10</v>
      </c>
    </row>
    <row r="847" ht="30" spans="1:4">
      <c r="A847" s="1" t="s">
        <v>1640</v>
      </c>
      <c r="B847" s="8" t="s">
        <v>2418</v>
      </c>
      <c r="C847" s="1">
        <v>1</v>
      </c>
      <c r="D847" s="1">
        <f t="shared" si="6"/>
        <v>10</v>
      </c>
    </row>
    <row r="848" ht="30" spans="1:4">
      <c r="A848" s="1" t="s">
        <v>1642</v>
      </c>
      <c r="B848" s="8" t="s">
        <v>2419</v>
      </c>
      <c r="C848" s="1">
        <v>1</v>
      </c>
      <c r="D848" s="1">
        <f t="shared" si="6"/>
        <v>10</v>
      </c>
    </row>
    <row r="849" ht="30" spans="1:4">
      <c r="A849" s="1" t="s">
        <v>1644</v>
      </c>
      <c r="B849" s="8" t="s">
        <v>2420</v>
      </c>
      <c r="C849" s="1">
        <v>1</v>
      </c>
      <c r="D849" s="1">
        <f t="shared" si="6"/>
        <v>10</v>
      </c>
    </row>
    <row r="850" ht="30" spans="1:4">
      <c r="A850" s="1" t="s">
        <v>1646</v>
      </c>
      <c r="B850" s="8" t="s">
        <v>2421</v>
      </c>
      <c r="C850" s="1">
        <v>1</v>
      </c>
      <c r="D850" s="1">
        <f t="shared" si="6"/>
        <v>10</v>
      </c>
    </row>
    <row r="851" ht="30" spans="1:4">
      <c r="A851" s="1" t="s">
        <v>1648</v>
      </c>
      <c r="B851" s="8" t="s">
        <v>2422</v>
      </c>
      <c r="C851" s="1">
        <v>1</v>
      </c>
      <c r="D851" s="1">
        <f t="shared" si="6"/>
        <v>10</v>
      </c>
    </row>
    <row r="852" ht="30" spans="1:4">
      <c r="A852" s="1" t="s">
        <v>1650</v>
      </c>
      <c r="B852" s="8" t="s">
        <v>2423</v>
      </c>
      <c r="C852" s="1">
        <v>1</v>
      </c>
      <c r="D852" s="1">
        <f t="shared" si="6"/>
        <v>10</v>
      </c>
    </row>
    <row r="853" ht="30" spans="1:4">
      <c r="A853" s="1" t="s">
        <v>1652</v>
      </c>
      <c r="B853" s="8" t="s">
        <v>1653</v>
      </c>
      <c r="C853" s="1">
        <v>1</v>
      </c>
      <c r="D853" s="1">
        <f t="shared" si="6"/>
        <v>10</v>
      </c>
    </row>
    <row r="854" ht="30" spans="1:4">
      <c r="A854" s="1" t="s">
        <v>1654</v>
      </c>
      <c r="B854" s="8" t="s">
        <v>2424</v>
      </c>
      <c r="C854" s="1">
        <v>1</v>
      </c>
      <c r="D854" s="1">
        <f t="shared" si="6"/>
        <v>10</v>
      </c>
    </row>
    <row r="855" ht="45" spans="1:4">
      <c r="A855" s="1" t="s">
        <v>1656</v>
      </c>
      <c r="B855" s="8" t="s">
        <v>2425</v>
      </c>
      <c r="C855" s="1">
        <v>1</v>
      </c>
      <c r="D855" s="1">
        <f t="shared" si="6"/>
        <v>10</v>
      </c>
    </row>
    <row r="856" ht="45" spans="1:4">
      <c r="A856" s="1" t="s">
        <v>1658</v>
      </c>
      <c r="B856" s="8" t="s">
        <v>2426</v>
      </c>
      <c r="C856" s="1">
        <v>1</v>
      </c>
      <c r="D856" s="1">
        <f t="shared" si="6"/>
        <v>10</v>
      </c>
    </row>
    <row r="857" spans="1:4">
      <c r="A857" s="1" t="s">
        <v>1660</v>
      </c>
      <c r="B857" s="8" t="s">
        <v>2427</v>
      </c>
      <c r="C857" s="1">
        <v>0.0005</v>
      </c>
      <c r="D857" s="1">
        <f t="shared" si="6"/>
        <v>0.005</v>
      </c>
    </row>
    <row r="858" spans="1:4">
      <c r="A858" s="1" t="s">
        <v>1662</v>
      </c>
      <c r="B858" s="8" t="s">
        <v>2428</v>
      </c>
      <c r="C858" s="1">
        <v>0.0005</v>
      </c>
      <c r="D858" s="1">
        <f t="shared" si="6"/>
        <v>0.005</v>
      </c>
    </row>
    <row r="859" ht="30" spans="1:4">
      <c r="A859" s="1" t="s">
        <v>1664</v>
      </c>
      <c r="B859" s="8" t="s">
        <v>2429</v>
      </c>
      <c r="C859" s="1">
        <v>0.0005</v>
      </c>
      <c r="D859" s="1">
        <f t="shared" si="6"/>
        <v>0.005</v>
      </c>
    </row>
    <row r="860" ht="30" spans="1:4">
      <c r="A860" s="1" t="s">
        <v>1666</v>
      </c>
      <c r="B860" s="8" t="s">
        <v>2430</v>
      </c>
      <c r="C860" s="1">
        <v>0.0005</v>
      </c>
      <c r="D860" s="1">
        <f t="shared" si="6"/>
        <v>0.005</v>
      </c>
    </row>
    <row r="861" ht="30" spans="1:4">
      <c r="A861" s="1" t="s">
        <v>1668</v>
      </c>
      <c r="B861" s="8" t="s">
        <v>2431</v>
      </c>
      <c r="C861" s="1">
        <v>0.0005</v>
      </c>
      <c r="D861" s="1">
        <f t="shared" si="6"/>
        <v>0.005</v>
      </c>
    </row>
    <row r="862" ht="30" spans="1:4">
      <c r="A862" s="1" t="s">
        <v>1670</v>
      </c>
      <c r="B862" s="8" t="s">
        <v>2432</v>
      </c>
      <c r="C862" s="1">
        <v>0.0005</v>
      </c>
      <c r="D862" s="1">
        <f t="shared" si="6"/>
        <v>0.005</v>
      </c>
    </row>
    <row r="863" ht="30" spans="1:4">
      <c r="A863" s="1" t="s">
        <v>1672</v>
      </c>
      <c r="B863" s="8" t="s">
        <v>2433</v>
      </c>
      <c r="C863" s="1">
        <v>0.0005</v>
      </c>
      <c r="D863" s="1">
        <f t="shared" si="6"/>
        <v>0.005</v>
      </c>
    </row>
    <row r="864" spans="1:4">
      <c r="A864" s="1" t="s">
        <v>1674</v>
      </c>
      <c r="B864" s="8" t="s">
        <v>2434</v>
      </c>
      <c r="C864" s="1">
        <v>0.0005</v>
      </c>
      <c r="D864" s="1">
        <f t="shared" si="6"/>
        <v>0.005</v>
      </c>
    </row>
    <row r="865" spans="1:4">
      <c r="A865" s="1" t="s">
        <v>1676</v>
      </c>
      <c r="B865" s="8" t="s">
        <v>2435</v>
      </c>
      <c r="C865" s="1">
        <v>0.0005</v>
      </c>
      <c r="D865" s="1">
        <f t="shared" si="6"/>
        <v>0.005</v>
      </c>
    </row>
    <row r="866" ht="30" spans="1:4">
      <c r="A866" s="1" t="s">
        <v>1678</v>
      </c>
      <c r="B866" s="8" t="s">
        <v>2436</v>
      </c>
      <c r="C866" s="1">
        <v>0.0005</v>
      </c>
      <c r="D866" s="1">
        <f t="shared" si="6"/>
        <v>0.005</v>
      </c>
    </row>
    <row r="867" ht="30" spans="1:4">
      <c r="A867" s="1" t="s">
        <v>1680</v>
      </c>
      <c r="B867" s="8" t="s">
        <v>2437</v>
      </c>
      <c r="C867" s="1">
        <v>0.0005</v>
      </c>
      <c r="D867" s="1">
        <f t="shared" si="6"/>
        <v>0.005</v>
      </c>
    </row>
    <row r="868" ht="30" spans="1:4">
      <c r="A868" s="1" t="s">
        <v>1682</v>
      </c>
      <c r="B868" s="8" t="s">
        <v>2438</v>
      </c>
      <c r="C868" s="1">
        <v>0.0005</v>
      </c>
      <c r="D868" s="1">
        <f t="shared" si="6"/>
        <v>0.005</v>
      </c>
    </row>
    <row r="869" ht="30" spans="1:4">
      <c r="A869" s="1" t="s">
        <v>1684</v>
      </c>
      <c r="B869" s="8" t="s">
        <v>2439</v>
      </c>
      <c r="C869" s="1">
        <v>0.0005</v>
      </c>
      <c r="D869" s="1">
        <f t="shared" si="6"/>
        <v>0.005</v>
      </c>
    </row>
    <row r="870" spans="1:4">
      <c r="A870" s="1" t="s">
        <v>1686</v>
      </c>
      <c r="B870" s="8" t="s">
        <v>2440</v>
      </c>
      <c r="C870" s="1">
        <v>0.0005</v>
      </c>
      <c r="D870" s="1">
        <f t="shared" si="6"/>
        <v>0.005</v>
      </c>
    </row>
    <row r="871" ht="30" spans="1:4">
      <c r="A871" s="1" t="s">
        <v>1688</v>
      </c>
      <c r="B871" s="8" t="s">
        <v>2441</v>
      </c>
      <c r="C871" s="1">
        <v>0.0005</v>
      </c>
      <c r="D871" s="1">
        <f t="shared" si="6"/>
        <v>0.005</v>
      </c>
    </row>
    <row r="872" spans="1:4">
      <c r="A872" s="1" t="s">
        <v>1690</v>
      </c>
      <c r="B872" s="8" t="s">
        <v>2442</v>
      </c>
      <c r="C872" s="1">
        <v>0.0005</v>
      </c>
      <c r="D872" s="1">
        <f t="shared" si="6"/>
        <v>0.005</v>
      </c>
    </row>
    <row r="873" spans="1:4">
      <c r="A873" s="1" t="s">
        <v>1692</v>
      </c>
      <c r="B873" s="8" t="s">
        <v>2443</v>
      </c>
      <c r="C873" s="1">
        <v>0.0005</v>
      </c>
      <c r="D873" s="1">
        <f t="shared" si="6"/>
        <v>0.005</v>
      </c>
    </row>
    <row r="874" ht="30" spans="1:4">
      <c r="A874" s="1" t="s">
        <v>1694</v>
      </c>
      <c r="B874" s="8" t="s">
        <v>1695</v>
      </c>
      <c r="C874" s="1">
        <v>0.0005</v>
      </c>
      <c r="D874" s="1">
        <f t="shared" si="6"/>
        <v>0.005</v>
      </c>
    </row>
    <row r="875" spans="1:4">
      <c r="A875" s="1" t="s">
        <v>1696</v>
      </c>
      <c r="B875" s="8" t="s">
        <v>2444</v>
      </c>
      <c r="C875" s="1">
        <v>0.0005</v>
      </c>
      <c r="D875" s="1">
        <f t="shared" si="6"/>
        <v>0.005</v>
      </c>
    </row>
    <row r="876" spans="1:4">
      <c r="A876" s="1" t="s">
        <v>1698</v>
      </c>
      <c r="B876" s="8" t="s">
        <v>2445</v>
      </c>
      <c r="C876" s="1">
        <v>0.0005</v>
      </c>
      <c r="D876" s="1">
        <f t="shared" si="6"/>
        <v>0.005</v>
      </c>
    </row>
    <row r="877" spans="1:4">
      <c r="A877" s="1" t="s">
        <v>1700</v>
      </c>
      <c r="B877" s="8" t="s">
        <v>2446</v>
      </c>
      <c r="C877" s="1">
        <v>0.0005</v>
      </c>
      <c r="D877" s="1">
        <f t="shared" si="6"/>
        <v>0.005</v>
      </c>
    </row>
    <row r="878" spans="1:4">
      <c r="A878" s="1" t="s">
        <v>1702</v>
      </c>
      <c r="B878" s="8" t="s">
        <v>2447</v>
      </c>
      <c r="C878" s="1">
        <v>0.0005</v>
      </c>
      <c r="D878" s="1">
        <f t="shared" si="6"/>
        <v>0.005</v>
      </c>
    </row>
    <row r="879" spans="1:4">
      <c r="A879" s="1" t="s">
        <v>1704</v>
      </c>
      <c r="B879" s="8" t="s">
        <v>2448</v>
      </c>
      <c r="C879" s="1">
        <v>0.0005</v>
      </c>
      <c r="D879" s="1">
        <f t="shared" si="6"/>
        <v>0.005</v>
      </c>
    </row>
    <row r="880" spans="1:4">
      <c r="A880" s="1" t="s">
        <v>1706</v>
      </c>
      <c r="B880" s="8" t="s">
        <v>2449</v>
      </c>
      <c r="C880" s="1">
        <v>0.0005</v>
      </c>
      <c r="D880" s="1">
        <f t="shared" si="6"/>
        <v>0.005</v>
      </c>
    </row>
    <row r="881" spans="1:4">
      <c r="A881" s="1" t="s">
        <v>1708</v>
      </c>
      <c r="B881" s="8" t="s">
        <v>2450</v>
      </c>
      <c r="C881" s="1">
        <v>0.0005</v>
      </c>
      <c r="D881" s="1">
        <f t="shared" ref="D881:D896" si="7">C881*10</f>
        <v>0.005</v>
      </c>
    </row>
    <row r="882" spans="1:4">
      <c r="A882" s="1" t="s">
        <v>1710</v>
      </c>
      <c r="B882" s="8" t="s">
        <v>2451</v>
      </c>
      <c r="C882" s="1">
        <v>0.0005</v>
      </c>
      <c r="D882" s="1">
        <f t="shared" si="7"/>
        <v>0.005</v>
      </c>
    </row>
    <row r="883" spans="1:4">
      <c r="A883" s="1" t="s">
        <v>1712</v>
      </c>
      <c r="B883" s="8" t="s">
        <v>2452</v>
      </c>
      <c r="C883" s="1">
        <v>0.0005</v>
      </c>
      <c r="D883" s="1">
        <f t="shared" si="7"/>
        <v>0.005</v>
      </c>
    </row>
    <row r="884" spans="1:4">
      <c r="A884" s="1" t="s">
        <v>1714</v>
      </c>
      <c r="B884" s="8" t="s">
        <v>2453</v>
      </c>
      <c r="C884" s="1">
        <v>0.0005</v>
      </c>
      <c r="D884" s="1">
        <f t="shared" si="7"/>
        <v>0.005</v>
      </c>
    </row>
    <row r="885" spans="1:4">
      <c r="A885" s="1" t="s">
        <v>1716</v>
      </c>
      <c r="B885" s="8" t="s">
        <v>2454</v>
      </c>
      <c r="C885" s="1">
        <v>0.0005</v>
      </c>
      <c r="D885" s="1">
        <f t="shared" si="7"/>
        <v>0.005</v>
      </c>
    </row>
    <row r="886" spans="1:4">
      <c r="A886" s="1" t="s">
        <v>1718</v>
      </c>
      <c r="B886" s="8" t="s">
        <v>2455</v>
      </c>
      <c r="C886" s="1">
        <v>0.0005</v>
      </c>
      <c r="D886" s="1">
        <f t="shared" si="7"/>
        <v>0.005</v>
      </c>
    </row>
    <row r="887" spans="1:4">
      <c r="A887" s="1" t="s">
        <v>1720</v>
      </c>
      <c r="B887" s="8" t="s">
        <v>2456</v>
      </c>
      <c r="C887" s="1">
        <v>0.0005</v>
      </c>
      <c r="D887" s="1">
        <f t="shared" si="7"/>
        <v>0.005</v>
      </c>
    </row>
    <row r="888" spans="1:4">
      <c r="A888" s="1" t="s">
        <v>1722</v>
      </c>
      <c r="B888" s="8" t="s">
        <v>1723</v>
      </c>
      <c r="C888" s="1">
        <v>0.0005</v>
      </c>
      <c r="D888" s="1">
        <f t="shared" si="7"/>
        <v>0.005</v>
      </c>
    </row>
    <row r="889" ht="30" spans="1:4">
      <c r="A889" s="1" t="s">
        <v>1724</v>
      </c>
      <c r="B889" s="8" t="s">
        <v>2457</v>
      </c>
      <c r="C889" s="1">
        <v>0.0005</v>
      </c>
      <c r="D889" s="1">
        <f t="shared" si="7"/>
        <v>0.005</v>
      </c>
    </row>
    <row r="890" spans="1:4">
      <c r="A890" s="1" t="s">
        <v>1726</v>
      </c>
      <c r="B890" s="8" t="s">
        <v>2458</v>
      </c>
      <c r="C890" s="1">
        <v>0.0005</v>
      </c>
      <c r="D890" s="1">
        <f t="shared" si="7"/>
        <v>0.005</v>
      </c>
    </row>
    <row r="891" spans="1:4">
      <c r="A891" s="1" t="s">
        <v>1728</v>
      </c>
      <c r="B891" s="8" t="s">
        <v>2459</v>
      </c>
      <c r="C891" s="1">
        <v>0.0005</v>
      </c>
      <c r="D891" s="1">
        <f t="shared" si="7"/>
        <v>0.005</v>
      </c>
    </row>
    <row r="892" spans="1:4">
      <c r="A892" s="1" t="s">
        <v>1730</v>
      </c>
      <c r="B892" s="8" t="s">
        <v>2460</v>
      </c>
      <c r="C892" s="1">
        <v>0.0005</v>
      </c>
      <c r="D892" s="1">
        <f t="shared" si="7"/>
        <v>0.005</v>
      </c>
    </row>
    <row r="893" spans="1:4">
      <c r="A893" s="1" t="s">
        <v>1732</v>
      </c>
      <c r="B893" s="8" t="s">
        <v>2461</v>
      </c>
      <c r="C893" s="1">
        <v>0.0005</v>
      </c>
      <c r="D893" s="1">
        <f t="shared" si="7"/>
        <v>0.005</v>
      </c>
    </row>
    <row r="894" spans="1:4">
      <c r="A894" s="1" t="s">
        <v>1734</v>
      </c>
      <c r="B894" s="8" t="s">
        <v>2462</v>
      </c>
      <c r="C894" s="1">
        <v>0.0005</v>
      </c>
      <c r="D894" s="1">
        <f t="shared" si="7"/>
        <v>0.005</v>
      </c>
    </row>
    <row r="895" spans="1:4">
      <c r="A895" s="1" t="s">
        <v>1736</v>
      </c>
      <c r="B895" s="8" t="s">
        <v>2463</v>
      </c>
      <c r="C895" s="1">
        <v>0.0005</v>
      </c>
      <c r="D895" s="1">
        <f t="shared" si="7"/>
        <v>0.005</v>
      </c>
    </row>
    <row r="896" ht="30" spans="1:4">
      <c r="A896" s="1" t="s">
        <v>1738</v>
      </c>
      <c r="B896" s="8" t="s">
        <v>2464</v>
      </c>
      <c r="C896" s="1">
        <v>0.0005</v>
      </c>
      <c r="D896" s="1">
        <f t="shared" si="7"/>
        <v>0.005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T1827"/>
  <sheetViews>
    <sheetView topLeftCell="A1802" workbookViewId="0">
      <selection activeCell="L1753" sqref="L1753"/>
    </sheetView>
  </sheetViews>
  <sheetFormatPr defaultColWidth="9" defaultRowHeight="15"/>
  <cols>
    <col min="1" max="1" width="13" customWidth="1"/>
    <col min="8" max="8" width="12.8761904761905" customWidth="1"/>
  </cols>
  <sheetData>
    <row r="1" spans="1:13">
      <c r="A1" s="4"/>
      <c r="C1" s="4"/>
      <c r="D1" s="4"/>
      <c r="E1" s="2"/>
      <c r="F1" s="1"/>
      <c r="G1" s="1"/>
      <c r="H1" s="1"/>
      <c r="I1" s="1"/>
      <c r="J1" s="5" t="s">
        <v>2465</v>
      </c>
      <c r="K1" s="5"/>
      <c r="L1" s="1"/>
      <c r="M1" s="4"/>
    </row>
    <row r="2" spans="1:20">
      <c r="A2" s="4"/>
      <c r="C2" s="4" t="s">
        <v>2466</v>
      </c>
      <c r="D2" s="5" t="s">
        <v>2467</v>
      </c>
      <c r="E2" s="6" t="s">
        <v>17</v>
      </c>
      <c r="F2" s="7" t="s">
        <v>2468</v>
      </c>
      <c r="G2" s="5" t="s">
        <v>2469</v>
      </c>
      <c r="H2" s="5" t="s">
        <v>2470</v>
      </c>
      <c r="I2" s="5" t="s">
        <v>2471</v>
      </c>
      <c r="J2" s="1" t="s">
        <v>2472</v>
      </c>
      <c r="K2" s="1" t="s">
        <v>2473</v>
      </c>
      <c r="L2" s="5" t="s">
        <v>2474</v>
      </c>
      <c r="M2" s="4"/>
      <c r="S2" s="4"/>
      <c r="T2" s="4"/>
    </row>
    <row r="3" spans="1:20">
      <c r="A3" s="4" t="s">
        <v>2466</v>
      </c>
      <c r="B3" t="str">
        <f>C3&amp;":"&amp;D3</f>
        <v>0:0</v>
      </c>
      <c r="C3" s="4">
        <v>0</v>
      </c>
      <c r="D3" s="1">
        <v>0</v>
      </c>
      <c r="E3" s="3" t="s">
        <v>1742</v>
      </c>
      <c r="F3" s="3"/>
      <c r="G3" s="1">
        <f>1/1000000</f>
        <v>1e-6</v>
      </c>
      <c r="H3" s="1">
        <f>IF(I3="",G3,I3)</f>
        <v>1e-6</v>
      </c>
      <c r="I3" s="1" t="str">
        <f>IFERROR(100/L3,"")</f>
        <v/>
      </c>
      <c r="J3" s="1" t="str">
        <f>_xlfn.IFNA(INDEX([1]历练产出!$Z:$Z,MATCH(B3,[1]历练产出!$AB:$AB,0)),"")</f>
        <v/>
      </c>
      <c r="K3" s="1" t="str">
        <f>_xlfn.IFNA(INDEX([1]洞天福地产出!$H:$H,MATCH(B3,[1]洞天福地产出!$K:$K,0)),"")</f>
        <v/>
      </c>
      <c r="L3" s="1" t="str">
        <f>IFERROR(J3+K3,"")</f>
        <v/>
      </c>
      <c r="M3" s="4">
        <f>IF(I3="",0,1)</f>
        <v>0</v>
      </c>
      <c r="S3" s="1">
        <v>0</v>
      </c>
      <c r="T3" s="1" t="s">
        <v>2466</v>
      </c>
    </row>
    <row r="4" ht="30" spans="1:20">
      <c r="A4" s="4"/>
      <c r="B4" t="str">
        <f t="shared" ref="B4:B67" si="0">C4&amp;":"&amp;D4</f>
        <v>0:1</v>
      </c>
      <c r="C4" s="4">
        <v>0</v>
      </c>
      <c r="D4" s="1">
        <v>1</v>
      </c>
      <c r="E4" s="3" t="s">
        <v>1743</v>
      </c>
      <c r="F4" s="3"/>
      <c r="G4" s="1">
        <v>0.1</v>
      </c>
      <c r="H4" s="1">
        <f t="shared" ref="H4:H67" si="1">IF(I4="",G4,I4)</f>
        <v>0.1</v>
      </c>
      <c r="I4" s="1" t="str">
        <f t="shared" ref="I4:I67" si="2">IFERROR(100/L4,"")</f>
        <v/>
      </c>
      <c r="J4" s="1" t="str">
        <f>_xlfn.IFNA(INDEX([1]历练产出!$Z:$Z,MATCH(B4,[1]历练产出!$AB:$AB,0)),"")</f>
        <v/>
      </c>
      <c r="K4" s="1" t="str">
        <f>_xlfn.IFNA(INDEX([1]洞天福地产出!$H:$H,MATCH(B4,[1]洞天福地产出!$K:$K,0)),"")</f>
        <v/>
      </c>
      <c r="L4" s="1" t="str">
        <f t="shared" ref="L4:L67" si="3">IFERROR(J4+K4,"")</f>
        <v/>
      </c>
      <c r="M4" s="4">
        <f t="shared" ref="M4:M67" si="4">IF(I4="",0,1)</f>
        <v>0</v>
      </c>
      <c r="S4" s="1">
        <v>1</v>
      </c>
      <c r="T4" s="1" t="s">
        <v>2475</v>
      </c>
    </row>
    <row r="5" ht="30" spans="1:20">
      <c r="A5" s="4"/>
      <c r="B5" t="str">
        <f t="shared" si="0"/>
        <v>0:2</v>
      </c>
      <c r="C5" s="4">
        <v>0</v>
      </c>
      <c r="D5" s="1">
        <v>2</v>
      </c>
      <c r="E5" s="3" t="s">
        <v>1744</v>
      </c>
      <c r="F5" s="3"/>
      <c r="G5" s="1"/>
      <c r="H5" s="1">
        <f t="shared" si="1"/>
        <v>0</v>
      </c>
      <c r="I5" s="1" t="str">
        <f t="shared" si="2"/>
        <v/>
      </c>
      <c r="J5" s="1" t="str">
        <f>_xlfn.IFNA(INDEX([1]历练产出!$Z:$Z,MATCH(B5,[1]历练产出!$AB:$AB,0)),"")</f>
        <v/>
      </c>
      <c r="K5" s="1" t="str">
        <f>_xlfn.IFNA(INDEX([1]洞天福地产出!$H:$H,MATCH(B5,[1]洞天福地产出!$K:$K,0)),"")</f>
        <v/>
      </c>
      <c r="L5" s="1" t="str">
        <f t="shared" si="3"/>
        <v/>
      </c>
      <c r="M5" s="4">
        <f t="shared" si="4"/>
        <v>0</v>
      </c>
      <c r="S5" s="1">
        <v>2</v>
      </c>
      <c r="T5" s="1" t="s">
        <v>2476</v>
      </c>
    </row>
    <row r="6" ht="60" spans="1:20">
      <c r="A6" s="4"/>
      <c r="B6" t="str">
        <f t="shared" si="0"/>
        <v>0:3</v>
      </c>
      <c r="C6" s="4">
        <v>0</v>
      </c>
      <c r="D6" s="1">
        <v>3</v>
      </c>
      <c r="E6" s="3" t="s">
        <v>1745</v>
      </c>
      <c r="F6" s="3"/>
      <c r="G6" s="1">
        <f>1/1000000</f>
        <v>1e-6</v>
      </c>
      <c r="H6" s="1">
        <f t="shared" si="1"/>
        <v>1e-6</v>
      </c>
      <c r="I6" s="1" t="str">
        <f t="shared" si="2"/>
        <v/>
      </c>
      <c r="J6" s="1" t="str">
        <f>_xlfn.IFNA(INDEX([1]历练产出!$Z:$Z,MATCH(B6,[1]历练产出!$AB:$AB,0)),"")</f>
        <v/>
      </c>
      <c r="K6" s="1" t="str">
        <f>_xlfn.IFNA(INDEX([1]洞天福地产出!$H:$H,MATCH(B6,[1]洞天福地产出!$K:$K,0)),"")</f>
        <v/>
      </c>
      <c r="L6" s="1" t="str">
        <f t="shared" si="3"/>
        <v/>
      </c>
      <c r="M6" s="4">
        <f t="shared" si="4"/>
        <v>0</v>
      </c>
      <c r="S6" s="1">
        <v>3</v>
      </c>
      <c r="T6" s="1" t="s">
        <v>2477</v>
      </c>
    </row>
    <row r="7" ht="60" spans="1:20">
      <c r="A7" s="4"/>
      <c r="B7" t="str">
        <f t="shared" si="0"/>
        <v>0:4</v>
      </c>
      <c r="C7" s="4">
        <v>0</v>
      </c>
      <c r="D7" s="1">
        <v>4</v>
      </c>
      <c r="E7" s="3" t="s">
        <v>1746</v>
      </c>
      <c r="F7" s="3"/>
      <c r="G7" s="1">
        <f>648/30000000</f>
        <v>2.16e-5</v>
      </c>
      <c r="H7" s="1">
        <f t="shared" si="1"/>
        <v>2.16e-5</v>
      </c>
      <c r="I7" s="1" t="str">
        <f t="shared" si="2"/>
        <v/>
      </c>
      <c r="J7" s="1" t="str">
        <f>_xlfn.IFNA(INDEX([1]历练产出!$Z:$Z,MATCH(B7,[1]历练产出!$AB:$AB,0)),"")</f>
        <v/>
      </c>
      <c r="K7" s="1" t="str">
        <f>_xlfn.IFNA(INDEX([1]洞天福地产出!$H:$H,MATCH(B7,[1]洞天福地产出!$K:$K,0)),"")</f>
        <v/>
      </c>
      <c r="L7" s="1" t="str">
        <f t="shared" si="3"/>
        <v/>
      </c>
      <c r="M7" s="4">
        <f t="shared" si="4"/>
        <v>0</v>
      </c>
      <c r="S7" s="1">
        <v>4</v>
      </c>
      <c r="T7" s="1" t="s">
        <v>2478</v>
      </c>
    </row>
    <row r="8" ht="30" spans="1:20">
      <c r="A8" s="4"/>
      <c r="B8" t="str">
        <f t="shared" si="0"/>
        <v>0:5</v>
      </c>
      <c r="C8" s="4">
        <v>0</v>
      </c>
      <c r="D8" s="1">
        <v>5</v>
      </c>
      <c r="E8" s="3" t="s">
        <v>1747</v>
      </c>
      <c r="F8" s="3"/>
      <c r="G8" s="1">
        <v>1</v>
      </c>
      <c r="H8" s="1">
        <f t="shared" si="1"/>
        <v>1</v>
      </c>
      <c r="I8" s="1" t="str">
        <f t="shared" si="2"/>
        <v/>
      </c>
      <c r="J8" s="1" t="str">
        <f>_xlfn.IFNA(INDEX([1]历练产出!$Z:$Z,MATCH(B8,[1]历练产出!$AB:$AB,0)),"")</f>
        <v/>
      </c>
      <c r="K8" s="1" t="str">
        <f>_xlfn.IFNA(INDEX([1]洞天福地产出!$H:$H,MATCH(B8,[1]洞天福地产出!$K:$K,0)),"")</f>
        <v/>
      </c>
      <c r="L8" s="1" t="str">
        <f t="shared" si="3"/>
        <v/>
      </c>
      <c r="M8" s="4">
        <f t="shared" si="4"/>
        <v>0</v>
      </c>
      <c r="S8" s="1">
        <v>5</v>
      </c>
      <c r="T8" s="1" t="s">
        <v>2479</v>
      </c>
    </row>
    <row r="9" spans="1:20">
      <c r="A9" s="4"/>
      <c r="B9" t="str">
        <f t="shared" si="0"/>
        <v>0:6</v>
      </c>
      <c r="C9" s="4">
        <v>0</v>
      </c>
      <c r="D9" s="1">
        <v>6</v>
      </c>
      <c r="E9" s="3" t="s">
        <v>1748</v>
      </c>
      <c r="F9" s="3"/>
      <c r="G9" s="1">
        <v>1</v>
      </c>
      <c r="H9" s="1">
        <f t="shared" si="1"/>
        <v>1</v>
      </c>
      <c r="I9" s="1" t="str">
        <f t="shared" si="2"/>
        <v/>
      </c>
      <c r="J9" s="1" t="str">
        <f>_xlfn.IFNA(INDEX([1]历练产出!$Z:$Z,MATCH(B9,[1]历练产出!$AB:$AB,0)),"")</f>
        <v/>
      </c>
      <c r="K9" s="1" t="str">
        <f>_xlfn.IFNA(INDEX([1]洞天福地产出!$H:$H,MATCH(B9,[1]洞天福地产出!$K:$K,0)),"")</f>
        <v/>
      </c>
      <c r="L9" s="1" t="str">
        <f t="shared" si="3"/>
        <v/>
      </c>
      <c r="M9" s="4">
        <f t="shared" si="4"/>
        <v>0</v>
      </c>
      <c r="S9" s="1">
        <v>6</v>
      </c>
      <c r="T9" s="1" t="s">
        <v>2480</v>
      </c>
    </row>
    <row r="10" ht="30" spans="1:20">
      <c r="A10" s="4"/>
      <c r="B10" t="str">
        <f t="shared" si="0"/>
        <v>0:7</v>
      </c>
      <c r="C10" s="4">
        <v>0</v>
      </c>
      <c r="D10" s="1">
        <v>7</v>
      </c>
      <c r="E10" s="3" t="s">
        <v>1749</v>
      </c>
      <c r="F10" s="3"/>
      <c r="G10" s="1"/>
      <c r="H10" s="1">
        <f t="shared" si="1"/>
        <v>0</v>
      </c>
      <c r="I10" s="1" t="str">
        <f t="shared" si="2"/>
        <v/>
      </c>
      <c r="J10" s="1" t="str">
        <f>_xlfn.IFNA(INDEX([1]历练产出!$Z:$Z,MATCH(B10,[1]历练产出!$AB:$AB,0)),"")</f>
        <v/>
      </c>
      <c r="K10" s="1" t="str">
        <f>_xlfn.IFNA(INDEX([1]洞天福地产出!$H:$H,MATCH(B10,[1]洞天福地产出!$K:$K,0)),"")</f>
        <v/>
      </c>
      <c r="L10" s="1" t="str">
        <f t="shared" si="3"/>
        <v/>
      </c>
      <c r="M10" s="4">
        <f t="shared" si="4"/>
        <v>0</v>
      </c>
      <c r="S10" s="1">
        <v>7</v>
      </c>
      <c r="T10" s="1" t="s">
        <v>2481</v>
      </c>
    </row>
    <row r="11" ht="105" spans="1:20">
      <c r="A11" s="4"/>
      <c r="B11" t="str">
        <f t="shared" si="0"/>
        <v>0:8</v>
      </c>
      <c r="C11" s="4">
        <v>0</v>
      </c>
      <c r="D11" s="1">
        <v>8</v>
      </c>
      <c r="E11" s="3" t="s">
        <v>1750</v>
      </c>
      <c r="F11" s="3" t="s">
        <v>2482</v>
      </c>
      <c r="G11" s="1">
        <v>32.4</v>
      </c>
      <c r="H11" s="1">
        <f t="shared" si="1"/>
        <v>32.4</v>
      </c>
      <c r="I11" s="1" t="str">
        <f t="shared" si="2"/>
        <v/>
      </c>
      <c r="J11" s="1" t="str">
        <f>_xlfn.IFNA(INDEX([1]历练产出!$Z:$Z,MATCH(B11,[1]历练产出!$AB:$AB,0)),"")</f>
        <v/>
      </c>
      <c r="K11" s="1" t="str">
        <f>_xlfn.IFNA(INDEX([1]洞天福地产出!$H:$H,MATCH(B11,[1]洞天福地产出!$K:$K,0)),"")</f>
        <v/>
      </c>
      <c r="L11" s="1" t="str">
        <f t="shared" si="3"/>
        <v/>
      </c>
      <c r="M11" s="4">
        <f t="shared" si="4"/>
        <v>0</v>
      </c>
      <c r="S11" s="1">
        <v>8</v>
      </c>
      <c r="T11" s="1" t="s">
        <v>2483</v>
      </c>
    </row>
    <row r="12" ht="30" spans="1:20">
      <c r="A12" s="4"/>
      <c r="B12" t="str">
        <f t="shared" si="0"/>
        <v>0:10</v>
      </c>
      <c r="C12" s="4">
        <v>0</v>
      </c>
      <c r="D12" s="1">
        <v>10</v>
      </c>
      <c r="E12" s="3" t="s">
        <v>1751</v>
      </c>
      <c r="F12" s="3" t="s">
        <v>2484</v>
      </c>
      <c r="G12" s="1">
        <v>0.001</v>
      </c>
      <c r="H12" s="1">
        <f t="shared" si="1"/>
        <v>0.001</v>
      </c>
      <c r="I12" s="1" t="str">
        <f t="shared" si="2"/>
        <v/>
      </c>
      <c r="J12" s="1" t="str">
        <f>_xlfn.IFNA(INDEX([1]历练产出!$Z:$Z,MATCH(B12,[1]历练产出!$AB:$AB,0)),"")</f>
        <v/>
      </c>
      <c r="K12" s="1" t="str">
        <f>_xlfn.IFNA(INDEX([1]洞天福地产出!$H:$H,MATCH(B12,[1]洞天福地产出!$K:$K,0)),"")</f>
        <v/>
      </c>
      <c r="L12" s="1" t="str">
        <f t="shared" si="3"/>
        <v/>
      </c>
      <c r="M12" s="4">
        <f t="shared" si="4"/>
        <v>0</v>
      </c>
      <c r="S12" s="1">
        <v>13</v>
      </c>
      <c r="T12" s="1" t="s">
        <v>2485</v>
      </c>
    </row>
    <row r="13" ht="28.5" customHeight="1" spans="1:20">
      <c r="A13" s="4"/>
      <c r="B13" t="str">
        <f t="shared" si="0"/>
        <v>0:11</v>
      </c>
      <c r="C13" s="4">
        <v>0</v>
      </c>
      <c r="D13" s="1">
        <v>11</v>
      </c>
      <c r="E13" s="3" t="s">
        <v>1752</v>
      </c>
      <c r="F13" s="3"/>
      <c r="G13" s="1">
        <v>0.001</v>
      </c>
      <c r="H13" s="1">
        <f t="shared" si="1"/>
        <v>0.001</v>
      </c>
      <c r="I13" s="1" t="str">
        <f t="shared" si="2"/>
        <v/>
      </c>
      <c r="J13" s="1" t="str">
        <f>_xlfn.IFNA(INDEX([1]历练产出!$Z:$Z,MATCH(B13,[1]历练产出!$AB:$AB,0)),"")</f>
        <v/>
      </c>
      <c r="K13" s="1" t="str">
        <f>_xlfn.IFNA(INDEX([1]洞天福地产出!$H:$H,MATCH(B13,[1]洞天福地产出!$K:$K,0)),"")</f>
        <v/>
      </c>
      <c r="L13" s="1" t="str">
        <f t="shared" si="3"/>
        <v/>
      </c>
      <c r="M13" s="4">
        <f t="shared" si="4"/>
        <v>0</v>
      </c>
      <c r="S13" s="4"/>
      <c r="T13" s="4"/>
    </row>
    <row r="14" ht="60" spans="1:13">
      <c r="A14" s="4"/>
      <c r="B14" t="str">
        <f t="shared" si="0"/>
        <v>0:12</v>
      </c>
      <c r="C14" s="4">
        <v>0</v>
      </c>
      <c r="D14" s="1">
        <v>12</v>
      </c>
      <c r="E14" s="3" t="s">
        <v>1753</v>
      </c>
      <c r="F14" s="3"/>
      <c r="G14" s="1">
        <f>328/10000</f>
        <v>0.0328</v>
      </c>
      <c r="H14" s="1">
        <f t="shared" si="1"/>
        <v>0.0328</v>
      </c>
      <c r="I14" s="1" t="str">
        <f t="shared" si="2"/>
        <v/>
      </c>
      <c r="J14" s="1" t="str">
        <f>_xlfn.IFNA(INDEX([1]历练产出!$Z:$Z,MATCH(B14,[1]历练产出!$AB:$AB,0)),"")</f>
        <v/>
      </c>
      <c r="K14" s="1" t="str">
        <f>_xlfn.IFNA(INDEX([1]洞天福地产出!$H:$H,MATCH(B14,[1]洞天福地产出!$K:$K,0)),"")</f>
        <v/>
      </c>
      <c r="L14" s="1" t="str">
        <f t="shared" si="3"/>
        <v/>
      </c>
      <c r="M14" s="4">
        <f t="shared" si="4"/>
        <v>0</v>
      </c>
    </row>
    <row r="15" ht="45" spans="1:13">
      <c r="A15" s="4"/>
      <c r="B15" t="str">
        <f t="shared" si="0"/>
        <v>0:13</v>
      </c>
      <c r="C15" s="4">
        <v>0</v>
      </c>
      <c r="D15" s="1">
        <v>13</v>
      </c>
      <c r="E15" s="3" t="s">
        <v>1754</v>
      </c>
      <c r="F15" s="3"/>
      <c r="G15" s="1">
        <v>0.001</v>
      </c>
      <c r="H15" s="1">
        <f t="shared" si="1"/>
        <v>0.001</v>
      </c>
      <c r="I15" s="1" t="str">
        <f t="shared" si="2"/>
        <v/>
      </c>
      <c r="J15" s="1" t="str">
        <f>_xlfn.IFNA(INDEX([1]历练产出!$Z:$Z,MATCH(B15,[1]历练产出!$AB:$AB,0)),"")</f>
        <v/>
      </c>
      <c r="K15" s="1" t="str">
        <f>_xlfn.IFNA(INDEX([1]洞天福地产出!$H:$H,MATCH(B15,[1]洞天福地产出!$K:$K,0)),"")</f>
        <v/>
      </c>
      <c r="L15" s="1" t="str">
        <f t="shared" si="3"/>
        <v/>
      </c>
      <c r="M15" s="4">
        <f t="shared" si="4"/>
        <v>0</v>
      </c>
    </row>
    <row r="16" spans="1:13">
      <c r="A16" s="4"/>
      <c r="B16" t="str">
        <f t="shared" si="0"/>
        <v>0:14</v>
      </c>
      <c r="C16" s="4">
        <v>0</v>
      </c>
      <c r="D16" s="1">
        <v>14</v>
      </c>
      <c r="E16" s="3" t="s">
        <v>1755</v>
      </c>
      <c r="F16" s="3"/>
      <c r="G16" s="1">
        <v>0.001</v>
      </c>
      <c r="H16" s="1">
        <f t="shared" si="1"/>
        <v>0.001</v>
      </c>
      <c r="I16" s="1" t="str">
        <f t="shared" si="2"/>
        <v/>
      </c>
      <c r="J16" s="1" t="str">
        <f>_xlfn.IFNA(INDEX([1]历练产出!$Z:$Z,MATCH(B16,[1]历练产出!$AB:$AB,0)),"")</f>
        <v/>
      </c>
      <c r="K16" s="1" t="str">
        <f>_xlfn.IFNA(INDEX([1]洞天福地产出!$H:$H,MATCH(B16,[1]洞天福地产出!$K:$K,0)),"")</f>
        <v/>
      </c>
      <c r="L16" s="1" t="str">
        <f t="shared" si="3"/>
        <v/>
      </c>
      <c r="M16" s="4">
        <f t="shared" si="4"/>
        <v>0</v>
      </c>
    </row>
    <row r="17" ht="28.5" customHeight="1" spans="1:13">
      <c r="A17" s="4"/>
      <c r="B17" t="str">
        <f t="shared" si="0"/>
        <v>0:15</v>
      </c>
      <c r="C17" s="4">
        <v>0</v>
      </c>
      <c r="D17" s="1">
        <v>15</v>
      </c>
      <c r="E17" s="3" t="s">
        <v>1756</v>
      </c>
      <c r="F17" s="3"/>
      <c r="G17" s="1">
        <v>0.001</v>
      </c>
      <c r="H17" s="1">
        <f t="shared" si="1"/>
        <v>0.001</v>
      </c>
      <c r="I17" s="1" t="str">
        <f t="shared" si="2"/>
        <v/>
      </c>
      <c r="J17" s="1" t="str">
        <f>_xlfn.IFNA(INDEX([1]历练产出!$Z:$Z,MATCH(B17,[1]历练产出!$AB:$AB,0)),"")</f>
        <v/>
      </c>
      <c r="K17" s="1" t="str">
        <f>_xlfn.IFNA(INDEX([1]洞天福地产出!$H:$H,MATCH(B17,[1]洞天福地产出!$K:$K,0)),"")</f>
        <v/>
      </c>
      <c r="L17" s="1" t="str">
        <f t="shared" si="3"/>
        <v/>
      </c>
      <c r="M17" s="4">
        <f t="shared" si="4"/>
        <v>0</v>
      </c>
    </row>
    <row r="18" ht="30" spans="1:13">
      <c r="A18" s="4"/>
      <c r="B18" t="str">
        <f t="shared" si="0"/>
        <v>0:16</v>
      </c>
      <c r="C18" s="4">
        <v>0</v>
      </c>
      <c r="D18" s="1">
        <v>16</v>
      </c>
      <c r="E18" s="3" t="s">
        <v>1757</v>
      </c>
      <c r="F18" s="3"/>
      <c r="G18" s="1">
        <v>10</v>
      </c>
      <c r="H18" s="1">
        <f t="shared" si="1"/>
        <v>10</v>
      </c>
      <c r="I18" s="1" t="str">
        <f t="shared" si="2"/>
        <v/>
      </c>
      <c r="J18" s="1" t="str">
        <f>_xlfn.IFNA(INDEX([1]历练产出!$Z:$Z,MATCH(B18,[1]历练产出!$AB:$AB,0)),"")</f>
        <v/>
      </c>
      <c r="K18" s="1" t="str">
        <f>_xlfn.IFNA(INDEX([1]洞天福地产出!$H:$H,MATCH(B18,[1]洞天福地产出!$K:$K,0)),"")</f>
        <v/>
      </c>
      <c r="L18" s="1" t="str">
        <f t="shared" si="3"/>
        <v/>
      </c>
      <c r="M18" s="4">
        <f t="shared" si="4"/>
        <v>0</v>
      </c>
    </row>
    <row r="19" ht="28.5" customHeight="1" spans="1:13">
      <c r="A19" s="4"/>
      <c r="B19" t="str">
        <f t="shared" si="0"/>
        <v>0:17</v>
      </c>
      <c r="C19" s="4">
        <v>0</v>
      </c>
      <c r="D19" s="1">
        <v>17</v>
      </c>
      <c r="E19" s="3" t="s">
        <v>1758</v>
      </c>
      <c r="F19" s="3"/>
      <c r="G19" s="1">
        <v>0.001</v>
      </c>
      <c r="H19" s="1">
        <f t="shared" si="1"/>
        <v>0.001</v>
      </c>
      <c r="I19" s="1" t="str">
        <f t="shared" si="2"/>
        <v/>
      </c>
      <c r="J19" s="1" t="str">
        <f>_xlfn.IFNA(INDEX([1]历练产出!$Z:$Z,MATCH(B19,[1]历练产出!$AB:$AB,0)),"")</f>
        <v/>
      </c>
      <c r="K19" s="1" t="str">
        <f>_xlfn.IFNA(INDEX([1]洞天福地产出!$H:$H,MATCH(B19,[1]洞天福地产出!$K:$K,0)),"")</f>
        <v/>
      </c>
      <c r="L19" s="1" t="str">
        <f t="shared" si="3"/>
        <v/>
      </c>
      <c r="M19" s="4">
        <f t="shared" si="4"/>
        <v>0</v>
      </c>
    </row>
    <row r="20" ht="28.5" customHeight="1" spans="1:13">
      <c r="A20" s="4"/>
      <c r="B20" t="str">
        <f t="shared" si="0"/>
        <v>0:18</v>
      </c>
      <c r="C20" s="4">
        <v>0</v>
      </c>
      <c r="D20" s="1">
        <v>18</v>
      </c>
      <c r="E20" s="3" t="s">
        <v>1759</v>
      </c>
      <c r="F20" s="3"/>
      <c r="G20" s="1">
        <v>0.001</v>
      </c>
      <c r="H20" s="1">
        <f t="shared" si="1"/>
        <v>0.001</v>
      </c>
      <c r="I20" s="1" t="str">
        <f t="shared" si="2"/>
        <v/>
      </c>
      <c r="J20" s="1" t="str">
        <f>_xlfn.IFNA(INDEX([1]历练产出!$Z:$Z,MATCH(B20,[1]历练产出!$AB:$AB,0)),"")</f>
        <v/>
      </c>
      <c r="K20" s="1" t="str">
        <f>_xlfn.IFNA(INDEX([1]洞天福地产出!$H:$H,MATCH(B20,[1]洞天福地产出!$K:$K,0)),"")</f>
        <v/>
      </c>
      <c r="L20" s="1" t="str">
        <f t="shared" si="3"/>
        <v/>
      </c>
      <c r="M20" s="4">
        <f t="shared" si="4"/>
        <v>0</v>
      </c>
    </row>
    <row r="21" ht="28.5" customHeight="1" spans="1:13">
      <c r="A21" s="4"/>
      <c r="B21" t="str">
        <f t="shared" si="0"/>
        <v>0:19</v>
      </c>
      <c r="C21" s="4">
        <v>0</v>
      </c>
      <c r="D21" s="1">
        <v>19</v>
      </c>
      <c r="E21" s="3" t="s">
        <v>1760</v>
      </c>
      <c r="F21" s="3"/>
      <c r="G21" s="1">
        <v>0.001</v>
      </c>
      <c r="H21" s="1">
        <f t="shared" si="1"/>
        <v>0.001</v>
      </c>
      <c r="I21" s="1" t="str">
        <f t="shared" si="2"/>
        <v/>
      </c>
      <c r="J21" s="1" t="str">
        <f>_xlfn.IFNA(INDEX([1]历练产出!$Z:$Z,MATCH(B21,[1]历练产出!$AB:$AB,0)),"")</f>
        <v/>
      </c>
      <c r="K21" s="1" t="str">
        <f>_xlfn.IFNA(INDEX([1]洞天福地产出!$H:$H,MATCH(B21,[1]洞天福地产出!$K:$K,0)),"")</f>
        <v/>
      </c>
      <c r="L21" s="1" t="str">
        <f t="shared" si="3"/>
        <v/>
      </c>
      <c r="M21" s="4">
        <f t="shared" si="4"/>
        <v>0</v>
      </c>
    </row>
    <row r="22" ht="28.5" customHeight="1" spans="1:13">
      <c r="A22" s="4"/>
      <c r="B22" t="str">
        <f t="shared" si="0"/>
        <v>0:20</v>
      </c>
      <c r="C22" s="4">
        <v>0</v>
      </c>
      <c r="D22" s="1">
        <v>20</v>
      </c>
      <c r="E22" s="3" t="s">
        <v>1761</v>
      </c>
      <c r="F22" s="3"/>
      <c r="G22" s="1">
        <v>0.001</v>
      </c>
      <c r="H22" s="1">
        <f t="shared" si="1"/>
        <v>0.001</v>
      </c>
      <c r="I22" s="1" t="str">
        <f t="shared" si="2"/>
        <v/>
      </c>
      <c r="J22" s="1" t="str">
        <f>_xlfn.IFNA(INDEX([1]历练产出!$Z:$Z,MATCH(B22,[1]历练产出!$AB:$AB,0)),"")</f>
        <v/>
      </c>
      <c r="K22" s="1" t="str">
        <f>_xlfn.IFNA(INDEX([1]洞天福地产出!$H:$H,MATCH(B22,[1]洞天福地产出!$K:$K,0)),"")</f>
        <v/>
      </c>
      <c r="L22" s="1" t="str">
        <f t="shared" si="3"/>
        <v/>
      </c>
      <c r="M22" s="4">
        <f t="shared" si="4"/>
        <v>0</v>
      </c>
    </row>
    <row r="23" spans="1:13">
      <c r="A23" s="4" t="s">
        <v>2486</v>
      </c>
      <c r="B23" t="str">
        <f t="shared" si="0"/>
        <v>:</v>
      </c>
      <c r="C23" s="4"/>
      <c r="D23" s="1"/>
      <c r="E23" s="3"/>
      <c r="F23" s="3"/>
      <c r="G23" s="1"/>
      <c r="H23" s="1">
        <f t="shared" si="1"/>
        <v>0</v>
      </c>
      <c r="I23" s="1" t="str">
        <f t="shared" si="2"/>
        <v/>
      </c>
      <c r="J23" s="1" t="str">
        <f>_xlfn.IFNA(INDEX([1]历练产出!$Z:$Z,MATCH(B23,[1]历练产出!$AB:$AB,0)),"")</f>
        <v/>
      </c>
      <c r="K23" s="1" t="str">
        <f>_xlfn.IFNA(INDEX([1]洞天福地产出!$H:$H,MATCH(B23,[1]洞天福地产出!$K:$K,0)),"")</f>
        <v/>
      </c>
      <c r="L23" s="1" t="str">
        <f t="shared" si="3"/>
        <v/>
      </c>
      <c r="M23" s="4">
        <f t="shared" si="4"/>
        <v>0</v>
      </c>
    </row>
    <row r="24" ht="28.5" customHeight="1" spans="1:13">
      <c r="A24" s="4"/>
      <c r="B24" t="str">
        <f t="shared" si="0"/>
        <v>4:606013</v>
      </c>
      <c r="C24" s="4">
        <v>4</v>
      </c>
      <c r="D24" s="4">
        <v>606013</v>
      </c>
      <c r="E24" s="3" t="s">
        <v>1762</v>
      </c>
      <c r="F24" s="3"/>
      <c r="G24" s="1">
        <f>G26*0.2/4</f>
        <v>0.324</v>
      </c>
      <c r="H24" s="1">
        <f t="shared" si="1"/>
        <v>0.324</v>
      </c>
      <c r="I24" s="1" t="str">
        <f t="shared" si="2"/>
        <v/>
      </c>
      <c r="J24" s="1" t="str">
        <f>_xlfn.IFNA(INDEX([1]历练产出!$Z:$Z,MATCH(B24,[1]历练产出!$AB:$AB,0)),"")</f>
        <v/>
      </c>
      <c r="K24" s="1" t="str">
        <f>_xlfn.IFNA(INDEX([1]洞天福地产出!$H:$H,MATCH(B24,[1]洞天福地产出!$K:$K,0)),"")</f>
        <v/>
      </c>
      <c r="L24" s="1" t="str">
        <f t="shared" si="3"/>
        <v/>
      </c>
      <c r="M24" s="4">
        <f t="shared" si="4"/>
        <v>0</v>
      </c>
    </row>
    <row r="25" ht="28.5" customHeight="1" spans="1:13">
      <c r="A25" s="4"/>
      <c r="B25" t="str">
        <f t="shared" si="0"/>
        <v>4:606001</v>
      </c>
      <c r="C25" s="4">
        <v>4</v>
      </c>
      <c r="D25" s="4">
        <v>606001</v>
      </c>
      <c r="E25" s="3" t="s">
        <v>1763</v>
      </c>
      <c r="F25" s="3"/>
      <c r="G25" s="1">
        <f>G26*0.8/5</f>
        <v>1.0368</v>
      </c>
      <c r="H25" s="1">
        <f t="shared" si="1"/>
        <v>1.0368</v>
      </c>
      <c r="I25" s="1" t="str">
        <f t="shared" si="2"/>
        <v/>
      </c>
      <c r="J25" s="1" t="str">
        <f>_xlfn.IFNA(INDEX([1]历练产出!$Z:$Z,MATCH(B25,[1]历练产出!$AB:$AB,0)),"")</f>
        <v/>
      </c>
      <c r="K25" s="1" t="str">
        <f>_xlfn.IFNA(INDEX([1]洞天福地产出!$H:$H,MATCH(B25,[1]洞天福地产出!$K:$K,0)),"")</f>
        <v/>
      </c>
      <c r="L25" s="1" t="str">
        <f t="shared" si="3"/>
        <v/>
      </c>
      <c r="M25" s="4">
        <f t="shared" si="4"/>
        <v>0</v>
      </c>
    </row>
    <row r="26" ht="28.5" customHeight="1" spans="1:13">
      <c r="A26" s="4"/>
      <c r="B26" t="str">
        <f t="shared" si="0"/>
        <v>4:606002</v>
      </c>
      <c r="C26" s="4">
        <v>4</v>
      </c>
      <c r="D26" s="4">
        <v>606002</v>
      </c>
      <c r="E26" s="3" t="s">
        <v>1764</v>
      </c>
      <c r="F26" s="3"/>
      <c r="G26" s="1">
        <v>6.48</v>
      </c>
      <c r="H26" s="1">
        <f t="shared" si="1"/>
        <v>0.545485062101376</v>
      </c>
      <c r="I26" s="1">
        <f t="shared" si="2"/>
        <v>0.545485062101376</v>
      </c>
      <c r="J26" s="1">
        <f>_xlfn.IFNA(INDEX([1]历练产出!$Z:$Z,MATCH(B26,[1]历练产出!$AB:$AB,0)),"")</f>
        <v>180</v>
      </c>
      <c r="K26" s="1">
        <f>_xlfn.IFNA(INDEX([1]洞天福地产出!$H:$H,MATCH(B26,[1]洞天福地产出!$K:$K,0)),"")</f>
        <v>3.32307692307692</v>
      </c>
      <c r="L26" s="1">
        <f t="shared" si="3"/>
        <v>183.323076923077</v>
      </c>
      <c r="M26" s="4">
        <f t="shared" si="4"/>
        <v>1</v>
      </c>
    </row>
    <row r="27" ht="28.5" customHeight="1" spans="1:13">
      <c r="A27" s="4"/>
      <c r="B27" t="str">
        <f t="shared" si="0"/>
        <v>4:606003</v>
      </c>
      <c r="C27" s="4">
        <v>4</v>
      </c>
      <c r="D27" s="4">
        <v>606003</v>
      </c>
      <c r="E27" s="3" t="s">
        <v>1765</v>
      </c>
      <c r="F27" s="3"/>
      <c r="G27" s="1">
        <v>1.0368</v>
      </c>
      <c r="H27" s="1">
        <f t="shared" si="1"/>
        <v>1.0368</v>
      </c>
      <c r="I27" s="1" t="str">
        <f t="shared" si="2"/>
        <v/>
      </c>
      <c r="J27" s="1" t="str">
        <f>_xlfn.IFNA(INDEX([1]历练产出!$Z:$Z,MATCH(B27,[1]历练产出!$AB:$AB,0)),"")</f>
        <v/>
      </c>
      <c r="K27" s="1" t="str">
        <f>_xlfn.IFNA(INDEX([1]洞天福地产出!$H:$H,MATCH(B27,[1]洞天福地产出!$K:$K,0)),"")</f>
        <v/>
      </c>
      <c r="L27" s="1" t="str">
        <f t="shared" si="3"/>
        <v/>
      </c>
      <c r="M27" s="4">
        <f t="shared" si="4"/>
        <v>0</v>
      </c>
    </row>
    <row r="28" ht="28.5" customHeight="1" spans="1:13">
      <c r="A28" s="4"/>
      <c r="B28" t="str">
        <f t="shared" si="0"/>
        <v>4:606004</v>
      </c>
      <c r="C28" s="4">
        <v>4</v>
      </c>
      <c r="D28" s="4">
        <v>606004</v>
      </c>
      <c r="E28" s="3" t="s">
        <v>1766</v>
      </c>
      <c r="F28" s="3"/>
      <c r="G28" s="1">
        <v>1.0368</v>
      </c>
      <c r="H28" s="1">
        <f t="shared" si="1"/>
        <v>1.0368</v>
      </c>
      <c r="I28" s="1" t="str">
        <f t="shared" si="2"/>
        <v/>
      </c>
      <c r="J28" s="1" t="str">
        <f>_xlfn.IFNA(INDEX([1]历练产出!$Z:$Z,MATCH(B28,[1]历练产出!$AB:$AB,0)),"")</f>
        <v/>
      </c>
      <c r="K28" s="1" t="str">
        <f>_xlfn.IFNA(INDEX([1]洞天福地产出!$H:$H,MATCH(B28,[1]洞天福地产出!$K:$K,0)),"")</f>
        <v/>
      </c>
      <c r="L28" s="1" t="str">
        <f t="shared" si="3"/>
        <v/>
      </c>
      <c r="M28" s="4">
        <f t="shared" si="4"/>
        <v>0</v>
      </c>
    </row>
    <row r="29" ht="28.5" customHeight="1" spans="1:13">
      <c r="A29" s="4"/>
      <c r="B29" t="str">
        <f t="shared" si="0"/>
        <v>4:606005</v>
      </c>
      <c r="C29" s="4">
        <v>4</v>
      </c>
      <c r="D29" s="4">
        <v>606005</v>
      </c>
      <c r="E29" s="3" t="s">
        <v>1767</v>
      </c>
      <c r="F29" s="3"/>
      <c r="G29" s="1">
        <v>1.0368</v>
      </c>
      <c r="H29" s="1">
        <f t="shared" si="1"/>
        <v>1.0368</v>
      </c>
      <c r="I29" s="1" t="str">
        <f t="shared" si="2"/>
        <v/>
      </c>
      <c r="J29" s="1" t="str">
        <f>_xlfn.IFNA(INDEX([1]历练产出!$Z:$Z,MATCH(B29,[1]历练产出!$AB:$AB,0)),"")</f>
        <v/>
      </c>
      <c r="K29" s="1" t="str">
        <f>_xlfn.IFNA(INDEX([1]洞天福地产出!$H:$H,MATCH(B29,[1]洞天福地产出!$K:$K,0)),"")</f>
        <v/>
      </c>
      <c r="L29" s="1" t="str">
        <f t="shared" si="3"/>
        <v/>
      </c>
      <c r="M29" s="4">
        <f t="shared" si="4"/>
        <v>0</v>
      </c>
    </row>
    <row r="30" ht="28.5" customHeight="1" spans="1:13">
      <c r="A30" s="4"/>
      <c r="B30" t="str">
        <f t="shared" si="0"/>
        <v>4:606006</v>
      </c>
      <c r="C30" s="4">
        <v>4</v>
      </c>
      <c r="D30" s="4">
        <v>606006</v>
      </c>
      <c r="E30" s="3" t="s">
        <v>1768</v>
      </c>
      <c r="F30" s="3"/>
      <c r="G30" s="1">
        <v>1.0368</v>
      </c>
      <c r="H30" s="1">
        <f t="shared" si="1"/>
        <v>1.0368</v>
      </c>
      <c r="I30" s="1" t="str">
        <f t="shared" si="2"/>
        <v/>
      </c>
      <c r="J30" s="1" t="str">
        <f>_xlfn.IFNA(INDEX([1]历练产出!$Z:$Z,MATCH(B30,[1]历练产出!$AB:$AB,0)),"")</f>
        <v/>
      </c>
      <c r="K30" s="1" t="str">
        <f>_xlfn.IFNA(INDEX([1]洞天福地产出!$H:$H,MATCH(B30,[1]洞天福地产出!$K:$K,0)),"")</f>
        <v/>
      </c>
      <c r="L30" s="1" t="str">
        <f t="shared" si="3"/>
        <v/>
      </c>
      <c r="M30" s="4">
        <f t="shared" si="4"/>
        <v>0</v>
      </c>
    </row>
    <row r="31" ht="28.5" customHeight="1" spans="1:13">
      <c r="A31" s="4"/>
      <c r="B31" t="str">
        <f t="shared" si="0"/>
        <v>4:606007</v>
      </c>
      <c r="C31" s="4">
        <v>4</v>
      </c>
      <c r="D31" s="4">
        <v>606007</v>
      </c>
      <c r="E31" s="3" t="s">
        <v>1769</v>
      </c>
      <c r="F31" s="3"/>
      <c r="G31" s="1">
        <v>1.0368</v>
      </c>
      <c r="H31" s="1">
        <f t="shared" si="1"/>
        <v>1.0368</v>
      </c>
      <c r="I31" s="1" t="str">
        <f t="shared" si="2"/>
        <v/>
      </c>
      <c r="J31" s="1" t="str">
        <f>_xlfn.IFNA(INDEX([1]历练产出!$Z:$Z,MATCH(B31,[1]历练产出!$AB:$AB,0)),"")</f>
        <v/>
      </c>
      <c r="K31" s="1" t="str">
        <f>_xlfn.IFNA(INDEX([1]洞天福地产出!$H:$H,MATCH(B31,[1]洞天福地产出!$K:$K,0)),"")</f>
        <v/>
      </c>
      <c r="L31" s="1" t="str">
        <f t="shared" si="3"/>
        <v/>
      </c>
      <c r="M31" s="4">
        <f t="shared" si="4"/>
        <v>0</v>
      </c>
    </row>
    <row r="32" ht="28.5" customHeight="1" spans="1:13">
      <c r="A32" s="4"/>
      <c r="B32" t="str">
        <f t="shared" si="0"/>
        <v>4:606008</v>
      </c>
      <c r="C32" s="4">
        <v>4</v>
      </c>
      <c r="D32" s="4">
        <v>606008</v>
      </c>
      <c r="E32" s="3" t="s">
        <v>1770</v>
      </c>
      <c r="F32" s="3"/>
      <c r="G32" s="1">
        <v>6.48</v>
      </c>
      <c r="H32" s="1">
        <f t="shared" si="1"/>
        <v>6.48</v>
      </c>
      <c r="I32" s="1" t="str">
        <f t="shared" si="2"/>
        <v/>
      </c>
      <c r="J32" s="1" t="str">
        <f>_xlfn.IFNA(INDEX([1]历练产出!$Z:$Z,MATCH(B32,[1]历练产出!$AB:$AB,0)),"")</f>
        <v/>
      </c>
      <c r="K32" s="1" t="str">
        <f>_xlfn.IFNA(INDEX([1]洞天福地产出!$H:$H,MATCH(B32,[1]洞天福地产出!$K:$K,0)),"")</f>
        <v/>
      </c>
      <c r="L32" s="1" t="str">
        <f t="shared" si="3"/>
        <v/>
      </c>
      <c r="M32" s="4">
        <f t="shared" si="4"/>
        <v>0</v>
      </c>
    </row>
    <row r="33" ht="28.5" customHeight="1" spans="1:13">
      <c r="A33" s="4"/>
      <c r="B33" t="str">
        <f t="shared" si="0"/>
        <v>4:606009</v>
      </c>
      <c r="C33" s="4">
        <v>4</v>
      </c>
      <c r="D33" s="4">
        <v>606009</v>
      </c>
      <c r="E33" s="3" t="s">
        <v>1771</v>
      </c>
      <c r="F33" s="3"/>
      <c r="G33" s="1">
        <v>6.48</v>
      </c>
      <c r="H33" s="1">
        <f t="shared" si="1"/>
        <v>6.48</v>
      </c>
      <c r="I33" s="1" t="str">
        <f t="shared" si="2"/>
        <v/>
      </c>
      <c r="J33" s="1" t="str">
        <f>_xlfn.IFNA(INDEX([1]历练产出!$Z:$Z,MATCH(B33,[1]历练产出!$AB:$AB,0)),"")</f>
        <v/>
      </c>
      <c r="K33" s="1" t="str">
        <f>_xlfn.IFNA(INDEX([1]洞天福地产出!$H:$H,MATCH(B33,[1]洞天福地产出!$K:$K,0)),"")</f>
        <v/>
      </c>
      <c r="L33" s="1" t="str">
        <f t="shared" si="3"/>
        <v/>
      </c>
      <c r="M33" s="4">
        <f t="shared" si="4"/>
        <v>0</v>
      </c>
    </row>
    <row r="34" ht="28.5" customHeight="1" spans="1:13">
      <c r="A34" s="4"/>
      <c r="B34" t="str">
        <f t="shared" si="0"/>
        <v>4:606010</v>
      </c>
      <c r="C34" s="4">
        <v>4</v>
      </c>
      <c r="D34" s="4">
        <v>606010</v>
      </c>
      <c r="E34" s="3" t="s">
        <v>1772</v>
      </c>
      <c r="F34" s="3"/>
      <c r="G34" s="1">
        <v>6.48</v>
      </c>
      <c r="H34" s="1">
        <f t="shared" si="1"/>
        <v>6.48</v>
      </c>
      <c r="I34" s="1" t="str">
        <f t="shared" si="2"/>
        <v/>
      </c>
      <c r="J34" s="1" t="str">
        <f>_xlfn.IFNA(INDEX([1]历练产出!$Z:$Z,MATCH(B34,[1]历练产出!$AB:$AB,0)),"")</f>
        <v/>
      </c>
      <c r="K34" s="1" t="str">
        <f>_xlfn.IFNA(INDEX([1]洞天福地产出!$H:$H,MATCH(B34,[1]洞天福地产出!$K:$K,0)),"")</f>
        <v/>
      </c>
      <c r="L34" s="1" t="str">
        <f t="shared" si="3"/>
        <v/>
      </c>
      <c r="M34" s="4">
        <f t="shared" si="4"/>
        <v>0</v>
      </c>
    </row>
    <row r="35" ht="28.5" customHeight="1" spans="1:13">
      <c r="A35" s="4"/>
      <c r="B35" t="str">
        <f t="shared" si="0"/>
        <v>4:606011</v>
      </c>
      <c r="C35" s="4">
        <v>4</v>
      </c>
      <c r="D35" s="4">
        <v>606011</v>
      </c>
      <c r="E35" s="3" t="s">
        <v>1773</v>
      </c>
      <c r="F35" s="3"/>
      <c r="G35" s="1">
        <v>6.48</v>
      </c>
      <c r="H35" s="1">
        <f t="shared" si="1"/>
        <v>6.48</v>
      </c>
      <c r="I35" s="1" t="str">
        <f t="shared" si="2"/>
        <v/>
      </c>
      <c r="J35" s="1" t="str">
        <f>_xlfn.IFNA(INDEX([1]历练产出!$Z:$Z,MATCH(B35,[1]历练产出!$AB:$AB,0)),"")</f>
        <v/>
      </c>
      <c r="K35" s="1" t="str">
        <f>_xlfn.IFNA(INDEX([1]洞天福地产出!$H:$H,MATCH(B35,[1]洞天福地产出!$K:$K,0)),"")</f>
        <v/>
      </c>
      <c r="L35" s="1" t="str">
        <f t="shared" si="3"/>
        <v/>
      </c>
      <c r="M35" s="4">
        <f t="shared" si="4"/>
        <v>0</v>
      </c>
    </row>
    <row r="36" ht="28.5" customHeight="1" spans="1:13">
      <c r="A36" s="4"/>
      <c r="B36" t="str">
        <f t="shared" si="0"/>
        <v>4:606012</v>
      </c>
      <c r="C36" s="4">
        <v>4</v>
      </c>
      <c r="D36" s="4">
        <v>606012</v>
      </c>
      <c r="E36" s="3" t="s">
        <v>1774</v>
      </c>
      <c r="F36" s="3"/>
      <c r="G36" s="1">
        <v>6.48</v>
      </c>
      <c r="H36" s="1">
        <f t="shared" si="1"/>
        <v>6.48</v>
      </c>
      <c r="I36" s="1" t="str">
        <f t="shared" si="2"/>
        <v/>
      </c>
      <c r="J36" s="1" t="str">
        <f>_xlfn.IFNA(INDEX([1]历练产出!$Z:$Z,MATCH(B36,[1]历练产出!$AB:$AB,0)),"")</f>
        <v/>
      </c>
      <c r="K36" s="1" t="str">
        <f>_xlfn.IFNA(INDEX([1]洞天福地产出!$H:$H,MATCH(B36,[1]洞天福地产出!$K:$K,0)),"")</f>
        <v/>
      </c>
      <c r="L36" s="1" t="str">
        <f t="shared" si="3"/>
        <v/>
      </c>
      <c r="M36" s="4">
        <f t="shared" si="4"/>
        <v>0</v>
      </c>
    </row>
    <row r="37" ht="28.5" customHeight="1" spans="1:13">
      <c r="A37" s="4"/>
      <c r="B37" t="str">
        <f t="shared" si="0"/>
        <v>4:606014</v>
      </c>
      <c r="C37" s="4">
        <v>4</v>
      </c>
      <c r="D37" s="4">
        <v>606014</v>
      </c>
      <c r="E37" s="3" t="s">
        <v>1775</v>
      </c>
      <c r="F37" s="3"/>
      <c r="G37" s="1">
        <v>6.48</v>
      </c>
      <c r="H37" s="1">
        <f t="shared" si="1"/>
        <v>6.48</v>
      </c>
      <c r="I37" s="1" t="str">
        <f t="shared" si="2"/>
        <v/>
      </c>
      <c r="J37" s="1" t="str">
        <f>_xlfn.IFNA(INDEX([1]历练产出!$Z:$Z,MATCH(B37,[1]历练产出!$AB:$AB,0)),"")</f>
        <v/>
      </c>
      <c r="K37" s="1" t="str">
        <f>_xlfn.IFNA(INDEX([1]洞天福地产出!$H:$H,MATCH(B37,[1]洞天福地产出!$K:$K,0)),"")</f>
        <v/>
      </c>
      <c r="L37" s="1" t="str">
        <f t="shared" si="3"/>
        <v/>
      </c>
      <c r="M37" s="4">
        <f t="shared" si="4"/>
        <v>0</v>
      </c>
    </row>
    <row r="38" ht="28.5" customHeight="1" spans="1:13">
      <c r="A38" s="4"/>
      <c r="B38" t="str">
        <f t="shared" si="0"/>
        <v>4:606015</v>
      </c>
      <c r="C38" s="4">
        <v>4</v>
      </c>
      <c r="D38" s="4">
        <v>606015</v>
      </c>
      <c r="E38" s="3" t="s">
        <v>1776</v>
      </c>
      <c r="F38" s="3"/>
      <c r="G38" s="1">
        <v>6.48</v>
      </c>
      <c r="H38" s="1">
        <f t="shared" si="1"/>
        <v>6.48</v>
      </c>
      <c r="I38" s="1" t="str">
        <f t="shared" si="2"/>
        <v/>
      </c>
      <c r="J38" s="1" t="str">
        <f>_xlfn.IFNA(INDEX([1]历练产出!$Z:$Z,MATCH(B38,[1]历练产出!$AB:$AB,0)),"")</f>
        <v/>
      </c>
      <c r="K38" s="1" t="str">
        <f>_xlfn.IFNA(INDEX([1]洞天福地产出!$H:$H,MATCH(B38,[1]洞天福地产出!$K:$K,0)),"")</f>
        <v/>
      </c>
      <c r="L38" s="1" t="str">
        <f t="shared" si="3"/>
        <v/>
      </c>
      <c r="M38" s="4">
        <f t="shared" si="4"/>
        <v>0</v>
      </c>
    </row>
    <row r="39" spans="1:13">
      <c r="A39" s="4" t="s">
        <v>2476</v>
      </c>
      <c r="B39" t="str">
        <f t="shared" si="0"/>
        <v>:</v>
      </c>
      <c r="C39" s="4"/>
      <c r="D39" s="4"/>
      <c r="E39" s="3"/>
      <c r="F39" s="3"/>
      <c r="G39" s="1"/>
      <c r="H39" s="1">
        <f t="shared" si="1"/>
        <v>0</v>
      </c>
      <c r="I39" s="1" t="str">
        <f t="shared" si="2"/>
        <v/>
      </c>
      <c r="J39" s="1" t="str">
        <f>_xlfn.IFNA(INDEX([1]历练产出!$Z:$Z,MATCH(B39,[1]历练产出!$AB:$AB,0)),"")</f>
        <v/>
      </c>
      <c r="K39" s="1" t="str">
        <f>_xlfn.IFNA(INDEX([1]洞天福地产出!$H:$H,MATCH(B39,[1]洞天福地产出!$K:$K,0)),"")</f>
        <v/>
      </c>
      <c r="L39" s="1" t="str">
        <f t="shared" si="3"/>
        <v/>
      </c>
      <c r="M39" s="4">
        <f t="shared" si="4"/>
        <v>0</v>
      </c>
    </row>
    <row r="40" ht="45" spans="1:13">
      <c r="A40" s="4"/>
      <c r="B40" t="str">
        <f t="shared" si="0"/>
        <v>2:19000100</v>
      </c>
      <c r="C40" s="4">
        <v>2</v>
      </c>
      <c r="D40" s="4">
        <v>19000100</v>
      </c>
      <c r="E40" s="8" t="s">
        <v>1777</v>
      </c>
      <c r="F40" s="3"/>
      <c r="G40" s="1">
        <v>3e-5</v>
      </c>
      <c r="H40" s="1">
        <f t="shared" si="1"/>
        <v>1.95356381667447</v>
      </c>
      <c r="I40" s="1">
        <f t="shared" si="2"/>
        <v>1.95356381667447</v>
      </c>
      <c r="J40" s="1">
        <f>_xlfn.IFNA(INDEX([1]历练产出!$Z:$Z,MATCH(B40,[1]历练产出!$AB:$AB,0)),"")</f>
        <v>48.4163808755295</v>
      </c>
      <c r="K40" s="1">
        <f>_xlfn.IFNA(INDEX([1]洞天福地产出!$H:$H,MATCH(B40,[1]洞天福地产出!$K:$K,0)),"")</f>
        <v>2.77211839255635</v>
      </c>
      <c r="L40" s="1">
        <f t="shared" si="3"/>
        <v>51.1884992680859</v>
      </c>
      <c r="M40" s="4">
        <f t="shared" si="4"/>
        <v>1</v>
      </c>
    </row>
    <row r="41" ht="45" spans="1:13">
      <c r="A41" s="4"/>
      <c r="B41" t="str">
        <f t="shared" si="0"/>
        <v>2:19000101</v>
      </c>
      <c r="C41" s="4">
        <v>2</v>
      </c>
      <c r="D41" s="4">
        <v>19000101</v>
      </c>
      <c r="E41" s="8" t="s">
        <v>1778</v>
      </c>
      <c r="F41" s="3"/>
      <c r="G41" s="1">
        <v>9e-5</v>
      </c>
      <c r="H41" s="1">
        <f t="shared" si="1"/>
        <v>2.3153348938364</v>
      </c>
      <c r="I41" s="1">
        <f t="shared" si="2"/>
        <v>2.3153348938364</v>
      </c>
      <c r="J41" s="1">
        <f>_xlfn.IFNA(INDEX([1]历练产出!$Z:$Z,MATCH(B41,[1]历练产出!$AB:$AB,0)),"")</f>
        <v>40.8513213637281</v>
      </c>
      <c r="K41" s="1">
        <f>_xlfn.IFNA(INDEX([1]洞天福地产出!$H:$H,MATCH(B41,[1]洞天福地产出!$K:$K,0)),"")</f>
        <v>2.33897489371942</v>
      </c>
      <c r="L41" s="1">
        <f t="shared" si="3"/>
        <v>43.1902962574475</v>
      </c>
      <c r="M41" s="4">
        <f t="shared" si="4"/>
        <v>1</v>
      </c>
    </row>
    <row r="42" ht="60" spans="1:13">
      <c r="A42" s="4"/>
      <c r="B42" t="str">
        <f t="shared" si="0"/>
        <v>2:19000102</v>
      </c>
      <c r="C42" s="4">
        <v>2</v>
      </c>
      <c r="D42" s="4">
        <v>19000102</v>
      </c>
      <c r="E42" s="3" t="s">
        <v>1779</v>
      </c>
      <c r="F42" s="3"/>
      <c r="G42" s="1">
        <v>0.000282251463473838</v>
      </c>
      <c r="H42" s="1">
        <f t="shared" si="1"/>
        <v>6.25140421335829</v>
      </c>
      <c r="I42" s="1">
        <f t="shared" si="2"/>
        <v>6.25140421335829</v>
      </c>
      <c r="J42" s="1">
        <f>_xlfn.IFNA(INDEX([1]历练产出!$Z:$Z,MATCH(B42,[1]历练产出!$AB:$AB,0)),"")</f>
        <v>15.130119023603</v>
      </c>
      <c r="K42" s="1">
        <f>_xlfn.IFNA(INDEX([1]洞天福地产出!$H:$H,MATCH(B42,[1]洞天福地产出!$K:$K,0)),"")</f>
        <v>0.866286997673859</v>
      </c>
      <c r="L42" s="1">
        <f t="shared" si="3"/>
        <v>15.9964060212768</v>
      </c>
      <c r="M42" s="4">
        <f t="shared" si="4"/>
        <v>1</v>
      </c>
    </row>
    <row r="43" ht="45" spans="1:13">
      <c r="A43" s="4"/>
      <c r="B43" t="str">
        <f t="shared" si="0"/>
        <v>2:19000103</v>
      </c>
      <c r="C43" s="4">
        <v>2</v>
      </c>
      <c r="D43" s="4">
        <v>19000103</v>
      </c>
      <c r="E43" s="3" t="s">
        <v>1780</v>
      </c>
      <c r="F43" s="3"/>
      <c r="G43" s="1">
        <v>0.000846754390421515</v>
      </c>
      <c r="H43" s="1">
        <f t="shared" si="1"/>
        <v>6.94600468150921</v>
      </c>
      <c r="I43" s="1">
        <f t="shared" si="2"/>
        <v>6.94600468150921</v>
      </c>
      <c r="J43" s="1">
        <f>_xlfn.IFNA(INDEX([1]历练产出!$Z:$Z,MATCH(B43,[1]历练产出!$AB:$AB,0)),"")</f>
        <v>13.6171071212427</v>
      </c>
      <c r="K43" s="1">
        <f>_xlfn.IFNA(INDEX([1]洞天福地产出!$H:$H,MATCH(B43,[1]洞天福地产出!$K:$K,0)),"")</f>
        <v>0.779658297906473</v>
      </c>
      <c r="L43" s="1">
        <f t="shared" si="3"/>
        <v>14.3967654191492</v>
      </c>
      <c r="M43" s="4">
        <f t="shared" si="4"/>
        <v>1</v>
      </c>
    </row>
    <row r="44" ht="45" spans="1:13">
      <c r="A44" s="4"/>
      <c r="B44" t="str">
        <f t="shared" si="0"/>
        <v>2:19000104</v>
      </c>
      <c r="C44" s="4">
        <v>2</v>
      </c>
      <c r="D44" s="4">
        <v>19000104</v>
      </c>
      <c r="E44" s="3" t="s">
        <v>1781</v>
      </c>
      <c r="F44" s="3"/>
      <c r="G44" s="1">
        <v>0.00254026317126454</v>
      </c>
      <c r="H44" s="1">
        <f t="shared" si="1"/>
        <v>7.81425526669786</v>
      </c>
      <c r="I44" s="1">
        <f t="shared" si="2"/>
        <v>7.81425526669786</v>
      </c>
      <c r="J44" s="1">
        <f>_xlfn.IFNA(INDEX([1]历练产出!$Z:$Z,MATCH(B44,[1]历练产出!$AB:$AB,0)),"")</f>
        <v>12.1040952188824</v>
      </c>
      <c r="K44" s="1">
        <f>_xlfn.IFNA(INDEX([1]洞天福地产出!$H:$H,MATCH(B44,[1]洞天福地产出!$K:$K,0)),"")</f>
        <v>0.693029598139087</v>
      </c>
      <c r="L44" s="1">
        <f t="shared" si="3"/>
        <v>12.7971248170215</v>
      </c>
      <c r="M44" s="4">
        <f t="shared" si="4"/>
        <v>1</v>
      </c>
    </row>
    <row r="45" ht="60" spans="1:13">
      <c r="A45" s="4"/>
      <c r="B45" t="str">
        <f t="shared" si="0"/>
        <v>2:19000105</v>
      </c>
      <c r="C45" s="4">
        <v>2</v>
      </c>
      <c r="D45" s="4">
        <v>19000105</v>
      </c>
      <c r="E45" s="3" t="s">
        <v>1782</v>
      </c>
      <c r="F45" s="3"/>
      <c r="G45" s="1">
        <v>0.00762078951379363</v>
      </c>
      <c r="H45" s="1">
        <f t="shared" si="1"/>
        <v>8.9305774476547</v>
      </c>
      <c r="I45" s="1">
        <f t="shared" si="2"/>
        <v>8.9305774476547</v>
      </c>
      <c r="J45" s="1">
        <f>_xlfn.IFNA(INDEX([1]历练产出!$Z:$Z,MATCH(B45,[1]历练产出!$AB:$AB,0)),"")</f>
        <v>10.5910833165221</v>
      </c>
      <c r="K45" s="1">
        <f>_xlfn.IFNA(INDEX([1]洞天福地产出!$H:$H,MATCH(B45,[1]洞天福地产出!$K:$K,0)),"")</f>
        <v>0.606400898371701</v>
      </c>
      <c r="L45" s="1">
        <f t="shared" si="3"/>
        <v>11.1974842148938</v>
      </c>
      <c r="M45" s="4">
        <f t="shared" si="4"/>
        <v>1</v>
      </c>
    </row>
    <row r="46" ht="45" spans="1:13">
      <c r="A46" s="4"/>
      <c r="B46" t="str">
        <f t="shared" si="0"/>
        <v>2:19000106</v>
      </c>
      <c r="C46" s="4">
        <v>2</v>
      </c>
      <c r="D46" s="4">
        <v>19000106</v>
      </c>
      <c r="E46" s="3" t="s">
        <v>1783</v>
      </c>
      <c r="F46" s="3"/>
      <c r="G46" s="1">
        <v>0.0228623685413809</v>
      </c>
      <c r="H46" s="1">
        <f t="shared" si="1"/>
        <v>10.4190070222638</v>
      </c>
      <c r="I46" s="1">
        <f t="shared" si="2"/>
        <v>10.4190070222638</v>
      </c>
      <c r="J46" s="1">
        <f>_xlfn.IFNA(INDEX([1]历练产出!$Z:$Z,MATCH(B46,[1]历练产出!$AB:$AB,0)),"")</f>
        <v>9.07807141416179</v>
      </c>
      <c r="K46" s="1">
        <f>_xlfn.IFNA(INDEX([1]洞天福地产出!$H:$H,MATCH(B46,[1]洞天福地产出!$K:$K,0)),"")</f>
        <v>0.519772198604315</v>
      </c>
      <c r="L46" s="1">
        <f t="shared" si="3"/>
        <v>9.59784361276611</v>
      </c>
      <c r="M46" s="4">
        <f t="shared" si="4"/>
        <v>1</v>
      </c>
    </row>
    <row r="47" ht="60" spans="1:13">
      <c r="A47" s="4"/>
      <c r="B47" t="str">
        <f t="shared" si="0"/>
        <v>2:19000107</v>
      </c>
      <c r="C47" s="4">
        <v>2</v>
      </c>
      <c r="D47" s="4">
        <v>19000107</v>
      </c>
      <c r="E47" s="3" t="s">
        <v>1784</v>
      </c>
      <c r="F47" s="3"/>
      <c r="G47" s="1">
        <v>0.0685871056241427</v>
      </c>
      <c r="H47" s="1">
        <f t="shared" si="1"/>
        <v>0.0685871056241427</v>
      </c>
      <c r="I47" s="1" t="str">
        <f t="shared" si="2"/>
        <v/>
      </c>
      <c r="J47" s="1">
        <f>_xlfn.IFNA(INDEX([1]历练产出!$Z:$Z,MATCH(B47,[1]历练产出!$AB:$AB,0)),"")</f>
        <v>7.56505951180149</v>
      </c>
      <c r="K47" s="1" t="str">
        <f>_xlfn.IFNA(INDEX([1]洞天福地产出!$H:$H,MATCH(B47,[1]洞天福地产出!$K:$K,0)),"")</f>
        <v/>
      </c>
      <c r="L47" s="1" t="str">
        <f t="shared" si="3"/>
        <v/>
      </c>
      <c r="M47" s="4">
        <f t="shared" si="4"/>
        <v>0</v>
      </c>
    </row>
    <row r="48" ht="45" spans="1:13">
      <c r="A48" s="4"/>
      <c r="B48" t="str">
        <f t="shared" si="0"/>
        <v>2:19000108</v>
      </c>
      <c r="C48" s="4">
        <v>2</v>
      </c>
      <c r="D48" s="4">
        <v>19000108</v>
      </c>
      <c r="E48" s="3" t="s">
        <v>1785</v>
      </c>
      <c r="F48" s="3"/>
      <c r="G48" s="1">
        <v>0.205761316872428</v>
      </c>
      <c r="H48" s="1">
        <f t="shared" si="1"/>
        <v>0.205761316872428</v>
      </c>
      <c r="I48" s="1" t="str">
        <f t="shared" si="2"/>
        <v/>
      </c>
      <c r="J48" s="1">
        <f>_xlfn.IFNA(INDEX([1]历练产出!$Z:$Z,MATCH(B48,[1]历练产出!$AB:$AB,0)),"")</f>
        <v>6.05204760944119</v>
      </c>
      <c r="K48" s="1" t="str">
        <f>_xlfn.IFNA(INDEX([1]洞天福地产出!$H:$H,MATCH(B48,[1]洞天福地产出!$K:$K,0)),"")</f>
        <v/>
      </c>
      <c r="L48" s="1" t="str">
        <f t="shared" si="3"/>
        <v/>
      </c>
      <c r="M48" s="4">
        <f t="shared" si="4"/>
        <v>0</v>
      </c>
    </row>
    <row r="49" ht="45" spans="1:13">
      <c r="A49" s="4"/>
      <c r="B49" t="str">
        <f t="shared" si="0"/>
        <v>2:19000109</v>
      </c>
      <c r="C49" s="4">
        <v>2</v>
      </c>
      <c r="D49" s="4">
        <v>19000109</v>
      </c>
      <c r="E49" s="3" t="s">
        <v>1786</v>
      </c>
      <c r="F49" s="3"/>
      <c r="G49" s="1">
        <v>0.617283950617284</v>
      </c>
      <c r="H49" s="1">
        <f t="shared" si="1"/>
        <v>0.617283950617284</v>
      </c>
      <c r="I49" s="1" t="str">
        <f t="shared" si="2"/>
        <v/>
      </c>
      <c r="J49" s="1">
        <f>_xlfn.IFNA(INDEX([1]历练产出!$Z:$Z,MATCH(B49,[1]历练产出!$AB:$AB,0)),"")</f>
        <v>4.5390357070809</v>
      </c>
      <c r="K49" s="1" t="str">
        <f>_xlfn.IFNA(INDEX([1]洞天福地产出!$H:$H,MATCH(B49,[1]洞天福地产出!$K:$K,0)),"")</f>
        <v/>
      </c>
      <c r="L49" s="1" t="str">
        <f t="shared" si="3"/>
        <v/>
      </c>
      <c r="M49" s="4">
        <f t="shared" si="4"/>
        <v>0</v>
      </c>
    </row>
    <row r="50" ht="60" spans="1:13">
      <c r="A50" s="4"/>
      <c r="B50" t="str">
        <f t="shared" si="0"/>
        <v>2:19000110</v>
      </c>
      <c r="C50" s="4">
        <v>2</v>
      </c>
      <c r="D50" s="4">
        <v>19000110</v>
      </c>
      <c r="E50" s="3" t="s">
        <v>1787</v>
      </c>
      <c r="F50" s="3"/>
      <c r="G50" s="1">
        <v>1.85185185185185</v>
      </c>
      <c r="H50" s="1">
        <f t="shared" si="1"/>
        <v>1.85185185185185</v>
      </c>
      <c r="I50" s="1" t="str">
        <f t="shared" si="2"/>
        <v/>
      </c>
      <c r="J50" s="1">
        <f>_xlfn.IFNA(INDEX([1]历练产出!$Z:$Z,MATCH(B50,[1]历练产出!$AB:$AB,0)),"")</f>
        <v>0.30260238047206</v>
      </c>
      <c r="K50" s="1" t="str">
        <f>_xlfn.IFNA(INDEX([1]洞天福地产出!$H:$H,MATCH(B50,[1]洞天福地产出!$K:$K,0)),"")</f>
        <v/>
      </c>
      <c r="L50" s="1" t="str">
        <f t="shared" si="3"/>
        <v/>
      </c>
      <c r="M50" s="4">
        <f t="shared" si="4"/>
        <v>0</v>
      </c>
    </row>
    <row r="51" ht="45" spans="1:13">
      <c r="A51" s="4"/>
      <c r="B51" t="str">
        <f t="shared" si="0"/>
        <v>2:19000111</v>
      </c>
      <c r="C51" s="4">
        <v>2</v>
      </c>
      <c r="D51" s="4">
        <v>19000111</v>
      </c>
      <c r="E51" s="3" t="s">
        <v>1788</v>
      </c>
      <c r="F51" s="3"/>
      <c r="G51" s="1">
        <v>5.55555555555556</v>
      </c>
      <c r="H51" s="1">
        <f t="shared" si="1"/>
        <v>5.55555555555556</v>
      </c>
      <c r="I51" s="1" t="str">
        <f t="shared" si="2"/>
        <v/>
      </c>
      <c r="J51" s="1">
        <f>_xlfn.IFNA(INDEX([1]历练产出!$Z:$Z,MATCH(B51,[1]历练产出!$AB:$AB,0)),"")</f>
        <v>0.30260238047206</v>
      </c>
      <c r="K51" s="1" t="str">
        <f>_xlfn.IFNA(INDEX([1]洞天福地产出!$H:$H,MATCH(B51,[1]洞天福地产出!$K:$K,0)),"")</f>
        <v/>
      </c>
      <c r="L51" s="1" t="str">
        <f t="shared" si="3"/>
        <v/>
      </c>
      <c r="M51" s="4">
        <f t="shared" si="4"/>
        <v>0</v>
      </c>
    </row>
    <row r="52" ht="45" spans="1:13">
      <c r="A52" s="4"/>
      <c r="B52" t="str">
        <f t="shared" si="0"/>
        <v>2:19000112</v>
      </c>
      <c r="C52" s="4">
        <v>2</v>
      </c>
      <c r="D52" s="4">
        <v>19000112</v>
      </c>
      <c r="E52" s="3" t="s">
        <v>1789</v>
      </c>
      <c r="F52" s="3"/>
      <c r="G52" s="1">
        <v>16.6666666666667</v>
      </c>
      <c r="H52" s="1">
        <f t="shared" si="1"/>
        <v>16.6666666666667</v>
      </c>
      <c r="I52" s="1" t="str">
        <f t="shared" si="2"/>
        <v/>
      </c>
      <c r="J52" s="1" t="str">
        <f>_xlfn.IFNA(INDEX([1]历练产出!$Z:$Z,MATCH(B52,[1]历练产出!$AB:$AB,0)),"")</f>
        <v/>
      </c>
      <c r="K52" s="1" t="str">
        <f>_xlfn.IFNA(INDEX([1]洞天福地产出!$H:$H,MATCH(B52,[1]洞天福地产出!$K:$K,0)),"")</f>
        <v/>
      </c>
      <c r="L52" s="1" t="str">
        <f t="shared" si="3"/>
        <v/>
      </c>
      <c r="M52" s="4">
        <f t="shared" si="4"/>
        <v>0</v>
      </c>
    </row>
    <row r="53" ht="30" spans="1:13">
      <c r="A53" s="4"/>
      <c r="B53" t="str">
        <f t="shared" si="0"/>
        <v>2:19000113</v>
      </c>
      <c r="C53" s="4">
        <v>2</v>
      </c>
      <c r="D53" s="4">
        <v>19000113</v>
      </c>
      <c r="E53" s="3" t="s">
        <v>1790</v>
      </c>
      <c r="F53" s="3"/>
      <c r="G53" s="1">
        <v>50</v>
      </c>
      <c r="H53" s="1">
        <f t="shared" si="1"/>
        <v>50</v>
      </c>
      <c r="I53" s="1" t="str">
        <f t="shared" si="2"/>
        <v/>
      </c>
      <c r="J53" s="1" t="str">
        <f>_xlfn.IFNA(INDEX([1]历练产出!$Z:$Z,MATCH(B53,[1]历练产出!$AB:$AB,0)),"")</f>
        <v/>
      </c>
      <c r="K53" s="1" t="str">
        <f>_xlfn.IFNA(INDEX([1]洞天福地产出!$H:$H,MATCH(B53,[1]洞天福地产出!$K:$K,0)),"")</f>
        <v/>
      </c>
      <c r="L53" s="1" t="str">
        <f t="shared" si="3"/>
        <v/>
      </c>
      <c r="M53" s="4">
        <f t="shared" si="4"/>
        <v>0</v>
      </c>
    </row>
    <row r="54" ht="30" spans="1:13">
      <c r="A54" s="4"/>
      <c r="B54" t="str">
        <f t="shared" si="0"/>
        <v>2:19000114</v>
      </c>
      <c r="C54" s="4">
        <v>2</v>
      </c>
      <c r="D54" s="4">
        <v>19000114</v>
      </c>
      <c r="E54" s="3" t="s">
        <v>1791</v>
      </c>
      <c r="F54" s="3"/>
      <c r="G54" s="1">
        <v>152.4</v>
      </c>
      <c r="H54" s="1">
        <f t="shared" si="1"/>
        <v>152.4</v>
      </c>
      <c r="I54" s="1" t="str">
        <f t="shared" si="2"/>
        <v/>
      </c>
      <c r="J54" s="1" t="str">
        <f>_xlfn.IFNA(INDEX([1]历练产出!$Z:$Z,MATCH(B54,[1]历练产出!$AB:$AB,0)),"")</f>
        <v/>
      </c>
      <c r="K54" s="1" t="str">
        <f>_xlfn.IFNA(INDEX([1]洞天福地产出!$H:$H,MATCH(B54,[1]洞天福地产出!$K:$K,0)),"")</f>
        <v/>
      </c>
      <c r="L54" s="1" t="str">
        <f t="shared" si="3"/>
        <v/>
      </c>
      <c r="M54" s="4">
        <f t="shared" si="4"/>
        <v>0</v>
      </c>
    </row>
    <row r="55" ht="45" spans="1:13">
      <c r="A55" s="4"/>
      <c r="B55" t="str">
        <f t="shared" si="0"/>
        <v>2:19000115</v>
      </c>
      <c r="C55" s="4">
        <v>2</v>
      </c>
      <c r="D55" s="4">
        <v>19000115</v>
      </c>
      <c r="E55" s="3" t="s">
        <v>1792</v>
      </c>
      <c r="F55" s="3"/>
      <c r="G55" s="1">
        <v>460.4</v>
      </c>
      <c r="H55" s="1">
        <f t="shared" si="1"/>
        <v>460.4</v>
      </c>
      <c r="I55" s="1" t="str">
        <f t="shared" si="2"/>
        <v/>
      </c>
      <c r="J55" s="1" t="str">
        <f>_xlfn.IFNA(INDEX([1]历练产出!$Z:$Z,MATCH(B55,[1]历练产出!$AB:$AB,0)),"")</f>
        <v/>
      </c>
      <c r="K55" s="1" t="str">
        <f>_xlfn.IFNA(INDEX([1]洞天福地产出!$H:$H,MATCH(B55,[1]洞天福地产出!$K:$K,0)),"")</f>
        <v/>
      </c>
      <c r="L55" s="1" t="str">
        <f t="shared" si="3"/>
        <v/>
      </c>
      <c r="M55" s="4">
        <f t="shared" si="4"/>
        <v>0</v>
      </c>
    </row>
    <row r="56" ht="75" spans="1:13">
      <c r="A56" s="4"/>
      <c r="B56" t="str">
        <f t="shared" si="0"/>
        <v>2:19000116</v>
      </c>
      <c r="C56" s="4">
        <v>2</v>
      </c>
      <c r="D56" s="4">
        <v>19000116</v>
      </c>
      <c r="E56" s="3" t="s">
        <v>1793</v>
      </c>
      <c r="F56" s="3"/>
      <c r="G56" s="1">
        <v>1386</v>
      </c>
      <c r="H56" s="1">
        <f t="shared" si="1"/>
        <v>1386</v>
      </c>
      <c r="I56" s="1" t="str">
        <f t="shared" si="2"/>
        <v/>
      </c>
      <c r="J56" s="1" t="str">
        <f>_xlfn.IFNA(INDEX([1]历练产出!$Z:$Z,MATCH(B56,[1]历练产出!$AB:$AB,0)),"")</f>
        <v/>
      </c>
      <c r="K56" s="1" t="str">
        <f>_xlfn.IFNA(INDEX([1]洞天福地产出!$H:$H,MATCH(B56,[1]洞天福地产出!$K:$K,0)),"")</f>
        <v/>
      </c>
      <c r="L56" s="1" t="str">
        <f t="shared" si="3"/>
        <v/>
      </c>
      <c r="M56" s="4">
        <f t="shared" si="4"/>
        <v>0</v>
      </c>
    </row>
    <row r="57" ht="30" spans="1:13">
      <c r="A57" s="4"/>
      <c r="B57" t="str">
        <f t="shared" si="0"/>
        <v>2:19000200</v>
      </c>
      <c r="C57" s="4">
        <v>2</v>
      </c>
      <c r="D57" s="4">
        <v>19000200</v>
      </c>
      <c r="E57" s="3" t="s">
        <v>1794</v>
      </c>
      <c r="F57" s="3"/>
      <c r="G57" s="1">
        <v>3e-5</v>
      </c>
      <c r="H57" s="1">
        <f t="shared" si="1"/>
        <v>1.95356381667447</v>
      </c>
      <c r="I57" s="1">
        <f t="shared" si="2"/>
        <v>1.95356381667447</v>
      </c>
      <c r="J57" s="1">
        <f>_xlfn.IFNA(INDEX([1]历练产出!$Z:$Z,MATCH(B57,[1]历练产出!$AB:$AB,0)),"")</f>
        <v>48.4163808755295</v>
      </c>
      <c r="K57" s="1">
        <f>_xlfn.IFNA(INDEX([1]洞天福地产出!$H:$H,MATCH(B57,[1]洞天福地产出!$K:$K,0)),"")</f>
        <v>2.77211839255635</v>
      </c>
      <c r="L57" s="1">
        <f t="shared" si="3"/>
        <v>51.1884992680859</v>
      </c>
      <c r="M57" s="4">
        <f t="shared" si="4"/>
        <v>1</v>
      </c>
    </row>
    <row r="58" ht="30" spans="1:13">
      <c r="A58" s="4"/>
      <c r="B58" t="str">
        <f t="shared" si="0"/>
        <v>2:19000201</v>
      </c>
      <c r="C58" s="4">
        <v>2</v>
      </c>
      <c r="D58" s="4">
        <v>19000201</v>
      </c>
      <c r="E58" s="3" t="s">
        <v>1795</v>
      </c>
      <c r="F58" s="3"/>
      <c r="G58" s="1">
        <v>9e-5</v>
      </c>
      <c r="H58" s="1">
        <f t="shared" si="1"/>
        <v>2.3153348938364</v>
      </c>
      <c r="I58" s="1">
        <f t="shared" si="2"/>
        <v>2.3153348938364</v>
      </c>
      <c r="J58" s="1">
        <f>_xlfn.IFNA(INDEX([1]历练产出!$Z:$Z,MATCH(B58,[1]历练产出!$AB:$AB,0)),"")</f>
        <v>40.8513213637281</v>
      </c>
      <c r="K58" s="1">
        <f>_xlfn.IFNA(INDEX([1]洞天福地产出!$H:$H,MATCH(B58,[1]洞天福地产出!$K:$K,0)),"")</f>
        <v>2.33897489371942</v>
      </c>
      <c r="L58" s="1">
        <f t="shared" si="3"/>
        <v>43.1902962574475</v>
      </c>
      <c r="M58" s="4">
        <f t="shared" si="4"/>
        <v>1</v>
      </c>
    </row>
    <row r="59" ht="45" spans="1:13">
      <c r="A59" s="4"/>
      <c r="B59" t="str">
        <f t="shared" si="0"/>
        <v>2:19000202</v>
      </c>
      <c r="C59" s="4">
        <v>2</v>
      </c>
      <c r="D59" s="4">
        <v>19000202</v>
      </c>
      <c r="E59" s="3" t="s">
        <v>1796</v>
      </c>
      <c r="F59" s="3"/>
      <c r="G59" s="1">
        <v>0.000282251463473838</v>
      </c>
      <c r="H59" s="1">
        <f t="shared" si="1"/>
        <v>6.25140421335829</v>
      </c>
      <c r="I59" s="1">
        <f t="shared" si="2"/>
        <v>6.25140421335829</v>
      </c>
      <c r="J59" s="1">
        <f>_xlfn.IFNA(INDEX([1]历练产出!$Z:$Z,MATCH(B59,[1]历练产出!$AB:$AB,0)),"")</f>
        <v>15.130119023603</v>
      </c>
      <c r="K59" s="1">
        <f>_xlfn.IFNA(INDEX([1]洞天福地产出!$H:$H,MATCH(B59,[1]洞天福地产出!$K:$K,0)),"")</f>
        <v>0.866286997673859</v>
      </c>
      <c r="L59" s="1">
        <f t="shared" si="3"/>
        <v>15.9964060212768</v>
      </c>
      <c r="M59" s="4">
        <f t="shared" si="4"/>
        <v>1</v>
      </c>
    </row>
    <row r="60" ht="45" spans="1:13">
      <c r="A60" s="4"/>
      <c r="B60" t="str">
        <f t="shared" si="0"/>
        <v>2:19000203</v>
      </c>
      <c r="C60" s="4">
        <v>2</v>
      </c>
      <c r="D60" s="4">
        <v>19000203</v>
      </c>
      <c r="E60" s="3" t="s">
        <v>1797</v>
      </c>
      <c r="F60" s="3"/>
      <c r="G60" s="1">
        <v>0.000846754390421515</v>
      </c>
      <c r="H60" s="1">
        <f t="shared" si="1"/>
        <v>6.94600468150921</v>
      </c>
      <c r="I60" s="1">
        <f t="shared" si="2"/>
        <v>6.94600468150921</v>
      </c>
      <c r="J60" s="1">
        <f>_xlfn.IFNA(INDEX([1]历练产出!$Z:$Z,MATCH(B60,[1]历练产出!$AB:$AB,0)),"")</f>
        <v>13.6171071212427</v>
      </c>
      <c r="K60" s="1">
        <f>_xlfn.IFNA(INDEX([1]洞天福地产出!$H:$H,MATCH(B60,[1]洞天福地产出!$K:$K,0)),"")</f>
        <v>0.779658297906473</v>
      </c>
      <c r="L60" s="1">
        <f t="shared" si="3"/>
        <v>14.3967654191492</v>
      </c>
      <c r="M60" s="4">
        <f t="shared" si="4"/>
        <v>1</v>
      </c>
    </row>
    <row r="61" ht="45" spans="1:13">
      <c r="A61" s="4"/>
      <c r="B61" t="str">
        <f t="shared" si="0"/>
        <v>2:19000204</v>
      </c>
      <c r="C61" s="4">
        <v>2</v>
      </c>
      <c r="D61" s="4">
        <v>19000204</v>
      </c>
      <c r="E61" s="3" t="s">
        <v>1798</v>
      </c>
      <c r="F61" s="3"/>
      <c r="G61" s="1">
        <v>0.00254026317126454</v>
      </c>
      <c r="H61" s="1">
        <f t="shared" si="1"/>
        <v>7.81425526669786</v>
      </c>
      <c r="I61" s="1">
        <f t="shared" si="2"/>
        <v>7.81425526669786</v>
      </c>
      <c r="J61" s="1">
        <f>_xlfn.IFNA(INDEX([1]历练产出!$Z:$Z,MATCH(B61,[1]历练产出!$AB:$AB,0)),"")</f>
        <v>12.1040952188824</v>
      </c>
      <c r="K61" s="1">
        <f>_xlfn.IFNA(INDEX([1]洞天福地产出!$H:$H,MATCH(B61,[1]洞天福地产出!$K:$K,0)),"")</f>
        <v>0.693029598139087</v>
      </c>
      <c r="L61" s="1">
        <f t="shared" si="3"/>
        <v>12.7971248170215</v>
      </c>
      <c r="M61" s="4">
        <f t="shared" si="4"/>
        <v>1</v>
      </c>
    </row>
    <row r="62" ht="45" spans="1:13">
      <c r="A62" s="4"/>
      <c r="B62" t="str">
        <f t="shared" si="0"/>
        <v>2:19000205</v>
      </c>
      <c r="C62" s="4">
        <v>2</v>
      </c>
      <c r="D62" s="4">
        <v>19000205</v>
      </c>
      <c r="E62" s="3" t="s">
        <v>1799</v>
      </c>
      <c r="F62" s="3"/>
      <c r="G62" s="1">
        <v>0.00762078951379363</v>
      </c>
      <c r="H62" s="1">
        <f t="shared" si="1"/>
        <v>8.9305774476547</v>
      </c>
      <c r="I62" s="1">
        <f t="shared" si="2"/>
        <v>8.9305774476547</v>
      </c>
      <c r="J62" s="1">
        <f>_xlfn.IFNA(INDEX([1]历练产出!$Z:$Z,MATCH(B62,[1]历练产出!$AB:$AB,0)),"")</f>
        <v>10.5910833165221</v>
      </c>
      <c r="K62" s="1">
        <f>_xlfn.IFNA(INDEX([1]洞天福地产出!$H:$H,MATCH(B62,[1]洞天福地产出!$K:$K,0)),"")</f>
        <v>0.606400898371701</v>
      </c>
      <c r="L62" s="1">
        <f t="shared" si="3"/>
        <v>11.1974842148938</v>
      </c>
      <c r="M62" s="4">
        <f t="shared" si="4"/>
        <v>1</v>
      </c>
    </row>
    <row r="63" ht="45" spans="1:13">
      <c r="A63" s="4"/>
      <c r="B63" t="str">
        <f t="shared" si="0"/>
        <v>2:19000206</v>
      </c>
      <c r="C63" s="4">
        <v>2</v>
      </c>
      <c r="D63" s="4">
        <v>19000206</v>
      </c>
      <c r="E63" s="3" t="s">
        <v>1800</v>
      </c>
      <c r="F63" s="3"/>
      <c r="G63" s="1">
        <v>0.0228623685413809</v>
      </c>
      <c r="H63" s="1">
        <f t="shared" si="1"/>
        <v>10.4190070222638</v>
      </c>
      <c r="I63" s="1">
        <f t="shared" si="2"/>
        <v>10.4190070222638</v>
      </c>
      <c r="J63" s="1">
        <f>_xlfn.IFNA(INDEX([1]历练产出!$Z:$Z,MATCH(B63,[1]历练产出!$AB:$AB,0)),"")</f>
        <v>9.07807141416179</v>
      </c>
      <c r="K63" s="1">
        <f>_xlfn.IFNA(INDEX([1]洞天福地产出!$H:$H,MATCH(B63,[1]洞天福地产出!$K:$K,0)),"")</f>
        <v>0.519772198604315</v>
      </c>
      <c r="L63" s="1">
        <f t="shared" si="3"/>
        <v>9.59784361276611</v>
      </c>
      <c r="M63" s="4">
        <f t="shared" si="4"/>
        <v>1</v>
      </c>
    </row>
    <row r="64" ht="45" spans="1:13">
      <c r="A64" s="4"/>
      <c r="B64" t="str">
        <f t="shared" si="0"/>
        <v>2:19000207</v>
      </c>
      <c r="C64" s="4">
        <v>2</v>
      </c>
      <c r="D64" s="4">
        <v>19000207</v>
      </c>
      <c r="E64" s="3" t="s">
        <v>1801</v>
      </c>
      <c r="F64" s="3"/>
      <c r="G64" s="1">
        <v>0.0685871056241427</v>
      </c>
      <c r="H64" s="1">
        <f t="shared" si="1"/>
        <v>0.0685871056241427</v>
      </c>
      <c r="I64" s="1" t="str">
        <f t="shared" si="2"/>
        <v/>
      </c>
      <c r="J64" s="1">
        <f>_xlfn.IFNA(INDEX([1]历练产出!$Z:$Z,MATCH(B64,[1]历练产出!$AB:$AB,0)),"")</f>
        <v>7.56505951180149</v>
      </c>
      <c r="K64" s="1" t="str">
        <f>_xlfn.IFNA(INDEX([1]洞天福地产出!$H:$H,MATCH(B64,[1]洞天福地产出!$K:$K,0)),"")</f>
        <v/>
      </c>
      <c r="L64" s="1" t="str">
        <f t="shared" si="3"/>
        <v/>
      </c>
      <c r="M64" s="4">
        <f t="shared" si="4"/>
        <v>0</v>
      </c>
    </row>
    <row r="65" ht="45" spans="1:13">
      <c r="A65" s="4"/>
      <c r="B65" t="str">
        <f t="shared" si="0"/>
        <v>2:19000208</v>
      </c>
      <c r="C65" s="4">
        <v>2</v>
      </c>
      <c r="D65" s="4">
        <v>19000208</v>
      </c>
      <c r="E65" s="3" t="s">
        <v>1802</v>
      </c>
      <c r="F65" s="3"/>
      <c r="G65" s="1">
        <v>0.205761316872428</v>
      </c>
      <c r="H65" s="1">
        <f t="shared" si="1"/>
        <v>0.205761316872428</v>
      </c>
      <c r="I65" s="1" t="str">
        <f t="shared" si="2"/>
        <v/>
      </c>
      <c r="J65" s="1">
        <f>_xlfn.IFNA(INDEX([1]历练产出!$Z:$Z,MATCH(B65,[1]历练产出!$AB:$AB,0)),"")</f>
        <v>6.05204760944119</v>
      </c>
      <c r="K65" s="1" t="str">
        <f>_xlfn.IFNA(INDEX([1]洞天福地产出!$H:$H,MATCH(B65,[1]洞天福地产出!$K:$K,0)),"")</f>
        <v/>
      </c>
      <c r="L65" s="1" t="str">
        <f t="shared" si="3"/>
        <v/>
      </c>
      <c r="M65" s="4">
        <f t="shared" si="4"/>
        <v>0</v>
      </c>
    </row>
    <row r="66" ht="30" spans="1:13">
      <c r="A66" s="4"/>
      <c r="B66" t="str">
        <f t="shared" si="0"/>
        <v>2:19000209</v>
      </c>
      <c r="C66" s="4">
        <v>2</v>
      </c>
      <c r="D66" s="4">
        <v>19000209</v>
      </c>
      <c r="E66" s="3" t="s">
        <v>1803</v>
      </c>
      <c r="F66" s="3"/>
      <c r="G66" s="1">
        <v>0.617283950617284</v>
      </c>
      <c r="H66" s="1">
        <f t="shared" si="1"/>
        <v>0.617283950617284</v>
      </c>
      <c r="I66" s="1" t="str">
        <f t="shared" si="2"/>
        <v/>
      </c>
      <c r="J66" s="1">
        <f>_xlfn.IFNA(INDEX([1]历练产出!$Z:$Z,MATCH(B66,[1]历练产出!$AB:$AB,0)),"")</f>
        <v>4.5390357070809</v>
      </c>
      <c r="K66" s="1" t="str">
        <f>_xlfn.IFNA(INDEX([1]洞天福地产出!$H:$H,MATCH(B66,[1]洞天福地产出!$K:$K,0)),"")</f>
        <v/>
      </c>
      <c r="L66" s="1" t="str">
        <f t="shared" si="3"/>
        <v/>
      </c>
      <c r="M66" s="4">
        <f t="shared" si="4"/>
        <v>0</v>
      </c>
    </row>
    <row r="67" ht="60" spans="1:13">
      <c r="A67" s="4"/>
      <c r="B67" t="str">
        <f t="shared" si="0"/>
        <v>2:19000210</v>
      </c>
      <c r="C67" s="4">
        <v>2</v>
      </c>
      <c r="D67" s="4">
        <v>19000210</v>
      </c>
      <c r="E67" s="3" t="s">
        <v>160</v>
      </c>
      <c r="F67" s="3"/>
      <c r="G67" s="1">
        <v>1.85185185185185</v>
      </c>
      <c r="H67" s="1">
        <f t="shared" si="1"/>
        <v>1.85185185185185</v>
      </c>
      <c r="I67" s="1" t="str">
        <f t="shared" si="2"/>
        <v/>
      </c>
      <c r="J67" s="1">
        <f>_xlfn.IFNA(INDEX([1]历练产出!$Z:$Z,MATCH(B67,[1]历练产出!$AB:$AB,0)),"")</f>
        <v>0.30260238047206</v>
      </c>
      <c r="K67" s="1" t="str">
        <f>_xlfn.IFNA(INDEX([1]洞天福地产出!$H:$H,MATCH(B67,[1]洞天福地产出!$K:$K,0)),"")</f>
        <v/>
      </c>
      <c r="L67" s="1" t="str">
        <f t="shared" si="3"/>
        <v/>
      </c>
      <c r="M67" s="4">
        <f t="shared" si="4"/>
        <v>0</v>
      </c>
    </row>
    <row r="68" ht="45" spans="1:13">
      <c r="A68" s="4"/>
      <c r="B68" t="str">
        <f t="shared" ref="B68:B131" si="5">C68&amp;":"&amp;D68</f>
        <v>2:19000211</v>
      </c>
      <c r="C68" s="4">
        <v>2</v>
      </c>
      <c r="D68" s="4">
        <v>19000211</v>
      </c>
      <c r="E68" s="3" t="s">
        <v>1804</v>
      </c>
      <c r="F68" s="3"/>
      <c r="G68" s="1">
        <v>5.55555555555556</v>
      </c>
      <c r="H68" s="1">
        <f t="shared" ref="H68:H131" si="6">IF(I68="",G68,I68)</f>
        <v>5.55555555555556</v>
      </c>
      <c r="I68" s="1" t="str">
        <f t="shared" ref="I68:I131" si="7">IFERROR(100/L68,"")</f>
        <v/>
      </c>
      <c r="J68" s="1">
        <f>_xlfn.IFNA(INDEX([1]历练产出!$Z:$Z,MATCH(B68,[1]历练产出!$AB:$AB,0)),"")</f>
        <v>0.30260238047206</v>
      </c>
      <c r="K68" s="1" t="str">
        <f>_xlfn.IFNA(INDEX([1]洞天福地产出!$H:$H,MATCH(B68,[1]洞天福地产出!$K:$K,0)),"")</f>
        <v/>
      </c>
      <c r="L68" s="1" t="str">
        <f t="shared" ref="L68:L131" si="8">IFERROR(J68+K68,"")</f>
        <v/>
      </c>
      <c r="M68" s="4">
        <f t="shared" ref="M68:M131" si="9">IF(I68="",0,1)</f>
        <v>0</v>
      </c>
    </row>
    <row r="69" ht="45" spans="1:13">
      <c r="A69" s="4"/>
      <c r="B69" t="str">
        <f t="shared" si="5"/>
        <v>2:19000212</v>
      </c>
      <c r="C69" s="4">
        <v>2</v>
      </c>
      <c r="D69" s="4">
        <v>19000212</v>
      </c>
      <c r="E69" s="3" t="s">
        <v>1805</v>
      </c>
      <c r="F69" s="3"/>
      <c r="G69" s="1">
        <v>16.6666666666667</v>
      </c>
      <c r="H69" s="1">
        <f t="shared" si="6"/>
        <v>16.6666666666667</v>
      </c>
      <c r="I69" s="1" t="str">
        <f t="shared" si="7"/>
        <v/>
      </c>
      <c r="J69" s="1" t="str">
        <f>_xlfn.IFNA(INDEX([1]历练产出!$Z:$Z,MATCH(B69,[1]历练产出!$AB:$AB,0)),"")</f>
        <v/>
      </c>
      <c r="K69" s="1" t="str">
        <f>_xlfn.IFNA(INDEX([1]洞天福地产出!$H:$H,MATCH(B69,[1]洞天福地产出!$K:$K,0)),"")</f>
        <v/>
      </c>
      <c r="L69" s="1" t="str">
        <f t="shared" si="8"/>
        <v/>
      </c>
      <c r="M69" s="4">
        <f t="shared" si="9"/>
        <v>0</v>
      </c>
    </row>
    <row r="70" ht="45" spans="1:13">
      <c r="A70" s="4"/>
      <c r="B70" t="str">
        <f t="shared" si="5"/>
        <v>2:19000213</v>
      </c>
      <c r="C70" s="4">
        <v>2</v>
      </c>
      <c r="D70" s="4">
        <v>19000213</v>
      </c>
      <c r="E70" s="3" t="s">
        <v>1806</v>
      </c>
      <c r="F70" s="3"/>
      <c r="G70" s="1">
        <v>50</v>
      </c>
      <c r="H70" s="1">
        <f t="shared" si="6"/>
        <v>50</v>
      </c>
      <c r="I70" s="1" t="str">
        <f t="shared" si="7"/>
        <v/>
      </c>
      <c r="J70" s="1" t="str">
        <f>_xlfn.IFNA(INDEX([1]历练产出!$Z:$Z,MATCH(B70,[1]历练产出!$AB:$AB,0)),"")</f>
        <v/>
      </c>
      <c r="K70" s="1" t="str">
        <f>_xlfn.IFNA(INDEX([1]洞天福地产出!$H:$H,MATCH(B70,[1]洞天福地产出!$K:$K,0)),"")</f>
        <v/>
      </c>
      <c r="L70" s="1" t="str">
        <f t="shared" si="8"/>
        <v/>
      </c>
      <c r="M70" s="4">
        <f t="shared" si="9"/>
        <v>0</v>
      </c>
    </row>
    <row r="71" ht="30" spans="1:13">
      <c r="A71" s="4"/>
      <c r="B71" t="str">
        <f t="shared" si="5"/>
        <v>2:19000214</v>
      </c>
      <c r="C71" s="4">
        <v>2</v>
      </c>
      <c r="D71" s="4">
        <v>19000214</v>
      </c>
      <c r="E71" s="3" t="s">
        <v>1807</v>
      </c>
      <c r="F71" s="3"/>
      <c r="G71" s="1">
        <v>152.4</v>
      </c>
      <c r="H71" s="1">
        <f t="shared" si="6"/>
        <v>152.4</v>
      </c>
      <c r="I71" s="1" t="str">
        <f t="shared" si="7"/>
        <v/>
      </c>
      <c r="J71" s="1" t="str">
        <f>_xlfn.IFNA(INDEX([1]历练产出!$Z:$Z,MATCH(B71,[1]历练产出!$AB:$AB,0)),"")</f>
        <v/>
      </c>
      <c r="K71" s="1" t="str">
        <f>_xlfn.IFNA(INDEX([1]洞天福地产出!$H:$H,MATCH(B71,[1]洞天福地产出!$K:$K,0)),"")</f>
        <v/>
      </c>
      <c r="L71" s="1" t="str">
        <f t="shared" si="8"/>
        <v/>
      </c>
      <c r="M71" s="4">
        <f t="shared" si="9"/>
        <v>0</v>
      </c>
    </row>
    <row r="72" ht="60" spans="1:13">
      <c r="A72" s="4"/>
      <c r="B72" t="str">
        <f t="shared" si="5"/>
        <v>2:19000215</v>
      </c>
      <c r="C72" s="4">
        <v>2</v>
      </c>
      <c r="D72" s="4">
        <v>19000215</v>
      </c>
      <c r="E72" s="3" t="s">
        <v>1808</v>
      </c>
      <c r="F72" s="3"/>
      <c r="G72" s="1">
        <v>460.4</v>
      </c>
      <c r="H72" s="1">
        <f t="shared" si="6"/>
        <v>460.4</v>
      </c>
      <c r="I72" s="1" t="str">
        <f t="shared" si="7"/>
        <v/>
      </c>
      <c r="J72" s="1" t="str">
        <f>_xlfn.IFNA(INDEX([1]历练产出!$Z:$Z,MATCH(B72,[1]历练产出!$AB:$AB,0)),"")</f>
        <v/>
      </c>
      <c r="K72" s="1" t="str">
        <f>_xlfn.IFNA(INDEX([1]洞天福地产出!$H:$H,MATCH(B72,[1]洞天福地产出!$K:$K,0)),"")</f>
        <v/>
      </c>
      <c r="L72" s="1" t="str">
        <f t="shared" si="8"/>
        <v/>
      </c>
      <c r="M72" s="4">
        <f t="shared" si="9"/>
        <v>0</v>
      </c>
    </row>
    <row r="73" ht="75" spans="1:13">
      <c r="A73" s="4"/>
      <c r="B73" t="str">
        <f t="shared" si="5"/>
        <v>2:19000216</v>
      </c>
      <c r="C73" s="4">
        <v>2</v>
      </c>
      <c r="D73" s="4">
        <v>19000216</v>
      </c>
      <c r="E73" s="3" t="s">
        <v>1809</v>
      </c>
      <c r="F73" s="3"/>
      <c r="G73" s="1">
        <v>1386</v>
      </c>
      <c r="H73" s="1">
        <f t="shared" si="6"/>
        <v>1386</v>
      </c>
      <c r="I73" s="1" t="str">
        <f t="shared" si="7"/>
        <v/>
      </c>
      <c r="J73" s="1" t="str">
        <f>_xlfn.IFNA(INDEX([1]历练产出!$Z:$Z,MATCH(B73,[1]历练产出!$AB:$AB,0)),"")</f>
        <v/>
      </c>
      <c r="K73" s="1" t="str">
        <f>_xlfn.IFNA(INDEX([1]洞天福地产出!$H:$H,MATCH(B73,[1]洞天福地产出!$K:$K,0)),"")</f>
        <v/>
      </c>
      <c r="L73" s="1" t="str">
        <f t="shared" si="8"/>
        <v/>
      </c>
      <c r="M73" s="4">
        <f t="shared" si="9"/>
        <v>0</v>
      </c>
    </row>
    <row r="74" ht="45" spans="1:13">
      <c r="A74" s="4"/>
      <c r="B74" t="str">
        <f t="shared" si="5"/>
        <v>2:19000300</v>
      </c>
      <c r="C74" s="4">
        <v>2</v>
      </c>
      <c r="D74" s="4">
        <v>19000300</v>
      </c>
      <c r="E74" s="3" t="s">
        <v>1810</v>
      </c>
      <c r="F74" s="3"/>
      <c r="G74" s="1">
        <v>3e-5</v>
      </c>
      <c r="H74" s="1">
        <f t="shared" si="6"/>
        <v>1.95356381667447</v>
      </c>
      <c r="I74" s="1">
        <f t="shared" si="7"/>
        <v>1.95356381667447</v>
      </c>
      <c r="J74" s="1">
        <f>_xlfn.IFNA(INDEX([1]历练产出!$Z:$Z,MATCH(B74,[1]历练产出!$AB:$AB,0)),"")</f>
        <v>48.4163808755295</v>
      </c>
      <c r="K74" s="1">
        <f>_xlfn.IFNA(INDEX([1]洞天福地产出!$H:$H,MATCH(B74,[1]洞天福地产出!$K:$K,0)),"")</f>
        <v>2.77211839255635</v>
      </c>
      <c r="L74" s="1">
        <f t="shared" si="8"/>
        <v>51.1884992680859</v>
      </c>
      <c r="M74" s="4">
        <f t="shared" si="9"/>
        <v>1</v>
      </c>
    </row>
    <row r="75" ht="30" spans="1:13">
      <c r="A75" s="4"/>
      <c r="B75" t="str">
        <f t="shared" si="5"/>
        <v>2:19000301</v>
      </c>
      <c r="C75" s="4">
        <v>2</v>
      </c>
      <c r="D75" s="4">
        <v>19000301</v>
      </c>
      <c r="E75" s="3" t="s">
        <v>1811</v>
      </c>
      <c r="F75" s="3"/>
      <c r="G75" s="1">
        <v>9e-5</v>
      </c>
      <c r="H75" s="1">
        <f t="shared" si="6"/>
        <v>2.3153348938364</v>
      </c>
      <c r="I75" s="1">
        <f t="shared" si="7"/>
        <v>2.3153348938364</v>
      </c>
      <c r="J75" s="1">
        <f>_xlfn.IFNA(INDEX([1]历练产出!$Z:$Z,MATCH(B75,[1]历练产出!$AB:$AB,0)),"")</f>
        <v>40.8513213637281</v>
      </c>
      <c r="K75" s="1">
        <f>_xlfn.IFNA(INDEX([1]洞天福地产出!$H:$H,MATCH(B75,[1]洞天福地产出!$K:$K,0)),"")</f>
        <v>2.33897489371942</v>
      </c>
      <c r="L75" s="1">
        <f t="shared" si="8"/>
        <v>43.1902962574475</v>
      </c>
      <c r="M75" s="4">
        <f t="shared" si="9"/>
        <v>1</v>
      </c>
    </row>
    <row r="76" ht="45" spans="1:13">
      <c r="A76" s="4"/>
      <c r="B76" t="str">
        <f t="shared" si="5"/>
        <v>2:19000302</v>
      </c>
      <c r="C76" s="4">
        <v>2</v>
      </c>
      <c r="D76" s="4">
        <v>19000302</v>
      </c>
      <c r="E76" s="3" t="s">
        <v>1812</v>
      </c>
      <c r="F76" s="3"/>
      <c r="G76" s="1">
        <v>0.000282251463473838</v>
      </c>
      <c r="H76" s="1">
        <f t="shared" si="6"/>
        <v>6.25140421335829</v>
      </c>
      <c r="I76" s="1">
        <f t="shared" si="7"/>
        <v>6.25140421335829</v>
      </c>
      <c r="J76" s="1">
        <f>_xlfn.IFNA(INDEX([1]历练产出!$Z:$Z,MATCH(B76,[1]历练产出!$AB:$AB,0)),"")</f>
        <v>15.130119023603</v>
      </c>
      <c r="K76" s="1">
        <f>_xlfn.IFNA(INDEX([1]洞天福地产出!$H:$H,MATCH(B76,[1]洞天福地产出!$K:$K,0)),"")</f>
        <v>0.866286997673859</v>
      </c>
      <c r="L76" s="1">
        <f t="shared" si="8"/>
        <v>15.9964060212768</v>
      </c>
      <c r="M76" s="4">
        <f t="shared" si="9"/>
        <v>1</v>
      </c>
    </row>
    <row r="77" ht="60" spans="1:13">
      <c r="A77" s="4"/>
      <c r="B77" t="str">
        <f t="shared" si="5"/>
        <v>2:19000303</v>
      </c>
      <c r="C77" s="4">
        <v>2</v>
      </c>
      <c r="D77" s="4">
        <v>19000303</v>
      </c>
      <c r="E77" s="3" t="s">
        <v>1813</v>
      </c>
      <c r="F77" s="3"/>
      <c r="G77" s="1">
        <v>0.000846754390421515</v>
      </c>
      <c r="H77" s="1">
        <f t="shared" si="6"/>
        <v>6.94600468150921</v>
      </c>
      <c r="I77" s="1">
        <f t="shared" si="7"/>
        <v>6.94600468150921</v>
      </c>
      <c r="J77" s="1">
        <f>_xlfn.IFNA(INDEX([1]历练产出!$Z:$Z,MATCH(B77,[1]历练产出!$AB:$AB,0)),"")</f>
        <v>13.6171071212427</v>
      </c>
      <c r="K77" s="1">
        <f>_xlfn.IFNA(INDEX([1]洞天福地产出!$H:$H,MATCH(B77,[1]洞天福地产出!$K:$K,0)),"")</f>
        <v>0.779658297906473</v>
      </c>
      <c r="L77" s="1">
        <f t="shared" si="8"/>
        <v>14.3967654191492</v>
      </c>
      <c r="M77" s="4">
        <f t="shared" si="9"/>
        <v>1</v>
      </c>
    </row>
    <row r="78" ht="45" spans="1:13">
      <c r="A78" s="4"/>
      <c r="B78" t="str">
        <f t="shared" si="5"/>
        <v>2:19000304</v>
      </c>
      <c r="C78" s="4">
        <v>2</v>
      </c>
      <c r="D78" s="4">
        <v>19000304</v>
      </c>
      <c r="E78" s="3" t="s">
        <v>1814</v>
      </c>
      <c r="F78" s="3"/>
      <c r="G78" s="1">
        <v>0.00254026317126454</v>
      </c>
      <c r="H78" s="1">
        <f t="shared" si="6"/>
        <v>7.81425526669786</v>
      </c>
      <c r="I78" s="1">
        <f t="shared" si="7"/>
        <v>7.81425526669786</v>
      </c>
      <c r="J78" s="1">
        <f>_xlfn.IFNA(INDEX([1]历练产出!$Z:$Z,MATCH(B78,[1]历练产出!$AB:$AB,0)),"")</f>
        <v>12.1040952188824</v>
      </c>
      <c r="K78" s="1">
        <f>_xlfn.IFNA(INDEX([1]洞天福地产出!$H:$H,MATCH(B78,[1]洞天福地产出!$K:$K,0)),"")</f>
        <v>0.693029598139087</v>
      </c>
      <c r="L78" s="1">
        <f t="shared" si="8"/>
        <v>12.7971248170215</v>
      </c>
      <c r="M78" s="4">
        <f t="shared" si="9"/>
        <v>1</v>
      </c>
    </row>
    <row r="79" ht="45" spans="1:13">
      <c r="A79" s="4"/>
      <c r="B79" t="str">
        <f t="shared" si="5"/>
        <v>2:19000305</v>
      </c>
      <c r="C79" s="4">
        <v>2</v>
      </c>
      <c r="D79" s="4">
        <v>19000305</v>
      </c>
      <c r="E79" s="3" t="s">
        <v>1815</v>
      </c>
      <c r="F79" s="3"/>
      <c r="G79" s="1">
        <v>0.00762078951379363</v>
      </c>
      <c r="H79" s="1">
        <f t="shared" si="6"/>
        <v>8.9305774476547</v>
      </c>
      <c r="I79" s="1">
        <f t="shared" si="7"/>
        <v>8.9305774476547</v>
      </c>
      <c r="J79" s="1">
        <f>_xlfn.IFNA(INDEX([1]历练产出!$Z:$Z,MATCH(B79,[1]历练产出!$AB:$AB,0)),"")</f>
        <v>10.5910833165221</v>
      </c>
      <c r="K79" s="1">
        <f>_xlfn.IFNA(INDEX([1]洞天福地产出!$H:$H,MATCH(B79,[1]洞天福地产出!$K:$K,0)),"")</f>
        <v>0.606400898371701</v>
      </c>
      <c r="L79" s="1">
        <f t="shared" si="8"/>
        <v>11.1974842148938</v>
      </c>
      <c r="M79" s="4">
        <f t="shared" si="9"/>
        <v>1</v>
      </c>
    </row>
    <row r="80" ht="45" spans="1:13">
      <c r="A80" s="4"/>
      <c r="B80" t="str">
        <f t="shared" si="5"/>
        <v>2:19000306</v>
      </c>
      <c r="C80" s="4">
        <v>2</v>
      </c>
      <c r="D80" s="4">
        <v>19000306</v>
      </c>
      <c r="E80" s="3" t="s">
        <v>1816</v>
      </c>
      <c r="F80" s="3"/>
      <c r="G80" s="1">
        <v>0.0228623685413809</v>
      </c>
      <c r="H80" s="1">
        <f t="shared" si="6"/>
        <v>10.4190070222638</v>
      </c>
      <c r="I80" s="1">
        <f t="shared" si="7"/>
        <v>10.4190070222638</v>
      </c>
      <c r="J80" s="1">
        <f>_xlfn.IFNA(INDEX([1]历练产出!$Z:$Z,MATCH(B80,[1]历练产出!$AB:$AB,0)),"")</f>
        <v>9.07807141416179</v>
      </c>
      <c r="K80" s="1">
        <f>_xlfn.IFNA(INDEX([1]洞天福地产出!$H:$H,MATCH(B80,[1]洞天福地产出!$K:$K,0)),"")</f>
        <v>0.519772198604315</v>
      </c>
      <c r="L80" s="1">
        <f t="shared" si="8"/>
        <v>9.59784361276611</v>
      </c>
      <c r="M80" s="4">
        <f t="shared" si="9"/>
        <v>1</v>
      </c>
    </row>
    <row r="81" ht="45" spans="1:13">
      <c r="A81" s="4"/>
      <c r="B81" t="str">
        <f t="shared" si="5"/>
        <v>2:19000307</v>
      </c>
      <c r="C81" s="4">
        <v>2</v>
      </c>
      <c r="D81" s="4">
        <v>19000307</v>
      </c>
      <c r="E81" s="3" t="s">
        <v>1817</v>
      </c>
      <c r="F81" s="3"/>
      <c r="G81" s="1">
        <v>0.0685871056241427</v>
      </c>
      <c r="H81" s="1">
        <f t="shared" si="6"/>
        <v>0.0685871056241427</v>
      </c>
      <c r="I81" s="1" t="str">
        <f t="shared" si="7"/>
        <v/>
      </c>
      <c r="J81" s="1">
        <f>_xlfn.IFNA(INDEX([1]历练产出!$Z:$Z,MATCH(B81,[1]历练产出!$AB:$AB,0)),"")</f>
        <v>7.56505951180149</v>
      </c>
      <c r="K81" s="1" t="str">
        <f>_xlfn.IFNA(INDEX([1]洞天福地产出!$H:$H,MATCH(B81,[1]洞天福地产出!$K:$K,0)),"")</f>
        <v/>
      </c>
      <c r="L81" s="1" t="str">
        <f t="shared" si="8"/>
        <v/>
      </c>
      <c r="M81" s="4">
        <f t="shared" si="9"/>
        <v>0</v>
      </c>
    </row>
    <row r="82" ht="30" spans="1:13">
      <c r="A82" s="4"/>
      <c r="B82" t="str">
        <f t="shared" si="5"/>
        <v>2:19000308</v>
      </c>
      <c r="C82" s="4">
        <v>2</v>
      </c>
      <c r="D82" s="4">
        <v>19000308</v>
      </c>
      <c r="E82" s="3" t="s">
        <v>1818</v>
      </c>
      <c r="F82" s="3"/>
      <c r="G82" s="1">
        <v>0.205761316872428</v>
      </c>
      <c r="H82" s="1">
        <f t="shared" si="6"/>
        <v>0.205761316872428</v>
      </c>
      <c r="I82" s="1" t="str">
        <f t="shared" si="7"/>
        <v/>
      </c>
      <c r="J82" s="1">
        <f>_xlfn.IFNA(INDEX([1]历练产出!$Z:$Z,MATCH(B82,[1]历练产出!$AB:$AB,0)),"")</f>
        <v>6.05204760944119</v>
      </c>
      <c r="K82" s="1" t="str">
        <f>_xlfn.IFNA(INDEX([1]洞天福地产出!$H:$H,MATCH(B82,[1]洞天福地产出!$K:$K,0)),"")</f>
        <v/>
      </c>
      <c r="L82" s="1" t="str">
        <f t="shared" si="8"/>
        <v/>
      </c>
      <c r="M82" s="4">
        <f t="shared" si="9"/>
        <v>0</v>
      </c>
    </row>
    <row r="83" ht="30" spans="1:13">
      <c r="A83" s="4"/>
      <c r="B83" t="str">
        <f t="shared" si="5"/>
        <v>2:19000309</v>
      </c>
      <c r="C83" s="4">
        <v>2</v>
      </c>
      <c r="D83" s="4">
        <v>19000309</v>
      </c>
      <c r="E83" s="3" t="s">
        <v>1819</v>
      </c>
      <c r="F83" s="3"/>
      <c r="G83" s="1">
        <v>0.617283950617284</v>
      </c>
      <c r="H83" s="1">
        <f t="shared" si="6"/>
        <v>0.617283950617284</v>
      </c>
      <c r="I83" s="1" t="str">
        <f t="shared" si="7"/>
        <v/>
      </c>
      <c r="J83" s="1">
        <f>_xlfn.IFNA(INDEX([1]历练产出!$Z:$Z,MATCH(B83,[1]历练产出!$AB:$AB,0)),"")</f>
        <v>4.5390357070809</v>
      </c>
      <c r="K83" s="1" t="str">
        <f>_xlfn.IFNA(INDEX([1]洞天福地产出!$H:$H,MATCH(B83,[1]洞天福地产出!$K:$K,0)),"")</f>
        <v/>
      </c>
      <c r="L83" s="1" t="str">
        <f t="shared" si="8"/>
        <v/>
      </c>
      <c r="M83" s="4">
        <f t="shared" si="9"/>
        <v>0</v>
      </c>
    </row>
    <row r="84" ht="60" spans="1:13">
      <c r="A84" s="4"/>
      <c r="B84" t="str">
        <f t="shared" si="5"/>
        <v>2:19000310</v>
      </c>
      <c r="C84" s="4">
        <v>2</v>
      </c>
      <c r="D84" s="4">
        <v>19000310</v>
      </c>
      <c r="E84" s="3" t="s">
        <v>1820</v>
      </c>
      <c r="F84" s="3"/>
      <c r="G84" s="1">
        <v>1.85185185185185</v>
      </c>
      <c r="H84" s="1">
        <f t="shared" si="6"/>
        <v>1.85185185185185</v>
      </c>
      <c r="I84" s="1" t="str">
        <f t="shared" si="7"/>
        <v/>
      </c>
      <c r="J84" s="1">
        <f>_xlfn.IFNA(INDEX([1]历练产出!$Z:$Z,MATCH(B84,[1]历练产出!$AB:$AB,0)),"")</f>
        <v>0.30260238047206</v>
      </c>
      <c r="K84" s="1" t="str">
        <f>_xlfn.IFNA(INDEX([1]洞天福地产出!$H:$H,MATCH(B84,[1]洞天福地产出!$K:$K,0)),"")</f>
        <v/>
      </c>
      <c r="L84" s="1" t="str">
        <f t="shared" si="8"/>
        <v/>
      </c>
      <c r="M84" s="4">
        <f t="shared" si="9"/>
        <v>0</v>
      </c>
    </row>
    <row r="85" ht="45" spans="1:13">
      <c r="A85" s="4"/>
      <c r="B85" t="str">
        <f t="shared" si="5"/>
        <v>2:19000311</v>
      </c>
      <c r="C85" s="4">
        <v>2</v>
      </c>
      <c r="D85" s="4">
        <v>19000311</v>
      </c>
      <c r="E85" s="3" t="s">
        <v>1821</v>
      </c>
      <c r="F85" s="3"/>
      <c r="G85" s="1">
        <v>5.55555555555556</v>
      </c>
      <c r="H85" s="1">
        <f t="shared" si="6"/>
        <v>5.55555555555556</v>
      </c>
      <c r="I85" s="1" t="str">
        <f t="shared" si="7"/>
        <v/>
      </c>
      <c r="J85" s="1">
        <f>_xlfn.IFNA(INDEX([1]历练产出!$Z:$Z,MATCH(B85,[1]历练产出!$AB:$AB,0)),"")</f>
        <v>0.30260238047206</v>
      </c>
      <c r="K85" s="1" t="str">
        <f>_xlfn.IFNA(INDEX([1]洞天福地产出!$H:$H,MATCH(B85,[1]洞天福地产出!$K:$K,0)),"")</f>
        <v/>
      </c>
      <c r="L85" s="1" t="str">
        <f t="shared" si="8"/>
        <v/>
      </c>
      <c r="M85" s="4">
        <f t="shared" si="9"/>
        <v>0</v>
      </c>
    </row>
    <row r="86" ht="45" spans="1:13">
      <c r="A86" s="4"/>
      <c r="B86" t="str">
        <f t="shared" si="5"/>
        <v>2:19000312</v>
      </c>
      <c r="C86" s="4">
        <v>2</v>
      </c>
      <c r="D86" s="4">
        <v>19000312</v>
      </c>
      <c r="E86" s="3" t="s">
        <v>1822</v>
      </c>
      <c r="F86" s="3"/>
      <c r="G86" s="1">
        <v>16.6666666666667</v>
      </c>
      <c r="H86" s="1">
        <f t="shared" si="6"/>
        <v>16.6666666666667</v>
      </c>
      <c r="I86" s="1" t="str">
        <f t="shared" si="7"/>
        <v/>
      </c>
      <c r="J86" s="1" t="str">
        <f>_xlfn.IFNA(INDEX([1]历练产出!$Z:$Z,MATCH(B86,[1]历练产出!$AB:$AB,0)),"")</f>
        <v/>
      </c>
      <c r="K86" s="1" t="str">
        <f>_xlfn.IFNA(INDEX([1]洞天福地产出!$H:$H,MATCH(B86,[1]洞天福地产出!$K:$K,0)),"")</f>
        <v/>
      </c>
      <c r="L86" s="1" t="str">
        <f t="shared" si="8"/>
        <v/>
      </c>
      <c r="M86" s="4">
        <f t="shared" si="9"/>
        <v>0</v>
      </c>
    </row>
    <row r="87" ht="45" spans="1:13">
      <c r="A87" s="4"/>
      <c r="B87" t="str">
        <f t="shared" si="5"/>
        <v>2:19000313</v>
      </c>
      <c r="C87" s="4">
        <v>2</v>
      </c>
      <c r="D87" s="4">
        <v>19000313</v>
      </c>
      <c r="E87" s="3" t="s">
        <v>1823</v>
      </c>
      <c r="F87" s="3"/>
      <c r="G87" s="1">
        <v>50</v>
      </c>
      <c r="H87" s="1">
        <f t="shared" si="6"/>
        <v>50</v>
      </c>
      <c r="I87" s="1" t="str">
        <f t="shared" si="7"/>
        <v/>
      </c>
      <c r="J87" s="1" t="str">
        <f>_xlfn.IFNA(INDEX([1]历练产出!$Z:$Z,MATCH(B87,[1]历练产出!$AB:$AB,0)),"")</f>
        <v/>
      </c>
      <c r="K87" s="1" t="str">
        <f>_xlfn.IFNA(INDEX([1]洞天福地产出!$H:$H,MATCH(B87,[1]洞天福地产出!$K:$K,0)),"")</f>
        <v/>
      </c>
      <c r="L87" s="1" t="str">
        <f t="shared" si="8"/>
        <v/>
      </c>
      <c r="M87" s="4">
        <f t="shared" si="9"/>
        <v>0</v>
      </c>
    </row>
    <row r="88" ht="30" spans="1:13">
      <c r="A88" s="4"/>
      <c r="B88" t="str">
        <f t="shared" si="5"/>
        <v>2:19000314</v>
      </c>
      <c r="C88" s="4">
        <v>2</v>
      </c>
      <c r="D88" s="4">
        <v>19000314</v>
      </c>
      <c r="E88" s="3" t="s">
        <v>1824</v>
      </c>
      <c r="F88" s="3"/>
      <c r="G88" s="1">
        <v>152.4</v>
      </c>
      <c r="H88" s="1">
        <f t="shared" si="6"/>
        <v>152.4</v>
      </c>
      <c r="I88" s="1" t="str">
        <f t="shared" si="7"/>
        <v/>
      </c>
      <c r="J88" s="1" t="str">
        <f>_xlfn.IFNA(INDEX([1]历练产出!$Z:$Z,MATCH(B88,[1]历练产出!$AB:$AB,0)),"")</f>
        <v/>
      </c>
      <c r="K88" s="1" t="str">
        <f>_xlfn.IFNA(INDEX([1]洞天福地产出!$H:$H,MATCH(B88,[1]洞天福地产出!$K:$K,0)),"")</f>
        <v/>
      </c>
      <c r="L88" s="1" t="str">
        <f t="shared" si="8"/>
        <v/>
      </c>
      <c r="M88" s="4">
        <f t="shared" si="9"/>
        <v>0</v>
      </c>
    </row>
    <row r="89" ht="60" spans="1:13">
      <c r="A89" s="4"/>
      <c r="B89" t="str">
        <f t="shared" si="5"/>
        <v>2:19000315</v>
      </c>
      <c r="C89" s="4">
        <v>2</v>
      </c>
      <c r="D89" s="4">
        <v>19000315</v>
      </c>
      <c r="E89" s="3" t="s">
        <v>1825</v>
      </c>
      <c r="F89" s="3"/>
      <c r="G89" s="1">
        <v>460.4</v>
      </c>
      <c r="H89" s="1">
        <f t="shared" si="6"/>
        <v>460.4</v>
      </c>
      <c r="I89" s="1" t="str">
        <f t="shared" si="7"/>
        <v/>
      </c>
      <c r="J89" s="1" t="str">
        <f>_xlfn.IFNA(INDEX([1]历练产出!$Z:$Z,MATCH(B89,[1]历练产出!$AB:$AB,0)),"")</f>
        <v/>
      </c>
      <c r="K89" s="1" t="str">
        <f>_xlfn.IFNA(INDEX([1]洞天福地产出!$H:$H,MATCH(B89,[1]洞天福地产出!$K:$K,0)),"")</f>
        <v/>
      </c>
      <c r="L89" s="1" t="str">
        <f t="shared" si="8"/>
        <v/>
      </c>
      <c r="M89" s="4">
        <f t="shared" si="9"/>
        <v>0</v>
      </c>
    </row>
    <row r="90" ht="75" spans="1:13">
      <c r="A90" s="4"/>
      <c r="B90" t="str">
        <f t="shared" si="5"/>
        <v>2:19000316</v>
      </c>
      <c r="C90" s="4">
        <v>2</v>
      </c>
      <c r="D90" s="4">
        <v>19000316</v>
      </c>
      <c r="E90" s="3" t="s">
        <v>1826</v>
      </c>
      <c r="F90" s="3"/>
      <c r="G90" s="1">
        <v>1386</v>
      </c>
      <c r="H90" s="1">
        <f t="shared" si="6"/>
        <v>1386</v>
      </c>
      <c r="I90" s="1" t="str">
        <f t="shared" si="7"/>
        <v/>
      </c>
      <c r="J90" s="1" t="str">
        <f>_xlfn.IFNA(INDEX([1]历练产出!$Z:$Z,MATCH(B90,[1]历练产出!$AB:$AB,0)),"")</f>
        <v/>
      </c>
      <c r="K90" s="1" t="str">
        <f>_xlfn.IFNA(INDEX([1]洞天福地产出!$H:$H,MATCH(B90,[1]洞天福地产出!$K:$K,0)),"")</f>
        <v/>
      </c>
      <c r="L90" s="1" t="str">
        <f t="shared" si="8"/>
        <v/>
      </c>
      <c r="M90" s="4">
        <f t="shared" si="9"/>
        <v>0</v>
      </c>
    </row>
    <row r="91" ht="30" spans="1:13">
      <c r="A91" s="4"/>
      <c r="B91" t="str">
        <f t="shared" si="5"/>
        <v>2:19000400</v>
      </c>
      <c r="C91" s="4">
        <v>2</v>
      </c>
      <c r="D91" s="4">
        <v>19000400</v>
      </c>
      <c r="E91" s="3" t="s">
        <v>1827</v>
      </c>
      <c r="F91" s="3"/>
      <c r="G91" s="1">
        <v>3e-5</v>
      </c>
      <c r="H91" s="1">
        <f t="shared" si="6"/>
        <v>1.95356381667447</v>
      </c>
      <c r="I91" s="1">
        <f t="shared" si="7"/>
        <v>1.95356381667447</v>
      </c>
      <c r="J91" s="1">
        <f>_xlfn.IFNA(INDEX([1]历练产出!$Z:$Z,MATCH(B91,[1]历练产出!$AB:$AB,0)),"")</f>
        <v>48.4163808755295</v>
      </c>
      <c r="K91" s="1">
        <f>_xlfn.IFNA(INDEX([1]洞天福地产出!$H:$H,MATCH(B91,[1]洞天福地产出!$K:$K,0)),"")</f>
        <v>2.77211839255635</v>
      </c>
      <c r="L91" s="1">
        <f t="shared" si="8"/>
        <v>51.1884992680859</v>
      </c>
      <c r="M91" s="4">
        <f t="shared" si="9"/>
        <v>1</v>
      </c>
    </row>
    <row r="92" ht="30" spans="1:13">
      <c r="A92" s="4"/>
      <c r="B92" t="str">
        <f t="shared" si="5"/>
        <v>2:19000401</v>
      </c>
      <c r="C92" s="4">
        <v>2</v>
      </c>
      <c r="D92" s="4">
        <v>19000401</v>
      </c>
      <c r="E92" s="3" t="s">
        <v>1828</v>
      </c>
      <c r="F92" s="3"/>
      <c r="G92" s="1">
        <v>9e-5</v>
      </c>
      <c r="H92" s="1">
        <f t="shared" si="6"/>
        <v>2.3153348938364</v>
      </c>
      <c r="I92" s="1">
        <f t="shared" si="7"/>
        <v>2.3153348938364</v>
      </c>
      <c r="J92" s="1">
        <f>_xlfn.IFNA(INDEX([1]历练产出!$Z:$Z,MATCH(B92,[1]历练产出!$AB:$AB,0)),"")</f>
        <v>40.8513213637281</v>
      </c>
      <c r="K92" s="1">
        <f>_xlfn.IFNA(INDEX([1]洞天福地产出!$H:$H,MATCH(B92,[1]洞天福地产出!$K:$K,0)),"")</f>
        <v>2.33897489371942</v>
      </c>
      <c r="L92" s="1">
        <f t="shared" si="8"/>
        <v>43.1902962574475</v>
      </c>
      <c r="M92" s="4">
        <f t="shared" si="9"/>
        <v>1</v>
      </c>
    </row>
    <row r="93" ht="45" spans="1:13">
      <c r="A93" s="4"/>
      <c r="B93" t="str">
        <f t="shared" si="5"/>
        <v>2:19000402</v>
      </c>
      <c r="C93" s="4">
        <v>2</v>
      </c>
      <c r="D93" s="4">
        <v>19000402</v>
      </c>
      <c r="E93" s="3" t="s">
        <v>1829</v>
      </c>
      <c r="F93" s="3"/>
      <c r="G93" s="1">
        <v>0.000282251463473838</v>
      </c>
      <c r="H93" s="1">
        <f t="shared" si="6"/>
        <v>6.25140421335829</v>
      </c>
      <c r="I93" s="1">
        <f t="shared" si="7"/>
        <v>6.25140421335829</v>
      </c>
      <c r="J93" s="1">
        <f>_xlfn.IFNA(INDEX([1]历练产出!$Z:$Z,MATCH(B93,[1]历练产出!$AB:$AB,0)),"")</f>
        <v>15.130119023603</v>
      </c>
      <c r="K93" s="1">
        <f>_xlfn.IFNA(INDEX([1]洞天福地产出!$H:$H,MATCH(B93,[1]洞天福地产出!$K:$K,0)),"")</f>
        <v>0.866286997673859</v>
      </c>
      <c r="L93" s="1">
        <f t="shared" si="8"/>
        <v>15.9964060212768</v>
      </c>
      <c r="M93" s="4">
        <f t="shared" si="9"/>
        <v>1</v>
      </c>
    </row>
    <row r="94" ht="45" spans="1:13">
      <c r="A94" s="4"/>
      <c r="B94" t="str">
        <f t="shared" si="5"/>
        <v>2:19000403</v>
      </c>
      <c r="C94" s="4">
        <v>2</v>
      </c>
      <c r="D94" s="4">
        <v>19000403</v>
      </c>
      <c r="E94" s="3" t="s">
        <v>1830</v>
      </c>
      <c r="F94" s="3"/>
      <c r="G94" s="1">
        <v>0.000846754390421515</v>
      </c>
      <c r="H94" s="1">
        <f t="shared" si="6"/>
        <v>6.94600468150921</v>
      </c>
      <c r="I94" s="1">
        <f t="shared" si="7"/>
        <v>6.94600468150921</v>
      </c>
      <c r="J94" s="1">
        <f>_xlfn.IFNA(INDEX([1]历练产出!$Z:$Z,MATCH(B94,[1]历练产出!$AB:$AB,0)),"")</f>
        <v>13.6171071212427</v>
      </c>
      <c r="K94" s="1">
        <f>_xlfn.IFNA(INDEX([1]洞天福地产出!$H:$H,MATCH(B94,[1]洞天福地产出!$K:$K,0)),"")</f>
        <v>0.779658297906473</v>
      </c>
      <c r="L94" s="1">
        <f t="shared" si="8"/>
        <v>14.3967654191492</v>
      </c>
      <c r="M94" s="4">
        <f t="shared" si="9"/>
        <v>1</v>
      </c>
    </row>
    <row r="95" ht="45" spans="1:13">
      <c r="A95" s="4"/>
      <c r="B95" t="str">
        <f t="shared" si="5"/>
        <v>2:19000404</v>
      </c>
      <c r="C95" s="4">
        <v>2</v>
      </c>
      <c r="D95" s="4">
        <v>19000404</v>
      </c>
      <c r="E95" s="3" t="s">
        <v>1831</v>
      </c>
      <c r="F95" s="3"/>
      <c r="G95" s="1">
        <v>0.00254026317126454</v>
      </c>
      <c r="H95" s="1">
        <f t="shared" si="6"/>
        <v>7.81425526669786</v>
      </c>
      <c r="I95" s="1">
        <f t="shared" si="7"/>
        <v>7.81425526669786</v>
      </c>
      <c r="J95" s="1">
        <f>_xlfn.IFNA(INDEX([1]历练产出!$Z:$Z,MATCH(B95,[1]历练产出!$AB:$AB,0)),"")</f>
        <v>12.1040952188824</v>
      </c>
      <c r="K95" s="1">
        <f>_xlfn.IFNA(INDEX([1]洞天福地产出!$H:$H,MATCH(B95,[1]洞天福地产出!$K:$K,0)),"")</f>
        <v>0.693029598139087</v>
      </c>
      <c r="L95" s="1">
        <f t="shared" si="8"/>
        <v>12.7971248170215</v>
      </c>
      <c r="M95" s="4">
        <f t="shared" si="9"/>
        <v>1</v>
      </c>
    </row>
    <row r="96" ht="45" spans="1:13">
      <c r="A96" s="4"/>
      <c r="B96" t="str">
        <f t="shared" si="5"/>
        <v>2:19000405</v>
      </c>
      <c r="C96" s="4">
        <v>2</v>
      </c>
      <c r="D96" s="4">
        <v>19000405</v>
      </c>
      <c r="E96" s="3" t="s">
        <v>1832</v>
      </c>
      <c r="F96" s="3"/>
      <c r="G96" s="1">
        <v>0.00762078951379363</v>
      </c>
      <c r="H96" s="1">
        <f t="shared" si="6"/>
        <v>8.9305774476547</v>
      </c>
      <c r="I96" s="1">
        <f t="shared" si="7"/>
        <v>8.9305774476547</v>
      </c>
      <c r="J96" s="1">
        <f>_xlfn.IFNA(INDEX([1]历练产出!$Z:$Z,MATCH(B96,[1]历练产出!$AB:$AB,0)),"")</f>
        <v>10.5910833165221</v>
      </c>
      <c r="K96" s="1">
        <f>_xlfn.IFNA(INDEX([1]洞天福地产出!$H:$H,MATCH(B96,[1]洞天福地产出!$K:$K,0)),"")</f>
        <v>0.606400898371701</v>
      </c>
      <c r="L96" s="1">
        <f t="shared" si="8"/>
        <v>11.1974842148938</v>
      </c>
      <c r="M96" s="4">
        <f t="shared" si="9"/>
        <v>1</v>
      </c>
    </row>
    <row r="97" ht="45" spans="1:13">
      <c r="A97" s="4"/>
      <c r="B97" t="str">
        <f t="shared" si="5"/>
        <v>2:19000406</v>
      </c>
      <c r="C97" s="4">
        <v>2</v>
      </c>
      <c r="D97" s="4">
        <v>19000406</v>
      </c>
      <c r="E97" s="3" t="s">
        <v>1833</v>
      </c>
      <c r="F97" s="3"/>
      <c r="G97" s="1">
        <v>0.0228623685413809</v>
      </c>
      <c r="H97" s="1">
        <f t="shared" si="6"/>
        <v>10.4190070222638</v>
      </c>
      <c r="I97" s="1">
        <f t="shared" si="7"/>
        <v>10.4190070222638</v>
      </c>
      <c r="J97" s="1">
        <f>_xlfn.IFNA(INDEX([1]历练产出!$Z:$Z,MATCH(B97,[1]历练产出!$AB:$AB,0)),"")</f>
        <v>9.07807141416179</v>
      </c>
      <c r="K97" s="1">
        <f>_xlfn.IFNA(INDEX([1]洞天福地产出!$H:$H,MATCH(B97,[1]洞天福地产出!$K:$K,0)),"")</f>
        <v>0.519772198604315</v>
      </c>
      <c r="L97" s="1">
        <f t="shared" si="8"/>
        <v>9.59784361276611</v>
      </c>
      <c r="M97" s="4">
        <f t="shared" si="9"/>
        <v>1</v>
      </c>
    </row>
    <row r="98" ht="45" spans="1:13">
      <c r="A98" s="4"/>
      <c r="B98" t="str">
        <f t="shared" si="5"/>
        <v>2:19000407</v>
      </c>
      <c r="C98" s="4">
        <v>2</v>
      </c>
      <c r="D98" s="4">
        <v>19000407</v>
      </c>
      <c r="E98" s="3" t="s">
        <v>1834</v>
      </c>
      <c r="F98" s="3"/>
      <c r="G98" s="1">
        <v>0.0685871056241427</v>
      </c>
      <c r="H98" s="1">
        <f t="shared" si="6"/>
        <v>0.0685871056241427</v>
      </c>
      <c r="I98" s="1" t="str">
        <f t="shared" si="7"/>
        <v/>
      </c>
      <c r="J98" s="1">
        <f>_xlfn.IFNA(INDEX([1]历练产出!$Z:$Z,MATCH(B98,[1]历练产出!$AB:$AB,0)),"")</f>
        <v>7.56505951180149</v>
      </c>
      <c r="K98" s="1" t="str">
        <f>_xlfn.IFNA(INDEX([1]洞天福地产出!$H:$H,MATCH(B98,[1]洞天福地产出!$K:$K,0)),"")</f>
        <v/>
      </c>
      <c r="L98" s="1" t="str">
        <f t="shared" si="8"/>
        <v/>
      </c>
      <c r="M98" s="4">
        <f t="shared" si="9"/>
        <v>0</v>
      </c>
    </row>
    <row r="99" ht="30" spans="1:13">
      <c r="A99" s="4"/>
      <c r="B99" t="str">
        <f t="shared" si="5"/>
        <v>2:19000408</v>
      </c>
      <c r="C99" s="4">
        <v>2</v>
      </c>
      <c r="D99" s="4">
        <v>19000408</v>
      </c>
      <c r="E99" s="3" t="s">
        <v>1835</v>
      </c>
      <c r="F99" s="3"/>
      <c r="G99" s="1">
        <v>0.205761316872428</v>
      </c>
      <c r="H99" s="1">
        <f t="shared" si="6"/>
        <v>0.205761316872428</v>
      </c>
      <c r="I99" s="1" t="str">
        <f t="shared" si="7"/>
        <v/>
      </c>
      <c r="J99" s="1">
        <f>_xlfn.IFNA(INDEX([1]历练产出!$Z:$Z,MATCH(B99,[1]历练产出!$AB:$AB,0)),"")</f>
        <v>6.05204760944119</v>
      </c>
      <c r="K99" s="1" t="str">
        <f>_xlfn.IFNA(INDEX([1]洞天福地产出!$H:$H,MATCH(B99,[1]洞天福地产出!$K:$K,0)),"")</f>
        <v/>
      </c>
      <c r="L99" s="1" t="str">
        <f t="shared" si="8"/>
        <v/>
      </c>
      <c r="M99" s="4">
        <f t="shared" si="9"/>
        <v>0</v>
      </c>
    </row>
    <row r="100" ht="30" spans="1:13">
      <c r="A100" s="4"/>
      <c r="B100" t="str">
        <f t="shared" si="5"/>
        <v>2:19000409</v>
      </c>
      <c r="C100" s="4">
        <v>2</v>
      </c>
      <c r="D100" s="4">
        <v>19000409</v>
      </c>
      <c r="E100" s="3" t="s">
        <v>1836</v>
      </c>
      <c r="F100" s="3"/>
      <c r="G100" s="1">
        <v>0.617283950617284</v>
      </c>
      <c r="H100" s="1">
        <f t="shared" si="6"/>
        <v>0.617283950617284</v>
      </c>
      <c r="I100" s="1" t="str">
        <f t="shared" si="7"/>
        <v/>
      </c>
      <c r="J100" s="1">
        <f>_xlfn.IFNA(INDEX([1]历练产出!$Z:$Z,MATCH(B100,[1]历练产出!$AB:$AB,0)),"")</f>
        <v>4.5390357070809</v>
      </c>
      <c r="K100" s="1" t="str">
        <f>_xlfn.IFNA(INDEX([1]洞天福地产出!$H:$H,MATCH(B100,[1]洞天福地产出!$K:$K,0)),"")</f>
        <v/>
      </c>
      <c r="L100" s="1" t="str">
        <f t="shared" si="8"/>
        <v/>
      </c>
      <c r="M100" s="4">
        <f t="shared" si="9"/>
        <v>0</v>
      </c>
    </row>
    <row r="101" ht="60" spans="1:13">
      <c r="A101" s="4"/>
      <c r="B101" t="str">
        <f t="shared" si="5"/>
        <v>2:19000410</v>
      </c>
      <c r="C101" s="4">
        <v>2</v>
      </c>
      <c r="D101" s="4">
        <v>19000410</v>
      </c>
      <c r="E101" s="3" t="s">
        <v>1837</v>
      </c>
      <c r="F101" s="3"/>
      <c r="G101" s="1">
        <v>1.85185185185185</v>
      </c>
      <c r="H101" s="1">
        <f t="shared" si="6"/>
        <v>1.85185185185185</v>
      </c>
      <c r="I101" s="1" t="str">
        <f t="shared" si="7"/>
        <v/>
      </c>
      <c r="J101" s="1">
        <f>_xlfn.IFNA(INDEX([1]历练产出!$Z:$Z,MATCH(B101,[1]历练产出!$AB:$AB,0)),"")</f>
        <v>0.30260238047206</v>
      </c>
      <c r="K101" s="1" t="str">
        <f>_xlfn.IFNA(INDEX([1]洞天福地产出!$H:$H,MATCH(B101,[1]洞天福地产出!$K:$K,0)),"")</f>
        <v/>
      </c>
      <c r="L101" s="1" t="str">
        <f t="shared" si="8"/>
        <v/>
      </c>
      <c r="M101" s="4">
        <f t="shared" si="9"/>
        <v>0</v>
      </c>
    </row>
    <row r="102" ht="45" spans="1:13">
      <c r="A102" s="4"/>
      <c r="B102" t="str">
        <f t="shared" si="5"/>
        <v>2:19000411</v>
      </c>
      <c r="C102" s="4">
        <v>2</v>
      </c>
      <c r="D102" s="4">
        <v>19000411</v>
      </c>
      <c r="E102" s="3" t="s">
        <v>1838</v>
      </c>
      <c r="F102" s="3"/>
      <c r="G102" s="1">
        <v>5.55555555555556</v>
      </c>
      <c r="H102" s="1">
        <f t="shared" si="6"/>
        <v>5.55555555555556</v>
      </c>
      <c r="I102" s="1" t="str">
        <f t="shared" si="7"/>
        <v/>
      </c>
      <c r="J102" s="1">
        <f>_xlfn.IFNA(INDEX([1]历练产出!$Z:$Z,MATCH(B102,[1]历练产出!$AB:$AB,0)),"")</f>
        <v>0.30260238047206</v>
      </c>
      <c r="K102" s="1" t="str">
        <f>_xlfn.IFNA(INDEX([1]洞天福地产出!$H:$H,MATCH(B102,[1]洞天福地产出!$K:$K,0)),"")</f>
        <v/>
      </c>
      <c r="L102" s="1" t="str">
        <f t="shared" si="8"/>
        <v/>
      </c>
      <c r="M102" s="4">
        <f t="shared" si="9"/>
        <v>0</v>
      </c>
    </row>
    <row r="103" ht="45" spans="1:13">
      <c r="A103" s="4"/>
      <c r="B103" t="str">
        <f t="shared" si="5"/>
        <v>2:19000412</v>
      </c>
      <c r="C103" s="4">
        <v>2</v>
      </c>
      <c r="D103" s="4">
        <v>19000412</v>
      </c>
      <c r="E103" s="3" t="s">
        <v>1839</v>
      </c>
      <c r="F103" s="3"/>
      <c r="G103" s="1">
        <v>16.6666666666667</v>
      </c>
      <c r="H103" s="1">
        <f t="shared" si="6"/>
        <v>16.6666666666667</v>
      </c>
      <c r="I103" s="1" t="str">
        <f t="shared" si="7"/>
        <v/>
      </c>
      <c r="J103" s="1" t="str">
        <f>_xlfn.IFNA(INDEX([1]历练产出!$Z:$Z,MATCH(B103,[1]历练产出!$AB:$AB,0)),"")</f>
        <v/>
      </c>
      <c r="K103" s="1" t="str">
        <f>_xlfn.IFNA(INDEX([1]洞天福地产出!$H:$H,MATCH(B103,[1]洞天福地产出!$K:$K,0)),"")</f>
        <v/>
      </c>
      <c r="L103" s="1" t="str">
        <f t="shared" si="8"/>
        <v/>
      </c>
      <c r="M103" s="4">
        <f t="shared" si="9"/>
        <v>0</v>
      </c>
    </row>
    <row r="104" ht="45" spans="1:13">
      <c r="A104" s="4"/>
      <c r="B104" t="str">
        <f t="shared" si="5"/>
        <v>2:19000413</v>
      </c>
      <c r="C104" s="4">
        <v>2</v>
      </c>
      <c r="D104" s="4">
        <v>19000413</v>
      </c>
      <c r="E104" s="3" t="s">
        <v>1840</v>
      </c>
      <c r="F104" s="3"/>
      <c r="G104" s="1">
        <f>200/4</f>
        <v>50</v>
      </c>
      <c r="H104" s="1">
        <f t="shared" si="6"/>
        <v>50</v>
      </c>
      <c r="I104" s="1" t="str">
        <f t="shared" si="7"/>
        <v/>
      </c>
      <c r="J104" s="1" t="str">
        <f>_xlfn.IFNA(INDEX([1]历练产出!$Z:$Z,MATCH(B104,[1]历练产出!$AB:$AB,0)),"")</f>
        <v/>
      </c>
      <c r="K104" s="1" t="str">
        <f>_xlfn.IFNA(INDEX([1]洞天福地产出!$H:$H,MATCH(B104,[1]洞天福地产出!$K:$K,0)),"")</f>
        <v/>
      </c>
      <c r="L104" s="1" t="str">
        <f t="shared" si="8"/>
        <v/>
      </c>
      <c r="M104" s="4">
        <f t="shared" si="9"/>
        <v>0</v>
      </c>
    </row>
    <row r="105" ht="30" spans="1:13">
      <c r="A105" s="4"/>
      <c r="B105" t="str">
        <f t="shared" si="5"/>
        <v>2:19000414</v>
      </c>
      <c r="C105" s="4">
        <v>2</v>
      </c>
      <c r="D105" s="4">
        <v>19000414</v>
      </c>
      <c r="E105" s="3" t="s">
        <v>1841</v>
      </c>
      <c r="F105" s="3"/>
      <c r="G105" s="1">
        <f>G104*3+R103</f>
        <v>150</v>
      </c>
      <c r="H105" s="1">
        <f t="shared" si="6"/>
        <v>150</v>
      </c>
      <c r="I105" s="1" t="str">
        <f t="shared" si="7"/>
        <v/>
      </c>
      <c r="J105" s="1" t="str">
        <f>_xlfn.IFNA(INDEX([1]历练产出!$Z:$Z,MATCH(B105,[1]历练产出!$AB:$AB,0)),"")</f>
        <v/>
      </c>
      <c r="K105" s="1" t="str">
        <f>_xlfn.IFNA(INDEX([1]洞天福地产出!$H:$H,MATCH(B105,[1]洞天福地产出!$K:$K,0)),"")</f>
        <v/>
      </c>
      <c r="L105" s="1" t="str">
        <f t="shared" si="8"/>
        <v/>
      </c>
      <c r="M105" s="4">
        <f t="shared" si="9"/>
        <v>0</v>
      </c>
    </row>
    <row r="106" ht="60" spans="1:13">
      <c r="A106" s="4"/>
      <c r="B106" t="str">
        <f t="shared" si="5"/>
        <v>2:19000415</v>
      </c>
      <c r="C106" s="4">
        <v>2</v>
      </c>
      <c r="D106" s="4">
        <v>19000415</v>
      </c>
      <c r="E106" s="3" t="s">
        <v>1842</v>
      </c>
      <c r="F106" s="3"/>
      <c r="G106" s="1">
        <f>G105*3+R104</f>
        <v>450</v>
      </c>
      <c r="H106" s="1">
        <f t="shared" si="6"/>
        <v>450</v>
      </c>
      <c r="I106" s="1" t="str">
        <f t="shared" si="7"/>
        <v/>
      </c>
      <c r="J106" s="1" t="str">
        <f>_xlfn.IFNA(INDEX([1]历练产出!$Z:$Z,MATCH(B106,[1]历练产出!$AB:$AB,0)),"")</f>
        <v/>
      </c>
      <c r="K106" s="1" t="str">
        <f>_xlfn.IFNA(INDEX([1]洞天福地产出!$H:$H,MATCH(B106,[1]洞天福地产出!$K:$K,0)),"")</f>
        <v/>
      </c>
      <c r="L106" s="1" t="str">
        <f t="shared" si="8"/>
        <v/>
      </c>
      <c r="M106" s="4">
        <f t="shared" si="9"/>
        <v>0</v>
      </c>
    </row>
    <row r="107" ht="75" spans="1:13">
      <c r="A107" s="4"/>
      <c r="B107" t="str">
        <f t="shared" si="5"/>
        <v>2:19000416</v>
      </c>
      <c r="C107" s="4">
        <v>2</v>
      </c>
      <c r="D107" s="4">
        <v>19000416</v>
      </c>
      <c r="E107" s="3" t="s">
        <v>1843</v>
      </c>
      <c r="F107" s="3"/>
      <c r="G107" s="1">
        <f>G106*3+R105</f>
        <v>1350</v>
      </c>
      <c r="H107" s="1">
        <f t="shared" si="6"/>
        <v>1350</v>
      </c>
      <c r="I107" s="1" t="str">
        <f t="shared" si="7"/>
        <v/>
      </c>
      <c r="J107" s="1" t="str">
        <f>_xlfn.IFNA(INDEX([1]历练产出!$Z:$Z,MATCH(B107,[1]历练产出!$AB:$AB,0)),"")</f>
        <v/>
      </c>
      <c r="K107" s="1" t="str">
        <f>_xlfn.IFNA(INDEX([1]洞天福地产出!$H:$H,MATCH(B107,[1]洞天福地产出!$K:$K,0)),"")</f>
        <v/>
      </c>
      <c r="L107" s="1" t="str">
        <f t="shared" si="8"/>
        <v/>
      </c>
      <c r="M107" s="4">
        <f t="shared" si="9"/>
        <v>0</v>
      </c>
    </row>
    <row r="108" ht="28.5" customHeight="1" spans="1:13">
      <c r="A108" s="4"/>
      <c r="B108" t="str">
        <f t="shared" si="5"/>
        <v>2:20000111</v>
      </c>
      <c r="C108" s="4">
        <v>2</v>
      </c>
      <c r="D108" s="4">
        <v>20000111</v>
      </c>
      <c r="E108" s="3" t="s">
        <v>1844</v>
      </c>
      <c r="F108" s="3"/>
      <c r="G108" s="1">
        <v>17.7955555555556</v>
      </c>
      <c r="H108" s="1">
        <f t="shared" si="6"/>
        <v>17.7955555555556</v>
      </c>
      <c r="I108" s="1" t="str">
        <f t="shared" si="7"/>
        <v/>
      </c>
      <c r="J108" s="1" t="str">
        <f>_xlfn.IFNA(INDEX([1]历练产出!$Z:$Z,MATCH(B108,[1]历练产出!$AB:$AB,0)),"")</f>
        <v/>
      </c>
      <c r="K108" s="1" t="str">
        <f>_xlfn.IFNA(INDEX([1]洞天福地产出!$H:$H,MATCH(B108,[1]洞天福地产出!$K:$K,0)),"")</f>
        <v/>
      </c>
      <c r="L108" s="1" t="str">
        <f t="shared" si="8"/>
        <v/>
      </c>
      <c r="M108" s="4">
        <f t="shared" si="9"/>
        <v>0</v>
      </c>
    </row>
    <row r="109" ht="28.5" customHeight="1" spans="1:13">
      <c r="A109" s="4"/>
      <c r="B109" t="str">
        <f t="shared" si="5"/>
        <v>2:20000112</v>
      </c>
      <c r="C109" s="4">
        <v>2</v>
      </c>
      <c r="D109" s="4">
        <v>20000112</v>
      </c>
      <c r="E109" s="3" t="s">
        <v>1845</v>
      </c>
      <c r="F109" s="3"/>
      <c r="G109" s="1">
        <v>38.3866666666667</v>
      </c>
      <c r="H109" s="1">
        <f t="shared" si="6"/>
        <v>38.3866666666667</v>
      </c>
      <c r="I109" s="1" t="str">
        <f t="shared" si="7"/>
        <v/>
      </c>
      <c r="J109" s="1" t="str">
        <f>_xlfn.IFNA(INDEX([1]历练产出!$Z:$Z,MATCH(B109,[1]历练产出!$AB:$AB,0)),"")</f>
        <v/>
      </c>
      <c r="K109" s="1" t="str">
        <f>_xlfn.IFNA(INDEX([1]洞天福地产出!$H:$H,MATCH(B109,[1]洞天福地产出!$K:$K,0)),"")</f>
        <v/>
      </c>
      <c r="L109" s="1" t="str">
        <f t="shared" si="8"/>
        <v/>
      </c>
      <c r="M109" s="4">
        <f t="shared" si="9"/>
        <v>0</v>
      </c>
    </row>
    <row r="110" ht="28.5" customHeight="1" spans="1:13">
      <c r="A110" s="4"/>
      <c r="B110" t="str">
        <f t="shared" si="5"/>
        <v>2:20000113</v>
      </c>
      <c r="C110" s="4">
        <v>2</v>
      </c>
      <c r="D110" s="4">
        <v>20000113</v>
      </c>
      <c r="E110" s="3" t="s">
        <v>1846</v>
      </c>
      <c r="F110" s="3"/>
      <c r="G110" s="1">
        <v>95.16</v>
      </c>
      <c r="H110" s="1">
        <f t="shared" si="6"/>
        <v>95.16</v>
      </c>
      <c r="I110" s="1" t="str">
        <f t="shared" si="7"/>
        <v/>
      </c>
      <c r="J110" s="1" t="str">
        <f>_xlfn.IFNA(INDEX([1]历练产出!$Z:$Z,MATCH(B110,[1]历练产出!$AB:$AB,0)),"")</f>
        <v/>
      </c>
      <c r="K110" s="1" t="str">
        <f>_xlfn.IFNA(INDEX([1]洞天福地产出!$H:$H,MATCH(B110,[1]洞天福地产出!$K:$K,0)),"")</f>
        <v/>
      </c>
      <c r="L110" s="1" t="str">
        <f t="shared" si="8"/>
        <v/>
      </c>
      <c r="M110" s="4">
        <f t="shared" si="9"/>
        <v>0</v>
      </c>
    </row>
    <row r="111" ht="28.5" customHeight="1" spans="1:13">
      <c r="A111" s="4"/>
      <c r="B111" t="str">
        <f t="shared" si="5"/>
        <v>2:20000114</v>
      </c>
      <c r="C111" s="4">
        <v>2</v>
      </c>
      <c r="D111" s="4">
        <v>20000114</v>
      </c>
      <c r="E111" s="3" t="s">
        <v>1847</v>
      </c>
      <c r="F111" s="3"/>
      <c r="G111" s="1">
        <v>263.88</v>
      </c>
      <c r="H111" s="1">
        <f t="shared" si="6"/>
        <v>263.88</v>
      </c>
      <c r="I111" s="1" t="str">
        <f t="shared" si="7"/>
        <v/>
      </c>
      <c r="J111" s="1" t="str">
        <f>_xlfn.IFNA(INDEX([1]历练产出!$Z:$Z,MATCH(B111,[1]历练产出!$AB:$AB,0)),"")</f>
        <v/>
      </c>
      <c r="K111" s="1" t="str">
        <f>_xlfn.IFNA(INDEX([1]洞天福地产出!$H:$H,MATCH(B111,[1]洞天福地产出!$K:$K,0)),"")</f>
        <v/>
      </c>
      <c r="L111" s="1" t="str">
        <f t="shared" si="8"/>
        <v/>
      </c>
      <c r="M111" s="4">
        <f t="shared" si="9"/>
        <v>0</v>
      </c>
    </row>
    <row r="112" ht="28.5" customHeight="1" spans="1:13">
      <c r="A112" s="4"/>
      <c r="B112" t="str">
        <f t="shared" si="5"/>
        <v>2:20000115</v>
      </c>
      <c r="C112" s="4">
        <v>2</v>
      </c>
      <c r="D112" s="4">
        <v>20000115</v>
      </c>
      <c r="E112" s="3" t="s">
        <v>1848</v>
      </c>
      <c r="F112" s="3"/>
      <c r="G112" s="1">
        <v>754.84</v>
      </c>
      <c r="H112" s="1">
        <f t="shared" si="6"/>
        <v>754.84</v>
      </c>
      <c r="I112" s="1" t="str">
        <f t="shared" si="7"/>
        <v/>
      </c>
      <c r="J112" s="1" t="str">
        <f>_xlfn.IFNA(INDEX([1]历练产出!$Z:$Z,MATCH(B112,[1]历练产出!$AB:$AB,0)),"")</f>
        <v/>
      </c>
      <c r="K112" s="1" t="str">
        <f>_xlfn.IFNA(INDEX([1]洞天福地产出!$H:$H,MATCH(B112,[1]洞天福地产出!$K:$K,0)),"")</f>
        <v/>
      </c>
      <c r="L112" s="1" t="str">
        <f t="shared" si="8"/>
        <v/>
      </c>
      <c r="M112" s="4">
        <f t="shared" si="9"/>
        <v>0</v>
      </c>
    </row>
    <row r="113" ht="28.5" customHeight="1" spans="1:13">
      <c r="A113" s="4"/>
      <c r="B113" t="str">
        <f t="shared" si="5"/>
        <v>2:20000116</v>
      </c>
      <c r="C113" s="4">
        <v>2</v>
      </c>
      <c r="D113" s="4">
        <v>20000116</v>
      </c>
      <c r="E113" s="3" t="s">
        <v>1849</v>
      </c>
      <c r="F113" s="3"/>
      <c r="G113" s="1">
        <v>2221.32</v>
      </c>
      <c r="H113" s="1">
        <f t="shared" si="6"/>
        <v>2221.32</v>
      </c>
      <c r="I113" s="1" t="str">
        <f t="shared" si="7"/>
        <v/>
      </c>
      <c r="J113" s="1" t="str">
        <f>_xlfn.IFNA(INDEX([1]历练产出!$Z:$Z,MATCH(B113,[1]历练产出!$AB:$AB,0)),"")</f>
        <v/>
      </c>
      <c r="K113" s="1" t="str">
        <f>_xlfn.IFNA(INDEX([1]洞天福地产出!$H:$H,MATCH(B113,[1]洞天福地产出!$K:$K,0)),"")</f>
        <v/>
      </c>
      <c r="L113" s="1" t="str">
        <f t="shared" si="8"/>
        <v/>
      </c>
      <c r="M113" s="4">
        <f t="shared" si="9"/>
        <v>0</v>
      </c>
    </row>
    <row r="114" ht="28.5" customHeight="1" spans="1:13">
      <c r="A114" s="4"/>
      <c r="B114" t="str">
        <f t="shared" si="5"/>
        <v>2:20000211</v>
      </c>
      <c r="C114" s="4">
        <v>2</v>
      </c>
      <c r="D114" s="4">
        <v>20000211</v>
      </c>
      <c r="E114" s="3" t="s">
        <v>1850</v>
      </c>
      <c r="F114" s="3"/>
      <c r="G114" s="1">
        <v>17.7955555555556</v>
      </c>
      <c r="H114" s="1">
        <f t="shared" si="6"/>
        <v>17.7955555555556</v>
      </c>
      <c r="I114" s="1" t="str">
        <f t="shared" si="7"/>
        <v/>
      </c>
      <c r="J114" s="1" t="str">
        <f>_xlfn.IFNA(INDEX([1]历练产出!$Z:$Z,MATCH(B114,[1]历练产出!$AB:$AB,0)),"")</f>
        <v/>
      </c>
      <c r="K114" s="1" t="str">
        <f>_xlfn.IFNA(INDEX([1]洞天福地产出!$H:$H,MATCH(B114,[1]洞天福地产出!$K:$K,0)),"")</f>
        <v/>
      </c>
      <c r="L114" s="1" t="str">
        <f t="shared" si="8"/>
        <v/>
      </c>
      <c r="M114" s="4">
        <f t="shared" si="9"/>
        <v>0</v>
      </c>
    </row>
    <row r="115" ht="28.5" customHeight="1" spans="1:13">
      <c r="A115" s="4"/>
      <c r="B115" t="str">
        <f t="shared" si="5"/>
        <v>2:20000212</v>
      </c>
      <c r="C115" s="4">
        <v>2</v>
      </c>
      <c r="D115" s="4">
        <v>20000212</v>
      </c>
      <c r="E115" s="3" t="s">
        <v>1851</v>
      </c>
      <c r="F115" s="3"/>
      <c r="G115" s="1">
        <v>38.3866666666667</v>
      </c>
      <c r="H115" s="1">
        <f t="shared" si="6"/>
        <v>38.3866666666667</v>
      </c>
      <c r="I115" s="1" t="str">
        <f t="shared" si="7"/>
        <v/>
      </c>
      <c r="J115" s="1" t="str">
        <f>_xlfn.IFNA(INDEX([1]历练产出!$Z:$Z,MATCH(B115,[1]历练产出!$AB:$AB,0)),"")</f>
        <v/>
      </c>
      <c r="K115" s="1" t="str">
        <f>_xlfn.IFNA(INDEX([1]洞天福地产出!$H:$H,MATCH(B115,[1]洞天福地产出!$K:$K,0)),"")</f>
        <v/>
      </c>
      <c r="L115" s="1" t="str">
        <f t="shared" si="8"/>
        <v/>
      </c>
      <c r="M115" s="4">
        <f t="shared" si="9"/>
        <v>0</v>
      </c>
    </row>
    <row r="116" ht="28.5" customHeight="1" spans="1:13">
      <c r="A116" s="4"/>
      <c r="B116" t="str">
        <f t="shared" si="5"/>
        <v>2:20000213</v>
      </c>
      <c r="C116" s="4">
        <v>2</v>
      </c>
      <c r="D116" s="4">
        <v>20000213</v>
      </c>
      <c r="E116" s="3" t="s">
        <v>1852</v>
      </c>
      <c r="F116" s="3"/>
      <c r="G116" s="1">
        <v>95.16</v>
      </c>
      <c r="H116" s="1">
        <f t="shared" si="6"/>
        <v>95.16</v>
      </c>
      <c r="I116" s="1" t="str">
        <f t="shared" si="7"/>
        <v/>
      </c>
      <c r="J116" s="1" t="str">
        <f>_xlfn.IFNA(INDEX([1]历练产出!$Z:$Z,MATCH(B116,[1]历练产出!$AB:$AB,0)),"")</f>
        <v/>
      </c>
      <c r="K116" s="1" t="str">
        <f>_xlfn.IFNA(INDEX([1]洞天福地产出!$H:$H,MATCH(B116,[1]洞天福地产出!$K:$K,0)),"")</f>
        <v/>
      </c>
      <c r="L116" s="1" t="str">
        <f t="shared" si="8"/>
        <v/>
      </c>
      <c r="M116" s="4">
        <f t="shared" si="9"/>
        <v>0</v>
      </c>
    </row>
    <row r="117" ht="28.5" customHeight="1" spans="1:13">
      <c r="A117" s="4"/>
      <c r="B117" t="str">
        <f t="shared" si="5"/>
        <v>2:20000214</v>
      </c>
      <c r="C117" s="4">
        <v>2</v>
      </c>
      <c r="D117" s="4">
        <v>20000214</v>
      </c>
      <c r="E117" s="3" t="s">
        <v>1853</v>
      </c>
      <c r="F117" s="3"/>
      <c r="G117" s="1">
        <v>263.88</v>
      </c>
      <c r="H117" s="1">
        <f t="shared" si="6"/>
        <v>263.88</v>
      </c>
      <c r="I117" s="1" t="str">
        <f t="shared" si="7"/>
        <v/>
      </c>
      <c r="J117" s="1" t="str">
        <f>_xlfn.IFNA(INDEX([1]历练产出!$Z:$Z,MATCH(B117,[1]历练产出!$AB:$AB,0)),"")</f>
        <v/>
      </c>
      <c r="K117" s="1" t="str">
        <f>_xlfn.IFNA(INDEX([1]洞天福地产出!$H:$H,MATCH(B117,[1]洞天福地产出!$K:$K,0)),"")</f>
        <v/>
      </c>
      <c r="L117" s="1" t="str">
        <f t="shared" si="8"/>
        <v/>
      </c>
      <c r="M117" s="4">
        <f t="shared" si="9"/>
        <v>0</v>
      </c>
    </row>
    <row r="118" ht="28.5" customHeight="1" spans="1:13">
      <c r="A118" s="4"/>
      <c r="B118" t="str">
        <f t="shared" si="5"/>
        <v>2:20000215</v>
      </c>
      <c r="C118" s="4">
        <v>2</v>
      </c>
      <c r="D118" s="4">
        <v>20000215</v>
      </c>
      <c r="E118" s="3" t="s">
        <v>1854</v>
      </c>
      <c r="F118" s="3"/>
      <c r="G118" s="1">
        <v>754.84</v>
      </c>
      <c r="H118" s="1">
        <f t="shared" si="6"/>
        <v>754.84</v>
      </c>
      <c r="I118" s="1" t="str">
        <f t="shared" si="7"/>
        <v/>
      </c>
      <c r="J118" s="1" t="str">
        <f>_xlfn.IFNA(INDEX([1]历练产出!$Z:$Z,MATCH(B118,[1]历练产出!$AB:$AB,0)),"")</f>
        <v/>
      </c>
      <c r="K118" s="1" t="str">
        <f>_xlfn.IFNA(INDEX([1]洞天福地产出!$H:$H,MATCH(B118,[1]洞天福地产出!$K:$K,0)),"")</f>
        <v/>
      </c>
      <c r="L118" s="1" t="str">
        <f t="shared" si="8"/>
        <v/>
      </c>
      <c r="M118" s="4">
        <f t="shared" si="9"/>
        <v>0</v>
      </c>
    </row>
    <row r="119" ht="28.5" customHeight="1" spans="1:13">
      <c r="A119" s="4"/>
      <c r="B119" t="str">
        <f t="shared" si="5"/>
        <v>2:20000216</v>
      </c>
      <c r="C119" s="4">
        <v>2</v>
      </c>
      <c r="D119" s="4">
        <v>20000216</v>
      </c>
      <c r="E119" s="3" t="s">
        <v>1855</v>
      </c>
      <c r="F119" s="3"/>
      <c r="G119" s="1">
        <v>2221.32</v>
      </c>
      <c r="H119" s="1">
        <f t="shared" si="6"/>
        <v>2221.32</v>
      </c>
      <c r="I119" s="1" t="str">
        <f t="shared" si="7"/>
        <v/>
      </c>
      <c r="J119" s="1" t="str">
        <f>_xlfn.IFNA(INDEX([1]历练产出!$Z:$Z,MATCH(B119,[1]历练产出!$AB:$AB,0)),"")</f>
        <v/>
      </c>
      <c r="K119" s="1" t="str">
        <f>_xlfn.IFNA(INDEX([1]洞天福地产出!$H:$H,MATCH(B119,[1]洞天福地产出!$K:$K,0)),"")</f>
        <v/>
      </c>
      <c r="L119" s="1" t="str">
        <f t="shared" si="8"/>
        <v/>
      </c>
      <c r="M119" s="4">
        <f t="shared" si="9"/>
        <v>0</v>
      </c>
    </row>
    <row r="120" ht="28.5" customHeight="1" spans="1:13">
      <c r="A120" s="4"/>
      <c r="B120" t="str">
        <f t="shared" si="5"/>
        <v>2:20000311</v>
      </c>
      <c r="C120" s="4">
        <v>2</v>
      </c>
      <c r="D120" s="4">
        <v>20000311</v>
      </c>
      <c r="E120" s="3" t="s">
        <v>1856</v>
      </c>
      <c r="F120" s="3"/>
      <c r="G120" s="1">
        <v>17.7955555555556</v>
      </c>
      <c r="H120" s="1">
        <f t="shared" si="6"/>
        <v>17.7955555555556</v>
      </c>
      <c r="I120" s="1" t="str">
        <f t="shared" si="7"/>
        <v/>
      </c>
      <c r="J120" s="1" t="str">
        <f>_xlfn.IFNA(INDEX([1]历练产出!$Z:$Z,MATCH(B120,[1]历练产出!$AB:$AB,0)),"")</f>
        <v/>
      </c>
      <c r="K120" s="1" t="str">
        <f>_xlfn.IFNA(INDEX([1]洞天福地产出!$H:$H,MATCH(B120,[1]洞天福地产出!$K:$K,0)),"")</f>
        <v/>
      </c>
      <c r="L120" s="1" t="str">
        <f t="shared" si="8"/>
        <v/>
      </c>
      <c r="M120" s="4">
        <f t="shared" si="9"/>
        <v>0</v>
      </c>
    </row>
    <row r="121" ht="28.5" customHeight="1" spans="1:13">
      <c r="A121" s="4"/>
      <c r="B121" t="str">
        <f t="shared" si="5"/>
        <v>2:20000312</v>
      </c>
      <c r="C121" s="4">
        <v>2</v>
      </c>
      <c r="D121" s="4">
        <v>20000312</v>
      </c>
      <c r="E121" s="3" t="s">
        <v>1857</v>
      </c>
      <c r="F121" s="3"/>
      <c r="G121" s="1">
        <v>38.3866666666667</v>
      </c>
      <c r="H121" s="1">
        <f t="shared" si="6"/>
        <v>38.3866666666667</v>
      </c>
      <c r="I121" s="1" t="str">
        <f t="shared" si="7"/>
        <v/>
      </c>
      <c r="J121" s="1" t="str">
        <f>_xlfn.IFNA(INDEX([1]历练产出!$Z:$Z,MATCH(B121,[1]历练产出!$AB:$AB,0)),"")</f>
        <v/>
      </c>
      <c r="K121" s="1" t="str">
        <f>_xlfn.IFNA(INDEX([1]洞天福地产出!$H:$H,MATCH(B121,[1]洞天福地产出!$K:$K,0)),"")</f>
        <v/>
      </c>
      <c r="L121" s="1" t="str">
        <f t="shared" si="8"/>
        <v/>
      </c>
      <c r="M121" s="4">
        <f t="shared" si="9"/>
        <v>0</v>
      </c>
    </row>
    <row r="122" ht="28.5" customHeight="1" spans="1:13">
      <c r="A122" s="4"/>
      <c r="B122" t="str">
        <f t="shared" si="5"/>
        <v>2:20000313</v>
      </c>
      <c r="C122" s="4">
        <v>2</v>
      </c>
      <c r="D122" s="4">
        <v>20000313</v>
      </c>
      <c r="E122" s="3" t="s">
        <v>1858</v>
      </c>
      <c r="F122" s="3"/>
      <c r="G122" s="1">
        <v>95.16</v>
      </c>
      <c r="H122" s="1">
        <f t="shared" si="6"/>
        <v>95.16</v>
      </c>
      <c r="I122" s="1" t="str">
        <f t="shared" si="7"/>
        <v/>
      </c>
      <c r="J122" s="1" t="str">
        <f>_xlfn.IFNA(INDEX([1]历练产出!$Z:$Z,MATCH(B122,[1]历练产出!$AB:$AB,0)),"")</f>
        <v/>
      </c>
      <c r="K122" s="1" t="str">
        <f>_xlfn.IFNA(INDEX([1]洞天福地产出!$H:$H,MATCH(B122,[1]洞天福地产出!$K:$K,0)),"")</f>
        <v/>
      </c>
      <c r="L122" s="1" t="str">
        <f t="shared" si="8"/>
        <v/>
      </c>
      <c r="M122" s="4">
        <f t="shared" si="9"/>
        <v>0</v>
      </c>
    </row>
    <row r="123" ht="28.5" customHeight="1" spans="1:13">
      <c r="A123" s="4"/>
      <c r="B123" t="str">
        <f t="shared" si="5"/>
        <v>2:20000314</v>
      </c>
      <c r="C123" s="4">
        <v>2</v>
      </c>
      <c r="D123" s="4">
        <v>20000314</v>
      </c>
      <c r="E123" s="3" t="s">
        <v>1859</v>
      </c>
      <c r="F123" s="3"/>
      <c r="G123" s="1">
        <v>263.88</v>
      </c>
      <c r="H123" s="1">
        <f t="shared" si="6"/>
        <v>263.88</v>
      </c>
      <c r="I123" s="1" t="str">
        <f t="shared" si="7"/>
        <v/>
      </c>
      <c r="J123" s="1" t="str">
        <f>_xlfn.IFNA(INDEX([1]历练产出!$Z:$Z,MATCH(B123,[1]历练产出!$AB:$AB,0)),"")</f>
        <v/>
      </c>
      <c r="K123" s="1" t="str">
        <f>_xlfn.IFNA(INDEX([1]洞天福地产出!$H:$H,MATCH(B123,[1]洞天福地产出!$K:$K,0)),"")</f>
        <v/>
      </c>
      <c r="L123" s="1" t="str">
        <f t="shared" si="8"/>
        <v/>
      </c>
      <c r="M123" s="4">
        <f t="shared" si="9"/>
        <v>0</v>
      </c>
    </row>
    <row r="124" ht="28.5" customHeight="1" spans="1:13">
      <c r="A124" s="4"/>
      <c r="B124" t="str">
        <f t="shared" si="5"/>
        <v>2:20000315</v>
      </c>
      <c r="C124" s="4">
        <v>2</v>
      </c>
      <c r="D124" s="4">
        <v>20000315</v>
      </c>
      <c r="E124" s="3" t="s">
        <v>1860</v>
      </c>
      <c r="F124" s="3"/>
      <c r="G124" s="1">
        <v>754.84</v>
      </c>
      <c r="H124" s="1">
        <f t="shared" si="6"/>
        <v>754.84</v>
      </c>
      <c r="I124" s="1" t="str">
        <f t="shared" si="7"/>
        <v/>
      </c>
      <c r="J124" s="1" t="str">
        <f>_xlfn.IFNA(INDEX([1]历练产出!$Z:$Z,MATCH(B124,[1]历练产出!$AB:$AB,0)),"")</f>
        <v/>
      </c>
      <c r="K124" s="1" t="str">
        <f>_xlfn.IFNA(INDEX([1]洞天福地产出!$H:$H,MATCH(B124,[1]洞天福地产出!$K:$K,0)),"")</f>
        <v/>
      </c>
      <c r="L124" s="1" t="str">
        <f t="shared" si="8"/>
        <v/>
      </c>
      <c r="M124" s="4">
        <f t="shared" si="9"/>
        <v>0</v>
      </c>
    </row>
    <row r="125" ht="42.75" customHeight="1" spans="1:13">
      <c r="A125" s="4"/>
      <c r="B125" t="str">
        <f t="shared" si="5"/>
        <v>2:20000316</v>
      </c>
      <c r="C125" s="4">
        <v>2</v>
      </c>
      <c r="D125" s="4">
        <v>20000316</v>
      </c>
      <c r="E125" s="3" t="s">
        <v>1861</v>
      </c>
      <c r="F125" s="3"/>
      <c r="G125" s="1">
        <v>2221.32</v>
      </c>
      <c r="H125" s="1">
        <f t="shared" si="6"/>
        <v>2221.32</v>
      </c>
      <c r="I125" s="1" t="str">
        <f t="shared" si="7"/>
        <v/>
      </c>
      <c r="J125" s="1" t="str">
        <f>_xlfn.IFNA(INDEX([1]历练产出!$Z:$Z,MATCH(B125,[1]历练产出!$AB:$AB,0)),"")</f>
        <v/>
      </c>
      <c r="K125" s="1" t="str">
        <f>_xlfn.IFNA(INDEX([1]洞天福地产出!$H:$H,MATCH(B125,[1]洞天福地产出!$K:$K,0)),"")</f>
        <v/>
      </c>
      <c r="L125" s="1" t="str">
        <f t="shared" si="8"/>
        <v/>
      </c>
      <c r="M125" s="4">
        <f t="shared" si="9"/>
        <v>0</v>
      </c>
    </row>
    <row r="126" ht="28.5" customHeight="1" spans="1:13">
      <c r="A126" s="4"/>
      <c r="B126" t="str">
        <f t="shared" si="5"/>
        <v>2:20000411</v>
      </c>
      <c r="C126" s="4">
        <v>2</v>
      </c>
      <c r="D126" s="4">
        <v>20000411</v>
      </c>
      <c r="E126" s="3" t="s">
        <v>1862</v>
      </c>
      <c r="F126" s="3"/>
      <c r="G126" s="1">
        <v>17.7955555555556</v>
      </c>
      <c r="H126" s="1">
        <f t="shared" si="6"/>
        <v>17.7955555555556</v>
      </c>
      <c r="I126" s="1" t="str">
        <f t="shared" si="7"/>
        <v/>
      </c>
      <c r="J126" s="1" t="str">
        <f>_xlfn.IFNA(INDEX([1]历练产出!$Z:$Z,MATCH(B126,[1]历练产出!$AB:$AB,0)),"")</f>
        <v/>
      </c>
      <c r="K126" s="1" t="str">
        <f>_xlfn.IFNA(INDEX([1]洞天福地产出!$H:$H,MATCH(B126,[1]洞天福地产出!$K:$K,0)),"")</f>
        <v/>
      </c>
      <c r="L126" s="1" t="str">
        <f t="shared" si="8"/>
        <v/>
      </c>
      <c r="M126" s="4">
        <f t="shared" si="9"/>
        <v>0</v>
      </c>
    </row>
    <row r="127" ht="28.5" customHeight="1" spans="1:13">
      <c r="A127" s="4"/>
      <c r="B127" t="str">
        <f t="shared" si="5"/>
        <v>2:20000412</v>
      </c>
      <c r="C127" s="4">
        <v>2</v>
      </c>
      <c r="D127" s="4">
        <v>20000412</v>
      </c>
      <c r="E127" s="3" t="s">
        <v>1863</v>
      </c>
      <c r="F127" s="3"/>
      <c r="G127" s="1">
        <v>38.3866666666667</v>
      </c>
      <c r="H127" s="1">
        <f t="shared" si="6"/>
        <v>38.3866666666667</v>
      </c>
      <c r="I127" s="1" t="str">
        <f t="shared" si="7"/>
        <v/>
      </c>
      <c r="J127" s="1" t="str">
        <f>_xlfn.IFNA(INDEX([1]历练产出!$Z:$Z,MATCH(B127,[1]历练产出!$AB:$AB,0)),"")</f>
        <v/>
      </c>
      <c r="K127" s="1" t="str">
        <f>_xlfn.IFNA(INDEX([1]洞天福地产出!$H:$H,MATCH(B127,[1]洞天福地产出!$K:$K,0)),"")</f>
        <v/>
      </c>
      <c r="L127" s="1" t="str">
        <f t="shared" si="8"/>
        <v/>
      </c>
      <c r="M127" s="4">
        <f t="shared" si="9"/>
        <v>0</v>
      </c>
    </row>
    <row r="128" ht="28.5" customHeight="1" spans="1:13">
      <c r="A128" s="4"/>
      <c r="B128" t="str">
        <f t="shared" si="5"/>
        <v>2:20000413</v>
      </c>
      <c r="C128" s="4">
        <v>2</v>
      </c>
      <c r="D128" s="4">
        <v>20000413</v>
      </c>
      <c r="E128" s="3" t="s">
        <v>1864</v>
      </c>
      <c r="F128" s="3"/>
      <c r="G128" s="1">
        <v>95.16</v>
      </c>
      <c r="H128" s="1">
        <f t="shared" si="6"/>
        <v>95.16</v>
      </c>
      <c r="I128" s="1" t="str">
        <f t="shared" si="7"/>
        <v/>
      </c>
      <c r="J128" s="1" t="str">
        <f>_xlfn.IFNA(INDEX([1]历练产出!$Z:$Z,MATCH(B128,[1]历练产出!$AB:$AB,0)),"")</f>
        <v/>
      </c>
      <c r="K128" s="1" t="str">
        <f>_xlfn.IFNA(INDEX([1]洞天福地产出!$H:$H,MATCH(B128,[1]洞天福地产出!$K:$K,0)),"")</f>
        <v/>
      </c>
      <c r="L128" s="1" t="str">
        <f t="shared" si="8"/>
        <v/>
      </c>
      <c r="M128" s="4">
        <f t="shared" si="9"/>
        <v>0</v>
      </c>
    </row>
    <row r="129" ht="14.25" customHeight="1" spans="1:13">
      <c r="A129" s="4"/>
      <c r="B129" t="str">
        <f t="shared" si="5"/>
        <v>2:20000414</v>
      </c>
      <c r="C129" s="4">
        <v>2</v>
      </c>
      <c r="D129" s="4">
        <v>20000414</v>
      </c>
      <c r="E129" s="3" t="s">
        <v>1865</v>
      </c>
      <c r="F129" s="3"/>
      <c r="G129" s="1">
        <v>263.88</v>
      </c>
      <c r="H129" s="1">
        <f t="shared" si="6"/>
        <v>263.88</v>
      </c>
      <c r="I129" s="1" t="str">
        <f t="shared" si="7"/>
        <v/>
      </c>
      <c r="J129" s="1" t="str">
        <f>_xlfn.IFNA(INDEX([1]历练产出!$Z:$Z,MATCH(B129,[1]历练产出!$AB:$AB,0)),"")</f>
        <v/>
      </c>
      <c r="K129" s="1" t="str">
        <f>_xlfn.IFNA(INDEX([1]洞天福地产出!$H:$H,MATCH(B129,[1]洞天福地产出!$K:$K,0)),"")</f>
        <v/>
      </c>
      <c r="L129" s="1" t="str">
        <f t="shared" si="8"/>
        <v/>
      </c>
      <c r="M129" s="4">
        <f t="shared" si="9"/>
        <v>0</v>
      </c>
    </row>
    <row r="130" ht="28.5" customHeight="1" spans="1:13">
      <c r="A130" s="4"/>
      <c r="B130" t="str">
        <f t="shared" si="5"/>
        <v>2:20000415</v>
      </c>
      <c r="C130" s="4">
        <v>2</v>
      </c>
      <c r="D130" s="4">
        <v>20000415</v>
      </c>
      <c r="E130" s="3" t="s">
        <v>1866</v>
      </c>
      <c r="F130" s="3"/>
      <c r="G130" s="1">
        <v>754.84</v>
      </c>
      <c r="H130" s="1">
        <f t="shared" si="6"/>
        <v>754.84</v>
      </c>
      <c r="I130" s="1" t="str">
        <f t="shared" si="7"/>
        <v/>
      </c>
      <c r="J130" s="1" t="str">
        <f>_xlfn.IFNA(INDEX([1]历练产出!$Z:$Z,MATCH(B130,[1]历练产出!$AB:$AB,0)),"")</f>
        <v/>
      </c>
      <c r="K130" s="1" t="str">
        <f>_xlfn.IFNA(INDEX([1]洞天福地产出!$H:$H,MATCH(B130,[1]洞天福地产出!$K:$K,0)),"")</f>
        <v/>
      </c>
      <c r="L130" s="1" t="str">
        <f t="shared" si="8"/>
        <v/>
      </c>
      <c r="M130" s="4">
        <f t="shared" si="9"/>
        <v>0</v>
      </c>
    </row>
    <row r="131" ht="28.5" customHeight="1" spans="1:13">
      <c r="A131" s="4"/>
      <c r="B131" t="str">
        <f t="shared" si="5"/>
        <v>2:20000416</v>
      </c>
      <c r="C131" s="4">
        <v>2</v>
      </c>
      <c r="D131" s="4">
        <v>20000416</v>
      </c>
      <c r="E131" s="3" t="s">
        <v>1867</v>
      </c>
      <c r="F131" s="3"/>
      <c r="G131" s="1">
        <v>2221.32</v>
      </c>
      <c r="H131" s="1">
        <f t="shared" si="6"/>
        <v>2221.32</v>
      </c>
      <c r="I131" s="1" t="str">
        <f t="shared" si="7"/>
        <v/>
      </c>
      <c r="J131" s="1" t="str">
        <f>_xlfn.IFNA(INDEX([1]历练产出!$Z:$Z,MATCH(B131,[1]历练产出!$AB:$AB,0)),"")</f>
        <v/>
      </c>
      <c r="K131" s="1" t="str">
        <f>_xlfn.IFNA(INDEX([1]洞天福地产出!$H:$H,MATCH(B131,[1]洞天福地产出!$K:$K,0)),"")</f>
        <v/>
      </c>
      <c r="L131" s="1" t="str">
        <f t="shared" si="8"/>
        <v/>
      </c>
      <c r="M131" s="4">
        <f t="shared" si="9"/>
        <v>0</v>
      </c>
    </row>
    <row r="132" spans="1:13">
      <c r="A132" s="4" t="s">
        <v>2479</v>
      </c>
      <c r="B132" t="str">
        <f t="shared" ref="B132:B195" si="10">C132&amp;":"&amp;D132</f>
        <v>:</v>
      </c>
      <c r="C132" s="4"/>
      <c r="D132" s="4"/>
      <c r="E132" s="3"/>
      <c r="F132" s="3"/>
      <c r="G132" s="1"/>
      <c r="H132" s="1">
        <f t="shared" ref="H132:H195" si="11">IF(I132="",G132,I132)</f>
        <v>0</v>
      </c>
      <c r="I132" s="1" t="str">
        <f t="shared" ref="I132:I195" si="12">IFERROR(100/L132,"")</f>
        <v/>
      </c>
      <c r="J132" s="1" t="str">
        <f>_xlfn.IFNA(INDEX([1]历练产出!$Z:$Z,MATCH(B132,[1]历练产出!$AB:$AB,0)),"")</f>
        <v/>
      </c>
      <c r="K132" s="1" t="str">
        <f>_xlfn.IFNA(INDEX([1]洞天福地产出!$H:$H,MATCH(B132,[1]洞天福地产出!$K:$K,0)),"")</f>
        <v/>
      </c>
      <c r="L132" s="1" t="str">
        <f t="shared" ref="L132:L195" si="13">IFERROR(J132+K132,"")</f>
        <v/>
      </c>
      <c r="M132" s="4">
        <f t="shared" ref="M132:M195" si="14">IF(I132="",0,1)</f>
        <v>0</v>
      </c>
    </row>
    <row r="133" ht="30" spans="1:13">
      <c r="A133" s="4"/>
      <c r="B133" t="str">
        <f t="shared" si="10"/>
        <v>5:1</v>
      </c>
      <c r="C133" s="4">
        <v>5</v>
      </c>
      <c r="D133" s="4">
        <v>1</v>
      </c>
      <c r="E133" s="3" t="s">
        <v>1868</v>
      </c>
      <c r="F133" s="3"/>
      <c r="G133" s="1">
        <f t="shared" ref="G133:G136" si="15">G134/5</f>
        <v>0.3456</v>
      </c>
      <c r="H133" s="1">
        <f t="shared" si="11"/>
        <v>0.3456</v>
      </c>
      <c r="I133" s="1" t="str">
        <f t="shared" si="12"/>
        <v/>
      </c>
      <c r="J133" s="1" t="str">
        <f>_xlfn.IFNA(INDEX([1]历练产出!$Z:$Z,MATCH(B133,[1]历练产出!$AB:$AB,0)),"")</f>
        <v/>
      </c>
      <c r="K133" s="1">
        <f>_xlfn.IFNA(INDEX([1]洞天福地产出!$H:$H,MATCH(B133,[1]洞天福地产出!$K:$K,0)),"")</f>
        <v>3.32307692307692</v>
      </c>
      <c r="L133" s="1" t="str">
        <f t="shared" si="13"/>
        <v/>
      </c>
      <c r="M133" s="4">
        <f t="shared" si="14"/>
        <v>0</v>
      </c>
    </row>
    <row r="134" ht="45" spans="1:13">
      <c r="A134" s="4"/>
      <c r="B134" t="str">
        <f t="shared" si="10"/>
        <v>5:2</v>
      </c>
      <c r="C134" s="4">
        <v>5</v>
      </c>
      <c r="D134" s="4">
        <v>2</v>
      </c>
      <c r="E134" s="3" t="s">
        <v>1869</v>
      </c>
      <c r="F134" s="3"/>
      <c r="G134" s="1">
        <f t="shared" si="15"/>
        <v>1.728</v>
      </c>
      <c r="H134" s="1">
        <f t="shared" si="11"/>
        <v>1.728</v>
      </c>
      <c r="I134" s="1" t="str">
        <f t="shared" si="12"/>
        <v/>
      </c>
      <c r="J134" s="1" t="str">
        <f>_xlfn.IFNA(INDEX([1]历练产出!$Z:$Z,MATCH(B134,[1]历练产出!$AB:$AB,0)),"")</f>
        <v/>
      </c>
      <c r="K134" s="1" t="str">
        <f>_xlfn.IFNA(INDEX([1]洞天福地产出!$H:$H,MATCH(B134,[1]洞天福地产出!$K:$K,0)),"")</f>
        <v/>
      </c>
      <c r="L134" s="1" t="str">
        <f t="shared" si="13"/>
        <v/>
      </c>
      <c r="M134" s="4">
        <f t="shared" si="14"/>
        <v>0</v>
      </c>
    </row>
    <row r="135" ht="30" spans="1:13">
      <c r="A135" s="4"/>
      <c r="B135" t="str">
        <f t="shared" si="10"/>
        <v>5:3</v>
      </c>
      <c r="C135" s="4">
        <v>5</v>
      </c>
      <c r="D135" s="4">
        <v>3</v>
      </c>
      <c r="E135" s="3" t="s">
        <v>1870</v>
      </c>
      <c r="F135" s="3"/>
      <c r="G135" s="1">
        <f t="shared" si="15"/>
        <v>8.64</v>
      </c>
      <c r="H135" s="1">
        <f t="shared" si="11"/>
        <v>8.64</v>
      </c>
      <c r="I135" s="1" t="str">
        <f t="shared" si="12"/>
        <v/>
      </c>
      <c r="J135" s="1" t="str">
        <f>_xlfn.IFNA(INDEX([1]历练产出!$Z:$Z,MATCH(B135,[1]历练产出!$AB:$AB,0)),"")</f>
        <v/>
      </c>
      <c r="K135" s="1" t="str">
        <f>_xlfn.IFNA(INDEX([1]洞天福地产出!$H:$H,MATCH(B135,[1]洞天福地产出!$K:$K,0)),"")</f>
        <v/>
      </c>
      <c r="L135" s="1" t="str">
        <f t="shared" si="13"/>
        <v/>
      </c>
      <c r="M135" s="4">
        <f t="shared" si="14"/>
        <v>0</v>
      </c>
    </row>
    <row r="136" ht="30" spans="1:13">
      <c r="A136" s="4"/>
      <c r="B136" t="str">
        <f t="shared" si="10"/>
        <v>5:4</v>
      </c>
      <c r="C136" s="4">
        <v>5</v>
      </c>
      <c r="D136" s="4">
        <v>4</v>
      </c>
      <c r="E136" s="3" t="s">
        <v>1871</v>
      </c>
      <c r="F136" s="3"/>
      <c r="G136" s="1">
        <f t="shared" si="15"/>
        <v>43.2</v>
      </c>
      <c r="H136" s="1">
        <f t="shared" si="11"/>
        <v>43.2</v>
      </c>
      <c r="I136" s="1" t="str">
        <f t="shared" si="12"/>
        <v/>
      </c>
      <c r="J136" s="1" t="str">
        <f>_xlfn.IFNA(INDEX([1]历练产出!$Z:$Z,MATCH(B136,[1]历练产出!$AB:$AB,0)),"")</f>
        <v/>
      </c>
      <c r="K136" s="1" t="str">
        <f>_xlfn.IFNA(INDEX([1]洞天福地产出!$H:$H,MATCH(B136,[1]洞天福地产出!$K:$K,0)),"")</f>
        <v/>
      </c>
      <c r="L136" s="1" t="str">
        <f t="shared" si="13"/>
        <v/>
      </c>
      <c r="M136" s="4">
        <f t="shared" si="14"/>
        <v>0</v>
      </c>
    </row>
    <row r="137" ht="30" spans="1:13">
      <c r="A137" s="4"/>
      <c r="B137" t="str">
        <f t="shared" si="10"/>
        <v>5:5</v>
      </c>
      <c r="C137" s="4">
        <v>5</v>
      </c>
      <c r="D137" s="4">
        <v>5</v>
      </c>
      <c r="E137" s="3" t="s">
        <v>1872</v>
      </c>
      <c r="F137" s="3"/>
      <c r="G137" s="1">
        <f>G138/3</f>
        <v>216</v>
      </c>
      <c r="H137" s="1">
        <f t="shared" si="11"/>
        <v>216</v>
      </c>
      <c r="I137" s="1" t="str">
        <f t="shared" si="12"/>
        <v/>
      </c>
      <c r="J137" s="1" t="str">
        <f>_xlfn.IFNA(INDEX([1]历练产出!$Z:$Z,MATCH(B137,[1]历练产出!$AB:$AB,0)),"")</f>
        <v/>
      </c>
      <c r="K137" s="1" t="str">
        <f>_xlfn.IFNA(INDEX([1]洞天福地产出!$H:$H,MATCH(B137,[1]洞天福地产出!$K:$K,0)),"")</f>
        <v/>
      </c>
      <c r="L137" s="1" t="str">
        <f t="shared" si="13"/>
        <v/>
      </c>
      <c r="M137" s="4">
        <f t="shared" si="14"/>
        <v>0</v>
      </c>
    </row>
    <row r="138" ht="30" spans="1:13">
      <c r="A138" s="4"/>
      <c r="B138" t="str">
        <f t="shared" si="10"/>
        <v>5:10001</v>
      </c>
      <c r="C138" s="4">
        <v>5</v>
      </c>
      <c r="D138" s="4">
        <v>10001</v>
      </c>
      <c r="E138" s="3" t="s">
        <v>1873</v>
      </c>
      <c r="F138" s="3"/>
      <c r="G138" s="1">
        <v>648</v>
      </c>
      <c r="H138" s="1">
        <f t="shared" si="11"/>
        <v>648</v>
      </c>
      <c r="I138" s="1" t="str">
        <f t="shared" si="12"/>
        <v/>
      </c>
      <c r="J138" s="1" t="str">
        <f>_xlfn.IFNA(INDEX([1]历练产出!$Z:$Z,MATCH(B138,[1]历练产出!$AB:$AB,0)),"")</f>
        <v/>
      </c>
      <c r="K138" s="1" t="str">
        <f>_xlfn.IFNA(INDEX([1]洞天福地产出!$H:$H,MATCH(B138,[1]洞天福地产出!$K:$K,0)),"")</f>
        <v/>
      </c>
      <c r="L138" s="1" t="str">
        <f t="shared" si="13"/>
        <v/>
      </c>
      <c r="M138" s="4">
        <f t="shared" si="14"/>
        <v>0</v>
      </c>
    </row>
    <row r="139" ht="30" spans="1:13">
      <c r="A139" s="4"/>
      <c r="B139" t="str">
        <f t="shared" si="10"/>
        <v>5:10002</v>
      </c>
      <c r="C139" s="4">
        <v>5</v>
      </c>
      <c r="D139" s="4">
        <v>10002</v>
      </c>
      <c r="E139" s="3" t="s">
        <v>1873</v>
      </c>
      <c r="F139" s="3"/>
      <c r="G139" s="1">
        <v>648</v>
      </c>
      <c r="H139" s="1">
        <f t="shared" si="11"/>
        <v>648</v>
      </c>
      <c r="I139" s="1" t="str">
        <f t="shared" si="12"/>
        <v/>
      </c>
      <c r="J139" s="1" t="str">
        <f>_xlfn.IFNA(INDEX([1]历练产出!$Z:$Z,MATCH(B139,[1]历练产出!$AB:$AB,0)),"")</f>
        <v/>
      </c>
      <c r="K139" s="1" t="str">
        <f>_xlfn.IFNA(INDEX([1]洞天福地产出!$H:$H,MATCH(B139,[1]洞天福地产出!$K:$K,0)),"")</f>
        <v/>
      </c>
      <c r="L139" s="1" t="str">
        <f t="shared" si="13"/>
        <v/>
      </c>
      <c r="M139" s="4">
        <f t="shared" si="14"/>
        <v>0</v>
      </c>
    </row>
    <row r="140" ht="30" spans="1:13">
      <c r="A140" s="4"/>
      <c r="B140" t="str">
        <f t="shared" si="10"/>
        <v>5:10003</v>
      </c>
      <c r="C140" s="4">
        <v>5</v>
      </c>
      <c r="D140" s="4">
        <v>10003</v>
      </c>
      <c r="E140" s="3" t="s">
        <v>1873</v>
      </c>
      <c r="F140" s="3"/>
      <c r="G140" s="1">
        <v>648</v>
      </c>
      <c r="H140" s="1">
        <f t="shared" si="11"/>
        <v>648</v>
      </c>
      <c r="I140" s="1" t="str">
        <f t="shared" si="12"/>
        <v/>
      </c>
      <c r="J140" s="1" t="str">
        <f>_xlfn.IFNA(INDEX([1]历练产出!$Z:$Z,MATCH(B140,[1]历练产出!$AB:$AB,0)),"")</f>
        <v/>
      </c>
      <c r="K140" s="1" t="str">
        <f>_xlfn.IFNA(INDEX([1]洞天福地产出!$H:$H,MATCH(B140,[1]洞天福地产出!$K:$K,0)),"")</f>
        <v/>
      </c>
      <c r="L140" s="1" t="str">
        <f t="shared" si="13"/>
        <v/>
      </c>
      <c r="M140" s="4">
        <f t="shared" si="14"/>
        <v>0</v>
      </c>
    </row>
    <row r="141" ht="30" spans="1:13">
      <c r="A141" s="4"/>
      <c r="B141" t="str">
        <f t="shared" si="10"/>
        <v>5:10004</v>
      </c>
      <c r="C141" s="4">
        <v>5</v>
      </c>
      <c r="D141" s="4">
        <v>10004</v>
      </c>
      <c r="E141" s="3" t="s">
        <v>1873</v>
      </c>
      <c r="F141" s="3"/>
      <c r="G141" s="1">
        <v>648</v>
      </c>
      <c r="H141" s="1">
        <f t="shared" si="11"/>
        <v>648</v>
      </c>
      <c r="I141" s="1" t="str">
        <f t="shared" si="12"/>
        <v/>
      </c>
      <c r="J141" s="1" t="str">
        <f>_xlfn.IFNA(INDEX([1]历练产出!$Z:$Z,MATCH(B141,[1]历练产出!$AB:$AB,0)),"")</f>
        <v/>
      </c>
      <c r="K141" s="1" t="str">
        <f>_xlfn.IFNA(INDEX([1]洞天福地产出!$H:$H,MATCH(B141,[1]洞天福地产出!$K:$K,0)),"")</f>
        <v/>
      </c>
      <c r="L141" s="1" t="str">
        <f t="shared" si="13"/>
        <v/>
      </c>
      <c r="M141" s="4">
        <f t="shared" si="14"/>
        <v>0</v>
      </c>
    </row>
    <row r="142" ht="30" spans="1:13">
      <c r="A142" s="4"/>
      <c r="B142" t="str">
        <f t="shared" si="10"/>
        <v>5:10005</v>
      </c>
      <c r="C142" s="4">
        <v>5</v>
      </c>
      <c r="D142" s="4">
        <v>10005</v>
      </c>
      <c r="E142" s="3" t="s">
        <v>1873</v>
      </c>
      <c r="F142" s="3"/>
      <c r="G142" s="1">
        <v>648</v>
      </c>
      <c r="H142" s="1">
        <f t="shared" si="11"/>
        <v>648</v>
      </c>
      <c r="I142" s="1" t="str">
        <f t="shared" si="12"/>
        <v/>
      </c>
      <c r="J142" s="1" t="str">
        <f>_xlfn.IFNA(INDEX([1]历练产出!$Z:$Z,MATCH(B142,[1]历练产出!$AB:$AB,0)),"")</f>
        <v/>
      </c>
      <c r="K142" s="1" t="str">
        <f>_xlfn.IFNA(INDEX([1]洞天福地产出!$H:$H,MATCH(B142,[1]洞天福地产出!$K:$K,0)),"")</f>
        <v/>
      </c>
      <c r="L142" s="1" t="str">
        <f t="shared" si="13"/>
        <v/>
      </c>
      <c r="M142" s="4">
        <f t="shared" si="14"/>
        <v>0</v>
      </c>
    </row>
    <row r="143" ht="30" spans="1:13">
      <c r="A143" s="4"/>
      <c r="B143" t="str">
        <f t="shared" si="10"/>
        <v>5:10006</v>
      </c>
      <c r="C143" s="4">
        <v>5</v>
      </c>
      <c r="D143" s="4">
        <v>10006</v>
      </c>
      <c r="E143" s="3" t="s">
        <v>1873</v>
      </c>
      <c r="F143" s="3"/>
      <c r="G143" s="1">
        <v>648</v>
      </c>
      <c r="H143" s="1">
        <f t="shared" si="11"/>
        <v>648</v>
      </c>
      <c r="I143" s="1" t="str">
        <f t="shared" si="12"/>
        <v/>
      </c>
      <c r="J143" s="1" t="str">
        <f>_xlfn.IFNA(INDEX([1]历练产出!$Z:$Z,MATCH(B143,[1]历练产出!$AB:$AB,0)),"")</f>
        <v/>
      </c>
      <c r="K143" s="1" t="str">
        <f>_xlfn.IFNA(INDEX([1]洞天福地产出!$H:$H,MATCH(B143,[1]洞天福地产出!$K:$K,0)),"")</f>
        <v/>
      </c>
      <c r="L143" s="1" t="str">
        <f t="shared" si="13"/>
        <v/>
      </c>
      <c r="M143" s="4">
        <f t="shared" si="14"/>
        <v>0</v>
      </c>
    </row>
    <row r="144" ht="30" spans="1:13">
      <c r="A144" s="4"/>
      <c r="B144" t="str">
        <f t="shared" si="10"/>
        <v>5:10007</v>
      </c>
      <c r="C144" s="4">
        <v>5</v>
      </c>
      <c r="D144" s="4">
        <v>10007</v>
      </c>
      <c r="E144" s="3" t="s">
        <v>1873</v>
      </c>
      <c r="F144" s="3"/>
      <c r="G144" s="1">
        <v>648</v>
      </c>
      <c r="H144" s="1">
        <f t="shared" si="11"/>
        <v>648</v>
      </c>
      <c r="I144" s="1" t="str">
        <f t="shared" si="12"/>
        <v/>
      </c>
      <c r="J144" s="1" t="str">
        <f>_xlfn.IFNA(INDEX([1]历练产出!$Z:$Z,MATCH(B144,[1]历练产出!$AB:$AB,0)),"")</f>
        <v/>
      </c>
      <c r="K144" s="1" t="str">
        <f>_xlfn.IFNA(INDEX([1]洞天福地产出!$H:$H,MATCH(B144,[1]洞天福地产出!$K:$K,0)),"")</f>
        <v/>
      </c>
      <c r="L144" s="1" t="str">
        <f t="shared" si="13"/>
        <v/>
      </c>
      <c r="M144" s="4">
        <f t="shared" si="14"/>
        <v>0</v>
      </c>
    </row>
    <row r="145" ht="30" spans="1:13">
      <c r="A145" s="4"/>
      <c r="B145" t="str">
        <f t="shared" si="10"/>
        <v>5:10008</v>
      </c>
      <c r="C145" s="4">
        <v>5</v>
      </c>
      <c r="D145" s="4">
        <v>10008</v>
      </c>
      <c r="E145" s="3" t="s">
        <v>1873</v>
      </c>
      <c r="F145" s="3"/>
      <c r="G145" s="1">
        <v>648</v>
      </c>
      <c r="H145" s="1">
        <f t="shared" si="11"/>
        <v>648</v>
      </c>
      <c r="I145" s="1" t="str">
        <f t="shared" si="12"/>
        <v/>
      </c>
      <c r="J145" s="1" t="str">
        <f>_xlfn.IFNA(INDEX([1]历练产出!$Z:$Z,MATCH(B145,[1]历练产出!$AB:$AB,0)),"")</f>
        <v/>
      </c>
      <c r="K145" s="1" t="str">
        <f>_xlfn.IFNA(INDEX([1]洞天福地产出!$H:$H,MATCH(B145,[1]洞天福地产出!$K:$K,0)),"")</f>
        <v/>
      </c>
      <c r="L145" s="1" t="str">
        <f t="shared" si="13"/>
        <v/>
      </c>
      <c r="M145" s="4">
        <f t="shared" si="14"/>
        <v>0</v>
      </c>
    </row>
    <row r="146" ht="30" spans="1:13">
      <c r="A146" s="4"/>
      <c r="B146" t="str">
        <f t="shared" si="10"/>
        <v>5:10009</v>
      </c>
      <c r="C146" s="4">
        <v>5</v>
      </c>
      <c r="D146" s="4">
        <v>10009</v>
      </c>
      <c r="E146" s="3" t="s">
        <v>1873</v>
      </c>
      <c r="F146" s="3"/>
      <c r="G146" s="1">
        <v>648</v>
      </c>
      <c r="H146" s="1">
        <f t="shared" si="11"/>
        <v>648</v>
      </c>
      <c r="I146" s="1" t="str">
        <f t="shared" si="12"/>
        <v/>
      </c>
      <c r="J146" s="1" t="str">
        <f>_xlfn.IFNA(INDEX([1]历练产出!$Z:$Z,MATCH(B146,[1]历练产出!$AB:$AB,0)),"")</f>
        <v/>
      </c>
      <c r="K146" s="1" t="str">
        <f>_xlfn.IFNA(INDEX([1]洞天福地产出!$H:$H,MATCH(B146,[1]洞天福地产出!$K:$K,0)),"")</f>
        <v/>
      </c>
      <c r="L146" s="1" t="str">
        <f t="shared" si="13"/>
        <v/>
      </c>
      <c r="M146" s="4">
        <f t="shared" si="14"/>
        <v>0</v>
      </c>
    </row>
    <row r="147" ht="30" spans="1:13">
      <c r="A147" s="4"/>
      <c r="B147" t="str">
        <f t="shared" si="10"/>
        <v>5:10010</v>
      </c>
      <c r="C147" s="4">
        <v>5</v>
      </c>
      <c r="D147" s="4">
        <v>10010</v>
      </c>
      <c r="E147" s="3" t="s">
        <v>1873</v>
      </c>
      <c r="F147" s="3"/>
      <c r="G147" s="1">
        <v>648</v>
      </c>
      <c r="H147" s="1">
        <f t="shared" si="11"/>
        <v>648</v>
      </c>
      <c r="I147" s="1" t="str">
        <f t="shared" si="12"/>
        <v/>
      </c>
      <c r="J147" s="1" t="str">
        <f>_xlfn.IFNA(INDEX([1]历练产出!$Z:$Z,MATCH(B147,[1]历练产出!$AB:$AB,0)),"")</f>
        <v/>
      </c>
      <c r="K147" s="1" t="str">
        <f>_xlfn.IFNA(INDEX([1]洞天福地产出!$H:$H,MATCH(B147,[1]洞天福地产出!$K:$K,0)),"")</f>
        <v/>
      </c>
      <c r="L147" s="1" t="str">
        <f t="shared" si="13"/>
        <v/>
      </c>
      <c r="M147" s="4">
        <f t="shared" si="14"/>
        <v>0</v>
      </c>
    </row>
    <row r="148" ht="30" spans="1:13">
      <c r="A148" s="4"/>
      <c r="B148" t="str">
        <f t="shared" si="10"/>
        <v>5:10011</v>
      </c>
      <c r="C148" s="4">
        <v>5</v>
      </c>
      <c r="D148" s="4">
        <v>10011</v>
      </c>
      <c r="E148" s="3" t="s">
        <v>1873</v>
      </c>
      <c r="F148" s="3"/>
      <c r="G148" s="1">
        <v>648</v>
      </c>
      <c r="H148" s="1">
        <f t="shared" si="11"/>
        <v>648</v>
      </c>
      <c r="I148" s="1" t="str">
        <f t="shared" si="12"/>
        <v/>
      </c>
      <c r="J148" s="1" t="str">
        <f>_xlfn.IFNA(INDEX([1]历练产出!$Z:$Z,MATCH(B148,[1]历练产出!$AB:$AB,0)),"")</f>
        <v/>
      </c>
      <c r="K148" s="1" t="str">
        <f>_xlfn.IFNA(INDEX([1]洞天福地产出!$H:$H,MATCH(B148,[1]洞天福地产出!$K:$K,0)),"")</f>
        <v/>
      </c>
      <c r="L148" s="1" t="str">
        <f t="shared" si="13"/>
        <v/>
      </c>
      <c r="M148" s="4">
        <f t="shared" si="14"/>
        <v>0</v>
      </c>
    </row>
    <row r="149" ht="30" spans="1:13">
      <c r="A149" s="4"/>
      <c r="B149" t="str">
        <f t="shared" si="10"/>
        <v>5:10012</v>
      </c>
      <c r="C149" s="4">
        <v>5</v>
      </c>
      <c r="D149" s="4">
        <v>10012</v>
      </c>
      <c r="E149" s="3" t="s">
        <v>1873</v>
      </c>
      <c r="F149" s="3"/>
      <c r="G149" s="1">
        <v>648</v>
      </c>
      <c r="H149" s="1">
        <f t="shared" si="11"/>
        <v>648</v>
      </c>
      <c r="I149" s="1" t="str">
        <f t="shared" si="12"/>
        <v/>
      </c>
      <c r="J149" s="1" t="str">
        <f>_xlfn.IFNA(INDEX([1]历练产出!$Z:$Z,MATCH(B149,[1]历练产出!$AB:$AB,0)),"")</f>
        <v/>
      </c>
      <c r="K149" s="1" t="str">
        <f>_xlfn.IFNA(INDEX([1]洞天福地产出!$H:$H,MATCH(B149,[1]洞天福地产出!$K:$K,0)),"")</f>
        <v/>
      </c>
      <c r="L149" s="1" t="str">
        <f t="shared" si="13"/>
        <v/>
      </c>
      <c r="M149" s="4">
        <f t="shared" si="14"/>
        <v>0</v>
      </c>
    </row>
    <row r="150" ht="30" spans="1:13">
      <c r="A150" s="4"/>
      <c r="B150" t="str">
        <f t="shared" si="10"/>
        <v>5:10013</v>
      </c>
      <c r="C150" s="4">
        <v>5</v>
      </c>
      <c r="D150" s="4">
        <v>10013</v>
      </c>
      <c r="E150" s="3" t="s">
        <v>1873</v>
      </c>
      <c r="F150" s="3"/>
      <c r="G150" s="1">
        <v>648</v>
      </c>
      <c r="H150" s="1">
        <f t="shared" si="11"/>
        <v>648</v>
      </c>
      <c r="I150" s="1" t="str">
        <f t="shared" si="12"/>
        <v/>
      </c>
      <c r="J150" s="1" t="str">
        <f>_xlfn.IFNA(INDEX([1]历练产出!$Z:$Z,MATCH(B150,[1]历练产出!$AB:$AB,0)),"")</f>
        <v/>
      </c>
      <c r="K150" s="1" t="str">
        <f>_xlfn.IFNA(INDEX([1]洞天福地产出!$H:$H,MATCH(B150,[1]洞天福地产出!$K:$K,0)),"")</f>
        <v/>
      </c>
      <c r="L150" s="1" t="str">
        <f t="shared" si="13"/>
        <v/>
      </c>
      <c r="M150" s="4">
        <f t="shared" si="14"/>
        <v>0</v>
      </c>
    </row>
    <row r="151" ht="30" spans="1:13">
      <c r="A151" s="4"/>
      <c r="B151" t="str">
        <f t="shared" si="10"/>
        <v>5:10014</v>
      </c>
      <c r="C151" s="4">
        <v>5</v>
      </c>
      <c r="D151" s="4">
        <v>10014</v>
      </c>
      <c r="E151" s="3" t="s">
        <v>1873</v>
      </c>
      <c r="F151" s="3"/>
      <c r="G151" s="1">
        <v>648</v>
      </c>
      <c r="H151" s="1">
        <f t="shared" si="11"/>
        <v>648</v>
      </c>
      <c r="I151" s="1" t="str">
        <f t="shared" si="12"/>
        <v/>
      </c>
      <c r="J151" s="1" t="str">
        <f>_xlfn.IFNA(INDEX([1]历练产出!$Z:$Z,MATCH(B151,[1]历练产出!$AB:$AB,0)),"")</f>
        <v/>
      </c>
      <c r="K151" s="1" t="str">
        <f>_xlfn.IFNA(INDEX([1]洞天福地产出!$H:$H,MATCH(B151,[1]洞天福地产出!$K:$K,0)),"")</f>
        <v/>
      </c>
      <c r="L151" s="1" t="str">
        <f t="shared" si="13"/>
        <v/>
      </c>
      <c r="M151" s="4">
        <f t="shared" si="14"/>
        <v>0</v>
      </c>
    </row>
    <row r="152" ht="30" spans="1:13">
      <c r="A152" s="4"/>
      <c r="B152" t="str">
        <f t="shared" si="10"/>
        <v>5:10015</v>
      </c>
      <c r="C152" s="4">
        <v>5</v>
      </c>
      <c r="D152" s="4">
        <v>10015</v>
      </c>
      <c r="E152" s="3" t="s">
        <v>1873</v>
      </c>
      <c r="F152" s="3"/>
      <c r="G152" s="1">
        <v>648</v>
      </c>
      <c r="H152" s="1">
        <f t="shared" si="11"/>
        <v>648</v>
      </c>
      <c r="I152" s="1" t="str">
        <f t="shared" si="12"/>
        <v/>
      </c>
      <c r="J152" s="1" t="str">
        <f>_xlfn.IFNA(INDEX([1]历练产出!$Z:$Z,MATCH(B152,[1]历练产出!$AB:$AB,0)),"")</f>
        <v/>
      </c>
      <c r="K152" s="1" t="str">
        <f>_xlfn.IFNA(INDEX([1]洞天福地产出!$H:$H,MATCH(B152,[1]洞天福地产出!$K:$K,0)),"")</f>
        <v/>
      </c>
      <c r="L152" s="1" t="str">
        <f t="shared" si="13"/>
        <v/>
      </c>
      <c r="M152" s="4">
        <f t="shared" si="14"/>
        <v>0</v>
      </c>
    </row>
    <row r="153" ht="30" spans="1:13">
      <c r="A153" s="4"/>
      <c r="B153" t="str">
        <f t="shared" si="10"/>
        <v>5:10016</v>
      </c>
      <c r="C153" s="4">
        <v>5</v>
      </c>
      <c r="D153" s="4">
        <v>10016</v>
      </c>
      <c r="E153" s="3" t="s">
        <v>1873</v>
      </c>
      <c r="F153" s="3"/>
      <c r="G153" s="1">
        <v>648</v>
      </c>
      <c r="H153" s="1">
        <f t="shared" si="11"/>
        <v>648</v>
      </c>
      <c r="I153" s="1" t="str">
        <f t="shared" si="12"/>
        <v/>
      </c>
      <c r="J153" s="1" t="str">
        <f>_xlfn.IFNA(INDEX([1]历练产出!$Z:$Z,MATCH(B153,[1]历练产出!$AB:$AB,0)),"")</f>
        <v/>
      </c>
      <c r="K153" s="1" t="str">
        <f>_xlfn.IFNA(INDEX([1]洞天福地产出!$H:$H,MATCH(B153,[1]洞天福地产出!$K:$K,0)),"")</f>
        <v/>
      </c>
      <c r="L153" s="1" t="str">
        <f t="shared" si="13"/>
        <v/>
      </c>
      <c r="M153" s="4">
        <f t="shared" si="14"/>
        <v>0</v>
      </c>
    </row>
    <row r="154" spans="1:13">
      <c r="A154" s="4"/>
      <c r="B154" t="str">
        <f t="shared" si="10"/>
        <v>5:20001</v>
      </c>
      <c r="C154" s="4">
        <v>5</v>
      </c>
      <c r="D154" s="4">
        <v>20001</v>
      </c>
      <c r="E154" s="3" t="s">
        <v>1874</v>
      </c>
      <c r="F154" s="3"/>
      <c r="G154" s="1"/>
      <c r="H154" s="1">
        <v>100</v>
      </c>
      <c r="I154" s="1" t="str">
        <f t="shared" si="12"/>
        <v/>
      </c>
      <c r="J154" s="1" t="str">
        <f>_xlfn.IFNA(INDEX([1]历练产出!$Z:$Z,MATCH(B154,[1]历练产出!$AB:$AB,0)),"")</f>
        <v/>
      </c>
      <c r="K154" s="1" t="str">
        <f>_xlfn.IFNA(INDEX([1]洞天福地产出!$H:$H,MATCH(B154,[1]洞天福地产出!$K:$K,0)),"")</f>
        <v/>
      </c>
      <c r="L154" s="1" t="str">
        <f t="shared" si="13"/>
        <v/>
      </c>
      <c r="M154" s="4">
        <f t="shared" si="14"/>
        <v>0</v>
      </c>
    </row>
    <row r="155" spans="1:13">
      <c r="A155" s="1" t="s">
        <v>2480</v>
      </c>
      <c r="B155" t="str">
        <f t="shared" si="10"/>
        <v>:</v>
      </c>
      <c r="C155" s="4"/>
      <c r="D155" s="4"/>
      <c r="E155" s="3"/>
      <c r="F155" s="3"/>
      <c r="G155" s="1"/>
      <c r="H155" s="1">
        <f t="shared" si="11"/>
        <v>0</v>
      </c>
      <c r="I155" s="1" t="str">
        <f t="shared" si="12"/>
        <v/>
      </c>
      <c r="J155" s="1" t="str">
        <f>_xlfn.IFNA(INDEX([1]历练产出!$Z:$Z,MATCH(B155,[1]历练产出!$AB:$AB,0)),"")</f>
        <v/>
      </c>
      <c r="K155" s="1" t="str">
        <f>_xlfn.IFNA(INDEX([1]洞天福地产出!$H:$H,MATCH(B155,[1]洞天福地产出!$K:$K,0)),"")</f>
        <v/>
      </c>
      <c r="L155" s="1" t="str">
        <f t="shared" si="13"/>
        <v/>
      </c>
      <c r="M155" s="4">
        <f t="shared" si="14"/>
        <v>0</v>
      </c>
    </row>
    <row r="156" spans="1:13">
      <c r="A156" s="4"/>
      <c r="B156" t="str">
        <f t="shared" si="10"/>
        <v>6:10001</v>
      </c>
      <c r="C156" s="1">
        <v>6</v>
      </c>
      <c r="D156" s="4">
        <v>10001</v>
      </c>
      <c r="E156" s="3" t="s">
        <v>319</v>
      </c>
      <c r="F156" s="3"/>
      <c r="G156" s="1">
        <v>25</v>
      </c>
      <c r="H156" s="1">
        <f t="shared" si="11"/>
        <v>25</v>
      </c>
      <c r="I156" s="1" t="str">
        <f t="shared" si="12"/>
        <v/>
      </c>
      <c r="J156" s="1" t="str">
        <f>_xlfn.IFNA(INDEX([1]历练产出!$Z:$Z,MATCH(B156,[1]历练产出!$AB:$AB,0)),"")</f>
        <v/>
      </c>
      <c r="K156" s="1" t="str">
        <f>_xlfn.IFNA(INDEX([1]洞天福地产出!$H:$H,MATCH(B156,[1]洞天福地产出!$K:$K,0)),"")</f>
        <v/>
      </c>
      <c r="L156" s="1" t="str">
        <f t="shared" si="13"/>
        <v/>
      </c>
      <c r="M156" s="4">
        <f t="shared" si="14"/>
        <v>0</v>
      </c>
    </row>
    <row r="157" spans="1:13">
      <c r="A157" s="4"/>
      <c r="B157" t="str">
        <f t="shared" si="10"/>
        <v>6:10002</v>
      </c>
      <c r="C157" s="1">
        <v>6</v>
      </c>
      <c r="D157" s="4">
        <v>10002</v>
      </c>
      <c r="E157" s="3" t="s">
        <v>319</v>
      </c>
      <c r="F157" s="3"/>
      <c r="G157" s="1">
        <v>50</v>
      </c>
      <c r="H157" s="1">
        <f t="shared" si="11"/>
        <v>50</v>
      </c>
      <c r="I157" s="1" t="str">
        <f t="shared" si="12"/>
        <v/>
      </c>
      <c r="J157" s="1" t="str">
        <f>_xlfn.IFNA(INDEX([1]历练产出!$Z:$Z,MATCH(B157,[1]历练产出!$AB:$AB,0)),"")</f>
        <v/>
      </c>
      <c r="K157" s="1" t="str">
        <f>_xlfn.IFNA(INDEX([1]洞天福地产出!$H:$H,MATCH(B157,[1]洞天福地产出!$K:$K,0)),"")</f>
        <v/>
      </c>
      <c r="L157" s="1" t="str">
        <f t="shared" si="13"/>
        <v/>
      </c>
      <c r="M157" s="4">
        <f t="shared" si="14"/>
        <v>0</v>
      </c>
    </row>
    <row r="158" spans="1:13">
      <c r="A158" s="4"/>
      <c r="B158" t="str">
        <f t="shared" si="10"/>
        <v>6:10003</v>
      </c>
      <c r="C158" s="1">
        <v>6</v>
      </c>
      <c r="D158" s="4">
        <v>10003</v>
      </c>
      <c r="E158" s="3" t="s">
        <v>319</v>
      </c>
      <c r="F158" s="3"/>
      <c r="G158" s="1">
        <v>100</v>
      </c>
      <c r="H158" s="1">
        <f t="shared" si="11"/>
        <v>100</v>
      </c>
      <c r="I158" s="1" t="str">
        <f t="shared" si="12"/>
        <v/>
      </c>
      <c r="J158" s="1" t="str">
        <f>_xlfn.IFNA(INDEX([1]历练产出!$Z:$Z,MATCH(B158,[1]历练产出!$AB:$AB,0)),"")</f>
        <v/>
      </c>
      <c r="K158" s="1" t="str">
        <f>_xlfn.IFNA(INDEX([1]洞天福地产出!$H:$H,MATCH(B158,[1]洞天福地产出!$K:$K,0)),"")</f>
        <v/>
      </c>
      <c r="L158" s="1" t="str">
        <f t="shared" si="13"/>
        <v/>
      </c>
      <c r="M158" s="4">
        <f t="shared" si="14"/>
        <v>0</v>
      </c>
    </row>
    <row r="159" spans="1:13">
      <c r="A159" s="4"/>
      <c r="B159" t="str">
        <f t="shared" si="10"/>
        <v>6:10004</v>
      </c>
      <c r="C159" s="1">
        <v>6</v>
      </c>
      <c r="D159" s="4">
        <v>10004</v>
      </c>
      <c r="E159" s="3" t="s">
        <v>319</v>
      </c>
      <c r="F159" s="3"/>
      <c r="G159" s="1">
        <v>200</v>
      </c>
      <c r="H159" s="1">
        <f t="shared" si="11"/>
        <v>200</v>
      </c>
      <c r="I159" s="1" t="str">
        <f t="shared" si="12"/>
        <v/>
      </c>
      <c r="J159" s="1" t="str">
        <f>_xlfn.IFNA(INDEX([1]历练产出!$Z:$Z,MATCH(B159,[1]历练产出!$AB:$AB,0)),"")</f>
        <v/>
      </c>
      <c r="K159" s="1" t="str">
        <f>_xlfn.IFNA(INDEX([1]洞天福地产出!$H:$H,MATCH(B159,[1]洞天福地产出!$K:$K,0)),"")</f>
        <v/>
      </c>
      <c r="L159" s="1" t="str">
        <f t="shared" si="13"/>
        <v/>
      </c>
      <c r="M159" s="4">
        <f t="shared" si="14"/>
        <v>0</v>
      </c>
    </row>
    <row r="160" ht="30" spans="1:13">
      <c r="A160" s="4"/>
      <c r="B160" t="str">
        <f t="shared" si="10"/>
        <v>6:10011</v>
      </c>
      <c r="C160" s="1">
        <v>6</v>
      </c>
      <c r="D160" s="4">
        <v>10011</v>
      </c>
      <c r="E160" s="3" t="s">
        <v>324</v>
      </c>
      <c r="F160" s="3"/>
      <c r="G160" s="1">
        <v>25</v>
      </c>
      <c r="H160" s="1">
        <f t="shared" si="11"/>
        <v>25</v>
      </c>
      <c r="I160" s="1" t="str">
        <f t="shared" si="12"/>
        <v/>
      </c>
      <c r="J160" s="1" t="str">
        <f>_xlfn.IFNA(INDEX([1]历练产出!$Z:$Z,MATCH(B160,[1]历练产出!$AB:$AB,0)),"")</f>
        <v/>
      </c>
      <c r="K160" s="1" t="str">
        <f>_xlfn.IFNA(INDEX([1]洞天福地产出!$H:$H,MATCH(B160,[1]洞天福地产出!$K:$K,0)),"")</f>
        <v/>
      </c>
      <c r="L160" s="1" t="str">
        <f t="shared" si="13"/>
        <v/>
      </c>
      <c r="M160" s="4">
        <f t="shared" si="14"/>
        <v>0</v>
      </c>
    </row>
    <row r="161" ht="30" spans="1:13">
      <c r="A161" s="4"/>
      <c r="B161" t="str">
        <f t="shared" si="10"/>
        <v>6:10012</v>
      </c>
      <c r="C161" s="1">
        <v>6</v>
      </c>
      <c r="D161" s="4">
        <v>10012</v>
      </c>
      <c r="E161" s="3" t="s">
        <v>324</v>
      </c>
      <c r="F161" s="3"/>
      <c r="G161" s="1">
        <v>50</v>
      </c>
      <c r="H161" s="1">
        <f t="shared" si="11"/>
        <v>50</v>
      </c>
      <c r="I161" s="1" t="str">
        <f t="shared" si="12"/>
        <v/>
      </c>
      <c r="J161" s="1" t="str">
        <f>_xlfn.IFNA(INDEX([1]历练产出!$Z:$Z,MATCH(B161,[1]历练产出!$AB:$AB,0)),"")</f>
        <v/>
      </c>
      <c r="K161" s="1" t="str">
        <f>_xlfn.IFNA(INDEX([1]洞天福地产出!$H:$H,MATCH(B161,[1]洞天福地产出!$K:$K,0)),"")</f>
        <v/>
      </c>
      <c r="L161" s="1" t="str">
        <f t="shared" si="13"/>
        <v/>
      </c>
      <c r="M161" s="4">
        <f t="shared" si="14"/>
        <v>0</v>
      </c>
    </row>
    <row r="162" ht="30" spans="1:13">
      <c r="A162" s="4"/>
      <c r="B162" t="str">
        <f t="shared" si="10"/>
        <v>6:10013</v>
      </c>
      <c r="C162" s="1">
        <v>6</v>
      </c>
      <c r="D162" s="4">
        <v>10013</v>
      </c>
      <c r="E162" s="3" t="s">
        <v>324</v>
      </c>
      <c r="F162" s="3"/>
      <c r="G162" s="1">
        <v>100</v>
      </c>
      <c r="H162" s="1">
        <f t="shared" si="11"/>
        <v>100</v>
      </c>
      <c r="I162" s="1" t="str">
        <f t="shared" si="12"/>
        <v/>
      </c>
      <c r="J162" s="1" t="str">
        <f>_xlfn.IFNA(INDEX([1]历练产出!$Z:$Z,MATCH(B162,[1]历练产出!$AB:$AB,0)),"")</f>
        <v/>
      </c>
      <c r="K162" s="1" t="str">
        <f>_xlfn.IFNA(INDEX([1]洞天福地产出!$H:$H,MATCH(B162,[1]洞天福地产出!$K:$K,0)),"")</f>
        <v/>
      </c>
      <c r="L162" s="1" t="str">
        <f t="shared" si="13"/>
        <v/>
      </c>
      <c r="M162" s="4">
        <f t="shared" si="14"/>
        <v>0</v>
      </c>
    </row>
    <row r="163" ht="30" spans="1:13">
      <c r="A163" s="4"/>
      <c r="B163" t="str">
        <f t="shared" si="10"/>
        <v>6:10014</v>
      </c>
      <c r="C163" s="1">
        <v>6</v>
      </c>
      <c r="D163" s="4">
        <v>10014</v>
      </c>
      <c r="E163" s="3" t="s">
        <v>324</v>
      </c>
      <c r="F163" s="3"/>
      <c r="G163" s="1">
        <v>200</v>
      </c>
      <c r="H163" s="1">
        <f t="shared" si="11"/>
        <v>200</v>
      </c>
      <c r="I163" s="1" t="str">
        <f t="shared" si="12"/>
        <v/>
      </c>
      <c r="J163" s="1" t="str">
        <f>_xlfn.IFNA(INDEX([1]历练产出!$Z:$Z,MATCH(B163,[1]历练产出!$AB:$AB,0)),"")</f>
        <v/>
      </c>
      <c r="K163" s="1" t="str">
        <f>_xlfn.IFNA(INDEX([1]洞天福地产出!$H:$H,MATCH(B163,[1]洞天福地产出!$K:$K,0)),"")</f>
        <v/>
      </c>
      <c r="L163" s="1" t="str">
        <f t="shared" si="13"/>
        <v/>
      </c>
      <c r="M163" s="4">
        <f t="shared" si="14"/>
        <v>0</v>
      </c>
    </row>
    <row r="164" spans="1:13">
      <c r="A164" s="4"/>
      <c r="B164" t="str">
        <f t="shared" si="10"/>
        <v>6:10021</v>
      </c>
      <c r="C164" s="1">
        <v>6</v>
      </c>
      <c r="D164" s="4">
        <v>10021</v>
      </c>
      <c r="E164" s="3" t="s">
        <v>329</v>
      </c>
      <c r="F164" s="3"/>
      <c r="G164" s="1">
        <v>25</v>
      </c>
      <c r="H164" s="1">
        <f t="shared" si="11"/>
        <v>25</v>
      </c>
      <c r="I164" s="1" t="str">
        <f t="shared" si="12"/>
        <v/>
      </c>
      <c r="J164" s="1" t="str">
        <f>_xlfn.IFNA(INDEX([1]历练产出!$Z:$Z,MATCH(B164,[1]历练产出!$AB:$AB,0)),"")</f>
        <v/>
      </c>
      <c r="K164" s="1" t="str">
        <f>_xlfn.IFNA(INDEX([1]洞天福地产出!$H:$H,MATCH(B164,[1]洞天福地产出!$K:$K,0)),"")</f>
        <v/>
      </c>
      <c r="L164" s="1" t="str">
        <f t="shared" si="13"/>
        <v/>
      </c>
      <c r="M164" s="4">
        <f t="shared" si="14"/>
        <v>0</v>
      </c>
    </row>
    <row r="165" spans="1:13">
      <c r="A165" s="4"/>
      <c r="B165" t="str">
        <f t="shared" si="10"/>
        <v>6:10022</v>
      </c>
      <c r="C165" s="1">
        <v>6</v>
      </c>
      <c r="D165" s="4">
        <v>10022</v>
      </c>
      <c r="E165" s="3" t="s">
        <v>329</v>
      </c>
      <c r="F165" s="3"/>
      <c r="G165" s="1">
        <v>50</v>
      </c>
      <c r="H165" s="1">
        <f t="shared" si="11"/>
        <v>50</v>
      </c>
      <c r="I165" s="1" t="str">
        <f t="shared" si="12"/>
        <v/>
      </c>
      <c r="J165" s="1" t="str">
        <f>_xlfn.IFNA(INDEX([1]历练产出!$Z:$Z,MATCH(B165,[1]历练产出!$AB:$AB,0)),"")</f>
        <v/>
      </c>
      <c r="K165" s="1" t="str">
        <f>_xlfn.IFNA(INDEX([1]洞天福地产出!$H:$H,MATCH(B165,[1]洞天福地产出!$K:$K,0)),"")</f>
        <v/>
      </c>
      <c r="L165" s="1" t="str">
        <f t="shared" si="13"/>
        <v/>
      </c>
      <c r="M165" s="4">
        <f t="shared" si="14"/>
        <v>0</v>
      </c>
    </row>
    <row r="166" spans="1:13">
      <c r="A166" s="4"/>
      <c r="B166" t="str">
        <f t="shared" si="10"/>
        <v>6:10023</v>
      </c>
      <c r="C166" s="1">
        <v>6</v>
      </c>
      <c r="D166" s="4">
        <v>10023</v>
      </c>
      <c r="E166" s="3" t="s">
        <v>329</v>
      </c>
      <c r="F166" s="3"/>
      <c r="G166" s="1">
        <v>100</v>
      </c>
      <c r="H166" s="1">
        <f t="shared" si="11"/>
        <v>100</v>
      </c>
      <c r="I166" s="1" t="str">
        <f t="shared" si="12"/>
        <v/>
      </c>
      <c r="J166" s="1" t="str">
        <f>_xlfn.IFNA(INDEX([1]历练产出!$Z:$Z,MATCH(B166,[1]历练产出!$AB:$AB,0)),"")</f>
        <v/>
      </c>
      <c r="K166" s="1" t="str">
        <f>_xlfn.IFNA(INDEX([1]洞天福地产出!$H:$H,MATCH(B166,[1]洞天福地产出!$K:$K,0)),"")</f>
        <v/>
      </c>
      <c r="L166" s="1" t="str">
        <f t="shared" si="13"/>
        <v/>
      </c>
      <c r="M166" s="4">
        <f t="shared" si="14"/>
        <v>0</v>
      </c>
    </row>
    <row r="167" spans="1:13">
      <c r="A167" s="4"/>
      <c r="B167" t="str">
        <f t="shared" si="10"/>
        <v>6:10024</v>
      </c>
      <c r="C167" s="1">
        <v>6</v>
      </c>
      <c r="D167" s="4">
        <v>10024</v>
      </c>
      <c r="E167" s="3" t="s">
        <v>329</v>
      </c>
      <c r="F167" s="3"/>
      <c r="G167" s="1">
        <v>200</v>
      </c>
      <c r="H167" s="1">
        <f t="shared" si="11"/>
        <v>200</v>
      </c>
      <c r="I167" s="1" t="str">
        <f t="shared" si="12"/>
        <v/>
      </c>
      <c r="J167" s="1" t="str">
        <f>_xlfn.IFNA(INDEX([1]历练产出!$Z:$Z,MATCH(B167,[1]历练产出!$AB:$AB,0)),"")</f>
        <v/>
      </c>
      <c r="K167" s="1" t="str">
        <f>_xlfn.IFNA(INDEX([1]洞天福地产出!$H:$H,MATCH(B167,[1]洞天福地产出!$K:$K,0)),"")</f>
        <v/>
      </c>
      <c r="L167" s="1" t="str">
        <f t="shared" si="13"/>
        <v/>
      </c>
      <c r="M167" s="4">
        <f t="shared" si="14"/>
        <v>0</v>
      </c>
    </row>
    <row r="168" spans="1:13">
      <c r="A168" s="4"/>
      <c r="B168" t="str">
        <f t="shared" si="10"/>
        <v>6:10031</v>
      </c>
      <c r="C168" s="1">
        <v>6</v>
      </c>
      <c r="D168" s="4">
        <v>10031</v>
      </c>
      <c r="E168" s="3" t="s">
        <v>334</v>
      </c>
      <c r="F168" s="3"/>
      <c r="G168" s="1">
        <v>25</v>
      </c>
      <c r="H168" s="1">
        <f t="shared" si="11"/>
        <v>25</v>
      </c>
      <c r="I168" s="1" t="str">
        <f t="shared" si="12"/>
        <v/>
      </c>
      <c r="J168" s="1" t="str">
        <f>_xlfn.IFNA(INDEX([1]历练产出!$Z:$Z,MATCH(B168,[1]历练产出!$AB:$AB,0)),"")</f>
        <v/>
      </c>
      <c r="K168" s="1" t="str">
        <f>_xlfn.IFNA(INDEX([1]洞天福地产出!$H:$H,MATCH(B168,[1]洞天福地产出!$K:$K,0)),"")</f>
        <v/>
      </c>
      <c r="L168" s="1" t="str">
        <f t="shared" si="13"/>
        <v/>
      </c>
      <c r="M168" s="4">
        <f t="shared" si="14"/>
        <v>0</v>
      </c>
    </row>
    <row r="169" spans="1:13">
      <c r="A169" s="4"/>
      <c r="B169" t="str">
        <f t="shared" si="10"/>
        <v>6:10032</v>
      </c>
      <c r="C169" s="1">
        <v>6</v>
      </c>
      <c r="D169" s="4">
        <v>10032</v>
      </c>
      <c r="E169" s="3" t="s">
        <v>334</v>
      </c>
      <c r="F169" s="3"/>
      <c r="G169" s="1">
        <v>50</v>
      </c>
      <c r="H169" s="1">
        <f t="shared" si="11"/>
        <v>50</v>
      </c>
      <c r="I169" s="1" t="str">
        <f t="shared" si="12"/>
        <v/>
      </c>
      <c r="J169" s="1" t="str">
        <f>_xlfn.IFNA(INDEX([1]历练产出!$Z:$Z,MATCH(B169,[1]历练产出!$AB:$AB,0)),"")</f>
        <v/>
      </c>
      <c r="K169" s="1" t="str">
        <f>_xlfn.IFNA(INDEX([1]洞天福地产出!$H:$H,MATCH(B169,[1]洞天福地产出!$K:$K,0)),"")</f>
        <v/>
      </c>
      <c r="L169" s="1" t="str">
        <f t="shared" si="13"/>
        <v/>
      </c>
      <c r="M169" s="4">
        <f t="shared" si="14"/>
        <v>0</v>
      </c>
    </row>
    <row r="170" spans="1:13">
      <c r="A170" s="4"/>
      <c r="B170" t="str">
        <f t="shared" si="10"/>
        <v>6:10033</v>
      </c>
      <c r="C170" s="1">
        <v>6</v>
      </c>
      <c r="D170" s="4">
        <v>10033</v>
      </c>
      <c r="E170" s="3" t="s">
        <v>334</v>
      </c>
      <c r="F170" s="3"/>
      <c r="G170" s="1">
        <v>100</v>
      </c>
      <c r="H170" s="1">
        <f t="shared" si="11"/>
        <v>100</v>
      </c>
      <c r="I170" s="1" t="str">
        <f t="shared" si="12"/>
        <v/>
      </c>
      <c r="J170" s="1" t="str">
        <f>_xlfn.IFNA(INDEX([1]历练产出!$Z:$Z,MATCH(B170,[1]历练产出!$AB:$AB,0)),"")</f>
        <v/>
      </c>
      <c r="K170" s="1" t="str">
        <f>_xlfn.IFNA(INDEX([1]洞天福地产出!$H:$H,MATCH(B170,[1]洞天福地产出!$K:$K,0)),"")</f>
        <v/>
      </c>
      <c r="L170" s="1" t="str">
        <f t="shared" si="13"/>
        <v/>
      </c>
      <c r="M170" s="4">
        <f t="shared" si="14"/>
        <v>0</v>
      </c>
    </row>
    <row r="171" spans="1:13">
      <c r="A171" s="4"/>
      <c r="B171" t="str">
        <f t="shared" si="10"/>
        <v>6:10034</v>
      </c>
      <c r="C171" s="1">
        <v>6</v>
      </c>
      <c r="D171" s="4">
        <v>10034</v>
      </c>
      <c r="E171" s="3" t="s">
        <v>334</v>
      </c>
      <c r="F171" s="3"/>
      <c r="G171" s="1">
        <v>200</v>
      </c>
      <c r="H171" s="1">
        <f t="shared" si="11"/>
        <v>200</v>
      </c>
      <c r="I171" s="1" t="str">
        <f t="shared" si="12"/>
        <v/>
      </c>
      <c r="J171" s="1" t="str">
        <f>_xlfn.IFNA(INDEX([1]历练产出!$Z:$Z,MATCH(B171,[1]历练产出!$AB:$AB,0)),"")</f>
        <v/>
      </c>
      <c r="K171" s="1" t="str">
        <f>_xlfn.IFNA(INDEX([1]洞天福地产出!$H:$H,MATCH(B171,[1]洞天福地产出!$K:$K,0)),"")</f>
        <v/>
      </c>
      <c r="L171" s="1" t="str">
        <f t="shared" si="13"/>
        <v/>
      </c>
      <c r="M171" s="4">
        <f t="shared" si="14"/>
        <v>0</v>
      </c>
    </row>
    <row r="172" spans="1:13">
      <c r="A172" s="4"/>
      <c r="B172" t="str">
        <f t="shared" si="10"/>
        <v>6:10041</v>
      </c>
      <c r="C172" s="1">
        <v>6</v>
      </c>
      <c r="D172" s="4">
        <v>10041</v>
      </c>
      <c r="E172" s="3" t="s">
        <v>339</v>
      </c>
      <c r="F172" s="3"/>
      <c r="G172" s="1">
        <v>25</v>
      </c>
      <c r="H172" s="1">
        <f t="shared" si="11"/>
        <v>25</v>
      </c>
      <c r="I172" s="1" t="str">
        <f t="shared" si="12"/>
        <v/>
      </c>
      <c r="J172" s="1" t="str">
        <f>_xlfn.IFNA(INDEX([1]历练产出!$Z:$Z,MATCH(B172,[1]历练产出!$AB:$AB,0)),"")</f>
        <v/>
      </c>
      <c r="K172" s="1" t="str">
        <f>_xlfn.IFNA(INDEX([1]洞天福地产出!$H:$H,MATCH(B172,[1]洞天福地产出!$K:$K,0)),"")</f>
        <v/>
      </c>
      <c r="L172" s="1" t="str">
        <f t="shared" si="13"/>
        <v/>
      </c>
      <c r="M172" s="4">
        <f t="shared" si="14"/>
        <v>0</v>
      </c>
    </row>
    <row r="173" spans="1:13">
      <c r="A173" s="4"/>
      <c r="B173" t="str">
        <f t="shared" si="10"/>
        <v>6:10042</v>
      </c>
      <c r="C173" s="1">
        <v>6</v>
      </c>
      <c r="D173" s="4">
        <v>10042</v>
      </c>
      <c r="E173" s="3" t="s">
        <v>339</v>
      </c>
      <c r="F173" s="3"/>
      <c r="G173" s="1">
        <v>50</v>
      </c>
      <c r="H173" s="1">
        <f t="shared" si="11"/>
        <v>50</v>
      </c>
      <c r="I173" s="1" t="str">
        <f t="shared" si="12"/>
        <v/>
      </c>
      <c r="J173" s="1" t="str">
        <f>_xlfn.IFNA(INDEX([1]历练产出!$Z:$Z,MATCH(B173,[1]历练产出!$AB:$AB,0)),"")</f>
        <v/>
      </c>
      <c r="K173" s="1" t="str">
        <f>_xlfn.IFNA(INDEX([1]洞天福地产出!$H:$H,MATCH(B173,[1]洞天福地产出!$K:$K,0)),"")</f>
        <v/>
      </c>
      <c r="L173" s="1" t="str">
        <f t="shared" si="13"/>
        <v/>
      </c>
      <c r="M173" s="4">
        <f t="shared" si="14"/>
        <v>0</v>
      </c>
    </row>
    <row r="174" spans="1:13">
      <c r="A174" s="4"/>
      <c r="B174" t="str">
        <f t="shared" si="10"/>
        <v>6:10043</v>
      </c>
      <c r="C174" s="1">
        <v>6</v>
      </c>
      <c r="D174" s="4">
        <v>10043</v>
      </c>
      <c r="E174" s="3" t="s">
        <v>339</v>
      </c>
      <c r="F174" s="3"/>
      <c r="G174" s="1">
        <v>100</v>
      </c>
      <c r="H174" s="1">
        <f t="shared" si="11"/>
        <v>100</v>
      </c>
      <c r="I174" s="1" t="str">
        <f t="shared" si="12"/>
        <v/>
      </c>
      <c r="J174" s="1" t="str">
        <f>_xlfn.IFNA(INDEX([1]历练产出!$Z:$Z,MATCH(B174,[1]历练产出!$AB:$AB,0)),"")</f>
        <v/>
      </c>
      <c r="K174" s="1" t="str">
        <f>_xlfn.IFNA(INDEX([1]洞天福地产出!$H:$H,MATCH(B174,[1]洞天福地产出!$K:$K,0)),"")</f>
        <v/>
      </c>
      <c r="L174" s="1" t="str">
        <f t="shared" si="13"/>
        <v/>
      </c>
      <c r="M174" s="4">
        <f t="shared" si="14"/>
        <v>0</v>
      </c>
    </row>
    <row r="175" spans="1:13">
      <c r="A175" s="4"/>
      <c r="B175" t="str">
        <f t="shared" si="10"/>
        <v>6:10044</v>
      </c>
      <c r="C175" s="1">
        <v>6</v>
      </c>
      <c r="D175" s="4">
        <v>10044</v>
      </c>
      <c r="E175" s="3" t="s">
        <v>339</v>
      </c>
      <c r="F175" s="3"/>
      <c r="G175" s="1">
        <v>200</v>
      </c>
      <c r="H175" s="1">
        <f t="shared" si="11"/>
        <v>200</v>
      </c>
      <c r="I175" s="1" t="str">
        <f t="shared" si="12"/>
        <v/>
      </c>
      <c r="J175" s="1" t="str">
        <f>_xlfn.IFNA(INDEX([1]历练产出!$Z:$Z,MATCH(B175,[1]历练产出!$AB:$AB,0)),"")</f>
        <v/>
      </c>
      <c r="K175" s="1" t="str">
        <f>_xlfn.IFNA(INDEX([1]洞天福地产出!$H:$H,MATCH(B175,[1]洞天福地产出!$K:$K,0)),"")</f>
        <v/>
      </c>
      <c r="L175" s="1" t="str">
        <f t="shared" si="13"/>
        <v/>
      </c>
      <c r="M175" s="4">
        <f t="shared" si="14"/>
        <v>0</v>
      </c>
    </row>
    <row r="176" spans="1:13">
      <c r="A176" s="4"/>
      <c r="B176" t="str">
        <f t="shared" si="10"/>
        <v>6:10051</v>
      </c>
      <c r="C176" s="1">
        <v>6</v>
      </c>
      <c r="D176" s="4">
        <v>10051</v>
      </c>
      <c r="E176" s="3" t="s">
        <v>344</v>
      </c>
      <c r="F176" s="3"/>
      <c r="G176" s="1">
        <v>25</v>
      </c>
      <c r="H176" s="1">
        <f t="shared" si="11"/>
        <v>25</v>
      </c>
      <c r="I176" s="1" t="str">
        <f t="shared" si="12"/>
        <v/>
      </c>
      <c r="J176" s="1" t="str">
        <f>_xlfn.IFNA(INDEX([1]历练产出!$Z:$Z,MATCH(B176,[1]历练产出!$AB:$AB,0)),"")</f>
        <v/>
      </c>
      <c r="K176" s="1" t="str">
        <f>_xlfn.IFNA(INDEX([1]洞天福地产出!$H:$H,MATCH(B176,[1]洞天福地产出!$K:$K,0)),"")</f>
        <v/>
      </c>
      <c r="L176" s="1" t="str">
        <f t="shared" si="13"/>
        <v/>
      </c>
      <c r="M176" s="4">
        <f t="shared" si="14"/>
        <v>0</v>
      </c>
    </row>
    <row r="177" spans="1:13">
      <c r="A177" s="4"/>
      <c r="B177" t="str">
        <f t="shared" si="10"/>
        <v>6:10052</v>
      </c>
      <c r="C177" s="1">
        <v>6</v>
      </c>
      <c r="D177" s="4">
        <v>10052</v>
      </c>
      <c r="E177" s="3" t="s">
        <v>344</v>
      </c>
      <c r="F177" s="3"/>
      <c r="G177" s="1">
        <v>50</v>
      </c>
      <c r="H177" s="1">
        <f t="shared" si="11"/>
        <v>50</v>
      </c>
      <c r="I177" s="1" t="str">
        <f t="shared" si="12"/>
        <v/>
      </c>
      <c r="J177" s="1" t="str">
        <f>_xlfn.IFNA(INDEX([1]历练产出!$Z:$Z,MATCH(B177,[1]历练产出!$AB:$AB,0)),"")</f>
        <v/>
      </c>
      <c r="K177" s="1" t="str">
        <f>_xlfn.IFNA(INDEX([1]洞天福地产出!$H:$H,MATCH(B177,[1]洞天福地产出!$K:$K,0)),"")</f>
        <v/>
      </c>
      <c r="L177" s="1" t="str">
        <f t="shared" si="13"/>
        <v/>
      </c>
      <c r="M177" s="4">
        <f t="shared" si="14"/>
        <v>0</v>
      </c>
    </row>
    <row r="178" spans="1:13">
      <c r="A178" s="4"/>
      <c r="B178" t="str">
        <f t="shared" si="10"/>
        <v>6:10053</v>
      </c>
      <c r="C178" s="1">
        <v>6</v>
      </c>
      <c r="D178" s="4">
        <v>10053</v>
      </c>
      <c r="E178" s="3" t="s">
        <v>344</v>
      </c>
      <c r="F178" s="3"/>
      <c r="G178" s="1">
        <v>100</v>
      </c>
      <c r="H178" s="1">
        <f t="shared" si="11"/>
        <v>100</v>
      </c>
      <c r="I178" s="1" t="str">
        <f t="shared" si="12"/>
        <v/>
      </c>
      <c r="J178" s="1" t="str">
        <f>_xlfn.IFNA(INDEX([1]历练产出!$Z:$Z,MATCH(B178,[1]历练产出!$AB:$AB,0)),"")</f>
        <v/>
      </c>
      <c r="K178" s="1" t="str">
        <f>_xlfn.IFNA(INDEX([1]洞天福地产出!$H:$H,MATCH(B178,[1]洞天福地产出!$K:$K,0)),"")</f>
        <v/>
      </c>
      <c r="L178" s="1" t="str">
        <f t="shared" si="13"/>
        <v/>
      </c>
      <c r="M178" s="4">
        <f t="shared" si="14"/>
        <v>0</v>
      </c>
    </row>
    <row r="179" spans="1:13">
      <c r="A179" s="4"/>
      <c r="B179" t="str">
        <f t="shared" si="10"/>
        <v>6:10054</v>
      </c>
      <c r="C179" s="1">
        <v>6</v>
      </c>
      <c r="D179" s="4">
        <v>10054</v>
      </c>
      <c r="E179" s="3" t="s">
        <v>344</v>
      </c>
      <c r="F179" s="3"/>
      <c r="G179" s="1">
        <v>200</v>
      </c>
      <c r="H179" s="1">
        <f t="shared" si="11"/>
        <v>200</v>
      </c>
      <c r="I179" s="1" t="str">
        <f t="shared" si="12"/>
        <v/>
      </c>
      <c r="J179" s="1" t="str">
        <f>_xlfn.IFNA(INDEX([1]历练产出!$Z:$Z,MATCH(B179,[1]历练产出!$AB:$AB,0)),"")</f>
        <v/>
      </c>
      <c r="K179" s="1" t="str">
        <f>_xlfn.IFNA(INDEX([1]洞天福地产出!$H:$H,MATCH(B179,[1]洞天福地产出!$K:$K,0)),"")</f>
        <v/>
      </c>
      <c r="L179" s="1" t="str">
        <f t="shared" si="13"/>
        <v/>
      </c>
      <c r="M179" s="4">
        <f t="shared" si="14"/>
        <v>0</v>
      </c>
    </row>
    <row r="180" ht="30" spans="1:13">
      <c r="A180" s="4"/>
      <c r="B180" t="str">
        <f t="shared" si="10"/>
        <v>6:10061</v>
      </c>
      <c r="C180" s="1">
        <v>6</v>
      </c>
      <c r="D180" s="4">
        <v>10061</v>
      </c>
      <c r="E180" s="3" t="s">
        <v>349</v>
      </c>
      <c r="F180" s="3"/>
      <c r="G180" s="1">
        <v>25</v>
      </c>
      <c r="H180" s="1">
        <f t="shared" si="11"/>
        <v>25</v>
      </c>
      <c r="I180" s="1" t="str">
        <f t="shared" si="12"/>
        <v/>
      </c>
      <c r="J180" s="1" t="str">
        <f>_xlfn.IFNA(INDEX([1]历练产出!$Z:$Z,MATCH(B180,[1]历练产出!$AB:$AB,0)),"")</f>
        <v/>
      </c>
      <c r="K180" s="1" t="str">
        <f>_xlfn.IFNA(INDEX([1]洞天福地产出!$H:$H,MATCH(B180,[1]洞天福地产出!$K:$K,0)),"")</f>
        <v/>
      </c>
      <c r="L180" s="1" t="str">
        <f t="shared" si="13"/>
        <v/>
      </c>
      <c r="M180" s="4">
        <f t="shared" si="14"/>
        <v>0</v>
      </c>
    </row>
    <row r="181" ht="30" spans="1:13">
      <c r="A181" s="4"/>
      <c r="B181" t="str">
        <f t="shared" si="10"/>
        <v>6:10062</v>
      </c>
      <c r="C181" s="1">
        <v>6</v>
      </c>
      <c r="D181" s="4">
        <v>10062</v>
      </c>
      <c r="E181" s="3" t="s">
        <v>349</v>
      </c>
      <c r="F181" s="3"/>
      <c r="G181" s="1">
        <v>50</v>
      </c>
      <c r="H181" s="1">
        <f t="shared" si="11"/>
        <v>50</v>
      </c>
      <c r="I181" s="1" t="str">
        <f t="shared" si="12"/>
        <v/>
      </c>
      <c r="J181" s="1" t="str">
        <f>_xlfn.IFNA(INDEX([1]历练产出!$Z:$Z,MATCH(B181,[1]历练产出!$AB:$AB,0)),"")</f>
        <v/>
      </c>
      <c r="K181" s="1" t="str">
        <f>_xlfn.IFNA(INDEX([1]洞天福地产出!$H:$H,MATCH(B181,[1]洞天福地产出!$K:$K,0)),"")</f>
        <v/>
      </c>
      <c r="L181" s="1" t="str">
        <f t="shared" si="13"/>
        <v/>
      </c>
      <c r="M181" s="4">
        <f t="shared" si="14"/>
        <v>0</v>
      </c>
    </row>
    <row r="182" ht="30" spans="1:13">
      <c r="A182" s="4"/>
      <c r="B182" t="str">
        <f t="shared" si="10"/>
        <v>6:10063</v>
      </c>
      <c r="C182" s="1">
        <v>6</v>
      </c>
      <c r="D182" s="4">
        <v>10063</v>
      </c>
      <c r="E182" s="3" t="s">
        <v>349</v>
      </c>
      <c r="F182" s="3"/>
      <c r="G182" s="1">
        <v>100</v>
      </c>
      <c r="H182" s="1">
        <f t="shared" si="11"/>
        <v>100</v>
      </c>
      <c r="I182" s="1" t="str">
        <f t="shared" si="12"/>
        <v/>
      </c>
      <c r="J182" s="1" t="str">
        <f>_xlfn.IFNA(INDEX([1]历练产出!$Z:$Z,MATCH(B182,[1]历练产出!$AB:$AB,0)),"")</f>
        <v/>
      </c>
      <c r="K182" s="1" t="str">
        <f>_xlfn.IFNA(INDEX([1]洞天福地产出!$H:$H,MATCH(B182,[1]洞天福地产出!$K:$K,0)),"")</f>
        <v/>
      </c>
      <c r="L182" s="1" t="str">
        <f t="shared" si="13"/>
        <v/>
      </c>
      <c r="M182" s="4">
        <f t="shared" si="14"/>
        <v>0</v>
      </c>
    </row>
    <row r="183" ht="30" spans="1:13">
      <c r="A183" s="4"/>
      <c r="B183" t="str">
        <f t="shared" si="10"/>
        <v>6:10064</v>
      </c>
      <c r="C183" s="1">
        <v>6</v>
      </c>
      <c r="D183" s="4">
        <v>10064</v>
      </c>
      <c r="E183" s="3" t="s">
        <v>349</v>
      </c>
      <c r="F183" s="3"/>
      <c r="G183" s="1">
        <v>200</v>
      </c>
      <c r="H183" s="1">
        <f t="shared" si="11"/>
        <v>200</v>
      </c>
      <c r="I183" s="1" t="str">
        <f t="shared" si="12"/>
        <v/>
      </c>
      <c r="J183" s="1" t="str">
        <f>_xlfn.IFNA(INDEX([1]历练产出!$Z:$Z,MATCH(B183,[1]历练产出!$AB:$AB,0)),"")</f>
        <v/>
      </c>
      <c r="K183" s="1" t="str">
        <f>_xlfn.IFNA(INDEX([1]洞天福地产出!$H:$H,MATCH(B183,[1]洞天福地产出!$K:$K,0)),"")</f>
        <v/>
      </c>
      <c r="L183" s="1" t="str">
        <f t="shared" si="13"/>
        <v/>
      </c>
      <c r="M183" s="4">
        <f t="shared" si="14"/>
        <v>0</v>
      </c>
    </row>
    <row r="184" spans="1:13">
      <c r="A184" s="4"/>
      <c r="B184" t="str">
        <f t="shared" si="10"/>
        <v>6:10071</v>
      </c>
      <c r="C184" s="1">
        <v>6</v>
      </c>
      <c r="D184" s="4">
        <v>10071</v>
      </c>
      <c r="E184" s="3" t="s">
        <v>354</v>
      </c>
      <c r="F184" s="3"/>
      <c r="G184" s="1">
        <v>25</v>
      </c>
      <c r="H184" s="1">
        <f t="shared" si="11"/>
        <v>25</v>
      </c>
      <c r="I184" s="1" t="str">
        <f t="shared" si="12"/>
        <v/>
      </c>
      <c r="J184" s="1" t="str">
        <f>_xlfn.IFNA(INDEX([1]历练产出!$Z:$Z,MATCH(B184,[1]历练产出!$AB:$AB,0)),"")</f>
        <v/>
      </c>
      <c r="K184" s="1" t="str">
        <f>_xlfn.IFNA(INDEX([1]洞天福地产出!$H:$H,MATCH(B184,[1]洞天福地产出!$K:$K,0)),"")</f>
        <v/>
      </c>
      <c r="L184" s="1" t="str">
        <f t="shared" si="13"/>
        <v/>
      </c>
      <c r="M184" s="4">
        <f t="shared" si="14"/>
        <v>0</v>
      </c>
    </row>
    <row r="185" spans="1:13">
      <c r="A185" s="4"/>
      <c r="B185" t="str">
        <f t="shared" si="10"/>
        <v>6:10072</v>
      </c>
      <c r="C185" s="1">
        <v>6</v>
      </c>
      <c r="D185" s="4">
        <v>10072</v>
      </c>
      <c r="E185" s="3" t="s">
        <v>354</v>
      </c>
      <c r="F185" s="3"/>
      <c r="G185" s="1">
        <v>50</v>
      </c>
      <c r="H185" s="1">
        <f t="shared" si="11"/>
        <v>50</v>
      </c>
      <c r="I185" s="1" t="str">
        <f t="shared" si="12"/>
        <v/>
      </c>
      <c r="J185" s="1" t="str">
        <f>_xlfn.IFNA(INDEX([1]历练产出!$Z:$Z,MATCH(B185,[1]历练产出!$AB:$AB,0)),"")</f>
        <v/>
      </c>
      <c r="K185" s="1" t="str">
        <f>_xlfn.IFNA(INDEX([1]洞天福地产出!$H:$H,MATCH(B185,[1]洞天福地产出!$K:$K,0)),"")</f>
        <v/>
      </c>
      <c r="L185" s="1" t="str">
        <f t="shared" si="13"/>
        <v/>
      </c>
      <c r="M185" s="4">
        <f t="shared" si="14"/>
        <v>0</v>
      </c>
    </row>
    <row r="186" spans="1:13">
      <c r="A186" s="4"/>
      <c r="B186" t="str">
        <f t="shared" si="10"/>
        <v>6:10073</v>
      </c>
      <c r="C186" s="1">
        <v>6</v>
      </c>
      <c r="D186" s="4">
        <v>10073</v>
      </c>
      <c r="E186" s="3" t="s">
        <v>354</v>
      </c>
      <c r="F186" s="3"/>
      <c r="G186" s="1">
        <v>100</v>
      </c>
      <c r="H186" s="1">
        <f t="shared" si="11"/>
        <v>100</v>
      </c>
      <c r="I186" s="1" t="str">
        <f t="shared" si="12"/>
        <v/>
      </c>
      <c r="J186" s="1" t="str">
        <f>_xlfn.IFNA(INDEX([1]历练产出!$Z:$Z,MATCH(B186,[1]历练产出!$AB:$AB,0)),"")</f>
        <v/>
      </c>
      <c r="K186" s="1" t="str">
        <f>_xlfn.IFNA(INDEX([1]洞天福地产出!$H:$H,MATCH(B186,[1]洞天福地产出!$K:$K,0)),"")</f>
        <v/>
      </c>
      <c r="L186" s="1" t="str">
        <f t="shared" si="13"/>
        <v/>
      </c>
      <c r="M186" s="4">
        <f t="shared" si="14"/>
        <v>0</v>
      </c>
    </row>
    <row r="187" spans="1:13">
      <c r="A187" s="4"/>
      <c r="B187" t="str">
        <f t="shared" si="10"/>
        <v>6:10074</v>
      </c>
      <c r="C187" s="1">
        <v>6</v>
      </c>
      <c r="D187" s="4">
        <v>10074</v>
      </c>
      <c r="E187" s="3" t="s">
        <v>354</v>
      </c>
      <c r="F187" s="3"/>
      <c r="G187" s="1">
        <v>200</v>
      </c>
      <c r="H187" s="1">
        <f t="shared" si="11"/>
        <v>200</v>
      </c>
      <c r="I187" s="1" t="str">
        <f t="shared" si="12"/>
        <v/>
      </c>
      <c r="J187" s="1" t="str">
        <f>_xlfn.IFNA(INDEX([1]历练产出!$Z:$Z,MATCH(B187,[1]历练产出!$AB:$AB,0)),"")</f>
        <v/>
      </c>
      <c r="K187" s="1" t="str">
        <f>_xlfn.IFNA(INDEX([1]洞天福地产出!$H:$H,MATCH(B187,[1]洞天福地产出!$K:$K,0)),"")</f>
        <v/>
      </c>
      <c r="L187" s="1" t="str">
        <f t="shared" si="13"/>
        <v/>
      </c>
      <c r="M187" s="4">
        <f t="shared" si="14"/>
        <v>0</v>
      </c>
    </row>
    <row r="188" spans="1:13">
      <c r="A188" s="4"/>
      <c r="B188" t="str">
        <f t="shared" si="10"/>
        <v>6:10081</v>
      </c>
      <c r="C188" s="1">
        <v>6</v>
      </c>
      <c r="D188" s="4">
        <v>10081</v>
      </c>
      <c r="E188" s="3" t="s">
        <v>359</v>
      </c>
      <c r="F188" s="3"/>
      <c r="G188" s="1">
        <v>25</v>
      </c>
      <c r="H188" s="1">
        <f t="shared" si="11"/>
        <v>25</v>
      </c>
      <c r="I188" s="1" t="str">
        <f t="shared" si="12"/>
        <v/>
      </c>
      <c r="J188" s="1" t="str">
        <f>_xlfn.IFNA(INDEX([1]历练产出!$Z:$Z,MATCH(B188,[1]历练产出!$AB:$AB,0)),"")</f>
        <v/>
      </c>
      <c r="K188" s="1" t="str">
        <f>_xlfn.IFNA(INDEX([1]洞天福地产出!$H:$H,MATCH(B188,[1]洞天福地产出!$K:$K,0)),"")</f>
        <v/>
      </c>
      <c r="L188" s="1" t="str">
        <f t="shared" si="13"/>
        <v/>
      </c>
      <c r="M188" s="4">
        <f t="shared" si="14"/>
        <v>0</v>
      </c>
    </row>
    <row r="189" spans="1:13">
      <c r="A189" s="4"/>
      <c r="B189" t="str">
        <f t="shared" si="10"/>
        <v>6:10082</v>
      </c>
      <c r="C189" s="1">
        <v>6</v>
      </c>
      <c r="D189" s="4">
        <v>10082</v>
      </c>
      <c r="E189" s="3" t="s">
        <v>359</v>
      </c>
      <c r="F189" s="3"/>
      <c r="G189" s="1">
        <v>50</v>
      </c>
      <c r="H189" s="1">
        <f t="shared" si="11"/>
        <v>50</v>
      </c>
      <c r="I189" s="1" t="str">
        <f t="shared" si="12"/>
        <v/>
      </c>
      <c r="J189" s="1" t="str">
        <f>_xlfn.IFNA(INDEX([1]历练产出!$Z:$Z,MATCH(B189,[1]历练产出!$AB:$AB,0)),"")</f>
        <v/>
      </c>
      <c r="K189" s="1" t="str">
        <f>_xlfn.IFNA(INDEX([1]洞天福地产出!$H:$H,MATCH(B189,[1]洞天福地产出!$K:$K,0)),"")</f>
        <v/>
      </c>
      <c r="L189" s="1" t="str">
        <f t="shared" si="13"/>
        <v/>
      </c>
      <c r="M189" s="4">
        <f t="shared" si="14"/>
        <v>0</v>
      </c>
    </row>
    <row r="190" spans="1:13">
      <c r="A190" s="4"/>
      <c r="B190" t="str">
        <f t="shared" si="10"/>
        <v>6:10083</v>
      </c>
      <c r="C190" s="1">
        <v>6</v>
      </c>
      <c r="D190" s="4">
        <v>10083</v>
      </c>
      <c r="E190" s="3" t="s">
        <v>359</v>
      </c>
      <c r="F190" s="3"/>
      <c r="G190" s="1">
        <v>100</v>
      </c>
      <c r="H190" s="1">
        <f t="shared" si="11"/>
        <v>100</v>
      </c>
      <c r="I190" s="1" t="str">
        <f t="shared" si="12"/>
        <v/>
      </c>
      <c r="J190" s="1" t="str">
        <f>_xlfn.IFNA(INDEX([1]历练产出!$Z:$Z,MATCH(B190,[1]历练产出!$AB:$AB,0)),"")</f>
        <v/>
      </c>
      <c r="K190" s="1" t="str">
        <f>_xlfn.IFNA(INDEX([1]洞天福地产出!$H:$H,MATCH(B190,[1]洞天福地产出!$K:$K,0)),"")</f>
        <v/>
      </c>
      <c r="L190" s="1" t="str">
        <f t="shared" si="13"/>
        <v/>
      </c>
      <c r="M190" s="4">
        <f t="shared" si="14"/>
        <v>0</v>
      </c>
    </row>
    <row r="191" spans="1:13">
      <c r="A191" s="4"/>
      <c r="B191" t="str">
        <f t="shared" si="10"/>
        <v>6:10084</v>
      </c>
      <c r="C191" s="1">
        <v>6</v>
      </c>
      <c r="D191" s="4">
        <v>10084</v>
      </c>
      <c r="E191" s="3" t="s">
        <v>359</v>
      </c>
      <c r="F191" s="3"/>
      <c r="G191" s="1">
        <v>200</v>
      </c>
      <c r="H191" s="1">
        <f t="shared" si="11"/>
        <v>200</v>
      </c>
      <c r="I191" s="1" t="str">
        <f t="shared" si="12"/>
        <v/>
      </c>
      <c r="J191" s="1" t="str">
        <f>_xlfn.IFNA(INDEX([1]历练产出!$Z:$Z,MATCH(B191,[1]历练产出!$AB:$AB,0)),"")</f>
        <v/>
      </c>
      <c r="K191" s="1" t="str">
        <f>_xlfn.IFNA(INDEX([1]洞天福地产出!$H:$H,MATCH(B191,[1]洞天福地产出!$K:$K,0)),"")</f>
        <v/>
      </c>
      <c r="L191" s="1" t="str">
        <f t="shared" si="13"/>
        <v/>
      </c>
      <c r="M191" s="4">
        <f t="shared" si="14"/>
        <v>0</v>
      </c>
    </row>
    <row r="192" spans="1:13">
      <c r="A192" s="4"/>
      <c r="B192" t="str">
        <f t="shared" si="10"/>
        <v>6:10091</v>
      </c>
      <c r="C192" s="1">
        <v>6</v>
      </c>
      <c r="D192" s="4">
        <v>10091</v>
      </c>
      <c r="E192" s="3" t="s">
        <v>364</v>
      </c>
      <c r="F192" s="3"/>
      <c r="G192" s="1">
        <v>25</v>
      </c>
      <c r="H192" s="1">
        <f t="shared" si="11"/>
        <v>25</v>
      </c>
      <c r="I192" s="1" t="str">
        <f t="shared" si="12"/>
        <v/>
      </c>
      <c r="J192" s="1" t="str">
        <f>_xlfn.IFNA(INDEX([1]历练产出!$Z:$Z,MATCH(B192,[1]历练产出!$AB:$AB,0)),"")</f>
        <v/>
      </c>
      <c r="K192" s="1" t="str">
        <f>_xlfn.IFNA(INDEX([1]洞天福地产出!$H:$H,MATCH(B192,[1]洞天福地产出!$K:$K,0)),"")</f>
        <v/>
      </c>
      <c r="L192" s="1" t="str">
        <f t="shared" si="13"/>
        <v/>
      </c>
      <c r="M192" s="4">
        <f t="shared" si="14"/>
        <v>0</v>
      </c>
    </row>
    <row r="193" spans="1:13">
      <c r="A193" s="4"/>
      <c r="B193" t="str">
        <f t="shared" si="10"/>
        <v>6:10092</v>
      </c>
      <c r="C193" s="1">
        <v>6</v>
      </c>
      <c r="D193" s="4">
        <v>10092</v>
      </c>
      <c r="E193" s="3" t="s">
        <v>364</v>
      </c>
      <c r="F193" s="3"/>
      <c r="G193" s="1">
        <v>50</v>
      </c>
      <c r="H193" s="1">
        <f t="shared" si="11"/>
        <v>50</v>
      </c>
      <c r="I193" s="1" t="str">
        <f t="shared" si="12"/>
        <v/>
      </c>
      <c r="J193" s="1" t="str">
        <f>_xlfn.IFNA(INDEX([1]历练产出!$Z:$Z,MATCH(B193,[1]历练产出!$AB:$AB,0)),"")</f>
        <v/>
      </c>
      <c r="K193" s="1" t="str">
        <f>_xlfn.IFNA(INDEX([1]洞天福地产出!$H:$H,MATCH(B193,[1]洞天福地产出!$K:$K,0)),"")</f>
        <v/>
      </c>
      <c r="L193" s="1" t="str">
        <f t="shared" si="13"/>
        <v/>
      </c>
      <c r="M193" s="4">
        <f t="shared" si="14"/>
        <v>0</v>
      </c>
    </row>
    <row r="194" spans="1:13">
      <c r="A194" s="4"/>
      <c r="B194" t="str">
        <f t="shared" si="10"/>
        <v>6:10093</v>
      </c>
      <c r="C194" s="1">
        <v>6</v>
      </c>
      <c r="D194" s="4">
        <v>10093</v>
      </c>
      <c r="E194" s="3" t="s">
        <v>364</v>
      </c>
      <c r="F194" s="3"/>
      <c r="G194" s="1">
        <v>100</v>
      </c>
      <c r="H194" s="1">
        <f t="shared" si="11"/>
        <v>100</v>
      </c>
      <c r="I194" s="1" t="str">
        <f t="shared" si="12"/>
        <v/>
      </c>
      <c r="J194" s="1" t="str">
        <f>_xlfn.IFNA(INDEX([1]历练产出!$Z:$Z,MATCH(B194,[1]历练产出!$AB:$AB,0)),"")</f>
        <v/>
      </c>
      <c r="K194" s="1" t="str">
        <f>_xlfn.IFNA(INDEX([1]洞天福地产出!$H:$H,MATCH(B194,[1]洞天福地产出!$K:$K,0)),"")</f>
        <v/>
      </c>
      <c r="L194" s="1" t="str">
        <f t="shared" si="13"/>
        <v/>
      </c>
      <c r="M194" s="4">
        <f t="shared" si="14"/>
        <v>0</v>
      </c>
    </row>
    <row r="195" spans="1:13">
      <c r="A195" s="4"/>
      <c r="B195" t="str">
        <f t="shared" si="10"/>
        <v>6:10094</v>
      </c>
      <c r="C195" s="1">
        <v>6</v>
      </c>
      <c r="D195" s="4">
        <v>10094</v>
      </c>
      <c r="E195" s="3" t="s">
        <v>364</v>
      </c>
      <c r="F195" s="3"/>
      <c r="G195" s="1">
        <v>200</v>
      </c>
      <c r="H195" s="1">
        <f t="shared" si="11"/>
        <v>200</v>
      </c>
      <c r="I195" s="1" t="str">
        <f t="shared" si="12"/>
        <v/>
      </c>
      <c r="J195" s="1" t="str">
        <f>_xlfn.IFNA(INDEX([1]历练产出!$Z:$Z,MATCH(B195,[1]历练产出!$AB:$AB,0)),"")</f>
        <v/>
      </c>
      <c r="K195" s="1" t="str">
        <f>_xlfn.IFNA(INDEX([1]洞天福地产出!$H:$H,MATCH(B195,[1]洞天福地产出!$K:$K,0)),"")</f>
        <v/>
      </c>
      <c r="L195" s="1" t="str">
        <f t="shared" si="13"/>
        <v/>
      </c>
      <c r="M195" s="4">
        <f t="shared" si="14"/>
        <v>0</v>
      </c>
    </row>
    <row r="196" spans="1:13">
      <c r="A196" s="4"/>
      <c r="B196" t="str">
        <f t="shared" ref="B196:B225" si="16">C196&amp;":"&amp;D196</f>
        <v>6:10101</v>
      </c>
      <c r="C196" s="1">
        <v>6</v>
      </c>
      <c r="D196" s="4">
        <v>10101</v>
      </c>
      <c r="E196" s="3" t="s">
        <v>369</v>
      </c>
      <c r="F196" s="3"/>
      <c r="G196" s="1">
        <v>25</v>
      </c>
      <c r="H196" s="1">
        <f t="shared" ref="H196:H259" si="17">IF(I196="",G196,I196)</f>
        <v>25</v>
      </c>
      <c r="I196" s="1" t="str">
        <f t="shared" ref="I196:I259" si="18">IFERROR(100/L196,"")</f>
        <v/>
      </c>
      <c r="J196" s="1" t="str">
        <f>_xlfn.IFNA(INDEX([1]历练产出!$Z:$Z,MATCH(B196,[1]历练产出!$AB:$AB,0)),"")</f>
        <v/>
      </c>
      <c r="K196" s="1" t="str">
        <f>_xlfn.IFNA(INDEX([1]洞天福地产出!$H:$H,MATCH(B196,[1]洞天福地产出!$K:$K,0)),"")</f>
        <v/>
      </c>
      <c r="L196" s="1" t="str">
        <f t="shared" ref="L196:L259" si="19">IFERROR(J196+K196,"")</f>
        <v/>
      </c>
      <c r="M196" s="4">
        <f t="shared" ref="M196:M259" si="20">IF(I196="",0,1)</f>
        <v>0</v>
      </c>
    </row>
    <row r="197" spans="1:13">
      <c r="A197" s="4"/>
      <c r="B197" t="str">
        <f t="shared" si="16"/>
        <v>6:10102</v>
      </c>
      <c r="C197" s="1">
        <v>6</v>
      </c>
      <c r="D197" s="4">
        <v>10102</v>
      </c>
      <c r="E197" s="3" t="s">
        <v>369</v>
      </c>
      <c r="F197" s="3"/>
      <c r="G197" s="1">
        <v>50</v>
      </c>
      <c r="H197" s="1">
        <f t="shared" si="17"/>
        <v>50</v>
      </c>
      <c r="I197" s="1" t="str">
        <f t="shared" si="18"/>
        <v/>
      </c>
      <c r="J197" s="1" t="str">
        <f>_xlfn.IFNA(INDEX([1]历练产出!$Z:$Z,MATCH(B197,[1]历练产出!$AB:$AB,0)),"")</f>
        <v/>
      </c>
      <c r="K197" s="1" t="str">
        <f>_xlfn.IFNA(INDEX([1]洞天福地产出!$H:$H,MATCH(B197,[1]洞天福地产出!$K:$K,0)),"")</f>
        <v/>
      </c>
      <c r="L197" s="1" t="str">
        <f t="shared" si="19"/>
        <v/>
      </c>
      <c r="M197" s="4">
        <f t="shared" si="20"/>
        <v>0</v>
      </c>
    </row>
    <row r="198" spans="1:13">
      <c r="A198" s="4"/>
      <c r="B198" t="str">
        <f t="shared" si="16"/>
        <v>6:10103</v>
      </c>
      <c r="C198" s="1">
        <v>6</v>
      </c>
      <c r="D198" s="4">
        <v>10103</v>
      </c>
      <c r="E198" s="3" t="s">
        <v>369</v>
      </c>
      <c r="F198" s="3"/>
      <c r="G198" s="1">
        <v>100</v>
      </c>
      <c r="H198" s="1">
        <f t="shared" si="17"/>
        <v>100</v>
      </c>
      <c r="I198" s="1" t="str">
        <f t="shared" si="18"/>
        <v/>
      </c>
      <c r="J198" s="1" t="str">
        <f>_xlfn.IFNA(INDEX([1]历练产出!$Z:$Z,MATCH(B198,[1]历练产出!$AB:$AB,0)),"")</f>
        <v/>
      </c>
      <c r="K198" s="1" t="str">
        <f>_xlfn.IFNA(INDEX([1]洞天福地产出!$H:$H,MATCH(B198,[1]洞天福地产出!$K:$K,0)),"")</f>
        <v/>
      </c>
      <c r="L198" s="1" t="str">
        <f t="shared" si="19"/>
        <v/>
      </c>
      <c r="M198" s="4">
        <f t="shared" si="20"/>
        <v>0</v>
      </c>
    </row>
    <row r="199" spans="1:13">
      <c r="A199" s="4"/>
      <c r="B199" t="str">
        <f t="shared" si="16"/>
        <v>6:10104</v>
      </c>
      <c r="C199" s="1">
        <v>6</v>
      </c>
      <c r="D199" s="4">
        <v>10104</v>
      </c>
      <c r="E199" s="3" t="s">
        <v>369</v>
      </c>
      <c r="F199" s="3"/>
      <c r="G199" s="1">
        <v>200</v>
      </c>
      <c r="H199" s="1">
        <f t="shared" si="17"/>
        <v>200</v>
      </c>
      <c r="I199" s="1" t="str">
        <f t="shared" si="18"/>
        <v/>
      </c>
      <c r="J199" s="1" t="str">
        <f>_xlfn.IFNA(INDEX([1]历练产出!$Z:$Z,MATCH(B199,[1]历练产出!$AB:$AB,0)),"")</f>
        <v/>
      </c>
      <c r="K199" s="1" t="str">
        <f>_xlfn.IFNA(INDEX([1]洞天福地产出!$H:$H,MATCH(B199,[1]洞天福地产出!$K:$K,0)),"")</f>
        <v/>
      </c>
      <c r="L199" s="1" t="str">
        <f t="shared" si="19"/>
        <v/>
      </c>
      <c r="M199" s="4">
        <f t="shared" si="20"/>
        <v>0</v>
      </c>
    </row>
    <row r="200" spans="1:13">
      <c r="A200" s="4"/>
      <c r="B200" t="str">
        <f t="shared" si="16"/>
        <v>6:10111</v>
      </c>
      <c r="C200" s="1">
        <v>6</v>
      </c>
      <c r="D200" s="4">
        <v>10111</v>
      </c>
      <c r="E200" s="3" t="s">
        <v>374</v>
      </c>
      <c r="F200" s="3"/>
      <c r="G200" s="1">
        <v>25</v>
      </c>
      <c r="H200" s="1">
        <f t="shared" si="17"/>
        <v>25</v>
      </c>
      <c r="I200" s="1" t="str">
        <f t="shared" si="18"/>
        <v/>
      </c>
      <c r="J200" s="1" t="str">
        <f>_xlfn.IFNA(INDEX([1]历练产出!$Z:$Z,MATCH(B200,[1]历练产出!$AB:$AB,0)),"")</f>
        <v/>
      </c>
      <c r="K200" s="1" t="str">
        <f>_xlfn.IFNA(INDEX([1]洞天福地产出!$H:$H,MATCH(B200,[1]洞天福地产出!$K:$K,0)),"")</f>
        <v/>
      </c>
      <c r="L200" s="1" t="str">
        <f t="shared" si="19"/>
        <v/>
      </c>
      <c r="M200" s="4">
        <f t="shared" si="20"/>
        <v>0</v>
      </c>
    </row>
    <row r="201" spans="1:13">
      <c r="A201" s="4"/>
      <c r="B201" t="str">
        <f t="shared" si="16"/>
        <v>6:10112</v>
      </c>
      <c r="C201" s="1">
        <v>6</v>
      </c>
      <c r="D201" s="4">
        <v>10112</v>
      </c>
      <c r="E201" s="3" t="s">
        <v>374</v>
      </c>
      <c r="F201" s="3"/>
      <c r="G201" s="1">
        <v>50</v>
      </c>
      <c r="H201" s="1">
        <f t="shared" si="17"/>
        <v>50</v>
      </c>
      <c r="I201" s="1" t="str">
        <f t="shared" si="18"/>
        <v/>
      </c>
      <c r="J201" s="1" t="str">
        <f>_xlfn.IFNA(INDEX([1]历练产出!$Z:$Z,MATCH(B201,[1]历练产出!$AB:$AB,0)),"")</f>
        <v/>
      </c>
      <c r="K201" s="1" t="str">
        <f>_xlfn.IFNA(INDEX([1]洞天福地产出!$H:$H,MATCH(B201,[1]洞天福地产出!$K:$K,0)),"")</f>
        <v/>
      </c>
      <c r="L201" s="1" t="str">
        <f t="shared" si="19"/>
        <v/>
      </c>
      <c r="M201" s="4">
        <f t="shared" si="20"/>
        <v>0</v>
      </c>
    </row>
    <row r="202" spans="1:13">
      <c r="A202" s="4"/>
      <c r="B202" t="str">
        <f t="shared" si="16"/>
        <v>6:10113</v>
      </c>
      <c r="C202" s="1">
        <v>6</v>
      </c>
      <c r="D202" s="4">
        <v>10113</v>
      </c>
      <c r="E202" s="3" t="s">
        <v>374</v>
      </c>
      <c r="F202" s="3"/>
      <c r="G202" s="1">
        <v>100</v>
      </c>
      <c r="H202" s="1">
        <f t="shared" si="17"/>
        <v>100</v>
      </c>
      <c r="I202" s="1" t="str">
        <f t="shared" si="18"/>
        <v/>
      </c>
      <c r="J202" s="1" t="str">
        <f>_xlfn.IFNA(INDEX([1]历练产出!$Z:$Z,MATCH(B202,[1]历练产出!$AB:$AB,0)),"")</f>
        <v/>
      </c>
      <c r="K202" s="1" t="str">
        <f>_xlfn.IFNA(INDEX([1]洞天福地产出!$H:$H,MATCH(B202,[1]洞天福地产出!$K:$K,0)),"")</f>
        <v/>
      </c>
      <c r="L202" s="1" t="str">
        <f t="shared" si="19"/>
        <v/>
      </c>
      <c r="M202" s="4">
        <f t="shared" si="20"/>
        <v>0</v>
      </c>
    </row>
    <row r="203" spans="1:13">
      <c r="A203" s="4"/>
      <c r="B203" t="str">
        <f t="shared" si="16"/>
        <v>6:10114</v>
      </c>
      <c r="C203" s="1">
        <v>6</v>
      </c>
      <c r="D203" s="4">
        <v>10114</v>
      </c>
      <c r="E203" s="3" t="s">
        <v>374</v>
      </c>
      <c r="F203" s="3"/>
      <c r="G203" s="1">
        <v>200</v>
      </c>
      <c r="H203" s="1">
        <f t="shared" si="17"/>
        <v>200</v>
      </c>
      <c r="I203" s="1" t="str">
        <f t="shared" si="18"/>
        <v/>
      </c>
      <c r="J203" s="1" t="str">
        <f>_xlfn.IFNA(INDEX([1]历练产出!$Z:$Z,MATCH(B203,[1]历练产出!$AB:$AB,0)),"")</f>
        <v/>
      </c>
      <c r="K203" s="1" t="str">
        <f>_xlfn.IFNA(INDEX([1]洞天福地产出!$H:$H,MATCH(B203,[1]洞天福地产出!$K:$K,0)),"")</f>
        <v/>
      </c>
      <c r="L203" s="1" t="str">
        <f t="shared" si="19"/>
        <v/>
      </c>
      <c r="M203" s="4">
        <f t="shared" si="20"/>
        <v>0</v>
      </c>
    </row>
    <row r="204" ht="30" spans="1:13">
      <c r="A204" s="4"/>
      <c r="B204" t="str">
        <f t="shared" si="16"/>
        <v>6:20001</v>
      </c>
      <c r="C204" s="1">
        <v>6</v>
      </c>
      <c r="D204" s="4">
        <v>20001</v>
      </c>
      <c r="E204" s="3" t="s">
        <v>379</v>
      </c>
      <c r="F204" s="3"/>
      <c r="G204" s="1">
        <v>648</v>
      </c>
      <c r="H204" s="1">
        <f t="shared" si="17"/>
        <v>648</v>
      </c>
      <c r="I204" s="1" t="str">
        <f t="shared" si="18"/>
        <v/>
      </c>
      <c r="J204" s="1" t="str">
        <f>_xlfn.IFNA(INDEX([1]历练产出!$Z:$Z,MATCH(B204,[1]历练产出!$AB:$AB,0)),"")</f>
        <v/>
      </c>
      <c r="K204" s="1" t="str">
        <f>_xlfn.IFNA(INDEX([1]洞天福地产出!$H:$H,MATCH(B204,[1]洞天福地产出!$K:$K,0)),"")</f>
        <v/>
      </c>
      <c r="L204" s="1" t="str">
        <f t="shared" si="19"/>
        <v/>
      </c>
      <c r="M204" s="4">
        <f t="shared" si="20"/>
        <v>0</v>
      </c>
    </row>
    <row r="205" ht="30" spans="1:13">
      <c r="A205" s="4"/>
      <c r="B205" t="str">
        <f t="shared" si="16"/>
        <v>6:20002</v>
      </c>
      <c r="C205" s="1">
        <v>6</v>
      </c>
      <c r="D205" s="4">
        <v>20002</v>
      </c>
      <c r="E205" s="3" t="s">
        <v>379</v>
      </c>
      <c r="F205" s="3"/>
      <c r="G205" s="1">
        <v>648</v>
      </c>
      <c r="H205" s="1">
        <f t="shared" si="17"/>
        <v>648</v>
      </c>
      <c r="I205" s="1" t="str">
        <f t="shared" si="18"/>
        <v/>
      </c>
      <c r="J205" s="1" t="str">
        <f>_xlfn.IFNA(INDEX([1]历练产出!$Z:$Z,MATCH(B205,[1]历练产出!$AB:$AB,0)),"")</f>
        <v/>
      </c>
      <c r="K205" s="1" t="str">
        <f>_xlfn.IFNA(INDEX([1]洞天福地产出!$H:$H,MATCH(B205,[1]洞天福地产出!$K:$K,0)),"")</f>
        <v/>
      </c>
      <c r="L205" s="1" t="str">
        <f t="shared" si="19"/>
        <v/>
      </c>
      <c r="M205" s="4">
        <f t="shared" si="20"/>
        <v>0</v>
      </c>
    </row>
    <row r="206" spans="1:13">
      <c r="A206" s="4"/>
      <c r="B206" t="str">
        <f t="shared" si="16"/>
        <v>6:20011</v>
      </c>
      <c r="C206" s="1">
        <v>6</v>
      </c>
      <c r="D206" s="4">
        <v>20011</v>
      </c>
      <c r="E206" s="3" t="s">
        <v>382</v>
      </c>
      <c r="F206" s="3"/>
      <c r="G206" s="1">
        <v>648</v>
      </c>
      <c r="H206" s="1">
        <f t="shared" si="17"/>
        <v>648</v>
      </c>
      <c r="I206" s="1" t="str">
        <f t="shared" si="18"/>
        <v/>
      </c>
      <c r="J206" s="1" t="str">
        <f>_xlfn.IFNA(INDEX([1]历练产出!$Z:$Z,MATCH(B206,[1]历练产出!$AB:$AB,0)),"")</f>
        <v/>
      </c>
      <c r="K206" s="1" t="str">
        <f>_xlfn.IFNA(INDEX([1]洞天福地产出!$H:$H,MATCH(B206,[1]洞天福地产出!$K:$K,0)),"")</f>
        <v/>
      </c>
      <c r="L206" s="1" t="str">
        <f t="shared" si="19"/>
        <v/>
      </c>
      <c r="M206" s="4">
        <f t="shared" si="20"/>
        <v>0</v>
      </c>
    </row>
    <row r="207" spans="1:13">
      <c r="A207" s="4"/>
      <c r="B207" t="str">
        <f t="shared" si="16"/>
        <v>6:20012</v>
      </c>
      <c r="C207" s="1">
        <v>6</v>
      </c>
      <c r="D207" s="4">
        <v>20012</v>
      </c>
      <c r="E207" s="3" t="s">
        <v>382</v>
      </c>
      <c r="F207" s="3"/>
      <c r="G207" s="1">
        <v>648</v>
      </c>
      <c r="H207" s="1">
        <f t="shared" si="17"/>
        <v>648</v>
      </c>
      <c r="I207" s="1" t="str">
        <f t="shared" si="18"/>
        <v/>
      </c>
      <c r="J207" s="1" t="str">
        <f>_xlfn.IFNA(INDEX([1]历练产出!$Z:$Z,MATCH(B207,[1]历练产出!$AB:$AB,0)),"")</f>
        <v/>
      </c>
      <c r="K207" s="1" t="str">
        <f>_xlfn.IFNA(INDEX([1]洞天福地产出!$H:$H,MATCH(B207,[1]洞天福地产出!$K:$K,0)),"")</f>
        <v/>
      </c>
      <c r="L207" s="1" t="str">
        <f t="shared" si="19"/>
        <v/>
      </c>
      <c r="M207" s="4">
        <f t="shared" si="20"/>
        <v>0</v>
      </c>
    </row>
    <row r="208" spans="1:13">
      <c r="A208" s="4"/>
      <c r="B208" t="str">
        <f t="shared" si="16"/>
        <v>6:20021</v>
      </c>
      <c r="C208" s="1">
        <v>6</v>
      </c>
      <c r="D208" s="4">
        <v>20021</v>
      </c>
      <c r="E208" s="3" t="s">
        <v>385</v>
      </c>
      <c r="F208" s="3"/>
      <c r="G208" s="1">
        <v>648</v>
      </c>
      <c r="H208" s="1">
        <f t="shared" si="17"/>
        <v>648</v>
      </c>
      <c r="I208" s="1" t="str">
        <f t="shared" si="18"/>
        <v/>
      </c>
      <c r="J208" s="1" t="str">
        <f>_xlfn.IFNA(INDEX([1]历练产出!$Z:$Z,MATCH(B208,[1]历练产出!$AB:$AB,0)),"")</f>
        <v/>
      </c>
      <c r="K208" s="1" t="str">
        <f>_xlfn.IFNA(INDEX([1]洞天福地产出!$H:$H,MATCH(B208,[1]洞天福地产出!$K:$K,0)),"")</f>
        <v/>
      </c>
      <c r="L208" s="1" t="str">
        <f t="shared" si="19"/>
        <v/>
      </c>
      <c r="M208" s="4">
        <f t="shared" si="20"/>
        <v>0</v>
      </c>
    </row>
    <row r="209" spans="1:13">
      <c r="A209" s="4"/>
      <c r="B209" t="str">
        <f t="shared" si="16"/>
        <v>6:20022</v>
      </c>
      <c r="C209" s="1">
        <v>6</v>
      </c>
      <c r="D209" s="4">
        <v>20022</v>
      </c>
      <c r="E209" s="3" t="s">
        <v>385</v>
      </c>
      <c r="F209" s="3"/>
      <c r="G209" s="1">
        <v>648</v>
      </c>
      <c r="H209" s="1">
        <f t="shared" si="17"/>
        <v>648</v>
      </c>
      <c r="I209" s="1" t="str">
        <f t="shared" si="18"/>
        <v/>
      </c>
      <c r="J209" s="1" t="str">
        <f>_xlfn.IFNA(INDEX([1]历练产出!$Z:$Z,MATCH(B209,[1]历练产出!$AB:$AB,0)),"")</f>
        <v/>
      </c>
      <c r="K209" s="1" t="str">
        <f>_xlfn.IFNA(INDEX([1]洞天福地产出!$H:$H,MATCH(B209,[1]洞天福地产出!$K:$K,0)),"")</f>
        <v/>
      </c>
      <c r="L209" s="1" t="str">
        <f t="shared" si="19"/>
        <v/>
      </c>
      <c r="M209" s="4">
        <f t="shared" si="20"/>
        <v>0</v>
      </c>
    </row>
    <row r="210" ht="30" spans="1:13">
      <c r="A210" s="4"/>
      <c r="B210" t="str">
        <f t="shared" si="16"/>
        <v>6:20031</v>
      </c>
      <c r="C210" s="1">
        <v>6</v>
      </c>
      <c r="D210" s="4">
        <v>20031</v>
      </c>
      <c r="E210" s="3" t="s">
        <v>388</v>
      </c>
      <c r="F210" s="3"/>
      <c r="G210" s="1">
        <v>648</v>
      </c>
      <c r="H210" s="1">
        <f t="shared" si="17"/>
        <v>648</v>
      </c>
      <c r="I210" s="1" t="str">
        <f t="shared" si="18"/>
        <v/>
      </c>
      <c r="J210" s="1" t="str">
        <f>_xlfn.IFNA(INDEX([1]历练产出!$Z:$Z,MATCH(B210,[1]历练产出!$AB:$AB,0)),"")</f>
        <v/>
      </c>
      <c r="K210" s="1" t="str">
        <f>_xlfn.IFNA(INDEX([1]洞天福地产出!$H:$H,MATCH(B210,[1]洞天福地产出!$K:$K,0)),"")</f>
        <v/>
      </c>
      <c r="L210" s="1" t="str">
        <f t="shared" si="19"/>
        <v/>
      </c>
      <c r="M210" s="4">
        <f t="shared" si="20"/>
        <v>0</v>
      </c>
    </row>
    <row r="211" ht="30" spans="1:13">
      <c r="A211" s="4"/>
      <c r="B211" t="str">
        <f t="shared" si="16"/>
        <v>6:20032</v>
      </c>
      <c r="C211" s="1">
        <v>6</v>
      </c>
      <c r="D211" s="4">
        <v>20032</v>
      </c>
      <c r="E211" s="3" t="s">
        <v>388</v>
      </c>
      <c r="F211" s="3"/>
      <c r="G211" s="1">
        <v>648</v>
      </c>
      <c r="H211" s="1">
        <f t="shared" si="17"/>
        <v>648</v>
      </c>
      <c r="I211" s="1" t="str">
        <f t="shared" si="18"/>
        <v/>
      </c>
      <c r="J211" s="1" t="str">
        <f>_xlfn.IFNA(INDEX([1]历练产出!$Z:$Z,MATCH(B211,[1]历练产出!$AB:$AB,0)),"")</f>
        <v/>
      </c>
      <c r="K211" s="1" t="str">
        <f>_xlfn.IFNA(INDEX([1]洞天福地产出!$H:$H,MATCH(B211,[1]洞天福地产出!$K:$K,0)),"")</f>
        <v/>
      </c>
      <c r="L211" s="1" t="str">
        <f t="shared" si="19"/>
        <v/>
      </c>
      <c r="M211" s="4">
        <f t="shared" si="20"/>
        <v>0</v>
      </c>
    </row>
    <row r="212" ht="30" spans="1:13">
      <c r="A212" s="4"/>
      <c r="B212" t="str">
        <f t="shared" si="16"/>
        <v>6:20041</v>
      </c>
      <c r="C212" s="1">
        <v>6</v>
      </c>
      <c r="D212" s="4">
        <v>20041</v>
      </c>
      <c r="E212" s="3" t="s">
        <v>391</v>
      </c>
      <c r="F212" s="3"/>
      <c r="G212" s="1">
        <v>648</v>
      </c>
      <c r="H212" s="1">
        <f t="shared" si="17"/>
        <v>648</v>
      </c>
      <c r="I212" s="1" t="str">
        <f t="shared" si="18"/>
        <v/>
      </c>
      <c r="J212" s="1" t="str">
        <f>_xlfn.IFNA(INDEX([1]历练产出!$Z:$Z,MATCH(B212,[1]历练产出!$AB:$AB,0)),"")</f>
        <v/>
      </c>
      <c r="K212" s="1" t="str">
        <f>_xlfn.IFNA(INDEX([1]洞天福地产出!$H:$H,MATCH(B212,[1]洞天福地产出!$K:$K,0)),"")</f>
        <v/>
      </c>
      <c r="L212" s="1" t="str">
        <f t="shared" si="19"/>
        <v/>
      </c>
      <c r="M212" s="4">
        <f t="shared" si="20"/>
        <v>0</v>
      </c>
    </row>
    <row r="213" ht="30" spans="1:13">
      <c r="A213" s="4"/>
      <c r="B213" t="str">
        <f t="shared" si="16"/>
        <v>6:20042</v>
      </c>
      <c r="C213" s="1">
        <v>6</v>
      </c>
      <c r="D213" s="4">
        <v>20042</v>
      </c>
      <c r="E213" s="3" t="s">
        <v>391</v>
      </c>
      <c r="F213" s="3"/>
      <c r="G213" s="1">
        <v>648</v>
      </c>
      <c r="H213" s="1">
        <f t="shared" si="17"/>
        <v>648</v>
      </c>
      <c r="I213" s="1" t="str">
        <f t="shared" si="18"/>
        <v/>
      </c>
      <c r="J213" s="1" t="str">
        <f>_xlfn.IFNA(INDEX([1]历练产出!$Z:$Z,MATCH(B213,[1]历练产出!$AB:$AB,0)),"")</f>
        <v/>
      </c>
      <c r="K213" s="1" t="str">
        <f>_xlfn.IFNA(INDEX([1]洞天福地产出!$H:$H,MATCH(B213,[1]洞天福地产出!$K:$K,0)),"")</f>
        <v/>
      </c>
      <c r="L213" s="1" t="str">
        <f t="shared" si="19"/>
        <v/>
      </c>
      <c r="M213" s="4">
        <f t="shared" si="20"/>
        <v>0</v>
      </c>
    </row>
    <row r="214" spans="1:13">
      <c r="A214" s="4"/>
      <c r="B214" t="str">
        <f t="shared" si="16"/>
        <v>6:20051</v>
      </c>
      <c r="C214" s="1">
        <v>6</v>
      </c>
      <c r="D214" s="4">
        <v>20051</v>
      </c>
      <c r="E214" s="3" t="s">
        <v>394</v>
      </c>
      <c r="F214" s="3"/>
      <c r="G214" s="1">
        <v>648</v>
      </c>
      <c r="H214" s="1">
        <f t="shared" si="17"/>
        <v>648</v>
      </c>
      <c r="I214" s="1" t="str">
        <f t="shared" si="18"/>
        <v/>
      </c>
      <c r="J214" s="1" t="str">
        <f>_xlfn.IFNA(INDEX([1]历练产出!$Z:$Z,MATCH(B214,[1]历练产出!$AB:$AB,0)),"")</f>
        <v/>
      </c>
      <c r="K214" s="1" t="str">
        <f>_xlfn.IFNA(INDEX([1]洞天福地产出!$H:$H,MATCH(B214,[1]洞天福地产出!$K:$K,0)),"")</f>
        <v/>
      </c>
      <c r="L214" s="1" t="str">
        <f t="shared" si="19"/>
        <v/>
      </c>
      <c r="M214" s="4">
        <f t="shared" si="20"/>
        <v>0</v>
      </c>
    </row>
    <row r="215" spans="1:13">
      <c r="A215" s="4"/>
      <c r="B215" t="str">
        <f t="shared" si="16"/>
        <v>6:20052</v>
      </c>
      <c r="C215" s="1">
        <v>6</v>
      </c>
      <c r="D215" s="4">
        <v>20052</v>
      </c>
      <c r="E215" s="3" t="s">
        <v>394</v>
      </c>
      <c r="F215" s="3"/>
      <c r="G215" s="1">
        <v>648</v>
      </c>
      <c r="H215" s="1">
        <f t="shared" si="17"/>
        <v>648</v>
      </c>
      <c r="I215" s="1" t="str">
        <f t="shared" si="18"/>
        <v/>
      </c>
      <c r="J215" s="1" t="str">
        <f>_xlfn.IFNA(INDEX([1]历练产出!$Z:$Z,MATCH(B215,[1]历练产出!$AB:$AB,0)),"")</f>
        <v/>
      </c>
      <c r="K215" s="1" t="str">
        <f>_xlfn.IFNA(INDEX([1]洞天福地产出!$H:$H,MATCH(B215,[1]洞天福地产出!$K:$K,0)),"")</f>
        <v/>
      </c>
      <c r="L215" s="1" t="str">
        <f t="shared" si="19"/>
        <v/>
      </c>
      <c r="M215" s="4">
        <f t="shared" si="20"/>
        <v>0</v>
      </c>
    </row>
    <row r="216" ht="30" spans="1:13">
      <c r="A216" s="4"/>
      <c r="B216" t="str">
        <f t="shared" si="16"/>
        <v>6:20061</v>
      </c>
      <c r="C216" s="1">
        <v>6</v>
      </c>
      <c r="D216" s="4">
        <v>20061</v>
      </c>
      <c r="E216" s="3" t="s">
        <v>397</v>
      </c>
      <c r="F216" s="3"/>
      <c r="G216" s="1">
        <v>648</v>
      </c>
      <c r="H216" s="1">
        <f t="shared" si="17"/>
        <v>648</v>
      </c>
      <c r="I216" s="1" t="str">
        <f t="shared" si="18"/>
        <v/>
      </c>
      <c r="J216" s="1" t="str">
        <f>_xlfn.IFNA(INDEX([1]历练产出!$Z:$Z,MATCH(B216,[1]历练产出!$AB:$AB,0)),"")</f>
        <v/>
      </c>
      <c r="K216" s="1" t="str">
        <f>_xlfn.IFNA(INDEX([1]洞天福地产出!$H:$H,MATCH(B216,[1]洞天福地产出!$K:$K,0)),"")</f>
        <v/>
      </c>
      <c r="L216" s="1" t="str">
        <f t="shared" si="19"/>
        <v/>
      </c>
      <c r="M216" s="4">
        <f t="shared" si="20"/>
        <v>0</v>
      </c>
    </row>
    <row r="217" ht="30" spans="1:13">
      <c r="A217" s="4"/>
      <c r="B217" t="str">
        <f t="shared" si="16"/>
        <v>6:20062</v>
      </c>
      <c r="C217" s="1">
        <v>6</v>
      </c>
      <c r="D217" s="4">
        <v>20062</v>
      </c>
      <c r="E217" s="3" t="s">
        <v>397</v>
      </c>
      <c r="F217" s="3"/>
      <c r="G217" s="1">
        <v>648</v>
      </c>
      <c r="H217" s="1">
        <f t="shared" si="17"/>
        <v>648</v>
      </c>
      <c r="I217" s="1" t="str">
        <f t="shared" si="18"/>
        <v/>
      </c>
      <c r="J217" s="1" t="str">
        <f>_xlfn.IFNA(INDEX([1]历练产出!$Z:$Z,MATCH(B217,[1]历练产出!$AB:$AB,0)),"")</f>
        <v/>
      </c>
      <c r="K217" s="1" t="str">
        <f>_xlfn.IFNA(INDEX([1]洞天福地产出!$H:$H,MATCH(B217,[1]洞天福地产出!$K:$K,0)),"")</f>
        <v/>
      </c>
      <c r="L217" s="1" t="str">
        <f t="shared" si="19"/>
        <v/>
      </c>
      <c r="M217" s="4">
        <f t="shared" si="20"/>
        <v>0</v>
      </c>
    </row>
    <row r="218" ht="30" spans="1:13">
      <c r="A218" s="4"/>
      <c r="B218" t="str">
        <f t="shared" si="16"/>
        <v>6:20071</v>
      </c>
      <c r="C218" s="1">
        <v>6</v>
      </c>
      <c r="D218" s="4">
        <v>20071</v>
      </c>
      <c r="E218" s="3" t="s">
        <v>400</v>
      </c>
      <c r="F218" s="3"/>
      <c r="G218" s="1">
        <v>648</v>
      </c>
      <c r="H218" s="1">
        <f t="shared" si="17"/>
        <v>648</v>
      </c>
      <c r="I218" s="1" t="str">
        <f t="shared" si="18"/>
        <v/>
      </c>
      <c r="J218" s="1" t="str">
        <f>_xlfn.IFNA(INDEX([1]历练产出!$Z:$Z,MATCH(B218,[1]历练产出!$AB:$AB,0)),"")</f>
        <v/>
      </c>
      <c r="K218" s="1" t="str">
        <f>_xlfn.IFNA(INDEX([1]洞天福地产出!$H:$H,MATCH(B218,[1]洞天福地产出!$K:$K,0)),"")</f>
        <v/>
      </c>
      <c r="L218" s="1" t="str">
        <f t="shared" si="19"/>
        <v/>
      </c>
      <c r="M218" s="4">
        <f t="shared" si="20"/>
        <v>0</v>
      </c>
    </row>
    <row r="219" ht="30" spans="1:13">
      <c r="A219" s="4"/>
      <c r="B219" t="str">
        <f t="shared" si="16"/>
        <v>6:20072</v>
      </c>
      <c r="C219" s="1">
        <v>6</v>
      </c>
      <c r="D219" s="4">
        <v>20072</v>
      </c>
      <c r="E219" s="3" t="s">
        <v>400</v>
      </c>
      <c r="F219" s="3"/>
      <c r="G219" s="1">
        <v>648</v>
      </c>
      <c r="H219" s="1">
        <f t="shared" si="17"/>
        <v>648</v>
      </c>
      <c r="I219" s="1" t="str">
        <f t="shared" si="18"/>
        <v/>
      </c>
      <c r="J219" s="1" t="str">
        <f>_xlfn.IFNA(INDEX([1]历练产出!$Z:$Z,MATCH(B219,[1]历练产出!$AB:$AB,0)),"")</f>
        <v/>
      </c>
      <c r="K219" s="1" t="str">
        <f>_xlfn.IFNA(INDEX([1]洞天福地产出!$H:$H,MATCH(B219,[1]洞天福地产出!$K:$K,0)),"")</f>
        <v/>
      </c>
      <c r="L219" s="1" t="str">
        <f t="shared" si="19"/>
        <v/>
      </c>
      <c r="M219" s="4">
        <f t="shared" si="20"/>
        <v>0</v>
      </c>
    </row>
    <row r="220" spans="1:13">
      <c r="A220" s="4"/>
      <c r="B220" t="str">
        <f t="shared" si="16"/>
        <v>6:20081</v>
      </c>
      <c r="C220" s="1">
        <v>6</v>
      </c>
      <c r="D220" s="4">
        <v>20081</v>
      </c>
      <c r="E220" s="3" t="s">
        <v>403</v>
      </c>
      <c r="F220" s="3"/>
      <c r="G220" s="1">
        <v>648</v>
      </c>
      <c r="H220" s="1">
        <f t="shared" si="17"/>
        <v>648</v>
      </c>
      <c r="I220" s="1" t="str">
        <f t="shared" si="18"/>
        <v/>
      </c>
      <c r="J220" s="1" t="str">
        <f>_xlfn.IFNA(INDEX([1]历练产出!$Z:$Z,MATCH(B220,[1]历练产出!$AB:$AB,0)),"")</f>
        <v/>
      </c>
      <c r="K220" s="1" t="str">
        <f>_xlfn.IFNA(INDEX([1]洞天福地产出!$H:$H,MATCH(B220,[1]洞天福地产出!$K:$K,0)),"")</f>
        <v/>
      </c>
      <c r="L220" s="1" t="str">
        <f t="shared" si="19"/>
        <v/>
      </c>
      <c r="M220" s="4">
        <f t="shared" si="20"/>
        <v>0</v>
      </c>
    </row>
    <row r="221" spans="1:13">
      <c r="A221" s="4"/>
      <c r="B221" t="str">
        <f t="shared" si="16"/>
        <v>6:20082</v>
      </c>
      <c r="C221" s="1">
        <v>6</v>
      </c>
      <c r="D221" s="4">
        <v>20082</v>
      </c>
      <c r="E221" s="3" t="s">
        <v>403</v>
      </c>
      <c r="F221" s="3"/>
      <c r="G221" s="1">
        <v>648</v>
      </c>
      <c r="H221" s="1">
        <f t="shared" si="17"/>
        <v>648</v>
      </c>
      <c r="I221" s="1" t="str">
        <f t="shared" si="18"/>
        <v/>
      </c>
      <c r="J221" s="1" t="str">
        <f>_xlfn.IFNA(INDEX([1]历练产出!$Z:$Z,MATCH(B221,[1]历练产出!$AB:$AB,0)),"")</f>
        <v/>
      </c>
      <c r="K221" s="1" t="str">
        <f>_xlfn.IFNA(INDEX([1]洞天福地产出!$H:$H,MATCH(B221,[1]洞天福地产出!$K:$K,0)),"")</f>
        <v/>
      </c>
      <c r="L221" s="1" t="str">
        <f t="shared" si="19"/>
        <v/>
      </c>
      <c r="M221" s="4">
        <f t="shared" si="20"/>
        <v>0</v>
      </c>
    </row>
    <row r="222" spans="1:13">
      <c r="A222" s="4"/>
      <c r="B222" t="str">
        <f t="shared" si="16"/>
        <v>6:20091</v>
      </c>
      <c r="C222" s="1">
        <v>6</v>
      </c>
      <c r="D222" s="4">
        <v>20091</v>
      </c>
      <c r="E222" s="3" t="s">
        <v>406</v>
      </c>
      <c r="F222" s="3"/>
      <c r="G222" s="1">
        <v>648</v>
      </c>
      <c r="H222" s="1">
        <f t="shared" si="17"/>
        <v>648</v>
      </c>
      <c r="I222" s="1" t="str">
        <f t="shared" si="18"/>
        <v/>
      </c>
      <c r="J222" s="1" t="str">
        <f>_xlfn.IFNA(INDEX([1]历练产出!$Z:$Z,MATCH(B222,[1]历练产出!$AB:$AB,0)),"")</f>
        <v/>
      </c>
      <c r="K222" s="1" t="str">
        <f>_xlfn.IFNA(INDEX([1]洞天福地产出!$H:$H,MATCH(B222,[1]洞天福地产出!$K:$K,0)),"")</f>
        <v/>
      </c>
      <c r="L222" s="1" t="str">
        <f t="shared" si="19"/>
        <v/>
      </c>
      <c r="M222" s="4">
        <f t="shared" si="20"/>
        <v>0</v>
      </c>
    </row>
    <row r="223" spans="1:13">
      <c r="A223" s="4"/>
      <c r="B223" t="str">
        <f t="shared" si="16"/>
        <v>6:20092</v>
      </c>
      <c r="C223" s="1">
        <v>6</v>
      </c>
      <c r="D223" s="4">
        <v>20092</v>
      </c>
      <c r="E223" s="3" t="s">
        <v>406</v>
      </c>
      <c r="F223" s="3"/>
      <c r="G223" s="1">
        <v>648</v>
      </c>
      <c r="H223" s="1">
        <f t="shared" si="17"/>
        <v>648</v>
      </c>
      <c r="I223" s="1" t="str">
        <f t="shared" si="18"/>
        <v/>
      </c>
      <c r="J223" s="1" t="str">
        <f>_xlfn.IFNA(INDEX([1]历练产出!$Z:$Z,MATCH(B223,[1]历练产出!$AB:$AB,0)),"")</f>
        <v/>
      </c>
      <c r="K223" s="1" t="str">
        <f>_xlfn.IFNA(INDEX([1]洞天福地产出!$H:$H,MATCH(B223,[1]洞天福地产出!$K:$K,0)),"")</f>
        <v/>
      </c>
      <c r="L223" s="1" t="str">
        <f t="shared" si="19"/>
        <v/>
      </c>
      <c r="M223" s="4">
        <f t="shared" si="20"/>
        <v>0</v>
      </c>
    </row>
    <row r="224" ht="28.5" customHeight="1" spans="1:13">
      <c r="A224" s="4"/>
      <c r="B224" t="str">
        <f t="shared" si="16"/>
        <v>6:30001</v>
      </c>
      <c r="C224" s="1">
        <v>6</v>
      </c>
      <c r="D224" s="4">
        <v>30001</v>
      </c>
      <c r="E224" s="3" t="s">
        <v>1875</v>
      </c>
      <c r="F224" s="3"/>
      <c r="G224" s="1">
        <f>G225/200</f>
        <v>0.1</v>
      </c>
      <c r="H224" s="1">
        <f t="shared" si="17"/>
        <v>0.1</v>
      </c>
      <c r="I224" s="1" t="str">
        <f t="shared" si="18"/>
        <v/>
      </c>
      <c r="J224" s="1" t="str">
        <f>_xlfn.IFNA(INDEX([1]历练产出!$Z:$Z,MATCH(B224,[1]历练产出!$AB:$AB,0)),"")</f>
        <v/>
      </c>
      <c r="K224" s="1" t="str">
        <f>_xlfn.IFNA(INDEX([1]洞天福地产出!$H:$H,MATCH(B224,[1]洞天福地产出!$K:$K,0)),"")</f>
        <v/>
      </c>
      <c r="L224" s="1" t="str">
        <f t="shared" si="19"/>
        <v/>
      </c>
      <c r="M224" s="4">
        <f t="shared" si="20"/>
        <v>0</v>
      </c>
    </row>
    <row r="225" ht="28.5" customHeight="1" spans="1:13">
      <c r="A225" s="4"/>
      <c r="B225" t="str">
        <f t="shared" si="16"/>
        <v>6:30002</v>
      </c>
      <c r="C225" s="1">
        <v>6</v>
      </c>
      <c r="D225" s="4">
        <v>30002</v>
      </c>
      <c r="E225" s="3" t="s">
        <v>1876</v>
      </c>
      <c r="F225" s="3"/>
      <c r="G225" s="1">
        <f>100/5</f>
        <v>20</v>
      </c>
      <c r="H225" s="1">
        <f t="shared" si="17"/>
        <v>20</v>
      </c>
      <c r="I225" s="1" t="str">
        <f t="shared" si="18"/>
        <v/>
      </c>
      <c r="J225" s="1" t="str">
        <f>_xlfn.IFNA(INDEX([1]历练产出!$Z:$Z,MATCH(B225,[1]历练产出!$AB:$AB,0)),"")</f>
        <v/>
      </c>
      <c r="K225" s="1" t="str">
        <f>_xlfn.IFNA(INDEX([1]洞天福地产出!$H:$H,MATCH(B225,[1]洞天福地产出!$K:$K,0)),"")</f>
        <v/>
      </c>
      <c r="L225" s="1" t="str">
        <f t="shared" si="19"/>
        <v/>
      </c>
      <c r="M225" s="4">
        <f t="shared" si="20"/>
        <v>0</v>
      </c>
    </row>
    <row r="226" spans="1:13">
      <c r="A226" s="4"/>
      <c r="C226" s="4"/>
      <c r="D226" s="4"/>
      <c r="E226" s="3"/>
      <c r="F226" s="3"/>
      <c r="G226" s="1"/>
      <c r="H226" s="1">
        <f t="shared" si="17"/>
        <v>0</v>
      </c>
      <c r="I226" s="1" t="str">
        <f t="shared" si="18"/>
        <v/>
      </c>
      <c r="J226" s="1" t="str">
        <f>_xlfn.IFNA(INDEX([1]历练产出!$Z:$Z,MATCH(B226,[1]历练产出!$AB:$AB,0)),"")</f>
        <v/>
      </c>
      <c r="K226" s="1">
        <f>_xlfn.IFNA(INDEX([1]洞天福地产出!$H:$H,MATCH(B226,[1]洞天福地产出!$K:$K,0)),"")</f>
        <v>0</v>
      </c>
      <c r="L226" s="1" t="str">
        <f t="shared" si="19"/>
        <v/>
      </c>
      <c r="M226" s="4">
        <f t="shared" si="20"/>
        <v>0</v>
      </c>
    </row>
    <row r="227" spans="1:13">
      <c r="A227" s="1" t="s">
        <v>2481</v>
      </c>
      <c r="C227" s="4"/>
      <c r="D227" s="4" t="s">
        <v>2487</v>
      </c>
      <c r="E227" s="3" t="s">
        <v>2488</v>
      </c>
      <c r="F227" s="3"/>
      <c r="G227" s="1"/>
      <c r="H227" s="1">
        <f t="shared" si="17"/>
        <v>0</v>
      </c>
      <c r="I227" s="1" t="str">
        <f t="shared" si="18"/>
        <v/>
      </c>
      <c r="J227" s="1" t="str">
        <f>_xlfn.IFNA(INDEX([1]历练产出!$Z:$Z,MATCH(B227,[1]历练产出!$AB:$AB,0)),"")</f>
        <v/>
      </c>
      <c r="K227" s="1">
        <f>_xlfn.IFNA(INDEX([1]洞天福地产出!$H:$H,MATCH(B227,[1]洞天福地产出!$K:$K,0)),"")</f>
        <v>0</v>
      </c>
      <c r="L227" s="1" t="str">
        <f t="shared" si="19"/>
        <v/>
      </c>
      <c r="M227" s="4">
        <f t="shared" si="20"/>
        <v>0</v>
      </c>
    </row>
    <row r="228" ht="30" spans="1:13">
      <c r="A228" s="4"/>
      <c r="B228" t="str">
        <f t="shared" ref="B228:B291" si="21">C228&amp;":"&amp;D228</f>
        <v>7:100101</v>
      </c>
      <c r="C228" s="1">
        <v>7</v>
      </c>
      <c r="D228" s="4">
        <v>100101</v>
      </c>
      <c r="E228" s="3" t="s">
        <v>413</v>
      </c>
      <c r="F228" s="3"/>
      <c r="G228" s="1">
        <v>25.65</v>
      </c>
      <c r="H228" s="1">
        <f t="shared" si="17"/>
        <v>25.65</v>
      </c>
      <c r="I228" s="1" t="str">
        <f t="shared" si="18"/>
        <v/>
      </c>
      <c r="J228" s="1" t="str">
        <f>_xlfn.IFNA(INDEX([1]历练产出!$Z:$Z,MATCH(B228,[1]历练产出!$AB:$AB,0)),"")</f>
        <v/>
      </c>
      <c r="K228" s="1" t="str">
        <f>_xlfn.IFNA(INDEX([1]洞天福地产出!$H:$H,MATCH(B228,[1]洞天福地产出!$K:$K,0)),"")</f>
        <v/>
      </c>
      <c r="L228" s="1" t="str">
        <f t="shared" si="19"/>
        <v/>
      </c>
      <c r="M228" s="4">
        <f t="shared" si="20"/>
        <v>0</v>
      </c>
    </row>
    <row r="229" ht="30" spans="1:13">
      <c r="A229" s="4"/>
      <c r="B229" t="str">
        <f t="shared" si="21"/>
        <v>7:100102</v>
      </c>
      <c r="C229" s="1">
        <v>7</v>
      </c>
      <c r="D229" s="4">
        <v>100102</v>
      </c>
      <c r="E229" s="3" t="s">
        <v>413</v>
      </c>
      <c r="F229" s="3"/>
      <c r="G229" s="1">
        <v>35.775</v>
      </c>
      <c r="H229" s="1">
        <f t="shared" si="17"/>
        <v>35.775</v>
      </c>
      <c r="I229" s="1" t="str">
        <f t="shared" si="18"/>
        <v/>
      </c>
      <c r="J229" s="1" t="str">
        <f>_xlfn.IFNA(INDEX([1]历练产出!$Z:$Z,MATCH(B229,[1]历练产出!$AB:$AB,0)),"")</f>
        <v/>
      </c>
      <c r="K229" s="1" t="str">
        <f>_xlfn.IFNA(INDEX([1]洞天福地产出!$H:$H,MATCH(B229,[1]洞天福地产出!$K:$K,0)),"")</f>
        <v/>
      </c>
      <c r="L229" s="1" t="str">
        <f t="shared" si="19"/>
        <v/>
      </c>
      <c r="M229" s="4">
        <f t="shared" si="20"/>
        <v>0</v>
      </c>
    </row>
    <row r="230" ht="30" spans="1:13">
      <c r="A230" s="4"/>
      <c r="B230" t="str">
        <f t="shared" si="21"/>
        <v>7:100103</v>
      </c>
      <c r="C230" s="1">
        <v>7</v>
      </c>
      <c r="D230" s="4">
        <v>100103</v>
      </c>
      <c r="E230" s="3" t="s">
        <v>413</v>
      </c>
      <c r="F230" s="3"/>
      <c r="G230" s="1">
        <v>51.975</v>
      </c>
      <c r="H230" s="1">
        <f t="shared" si="17"/>
        <v>51.975</v>
      </c>
      <c r="I230" s="1" t="str">
        <f t="shared" si="18"/>
        <v/>
      </c>
      <c r="J230" s="1" t="str">
        <f>_xlfn.IFNA(INDEX([1]历练产出!$Z:$Z,MATCH(B230,[1]历练产出!$AB:$AB,0)),"")</f>
        <v/>
      </c>
      <c r="K230" s="1" t="str">
        <f>_xlfn.IFNA(INDEX([1]洞天福地产出!$H:$H,MATCH(B230,[1]洞天福地产出!$K:$K,0)),"")</f>
        <v/>
      </c>
      <c r="L230" s="1" t="str">
        <f t="shared" si="19"/>
        <v/>
      </c>
      <c r="M230" s="4">
        <f t="shared" si="20"/>
        <v>0</v>
      </c>
    </row>
    <row r="231" ht="30" spans="1:13">
      <c r="A231" s="4"/>
      <c r="B231" t="str">
        <f t="shared" si="21"/>
        <v>7:100104</v>
      </c>
      <c r="C231" s="1">
        <v>7</v>
      </c>
      <c r="D231" s="4">
        <v>100104</v>
      </c>
      <c r="E231" s="3" t="s">
        <v>413</v>
      </c>
      <c r="F231" s="3"/>
      <c r="G231" s="1">
        <v>74.25</v>
      </c>
      <c r="H231" s="1">
        <f t="shared" si="17"/>
        <v>74.25</v>
      </c>
      <c r="I231" s="1" t="str">
        <f t="shared" si="18"/>
        <v/>
      </c>
      <c r="J231" s="1" t="str">
        <f>_xlfn.IFNA(INDEX([1]历练产出!$Z:$Z,MATCH(B231,[1]历练产出!$AB:$AB,0)),"")</f>
        <v/>
      </c>
      <c r="K231" s="1" t="str">
        <f>_xlfn.IFNA(INDEX([1]洞天福地产出!$H:$H,MATCH(B231,[1]洞天福地产出!$K:$K,0)),"")</f>
        <v/>
      </c>
      <c r="L231" s="1" t="str">
        <f t="shared" si="19"/>
        <v/>
      </c>
      <c r="M231" s="4">
        <f t="shared" si="20"/>
        <v>0</v>
      </c>
    </row>
    <row r="232" ht="30" spans="1:13">
      <c r="A232" s="4"/>
      <c r="B232" t="str">
        <f t="shared" si="21"/>
        <v>7:100105</v>
      </c>
      <c r="C232" s="1">
        <v>7</v>
      </c>
      <c r="D232" s="4">
        <v>100105</v>
      </c>
      <c r="E232" s="3" t="s">
        <v>413</v>
      </c>
      <c r="F232" s="3"/>
      <c r="G232" s="1">
        <v>102.6</v>
      </c>
      <c r="H232" s="1">
        <f t="shared" si="17"/>
        <v>102.6</v>
      </c>
      <c r="I232" s="1" t="str">
        <f t="shared" si="18"/>
        <v/>
      </c>
      <c r="J232" s="1" t="str">
        <f>_xlfn.IFNA(INDEX([1]历练产出!$Z:$Z,MATCH(B232,[1]历练产出!$AB:$AB,0)),"")</f>
        <v/>
      </c>
      <c r="K232" s="1" t="str">
        <f>_xlfn.IFNA(INDEX([1]洞天福地产出!$H:$H,MATCH(B232,[1]洞天福地产出!$K:$K,0)),"")</f>
        <v/>
      </c>
      <c r="L232" s="1" t="str">
        <f t="shared" si="19"/>
        <v/>
      </c>
      <c r="M232" s="4">
        <f t="shared" si="20"/>
        <v>0</v>
      </c>
    </row>
    <row r="233" ht="30" spans="1:13">
      <c r="A233" s="4"/>
      <c r="B233" t="str">
        <f t="shared" si="21"/>
        <v>7:100106</v>
      </c>
      <c r="C233" s="1">
        <v>7</v>
      </c>
      <c r="D233" s="4">
        <v>100106</v>
      </c>
      <c r="E233" s="3" t="s">
        <v>413</v>
      </c>
      <c r="F233" s="3"/>
      <c r="G233" s="1">
        <v>137.025</v>
      </c>
      <c r="H233" s="1">
        <f t="shared" si="17"/>
        <v>137.025</v>
      </c>
      <c r="I233" s="1" t="str">
        <f t="shared" si="18"/>
        <v/>
      </c>
      <c r="J233" s="1" t="str">
        <f>_xlfn.IFNA(INDEX([1]历练产出!$Z:$Z,MATCH(B233,[1]历练产出!$AB:$AB,0)),"")</f>
        <v/>
      </c>
      <c r="K233" s="1" t="str">
        <f>_xlfn.IFNA(INDEX([1]洞天福地产出!$H:$H,MATCH(B233,[1]洞天福地产出!$K:$K,0)),"")</f>
        <v/>
      </c>
      <c r="L233" s="1" t="str">
        <f t="shared" si="19"/>
        <v/>
      </c>
      <c r="M233" s="4">
        <f t="shared" si="20"/>
        <v>0</v>
      </c>
    </row>
    <row r="234" ht="30" spans="1:13">
      <c r="A234" s="4"/>
      <c r="B234" t="str">
        <f t="shared" si="21"/>
        <v>7:100107</v>
      </c>
      <c r="C234" s="1">
        <v>7</v>
      </c>
      <c r="D234" s="4">
        <v>100107</v>
      </c>
      <c r="E234" s="3" t="s">
        <v>413</v>
      </c>
      <c r="F234" s="3"/>
      <c r="G234" s="1">
        <v>177.525</v>
      </c>
      <c r="H234" s="1">
        <f t="shared" si="17"/>
        <v>177.525</v>
      </c>
      <c r="I234" s="1" t="str">
        <f t="shared" si="18"/>
        <v/>
      </c>
      <c r="J234" s="1" t="str">
        <f>_xlfn.IFNA(INDEX([1]历练产出!$Z:$Z,MATCH(B234,[1]历练产出!$AB:$AB,0)),"")</f>
        <v/>
      </c>
      <c r="K234" s="1" t="str">
        <f>_xlfn.IFNA(INDEX([1]洞天福地产出!$H:$H,MATCH(B234,[1]洞天福地产出!$K:$K,0)),"")</f>
        <v/>
      </c>
      <c r="L234" s="1" t="str">
        <f t="shared" si="19"/>
        <v/>
      </c>
      <c r="M234" s="4">
        <f t="shared" si="20"/>
        <v>0</v>
      </c>
    </row>
    <row r="235" ht="30" spans="1:13">
      <c r="A235" s="4"/>
      <c r="B235" t="str">
        <f t="shared" si="21"/>
        <v>7:100108</v>
      </c>
      <c r="C235" s="1">
        <v>7</v>
      </c>
      <c r="D235" s="4">
        <v>100108</v>
      </c>
      <c r="E235" s="3" t="s">
        <v>413</v>
      </c>
      <c r="F235" s="3"/>
      <c r="G235" s="1">
        <v>224.1</v>
      </c>
      <c r="H235" s="1">
        <f t="shared" si="17"/>
        <v>224.1</v>
      </c>
      <c r="I235" s="1" t="str">
        <f t="shared" si="18"/>
        <v/>
      </c>
      <c r="J235" s="1" t="str">
        <f>_xlfn.IFNA(INDEX([1]历练产出!$Z:$Z,MATCH(B235,[1]历练产出!$AB:$AB,0)),"")</f>
        <v/>
      </c>
      <c r="K235" s="1" t="str">
        <f>_xlfn.IFNA(INDEX([1]洞天福地产出!$H:$H,MATCH(B235,[1]洞天福地产出!$K:$K,0)),"")</f>
        <v/>
      </c>
      <c r="L235" s="1" t="str">
        <f t="shared" si="19"/>
        <v/>
      </c>
      <c r="M235" s="4">
        <f t="shared" si="20"/>
        <v>0</v>
      </c>
    </row>
    <row r="236" ht="30" spans="1:13">
      <c r="A236" s="4"/>
      <c r="B236" t="str">
        <f t="shared" si="21"/>
        <v>7:100109</v>
      </c>
      <c r="C236" s="1">
        <v>7</v>
      </c>
      <c r="D236" s="4">
        <v>100109</v>
      </c>
      <c r="E236" s="3" t="s">
        <v>413</v>
      </c>
      <c r="F236" s="3"/>
      <c r="G236" s="1">
        <v>276.75</v>
      </c>
      <c r="H236" s="1">
        <f t="shared" si="17"/>
        <v>276.75</v>
      </c>
      <c r="I236" s="1" t="str">
        <f t="shared" si="18"/>
        <v/>
      </c>
      <c r="J236" s="1" t="str">
        <f>_xlfn.IFNA(INDEX([1]历练产出!$Z:$Z,MATCH(B236,[1]历练产出!$AB:$AB,0)),"")</f>
        <v/>
      </c>
      <c r="K236" s="1" t="str">
        <f>_xlfn.IFNA(INDEX([1]洞天福地产出!$H:$H,MATCH(B236,[1]洞天福地产出!$K:$K,0)),"")</f>
        <v/>
      </c>
      <c r="L236" s="1" t="str">
        <f t="shared" si="19"/>
        <v/>
      </c>
      <c r="M236" s="4">
        <f t="shared" si="20"/>
        <v>0</v>
      </c>
    </row>
    <row r="237" ht="30" spans="1:13">
      <c r="A237" s="4"/>
      <c r="B237" t="str">
        <f t="shared" si="21"/>
        <v>7:100110</v>
      </c>
      <c r="C237" s="1">
        <v>7</v>
      </c>
      <c r="D237" s="4">
        <v>100110</v>
      </c>
      <c r="E237" s="3" t="s">
        <v>413</v>
      </c>
      <c r="F237" s="3"/>
      <c r="G237" s="1">
        <v>335.475</v>
      </c>
      <c r="H237" s="1">
        <f t="shared" si="17"/>
        <v>335.475</v>
      </c>
      <c r="I237" s="1" t="str">
        <f t="shared" si="18"/>
        <v/>
      </c>
      <c r="J237" s="1" t="str">
        <f>_xlfn.IFNA(INDEX([1]历练产出!$Z:$Z,MATCH(B237,[1]历练产出!$AB:$AB,0)),"")</f>
        <v/>
      </c>
      <c r="K237" s="1" t="str">
        <f>_xlfn.IFNA(INDEX([1]洞天福地产出!$H:$H,MATCH(B237,[1]洞天福地产出!$K:$K,0)),"")</f>
        <v/>
      </c>
      <c r="L237" s="1" t="str">
        <f t="shared" si="19"/>
        <v/>
      </c>
      <c r="M237" s="4">
        <f t="shared" si="20"/>
        <v>0</v>
      </c>
    </row>
    <row r="238" ht="30" spans="1:13">
      <c r="A238" s="4"/>
      <c r="B238" t="str">
        <f t="shared" si="21"/>
        <v>7:100111</v>
      </c>
      <c r="C238" s="1">
        <v>7</v>
      </c>
      <c r="D238" s="4">
        <v>100111</v>
      </c>
      <c r="E238" s="3" t="s">
        <v>413</v>
      </c>
      <c r="F238" s="3"/>
      <c r="G238" s="1">
        <v>400.275</v>
      </c>
      <c r="H238" s="1">
        <f t="shared" si="17"/>
        <v>400.275</v>
      </c>
      <c r="I238" s="1" t="str">
        <f t="shared" si="18"/>
        <v/>
      </c>
      <c r="J238" s="1" t="str">
        <f>_xlfn.IFNA(INDEX([1]历练产出!$Z:$Z,MATCH(B238,[1]历练产出!$AB:$AB,0)),"")</f>
        <v/>
      </c>
      <c r="K238" s="1" t="str">
        <f>_xlfn.IFNA(INDEX([1]洞天福地产出!$H:$H,MATCH(B238,[1]洞天福地产出!$K:$K,0)),"")</f>
        <v/>
      </c>
      <c r="L238" s="1" t="str">
        <f t="shared" si="19"/>
        <v/>
      </c>
      <c r="M238" s="4">
        <f t="shared" si="20"/>
        <v>0</v>
      </c>
    </row>
    <row r="239" ht="30" spans="1:13">
      <c r="A239" s="4"/>
      <c r="B239" t="str">
        <f t="shared" si="21"/>
        <v>7:100112</v>
      </c>
      <c r="C239" s="1">
        <v>7</v>
      </c>
      <c r="D239" s="4">
        <v>100112</v>
      </c>
      <c r="E239" s="3" t="s">
        <v>413</v>
      </c>
      <c r="F239" s="3"/>
      <c r="G239" s="1">
        <v>471.15</v>
      </c>
      <c r="H239" s="1">
        <f t="shared" si="17"/>
        <v>471.15</v>
      </c>
      <c r="I239" s="1" t="str">
        <f t="shared" si="18"/>
        <v/>
      </c>
      <c r="J239" s="1" t="str">
        <f>_xlfn.IFNA(INDEX([1]历练产出!$Z:$Z,MATCH(B239,[1]历练产出!$AB:$AB,0)),"")</f>
        <v/>
      </c>
      <c r="K239" s="1" t="str">
        <f>_xlfn.IFNA(INDEX([1]洞天福地产出!$H:$H,MATCH(B239,[1]洞天福地产出!$K:$K,0)),"")</f>
        <v/>
      </c>
      <c r="L239" s="1" t="str">
        <f t="shared" si="19"/>
        <v/>
      </c>
      <c r="M239" s="4">
        <f t="shared" si="20"/>
        <v>0</v>
      </c>
    </row>
    <row r="240" ht="30" spans="1:13">
      <c r="A240" s="4"/>
      <c r="B240" t="str">
        <f t="shared" si="21"/>
        <v>7:100113</v>
      </c>
      <c r="C240" s="1">
        <v>7</v>
      </c>
      <c r="D240" s="4">
        <v>100113</v>
      </c>
      <c r="E240" s="3" t="s">
        <v>413</v>
      </c>
      <c r="F240" s="3"/>
      <c r="G240" s="1">
        <v>548.1</v>
      </c>
      <c r="H240" s="1">
        <f t="shared" si="17"/>
        <v>548.1</v>
      </c>
      <c r="I240" s="1" t="str">
        <f t="shared" si="18"/>
        <v/>
      </c>
      <c r="J240" s="1" t="str">
        <f>_xlfn.IFNA(INDEX([1]历练产出!$Z:$Z,MATCH(B240,[1]历练产出!$AB:$AB,0)),"")</f>
        <v/>
      </c>
      <c r="K240" s="1" t="str">
        <f>_xlfn.IFNA(INDEX([1]洞天福地产出!$H:$H,MATCH(B240,[1]洞天福地产出!$K:$K,0)),"")</f>
        <v/>
      </c>
      <c r="L240" s="1" t="str">
        <f t="shared" si="19"/>
        <v/>
      </c>
      <c r="M240" s="4">
        <f t="shared" si="20"/>
        <v>0</v>
      </c>
    </row>
    <row r="241" ht="30" spans="1:13">
      <c r="A241" s="4"/>
      <c r="B241" t="str">
        <f t="shared" si="21"/>
        <v>7:100114</v>
      </c>
      <c r="C241" s="1">
        <v>7</v>
      </c>
      <c r="D241" s="4">
        <v>100114</v>
      </c>
      <c r="E241" s="3" t="s">
        <v>413</v>
      </c>
      <c r="F241" s="3"/>
      <c r="G241" s="1">
        <v>631.125</v>
      </c>
      <c r="H241" s="1">
        <f t="shared" si="17"/>
        <v>631.125</v>
      </c>
      <c r="I241" s="1" t="str">
        <f t="shared" si="18"/>
        <v/>
      </c>
      <c r="J241" s="1" t="str">
        <f>_xlfn.IFNA(INDEX([1]历练产出!$Z:$Z,MATCH(B241,[1]历练产出!$AB:$AB,0)),"")</f>
        <v/>
      </c>
      <c r="K241" s="1" t="str">
        <f>_xlfn.IFNA(INDEX([1]洞天福地产出!$H:$H,MATCH(B241,[1]洞天福地产出!$K:$K,0)),"")</f>
        <v/>
      </c>
      <c r="L241" s="1" t="str">
        <f t="shared" si="19"/>
        <v/>
      </c>
      <c r="M241" s="4">
        <f t="shared" si="20"/>
        <v>0</v>
      </c>
    </row>
    <row r="242" ht="30" spans="1:13">
      <c r="A242" s="4"/>
      <c r="B242" t="str">
        <f t="shared" si="21"/>
        <v>7:100115</v>
      </c>
      <c r="C242" s="1">
        <v>7</v>
      </c>
      <c r="D242" s="4">
        <v>100115</v>
      </c>
      <c r="E242" s="3" t="s">
        <v>413</v>
      </c>
      <c r="F242" s="3"/>
      <c r="G242" s="1">
        <v>720.225</v>
      </c>
      <c r="H242" s="1">
        <f t="shared" si="17"/>
        <v>720.225</v>
      </c>
      <c r="I242" s="1" t="str">
        <f t="shared" si="18"/>
        <v/>
      </c>
      <c r="J242" s="1" t="str">
        <f>_xlfn.IFNA(INDEX([1]历练产出!$Z:$Z,MATCH(B242,[1]历练产出!$AB:$AB,0)),"")</f>
        <v/>
      </c>
      <c r="K242" s="1" t="str">
        <f>_xlfn.IFNA(INDEX([1]洞天福地产出!$H:$H,MATCH(B242,[1]洞天福地产出!$K:$K,0)),"")</f>
        <v/>
      </c>
      <c r="L242" s="1" t="str">
        <f t="shared" si="19"/>
        <v/>
      </c>
      <c r="M242" s="4">
        <f t="shared" si="20"/>
        <v>0</v>
      </c>
    </row>
    <row r="243" ht="30" spans="1:13">
      <c r="A243" s="4"/>
      <c r="B243" t="str">
        <f t="shared" si="21"/>
        <v>7:100116</v>
      </c>
      <c r="C243" s="1">
        <v>7</v>
      </c>
      <c r="D243" s="4">
        <v>100116</v>
      </c>
      <c r="E243" s="3" t="s">
        <v>413</v>
      </c>
      <c r="F243" s="3"/>
      <c r="G243" s="1">
        <v>815.4</v>
      </c>
      <c r="H243" s="1">
        <f t="shared" si="17"/>
        <v>815.4</v>
      </c>
      <c r="I243" s="1" t="str">
        <f t="shared" si="18"/>
        <v/>
      </c>
      <c r="J243" s="1" t="str">
        <f>_xlfn.IFNA(INDEX([1]历练产出!$Z:$Z,MATCH(B243,[1]历练产出!$AB:$AB,0)),"")</f>
        <v/>
      </c>
      <c r="K243" s="1" t="str">
        <f>_xlfn.IFNA(INDEX([1]洞天福地产出!$H:$H,MATCH(B243,[1]洞天福地产出!$K:$K,0)),"")</f>
        <v/>
      </c>
      <c r="L243" s="1" t="str">
        <f t="shared" si="19"/>
        <v/>
      </c>
      <c r="M243" s="4">
        <f t="shared" si="20"/>
        <v>0</v>
      </c>
    </row>
    <row r="244" ht="30" spans="1:13">
      <c r="A244" s="4"/>
      <c r="B244" t="str">
        <f t="shared" si="21"/>
        <v>7:100117</v>
      </c>
      <c r="C244" s="1">
        <v>7</v>
      </c>
      <c r="D244" s="4">
        <v>100117</v>
      </c>
      <c r="E244" s="3" t="s">
        <v>413</v>
      </c>
      <c r="F244" s="3"/>
      <c r="G244" s="1">
        <v>916.65</v>
      </c>
      <c r="H244" s="1">
        <f t="shared" si="17"/>
        <v>916.65</v>
      </c>
      <c r="I244" s="1" t="str">
        <f t="shared" si="18"/>
        <v/>
      </c>
      <c r="J244" s="1" t="str">
        <f>_xlfn.IFNA(INDEX([1]历练产出!$Z:$Z,MATCH(B244,[1]历练产出!$AB:$AB,0)),"")</f>
        <v/>
      </c>
      <c r="K244" s="1" t="str">
        <f>_xlfn.IFNA(INDEX([1]洞天福地产出!$H:$H,MATCH(B244,[1]洞天福地产出!$K:$K,0)),"")</f>
        <v/>
      </c>
      <c r="L244" s="1" t="str">
        <f t="shared" si="19"/>
        <v/>
      </c>
      <c r="M244" s="4">
        <f t="shared" si="20"/>
        <v>0</v>
      </c>
    </row>
    <row r="245" ht="30" spans="1:13">
      <c r="A245" s="4"/>
      <c r="B245" t="str">
        <f t="shared" si="21"/>
        <v>7:100118</v>
      </c>
      <c r="C245" s="1">
        <v>7</v>
      </c>
      <c r="D245" s="4">
        <v>100118</v>
      </c>
      <c r="E245" s="3" t="s">
        <v>413</v>
      </c>
      <c r="F245" s="3"/>
      <c r="G245" s="1">
        <v>1023.975</v>
      </c>
      <c r="H245" s="1">
        <f t="shared" si="17"/>
        <v>1023.975</v>
      </c>
      <c r="I245" s="1" t="str">
        <f t="shared" si="18"/>
        <v/>
      </c>
      <c r="J245" s="1" t="str">
        <f>_xlfn.IFNA(INDEX([1]历练产出!$Z:$Z,MATCH(B245,[1]历练产出!$AB:$AB,0)),"")</f>
        <v/>
      </c>
      <c r="K245" s="1" t="str">
        <f>_xlfn.IFNA(INDEX([1]洞天福地产出!$H:$H,MATCH(B245,[1]洞天福地产出!$K:$K,0)),"")</f>
        <v/>
      </c>
      <c r="L245" s="1" t="str">
        <f t="shared" si="19"/>
        <v/>
      </c>
      <c r="M245" s="4">
        <f t="shared" si="20"/>
        <v>0</v>
      </c>
    </row>
    <row r="246" ht="30" spans="1:13">
      <c r="A246" s="4"/>
      <c r="B246" t="str">
        <f t="shared" si="21"/>
        <v>7:100119</v>
      </c>
      <c r="C246" s="1">
        <v>7</v>
      </c>
      <c r="D246" s="4">
        <v>100119</v>
      </c>
      <c r="E246" s="3" t="s">
        <v>413</v>
      </c>
      <c r="F246" s="3"/>
      <c r="G246" s="1">
        <v>1137.375</v>
      </c>
      <c r="H246" s="1">
        <f t="shared" si="17"/>
        <v>1137.375</v>
      </c>
      <c r="I246" s="1" t="str">
        <f t="shared" si="18"/>
        <v/>
      </c>
      <c r="J246" s="1" t="str">
        <f>_xlfn.IFNA(INDEX([1]历练产出!$Z:$Z,MATCH(B246,[1]历练产出!$AB:$AB,0)),"")</f>
        <v/>
      </c>
      <c r="K246" s="1" t="str">
        <f>_xlfn.IFNA(INDEX([1]洞天福地产出!$H:$H,MATCH(B246,[1]洞天福地产出!$K:$K,0)),"")</f>
        <v/>
      </c>
      <c r="L246" s="1" t="str">
        <f t="shared" si="19"/>
        <v/>
      </c>
      <c r="M246" s="4">
        <f t="shared" si="20"/>
        <v>0</v>
      </c>
    </row>
    <row r="247" ht="30" spans="1:13">
      <c r="A247" s="4"/>
      <c r="B247" t="str">
        <f t="shared" si="21"/>
        <v>7:100120</v>
      </c>
      <c r="C247" s="1">
        <v>7</v>
      </c>
      <c r="D247" s="4">
        <v>100120</v>
      </c>
      <c r="E247" s="3" t="s">
        <v>413</v>
      </c>
      <c r="F247" s="3"/>
      <c r="G247" s="1">
        <v>1256.85</v>
      </c>
      <c r="H247" s="1">
        <f t="shared" si="17"/>
        <v>1256.85</v>
      </c>
      <c r="I247" s="1" t="str">
        <f t="shared" si="18"/>
        <v/>
      </c>
      <c r="J247" s="1" t="str">
        <f>_xlfn.IFNA(INDEX([1]历练产出!$Z:$Z,MATCH(B247,[1]历练产出!$AB:$AB,0)),"")</f>
        <v/>
      </c>
      <c r="K247" s="1" t="str">
        <f>_xlfn.IFNA(INDEX([1]洞天福地产出!$H:$H,MATCH(B247,[1]洞天福地产出!$K:$K,0)),"")</f>
        <v/>
      </c>
      <c r="L247" s="1" t="str">
        <f t="shared" si="19"/>
        <v/>
      </c>
      <c r="M247" s="4">
        <f t="shared" si="20"/>
        <v>0</v>
      </c>
    </row>
    <row r="248" ht="30" spans="1:13">
      <c r="A248" s="4"/>
      <c r="B248" t="str">
        <f t="shared" si="21"/>
        <v>7:100121</v>
      </c>
      <c r="C248" s="1">
        <v>7</v>
      </c>
      <c r="D248" s="4">
        <v>100121</v>
      </c>
      <c r="E248" s="3" t="s">
        <v>413</v>
      </c>
      <c r="F248" s="3"/>
      <c r="G248" s="1">
        <v>1382.4</v>
      </c>
      <c r="H248" s="1">
        <f t="shared" si="17"/>
        <v>1382.4</v>
      </c>
      <c r="I248" s="1" t="str">
        <f t="shared" si="18"/>
        <v/>
      </c>
      <c r="J248" s="1" t="str">
        <f>_xlfn.IFNA(INDEX([1]历练产出!$Z:$Z,MATCH(B248,[1]历练产出!$AB:$AB,0)),"")</f>
        <v/>
      </c>
      <c r="K248" s="1" t="str">
        <f>_xlfn.IFNA(INDEX([1]洞天福地产出!$H:$H,MATCH(B248,[1]洞天福地产出!$K:$K,0)),"")</f>
        <v/>
      </c>
      <c r="L248" s="1" t="str">
        <f t="shared" si="19"/>
        <v/>
      </c>
      <c r="M248" s="4">
        <f t="shared" si="20"/>
        <v>0</v>
      </c>
    </row>
    <row r="249" ht="30" spans="1:13">
      <c r="A249" s="4"/>
      <c r="B249" t="str">
        <f t="shared" si="21"/>
        <v>7:100122</v>
      </c>
      <c r="C249" s="1">
        <v>7</v>
      </c>
      <c r="D249" s="4">
        <v>100122</v>
      </c>
      <c r="E249" s="3" t="s">
        <v>413</v>
      </c>
      <c r="F249" s="3"/>
      <c r="G249" s="1">
        <v>1514.025</v>
      </c>
      <c r="H249" s="1">
        <f t="shared" si="17"/>
        <v>1514.025</v>
      </c>
      <c r="I249" s="1" t="str">
        <f t="shared" si="18"/>
        <v/>
      </c>
      <c r="J249" s="1" t="str">
        <f>_xlfn.IFNA(INDEX([1]历练产出!$Z:$Z,MATCH(B249,[1]历练产出!$AB:$AB,0)),"")</f>
        <v/>
      </c>
      <c r="K249" s="1" t="str">
        <f>_xlfn.IFNA(INDEX([1]洞天福地产出!$H:$H,MATCH(B249,[1]洞天福地产出!$K:$K,0)),"")</f>
        <v/>
      </c>
      <c r="L249" s="1" t="str">
        <f t="shared" si="19"/>
        <v/>
      </c>
      <c r="M249" s="4">
        <f t="shared" si="20"/>
        <v>0</v>
      </c>
    </row>
    <row r="250" ht="30" spans="1:13">
      <c r="A250" s="4"/>
      <c r="B250" t="str">
        <f t="shared" si="21"/>
        <v>7:100123</v>
      </c>
      <c r="C250" s="1">
        <v>7</v>
      </c>
      <c r="D250" s="4">
        <v>100123</v>
      </c>
      <c r="E250" s="3" t="s">
        <v>413</v>
      </c>
      <c r="F250" s="3"/>
      <c r="G250" s="1">
        <v>1651.725</v>
      </c>
      <c r="H250" s="1">
        <f t="shared" si="17"/>
        <v>1651.725</v>
      </c>
      <c r="I250" s="1" t="str">
        <f t="shared" si="18"/>
        <v/>
      </c>
      <c r="J250" s="1" t="str">
        <f>_xlfn.IFNA(INDEX([1]历练产出!$Z:$Z,MATCH(B250,[1]历练产出!$AB:$AB,0)),"")</f>
        <v/>
      </c>
      <c r="K250" s="1" t="str">
        <f>_xlfn.IFNA(INDEX([1]洞天福地产出!$H:$H,MATCH(B250,[1]洞天福地产出!$K:$K,0)),"")</f>
        <v/>
      </c>
      <c r="L250" s="1" t="str">
        <f t="shared" si="19"/>
        <v/>
      </c>
      <c r="M250" s="4">
        <f t="shared" si="20"/>
        <v>0</v>
      </c>
    </row>
    <row r="251" ht="30" spans="1:13">
      <c r="A251" s="4"/>
      <c r="B251" t="str">
        <f t="shared" si="21"/>
        <v>7:100124</v>
      </c>
      <c r="C251" s="1">
        <v>7</v>
      </c>
      <c r="D251" s="4">
        <v>100124</v>
      </c>
      <c r="E251" s="3" t="s">
        <v>413</v>
      </c>
      <c r="F251" s="3"/>
      <c r="G251" s="1">
        <v>1795.5</v>
      </c>
      <c r="H251" s="1">
        <f t="shared" si="17"/>
        <v>1795.5</v>
      </c>
      <c r="I251" s="1" t="str">
        <f t="shared" si="18"/>
        <v/>
      </c>
      <c r="J251" s="1" t="str">
        <f>_xlfn.IFNA(INDEX([1]历练产出!$Z:$Z,MATCH(B251,[1]历练产出!$AB:$AB,0)),"")</f>
        <v/>
      </c>
      <c r="K251" s="1" t="str">
        <f>_xlfn.IFNA(INDEX([1]洞天福地产出!$H:$H,MATCH(B251,[1]洞天福地产出!$K:$K,0)),"")</f>
        <v/>
      </c>
      <c r="L251" s="1" t="str">
        <f t="shared" si="19"/>
        <v/>
      </c>
      <c r="M251" s="4">
        <f t="shared" si="20"/>
        <v>0</v>
      </c>
    </row>
    <row r="252" ht="30" spans="1:13">
      <c r="A252" s="4"/>
      <c r="B252" t="str">
        <f t="shared" si="21"/>
        <v>7:100125</v>
      </c>
      <c r="C252" s="1">
        <v>7</v>
      </c>
      <c r="D252" s="4">
        <v>100125</v>
      </c>
      <c r="E252" s="3" t="s">
        <v>413</v>
      </c>
      <c r="F252" s="3"/>
      <c r="G252" s="1">
        <v>1945.35</v>
      </c>
      <c r="H252" s="1">
        <f t="shared" si="17"/>
        <v>1945.35</v>
      </c>
      <c r="I252" s="1" t="str">
        <f t="shared" si="18"/>
        <v/>
      </c>
      <c r="J252" s="1" t="str">
        <f>_xlfn.IFNA(INDEX([1]历练产出!$Z:$Z,MATCH(B252,[1]历练产出!$AB:$AB,0)),"")</f>
        <v/>
      </c>
      <c r="K252" s="1" t="str">
        <f>_xlfn.IFNA(INDEX([1]洞天福地产出!$H:$H,MATCH(B252,[1]洞天福地产出!$K:$K,0)),"")</f>
        <v/>
      </c>
      <c r="L252" s="1" t="str">
        <f t="shared" si="19"/>
        <v/>
      </c>
      <c r="M252" s="4">
        <f t="shared" si="20"/>
        <v>0</v>
      </c>
    </row>
    <row r="253" ht="30" spans="1:13">
      <c r="A253" s="4"/>
      <c r="B253" t="str">
        <f t="shared" si="21"/>
        <v>7:100126</v>
      </c>
      <c r="C253" s="1">
        <v>7</v>
      </c>
      <c r="D253" s="4">
        <v>100126</v>
      </c>
      <c r="E253" s="3" t="s">
        <v>413</v>
      </c>
      <c r="F253" s="3"/>
      <c r="G253" s="1">
        <v>2101.275</v>
      </c>
      <c r="H253" s="1">
        <f t="shared" si="17"/>
        <v>2101.275</v>
      </c>
      <c r="I253" s="1" t="str">
        <f t="shared" si="18"/>
        <v/>
      </c>
      <c r="J253" s="1" t="str">
        <f>_xlfn.IFNA(INDEX([1]历练产出!$Z:$Z,MATCH(B253,[1]历练产出!$AB:$AB,0)),"")</f>
        <v/>
      </c>
      <c r="K253" s="1" t="str">
        <f>_xlfn.IFNA(INDEX([1]洞天福地产出!$H:$H,MATCH(B253,[1]洞天福地产出!$K:$K,0)),"")</f>
        <v/>
      </c>
      <c r="L253" s="1" t="str">
        <f t="shared" si="19"/>
        <v/>
      </c>
      <c r="M253" s="4">
        <f t="shared" si="20"/>
        <v>0</v>
      </c>
    </row>
    <row r="254" ht="30" spans="1:13">
      <c r="A254" s="4"/>
      <c r="B254" t="str">
        <f t="shared" si="21"/>
        <v>7:100127</v>
      </c>
      <c r="C254" s="1">
        <v>7</v>
      </c>
      <c r="D254" s="4">
        <v>100127</v>
      </c>
      <c r="E254" s="3" t="s">
        <v>413</v>
      </c>
      <c r="F254" s="3"/>
      <c r="G254" s="1">
        <v>2263.275</v>
      </c>
      <c r="H254" s="1">
        <f t="shared" si="17"/>
        <v>2263.275</v>
      </c>
      <c r="I254" s="1" t="str">
        <f t="shared" si="18"/>
        <v/>
      </c>
      <c r="J254" s="1" t="str">
        <f>_xlfn.IFNA(INDEX([1]历练产出!$Z:$Z,MATCH(B254,[1]历练产出!$AB:$AB,0)),"")</f>
        <v/>
      </c>
      <c r="K254" s="1" t="str">
        <f>_xlfn.IFNA(INDEX([1]洞天福地产出!$H:$H,MATCH(B254,[1]洞天福地产出!$K:$K,0)),"")</f>
        <v/>
      </c>
      <c r="L254" s="1" t="str">
        <f t="shared" si="19"/>
        <v/>
      </c>
      <c r="M254" s="4">
        <f t="shared" si="20"/>
        <v>0</v>
      </c>
    </row>
    <row r="255" ht="30" spans="1:13">
      <c r="A255" s="4"/>
      <c r="B255" t="str">
        <f t="shared" si="21"/>
        <v>7:100128</v>
      </c>
      <c r="C255" s="1">
        <v>7</v>
      </c>
      <c r="D255" s="4">
        <v>100128</v>
      </c>
      <c r="E255" s="3" t="s">
        <v>413</v>
      </c>
      <c r="F255" s="3"/>
      <c r="G255" s="1">
        <v>2431.35</v>
      </c>
      <c r="H255" s="1">
        <f t="shared" si="17"/>
        <v>2431.35</v>
      </c>
      <c r="I255" s="1" t="str">
        <f t="shared" si="18"/>
        <v/>
      </c>
      <c r="J255" s="1" t="str">
        <f>_xlfn.IFNA(INDEX([1]历练产出!$Z:$Z,MATCH(B255,[1]历练产出!$AB:$AB,0)),"")</f>
        <v/>
      </c>
      <c r="K255" s="1" t="str">
        <f>_xlfn.IFNA(INDEX([1]洞天福地产出!$H:$H,MATCH(B255,[1]洞天福地产出!$K:$K,0)),"")</f>
        <v/>
      </c>
      <c r="L255" s="1" t="str">
        <f t="shared" si="19"/>
        <v/>
      </c>
      <c r="M255" s="4">
        <f t="shared" si="20"/>
        <v>0</v>
      </c>
    </row>
    <row r="256" ht="30" spans="1:13">
      <c r="A256" s="4"/>
      <c r="B256" t="str">
        <f t="shared" si="21"/>
        <v>7:100129</v>
      </c>
      <c r="C256" s="1">
        <v>7</v>
      </c>
      <c r="D256" s="4">
        <v>100129</v>
      </c>
      <c r="E256" s="3" t="s">
        <v>413</v>
      </c>
      <c r="F256" s="3"/>
      <c r="G256" s="1">
        <v>2605.5</v>
      </c>
      <c r="H256" s="1">
        <f t="shared" si="17"/>
        <v>2605.5</v>
      </c>
      <c r="I256" s="1" t="str">
        <f t="shared" si="18"/>
        <v/>
      </c>
      <c r="J256" s="1" t="str">
        <f>_xlfn.IFNA(INDEX([1]历练产出!$Z:$Z,MATCH(B256,[1]历练产出!$AB:$AB,0)),"")</f>
        <v/>
      </c>
      <c r="K256" s="1" t="str">
        <f>_xlfn.IFNA(INDEX([1]洞天福地产出!$H:$H,MATCH(B256,[1]洞天福地产出!$K:$K,0)),"")</f>
        <v/>
      </c>
      <c r="L256" s="1" t="str">
        <f t="shared" si="19"/>
        <v/>
      </c>
      <c r="M256" s="4">
        <f t="shared" si="20"/>
        <v>0</v>
      </c>
    </row>
    <row r="257" ht="30" spans="1:13">
      <c r="A257" s="4"/>
      <c r="B257" t="str">
        <f t="shared" si="21"/>
        <v>7:100130</v>
      </c>
      <c r="C257" s="1">
        <v>7</v>
      </c>
      <c r="D257" s="4">
        <v>100130</v>
      </c>
      <c r="E257" s="3" t="s">
        <v>413</v>
      </c>
      <c r="F257" s="3"/>
      <c r="G257" s="1">
        <v>2779.65</v>
      </c>
      <c r="H257" s="1">
        <f t="shared" si="17"/>
        <v>2779.65</v>
      </c>
      <c r="I257" s="1" t="str">
        <f t="shared" si="18"/>
        <v/>
      </c>
      <c r="J257" s="1" t="str">
        <f>_xlfn.IFNA(INDEX([1]历练产出!$Z:$Z,MATCH(B257,[1]历练产出!$AB:$AB,0)),"")</f>
        <v/>
      </c>
      <c r="K257" s="1" t="str">
        <f>_xlfn.IFNA(INDEX([1]洞天福地产出!$H:$H,MATCH(B257,[1]洞天福地产出!$K:$K,0)),"")</f>
        <v/>
      </c>
      <c r="L257" s="1" t="str">
        <f t="shared" si="19"/>
        <v/>
      </c>
      <c r="M257" s="4">
        <f t="shared" si="20"/>
        <v>0</v>
      </c>
    </row>
    <row r="258" ht="30" spans="1:13">
      <c r="A258" s="4"/>
      <c r="B258" t="str">
        <f t="shared" si="21"/>
        <v>7:200101</v>
      </c>
      <c r="C258" s="1">
        <v>7</v>
      </c>
      <c r="D258" s="4">
        <v>200101</v>
      </c>
      <c r="E258" s="3" t="s">
        <v>1877</v>
      </c>
      <c r="F258" s="3"/>
      <c r="G258" s="1">
        <v>25.65</v>
      </c>
      <c r="H258" s="1">
        <f t="shared" si="17"/>
        <v>25.65</v>
      </c>
      <c r="I258" s="1" t="str">
        <f t="shared" si="18"/>
        <v/>
      </c>
      <c r="J258" s="1" t="str">
        <f>_xlfn.IFNA(INDEX([1]历练产出!$Z:$Z,MATCH(B258,[1]历练产出!$AB:$AB,0)),"")</f>
        <v/>
      </c>
      <c r="K258" s="1" t="str">
        <f>_xlfn.IFNA(INDEX([1]洞天福地产出!$H:$H,MATCH(B258,[1]洞天福地产出!$K:$K,0)),"")</f>
        <v/>
      </c>
      <c r="L258" s="1" t="str">
        <f t="shared" si="19"/>
        <v/>
      </c>
      <c r="M258" s="4">
        <f t="shared" si="20"/>
        <v>0</v>
      </c>
    </row>
    <row r="259" ht="30" spans="1:13">
      <c r="A259" s="4"/>
      <c r="B259" t="str">
        <f t="shared" si="21"/>
        <v>7:200102</v>
      </c>
      <c r="C259" s="1">
        <v>7</v>
      </c>
      <c r="D259" s="4">
        <v>200102</v>
      </c>
      <c r="E259" s="3" t="s">
        <v>1877</v>
      </c>
      <c r="F259" s="3"/>
      <c r="G259" s="1">
        <v>35.775</v>
      </c>
      <c r="H259" s="1">
        <f t="shared" si="17"/>
        <v>35.775</v>
      </c>
      <c r="I259" s="1" t="str">
        <f t="shared" si="18"/>
        <v/>
      </c>
      <c r="J259" s="1" t="str">
        <f>_xlfn.IFNA(INDEX([1]历练产出!$Z:$Z,MATCH(B259,[1]历练产出!$AB:$AB,0)),"")</f>
        <v/>
      </c>
      <c r="K259" s="1" t="str">
        <f>_xlfn.IFNA(INDEX([1]洞天福地产出!$H:$H,MATCH(B259,[1]洞天福地产出!$K:$K,0)),"")</f>
        <v/>
      </c>
      <c r="L259" s="1" t="str">
        <f t="shared" si="19"/>
        <v/>
      </c>
      <c r="M259" s="4">
        <f t="shared" si="20"/>
        <v>0</v>
      </c>
    </row>
    <row r="260" ht="30" spans="1:13">
      <c r="A260" s="4"/>
      <c r="B260" t="str">
        <f t="shared" si="21"/>
        <v>7:200103</v>
      </c>
      <c r="C260" s="1">
        <v>7</v>
      </c>
      <c r="D260" s="4">
        <v>200103</v>
      </c>
      <c r="E260" s="3" t="s">
        <v>1877</v>
      </c>
      <c r="F260" s="3"/>
      <c r="G260" s="1">
        <v>51.975</v>
      </c>
      <c r="H260" s="1">
        <f t="shared" ref="H260:H323" si="22">IF(I260="",G260,I260)</f>
        <v>51.975</v>
      </c>
      <c r="I260" s="1" t="str">
        <f t="shared" ref="I260:I323" si="23">IFERROR(100/L260,"")</f>
        <v/>
      </c>
      <c r="J260" s="1" t="str">
        <f>_xlfn.IFNA(INDEX([1]历练产出!$Z:$Z,MATCH(B260,[1]历练产出!$AB:$AB,0)),"")</f>
        <v/>
      </c>
      <c r="K260" s="1" t="str">
        <f>_xlfn.IFNA(INDEX([1]洞天福地产出!$H:$H,MATCH(B260,[1]洞天福地产出!$K:$K,0)),"")</f>
        <v/>
      </c>
      <c r="L260" s="1" t="str">
        <f t="shared" ref="L260:L323" si="24">IFERROR(J260+K260,"")</f>
        <v/>
      </c>
      <c r="M260" s="4">
        <f t="shared" ref="M260:M323" si="25">IF(I260="",0,1)</f>
        <v>0</v>
      </c>
    </row>
    <row r="261" ht="30" spans="1:13">
      <c r="A261" s="4"/>
      <c r="B261" t="str">
        <f t="shared" si="21"/>
        <v>7:200104</v>
      </c>
      <c r="C261" s="1">
        <v>7</v>
      </c>
      <c r="D261" s="4">
        <v>200104</v>
      </c>
      <c r="E261" s="3" t="s">
        <v>1877</v>
      </c>
      <c r="F261" s="3"/>
      <c r="G261" s="1">
        <v>74.25</v>
      </c>
      <c r="H261" s="1">
        <f t="shared" si="22"/>
        <v>74.25</v>
      </c>
      <c r="I261" s="1" t="str">
        <f t="shared" si="23"/>
        <v/>
      </c>
      <c r="J261" s="1" t="str">
        <f>_xlfn.IFNA(INDEX([1]历练产出!$Z:$Z,MATCH(B261,[1]历练产出!$AB:$AB,0)),"")</f>
        <v/>
      </c>
      <c r="K261" s="1" t="str">
        <f>_xlfn.IFNA(INDEX([1]洞天福地产出!$H:$H,MATCH(B261,[1]洞天福地产出!$K:$K,0)),"")</f>
        <v/>
      </c>
      <c r="L261" s="1" t="str">
        <f t="shared" si="24"/>
        <v/>
      </c>
      <c r="M261" s="4">
        <f t="shared" si="25"/>
        <v>0</v>
      </c>
    </row>
    <row r="262" ht="30" spans="1:13">
      <c r="A262" s="4"/>
      <c r="B262" t="str">
        <f t="shared" si="21"/>
        <v>7:200105</v>
      </c>
      <c r="C262" s="1">
        <v>7</v>
      </c>
      <c r="D262" s="4">
        <v>200105</v>
      </c>
      <c r="E262" s="3" t="s">
        <v>1877</v>
      </c>
      <c r="F262" s="3"/>
      <c r="G262" s="1">
        <v>102.6</v>
      </c>
      <c r="H262" s="1">
        <f t="shared" si="22"/>
        <v>102.6</v>
      </c>
      <c r="I262" s="1" t="str">
        <f t="shared" si="23"/>
        <v/>
      </c>
      <c r="J262" s="1" t="str">
        <f>_xlfn.IFNA(INDEX([1]历练产出!$Z:$Z,MATCH(B262,[1]历练产出!$AB:$AB,0)),"")</f>
        <v/>
      </c>
      <c r="K262" s="1" t="str">
        <f>_xlfn.IFNA(INDEX([1]洞天福地产出!$H:$H,MATCH(B262,[1]洞天福地产出!$K:$K,0)),"")</f>
        <v/>
      </c>
      <c r="L262" s="1" t="str">
        <f t="shared" si="24"/>
        <v/>
      </c>
      <c r="M262" s="4">
        <f t="shared" si="25"/>
        <v>0</v>
      </c>
    </row>
    <row r="263" ht="30" spans="1:13">
      <c r="A263" s="4"/>
      <c r="B263" t="str">
        <f t="shared" si="21"/>
        <v>7:200106</v>
      </c>
      <c r="C263" s="1">
        <v>7</v>
      </c>
      <c r="D263" s="4">
        <v>200106</v>
      </c>
      <c r="E263" s="3" t="s">
        <v>1877</v>
      </c>
      <c r="F263" s="3"/>
      <c r="G263" s="1">
        <v>137.025</v>
      </c>
      <c r="H263" s="1">
        <f t="shared" si="22"/>
        <v>137.025</v>
      </c>
      <c r="I263" s="1" t="str">
        <f t="shared" si="23"/>
        <v/>
      </c>
      <c r="J263" s="1" t="str">
        <f>_xlfn.IFNA(INDEX([1]历练产出!$Z:$Z,MATCH(B263,[1]历练产出!$AB:$AB,0)),"")</f>
        <v/>
      </c>
      <c r="K263" s="1" t="str">
        <f>_xlfn.IFNA(INDEX([1]洞天福地产出!$H:$H,MATCH(B263,[1]洞天福地产出!$K:$K,0)),"")</f>
        <v/>
      </c>
      <c r="L263" s="1" t="str">
        <f t="shared" si="24"/>
        <v/>
      </c>
      <c r="M263" s="4">
        <f t="shared" si="25"/>
        <v>0</v>
      </c>
    </row>
    <row r="264" ht="30" spans="1:13">
      <c r="A264" s="4"/>
      <c r="B264" t="str">
        <f t="shared" si="21"/>
        <v>7:200107</v>
      </c>
      <c r="C264" s="1">
        <v>7</v>
      </c>
      <c r="D264" s="4">
        <v>200107</v>
      </c>
      <c r="E264" s="3" t="s">
        <v>1877</v>
      </c>
      <c r="F264" s="3"/>
      <c r="G264" s="1">
        <v>177.525</v>
      </c>
      <c r="H264" s="1">
        <f t="shared" si="22"/>
        <v>177.525</v>
      </c>
      <c r="I264" s="1" t="str">
        <f t="shared" si="23"/>
        <v/>
      </c>
      <c r="J264" s="1" t="str">
        <f>_xlfn.IFNA(INDEX([1]历练产出!$Z:$Z,MATCH(B264,[1]历练产出!$AB:$AB,0)),"")</f>
        <v/>
      </c>
      <c r="K264" s="1" t="str">
        <f>_xlfn.IFNA(INDEX([1]洞天福地产出!$H:$H,MATCH(B264,[1]洞天福地产出!$K:$K,0)),"")</f>
        <v/>
      </c>
      <c r="L264" s="1" t="str">
        <f t="shared" si="24"/>
        <v/>
      </c>
      <c r="M264" s="4">
        <f t="shared" si="25"/>
        <v>0</v>
      </c>
    </row>
    <row r="265" ht="30" spans="1:13">
      <c r="A265" s="4"/>
      <c r="B265" t="str">
        <f t="shared" si="21"/>
        <v>7:200108</v>
      </c>
      <c r="C265" s="1">
        <v>7</v>
      </c>
      <c r="D265" s="4">
        <v>200108</v>
      </c>
      <c r="E265" s="3" t="s">
        <v>1877</v>
      </c>
      <c r="F265" s="3"/>
      <c r="G265" s="1">
        <v>224.1</v>
      </c>
      <c r="H265" s="1">
        <f t="shared" si="22"/>
        <v>224.1</v>
      </c>
      <c r="I265" s="1" t="str">
        <f t="shared" si="23"/>
        <v/>
      </c>
      <c r="J265" s="1" t="str">
        <f>_xlfn.IFNA(INDEX([1]历练产出!$Z:$Z,MATCH(B265,[1]历练产出!$AB:$AB,0)),"")</f>
        <v/>
      </c>
      <c r="K265" s="1" t="str">
        <f>_xlfn.IFNA(INDEX([1]洞天福地产出!$H:$H,MATCH(B265,[1]洞天福地产出!$K:$K,0)),"")</f>
        <v/>
      </c>
      <c r="L265" s="1" t="str">
        <f t="shared" si="24"/>
        <v/>
      </c>
      <c r="M265" s="4">
        <f t="shared" si="25"/>
        <v>0</v>
      </c>
    </row>
    <row r="266" ht="30" spans="1:13">
      <c r="A266" s="4"/>
      <c r="B266" t="str">
        <f t="shared" si="21"/>
        <v>7:200109</v>
      </c>
      <c r="C266" s="1">
        <v>7</v>
      </c>
      <c r="D266" s="4">
        <v>200109</v>
      </c>
      <c r="E266" s="3" t="s">
        <v>1877</v>
      </c>
      <c r="F266" s="3"/>
      <c r="G266" s="1">
        <v>276.75</v>
      </c>
      <c r="H266" s="1">
        <f t="shared" si="22"/>
        <v>276.75</v>
      </c>
      <c r="I266" s="1" t="str">
        <f t="shared" si="23"/>
        <v/>
      </c>
      <c r="J266" s="1" t="str">
        <f>_xlfn.IFNA(INDEX([1]历练产出!$Z:$Z,MATCH(B266,[1]历练产出!$AB:$AB,0)),"")</f>
        <v/>
      </c>
      <c r="K266" s="1" t="str">
        <f>_xlfn.IFNA(INDEX([1]洞天福地产出!$H:$H,MATCH(B266,[1]洞天福地产出!$K:$K,0)),"")</f>
        <v/>
      </c>
      <c r="L266" s="1" t="str">
        <f t="shared" si="24"/>
        <v/>
      </c>
      <c r="M266" s="4">
        <f t="shared" si="25"/>
        <v>0</v>
      </c>
    </row>
    <row r="267" ht="30" spans="1:13">
      <c r="A267" s="4"/>
      <c r="B267" t="str">
        <f t="shared" si="21"/>
        <v>7:200110</v>
      </c>
      <c r="C267" s="1">
        <v>7</v>
      </c>
      <c r="D267" s="4">
        <v>200110</v>
      </c>
      <c r="E267" s="3" t="s">
        <v>1877</v>
      </c>
      <c r="F267" s="3"/>
      <c r="G267" s="1">
        <v>335.475</v>
      </c>
      <c r="H267" s="1">
        <f t="shared" si="22"/>
        <v>335.475</v>
      </c>
      <c r="I267" s="1" t="str">
        <f t="shared" si="23"/>
        <v/>
      </c>
      <c r="J267" s="1" t="str">
        <f>_xlfn.IFNA(INDEX([1]历练产出!$Z:$Z,MATCH(B267,[1]历练产出!$AB:$AB,0)),"")</f>
        <v/>
      </c>
      <c r="K267" s="1" t="str">
        <f>_xlfn.IFNA(INDEX([1]洞天福地产出!$H:$H,MATCH(B267,[1]洞天福地产出!$K:$K,0)),"")</f>
        <v/>
      </c>
      <c r="L267" s="1" t="str">
        <f t="shared" si="24"/>
        <v/>
      </c>
      <c r="M267" s="4">
        <f t="shared" si="25"/>
        <v>0</v>
      </c>
    </row>
    <row r="268" ht="30" spans="1:13">
      <c r="A268" s="4"/>
      <c r="B268" t="str">
        <f t="shared" si="21"/>
        <v>7:200111</v>
      </c>
      <c r="C268" s="1">
        <v>7</v>
      </c>
      <c r="D268" s="4">
        <v>200111</v>
      </c>
      <c r="E268" s="3" t="s">
        <v>1877</v>
      </c>
      <c r="F268" s="3"/>
      <c r="G268" s="1">
        <v>400.275</v>
      </c>
      <c r="H268" s="1">
        <f t="shared" si="22"/>
        <v>400.275</v>
      </c>
      <c r="I268" s="1" t="str">
        <f t="shared" si="23"/>
        <v/>
      </c>
      <c r="J268" s="1" t="str">
        <f>_xlfn.IFNA(INDEX([1]历练产出!$Z:$Z,MATCH(B268,[1]历练产出!$AB:$AB,0)),"")</f>
        <v/>
      </c>
      <c r="K268" s="1" t="str">
        <f>_xlfn.IFNA(INDEX([1]洞天福地产出!$H:$H,MATCH(B268,[1]洞天福地产出!$K:$K,0)),"")</f>
        <v/>
      </c>
      <c r="L268" s="1" t="str">
        <f t="shared" si="24"/>
        <v/>
      </c>
      <c r="M268" s="4">
        <f t="shared" si="25"/>
        <v>0</v>
      </c>
    </row>
    <row r="269" ht="30" spans="1:13">
      <c r="A269" s="4"/>
      <c r="B269" t="str">
        <f t="shared" si="21"/>
        <v>7:200112</v>
      </c>
      <c r="C269" s="1">
        <v>7</v>
      </c>
      <c r="D269" s="4">
        <v>200112</v>
      </c>
      <c r="E269" s="3" t="s">
        <v>1877</v>
      </c>
      <c r="F269" s="3"/>
      <c r="G269" s="1">
        <v>471.15</v>
      </c>
      <c r="H269" s="1">
        <f t="shared" si="22"/>
        <v>471.15</v>
      </c>
      <c r="I269" s="1" t="str">
        <f t="shared" si="23"/>
        <v/>
      </c>
      <c r="J269" s="1" t="str">
        <f>_xlfn.IFNA(INDEX([1]历练产出!$Z:$Z,MATCH(B269,[1]历练产出!$AB:$AB,0)),"")</f>
        <v/>
      </c>
      <c r="K269" s="1" t="str">
        <f>_xlfn.IFNA(INDEX([1]洞天福地产出!$H:$H,MATCH(B269,[1]洞天福地产出!$K:$K,0)),"")</f>
        <v/>
      </c>
      <c r="L269" s="1" t="str">
        <f t="shared" si="24"/>
        <v/>
      </c>
      <c r="M269" s="4">
        <f t="shared" si="25"/>
        <v>0</v>
      </c>
    </row>
    <row r="270" ht="30" spans="1:13">
      <c r="A270" s="4"/>
      <c r="B270" t="str">
        <f t="shared" si="21"/>
        <v>7:200113</v>
      </c>
      <c r="C270" s="1">
        <v>7</v>
      </c>
      <c r="D270" s="4">
        <v>200113</v>
      </c>
      <c r="E270" s="3" t="s">
        <v>1877</v>
      </c>
      <c r="F270" s="3"/>
      <c r="G270" s="1">
        <v>548.1</v>
      </c>
      <c r="H270" s="1">
        <f t="shared" si="22"/>
        <v>548.1</v>
      </c>
      <c r="I270" s="1" t="str">
        <f t="shared" si="23"/>
        <v/>
      </c>
      <c r="J270" s="1" t="str">
        <f>_xlfn.IFNA(INDEX([1]历练产出!$Z:$Z,MATCH(B270,[1]历练产出!$AB:$AB,0)),"")</f>
        <v/>
      </c>
      <c r="K270" s="1" t="str">
        <f>_xlfn.IFNA(INDEX([1]洞天福地产出!$H:$H,MATCH(B270,[1]洞天福地产出!$K:$K,0)),"")</f>
        <v/>
      </c>
      <c r="L270" s="1" t="str">
        <f t="shared" si="24"/>
        <v/>
      </c>
      <c r="M270" s="4">
        <f t="shared" si="25"/>
        <v>0</v>
      </c>
    </row>
    <row r="271" ht="30" spans="1:13">
      <c r="A271" s="4"/>
      <c r="B271" t="str">
        <f t="shared" si="21"/>
        <v>7:200114</v>
      </c>
      <c r="C271" s="1">
        <v>7</v>
      </c>
      <c r="D271" s="4">
        <v>200114</v>
      </c>
      <c r="E271" s="3" t="s">
        <v>1877</v>
      </c>
      <c r="F271" s="3"/>
      <c r="G271" s="1">
        <v>631.125</v>
      </c>
      <c r="H271" s="1">
        <f t="shared" si="22"/>
        <v>631.125</v>
      </c>
      <c r="I271" s="1" t="str">
        <f t="shared" si="23"/>
        <v/>
      </c>
      <c r="J271" s="1" t="str">
        <f>_xlfn.IFNA(INDEX([1]历练产出!$Z:$Z,MATCH(B271,[1]历练产出!$AB:$AB,0)),"")</f>
        <v/>
      </c>
      <c r="K271" s="1" t="str">
        <f>_xlfn.IFNA(INDEX([1]洞天福地产出!$H:$H,MATCH(B271,[1]洞天福地产出!$K:$K,0)),"")</f>
        <v/>
      </c>
      <c r="L271" s="1" t="str">
        <f t="shared" si="24"/>
        <v/>
      </c>
      <c r="M271" s="4">
        <f t="shared" si="25"/>
        <v>0</v>
      </c>
    </row>
    <row r="272" ht="30" spans="1:13">
      <c r="A272" s="4"/>
      <c r="B272" t="str">
        <f t="shared" si="21"/>
        <v>7:200115</v>
      </c>
      <c r="C272" s="1">
        <v>7</v>
      </c>
      <c r="D272" s="4">
        <v>200115</v>
      </c>
      <c r="E272" s="3" t="s">
        <v>1877</v>
      </c>
      <c r="F272" s="3"/>
      <c r="G272" s="1">
        <v>720.225</v>
      </c>
      <c r="H272" s="1">
        <f t="shared" si="22"/>
        <v>720.225</v>
      </c>
      <c r="I272" s="1" t="str">
        <f t="shared" si="23"/>
        <v/>
      </c>
      <c r="J272" s="1" t="str">
        <f>_xlfn.IFNA(INDEX([1]历练产出!$Z:$Z,MATCH(B272,[1]历练产出!$AB:$AB,0)),"")</f>
        <v/>
      </c>
      <c r="K272" s="1" t="str">
        <f>_xlfn.IFNA(INDEX([1]洞天福地产出!$H:$H,MATCH(B272,[1]洞天福地产出!$K:$K,0)),"")</f>
        <v/>
      </c>
      <c r="L272" s="1" t="str">
        <f t="shared" si="24"/>
        <v/>
      </c>
      <c r="M272" s="4">
        <f t="shared" si="25"/>
        <v>0</v>
      </c>
    </row>
    <row r="273" ht="30" spans="1:13">
      <c r="A273" s="4"/>
      <c r="B273" t="str">
        <f t="shared" si="21"/>
        <v>7:200116</v>
      </c>
      <c r="C273" s="1">
        <v>7</v>
      </c>
      <c r="D273" s="4">
        <v>200116</v>
      </c>
      <c r="E273" s="3" t="s">
        <v>1877</v>
      </c>
      <c r="F273" s="3"/>
      <c r="G273" s="1">
        <v>815.4</v>
      </c>
      <c r="H273" s="1">
        <f t="shared" si="22"/>
        <v>815.4</v>
      </c>
      <c r="I273" s="1" t="str">
        <f t="shared" si="23"/>
        <v/>
      </c>
      <c r="J273" s="1" t="str">
        <f>_xlfn.IFNA(INDEX([1]历练产出!$Z:$Z,MATCH(B273,[1]历练产出!$AB:$AB,0)),"")</f>
        <v/>
      </c>
      <c r="K273" s="1" t="str">
        <f>_xlfn.IFNA(INDEX([1]洞天福地产出!$H:$H,MATCH(B273,[1]洞天福地产出!$K:$K,0)),"")</f>
        <v/>
      </c>
      <c r="L273" s="1" t="str">
        <f t="shared" si="24"/>
        <v/>
      </c>
      <c r="M273" s="4">
        <f t="shared" si="25"/>
        <v>0</v>
      </c>
    </row>
    <row r="274" ht="30" spans="1:13">
      <c r="A274" s="4"/>
      <c r="B274" t="str">
        <f t="shared" si="21"/>
        <v>7:200117</v>
      </c>
      <c r="C274" s="1">
        <v>7</v>
      </c>
      <c r="D274" s="4">
        <v>200117</v>
      </c>
      <c r="E274" s="3" t="s">
        <v>1877</v>
      </c>
      <c r="F274" s="3"/>
      <c r="G274" s="1">
        <v>916.65</v>
      </c>
      <c r="H274" s="1">
        <f t="shared" si="22"/>
        <v>916.65</v>
      </c>
      <c r="I274" s="1" t="str">
        <f t="shared" si="23"/>
        <v/>
      </c>
      <c r="J274" s="1" t="str">
        <f>_xlfn.IFNA(INDEX([1]历练产出!$Z:$Z,MATCH(B274,[1]历练产出!$AB:$AB,0)),"")</f>
        <v/>
      </c>
      <c r="K274" s="1" t="str">
        <f>_xlfn.IFNA(INDEX([1]洞天福地产出!$H:$H,MATCH(B274,[1]洞天福地产出!$K:$K,0)),"")</f>
        <v/>
      </c>
      <c r="L274" s="1" t="str">
        <f t="shared" si="24"/>
        <v/>
      </c>
      <c r="M274" s="4">
        <f t="shared" si="25"/>
        <v>0</v>
      </c>
    </row>
    <row r="275" ht="30" spans="1:13">
      <c r="A275" s="4"/>
      <c r="B275" t="str">
        <f t="shared" si="21"/>
        <v>7:200118</v>
      </c>
      <c r="C275" s="1">
        <v>7</v>
      </c>
      <c r="D275" s="4">
        <v>200118</v>
      </c>
      <c r="E275" s="3" t="s">
        <v>1877</v>
      </c>
      <c r="F275" s="3"/>
      <c r="G275" s="1">
        <v>1023.975</v>
      </c>
      <c r="H275" s="1">
        <f t="shared" si="22"/>
        <v>1023.975</v>
      </c>
      <c r="I275" s="1" t="str">
        <f t="shared" si="23"/>
        <v/>
      </c>
      <c r="J275" s="1" t="str">
        <f>_xlfn.IFNA(INDEX([1]历练产出!$Z:$Z,MATCH(B275,[1]历练产出!$AB:$AB,0)),"")</f>
        <v/>
      </c>
      <c r="K275" s="1" t="str">
        <f>_xlfn.IFNA(INDEX([1]洞天福地产出!$H:$H,MATCH(B275,[1]洞天福地产出!$K:$K,0)),"")</f>
        <v/>
      </c>
      <c r="L275" s="1" t="str">
        <f t="shared" si="24"/>
        <v/>
      </c>
      <c r="M275" s="4">
        <f t="shared" si="25"/>
        <v>0</v>
      </c>
    </row>
    <row r="276" ht="30" spans="1:13">
      <c r="A276" s="4"/>
      <c r="B276" t="str">
        <f t="shared" si="21"/>
        <v>7:200119</v>
      </c>
      <c r="C276" s="1">
        <v>7</v>
      </c>
      <c r="D276" s="4">
        <v>200119</v>
      </c>
      <c r="E276" s="3" t="s">
        <v>1877</v>
      </c>
      <c r="F276" s="3"/>
      <c r="G276" s="1">
        <v>1137.375</v>
      </c>
      <c r="H276" s="1">
        <f t="shared" si="22"/>
        <v>1137.375</v>
      </c>
      <c r="I276" s="1" t="str">
        <f t="shared" si="23"/>
        <v/>
      </c>
      <c r="J276" s="1" t="str">
        <f>_xlfn.IFNA(INDEX([1]历练产出!$Z:$Z,MATCH(B276,[1]历练产出!$AB:$AB,0)),"")</f>
        <v/>
      </c>
      <c r="K276" s="1" t="str">
        <f>_xlfn.IFNA(INDEX([1]洞天福地产出!$H:$H,MATCH(B276,[1]洞天福地产出!$K:$K,0)),"")</f>
        <v/>
      </c>
      <c r="L276" s="1" t="str">
        <f t="shared" si="24"/>
        <v/>
      </c>
      <c r="M276" s="4">
        <f t="shared" si="25"/>
        <v>0</v>
      </c>
    </row>
    <row r="277" ht="30" spans="1:13">
      <c r="A277" s="4"/>
      <c r="B277" t="str">
        <f t="shared" si="21"/>
        <v>7:200120</v>
      </c>
      <c r="C277" s="1">
        <v>7</v>
      </c>
      <c r="D277" s="4">
        <v>200120</v>
      </c>
      <c r="E277" s="3" t="s">
        <v>1877</v>
      </c>
      <c r="F277" s="3"/>
      <c r="G277" s="1">
        <v>1256.85</v>
      </c>
      <c r="H277" s="1">
        <f t="shared" si="22"/>
        <v>1256.85</v>
      </c>
      <c r="I277" s="1" t="str">
        <f t="shared" si="23"/>
        <v/>
      </c>
      <c r="J277" s="1" t="str">
        <f>_xlfn.IFNA(INDEX([1]历练产出!$Z:$Z,MATCH(B277,[1]历练产出!$AB:$AB,0)),"")</f>
        <v/>
      </c>
      <c r="K277" s="1" t="str">
        <f>_xlfn.IFNA(INDEX([1]洞天福地产出!$H:$H,MATCH(B277,[1]洞天福地产出!$K:$K,0)),"")</f>
        <v/>
      </c>
      <c r="L277" s="1" t="str">
        <f t="shared" si="24"/>
        <v/>
      </c>
      <c r="M277" s="4">
        <f t="shared" si="25"/>
        <v>0</v>
      </c>
    </row>
    <row r="278" ht="30" spans="1:13">
      <c r="A278" s="4"/>
      <c r="B278" t="str">
        <f t="shared" si="21"/>
        <v>7:200121</v>
      </c>
      <c r="C278" s="1">
        <v>7</v>
      </c>
      <c r="D278" s="4">
        <v>200121</v>
      </c>
      <c r="E278" s="3" t="s">
        <v>1877</v>
      </c>
      <c r="F278" s="3"/>
      <c r="G278" s="1">
        <v>1382.4</v>
      </c>
      <c r="H278" s="1">
        <f t="shared" si="22"/>
        <v>1382.4</v>
      </c>
      <c r="I278" s="1" t="str">
        <f t="shared" si="23"/>
        <v/>
      </c>
      <c r="J278" s="1" t="str">
        <f>_xlfn.IFNA(INDEX([1]历练产出!$Z:$Z,MATCH(B278,[1]历练产出!$AB:$AB,0)),"")</f>
        <v/>
      </c>
      <c r="K278" s="1" t="str">
        <f>_xlfn.IFNA(INDEX([1]洞天福地产出!$H:$H,MATCH(B278,[1]洞天福地产出!$K:$K,0)),"")</f>
        <v/>
      </c>
      <c r="L278" s="1" t="str">
        <f t="shared" si="24"/>
        <v/>
      </c>
      <c r="M278" s="4">
        <f t="shared" si="25"/>
        <v>0</v>
      </c>
    </row>
    <row r="279" ht="30" spans="1:13">
      <c r="A279" s="4"/>
      <c r="B279" t="str">
        <f t="shared" si="21"/>
        <v>7:200122</v>
      </c>
      <c r="C279" s="1">
        <v>7</v>
      </c>
      <c r="D279" s="4">
        <v>200122</v>
      </c>
      <c r="E279" s="3" t="s">
        <v>1877</v>
      </c>
      <c r="F279" s="3"/>
      <c r="G279" s="1">
        <v>1514.025</v>
      </c>
      <c r="H279" s="1">
        <f t="shared" si="22"/>
        <v>1514.025</v>
      </c>
      <c r="I279" s="1" t="str">
        <f t="shared" si="23"/>
        <v/>
      </c>
      <c r="J279" s="1" t="str">
        <f>_xlfn.IFNA(INDEX([1]历练产出!$Z:$Z,MATCH(B279,[1]历练产出!$AB:$AB,0)),"")</f>
        <v/>
      </c>
      <c r="K279" s="1" t="str">
        <f>_xlfn.IFNA(INDEX([1]洞天福地产出!$H:$H,MATCH(B279,[1]洞天福地产出!$K:$K,0)),"")</f>
        <v/>
      </c>
      <c r="L279" s="1" t="str">
        <f t="shared" si="24"/>
        <v/>
      </c>
      <c r="M279" s="4">
        <f t="shared" si="25"/>
        <v>0</v>
      </c>
    </row>
    <row r="280" ht="30" spans="1:13">
      <c r="A280" s="4"/>
      <c r="B280" t="str">
        <f t="shared" si="21"/>
        <v>7:200123</v>
      </c>
      <c r="C280" s="1">
        <v>7</v>
      </c>
      <c r="D280" s="4">
        <v>200123</v>
      </c>
      <c r="E280" s="3" t="s">
        <v>1877</v>
      </c>
      <c r="F280" s="3"/>
      <c r="G280" s="1">
        <v>1651.725</v>
      </c>
      <c r="H280" s="1">
        <f t="shared" si="22"/>
        <v>1651.725</v>
      </c>
      <c r="I280" s="1" t="str">
        <f t="shared" si="23"/>
        <v/>
      </c>
      <c r="J280" s="1" t="str">
        <f>_xlfn.IFNA(INDEX([1]历练产出!$Z:$Z,MATCH(B280,[1]历练产出!$AB:$AB,0)),"")</f>
        <v/>
      </c>
      <c r="K280" s="1" t="str">
        <f>_xlfn.IFNA(INDEX([1]洞天福地产出!$H:$H,MATCH(B280,[1]洞天福地产出!$K:$K,0)),"")</f>
        <v/>
      </c>
      <c r="L280" s="1" t="str">
        <f t="shared" si="24"/>
        <v/>
      </c>
      <c r="M280" s="4">
        <f t="shared" si="25"/>
        <v>0</v>
      </c>
    </row>
    <row r="281" ht="30" spans="1:13">
      <c r="A281" s="4"/>
      <c r="B281" t="str">
        <f t="shared" si="21"/>
        <v>7:200124</v>
      </c>
      <c r="C281" s="1">
        <v>7</v>
      </c>
      <c r="D281" s="4">
        <v>200124</v>
      </c>
      <c r="E281" s="3" t="s">
        <v>1877</v>
      </c>
      <c r="F281" s="3"/>
      <c r="G281" s="1">
        <v>1795.5</v>
      </c>
      <c r="H281" s="1">
        <f t="shared" si="22"/>
        <v>1795.5</v>
      </c>
      <c r="I281" s="1" t="str">
        <f t="shared" si="23"/>
        <v/>
      </c>
      <c r="J281" s="1" t="str">
        <f>_xlfn.IFNA(INDEX([1]历练产出!$Z:$Z,MATCH(B281,[1]历练产出!$AB:$AB,0)),"")</f>
        <v/>
      </c>
      <c r="K281" s="1" t="str">
        <f>_xlfn.IFNA(INDEX([1]洞天福地产出!$H:$H,MATCH(B281,[1]洞天福地产出!$K:$K,0)),"")</f>
        <v/>
      </c>
      <c r="L281" s="1" t="str">
        <f t="shared" si="24"/>
        <v/>
      </c>
      <c r="M281" s="4">
        <f t="shared" si="25"/>
        <v>0</v>
      </c>
    </row>
    <row r="282" ht="30" spans="1:13">
      <c r="A282" s="4"/>
      <c r="B282" t="str">
        <f t="shared" si="21"/>
        <v>7:200125</v>
      </c>
      <c r="C282" s="1">
        <v>7</v>
      </c>
      <c r="D282" s="4">
        <v>200125</v>
      </c>
      <c r="E282" s="3" t="s">
        <v>1877</v>
      </c>
      <c r="F282" s="3"/>
      <c r="G282" s="1">
        <v>1945.35</v>
      </c>
      <c r="H282" s="1">
        <f t="shared" si="22"/>
        <v>1945.35</v>
      </c>
      <c r="I282" s="1" t="str">
        <f t="shared" si="23"/>
        <v/>
      </c>
      <c r="J282" s="1" t="str">
        <f>_xlfn.IFNA(INDEX([1]历练产出!$Z:$Z,MATCH(B282,[1]历练产出!$AB:$AB,0)),"")</f>
        <v/>
      </c>
      <c r="K282" s="1" t="str">
        <f>_xlfn.IFNA(INDEX([1]洞天福地产出!$H:$H,MATCH(B282,[1]洞天福地产出!$K:$K,0)),"")</f>
        <v/>
      </c>
      <c r="L282" s="1" t="str">
        <f t="shared" si="24"/>
        <v/>
      </c>
      <c r="M282" s="4">
        <f t="shared" si="25"/>
        <v>0</v>
      </c>
    </row>
    <row r="283" ht="30" spans="1:13">
      <c r="A283" s="4"/>
      <c r="B283" t="str">
        <f t="shared" si="21"/>
        <v>7:200126</v>
      </c>
      <c r="C283" s="1">
        <v>7</v>
      </c>
      <c r="D283" s="4">
        <v>200126</v>
      </c>
      <c r="E283" s="3" t="s">
        <v>1877</v>
      </c>
      <c r="F283" s="3"/>
      <c r="G283" s="1">
        <v>2101.275</v>
      </c>
      <c r="H283" s="1">
        <f t="shared" si="22"/>
        <v>2101.275</v>
      </c>
      <c r="I283" s="1" t="str">
        <f t="shared" si="23"/>
        <v/>
      </c>
      <c r="J283" s="1" t="str">
        <f>_xlfn.IFNA(INDEX([1]历练产出!$Z:$Z,MATCH(B283,[1]历练产出!$AB:$AB,0)),"")</f>
        <v/>
      </c>
      <c r="K283" s="1" t="str">
        <f>_xlfn.IFNA(INDEX([1]洞天福地产出!$H:$H,MATCH(B283,[1]洞天福地产出!$K:$K,0)),"")</f>
        <v/>
      </c>
      <c r="L283" s="1" t="str">
        <f t="shared" si="24"/>
        <v/>
      </c>
      <c r="M283" s="4">
        <f t="shared" si="25"/>
        <v>0</v>
      </c>
    </row>
    <row r="284" ht="30" spans="1:13">
      <c r="A284" s="4"/>
      <c r="B284" t="str">
        <f t="shared" si="21"/>
        <v>7:200127</v>
      </c>
      <c r="C284" s="1">
        <v>7</v>
      </c>
      <c r="D284" s="4">
        <v>200127</v>
      </c>
      <c r="E284" s="3" t="s">
        <v>1877</v>
      </c>
      <c r="F284" s="3"/>
      <c r="G284" s="1">
        <v>2263.275</v>
      </c>
      <c r="H284" s="1">
        <f t="shared" si="22"/>
        <v>2263.275</v>
      </c>
      <c r="I284" s="1" t="str">
        <f t="shared" si="23"/>
        <v/>
      </c>
      <c r="J284" s="1" t="str">
        <f>_xlfn.IFNA(INDEX([1]历练产出!$Z:$Z,MATCH(B284,[1]历练产出!$AB:$AB,0)),"")</f>
        <v/>
      </c>
      <c r="K284" s="1" t="str">
        <f>_xlfn.IFNA(INDEX([1]洞天福地产出!$H:$H,MATCH(B284,[1]洞天福地产出!$K:$K,0)),"")</f>
        <v/>
      </c>
      <c r="L284" s="1" t="str">
        <f t="shared" si="24"/>
        <v/>
      </c>
      <c r="M284" s="4">
        <f t="shared" si="25"/>
        <v>0</v>
      </c>
    </row>
    <row r="285" ht="30" spans="1:13">
      <c r="A285" s="4"/>
      <c r="B285" t="str">
        <f t="shared" si="21"/>
        <v>7:200128</v>
      </c>
      <c r="C285" s="1">
        <v>7</v>
      </c>
      <c r="D285" s="4">
        <v>200128</v>
      </c>
      <c r="E285" s="3" t="s">
        <v>1877</v>
      </c>
      <c r="F285" s="3"/>
      <c r="G285" s="1">
        <v>2431.35</v>
      </c>
      <c r="H285" s="1">
        <f t="shared" si="22"/>
        <v>2431.35</v>
      </c>
      <c r="I285" s="1" t="str">
        <f t="shared" si="23"/>
        <v/>
      </c>
      <c r="J285" s="1" t="str">
        <f>_xlfn.IFNA(INDEX([1]历练产出!$Z:$Z,MATCH(B285,[1]历练产出!$AB:$AB,0)),"")</f>
        <v/>
      </c>
      <c r="K285" s="1" t="str">
        <f>_xlfn.IFNA(INDEX([1]洞天福地产出!$H:$H,MATCH(B285,[1]洞天福地产出!$K:$K,0)),"")</f>
        <v/>
      </c>
      <c r="L285" s="1" t="str">
        <f t="shared" si="24"/>
        <v/>
      </c>
      <c r="M285" s="4">
        <f t="shared" si="25"/>
        <v>0</v>
      </c>
    </row>
    <row r="286" ht="30" spans="1:13">
      <c r="A286" s="4"/>
      <c r="B286" t="str">
        <f t="shared" si="21"/>
        <v>7:200129</v>
      </c>
      <c r="C286" s="1">
        <v>7</v>
      </c>
      <c r="D286" s="4">
        <v>200129</v>
      </c>
      <c r="E286" s="3" t="s">
        <v>1877</v>
      </c>
      <c r="F286" s="3"/>
      <c r="G286" s="1">
        <v>2605.5</v>
      </c>
      <c r="H286" s="1">
        <f t="shared" si="22"/>
        <v>2605.5</v>
      </c>
      <c r="I286" s="1" t="str">
        <f t="shared" si="23"/>
        <v/>
      </c>
      <c r="J286" s="1" t="str">
        <f>_xlfn.IFNA(INDEX([1]历练产出!$Z:$Z,MATCH(B286,[1]历练产出!$AB:$AB,0)),"")</f>
        <v/>
      </c>
      <c r="K286" s="1" t="str">
        <f>_xlfn.IFNA(INDEX([1]洞天福地产出!$H:$H,MATCH(B286,[1]洞天福地产出!$K:$K,0)),"")</f>
        <v/>
      </c>
      <c r="L286" s="1" t="str">
        <f t="shared" si="24"/>
        <v/>
      </c>
      <c r="M286" s="4">
        <f t="shared" si="25"/>
        <v>0</v>
      </c>
    </row>
    <row r="287" ht="30" spans="1:13">
      <c r="A287" s="4"/>
      <c r="B287" t="str">
        <f t="shared" si="21"/>
        <v>7:200130</v>
      </c>
      <c r="C287" s="1">
        <v>7</v>
      </c>
      <c r="D287" s="4">
        <v>200130</v>
      </c>
      <c r="E287" s="3" t="s">
        <v>1877</v>
      </c>
      <c r="F287" s="3"/>
      <c r="G287" s="1">
        <v>2779.65</v>
      </c>
      <c r="H287" s="1">
        <f t="shared" si="22"/>
        <v>2779.65</v>
      </c>
      <c r="I287" s="1" t="str">
        <f t="shared" si="23"/>
        <v/>
      </c>
      <c r="J287" s="1" t="str">
        <f>_xlfn.IFNA(INDEX([1]历练产出!$Z:$Z,MATCH(B287,[1]历练产出!$AB:$AB,0)),"")</f>
        <v/>
      </c>
      <c r="K287" s="1" t="str">
        <f>_xlfn.IFNA(INDEX([1]洞天福地产出!$H:$H,MATCH(B287,[1]洞天福地产出!$K:$K,0)),"")</f>
        <v/>
      </c>
      <c r="L287" s="1" t="str">
        <f t="shared" si="24"/>
        <v/>
      </c>
      <c r="M287" s="4">
        <f t="shared" si="25"/>
        <v>0</v>
      </c>
    </row>
    <row r="288" ht="30" spans="1:13">
      <c r="A288" s="4"/>
      <c r="B288" t="str">
        <f t="shared" si="21"/>
        <v>7:300101</v>
      </c>
      <c r="C288" s="1">
        <v>7</v>
      </c>
      <c r="D288" s="4">
        <v>300101</v>
      </c>
      <c r="E288" s="3" t="s">
        <v>1878</v>
      </c>
      <c r="F288" s="3"/>
      <c r="G288" s="1">
        <v>25.65</v>
      </c>
      <c r="H288" s="1">
        <f t="shared" si="22"/>
        <v>25.65</v>
      </c>
      <c r="I288" s="1" t="str">
        <f t="shared" si="23"/>
        <v/>
      </c>
      <c r="J288" s="1" t="str">
        <f>_xlfn.IFNA(INDEX([1]历练产出!$Z:$Z,MATCH(B288,[1]历练产出!$AB:$AB,0)),"")</f>
        <v/>
      </c>
      <c r="K288" s="1" t="str">
        <f>_xlfn.IFNA(INDEX([1]洞天福地产出!$H:$H,MATCH(B288,[1]洞天福地产出!$K:$K,0)),"")</f>
        <v/>
      </c>
      <c r="L288" s="1" t="str">
        <f t="shared" si="24"/>
        <v/>
      </c>
      <c r="M288" s="4">
        <f t="shared" si="25"/>
        <v>0</v>
      </c>
    </row>
    <row r="289" ht="30" spans="1:13">
      <c r="A289" s="4"/>
      <c r="B289" t="str">
        <f t="shared" si="21"/>
        <v>7:300102</v>
      </c>
      <c r="C289" s="1">
        <v>7</v>
      </c>
      <c r="D289" s="4">
        <v>300102</v>
      </c>
      <c r="E289" s="3" t="s">
        <v>1878</v>
      </c>
      <c r="F289" s="3"/>
      <c r="G289" s="1">
        <v>35.775</v>
      </c>
      <c r="H289" s="1">
        <f t="shared" si="22"/>
        <v>35.775</v>
      </c>
      <c r="I289" s="1" t="str">
        <f t="shared" si="23"/>
        <v/>
      </c>
      <c r="J289" s="1" t="str">
        <f>_xlfn.IFNA(INDEX([1]历练产出!$Z:$Z,MATCH(B289,[1]历练产出!$AB:$AB,0)),"")</f>
        <v/>
      </c>
      <c r="K289" s="1" t="str">
        <f>_xlfn.IFNA(INDEX([1]洞天福地产出!$H:$H,MATCH(B289,[1]洞天福地产出!$K:$K,0)),"")</f>
        <v/>
      </c>
      <c r="L289" s="1" t="str">
        <f t="shared" si="24"/>
        <v/>
      </c>
      <c r="M289" s="4">
        <f t="shared" si="25"/>
        <v>0</v>
      </c>
    </row>
    <row r="290" ht="30" spans="1:13">
      <c r="A290" s="4"/>
      <c r="B290" t="str">
        <f t="shared" si="21"/>
        <v>7:300103</v>
      </c>
      <c r="C290" s="1">
        <v>7</v>
      </c>
      <c r="D290" s="4">
        <v>300103</v>
      </c>
      <c r="E290" s="3" t="s">
        <v>1878</v>
      </c>
      <c r="F290" s="3"/>
      <c r="G290" s="1">
        <v>51.975</v>
      </c>
      <c r="H290" s="1">
        <f t="shared" si="22"/>
        <v>51.975</v>
      </c>
      <c r="I290" s="1" t="str">
        <f t="shared" si="23"/>
        <v/>
      </c>
      <c r="J290" s="1" t="str">
        <f>_xlfn.IFNA(INDEX([1]历练产出!$Z:$Z,MATCH(B290,[1]历练产出!$AB:$AB,0)),"")</f>
        <v/>
      </c>
      <c r="K290" s="1" t="str">
        <f>_xlfn.IFNA(INDEX([1]洞天福地产出!$H:$H,MATCH(B290,[1]洞天福地产出!$K:$K,0)),"")</f>
        <v/>
      </c>
      <c r="L290" s="1" t="str">
        <f t="shared" si="24"/>
        <v/>
      </c>
      <c r="M290" s="4">
        <f t="shared" si="25"/>
        <v>0</v>
      </c>
    </row>
    <row r="291" ht="30" spans="1:13">
      <c r="A291" s="4"/>
      <c r="B291" t="str">
        <f t="shared" si="21"/>
        <v>7:300104</v>
      </c>
      <c r="C291" s="1">
        <v>7</v>
      </c>
      <c r="D291" s="4">
        <v>300104</v>
      </c>
      <c r="E291" s="3" t="s">
        <v>1878</v>
      </c>
      <c r="F291" s="3"/>
      <c r="G291" s="1">
        <v>74.25</v>
      </c>
      <c r="H291" s="1">
        <f t="shared" si="22"/>
        <v>74.25</v>
      </c>
      <c r="I291" s="1" t="str">
        <f t="shared" si="23"/>
        <v/>
      </c>
      <c r="J291" s="1" t="str">
        <f>_xlfn.IFNA(INDEX([1]历练产出!$Z:$Z,MATCH(B291,[1]历练产出!$AB:$AB,0)),"")</f>
        <v/>
      </c>
      <c r="K291" s="1" t="str">
        <f>_xlfn.IFNA(INDEX([1]洞天福地产出!$H:$H,MATCH(B291,[1]洞天福地产出!$K:$K,0)),"")</f>
        <v/>
      </c>
      <c r="L291" s="1" t="str">
        <f t="shared" si="24"/>
        <v/>
      </c>
      <c r="M291" s="4">
        <f t="shared" si="25"/>
        <v>0</v>
      </c>
    </row>
    <row r="292" ht="30" spans="1:13">
      <c r="A292" s="4"/>
      <c r="B292" t="str">
        <f t="shared" ref="B292:B355" si="26">C292&amp;":"&amp;D292</f>
        <v>7:300105</v>
      </c>
      <c r="C292" s="1">
        <v>7</v>
      </c>
      <c r="D292" s="4">
        <v>300105</v>
      </c>
      <c r="E292" s="3" t="s">
        <v>1878</v>
      </c>
      <c r="F292" s="3"/>
      <c r="G292" s="1">
        <v>102.6</v>
      </c>
      <c r="H292" s="1">
        <f t="shared" si="22"/>
        <v>102.6</v>
      </c>
      <c r="I292" s="1" t="str">
        <f t="shared" si="23"/>
        <v/>
      </c>
      <c r="J292" s="1" t="str">
        <f>_xlfn.IFNA(INDEX([1]历练产出!$Z:$Z,MATCH(B292,[1]历练产出!$AB:$AB,0)),"")</f>
        <v/>
      </c>
      <c r="K292" s="1" t="str">
        <f>_xlfn.IFNA(INDEX([1]洞天福地产出!$H:$H,MATCH(B292,[1]洞天福地产出!$K:$K,0)),"")</f>
        <v/>
      </c>
      <c r="L292" s="1" t="str">
        <f t="shared" si="24"/>
        <v/>
      </c>
      <c r="M292" s="4">
        <f t="shared" si="25"/>
        <v>0</v>
      </c>
    </row>
    <row r="293" ht="30" spans="1:13">
      <c r="A293" s="4"/>
      <c r="B293" t="str">
        <f t="shared" si="26"/>
        <v>7:300106</v>
      </c>
      <c r="C293" s="1">
        <v>7</v>
      </c>
      <c r="D293" s="4">
        <v>300106</v>
      </c>
      <c r="E293" s="3" t="s">
        <v>1878</v>
      </c>
      <c r="F293" s="3"/>
      <c r="G293" s="1">
        <v>137.025</v>
      </c>
      <c r="H293" s="1">
        <f t="shared" si="22"/>
        <v>137.025</v>
      </c>
      <c r="I293" s="1" t="str">
        <f t="shared" si="23"/>
        <v/>
      </c>
      <c r="J293" s="1" t="str">
        <f>_xlfn.IFNA(INDEX([1]历练产出!$Z:$Z,MATCH(B293,[1]历练产出!$AB:$AB,0)),"")</f>
        <v/>
      </c>
      <c r="K293" s="1" t="str">
        <f>_xlfn.IFNA(INDEX([1]洞天福地产出!$H:$H,MATCH(B293,[1]洞天福地产出!$K:$K,0)),"")</f>
        <v/>
      </c>
      <c r="L293" s="1" t="str">
        <f t="shared" si="24"/>
        <v/>
      </c>
      <c r="M293" s="4">
        <f t="shared" si="25"/>
        <v>0</v>
      </c>
    </row>
    <row r="294" ht="30" spans="1:13">
      <c r="A294" s="4"/>
      <c r="B294" t="str">
        <f t="shared" si="26"/>
        <v>7:300107</v>
      </c>
      <c r="C294" s="1">
        <v>7</v>
      </c>
      <c r="D294" s="4">
        <v>300107</v>
      </c>
      <c r="E294" s="3" t="s">
        <v>1878</v>
      </c>
      <c r="F294" s="3"/>
      <c r="G294" s="1">
        <v>177.525</v>
      </c>
      <c r="H294" s="1">
        <f t="shared" si="22"/>
        <v>177.525</v>
      </c>
      <c r="I294" s="1" t="str">
        <f t="shared" si="23"/>
        <v/>
      </c>
      <c r="J294" s="1" t="str">
        <f>_xlfn.IFNA(INDEX([1]历练产出!$Z:$Z,MATCH(B294,[1]历练产出!$AB:$AB,0)),"")</f>
        <v/>
      </c>
      <c r="K294" s="1" t="str">
        <f>_xlfn.IFNA(INDEX([1]洞天福地产出!$H:$H,MATCH(B294,[1]洞天福地产出!$K:$K,0)),"")</f>
        <v/>
      </c>
      <c r="L294" s="1" t="str">
        <f t="shared" si="24"/>
        <v/>
      </c>
      <c r="M294" s="4">
        <f t="shared" si="25"/>
        <v>0</v>
      </c>
    </row>
    <row r="295" ht="30" spans="1:13">
      <c r="A295" s="4"/>
      <c r="B295" t="str">
        <f t="shared" si="26"/>
        <v>7:300108</v>
      </c>
      <c r="C295" s="1">
        <v>7</v>
      </c>
      <c r="D295" s="4">
        <v>300108</v>
      </c>
      <c r="E295" s="3" t="s">
        <v>1878</v>
      </c>
      <c r="F295" s="3"/>
      <c r="G295" s="1">
        <v>224.1</v>
      </c>
      <c r="H295" s="1">
        <f t="shared" si="22"/>
        <v>224.1</v>
      </c>
      <c r="I295" s="1" t="str">
        <f t="shared" si="23"/>
        <v/>
      </c>
      <c r="J295" s="1" t="str">
        <f>_xlfn.IFNA(INDEX([1]历练产出!$Z:$Z,MATCH(B295,[1]历练产出!$AB:$AB,0)),"")</f>
        <v/>
      </c>
      <c r="K295" s="1" t="str">
        <f>_xlfn.IFNA(INDEX([1]洞天福地产出!$H:$H,MATCH(B295,[1]洞天福地产出!$K:$K,0)),"")</f>
        <v/>
      </c>
      <c r="L295" s="1" t="str">
        <f t="shared" si="24"/>
        <v/>
      </c>
      <c r="M295" s="4">
        <f t="shared" si="25"/>
        <v>0</v>
      </c>
    </row>
    <row r="296" ht="30" spans="1:13">
      <c r="A296" s="4"/>
      <c r="B296" t="str">
        <f t="shared" si="26"/>
        <v>7:300109</v>
      </c>
      <c r="C296" s="1">
        <v>7</v>
      </c>
      <c r="D296" s="4">
        <v>300109</v>
      </c>
      <c r="E296" s="3" t="s">
        <v>1878</v>
      </c>
      <c r="F296" s="3"/>
      <c r="G296" s="1">
        <v>276.75</v>
      </c>
      <c r="H296" s="1">
        <f t="shared" si="22"/>
        <v>276.75</v>
      </c>
      <c r="I296" s="1" t="str">
        <f t="shared" si="23"/>
        <v/>
      </c>
      <c r="J296" s="1" t="str">
        <f>_xlfn.IFNA(INDEX([1]历练产出!$Z:$Z,MATCH(B296,[1]历练产出!$AB:$AB,0)),"")</f>
        <v/>
      </c>
      <c r="K296" s="1" t="str">
        <f>_xlfn.IFNA(INDEX([1]洞天福地产出!$H:$H,MATCH(B296,[1]洞天福地产出!$K:$K,0)),"")</f>
        <v/>
      </c>
      <c r="L296" s="1" t="str">
        <f t="shared" si="24"/>
        <v/>
      </c>
      <c r="M296" s="4">
        <f t="shared" si="25"/>
        <v>0</v>
      </c>
    </row>
    <row r="297" ht="30" spans="1:13">
      <c r="A297" s="4"/>
      <c r="B297" t="str">
        <f t="shared" si="26"/>
        <v>7:300110</v>
      </c>
      <c r="C297" s="1">
        <v>7</v>
      </c>
      <c r="D297" s="4">
        <v>300110</v>
      </c>
      <c r="E297" s="3" t="s">
        <v>1878</v>
      </c>
      <c r="F297" s="3"/>
      <c r="G297" s="1">
        <v>335.475</v>
      </c>
      <c r="H297" s="1">
        <f t="shared" si="22"/>
        <v>335.475</v>
      </c>
      <c r="I297" s="1" t="str">
        <f t="shared" si="23"/>
        <v/>
      </c>
      <c r="J297" s="1" t="str">
        <f>_xlfn.IFNA(INDEX([1]历练产出!$Z:$Z,MATCH(B297,[1]历练产出!$AB:$AB,0)),"")</f>
        <v/>
      </c>
      <c r="K297" s="1" t="str">
        <f>_xlfn.IFNA(INDEX([1]洞天福地产出!$H:$H,MATCH(B297,[1]洞天福地产出!$K:$K,0)),"")</f>
        <v/>
      </c>
      <c r="L297" s="1" t="str">
        <f t="shared" si="24"/>
        <v/>
      </c>
      <c r="M297" s="4">
        <f t="shared" si="25"/>
        <v>0</v>
      </c>
    </row>
    <row r="298" ht="30" spans="1:13">
      <c r="A298" s="4"/>
      <c r="B298" t="str">
        <f t="shared" si="26"/>
        <v>7:300111</v>
      </c>
      <c r="C298" s="1">
        <v>7</v>
      </c>
      <c r="D298" s="4">
        <v>300111</v>
      </c>
      <c r="E298" s="3" t="s">
        <v>1878</v>
      </c>
      <c r="F298" s="3"/>
      <c r="G298" s="1">
        <v>400.275</v>
      </c>
      <c r="H298" s="1">
        <f t="shared" si="22"/>
        <v>400.275</v>
      </c>
      <c r="I298" s="1" t="str">
        <f t="shared" si="23"/>
        <v/>
      </c>
      <c r="J298" s="1" t="str">
        <f>_xlfn.IFNA(INDEX([1]历练产出!$Z:$Z,MATCH(B298,[1]历练产出!$AB:$AB,0)),"")</f>
        <v/>
      </c>
      <c r="K298" s="1" t="str">
        <f>_xlfn.IFNA(INDEX([1]洞天福地产出!$H:$H,MATCH(B298,[1]洞天福地产出!$K:$K,0)),"")</f>
        <v/>
      </c>
      <c r="L298" s="1" t="str">
        <f t="shared" si="24"/>
        <v/>
      </c>
      <c r="M298" s="4">
        <f t="shared" si="25"/>
        <v>0</v>
      </c>
    </row>
    <row r="299" ht="30" spans="1:13">
      <c r="A299" s="4"/>
      <c r="B299" t="str">
        <f t="shared" si="26"/>
        <v>7:300112</v>
      </c>
      <c r="C299" s="1">
        <v>7</v>
      </c>
      <c r="D299" s="4">
        <v>300112</v>
      </c>
      <c r="E299" s="3" t="s">
        <v>1878</v>
      </c>
      <c r="F299" s="3"/>
      <c r="G299" s="1">
        <v>471.15</v>
      </c>
      <c r="H299" s="1">
        <f t="shared" si="22"/>
        <v>471.15</v>
      </c>
      <c r="I299" s="1" t="str">
        <f t="shared" si="23"/>
        <v/>
      </c>
      <c r="J299" s="1" t="str">
        <f>_xlfn.IFNA(INDEX([1]历练产出!$Z:$Z,MATCH(B299,[1]历练产出!$AB:$AB,0)),"")</f>
        <v/>
      </c>
      <c r="K299" s="1" t="str">
        <f>_xlfn.IFNA(INDEX([1]洞天福地产出!$H:$H,MATCH(B299,[1]洞天福地产出!$K:$K,0)),"")</f>
        <v/>
      </c>
      <c r="L299" s="1" t="str">
        <f t="shared" si="24"/>
        <v/>
      </c>
      <c r="M299" s="4">
        <f t="shared" si="25"/>
        <v>0</v>
      </c>
    </row>
    <row r="300" ht="30" spans="1:13">
      <c r="A300" s="4"/>
      <c r="B300" t="str">
        <f t="shared" si="26"/>
        <v>7:300113</v>
      </c>
      <c r="C300" s="1">
        <v>7</v>
      </c>
      <c r="D300" s="4">
        <v>300113</v>
      </c>
      <c r="E300" s="3" t="s">
        <v>1878</v>
      </c>
      <c r="F300" s="3"/>
      <c r="G300" s="1">
        <v>548.1</v>
      </c>
      <c r="H300" s="1">
        <f t="shared" si="22"/>
        <v>548.1</v>
      </c>
      <c r="I300" s="1" t="str">
        <f t="shared" si="23"/>
        <v/>
      </c>
      <c r="J300" s="1" t="str">
        <f>_xlfn.IFNA(INDEX([1]历练产出!$Z:$Z,MATCH(B300,[1]历练产出!$AB:$AB,0)),"")</f>
        <v/>
      </c>
      <c r="K300" s="1" t="str">
        <f>_xlfn.IFNA(INDEX([1]洞天福地产出!$H:$H,MATCH(B300,[1]洞天福地产出!$K:$K,0)),"")</f>
        <v/>
      </c>
      <c r="L300" s="1" t="str">
        <f t="shared" si="24"/>
        <v/>
      </c>
      <c r="M300" s="4">
        <f t="shared" si="25"/>
        <v>0</v>
      </c>
    </row>
    <row r="301" ht="30" spans="1:13">
      <c r="A301" s="4"/>
      <c r="B301" t="str">
        <f t="shared" si="26"/>
        <v>7:300114</v>
      </c>
      <c r="C301" s="1">
        <v>7</v>
      </c>
      <c r="D301" s="4">
        <v>300114</v>
      </c>
      <c r="E301" s="3" t="s">
        <v>1878</v>
      </c>
      <c r="F301" s="3"/>
      <c r="G301" s="1">
        <v>631.125</v>
      </c>
      <c r="H301" s="1">
        <f t="shared" si="22"/>
        <v>631.125</v>
      </c>
      <c r="I301" s="1" t="str">
        <f t="shared" si="23"/>
        <v/>
      </c>
      <c r="J301" s="1" t="str">
        <f>_xlfn.IFNA(INDEX([1]历练产出!$Z:$Z,MATCH(B301,[1]历练产出!$AB:$AB,0)),"")</f>
        <v/>
      </c>
      <c r="K301" s="1" t="str">
        <f>_xlfn.IFNA(INDEX([1]洞天福地产出!$H:$H,MATCH(B301,[1]洞天福地产出!$K:$K,0)),"")</f>
        <v/>
      </c>
      <c r="L301" s="1" t="str">
        <f t="shared" si="24"/>
        <v/>
      </c>
      <c r="M301" s="4">
        <f t="shared" si="25"/>
        <v>0</v>
      </c>
    </row>
    <row r="302" ht="30" spans="1:13">
      <c r="A302" s="4"/>
      <c r="B302" t="str">
        <f t="shared" si="26"/>
        <v>7:300115</v>
      </c>
      <c r="C302" s="1">
        <v>7</v>
      </c>
      <c r="D302" s="4">
        <v>300115</v>
      </c>
      <c r="E302" s="3" t="s">
        <v>1878</v>
      </c>
      <c r="F302" s="3"/>
      <c r="G302" s="1">
        <v>720.225</v>
      </c>
      <c r="H302" s="1">
        <f t="shared" si="22"/>
        <v>720.225</v>
      </c>
      <c r="I302" s="1" t="str">
        <f t="shared" si="23"/>
        <v/>
      </c>
      <c r="J302" s="1" t="str">
        <f>_xlfn.IFNA(INDEX([1]历练产出!$Z:$Z,MATCH(B302,[1]历练产出!$AB:$AB,0)),"")</f>
        <v/>
      </c>
      <c r="K302" s="1" t="str">
        <f>_xlfn.IFNA(INDEX([1]洞天福地产出!$H:$H,MATCH(B302,[1]洞天福地产出!$K:$K,0)),"")</f>
        <v/>
      </c>
      <c r="L302" s="1" t="str">
        <f t="shared" si="24"/>
        <v/>
      </c>
      <c r="M302" s="4">
        <f t="shared" si="25"/>
        <v>0</v>
      </c>
    </row>
    <row r="303" ht="30" spans="1:13">
      <c r="A303" s="4"/>
      <c r="B303" t="str">
        <f t="shared" si="26"/>
        <v>7:300116</v>
      </c>
      <c r="C303" s="1">
        <v>7</v>
      </c>
      <c r="D303" s="4">
        <v>300116</v>
      </c>
      <c r="E303" s="3" t="s">
        <v>1878</v>
      </c>
      <c r="F303" s="3"/>
      <c r="G303" s="1">
        <v>815.4</v>
      </c>
      <c r="H303" s="1">
        <f t="shared" si="22"/>
        <v>815.4</v>
      </c>
      <c r="I303" s="1" t="str">
        <f t="shared" si="23"/>
        <v/>
      </c>
      <c r="J303" s="1" t="str">
        <f>_xlfn.IFNA(INDEX([1]历练产出!$Z:$Z,MATCH(B303,[1]历练产出!$AB:$AB,0)),"")</f>
        <v/>
      </c>
      <c r="K303" s="1" t="str">
        <f>_xlfn.IFNA(INDEX([1]洞天福地产出!$H:$H,MATCH(B303,[1]洞天福地产出!$K:$K,0)),"")</f>
        <v/>
      </c>
      <c r="L303" s="1" t="str">
        <f t="shared" si="24"/>
        <v/>
      </c>
      <c r="M303" s="4">
        <f t="shared" si="25"/>
        <v>0</v>
      </c>
    </row>
    <row r="304" ht="30" spans="1:13">
      <c r="A304" s="4"/>
      <c r="B304" t="str">
        <f t="shared" si="26"/>
        <v>7:300117</v>
      </c>
      <c r="C304" s="1">
        <v>7</v>
      </c>
      <c r="D304" s="4">
        <v>300117</v>
      </c>
      <c r="E304" s="3" t="s">
        <v>1878</v>
      </c>
      <c r="F304" s="3"/>
      <c r="G304" s="1">
        <v>916.65</v>
      </c>
      <c r="H304" s="1">
        <f t="shared" si="22"/>
        <v>916.65</v>
      </c>
      <c r="I304" s="1" t="str">
        <f t="shared" si="23"/>
        <v/>
      </c>
      <c r="J304" s="1" t="str">
        <f>_xlfn.IFNA(INDEX([1]历练产出!$Z:$Z,MATCH(B304,[1]历练产出!$AB:$AB,0)),"")</f>
        <v/>
      </c>
      <c r="K304" s="1" t="str">
        <f>_xlfn.IFNA(INDEX([1]洞天福地产出!$H:$H,MATCH(B304,[1]洞天福地产出!$K:$K,0)),"")</f>
        <v/>
      </c>
      <c r="L304" s="1" t="str">
        <f t="shared" si="24"/>
        <v/>
      </c>
      <c r="M304" s="4">
        <f t="shared" si="25"/>
        <v>0</v>
      </c>
    </row>
    <row r="305" ht="30" spans="1:13">
      <c r="A305" s="4"/>
      <c r="B305" t="str">
        <f t="shared" si="26"/>
        <v>7:300118</v>
      </c>
      <c r="C305" s="1">
        <v>7</v>
      </c>
      <c r="D305" s="4">
        <v>300118</v>
      </c>
      <c r="E305" s="3" t="s">
        <v>1878</v>
      </c>
      <c r="F305" s="3"/>
      <c r="G305" s="1">
        <v>1023.975</v>
      </c>
      <c r="H305" s="1">
        <f t="shared" si="22"/>
        <v>1023.975</v>
      </c>
      <c r="I305" s="1" t="str">
        <f t="shared" si="23"/>
        <v/>
      </c>
      <c r="J305" s="1" t="str">
        <f>_xlfn.IFNA(INDEX([1]历练产出!$Z:$Z,MATCH(B305,[1]历练产出!$AB:$AB,0)),"")</f>
        <v/>
      </c>
      <c r="K305" s="1" t="str">
        <f>_xlfn.IFNA(INDEX([1]洞天福地产出!$H:$H,MATCH(B305,[1]洞天福地产出!$K:$K,0)),"")</f>
        <v/>
      </c>
      <c r="L305" s="1" t="str">
        <f t="shared" si="24"/>
        <v/>
      </c>
      <c r="M305" s="4">
        <f t="shared" si="25"/>
        <v>0</v>
      </c>
    </row>
    <row r="306" ht="30" spans="1:13">
      <c r="A306" s="4"/>
      <c r="B306" t="str">
        <f t="shared" si="26"/>
        <v>7:300119</v>
      </c>
      <c r="C306" s="1">
        <v>7</v>
      </c>
      <c r="D306" s="4">
        <v>300119</v>
      </c>
      <c r="E306" s="3" t="s">
        <v>1878</v>
      </c>
      <c r="F306" s="3"/>
      <c r="G306" s="1">
        <v>1137.375</v>
      </c>
      <c r="H306" s="1">
        <f t="shared" si="22"/>
        <v>1137.375</v>
      </c>
      <c r="I306" s="1" t="str">
        <f t="shared" si="23"/>
        <v/>
      </c>
      <c r="J306" s="1" t="str">
        <f>_xlfn.IFNA(INDEX([1]历练产出!$Z:$Z,MATCH(B306,[1]历练产出!$AB:$AB,0)),"")</f>
        <v/>
      </c>
      <c r="K306" s="1" t="str">
        <f>_xlfn.IFNA(INDEX([1]洞天福地产出!$H:$H,MATCH(B306,[1]洞天福地产出!$K:$K,0)),"")</f>
        <v/>
      </c>
      <c r="L306" s="1" t="str">
        <f t="shared" si="24"/>
        <v/>
      </c>
      <c r="M306" s="4">
        <f t="shared" si="25"/>
        <v>0</v>
      </c>
    </row>
    <row r="307" ht="30" spans="1:13">
      <c r="A307" s="4"/>
      <c r="B307" t="str">
        <f t="shared" si="26"/>
        <v>7:300120</v>
      </c>
      <c r="C307" s="1">
        <v>7</v>
      </c>
      <c r="D307" s="4">
        <v>300120</v>
      </c>
      <c r="E307" s="3" t="s">
        <v>1878</v>
      </c>
      <c r="F307" s="3"/>
      <c r="G307" s="1">
        <v>1256.85</v>
      </c>
      <c r="H307" s="1">
        <f t="shared" si="22"/>
        <v>1256.85</v>
      </c>
      <c r="I307" s="1" t="str">
        <f t="shared" si="23"/>
        <v/>
      </c>
      <c r="J307" s="1" t="str">
        <f>_xlfn.IFNA(INDEX([1]历练产出!$Z:$Z,MATCH(B307,[1]历练产出!$AB:$AB,0)),"")</f>
        <v/>
      </c>
      <c r="K307" s="1" t="str">
        <f>_xlfn.IFNA(INDEX([1]洞天福地产出!$H:$H,MATCH(B307,[1]洞天福地产出!$K:$K,0)),"")</f>
        <v/>
      </c>
      <c r="L307" s="1" t="str">
        <f t="shared" si="24"/>
        <v/>
      </c>
      <c r="M307" s="4">
        <f t="shared" si="25"/>
        <v>0</v>
      </c>
    </row>
    <row r="308" ht="30" spans="1:13">
      <c r="A308" s="4"/>
      <c r="B308" t="str">
        <f t="shared" si="26"/>
        <v>7:300121</v>
      </c>
      <c r="C308" s="1">
        <v>7</v>
      </c>
      <c r="D308" s="4">
        <v>300121</v>
      </c>
      <c r="E308" s="3" t="s">
        <v>1878</v>
      </c>
      <c r="F308" s="3"/>
      <c r="G308" s="1">
        <v>1382.4</v>
      </c>
      <c r="H308" s="1">
        <f t="shared" si="22"/>
        <v>1382.4</v>
      </c>
      <c r="I308" s="1" t="str">
        <f t="shared" si="23"/>
        <v/>
      </c>
      <c r="J308" s="1" t="str">
        <f>_xlfn.IFNA(INDEX([1]历练产出!$Z:$Z,MATCH(B308,[1]历练产出!$AB:$AB,0)),"")</f>
        <v/>
      </c>
      <c r="K308" s="1" t="str">
        <f>_xlfn.IFNA(INDEX([1]洞天福地产出!$H:$H,MATCH(B308,[1]洞天福地产出!$K:$K,0)),"")</f>
        <v/>
      </c>
      <c r="L308" s="1" t="str">
        <f t="shared" si="24"/>
        <v/>
      </c>
      <c r="M308" s="4">
        <f t="shared" si="25"/>
        <v>0</v>
      </c>
    </row>
    <row r="309" ht="30" spans="1:13">
      <c r="A309" s="4"/>
      <c r="B309" t="str">
        <f t="shared" si="26"/>
        <v>7:300122</v>
      </c>
      <c r="C309" s="1">
        <v>7</v>
      </c>
      <c r="D309" s="4">
        <v>300122</v>
      </c>
      <c r="E309" s="3" t="s">
        <v>1878</v>
      </c>
      <c r="F309" s="3"/>
      <c r="G309" s="1">
        <v>1514.025</v>
      </c>
      <c r="H309" s="1">
        <f t="shared" si="22"/>
        <v>1514.025</v>
      </c>
      <c r="I309" s="1" t="str">
        <f t="shared" si="23"/>
        <v/>
      </c>
      <c r="J309" s="1" t="str">
        <f>_xlfn.IFNA(INDEX([1]历练产出!$Z:$Z,MATCH(B309,[1]历练产出!$AB:$AB,0)),"")</f>
        <v/>
      </c>
      <c r="K309" s="1" t="str">
        <f>_xlfn.IFNA(INDEX([1]洞天福地产出!$H:$H,MATCH(B309,[1]洞天福地产出!$K:$K,0)),"")</f>
        <v/>
      </c>
      <c r="L309" s="1" t="str">
        <f t="shared" si="24"/>
        <v/>
      </c>
      <c r="M309" s="4">
        <f t="shared" si="25"/>
        <v>0</v>
      </c>
    </row>
    <row r="310" ht="30" spans="1:13">
      <c r="A310" s="4"/>
      <c r="B310" t="str">
        <f t="shared" si="26"/>
        <v>7:300123</v>
      </c>
      <c r="C310" s="1">
        <v>7</v>
      </c>
      <c r="D310" s="4">
        <v>300123</v>
      </c>
      <c r="E310" s="3" t="s">
        <v>1878</v>
      </c>
      <c r="F310" s="3"/>
      <c r="G310" s="1">
        <v>1651.725</v>
      </c>
      <c r="H310" s="1">
        <f t="shared" si="22"/>
        <v>1651.725</v>
      </c>
      <c r="I310" s="1" t="str">
        <f t="shared" si="23"/>
        <v/>
      </c>
      <c r="J310" s="1" t="str">
        <f>_xlfn.IFNA(INDEX([1]历练产出!$Z:$Z,MATCH(B310,[1]历练产出!$AB:$AB,0)),"")</f>
        <v/>
      </c>
      <c r="K310" s="1" t="str">
        <f>_xlfn.IFNA(INDEX([1]洞天福地产出!$H:$H,MATCH(B310,[1]洞天福地产出!$K:$K,0)),"")</f>
        <v/>
      </c>
      <c r="L310" s="1" t="str">
        <f t="shared" si="24"/>
        <v/>
      </c>
      <c r="M310" s="4">
        <f t="shared" si="25"/>
        <v>0</v>
      </c>
    </row>
    <row r="311" ht="30" spans="1:13">
      <c r="A311" s="4"/>
      <c r="B311" t="str">
        <f t="shared" si="26"/>
        <v>7:300124</v>
      </c>
      <c r="C311" s="1">
        <v>7</v>
      </c>
      <c r="D311" s="4">
        <v>300124</v>
      </c>
      <c r="E311" s="3" t="s">
        <v>1878</v>
      </c>
      <c r="F311" s="3"/>
      <c r="G311" s="1">
        <v>1795.5</v>
      </c>
      <c r="H311" s="1">
        <f t="shared" si="22"/>
        <v>1795.5</v>
      </c>
      <c r="I311" s="1" t="str">
        <f t="shared" si="23"/>
        <v/>
      </c>
      <c r="J311" s="1" t="str">
        <f>_xlfn.IFNA(INDEX([1]历练产出!$Z:$Z,MATCH(B311,[1]历练产出!$AB:$AB,0)),"")</f>
        <v/>
      </c>
      <c r="K311" s="1" t="str">
        <f>_xlfn.IFNA(INDEX([1]洞天福地产出!$H:$H,MATCH(B311,[1]洞天福地产出!$K:$K,0)),"")</f>
        <v/>
      </c>
      <c r="L311" s="1" t="str">
        <f t="shared" si="24"/>
        <v/>
      </c>
      <c r="M311" s="4">
        <f t="shared" si="25"/>
        <v>0</v>
      </c>
    </row>
    <row r="312" ht="30" spans="1:13">
      <c r="A312" s="4"/>
      <c r="B312" t="str">
        <f t="shared" si="26"/>
        <v>7:300125</v>
      </c>
      <c r="C312" s="1">
        <v>7</v>
      </c>
      <c r="D312" s="4">
        <v>300125</v>
      </c>
      <c r="E312" s="3" t="s">
        <v>1878</v>
      </c>
      <c r="F312" s="3"/>
      <c r="G312" s="1">
        <v>1945.35</v>
      </c>
      <c r="H312" s="1">
        <f t="shared" si="22"/>
        <v>1945.35</v>
      </c>
      <c r="I312" s="1" t="str">
        <f t="shared" si="23"/>
        <v/>
      </c>
      <c r="J312" s="1" t="str">
        <f>_xlfn.IFNA(INDEX([1]历练产出!$Z:$Z,MATCH(B312,[1]历练产出!$AB:$AB,0)),"")</f>
        <v/>
      </c>
      <c r="K312" s="1" t="str">
        <f>_xlfn.IFNA(INDEX([1]洞天福地产出!$H:$H,MATCH(B312,[1]洞天福地产出!$K:$K,0)),"")</f>
        <v/>
      </c>
      <c r="L312" s="1" t="str">
        <f t="shared" si="24"/>
        <v/>
      </c>
      <c r="M312" s="4">
        <f t="shared" si="25"/>
        <v>0</v>
      </c>
    </row>
    <row r="313" ht="30" spans="1:13">
      <c r="A313" s="4"/>
      <c r="B313" t="str">
        <f t="shared" si="26"/>
        <v>7:300126</v>
      </c>
      <c r="C313" s="1">
        <v>7</v>
      </c>
      <c r="D313" s="4">
        <v>300126</v>
      </c>
      <c r="E313" s="3" t="s">
        <v>1878</v>
      </c>
      <c r="F313" s="3"/>
      <c r="G313" s="1">
        <v>2101.275</v>
      </c>
      <c r="H313" s="1">
        <f t="shared" si="22"/>
        <v>2101.275</v>
      </c>
      <c r="I313" s="1" t="str">
        <f t="shared" si="23"/>
        <v/>
      </c>
      <c r="J313" s="1" t="str">
        <f>_xlfn.IFNA(INDEX([1]历练产出!$Z:$Z,MATCH(B313,[1]历练产出!$AB:$AB,0)),"")</f>
        <v/>
      </c>
      <c r="K313" s="1" t="str">
        <f>_xlfn.IFNA(INDEX([1]洞天福地产出!$H:$H,MATCH(B313,[1]洞天福地产出!$K:$K,0)),"")</f>
        <v/>
      </c>
      <c r="L313" s="1" t="str">
        <f t="shared" si="24"/>
        <v/>
      </c>
      <c r="M313" s="4">
        <f t="shared" si="25"/>
        <v>0</v>
      </c>
    </row>
    <row r="314" ht="30" spans="1:13">
      <c r="A314" s="4"/>
      <c r="B314" t="str">
        <f t="shared" si="26"/>
        <v>7:300127</v>
      </c>
      <c r="C314" s="1">
        <v>7</v>
      </c>
      <c r="D314" s="4">
        <v>300127</v>
      </c>
      <c r="E314" s="3" t="s">
        <v>1878</v>
      </c>
      <c r="F314" s="3"/>
      <c r="G314" s="1">
        <v>2263.275</v>
      </c>
      <c r="H314" s="1">
        <f t="shared" si="22"/>
        <v>2263.275</v>
      </c>
      <c r="I314" s="1" t="str">
        <f t="shared" si="23"/>
        <v/>
      </c>
      <c r="J314" s="1" t="str">
        <f>_xlfn.IFNA(INDEX([1]历练产出!$Z:$Z,MATCH(B314,[1]历练产出!$AB:$AB,0)),"")</f>
        <v/>
      </c>
      <c r="K314" s="1" t="str">
        <f>_xlfn.IFNA(INDEX([1]洞天福地产出!$H:$H,MATCH(B314,[1]洞天福地产出!$K:$K,0)),"")</f>
        <v/>
      </c>
      <c r="L314" s="1" t="str">
        <f t="shared" si="24"/>
        <v/>
      </c>
      <c r="M314" s="4">
        <f t="shared" si="25"/>
        <v>0</v>
      </c>
    </row>
    <row r="315" ht="30" spans="1:13">
      <c r="A315" s="4"/>
      <c r="B315" t="str">
        <f t="shared" si="26"/>
        <v>7:300128</v>
      </c>
      <c r="C315" s="1">
        <v>7</v>
      </c>
      <c r="D315" s="4">
        <v>300128</v>
      </c>
      <c r="E315" s="3" t="s">
        <v>1878</v>
      </c>
      <c r="F315" s="3"/>
      <c r="G315" s="1">
        <v>2431.35</v>
      </c>
      <c r="H315" s="1">
        <f t="shared" si="22"/>
        <v>2431.35</v>
      </c>
      <c r="I315" s="1" t="str">
        <f t="shared" si="23"/>
        <v/>
      </c>
      <c r="J315" s="1" t="str">
        <f>_xlfn.IFNA(INDEX([1]历练产出!$Z:$Z,MATCH(B315,[1]历练产出!$AB:$AB,0)),"")</f>
        <v/>
      </c>
      <c r="K315" s="1" t="str">
        <f>_xlfn.IFNA(INDEX([1]洞天福地产出!$H:$H,MATCH(B315,[1]洞天福地产出!$K:$K,0)),"")</f>
        <v/>
      </c>
      <c r="L315" s="1" t="str">
        <f t="shared" si="24"/>
        <v/>
      </c>
      <c r="M315" s="4">
        <f t="shared" si="25"/>
        <v>0</v>
      </c>
    </row>
    <row r="316" ht="30" spans="1:13">
      <c r="A316" s="4"/>
      <c r="B316" t="str">
        <f t="shared" si="26"/>
        <v>7:300129</v>
      </c>
      <c r="C316" s="1">
        <v>7</v>
      </c>
      <c r="D316" s="4">
        <v>300129</v>
      </c>
      <c r="E316" s="3" t="s">
        <v>1878</v>
      </c>
      <c r="F316" s="3"/>
      <c r="G316" s="1">
        <v>2605.5</v>
      </c>
      <c r="H316" s="1">
        <f t="shared" si="22"/>
        <v>2605.5</v>
      </c>
      <c r="I316" s="1" t="str">
        <f t="shared" si="23"/>
        <v/>
      </c>
      <c r="J316" s="1" t="str">
        <f>_xlfn.IFNA(INDEX([1]历练产出!$Z:$Z,MATCH(B316,[1]历练产出!$AB:$AB,0)),"")</f>
        <v/>
      </c>
      <c r="K316" s="1" t="str">
        <f>_xlfn.IFNA(INDEX([1]洞天福地产出!$H:$H,MATCH(B316,[1]洞天福地产出!$K:$K,0)),"")</f>
        <v/>
      </c>
      <c r="L316" s="1" t="str">
        <f t="shared" si="24"/>
        <v/>
      </c>
      <c r="M316" s="4">
        <f t="shared" si="25"/>
        <v>0</v>
      </c>
    </row>
    <row r="317" ht="30" spans="1:13">
      <c r="A317" s="4"/>
      <c r="B317" t="str">
        <f t="shared" si="26"/>
        <v>7:300130</v>
      </c>
      <c r="C317" s="1">
        <v>7</v>
      </c>
      <c r="D317" s="4">
        <v>300130</v>
      </c>
      <c r="E317" s="3" t="s">
        <v>1878</v>
      </c>
      <c r="F317" s="3"/>
      <c r="G317" s="1">
        <v>2779.65</v>
      </c>
      <c r="H317" s="1">
        <f t="shared" si="22"/>
        <v>2779.65</v>
      </c>
      <c r="I317" s="1" t="str">
        <f t="shared" si="23"/>
        <v/>
      </c>
      <c r="J317" s="1" t="str">
        <f>_xlfn.IFNA(INDEX([1]历练产出!$Z:$Z,MATCH(B317,[1]历练产出!$AB:$AB,0)),"")</f>
        <v/>
      </c>
      <c r="K317" s="1" t="str">
        <f>_xlfn.IFNA(INDEX([1]洞天福地产出!$H:$H,MATCH(B317,[1]洞天福地产出!$K:$K,0)),"")</f>
        <v/>
      </c>
      <c r="L317" s="1" t="str">
        <f t="shared" si="24"/>
        <v/>
      </c>
      <c r="M317" s="4">
        <f t="shared" si="25"/>
        <v>0</v>
      </c>
    </row>
    <row r="318" ht="45" spans="1:13">
      <c r="A318" s="4"/>
      <c r="B318" t="str">
        <f t="shared" si="26"/>
        <v>7:400101</v>
      </c>
      <c r="C318" s="1">
        <v>7</v>
      </c>
      <c r="D318" s="4">
        <v>400101</v>
      </c>
      <c r="E318" s="3" t="s">
        <v>419</v>
      </c>
      <c r="F318" s="3"/>
      <c r="G318" s="1">
        <v>25.65</v>
      </c>
      <c r="H318" s="1">
        <f t="shared" si="22"/>
        <v>25.65</v>
      </c>
      <c r="I318" s="1" t="str">
        <f t="shared" si="23"/>
        <v/>
      </c>
      <c r="J318" s="1" t="str">
        <f>_xlfn.IFNA(INDEX([1]历练产出!$Z:$Z,MATCH(B318,[1]历练产出!$AB:$AB,0)),"")</f>
        <v/>
      </c>
      <c r="K318" s="1" t="str">
        <f>_xlfn.IFNA(INDEX([1]洞天福地产出!$H:$H,MATCH(B318,[1]洞天福地产出!$K:$K,0)),"")</f>
        <v/>
      </c>
      <c r="L318" s="1" t="str">
        <f t="shared" si="24"/>
        <v/>
      </c>
      <c r="M318" s="4">
        <f t="shared" si="25"/>
        <v>0</v>
      </c>
    </row>
    <row r="319" ht="45" spans="1:13">
      <c r="A319" s="4"/>
      <c r="B319" t="str">
        <f t="shared" si="26"/>
        <v>7:400102</v>
      </c>
      <c r="C319" s="1">
        <v>7</v>
      </c>
      <c r="D319" s="4">
        <v>400102</v>
      </c>
      <c r="E319" s="3" t="s">
        <v>419</v>
      </c>
      <c r="F319" s="3"/>
      <c r="G319" s="1">
        <v>35.775</v>
      </c>
      <c r="H319" s="1">
        <f t="shared" si="22"/>
        <v>35.775</v>
      </c>
      <c r="I319" s="1" t="str">
        <f t="shared" si="23"/>
        <v/>
      </c>
      <c r="J319" s="1" t="str">
        <f>_xlfn.IFNA(INDEX([1]历练产出!$Z:$Z,MATCH(B319,[1]历练产出!$AB:$AB,0)),"")</f>
        <v/>
      </c>
      <c r="K319" s="1" t="str">
        <f>_xlfn.IFNA(INDEX([1]洞天福地产出!$H:$H,MATCH(B319,[1]洞天福地产出!$K:$K,0)),"")</f>
        <v/>
      </c>
      <c r="L319" s="1" t="str">
        <f t="shared" si="24"/>
        <v/>
      </c>
      <c r="M319" s="4">
        <f t="shared" si="25"/>
        <v>0</v>
      </c>
    </row>
    <row r="320" ht="45" spans="1:13">
      <c r="A320" s="4"/>
      <c r="B320" t="str">
        <f t="shared" si="26"/>
        <v>7:400103</v>
      </c>
      <c r="C320" s="1">
        <v>7</v>
      </c>
      <c r="D320" s="4">
        <v>400103</v>
      </c>
      <c r="E320" s="3" t="s">
        <v>419</v>
      </c>
      <c r="F320" s="3"/>
      <c r="G320" s="1">
        <v>51.975</v>
      </c>
      <c r="H320" s="1">
        <f t="shared" si="22"/>
        <v>51.975</v>
      </c>
      <c r="I320" s="1" t="str">
        <f t="shared" si="23"/>
        <v/>
      </c>
      <c r="J320" s="1" t="str">
        <f>_xlfn.IFNA(INDEX([1]历练产出!$Z:$Z,MATCH(B320,[1]历练产出!$AB:$AB,0)),"")</f>
        <v/>
      </c>
      <c r="K320" s="1" t="str">
        <f>_xlfn.IFNA(INDEX([1]洞天福地产出!$H:$H,MATCH(B320,[1]洞天福地产出!$K:$K,0)),"")</f>
        <v/>
      </c>
      <c r="L320" s="1" t="str">
        <f t="shared" si="24"/>
        <v/>
      </c>
      <c r="M320" s="4">
        <f t="shared" si="25"/>
        <v>0</v>
      </c>
    </row>
    <row r="321" ht="45" spans="1:13">
      <c r="A321" s="4"/>
      <c r="B321" t="str">
        <f t="shared" si="26"/>
        <v>7:400104</v>
      </c>
      <c r="C321" s="1">
        <v>7</v>
      </c>
      <c r="D321" s="4">
        <v>400104</v>
      </c>
      <c r="E321" s="3" t="s">
        <v>419</v>
      </c>
      <c r="F321" s="3"/>
      <c r="G321" s="1">
        <v>74.25</v>
      </c>
      <c r="H321" s="1">
        <f t="shared" si="22"/>
        <v>74.25</v>
      </c>
      <c r="I321" s="1" t="str">
        <f t="shared" si="23"/>
        <v/>
      </c>
      <c r="J321" s="1" t="str">
        <f>_xlfn.IFNA(INDEX([1]历练产出!$Z:$Z,MATCH(B321,[1]历练产出!$AB:$AB,0)),"")</f>
        <v/>
      </c>
      <c r="K321" s="1" t="str">
        <f>_xlfn.IFNA(INDEX([1]洞天福地产出!$H:$H,MATCH(B321,[1]洞天福地产出!$K:$K,0)),"")</f>
        <v/>
      </c>
      <c r="L321" s="1" t="str">
        <f t="shared" si="24"/>
        <v/>
      </c>
      <c r="M321" s="4">
        <f t="shared" si="25"/>
        <v>0</v>
      </c>
    </row>
    <row r="322" ht="45" spans="1:13">
      <c r="A322" s="4"/>
      <c r="B322" t="str">
        <f t="shared" si="26"/>
        <v>7:400105</v>
      </c>
      <c r="C322" s="1">
        <v>7</v>
      </c>
      <c r="D322" s="4">
        <v>400105</v>
      </c>
      <c r="E322" s="3" t="s">
        <v>419</v>
      </c>
      <c r="F322" s="3"/>
      <c r="G322" s="1">
        <v>102.6</v>
      </c>
      <c r="H322" s="1">
        <f t="shared" si="22"/>
        <v>102.6</v>
      </c>
      <c r="I322" s="1" t="str">
        <f t="shared" si="23"/>
        <v/>
      </c>
      <c r="J322" s="1" t="str">
        <f>_xlfn.IFNA(INDEX([1]历练产出!$Z:$Z,MATCH(B322,[1]历练产出!$AB:$AB,0)),"")</f>
        <v/>
      </c>
      <c r="K322" s="1" t="str">
        <f>_xlfn.IFNA(INDEX([1]洞天福地产出!$H:$H,MATCH(B322,[1]洞天福地产出!$K:$K,0)),"")</f>
        <v/>
      </c>
      <c r="L322" s="1" t="str">
        <f t="shared" si="24"/>
        <v/>
      </c>
      <c r="M322" s="4">
        <f t="shared" si="25"/>
        <v>0</v>
      </c>
    </row>
    <row r="323" ht="45" spans="1:13">
      <c r="A323" s="4"/>
      <c r="B323" t="str">
        <f t="shared" si="26"/>
        <v>7:400106</v>
      </c>
      <c r="C323" s="1">
        <v>7</v>
      </c>
      <c r="D323" s="4">
        <v>400106</v>
      </c>
      <c r="E323" s="3" t="s">
        <v>419</v>
      </c>
      <c r="F323" s="3"/>
      <c r="G323" s="1">
        <v>137.025</v>
      </c>
      <c r="H323" s="1">
        <f t="shared" si="22"/>
        <v>137.025</v>
      </c>
      <c r="I323" s="1" t="str">
        <f t="shared" si="23"/>
        <v/>
      </c>
      <c r="J323" s="1" t="str">
        <f>_xlfn.IFNA(INDEX([1]历练产出!$Z:$Z,MATCH(B323,[1]历练产出!$AB:$AB,0)),"")</f>
        <v/>
      </c>
      <c r="K323" s="1" t="str">
        <f>_xlfn.IFNA(INDEX([1]洞天福地产出!$H:$H,MATCH(B323,[1]洞天福地产出!$K:$K,0)),"")</f>
        <v/>
      </c>
      <c r="L323" s="1" t="str">
        <f t="shared" si="24"/>
        <v/>
      </c>
      <c r="M323" s="4">
        <f t="shared" si="25"/>
        <v>0</v>
      </c>
    </row>
    <row r="324" ht="45" spans="1:13">
      <c r="A324" s="4"/>
      <c r="B324" t="str">
        <f t="shared" si="26"/>
        <v>7:400107</v>
      </c>
      <c r="C324" s="1">
        <v>7</v>
      </c>
      <c r="D324" s="4">
        <v>400107</v>
      </c>
      <c r="E324" s="3" t="s">
        <v>419</v>
      </c>
      <c r="F324" s="3"/>
      <c r="G324" s="1">
        <v>177.525</v>
      </c>
      <c r="H324" s="1">
        <f t="shared" ref="H324:H387" si="27">IF(I324="",G324,I324)</f>
        <v>177.525</v>
      </c>
      <c r="I324" s="1" t="str">
        <f t="shared" ref="I324:I387" si="28">IFERROR(100/L324,"")</f>
        <v/>
      </c>
      <c r="J324" s="1" t="str">
        <f>_xlfn.IFNA(INDEX([1]历练产出!$Z:$Z,MATCH(B324,[1]历练产出!$AB:$AB,0)),"")</f>
        <v/>
      </c>
      <c r="K324" s="1" t="str">
        <f>_xlfn.IFNA(INDEX([1]洞天福地产出!$H:$H,MATCH(B324,[1]洞天福地产出!$K:$K,0)),"")</f>
        <v/>
      </c>
      <c r="L324" s="1" t="str">
        <f t="shared" ref="L324:L387" si="29">IFERROR(J324+K324,"")</f>
        <v/>
      </c>
      <c r="M324" s="4">
        <f t="shared" ref="M324:M387" si="30">IF(I324="",0,1)</f>
        <v>0</v>
      </c>
    </row>
    <row r="325" ht="45" spans="1:13">
      <c r="A325" s="4"/>
      <c r="B325" t="str">
        <f t="shared" si="26"/>
        <v>7:400108</v>
      </c>
      <c r="C325" s="1">
        <v>7</v>
      </c>
      <c r="D325" s="4">
        <v>400108</v>
      </c>
      <c r="E325" s="3" t="s">
        <v>419</v>
      </c>
      <c r="F325" s="3"/>
      <c r="G325" s="1">
        <v>224.1</v>
      </c>
      <c r="H325" s="1">
        <f t="shared" si="27"/>
        <v>224.1</v>
      </c>
      <c r="I325" s="1" t="str">
        <f t="shared" si="28"/>
        <v/>
      </c>
      <c r="J325" s="1" t="str">
        <f>_xlfn.IFNA(INDEX([1]历练产出!$Z:$Z,MATCH(B325,[1]历练产出!$AB:$AB,0)),"")</f>
        <v/>
      </c>
      <c r="K325" s="1" t="str">
        <f>_xlfn.IFNA(INDEX([1]洞天福地产出!$H:$H,MATCH(B325,[1]洞天福地产出!$K:$K,0)),"")</f>
        <v/>
      </c>
      <c r="L325" s="1" t="str">
        <f t="shared" si="29"/>
        <v/>
      </c>
      <c r="M325" s="4">
        <f t="shared" si="30"/>
        <v>0</v>
      </c>
    </row>
    <row r="326" ht="45" spans="1:13">
      <c r="A326" s="4"/>
      <c r="B326" t="str">
        <f t="shared" si="26"/>
        <v>7:400109</v>
      </c>
      <c r="C326" s="1">
        <v>7</v>
      </c>
      <c r="D326" s="4">
        <v>400109</v>
      </c>
      <c r="E326" s="3" t="s">
        <v>419</v>
      </c>
      <c r="F326" s="3"/>
      <c r="G326" s="1">
        <v>276.75</v>
      </c>
      <c r="H326" s="1">
        <f t="shared" si="27"/>
        <v>276.75</v>
      </c>
      <c r="I326" s="1" t="str">
        <f t="shared" si="28"/>
        <v/>
      </c>
      <c r="J326" s="1" t="str">
        <f>_xlfn.IFNA(INDEX([1]历练产出!$Z:$Z,MATCH(B326,[1]历练产出!$AB:$AB,0)),"")</f>
        <v/>
      </c>
      <c r="K326" s="1" t="str">
        <f>_xlfn.IFNA(INDEX([1]洞天福地产出!$H:$H,MATCH(B326,[1]洞天福地产出!$K:$K,0)),"")</f>
        <v/>
      </c>
      <c r="L326" s="1" t="str">
        <f t="shared" si="29"/>
        <v/>
      </c>
      <c r="M326" s="4">
        <f t="shared" si="30"/>
        <v>0</v>
      </c>
    </row>
    <row r="327" ht="45" spans="1:13">
      <c r="A327" s="4"/>
      <c r="B327" t="str">
        <f t="shared" si="26"/>
        <v>7:400110</v>
      </c>
      <c r="C327" s="1">
        <v>7</v>
      </c>
      <c r="D327" s="4">
        <v>400110</v>
      </c>
      <c r="E327" s="3" t="s">
        <v>419</v>
      </c>
      <c r="F327" s="3"/>
      <c r="G327" s="1">
        <v>335.475</v>
      </c>
      <c r="H327" s="1">
        <f t="shared" si="27"/>
        <v>335.475</v>
      </c>
      <c r="I327" s="1" t="str">
        <f t="shared" si="28"/>
        <v/>
      </c>
      <c r="J327" s="1" t="str">
        <f>_xlfn.IFNA(INDEX([1]历练产出!$Z:$Z,MATCH(B327,[1]历练产出!$AB:$AB,0)),"")</f>
        <v/>
      </c>
      <c r="K327" s="1" t="str">
        <f>_xlfn.IFNA(INDEX([1]洞天福地产出!$H:$H,MATCH(B327,[1]洞天福地产出!$K:$K,0)),"")</f>
        <v/>
      </c>
      <c r="L327" s="1" t="str">
        <f t="shared" si="29"/>
        <v/>
      </c>
      <c r="M327" s="4">
        <f t="shared" si="30"/>
        <v>0</v>
      </c>
    </row>
    <row r="328" ht="45" spans="1:13">
      <c r="A328" s="4"/>
      <c r="B328" t="str">
        <f t="shared" si="26"/>
        <v>7:400111</v>
      </c>
      <c r="C328" s="1">
        <v>7</v>
      </c>
      <c r="D328" s="4">
        <v>400111</v>
      </c>
      <c r="E328" s="3" t="s">
        <v>419</v>
      </c>
      <c r="F328" s="3"/>
      <c r="G328" s="1">
        <v>400.275</v>
      </c>
      <c r="H328" s="1">
        <f t="shared" si="27"/>
        <v>400.275</v>
      </c>
      <c r="I328" s="1" t="str">
        <f t="shared" si="28"/>
        <v/>
      </c>
      <c r="J328" s="1" t="str">
        <f>_xlfn.IFNA(INDEX([1]历练产出!$Z:$Z,MATCH(B328,[1]历练产出!$AB:$AB,0)),"")</f>
        <v/>
      </c>
      <c r="K328" s="1" t="str">
        <f>_xlfn.IFNA(INDEX([1]洞天福地产出!$H:$H,MATCH(B328,[1]洞天福地产出!$K:$K,0)),"")</f>
        <v/>
      </c>
      <c r="L328" s="1" t="str">
        <f t="shared" si="29"/>
        <v/>
      </c>
      <c r="M328" s="4">
        <f t="shared" si="30"/>
        <v>0</v>
      </c>
    </row>
    <row r="329" ht="45" spans="1:13">
      <c r="A329" s="4"/>
      <c r="B329" t="str">
        <f t="shared" si="26"/>
        <v>7:400112</v>
      </c>
      <c r="C329" s="1">
        <v>7</v>
      </c>
      <c r="D329" s="4">
        <v>400112</v>
      </c>
      <c r="E329" s="3" t="s">
        <v>419</v>
      </c>
      <c r="F329" s="3"/>
      <c r="G329" s="1">
        <v>471.15</v>
      </c>
      <c r="H329" s="1">
        <f t="shared" si="27"/>
        <v>471.15</v>
      </c>
      <c r="I329" s="1" t="str">
        <f t="shared" si="28"/>
        <v/>
      </c>
      <c r="J329" s="1" t="str">
        <f>_xlfn.IFNA(INDEX([1]历练产出!$Z:$Z,MATCH(B329,[1]历练产出!$AB:$AB,0)),"")</f>
        <v/>
      </c>
      <c r="K329" s="1" t="str">
        <f>_xlfn.IFNA(INDEX([1]洞天福地产出!$H:$H,MATCH(B329,[1]洞天福地产出!$K:$K,0)),"")</f>
        <v/>
      </c>
      <c r="L329" s="1" t="str">
        <f t="shared" si="29"/>
        <v/>
      </c>
      <c r="M329" s="4">
        <f t="shared" si="30"/>
        <v>0</v>
      </c>
    </row>
    <row r="330" ht="45" spans="1:13">
      <c r="A330" s="4"/>
      <c r="B330" t="str">
        <f t="shared" si="26"/>
        <v>7:400113</v>
      </c>
      <c r="C330" s="1">
        <v>7</v>
      </c>
      <c r="D330" s="4">
        <v>400113</v>
      </c>
      <c r="E330" s="3" t="s">
        <v>419</v>
      </c>
      <c r="F330" s="3"/>
      <c r="G330" s="1">
        <v>548.1</v>
      </c>
      <c r="H330" s="1">
        <f t="shared" si="27"/>
        <v>548.1</v>
      </c>
      <c r="I330" s="1" t="str">
        <f t="shared" si="28"/>
        <v/>
      </c>
      <c r="J330" s="1" t="str">
        <f>_xlfn.IFNA(INDEX([1]历练产出!$Z:$Z,MATCH(B330,[1]历练产出!$AB:$AB,0)),"")</f>
        <v/>
      </c>
      <c r="K330" s="1" t="str">
        <f>_xlfn.IFNA(INDEX([1]洞天福地产出!$H:$H,MATCH(B330,[1]洞天福地产出!$K:$K,0)),"")</f>
        <v/>
      </c>
      <c r="L330" s="1" t="str">
        <f t="shared" si="29"/>
        <v/>
      </c>
      <c r="M330" s="4">
        <f t="shared" si="30"/>
        <v>0</v>
      </c>
    </row>
    <row r="331" ht="45" spans="1:13">
      <c r="A331" s="4"/>
      <c r="B331" t="str">
        <f t="shared" si="26"/>
        <v>7:400114</v>
      </c>
      <c r="C331" s="1">
        <v>7</v>
      </c>
      <c r="D331" s="4">
        <v>400114</v>
      </c>
      <c r="E331" s="3" t="s">
        <v>419</v>
      </c>
      <c r="F331" s="3"/>
      <c r="G331" s="1">
        <v>631.125</v>
      </c>
      <c r="H331" s="1">
        <f t="shared" si="27"/>
        <v>631.125</v>
      </c>
      <c r="I331" s="1" t="str">
        <f t="shared" si="28"/>
        <v/>
      </c>
      <c r="J331" s="1" t="str">
        <f>_xlfn.IFNA(INDEX([1]历练产出!$Z:$Z,MATCH(B331,[1]历练产出!$AB:$AB,0)),"")</f>
        <v/>
      </c>
      <c r="K331" s="1" t="str">
        <f>_xlfn.IFNA(INDEX([1]洞天福地产出!$H:$H,MATCH(B331,[1]洞天福地产出!$K:$K,0)),"")</f>
        <v/>
      </c>
      <c r="L331" s="1" t="str">
        <f t="shared" si="29"/>
        <v/>
      </c>
      <c r="M331" s="4">
        <f t="shared" si="30"/>
        <v>0</v>
      </c>
    </row>
    <row r="332" ht="45" spans="1:13">
      <c r="A332" s="4"/>
      <c r="B332" t="str">
        <f t="shared" si="26"/>
        <v>7:400115</v>
      </c>
      <c r="C332" s="1">
        <v>7</v>
      </c>
      <c r="D332" s="4">
        <v>400115</v>
      </c>
      <c r="E332" s="3" t="s">
        <v>419</v>
      </c>
      <c r="F332" s="3"/>
      <c r="G332" s="1">
        <v>720.225</v>
      </c>
      <c r="H332" s="1">
        <f t="shared" si="27"/>
        <v>720.225</v>
      </c>
      <c r="I332" s="1" t="str">
        <f t="shared" si="28"/>
        <v/>
      </c>
      <c r="J332" s="1" t="str">
        <f>_xlfn.IFNA(INDEX([1]历练产出!$Z:$Z,MATCH(B332,[1]历练产出!$AB:$AB,0)),"")</f>
        <v/>
      </c>
      <c r="K332" s="1" t="str">
        <f>_xlfn.IFNA(INDEX([1]洞天福地产出!$H:$H,MATCH(B332,[1]洞天福地产出!$K:$K,0)),"")</f>
        <v/>
      </c>
      <c r="L332" s="1" t="str">
        <f t="shared" si="29"/>
        <v/>
      </c>
      <c r="M332" s="4">
        <f t="shared" si="30"/>
        <v>0</v>
      </c>
    </row>
    <row r="333" ht="45" spans="1:13">
      <c r="A333" s="4"/>
      <c r="B333" t="str">
        <f t="shared" si="26"/>
        <v>7:400116</v>
      </c>
      <c r="C333" s="1">
        <v>7</v>
      </c>
      <c r="D333" s="4">
        <v>400116</v>
      </c>
      <c r="E333" s="3" t="s">
        <v>419</v>
      </c>
      <c r="F333" s="3"/>
      <c r="G333" s="1">
        <v>815.4</v>
      </c>
      <c r="H333" s="1">
        <f t="shared" si="27"/>
        <v>815.4</v>
      </c>
      <c r="I333" s="1" t="str">
        <f t="shared" si="28"/>
        <v/>
      </c>
      <c r="J333" s="1" t="str">
        <f>_xlfn.IFNA(INDEX([1]历练产出!$Z:$Z,MATCH(B333,[1]历练产出!$AB:$AB,0)),"")</f>
        <v/>
      </c>
      <c r="K333" s="1" t="str">
        <f>_xlfn.IFNA(INDEX([1]洞天福地产出!$H:$H,MATCH(B333,[1]洞天福地产出!$K:$K,0)),"")</f>
        <v/>
      </c>
      <c r="L333" s="1" t="str">
        <f t="shared" si="29"/>
        <v/>
      </c>
      <c r="M333" s="4">
        <f t="shared" si="30"/>
        <v>0</v>
      </c>
    </row>
    <row r="334" ht="45" spans="1:13">
      <c r="A334" s="4"/>
      <c r="B334" t="str">
        <f t="shared" si="26"/>
        <v>7:400117</v>
      </c>
      <c r="C334" s="1">
        <v>7</v>
      </c>
      <c r="D334" s="4">
        <v>400117</v>
      </c>
      <c r="E334" s="3" t="s">
        <v>419</v>
      </c>
      <c r="F334" s="3"/>
      <c r="G334" s="1">
        <v>916.65</v>
      </c>
      <c r="H334" s="1">
        <f t="shared" si="27"/>
        <v>916.65</v>
      </c>
      <c r="I334" s="1" t="str">
        <f t="shared" si="28"/>
        <v/>
      </c>
      <c r="J334" s="1" t="str">
        <f>_xlfn.IFNA(INDEX([1]历练产出!$Z:$Z,MATCH(B334,[1]历练产出!$AB:$AB,0)),"")</f>
        <v/>
      </c>
      <c r="K334" s="1" t="str">
        <f>_xlfn.IFNA(INDEX([1]洞天福地产出!$H:$H,MATCH(B334,[1]洞天福地产出!$K:$K,0)),"")</f>
        <v/>
      </c>
      <c r="L334" s="1" t="str">
        <f t="shared" si="29"/>
        <v/>
      </c>
      <c r="M334" s="4">
        <f t="shared" si="30"/>
        <v>0</v>
      </c>
    </row>
    <row r="335" ht="45" spans="1:13">
      <c r="A335" s="4"/>
      <c r="B335" t="str">
        <f t="shared" si="26"/>
        <v>7:400118</v>
      </c>
      <c r="C335" s="1">
        <v>7</v>
      </c>
      <c r="D335" s="4">
        <v>400118</v>
      </c>
      <c r="E335" s="3" t="s">
        <v>419</v>
      </c>
      <c r="F335" s="3"/>
      <c r="G335" s="1">
        <v>1023.975</v>
      </c>
      <c r="H335" s="1">
        <f t="shared" si="27"/>
        <v>1023.975</v>
      </c>
      <c r="I335" s="1" t="str">
        <f t="shared" si="28"/>
        <v/>
      </c>
      <c r="J335" s="1" t="str">
        <f>_xlfn.IFNA(INDEX([1]历练产出!$Z:$Z,MATCH(B335,[1]历练产出!$AB:$AB,0)),"")</f>
        <v/>
      </c>
      <c r="K335" s="1" t="str">
        <f>_xlfn.IFNA(INDEX([1]洞天福地产出!$H:$H,MATCH(B335,[1]洞天福地产出!$K:$K,0)),"")</f>
        <v/>
      </c>
      <c r="L335" s="1" t="str">
        <f t="shared" si="29"/>
        <v/>
      </c>
      <c r="M335" s="4">
        <f t="shared" si="30"/>
        <v>0</v>
      </c>
    </row>
    <row r="336" ht="45" spans="1:13">
      <c r="A336" s="4"/>
      <c r="B336" t="str">
        <f t="shared" si="26"/>
        <v>7:400119</v>
      </c>
      <c r="C336" s="1">
        <v>7</v>
      </c>
      <c r="D336" s="4">
        <v>400119</v>
      </c>
      <c r="E336" s="3" t="s">
        <v>419</v>
      </c>
      <c r="F336" s="3"/>
      <c r="G336" s="1">
        <v>1137.375</v>
      </c>
      <c r="H336" s="1">
        <f t="shared" si="27"/>
        <v>1137.375</v>
      </c>
      <c r="I336" s="1" t="str">
        <f t="shared" si="28"/>
        <v/>
      </c>
      <c r="J336" s="1" t="str">
        <f>_xlfn.IFNA(INDEX([1]历练产出!$Z:$Z,MATCH(B336,[1]历练产出!$AB:$AB,0)),"")</f>
        <v/>
      </c>
      <c r="K336" s="1" t="str">
        <f>_xlfn.IFNA(INDEX([1]洞天福地产出!$H:$H,MATCH(B336,[1]洞天福地产出!$K:$K,0)),"")</f>
        <v/>
      </c>
      <c r="L336" s="1" t="str">
        <f t="shared" si="29"/>
        <v/>
      </c>
      <c r="M336" s="4">
        <f t="shared" si="30"/>
        <v>0</v>
      </c>
    </row>
    <row r="337" ht="45" spans="1:13">
      <c r="A337" s="4"/>
      <c r="B337" t="str">
        <f t="shared" si="26"/>
        <v>7:400120</v>
      </c>
      <c r="C337" s="1">
        <v>7</v>
      </c>
      <c r="D337" s="4">
        <v>400120</v>
      </c>
      <c r="E337" s="3" t="s">
        <v>419</v>
      </c>
      <c r="F337" s="3"/>
      <c r="G337" s="1">
        <v>1256.85</v>
      </c>
      <c r="H337" s="1">
        <f t="shared" si="27"/>
        <v>1256.85</v>
      </c>
      <c r="I337" s="1" t="str">
        <f t="shared" si="28"/>
        <v/>
      </c>
      <c r="J337" s="1" t="str">
        <f>_xlfn.IFNA(INDEX([1]历练产出!$Z:$Z,MATCH(B337,[1]历练产出!$AB:$AB,0)),"")</f>
        <v/>
      </c>
      <c r="K337" s="1" t="str">
        <f>_xlfn.IFNA(INDEX([1]洞天福地产出!$H:$H,MATCH(B337,[1]洞天福地产出!$K:$K,0)),"")</f>
        <v/>
      </c>
      <c r="L337" s="1" t="str">
        <f t="shared" si="29"/>
        <v/>
      </c>
      <c r="M337" s="4">
        <f t="shared" si="30"/>
        <v>0</v>
      </c>
    </row>
    <row r="338" ht="45" spans="1:13">
      <c r="A338" s="4"/>
      <c r="B338" t="str">
        <f t="shared" si="26"/>
        <v>7:400121</v>
      </c>
      <c r="C338" s="1">
        <v>7</v>
      </c>
      <c r="D338" s="4">
        <v>400121</v>
      </c>
      <c r="E338" s="3" t="s">
        <v>419</v>
      </c>
      <c r="F338" s="3"/>
      <c r="G338" s="1">
        <v>1382.4</v>
      </c>
      <c r="H338" s="1">
        <f t="shared" si="27"/>
        <v>1382.4</v>
      </c>
      <c r="I338" s="1" t="str">
        <f t="shared" si="28"/>
        <v/>
      </c>
      <c r="J338" s="1" t="str">
        <f>_xlfn.IFNA(INDEX([1]历练产出!$Z:$Z,MATCH(B338,[1]历练产出!$AB:$AB,0)),"")</f>
        <v/>
      </c>
      <c r="K338" s="1" t="str">
        <f>_xlfn.IFNA(INDEX([1]洞天福地产出!$H:$H,MATCH(B338,[1]洞天福地产出!$K:$K,0)),"")</f>
        <v/>
      </c>
      <c r="L338" s="1" t="str">
        <f t="shared" si="29"/>
        <v/>
      </c>
      <c r="M338" s="4">
        <f t="shared" si="30"/>
        <v>0</v>
      </c>
    </row>
    <row r="339" ht="45" spans="1:13">
      <c r="A339" s="4"/>
      <c r="B339" t="str">
        <f t="shared" si="26"/>
        <v>7:400122</v>
      </c>
      <c r="C339" s="1">
        <v>7</v>
      </c>
      <c r="D339" s="4">
        <v>400122</v>
      </c>
      <c r="E339" s="3" t="s">
        <v>419</v>
      </c>
      <c r="F339" s="3"/>
      <c r="G339" s="1">
        <v>1514.025</v>
      </c>
      <c r="H339" s="1">
        <f t="shared" si="27"/>
        <v>1514.025</v>
      </c>
      <c r="I339" s="1" t="str">
        <f t="shared" si="28"/>
        <v/>
      </c>
      <c r="J339" s="1" t="str">
        <f>_xlfn.IFNA(INDEX([1]历练产出!$Z:$Z,MATCH(B339,[1]历练产出!$AB:$AB,0)),"")</f>
        <v/>
      </c>
      <c r="K339" s="1" t="str">
        <f>_xlfn.IFNA(INDEX([1]洞天福地产出!$H:$H,MATCH(B339,[1]洞天福地产出!$K:$K,0)),"")</f>
        <v/>
      </c>
      <c r="L339" s="1" t="str">
        <f t="shared" si="29"/>
        <v/>
      </c>
      <c r="M339" s="4">
        <f t="shared" si="30"/>
        <v>0</v>
      </c>
    </row>
    <row r="340" ht="45" spans="1:13">
      <c r="A340" s="4"/>
      <c r="B340" t="str">
        <f t="shared" si="26"/>
        <v>7:400123</v>
      </c>
      <c r="C340" s="1">
        <v>7</v>
      </c>
      <c r="D340" s="4">
        <v>400123</v>
      </c>
      <c r="E340" s="3" t="s">
        <v>419</v>
      </c>
      <c r="F340" s="3"/>
      <c r="G340" s="1">
        <v>1651.725</v>
      </c>
      <c r="H340" s="1">
        <f t="shared" si="27"/>
        <v>1651.725</v>
      </c>
      <c r="I340" s="1" t="str">
        <f t="shared" si="28"/>
        <v/>
      </c>
      <c r="J340" s="1" t="str">
        <f>_xlfn.IFNA(INDEX([1]历练产出!$Z:$Z,MATCH(B340,[1]历练产出!$AB:$AB,0)),"")</f>
        <v/>
      </c>
      <c r="K340" s="1" t="str">
        <f>_xlfn.IFNA(INDEX([1]洞天福地产出!$H:$H,MATCH(B340,[1]洞天福地产出!$K:$K,0)),"")</f>
        <v/>
      </c>
      <c r="L340" s="1" t="str">
        <f t="shared" si="29"/>
        <v/>
      </c>
      <c r="M340" s="4">
        <f t="shared" si="30"/>
        <v>0</v>
      </c>
    </row>
    <row r="341" ht="45" spans="1:13">
      <c r="A341" s="4"/>
      <c r="B341" t="str">
        <f t="shared" si="26"/>
        <v>7:400124</v>
      </c>
      <c r="C341" s="1">
        <v>7</v>
      </c>
      <c r="D341" s="4">
        <v>400124</v>
      </c>
      <c r="E341" s="3" t="s">
        <v>419</v>
      </c>
      <c r="F341" s="3"/>
      <c r="G341" s="1">
        <v>1795.5</v>
      </c>
      <c r="H341" s="1">
        <f t="shared" si="27"/>
        <v>1795.5</v>
      </c>
      <c r="I341" s="1" t="str">
        <f t="shared" si="28"/>
        <v/>
      </c>
      <c r="J341" s="1" t="str">
        <f>_xlfn.IFNA(INDEX([1]历练产出!$Z:$Z,MATCH(B341,[1]历练产出!$AB:$AB,0)),"")</f>
        <v/>
      </c>
      <c r="K341" s="1" t="str">
        <f>_xlfn.IFNA(INDEX([1]洞天福地产出!$H:$H,MATCH(B341,[1]洞天福地产出!$K:$K,0)),"")</f>
        <v/>
      </c>
      <c r="L341" s="1" t="str">
        <f t="shared" si="29"/>
        <v/>
      </c>
      <c r="M341" s="4">
        <f t="shared" si="30"/>
        <v>0</v>
      </c>
    </row>
    <row r="342" ht="45" spans="1:13">
      <c r="A342" s="4"/>
      <c r="B342" t="str">
        <f t="shared" si="26"/>
        <v>7:400125</v>
      </c>
      <c r="C342" s="1">
        <v>7</v>
      </c>
      <c r="D342" s="4">
        <v>400125</v>
      </c>
      <c r="E342" s="3" t="s">
        <v>419</v>
      </c>
      <c r="F342" s="3"/>
      <c r="G342" s="1">
        <v>1945.35</v>
      </c>
      <c r="H342" s="1">
        <f t="shared" si="27"/>
        <v>1945.35</v>
      </c>
      <c r="I342" s="1" t="str">
        <f t="shared" si="28"/>
        <v/>
      </c>
      <c r="J342" s="1" t="str">
        <f>_xlfn.IFNA(INDEX([1]历练产出!$Z:$Z,MATCH(B342,[1]历练产出!$AB:$AB,0)),"")</f>
        <v/>
      </c>
      <c r="K342" s="1" t="str">
        <f>_xlfn.IFNA(INDEX([1]洞天福地产出!$H:$H,MATCH(B342,[1]洞天福地产出!$K:$K,0)),"")</f>
        <v/>
      </c>
      <c r="L342" s="1" t="str">
        <f t="shared" si="29"/>
        <v/>
      </c>
      <c r="M342" s="4">
        <f t="shared" si="30"/>
        <v>0</v>
      </c>
    </row>
    <row r="343" ht="45" spans="1:13">
      <c r="A343" s="4"/>
      <c r="B343" t="str">
        <f t="shared" si="26"/>
        <v>7:400126</v>
      </c>
      <c r="C343" s="1">
        <v>7</v>
      </c>
      <c r="D343" s="4">
        <v>400126</v>
      </c>
      <c r="E343" s="3" t="s">
        <v>419</v>
      </c>
      <c r="F343" s="3"/>
      <c r="G343" s="1">
        <v>2101.275</v>
      </c>
      <c r="H343" s="1">
        <f t="shared" si="27"/>
        <v>2101.275</v>
      </c>
      <c r="I343" s="1" t="str">
        <f t="shared" si="28"/>
        <v/>
      </c>
      <c r="J343" s="1" t="str">
        <f>_xlfn.IFNA(INDEX([1]历练产出!$Z:$Z,MATCH(B343,[1]历练产出!$AB:$AB,0)),"")</f>
        <v/>
      </c>
      <c r="K343" s="1" t="str">
        <f>_xlfn.IFNA(INDEX([1]洞天福地产出!$H:$H,MATCH(B343,[1]洞天福地产出!$K:$K,0)),"")</f>
        <v/>
      </c>
      <c r="L343" s="1" t="str">
        <f t="shared" si="29"/>
        <v/>
      </c>
      <c r="M343" s="4">
        <f t="shared" si="30"/>
        <v>0</v>
      </c>
    </row>
    <row r="344" ht="45" spans="1:13">
      <c r="A344" s="4"/>
      <c r="B344" t="str">
        <f t="shared" si="26"/>
        <v>7:400127</v>
      </c>
      <c r="C344" s="1">
        <v>7</v>
      </c>
      <c r="D344" s="4">
        <v>400127</v>
      </c>
      <c r="E344" s="3" t="s">
        <v>419</v>
      </c>
      <c r="F344" s="3"/>
      <c r="G344" s="1">
        <v>2263.275</v>
      </c>
      <c r="H344" s="1">
        <f t="shared" si="27"/>
        <v>2263.275</v>
      </c>
      <c r="I344" s="1" t="str">
        <f t="shared" si="28"/>
        <v/>
      </c>
      <c r="J344" s="1" t="str">
        <f>_xlfn.IFNA(INDEX([1]历练产出!$Z:$Z,MATCH(B344,[1]历练产出!$AB:$AB,0)),"")</f>
        <v/>
      </c>
      <c r="K344" s="1" t="str">
        <f>_xlfn.IFNA(INDEX([1]洞天福地产出!$H:$H,MATCH(B344,[1]洞天福地产出!$K:$K,0)),"")</f>
        <v/>
      </c>
      <c r="L344" s="1" t="str">
        <f t="shared" si="29"/>
        <v/>
      </c>
      <c r="M344" s="4">
        <f t="shared" si="30"/>
        <v>0</v>
      </c>
    </row>
    <row r="345" ht="45" spans="1:13">
      <c r="A345" s="4"/>
      <c r="B345" t="str">
        <f t="shared" si="26"/>
        <v>7:400128</v>
      </c>
      <c r="C345" s="1">
        <v>7</v>
      </c>
      <c r="D345" s="4">
        <v>400128</v>
      </c>
      <c r="E345" s="3" t="s">
        <v>419</v>
      </c>
      <c r="F345" s="3"/>
      <c r="G345" s="1">
        <v>2431.35</v>
      </c>
      <c r="H345" s="1">
        <f t="shared" si="27"/>
        <v>2431.35</v>
      </c>
      <c r="I345" s="1" t="str">
        <f t="shared" si="28"/>
        <v/>
      </c>
      <c r="J345" s="1" t="str">
        <f>_xlfn.IFNA(INDEX([1]历练产出!$Z:$Z,MATCH(B345,[1]历练产出!$AB:$AB,0)),"")</f>
        <v/>
      </c>
      <c r="K345" s="1" t="str">
        <f>_xlfn.IFNA(INDEX([1]洞天福地产出!$H:$H,MATCH(B345,[1]洞天福地产出!$K:$K,0)),"")</f>
        <v/>
      </c>
      <c r="L345" s="1" t="str">
        <f t="shared" si="29"/>
        <v/>
      </c>
      <c r="M345" s="4">
        <f t="shared" si="30"/>
        <v>0</v>
      </c>
    </row>
    <row r="346" ht="45" spans="1:13">
      <c r="A346" s="4"/>
      <c r="B346" t="str">
        <f t="shared" si="26"/>
        <v>7:400129</v>
      </c>
      <c r="C346" s="1">
        <v>7</v>
      </c>
      <c r="D346" s="4">
        <v>400129</v>
      </c>
      <c r="E346" s="3" t="s">
        <v>419</v>
      </c>
      <c r="F346" s="3"/>
      <c r="G346" s="1">
        <v>2605.5</v>
      </c>
      <c r="H346" s="1">
        <f t="shared" si="27"/>
        <v>2605.5</v>
      </c>
      <c r="I346" s="1" t="str">
        <f t="shared" si="28"/>
        <v/>
      </c>
      <c r="J346" s="1" t="str">
        <f>_xlfn.IFNA(INDEX([1]历练产出!$Z:$Z,MATCH(B346,[1]历练产出!$AB:$AB,0)),"")</f>
        <v/>
      </c>
      <c r="K346" s="1" t="str">
        <f>_xlfn.IFNA(INDEX([1]洞天福地产出!$H:$H,MATCH(B346,[1]洞天福地产出!$K:$K,0)),"")</f>
        <v/>
      </c>
      <c r="L346" s="1" t="str">
        <f t="shared" si="29"/>
        <v/>
      </c>
      <c r="M346" s="4">
        <f t="shared" si="30"/>
        <v>0</v>
      </c>
    </row>
    <row r="347" ht="45" spans="1:13">
      <c r="A347" s="4"/>
      <c r="B347" t="str">
        <f t="shared" si="26"/>
        <v>7:400130</v>
      </c>
      <c r="C347" s="1">
        <v>7</v>
      </c>
      <c r="D347" s="4">
        <v>400130</v>
      </c>
      <c r="E347" s="3" t="s">
        <v>419</v>
      </c>
      <c r="F347" s="3"/>
      <c r="G347" s="1">
        <v>2779.65</v>
      </c>
      <c r="H347" s="1">
        <f t="shared" si="27"/>
        <v>2779.65</v>
      </c>
      <c r="I347" s="1" t="str">
        <f t="shared" si="28"/>
        <v/>
      </c>
      <c r="J347" s="1" t="str">
        <f>_xlfn.IFNA(INDEX([1]历练产出!$Z:$Z,MATCH(B347,[1]历练产出!$AB:$AB,0)),"")</f>
        <v/>
      </c>
      <c r="K347" s="1" t="str">
        <f>_xlfn.IFNA(INDEX([1]洞天福地产出!$H:$H,MATCH(B347,[1]洞天福地产出!$K:$K,0)),"")</f>
        <v/>
      </c>
      <c r="L347" s="1" t="str">
        <f t="shared" si="29"/>
        <v/>
      </c>
      <c r="M347" s="4">
        <f t="shared" si="30"/>
        <v>0</v>
      </c>
    </row>
    <row r="348" ht="45" spans="1:13">
      <c r="A348" s="4"/>
      <c r="B348" t="str">
        <f t="shared" si="26"/>
        <v>7:500101</v>
      </c>
      <c r="C348" s="1">
        <v>7</v>
      </c>
      <c r="D348" s="4">
        <v>500101</v>
      </c>
      <c r="E348" s="3" t="s">
        <v>1879</v>
      </c>
      <c r="F348" s="3"/>
      <c r="G348" s="1">
        <v>25.65</v>
      </c>
      <c r="H348" s="1">
        <f t="shared" si="27"/>
        <v>25.65</v>
      </c>
      <c r="I348" s="1" t="str">
        <f t="shared" si="28"/>
        <v/>
      </c>
      <c r="J348" s="1" t="str">
        <f>_xlfn.IFNA(INDEX([1]历练产出!$Z:$Z,MATCH(B348,[1]历练产出!$AB:$AB,0)),"")</f>
        <v/>
      </c>
      <c r="K348" s="1" t="str">
        <f>_xlfn.IFNA(INDEX([1]洞天福地产出!$H:$H,MATCH(B348,[1]洞天福地产出!$K:$K,0)),"")</f>
        <v/>
      </c>
      <c r="L348" s="1" t="str">
        <f t="shared" si="29"/>
        <v/>
      </c>
      <c r="M348" s="4">
        <f t="shared" si="30"/>
        <v>0</v>
      </c>
    </row>
    <row r="349" ht="45" spans="1:13">
      <c r="A349" s="4"/>
      <c r="B349" t="str">
        <f t="shared" si="26"/>
        <v>7:500102</v>
      </c>
      <c r="C349" s="1">
        <v>7</v>
      </c>
      <c r="D349" s="4">
        <v>500102</v>
      </c>
      <c r="E349" s="3" t="s">
        <v>1879</v>
      </c>
      <c r="F349" s="3"/>
      <c r="G349" s="1">
        <v>35.775</v>
      </c>
      <c r="H349" s="1">
        <f t="shared" si="27"/>
        <v>35.775</v>
      </c>
      <c r="I349" s="1" t="str">
        <f t="shared" si="28"/>
        <v/>
      </c>
      <c r="J349" s="1" t="str">
        <f>_xlfn.IFNA(INDEX([1]历练产出!$Z:$Z,MATCH(B349,[1]历练产出!$AB:$AB,0)),"")</f>
        <v/>
      </c>
      <c r="K349" s="1" t="str">
        <f>_xlfn.IFNA(INDEX([1]洞天福地产出!$H:$H,MATCH(B349,[1]洞天福地产出!$K:$K,0)),"")</f>
        <v/>
      </c>
      <c r="L349" s="1" t="str">
        <f t="shared" si="29"/>
        <v/>
      </c>
      <c r="M349" s="4">
        <f t="shared" si="30"/>
        <v>0</v>
      </c>
    </row>
    <row r="350" ht="45" spans="1:13">
      <c r="A350" s="4"/>
      <c r="B350" t="str">
        <f t="shared" si="26"/>
        <v>7:500103</v>
      </c>
      <c r="C350" s="1">
        <v>7</v>
      </c>
      <c r="D350" s="4">
        <v>500103</v>
      </c>
      <c r="E350" s="3" t="s">
        <v>1879</v>
      </c>
      <c r="F350" s="3"/>
      <c r="G350" s="1">
        <v>51.975</v>
      </c>
      <c r="H350" s="1">
        <f t="shared" si="27"/>
        <v>51.975</v>
      </c>
      <c r="I350" s="1" t="str">
        <f t="shared" si="28"/>
        <v/>
      </c>
      <c r="J350" s="1" t="str">
        <f>_xlfn.IFNA(INDEX([1]历练产出!$Z:$Z,MATCH(B350,[1]历练产出!$AB:$AB,0)),"")</f>
        <v/>
      </c>
      <c r="K350" s="1" t="str">
        <f>_xlfn.IFNA(INDEX([1]洞天福地产出!$H:$H,MATCH(B350,[1]洞天福地产出!$K:$K,0)),"")</f>
        <v/>
      </c>
      <c r="L350" s="1" t="str">
        <f t="shared" si="29"/>
        <v/>
      </c>
      <c r="M350" s="4">
        <f t="shared" si="30"/>
        <v>0</v>
      </c>
    </row>
    <row r="351" ht="45" spans="1:13">
      <c r="A351" s="4"/>
      <c r="B351" t="str">
        <f t="shared" si="26"/>
        <v>7:500104</v>
      </c>
      <c r="C351" s="1">
        <v>7</v>
      </c>
      <c r="D351" s="4">
        <v>500104</v>
      </c>
      <c r="E351" s="3" t="s">
        <v>1879</v>
      </c>
      <c r="F351" s="3"/>
      <c r="G351" s="1">
        <v>74.25</v>
      </c>
      <c r="H351" s="1">
        <f t="shared" si="27"/>
        <v>74.25</v>
      </c>
      <c r="I351" s="1" t="str">
        <f t="shared" si="28"/>
        <v/>
      </c>
      <c r="J351" s="1" t="str">
        <f>_xlfn.IFNA(INDEX([1]历练产出!$Z:$Z,MATCH(B351,[1]历练产出!$AB:$AB,0)),"")</f>
        <v/>
      </c>
      <c r="K351" s="1" t="str">
        <f>_xlfn.IFNA(INDEX([1]洞天福地产出!$H:$H,MATCH(B351,[1]洞天福地产出!$K:$K,0)),"")</f>
        <v/>
      </c>
      <c r="L351" s="1" t="str">
        <f t="shared" si="29"/>
        <v/>
      </c>
      <c r="M351" s="4">
        <f t="shared" si="30"/>
        <v>0</v>
      </c>
    </row>
    <row r="352" ht="45" spans="1:13">
      <c r="A352" s="4"/>
      <c r="B352" t="str">
        <f t="shared" si="26"/>
        <v>7:500105</v>
      </c>
      <c r="C352" s="1">
        <v>7</v>
      </c>
      <c r="D352" s="4">
        <v>500105</v>
      </c>
      <c r="E352" s="3" t="s">
        <v>1879</v>
      </c>
      <c r="F352" s="3"/>
      <c r="G352" s="1">
        <v>102.6</v>
      </c>
      <c r="H352" s="1">
        <f t="shared" si="27"/>
        <v>102.6</v>
      </c>
      <c r="I352" s="1" t="str">
        <f t="shared" si="28"/>
        <v/>
      </c>
      <c r="J352" s="1" t="str">
        <f>_xlfn.IFNA(INDEX([1]历练产出!$Z:$Z,MATCH(B352,[1]历练产出!$AB:$AB,0)),"")</f>
        <v/>
      </c>
      <c r="K352" s="1" t="str">
        <f>_xlfn.IFNA(INDEX([1]洞天福地产出!$H:$H,MATCH(B352,[1]洞天福地产出!$K:$K,0)),"")</f>
        <v/>
      </c>
      <c r="L352" s="1" t="str">
        <f t="shared" si="29"/>
        <v/>
      </c>
      <c r="M352" s="4">
        <f t="shared" si="30"/>
        <v>0</v>
      </c>
    </row>
    <row r="353" ht="45" spans="1:13">
      <c r="A353" s="4"/>
      <c r="B353" t="str">
        <f t="shared" si="26"/>
        <v>7:500106</v>
      </c>
      <c r="C353" s="1">
        <v>7</v>
      </c>
      <c r="D353" s="4">
        <v>500106</v>
      </c>
      <c r="E353" s="3" t="s">
        <v>1879</v>
      </c>
      <c r="F353" s="3"/>
      <c r="G353" s="1">
        <v>137.025</v>
      </c>
      <c r="H353" s="1">
        <f t="shared" si="27"/>
        <v>137.025</v>
      </c>
      <c r="I353" s="1" t="str">
        <f t="shared" si="28"/>
        <v/>
      </c>
      <c r="J353" s="1" t="str">
        <f>_xlfn.IFNA(INDEX([1]历练产出!$Z:$Z,MATCH(B353,[1]历练产出!$AB:$AB,0)),"")</f>
        <v/>
      </c>
      <c r="K353" s="1" t="str">
        <f>_xlfn.IFNA(INDEX([1]洞天福地产出!$H:$H,MATCH(B353,[1]洞天福地产出!$K:$K,0)),"")</f>
        <v/>
      </c>
      <c r="L353" s="1" t="str">
        <f t="shared" si="29"/>
        <v/>
      </c>
      <c r="M353" s="4">
        <f t="shared" si="30"/>
        <v>0</v>
      </c>
    </row>
    <row r="354" ht="45" spans="1:13">
      <c r="A354" s="4"/>
      <c r="B354" t="str">
        <f t="shared" si="26"/>
        <v>7:500107</v>
      </c>
      <c r="C354" s="1">
        <v>7</v>
      </c>
      <c r="D354" s="4">
        <v>500107</v>
      </c>
      <c r="E354" s="3" t="s">
        <v>1879</v>
      </c>
      <c r="F354" s="3"/>
      <c r="G354" s="1">
        <v>177.525</v>
      </c>
      <c r="H354" s="1">
        <f t="shared" si="27"/>
        <v>177.525</v>
      </c>
      <c r="I354" s="1" t="str">
        <f t="shared" si="28"/>
        <v/>
      </c>
      <c r="J354" s="1" t="str">
        <f>_xlfn.IFNA(INDEX([1]历练产出!$Z:$Z,MATCH(B354,[1]历练产出!$AB:$AB,0)),"")</f>
        <v/>
      </c>
      <c r="K354" s="1" t="str">
        <f>_xlfn.IFNA(INDEX([1]洞天福地产出!$H:$H,MATCH(B354,[1]洞天福地产出!$K:$K,0)),"")</f>
        <v/>
      </c>
      <c r="L354" s="1" t="str">
        <f t="shared" si="29"/>
        <v/>
      </c>
      <c r="M354" s="4">
        <f t="shared" si="30"/>
        <v>0</v>
      </c>
    </row>
    <row r="355" ht="45" spans="1:13">
      <c r="A355" s="4"/>
      <c r="B355" t="str">
        <f t="shared" si="26"/>
        <v>7:500108</v>
      </c>
      <c r="C355" s="1">
        <v>7</v>
      </c>
      <c r="D355" s="4">
        <v>500108</v>
      </c>
      <c r="E355" s="3" t="s">
        <v>1879</v>
      </c>
      <c r="F355" s="3"/>
      <c r="G355" s="1">
        <v>224.1</v>
      </c>
      <c r="H355" s="1">
        <f t="shared" si="27"/>
        <v>224.1</v>
      </c>
      <c r="I355" s="1" t="str">
        <f t="shared" si="28"/>
        <v/>
      </c>
      <c r="J355" s="1" t="str">
        <f>_xlfn.IFNA(INDEX([1]历练产出!$Z:$Z,MATCH(B355,[1]历练产出!$AB:$AB,0)),"")</f>
        <v/>
      </c>
      <c r="K355" s="1" t="str">
        <f>_xlfn.IFNA(INDEX([1]洞天福地产出!$H:$H,MATCH(B355,[1]洞天福地产出!$K:$K,0)),"")</f>
        <v/>
      </c>
      <c r="L355" s="1" t="str">
        <f t="shared" si="29"/>
        <v/>
      </c>
      <c r="M355" s="4">
        <f t="shared" si="30"/>
        <v>0</v>
      </c>
    </row>
    <row r="356" ht="45" spans="1:13">
      <c r="A356" s="4"/>
      <c r="B356" t="str">
        <f t="shared" ref="B356:B419" si="31">C356&amp;":"&amp;D356</f>
        <v>7:500109</v>
      </c>
      <c r="C356" s="1">
        <v>7</v>
      </c>
      <c r="D356" s="4">
        <v>500109</v>
      </c>
      <c r="E356" s="3" t="s">
        <v>1879</v>
      </c>
      <c r="F356" s="3"/>
      <c r="G356" s="1">
        <v>276.75</v>
      </c>
      <c r="H356" s="1">
        <f t="shared" si="27"/>
        <v>276.75</v>
      </c>
      <c r="I356" s="1" t="str">
        <f t="shared" si="28"/>
        <v/>
      </c>
      <c r="J356" s="1" t="str">
        <f>_xlfn.IFNA(INDEX([1]历练产出!$Z:$Z,MATCH(B356,[1]历练产出!$AB:$AB,0)),"")</f>
        <v/>
      </c>
      <c r="K356" s="1" t="str">
        <f>_xlfn.IFNA(INDEX([1]洞天福地产出!$H:$H,MATCH(B356,[1]洞天福地产出!$K:$K,0)),"")</f>
        <v/>
      </c>
      <c r="L356" s="1" t="str">
        <f t="shared" si="29"/>
        <v/>
      </c>
      <c r="M356" s="4">
        <f t="shared" si="30"/>
        <v>0</v>
      </c>
    </row>
    <row r="357" ht="45" spans="1:13">
      <c r="A357" s="4"/>
      <c r="B357" t="str">
        <f t="shared" si="31"/>
        <v>7:500110</v>
      </c>
      <c r="C357" s="1">
        <v>7</v>
      </c>
      <c r="D357" s="4">
        <v>500110</v>
      </c>
      <c r="E357" s="3" t="s">
        <v>1879</v>
      </c>
      <c r="F357" s="3"/>
      <c r="G357" s="1">
        <v>335.475</v>
      </c>
      <c r="H357" s="1">
        <f t="shared" si="27"/>
        <v>335.475</v>
      </c>
      <c r="I357" s="1" t="str">
        <f t="shared" si="28"/>
        <v/>
      </c>
      <c r="J357" s="1" t="str">
        <f>_xlfn.IFNA(INDEX([1]历练产出!$Z:$Z,MATCH(B357,[1]历练产出!$AB:$AB,0)),"")</f>
        <v/>
      </c>
      <c r="K357" s="1" t="str">
        <f>_xlfn.IFNA(INDEX([1]洞天福地产出!$H:$H,MATCH(B357,[1]洞天福地产出!$K:$K,0)),"")</f>
        <v/>
      </c>
      <c r="L357" s="1" t="str">
        <f t="shared" si="29"/>
        <v/>
      </c>
      <c r="M357" s="4">
        <f t="shared" si="30"/>
        <v>0</v>
      </c>
    </row>
    <row r="358" ht="45" spans="1:13">
      <c r="A358" s="4"/>
      <c r="B358" t="str">
        <f t="shared" si="31"/>
        <v>7:500111</v>
      </c>
      <c r="C358" s="1">
        <v>7</v>
      </c>
      <c r="D358" s="4">
        <v>500111</v>
      </c>
      <c r="E358" s="3" t="s">
        <v>1879</v>
      </c>
      <c r="F358" s="3"/>
      <c r="G358" s="1">
        <v>400.275</v>
      </c>
      <c r="H358" s="1">
        <f t="shared" si="27"/>
        <v>400.275</v>
      </c>
      <c r="I358" s="1" t="str">
        <f t="shared" si="28"/>
        <v/>
      </c>
      <c r="J358" s="1" t="str">
        <f>_xlfn.IFNA(INDEX([1]历练产出!$Z:$Z,MATCH(B358,[1]历练产出!$AB:$AB,0)),"")</f>
        <v/>
      </c>
      <c r="K358" s="1" t="str">
        <f>_xlfn.IFNA(INDEX([1]洞天福地产出!$H:$H,MATCH(B358,[1]洞天福地产出!$K:$K,0)),"")</f>
        <v/>
      </c>
      <c r="L358" s="1" t="str">
        <f t="shared" si="29"/>
        <v/>
      </c>
      <c r="M358" s="4">
        <f t="shared" si="30"/>
        <v>0</v>
      </c>
    </row>
    <row r="359" ht="45" spans="1:13">
      <c r="A359" s="4"/>
      <c r="B359" t="str">
        <f t="shared" si="31"/>
        <v>7:500112</v>
      </c>
      <c r="C359" s="1">
        <v>7</v>
      </c>
      <c r="D359" s="4">
        <v>500112</v>
      </c>
      <c r="E359" s="3" t="s">
        <v>1879</v>
      </c>
      <c r="F359" s="3"/>
      <c r="G359" s="1">
        <v>471.15</v>
      </c>
      <c r="H359" s="1">
        <f t="shared" si="27"/>
        <v>471.15</v>
      </c>
      <c r="I359" s="1" t="str">
        <f t="shared" si="28"/>
        <v/>
      </c>
      <c r="J359" s="1" t="str">
        <f>_xlfn.IFNA(INDEX([1]历练产出!$Z:$Z,MATCH(B359,[1]历练产出!$AB:$AB,0)),"")</f>
        <v/>
      </c>
      <c r="K359" s="1" t="str">
        <f>_xlfn.IFNA(INDEX([1]洞天福地产出!$H:$H,MATCH(B359,[1]洞天福地产出!$K:$K,0)),"")</f>
        <v/>
      </c>
      <c r="L359" s="1" t="str">
        <f t="shared" si="29"/>
        <v/>
      </c>
      <c r="M359" s="4">
        <f t="shared" si="30"/>
        <v>0</v>
      </c>
    </row>
    <row r="360" ht="45" spans="1:13">
      <c r="A360" s="4"/>
      <c r="B360" t="str">
        <f t="shared" si="31"/>
        <v>7:500113</v>
      </c>
      <c r="C360" s="1">
        <v>7</v>
      </c>
      <c r="D360" s="4">
        <v>500113</v>
      </c>
      <c r="E360" s="3" t="s">
        <v>1879</v>
      </c>
      <c r="F360" s="3"/>
      <c r="G360" s="1">
        <v>548.1</v>
      </c>
      <c r="H360" s="1">
        <f t="shared" si="27"/>
        <v>548.1</v>
      </c>
      <c r="I360" s="1" t="str">
        <f t="shared" si="28"/>
        <v/>
      </c>
      <c r="J360" s="1" t="str">
        <f>_xlfn.IFNA(INDEX([1]历练产出!$Z:$Z,MATCH(B360,[1]历练产出!$AB:$AB,0)),"")</f>
        <v/>
      </c>
      <c r="K360" s="1" t="str">
        <f>_xlfn.IFNA(INDEX([1]洞天福地产出!$H:$H,MATCH(B360,[1]洞天福地产出!$K:$K,0)),"")</f>
        <v/>
      </c>
      <c r="L360" s="1" t="str">
        <f t="shared" si="29"/>
        <v/>
      </c>
      <c r="M360" s="4">
        <f t="shared" si="30"/>
        <v>0</v>
      </c>
    </row>
    <row r="361" ht="45" spans="1:13">
      <c r="A361" s="4"/>
      <c r="B361" t="str">
        <f t="shared" si="31"/>
        <v>7:500114</v>
      </c>
      <c r="C361" s="1">
        <v>7</v>
      </c>
      <c r="D361" s="4">
        <v>500114</v>
      </c>
      <c r="E361" s="3" t="s">
        <v>1879</v>
      </c>
      <c r="F361" s="3"/>
      <c r="G361" s="1">
        <v>631.125</v>
      </c>
      <c r="H361" s="1">
        <f t="shared" si="27"/>
        <v>631.125</v>
      </c>
      <c r="I361" s="1" t="str">
        <f t="shared" si="28"/>
        <v/>
      </c>
      <c r="J361" s="1" t="str">
        <f>_xlfn.IFNA(INDEX([1]历练产出!$Z:$Z,MATCH(B361,[1]历练产出!$AB:$AB,0)),"")</f>
        <v/>
      </c>
      <c r="K361" s="1" t="str">
        <f>_xlfn.IFNA(INDEX([1]洞天福地产出!$H:$H,MATCH(B361,[1]洞天福地产出!$K:$K,0)),"")</f>
        <v/>
      </c>
      <c r="L361" s="1" t="str">
        <f t="shared" si="29"/>
        <v/>
      </c>
      <c r="M361" s="4">
        <f t="shared" si="30"/>
        <v>0</v>
      </c>
    </row>
    <row r="362" ht="45" spans="1:13">
      <c r="A362" s="4"/>
      <c r="B362" t="str">
        <f t="shared" si="31"/>
        <v>7:500115</v>
      </c>
      <c r="C362" s="1">
        <v>7</v>
      </c>
      <c r="D362" s="4">
        <v>500115</v>
      </c>
      <c r="E362" s="3" t="s">
        <v>1879</v>
      </c>
      <c r="F362" s="3"/>
      <c r="G362" s="1">
        <v>720.225</v>
      </c>
      <c r="H362" s="1">
        <f t="shared" si="27"/>
        <v>720.225</v>
      </c>
      <c r="I362" s="1" t="str">
        <f t="shared" si="28"/>
        <v/>
      </c>
      <c r="J362" s="1" t="str">
        <f>_xlfn.IFNA(INDEX([1]历练产出!$Z:$Z,MATCH(B362,[1]历练产出!$AB:$AB,0)),"")</f>
        <v/>
      </c>
      <c r="K362" s="1" t="str">
        <f>_xlfn.IFNA(INDEX([1]洞天福地产出!$H:$H,MATCH(B362,[1]洞天福地产出!$K:$K,0)),"")</f>
        <v/>
      </c>
      <c r="L362" s="1" t="str">
        <f t="shared" si="29"/>
        <v/>
      </c>
      <c r="M362" s="4">
        <f t="shared" si="30"/>
        <v>0</v>
      </c>
    </row>
    <row r="363" ht="45" spans="1:13">
      <c r="A363" s="4"/>
      <c r="B363" t="str">
        <f t="shared" si="31"/>
        <v>7:500116</v>
      </c>
      <c r="C363" s="1">
        <v>7</v>
      </c>
      <c r="D363" s="4">
        <v>500116</v>
      </c>
      <c r="E363" s="3" t="s">
        <v>1879</v>
      </c>
      <c r="F363" s="3"/>
      <c r="G363" s="1">
        <v>815.4</v>
      </c>
      <c r="H363" s="1">
        <f t="shared" si="27"/>
        <v>815.4</v>
      </c>
      <c r="I363" s="1" t="str">
        <f t="shared" si="28"/>
        <v/>
      </c>
      <c r="J363" s="1" t="str">
        <f>_xlfn.IFNA(INDEX([1]历练产出!$Z:$Z,MATCH(B363,[1]历练产出!$AB:$AB,0)),"")</f>
        <v/>
      </c>
      <c r="K363" s="1" t="str">
        <f>_xlfn.IFNA(INDEX([1]洞天福地产出!$H:$H,MATCH(B363,[1]洞天福地产出!$K:$K,0)),"")</f>
        <v/>
      </c>
      <c r="L363" s="1" t="str">
        <f t="shared" si="29"/>
        <v/>
      </c>
      <c r="M363" s="4">
        <f t="shared" si="30"/>
        <v>0</v>
      </c>
    </row>
    <row r="364" ht="45" spans="1:13">
      <c r="A364" s="4"/>
      <c r="B364" t="str">
        <f t="shared" si="31"/>
        <v>7:500117</v>
      </c>
      <c r="C364" s="1">
        <v>7</v>
      </c>
      <c r="D364" s="4">
        <v>500117</v>
      </c>
      <c r="E364" s="3" t="s">
        <v>1879</v>
      </c>
      <c r="F364" s="3"/>
      <c r="G364" s="1">
        <v>916.65</v>
      </c>
      <c r="H364" s="1">
        <f t="shared" si="27"/>
        <v>916.65</v>
      </c>
      <c r="I364" s="1" t="str">
        <f t="shared" si="28"/>
        <v/>
      </c>
      <c r="J364" s="1" t="str">
        <f>_xlfn.IFNA(INDEX([1]历练产出!$Z:$Z,MATCH(B364,[1]历练产出!$AB:$AB,0)),"")</f>
        <v/>
      </c>
      <c r="K364" s="1" t="str">
        <f>_xlfn.IFNA(INDEX([1]洞天福地产出!$H:$H,MATCH(B364,[1]洞天福地产出!$K:$K,0)),"")</f>
        <v/>
      </c>
      <c r="L364" s="1" t="str">
        <f t="shared" si="29"/>
        <v/>
      </c>
      <c r="M364" s="4">
        <f t="shared" si="30"/>
        <v>0</v>
      </c>
    </row>
    <row r="365" ht="45" spans="1:13">
      <c r="A365" s="4"/>
      <c r="B365" t="str">
        <f t="shared" si="31"/>
        <v>7:500118</v>
      </c>
      <c r="C365" s="1">
        <v>7</v>
      </c>
      <c r="D365" s="4">
        <v>500118</v>
      </c>
      <c r="E365" s="3" t="s">
        <v>1879</v>
      </c>
      <c r="F365" s="3"/>
      <c r="G365" s="1">
        <v>1023.975</v>
      </c>
      <c r="H365" s="1">
        <f t="shared" si="27"/>
        <v>1023.975</v>
      </c>
      <c r="I365" s="1" t="str">
        <f t="shared" si="28"/>
        <v/>
      </c>
      <c r="J365" s="1" t="str">
        <f>_xlfn.IFNA(INDEX([1]历练产出!$Z:$Z,MATCH(B365,[1]历练产出!$AB:$AB,0)),"")</f>
        <v/>
      </c>
      <c r="K365" s="1" t="str">
        <f>_xlfn.IFNA(INDEX([1]洞天福地产出!$H:$H,MATCH(B365,[1]洞天福地产出!$K:$K,0)),"")</f>
        <v/>
      </c>
      <c r="L365" s="1" t="str">
        <f t="shared" si="29"/>
        <v/>
      </c>
      <c r="M365" s="4">
        <f t="shared" si="30"/>
        <v>0</v>
      </c>
    </row>
    <row r="366" ht="45" spans="1:13">
      <c r="A366" s="4"/>
      <c r="B366" t="str">
        <f t="shared" si="31"/>
        <v>7:500119</v>
      </c>
      <c r="C366" s="1">
        <v>7</v>
      </c>
      <c r="D366" s="4">
        <v>500119</v>
      </c>
      <c r="E366" s="3" t="s">
        <v>1879</v>
      </c>
      <c r="F366" s="3"/>
      <c r="G366" s="1">
        <v>1137.375</v>
      </c>
      <c r="H366" s="1">
        <f t="shared" si="27"/>
        <v>1137.375</v>
      </c>
      <c r="I366" s="1" t="str">
        <f t="shared" si="28"/>
        <v/>
      </c>
      <c r="J366" s="1" t="str">
        <f>_xlfn.IFNA(INDEX([1]历练产出!$Z:$Z,MATCH(B366,[1]历练产出!$AB:$AB,0)),"")</f>
        <v/>
      </c>
      <c r="K366" s="1" t="str">
        <f>_xlfn.IFNA(INDEX([1]洞天福地产出!$H:$H,MATCH(B366,[1]洞天福地产出!$K:$K,0)),"")</f>
        <v/>
      </c>
      <c r="L366" s="1" t="str">
        <f t="shared" si="29"/>
        <v/>
      </c>
      <c r="M366" s="4">
        <f t="shared" si="30"/>
        <v>0</v>
      </c>
    </row>
    <row r="367" ht="45" spans="1:13">
      <c r="A367" s="4"/>
      <c r="B367" t="str">
        <f t="shared" si="31"/>
        <v>7:500120</v>
      </c>
      <c r="C367" s="1">
        <v>7</v>
      </c>
      <c r="D367" s="4">
        <v>500120</v>
      </c>
      <c r="E367" s="3" t="s">
        <v>1879</v>
      </c>
      <c r="F367" s="3"/>
      <c r="G367" s="1">
        <v>1256.85</v>
      </c>
      <c r="H367" s="1">
        <f t="shared" si="27"/>
        <v>1256.85</v>
      </c>
      <c r="I367" s="1" t="str">
        <f t="shared" si="28"/>
        <v/>
      </c>
      <c r="J367" s="1" t="str">
        <f>_xlfn.IFNA(INDEX([1]历练产出!$Z:$Z,MATCH(B367,[1]历练产出!$AB:$AB,0)),"")</f>
        <v/>
      </c>
      <c r="K367" s="1" t="str">
        <f>_xlfn.IFNA(INDEX([1]洞天福地产出!$H:$H,MATCH(B367,[1]洞天福地产出!$K:$K,0)),"")</f>
        <v/>
      </c>
      <c r="L367" s="1" t="str">
        <f t="shared" si="29"/>
        <v/>
      </c>
      <c r="M367" s="4">
        <f t="shared" si="30"/>
        <v>0</v>
      </c>
    </row>
    <row r="368" ht="45" spans="1:13">
      <c r="A368" s="4"/>
      <c r="B368" t="str">
        <f t="shared" si="31"/>
        <v>7:500121</v>
      </c>
      <c r="C368" s="1">
        <v>7</v>
      </c>
      <c r="D368" s="4">
        <v>500121</v>
      </c>
      <c r="E368" s="3" t="s">
        <v>1879</v>
      </c>
      <c r="F368" s="3"/>
      <c r="G368" s="1">
        <v>1382.4</v>
      </c>
      <c r="H368" s="1">
        <f t="shared" si="27"/>
        <v>1382.4</v>
      </c>
      <c r="I368" s="1" t="str">
        <f t="shared" si="28"/>
        <v/>
      </c>
      <c r="J368" s="1" t="str">
        <f>_xlfn.IFNA(INDEX([1]历练产出!$Z:$Z,MATCH(B368,[1]历练产出!$AB:$AB,0)),"")</f>
        <v/>
      </c>
      <c r="K368" s="1" t="str">
        <f>_xlfn.IFNA(INDEX([1]洞天福地产出!$H:$H,MATCH(B368,[1]洞天福地产出!$K:$K,0)),"")</f>
        <v/>
      </c>
      <c r="L368" s="1" t="str">
        <f t="shared" si="29"/>
        <v/>
      </c>
      <c r="M368" s="4">
        <f t="shared" si="30"/>
        <v>0</v>
      </c>
    </row>
    <row r="369" ht="45" spans="1:13">
      <c r="A369" s="4"/>
      <c r="B369" t="str">
        <f t="shared" si="31"/>
        <v>7:500122</v>
      </c>
      <c r="C369" s="1">
        <v>7</v>
      </c>
      <c r="D369" s="4">
        <v>500122</v>
      </c>
      <c r="E369" s="3" t="s">
        <v>1879</v>
      </c>
      <c r="F369" s="3"/>
      <c r="G369" s="1">
        <v>1514.025</v>
      </c>
      <c r="H369" s="1">
        <f t="shared" si="27"/>
        <v>1514.025</v>
      </c>
      <c r="I369" s="1" t="str">
        <f t="shared" si="28"/>
        <v/>
      </c>
      <c r="J369" s="1" t="str">
        <f>_xlfn.IFNA(INDEX([1]历练产出!$Z:$Z,MATCH(B369,[1]历练产出!$AB:$AB,0)),"")</f>
        <v/>
      </c>
      <c r="K369" s="1" t="str">
        <f>_xlfn.IFNA(INDEX([1]洞天福地产出!$H:$H,MATCH(B369,[1]洞天福地产出!$K:$K,0)),"")</f>
        <v/>
      </c>
      <c r="L369" s="1" t="str">
        <f t="shared" si="29"/>
        <v/>
      </c>
      <c r="M369" s="4">
        <f t="shared" si="30"/>
        <v>0</v>
      </c>
    </row>
    <row r="370" ht="45" spans="1:13">
      <c r="A370" s="4"/>
      <c r="B370" t="str">
        <f t="shared" si="31"/>
        <v>7:500123</v>
      </c>
      <c r="C370" s="1">
        <v>7</v>
      </c>
      <c r="D370" s="4">
        <v>500123</v>
      </c>
      <c r="E370" s="3" t="s">
        <v>1879</v>
      </c>
      <c r="F370" s="3"/>
      <c r="G370" s="1">
        <v>1651.725</v>
      </c>
      <c r="H370" s="1">
        <f t="shared" si="27"/>
        <v>1651.725</v>
      </c>
      <c r="I370" s="1" t="str">
        <f t="shared" si="28"/>
        <v/>
      </c>
      <c r="J370" s="1" t="str">
        <f>_xlfn.IFNA(INDEX([1]历练产出!$Z:$Z,MATCH(B370,[1]历练产出!$AB:$AB,0)),"")</f>
        <v/>
      </c>
      <c r="K370" s="1" t="str">
        <f>_xlfn.IFNA(INDEX([1]洞天福地产出!$H:$H,MATCH(B370,[1]洞天福地产出!$K:$K,0)),"")</f>
        <v/>
      </c>
      <c r="L370" s="1" t="str">
        <f t="shared" si="29"/>
        <v/>
      </c>
      <c r="M370" s="4">
        <f t="shared" si="30"/>
        <v>0</v>
      </c>
    </row>
    <row r="371" ht="45" spans="1:13">
      <c r="A371" s="4"/>
      <c r="B371" t="str">
        <f t="shared" si="31"/>
        <v>7:500124</v>
      </c>
      <c r="C371" s="1">
        <v>7</v>
      </c>
      <c r="D371" s="4">
        <v>500124</v>
      </c>
      <c r="E371" s="3" t="s">
        <v>1879</v>
      </c>
      <c r="F371" s="3"/>
      <c r="G371" s="1">
        <v>1795.5</v>
      </c>
      <c r="H371" s="1">
        <f t="shared" si="27"/>
        <v>1795.5</v>
      </c>
      <c r="I371" s="1" t="str">
        <f t="shared" si="28"/>
        <v/>
      </c>
      <c r="J371" s="1" t="str">
        <f>_xlfn.IFNA(INDEX([1]历练产出!$Z:$Z,MATCH(B371,[1]历练产出!$AB:$AB,0)),"")</f>
        <v/>
      </c>
      <c r="K371" s="1" t="str">
        <f>_xlfn.IFNA(INDEX([1]洞天福地产出!$H:$H,MATCH(B371,[1]洞天福地产出!$K:$K,0)),"")</f>
        <v/>
      </c>
      <c r="L371" s="1" t="str">
        <f t="shared" si="29"/>
        <v/>
      </c>
      <c r="M371" s="4">
        <f t="shared" si="30"/>
        <v>0</v>
      </c>
    </row>
    <row r="372" ht="45" spans="1:13">
      <c r="A372" s="4"/>
      <c r="B372" t="str">
        <f t="shared" si="31"/>
        <v>7:500125</v>
      </c>
      <c r="C372" s="1">
        <v>7</v>
      </c>
      <c r="D372" s="4">
        <v>500125</v>
      </c>
      <c r="E372" s="3" t="s">
        <v>1879</v>
      </c>
      <c r="F372" s="3"/>
      <c r="G372" s="1">
        <v>1945.35</v>
      </c>
      <c r="H372" s="1">
        <f t="shared" si="27"/>
        <v>1945.35</v>
      </c>
      <c r="I372" s="1" t="str">
        <f t="shared" si="28"/>
        <v/>
      </c>
      <c r="J372" s="1" t="str">
        <f>_xlfn.IFNA(INDEX([1]历练产出!$Z:$Z,MATCH(B372,[1]历练产出!$AB:$AB,0)),"")</f>
        <v/>
      </c>
      <c r="K372" s="1" t="str">
        <f>_xlfn.IFNA(INDEX([1]洞天福地产出!$H:$H,MATCH(B372,[1]洞天福地产出!$K:$K,0)),"")</f>
        <v/>
      </c>
      <c r="L372" s="1" t="str">
        <f t="shared" si="29"/>
        <v/>
      </c>
      <c r="M372" s="4">
        <f t="shared" si="30"/>
        <v>0</v>
      </c>
    </row>
    <row r="373" ht="45" spans="1:13">
      <c r="A373" s="4"/>
      <c r="B373" t="str">
        <f t="shared" si="31"/>
        <v>7:500126</v>
      </c>
      <c r="C373" s="1">
        <v>7</v>
      </c>
      <c r="D373" s="4">
        <v>500126</v>
      </c>
      <c r="E373" s="3" t="s">
        <v>1879</v>
      </c>
      <c r="F373" s="3"/>
      <c r="G373" s="1">
        <v>2101.275</v>
      </c>
      <c r="H373" s="1">
        <f t="shared" si="27"/>
        <v>2101.275</v>
      </c>
      <c r="I373" s="1" t="str">
        <f t="shared" si="28"/>
        <v/>
      </c>
      <c r="J373" s="1" t="str">
        <f>_xlfn.IFNA(INDEX([1]历练产出!$Z:$Z,MATCH(B373,[1]历练产出!$AB:$AB,0)),"")</f>
        <v/>
      </c>
      <c r="K373" s="1" t="str">
        <f>_xlfn.IFNA(INDEX([1]洞天福地产出!$H:$H,MATCH(B373,[1]洞天福地产出!$K:$K,0)),"")</f>
        <v/>
      </c>
      <c r="L373" s="1" t="str">
        <f t="shared" si="29"/>
        <v/>
      </c>
      <c r="M373" s="4">
        <f t="shared" si="30"/>
        <v>0</v>
      </c>
    </row>
    <row r="374" ht="45" spans="1:13">
      <c r="A374" s="4"/>
      <c r="B374" t="str">
        <f t="shared" si="31"/>
        <v>7:500127</v>
      </c>
      <c r="C374" s="1">
        <v>7</v>
      </c>
      <c r="D374" s="4">
        <v>500127</v>
      </c>
      <c r="E374" s="3" t="s">
        <v>1879</v>
      </c>
      <c r="F374" s="3"/>
      <c r="G374" s="1">
        <v>2263.275</v>
      </c>
      <c r="H374" s="1">
        <f t="shared" si="27"/>
        <v>2263.275</v>
      </c>
      <c r="I374" s="1" t="str">
        <f t="shared" si="28"/>
        <v/>
      </c>
      <c r="J374" s="1" t="str">
        <f>_xlfn.IFNA(INDEX([1]历练产出!$Z:$Z,MATCH(B374,[1]历练产出!$AB:$AB,0)),"")</f>
        <v/>
      </c>
      <c r="K374" s="1" t="str">
        <f>_xlfn.IFNA(INDEX([1]洞天福地产出!$H:$H,MATCH(B374,[1]洞天福地产出!$K:$K,0)),"")</f>
        <v/>
      </c>
      <c r="L374" s="1" t="str">
        <f t="shared" si="29"/>
        <v/>
      </c>
      <c r="M374" s="4">
        <f t="shared" si="30"/>
        <v>0</v>
      </c>
    </row>
    <row r="375" ht="45" spans="1:13">
      <c r="A375" s="4"/>
      <c r="B375" t="str">
        <f t="shared" si="31"/>
        <v>7:500128</v>
      </c>
      <c r="C375" s="1">
        <v>7</v>
      </c>
      <c r="D375" s="4">
        <v>500128</v>
      </c>
      <c r="E375" s="3" t="s">
        <v>1879</v>
      </c>
      <c r="F375" s="3"/>
      <c r="G375" s="1">
        <v>2431.35</v>
      </c>
      <c r="H375" s="1">
        <f t="shared" si="27"/>
        <v>2431.35</v>
      </c>
      <c r="I375" s="1" t="str">
        <f t="shared" si="28"/>
        <v/>
      </c>
      <c r="J375" s="1" t="str">
        <f>_xlfn.IFNA(INDEX([1]历练产出!$Z:$Z,MATCH(B375,[1]历练产出!$AB:$AB,0)),"")</f>
        <v/>
      </c>
      <c r="K375" s="1" t="str">
        <f>_xlfn.IFNA(INDEX([1]洞天福地产出!$H:$H,MATCH(B375,[1]洞天福地产出!$K:$K,0)),"")</f>
        <v/>
      </c>
      <c r="L375" s="1" t="str">
        <f t="shared" si="29"/>
        <v/>
      </c>
      <c r="M375" s="4">
        <f t="shared" si="30"/>
        <v>0</v>
      </c>
    </row>
    <row r="376" ht="45" spans="1:13">
      <c r="A376" s="4"/>
      <c r="B376" t="str">
        <f t="shared" si="31"/>
        <v>7:500129</v>
      </c>
      <c r="C376" s="1">
        <v>7</v>
      </c>
      <c r="D376" s="4">
        <v>500129</v>
      </c>
      <c r="E376" s="3" t="s">
        <v>1879</v>
      </c>
      <c r="F376" s="3"/>
      <c r="G376" s="1">
        <v>2605.5</v>
      </c>
      <c r="H376" s="1">
        <f t="shared" si="27"/>
        <v>2605.5</v>
      </c>
      <c r="I376" s="1" t="str">
        <f t="shared" si="28"/>
        <v/>
      </c>
      <c r="J376" s="1" t="str">
        <f>_xlfn.IFNA(INDEX([1]历练产出!$Z:$Z,MATCH(B376,[1]历练产出!$AB:$AB,0)),"")</f>
        <v/>
      </c>
      <c r="K376" s="1" t="str">
        <f>_xlfn.IFNA(INDEX([1]洞天福地产出!$H:$H,MATCH(B376,[1]洞天福地产出!$K:$K,0)),"")</f>
        <v/>
      </c>
      <c r="L376" s="1" t="str">
        <f t="shared" si="29"/>
        <v/>
      </c>
      <c r="M376" s="4">
        <f t="shared" si="30"/>
        <v>0</v>
      </c>
    </row>
    <row r="377" ht="45" spans="1:13">
      <c r="A377" s="4"/>
      <c r="B377" t="str">
        <f t="shared" si="31"/>
        <v>7:500130</v>
      </c>
      <c r="C377" s="1">
        <v>7</v>
      </c>
      <c r="D377" s="4">
        <v>500130</v>
      </c>
      <c r="E377" s="3" t="s">
        <v>1879</v>
      </c>
      <c r="F377" s="3"/>
      <c r="G377" s="1">
        <v>2779.65</v>
      </c>
      <c r="H377" s="1">
        <f t="shared" si="27"/>
        <v>2779.65</v>
      </c>
      <c r="I377" s="1" t="str">
        <f t="shared" si="28"/>
        <v/>
      </c>
      <c r="J377" s="1" t="str">
        <f>_xlfn.IFNA(INDEX([1]历练产出!$Z:$Z,MATCH(B377,[1]历练产出!$AB:$AB,0)),"")</f>
        <v/>
      </c>
      <c r="K377" s="1" t="str">
        <f>_xlfn.IFNA(INDEX([1]洞天福地产出!$H:$H,MATCH(B377,[1]洞天福地产出!$K:$K,0)),"")</f>
        <v/>
      </c>
      <c r="L377" s="1" t="str">
        <f t="shared" si="29"/>
        <v/>
      </c>
      <c r="M377" s="4">
        <f t="shared" si="30"/>
        <v>0</v>
      </c>
    </row>
    <row r="378" ht="30" spans="1:13">
      <c r="A378" s="4"/>
      <c r="B378" t="str">
        <f t="shared" si="31"/>
        <v>7:600101</v>
      </c>
      <c r="C378" s="1">
        <v>7</v>
      </c>
      <c r="D378" s="4">
        <v>600101</v>
      </c>
      <c r="E378" s="3" t="s">
        <v>1880</v>
      </c>
      <c r="F378" s="3"/>
      <c r="G378" s="1">
        <v>25.65</v>
      </c>
      <c r="H378" s="1">
        <f t="shared" si="27"/>
        <v>25.65</v>
      </c>
      <c r="I378" s="1" t="str">
        <f t="shared" si="28"/>
        <v/>
      </c>
      <c r="J378" s="1" t="str">
        <f>_xlfn.IFNA(INDEX([1]历练产出!$Z:$Z,MATCH(B378,[1]历练产出!$AB:$AB,0)),"")</f>
        <v/>
      </c>
      <c r="K378" s="1" t="str">
        <f>_xlfn.IFNA(INDEX([1]洞天福地产出!$H:$H,MATCH(B378,[1]洞天福地产出!$K:$K,0)),"")</f>
        <v/>
      </c>
      <c r="L378" s="1" t="str">
        <f t="shared" si="29"/>
        <v/>
      </c>
      <c r="M378" s="4">
        <f t="shared" si="30"/>
        <v>0</v>
      </c>
    </row>
    <row r="379" ht="30" spans="1:13">
      <c r="A379" s="4"/>
      <c r="B379" t="str">
        <f t="shared" si="31"/>
        <v>7:600102</v>
      </c>
      <c r="C379" s="1">
        <v>7</v>
      </c>
      <c r="D379" s="4">
        <v>600102</v>
      </c>
      <c r="E379" s="3" t="s">
        <v>1880</v>
      </c>
      <c r="F379" s="3"/>
      <c r="G379" s="1">
        <v>35.775</v>
      </c>
      <c r="H379" s="1">
        <f t="shared" si="27"/>
        <v>35.775</v>
      </c>
      <c r="I379" s="1" t="str">
        <f t="shared" si="28"/>
        <v/>
      </c>
      <c r="J379" s="1" t="str">
        <f>_xlfn.IFNA(INDEX([1]历练产出!$Z:$Z,MATCH(B379,[1]历练产出!$AB:$AB,0)),"")</f>
        <v/>
      </c>
      <c r="K379" s="1" t="str">
        <f>_xlfn.IFNA(INDEX([1]洞天福地产出!$H:$H,MATCH(B379,[1]洞天福地产出!$K:$K,0)),"")</f>
        <v/>
      </c>
      <c r="L379" s="1" t="str">
        <f t="shared" si="29"/>
        <v/>
      </c>
      <c r="M379" s="4">
        <f t="shared" si="30"/>
        <v>0</v>
      </c>
    </row>
    <row r="380" ht="30" spans="1:13">
      <c r="A380" s="4"/>
      <c r="B380" t="str">
        <f t="shared" si="31"/>
        <v>7:600103</v>
      </c>
      <c r="C380" s="1">
        <v>7</v>
      </c>
      <c r="D380" s="4">
        <v>600103</v>
      </c>
      <c r="E380" s="3" t="s">
        <v>1880</v>
      </c>
      <c r="F380" s="3"/>
      <c r="G380" s="1">
        <v>51.975</v>
      </c>
      <c r="H380" s="1">
        <f t="shared" si="27"/>
        <v>51.975</v>
      </c>
      <c r="I380" s="1" t="str">
        <f t="shared" si="28"/>
        <v/>
      </c>
      <c r="J380" s="1" t="str">
        <f>_xlfn.IFNA(INDEX([1]历练产出!$Z:$Z,MATCH(B380,[1]历练产出!$AB:$AB,0)),"")</f>
        <v/>
      </c>
      <c r="K380" s="1" t="str">
        <f>_xlfn.IFNA(INDEX([1]洞天福地产出!$H:$H,MATCH(B380,[1]洞天福地产出!$K:$K,0)),"")</f>
        <v/>
      </c>
      <c r="L380" s="1" t="str">
        <f t="shared" si="29"/>
        <v/>
      </c>
      <c r="M380" s="4">
        <f t="shared" si="30"/>
        <v>0</v>
      </c>
    </row>
    <row r="381" ht="30" spans="1:13">
      <c r="A381" s="4"/>
      <c r="B381" t="str">
        <f t="shared" si="31"/>
        <v>7:600104</v>
      </c>
      <c r="C381" s="1">
        <v>7</v>
      </c>
      <c r="D381" s="4">
        <v>600104</v>
      </c>
      <c r="E381" s="3" t="s">
        <v>1880</v>
      </c>
      <c r="F381" s="3"/>
      <c r="G381" s="1">
        <v>74.25</v>
      </c>
      <c r="H381" s="1">
        <f t="shared" si="27"/>
        <v>74.25</v>
      </c>
      <c r="I381" s="1" t="str">
        <f t="shared" si="28"/>
        <v/>
      </c>
      <c r="J381" s="1" t="str">
        <f>_xlfn.IFNA(INDEX([1]历练产出!$Z:$Z,MATCH(B381,[1]历练产出!$AB:$AB,0)),"")</f>
        <v/>
      </c>
      <c r="K381" s="1" t="str">
        <f>_xlfn.IFNA(INDEX([1]洞天福地产出!$H:$H,MATCH(B381,[1]洞天福地产出!$K:$K,0)),"")</f>
        <v/>
      </c>
      <c r="L381" s="1" t="str">
        <f t="shared" si="29"/>
        <v/>
      </c>
      <c r="M381" s="4">
        <f t="shared" si="30"/>
        <v>0</v>
      </c>
    </row>
    <row r="382" ht="30" spans="1:13">
      <c r="A382" s="4"/>
      <c r="B382" t="str">
        <f t="shared" si="31"/>
        <v>7:600105</v>
      </c>
      <c r="C382" s="1">
        <v>7</v>
      </c>
      <c r="D382" s="4">
        <v>600105</v>
      </c>
      <c r="E382" s="3" t="s">
        <v>1880</v>
      </c>
      <c r="F382" s="3"/>
      <c r="G382" s="1">
        <v>102.6</v>
      </c>
      <c r="H382" s="1">
        <f t="shared" si="27"/>
        <v>102.6</v>
      </c>
      <c r="I382" s="1" t="str">
        <f t="shared" si="28"/>
        <v/>
      </c>
      <c r="J382" s="1" t="str">
        <f>_xlfn.IFNA(INDEX([1]历练产出!$Z:$Z,MATCH(B382,[1]历练产出!$AB:$AB,0)),"")</f>
        <v/>
      </c>
      <c r="K382" s="1" t="str">
        <f>_xlfn.IFNA(INDEX([1]洞天福地产出!$H:$H,MATCH(B382,[1]洞天福地产出!$K:$K,0)),"")</f>
        <v/>
      </c>
      <c r="L382" s="1" t="str">
        <f t="shared" si="29"/>
        <v/>
      </c>
      <c r="M382" s="4">
        <f t="shared" si="30"/>
        <v>0</v>
      </c>
    </row>
    <row r="383" ht="30" spans="1:13">
      <c r="A383" s="4"/>
      <c r="B383" t="str">
        <f t="shared" si="31"/>
        <v>7:600106</v>
      </c>
      <c r="C383" s="1">
        <v>7</v>
      </c>
      <c r="D383" s="4">
        <v>600106</v>
      </c>
      <c r="E383" s="3" t="s">
        <v>1880</v>
      </c>
      <c r="F383" s="3"/>
      <c r="G383" s="1">
        <v>137.025</v>
      </c>
      <c r="H383" s="1">
        <f t="shared" si="27"/>
        <v>137.025</v>
      </c>
      <c r="I383" s="1" t="str">
        <f t="shared" si="28"/>
        <v/>
      </c>
      <c r="J383" s="1" t="str">
        <f>_xlfn.IFNA(INDEX([1]历练产出!$Z:$Z,MATCH(B383,[1]历练产出!$AB:$AB,0)),"")</f>
        <v/>
      </c>
      <c r="K383" s="1" t="str">
        <f>_xlfn.IFNA(INDEX([1]洞天福地产出!$H:$H,MATCH(B383,[1]洞天福地产出!$K:$K,0)),"")</f>
        <v/>
      </c>
      <c r="L383" s="1" t="str">
        <f t="shared" si="29"/>
        <v/>
      </c>
      <c r="M383" s="4">
        <f t="shared" si="30"/>
        <v>0</v>
      </c>
    </row>
    <row r="384" ht="30" spans="1:13">
      <c r="A384" s="4"/>
      <c r="B384" t="str">
        <f t="shared" si="31"/>
        <v>7:600107</v>
      </c>
      <c r="C384" s="1">
        <v>7</v>
      </c>
      <c r="D384" s="4">
        <v>600107</v>
      </c>
      <c r="E384" s="3" t="s">
        <v>1880</v>
      </c>
      <c r="F384" s="3"/>
      <c r="G384" s="1">
        <v>177.525</v>
      </c>
      <c r="H384" s="1">
        <f t="shared" si="27"/>
        <v>177.525</v>
      </c>
      <c r="I384" s="1" t="str">
        <f t="shared" si="28"/>
        <v/>
      </c>
      <c r="J384" s="1" t="str">
        <f>_xlfn.IFNA(INDEX([1]历练产出!$Z:$Z,MATCH(B384,[1]历练产出!$AB:$AB,0)),"")</f>
        <v/>
      </c>
      <c r="K384" s="1" t="str">
        <f>_xlfn.IFNA(INDEX([1]洞天福地产出!$H:$H,MATCH(B384,[1]洞天福地产出!$K:$K,0)),"")</f>
        <v/>
      </c>
      <c r="L384" s="1" t="str">
        <f t="shared" si="29"/>
        <v/>
      </c>
      <c r="M384" s="4">
        <f t="shared" si="30"/>
        <v>0</v>
      </c>
    </row>
    <row r="385" ht="30" spans="1:13">
      <c r="A385" s="4"/>
      <c r="B385" t="str">
        <f t="shared" si="31"/>
        <v>7:600108</v>
      </c>
      <c r="C385" s="1">
        <v>7</v>
      </c>
      <c r="D385" s="4">
        <v>600108</v>
      </c>
      <c r="E385" s="3" t="s">
        <v>1880</v>
      </c>
      <c r="F385" s="3"/>
      <c r="G385" s="1">
        <v>224.1</v>
      </c>
      <c r="H385" s="1">
        <f t="shared" si="27"/>
        <v>224.1</v>
      </c>
      <c r="I385" s="1" t="str">
        <f t="shared" si="28"/>
        <v/>
      </c>
      <c r="J385" s="1" t="str">
        <f>_xlfn.IFNA(INDEX([1]历练产出!$Z:$Z,MATCH(B385,[1]历练产出!$AB:$AB,0)),"")</f>
        <v/>
      </c>
      <c r="K385" s="1" t="str">
        <f>_xlfn.IFNA(INDEX([1]洞天福地产出!$H:$H,MATCH(B385,[1]洞天福地产出!$K:$K,0)),"")</f>
        <v/>
      </c>
      <c r="L385" s="1" t="str">
        <f t="shared" si="29"/>
        <v/>
      </c>
      <c r="M385" s="4">
        <f t="shared" si="30"/>
        <v>0</v>
      </c>
    </row>
    <row r="386" ht="30" spans="1:13">
      <c r="A386" s="4"/>
      <c r="B386" t="str">
        <f t="shared" si="31"/>
        <v>7:600109</v>
      </c>
      <c r="C386" s="1">
        <v>7</v>
      </c>
      <c r="D386" s="4">
        <v>600109</v>
      </c>
      <c r="E386" s="3" t="s">
        <v>1880</v>
      </c>
      <c r="F386" s="3"/>
      <c r="G386" s="1">
        <v>276.75</v>
      </c>
      <c r="H386" s="1">
        <f t="shared" si="27"/>
        <v>276.75</v>
      </c>
      <c r="I386" s="1" t="str">
        <f t="shared" si="28"/>
        <v/>
      </c>
      <c r="J386" s="1" t="str">
        <f>_xlfn.IFNA(INDEX([1]历练产出!$Z:$Z,MATCH(B386,[1]历练产出!$AB:$AB,0)),"")</f>
        <v/>
      </c>
      <c r="K386" s="1" t="str">
        <f>_xlfn.IFNA(INDEX([1]洞天福地产出!$H:$H,MATCH(B386,[1]洞天福地产出!$K:$K,0)),"")</f>
        <v/>
      </c>
      <c r="L386" s="1" t="str">
        <f t="shared" si="29"/>
        <v/>
      </c>
      <c r="M386" s="4">
        <f t="shared" si="30"/>
        <v>0</v>
      </c>
    </row>
    <row r="387" ht="30" spans="1:13">
      <c r="A387" s="4"/>
      <c r="B387" t="str">
        <f t="shared" si="31"/>
        <v>7:600110</v>
      </c>
      <c r="C387" s="1">
        <v>7</v>
      </c>
      <c r="D387" s="4">
        <v>600110</v>
      </c>
      <c r="E387" s="3" t="s">
        <v>1880</v>
      </c>
      <c r="F387" s="3"/>
      <c r="G387" s="1">
        <v>335.475</v>
      </c>
      <c r="H387" s="1">
        <f t="shared" si="27"/>
        <v>335.475</v>
      </c>
      <c r="I387" s="1" t="str">
        <f t="shared" si="28"/>
        <v/>
      </c>
      <c r="J387" s="1" t="str">
        <f>_xlfn.IFNA(INDEX([1]历练产出!$Z:$Z,MATCH(B387,[1]历练产出!$AB:$AB,0)),"")</f>
        <v/>
      </c>
      <c r="K387" s="1" t="str">
        <f>_xlfn.IFNA(INDEX([1]洞天福地产出!$H:$H,MATCH(B387,[1]洞天福地产出!$K:$K,0)),"")</f>
        <v/>
      </c>
      <c r="L387" s="1" t="str">
        <f t="shared" si="29"/>
        <v/>
      </c>
      <c r="M387" s="4">
        <f t="shared" si="30"/>
        <v>0</v>
      </c>
    </row>
    <row r="388" ht="30" spans="1:13">
      <c r="A388" s="4"/>
      <c r="B388" t="str">
        <f t="shared" si="31"/>
        <v>7:600111</v>
      </c>
      <c r="C388" s="1">
        <v>7</v>
      </c>
      <c r="D388" s="4">
        <v>600111</v>
      </c>
      <c r="E388" s="3" t="s">
        <v>1880</v>
      </c>
      <c r="F388" s="3"/>
      <c r="G388" s="1">
        <v>400.275</v>
      </c>
      <c r="H388" s="1">
        <f t="shared" ref="H388:H451" si="32">IF(I388="",G388,I388)</f>
        <v>400.275</v>
      </c>
      <c r="I388" s="1" t="str">
        <f t="shared" ref="I388:I451" si="33">IFERROR(100/L388,"")</f>
        <v/>
      </c>
      <c r="J388" s="1" t="str">
        <f>_xlfn.IFNA(INDEX([1]历练产出!$Z:$Z,MATCH(B388,[1]历练产出!$AB:$AB,0)),"")</f>
        <v/>
      </c>
      <c r="K388" s="1" t="str">
        <f>_xlfn.IFNA(INDEX([1]洞天福地产出!$H:$H,MATCH(B388,[1]洞天福地产出!$K:$K,0)),"")</f>
        <v/>
      </c>
      <c r="L388" s="1" t="str">
        <f t="shared" ref="L388:L451" si="34">IFERROR(J388+K388,"")</f>
        <v/>
      </c>
      <c r="M388" s="4">
        <f t="shared" ref="M388:M451" si="35">IF(I388="",0,1)</f>
        <v>0</v>
      </c>
    </row>
    <row r="389" ht="30" spans="1:13">
      <c r="A389" s="4"/>
      <c r="B389" t="str">
        <f t="shared" si="31"/>
        <v>7:600112</v>
      </c>
      <c r="C389" s="1">
        <v>7</v>
      </c>
      <c r="D389" s="4">
        <v>600112</v>
      </c>
      <c r="E389" s="3" t="s">
        <v>1880</v>
      </c>
      <c r="F389" s="3"/>
      <c r="G389" s="1">
        <v>471.15</v>
      </c>
      <c r="H389" s="1">
        <f t="shared" si="32"/>
        <v>471.15</v>
      </c>
      <c r="I389" s="1" t="str">
        <f t="shared" si="33"/>
        <v/>
      </c>
      <c r="J389" s="1" t="str">
        <f>_xlfn.IFNA(INDEX([1]历练产出!$Z:$Z,MATCH(B389,[1]历练产出!$AB:$AB,0)),"")</f>
        <v/>
      </c>
      <c r="K389" s="1" t="str">
        <f>_xlfn.IFNA(INDEX([1]洞天福地产出!$H:$H,MATCH(B389,[1]洞天福地产出!$K:$K,0)),"")</f>
        <v/>
      </c>
      <c r="L389" s="1" t="str">
        <f t="shared" si="34"/>
        <v/>
      </c>
      <c r="M389" s="4">
        <f t="shared" si="35"/>
        <v>0</v>
      </c>
    </row>
    <row r="390" ht="30" spans="1:13">
      <c r="A390" s="4"/>
      <c r="B390" t="str">
        <f t="shared" si="31"/>
        <v>7:600113</v>
      </c>
      <c r="C390" s="1">
        <v>7</v>
      </c>
      <c r="D390" s="4">
        <v>600113</v>
      </c>
      <c r="E390" s="3" t="s">
        <v>1880</v>
      </c>
      <c r="F390" s="3"/>
      <c r="G390" s="1">
        <v>548.1</v>
      </c>
      <c r="H390" s="1">
        <f t="shared" si="32"/>
        <v>548.1</v>
      </c>
      <c r="I390" s="1" t="str">
        <f t="shared" si="33"/>
        <v/>
      </c>
      <c r="J390" s="1" t="str">
        <f>_xlfn.IFNA(INDEX([1]历练产出!$Z:$Z,MATCH(B390,[1]历练产出!$AB:$AB,0)),"")</f>
        <v/>
      </c>
      <c r="K390" s="1" t="str">
        <f>_xlfn.IFNA(INDEX([1]洞天福地产出!$H:$H,MATCH(B390,[1]洞天福地产出!$K:$K,0)),"")</f>
        <v/>
      </c>
      <c r="L390" s="1" t="str">
        <f t="shared" si="34"/>
        <v/>
      </c>
      <c r="M390" s="4">
        <f t="shared" si="35"/>
        <v>0</v>
      </c>
    </row>
    <row r="391" ht="30" spans="1:13">
      <c r="A391" s="4"/>
      <c r="B391" t="str">
        <f t="shared" si="31"/>
        <v>7:600114</v>
      </c>
      <c r="C391" s="1">
        <v>7</v>
      </c>
      <c r="D391" s="4">
        <v>600114</v>
      </c>
      <c r="E391" s="3" t="s">
        <v>1880</v>
      </c>
      <c r="F391" s="3"/>
      <c r="G391" s="1">
        <v>631.125</v>
      </c>
      <c r="H391" s="1">
        <f t="shared" si="32"/>
        <v>631.125</v>
      </c>
      <c r="I391" s="1" t="str">
        <f t="shared" si="33"/>
        <v/>
      </c>
      <c r="J391" s="1" t="str">
        <f>_xlfn.IFNA(INDEX([1]历练产出!$Z:$Z,MATCH(B391,[1]历练产出!$AB:$AB,0)),"")</f>
        <v/>
      </c>
      <c r="K391" s="1" t="str">
        <f>_xlfn.IFNA(INDEX([1]洞天福地产出!$H:$H,MATCH(B391,[1]洞天福地产出!$K:$K,0)),"")</f>
        <v/>
      </c>
      <c r="L391" s="1" t="str">
        <f t="shared" si="34"/>
        <v/>
      </c>
      <c r="M391" s="4">
        <f t="shared" si="35"/>
        <v>0</v>
      </c>
    </row>
    <row r="392" ht="30" spans="1:13">
      <c r="A392" s="4"/>
      <c r="B392" t="str">
        <f t="shared" si="31"/>
        <v>7:600115</v>
      </c>
      <c r="C392" s="1">
        <v>7</v>
      </c>
      <c r="D392" s="4">
        <v>600115</v>
      </c>
      <c r="E392" s="3" t="s">
        <v>1880</v>
      </c>
      <c r="F392" s="3"/>
      <c r="G392" s="1">
        <v>720.225</v>
      </c>
      <c r="H392" s="1">
        <f t="shared" si="32"/>
        <v>720.225</v>
      </c>
      <c r="I392" s="1" t="str">
        <f t="shared" si="33"/>
        <v/>
      </c>
      <c r="J392" s="1" t="str">
        <f>_xlfn.IFNA(INDEX([1]历练产出!$Z:$Z,MATCH(B392,[1]历练产出!$AB:$AB,0)),"")</f>
        <v/>
      </c>
      <c r="K392" s="1" t="str">
        <f>_xlfn.IFNA(INDEX([1]洞天福地产出!$H:$H,MATCH(B392,[1]洞天福地产出!$K:$K,0)),"")</f>
        <v/>
      </c>
      <c r="L392" s="1" t="str">
        <f t="shared" si="34"/>
        <v/>
      </c>
      <c r="M392" s="4">
        <f t="shared" si="35"/>
        <v>0</v>
      </c>
    </row>
    <row r="393" ht="30" spans="1:13">
      <c r="A393" s="4"/>
      <c r="B393" t="str">
        <f t="shared" si="31"/>
        <v>7:600116</v>
      </c>
      <c r="C393" s="1">
        <v>7</v>
      </c>
      <c r="D393" s="4">
        <v>600116</v>
      </c>
      <c r="E393" s="3" t="s">
        <v>1880</v>
      </c>
      <c r="F393" s="3"/>
      <c r="G393" s="1">
        <v>815.4</v>
      </c>
      <c r="H393" s="1">
        <f t="shared" si="32"/>
        <v>815.4</v>
      </c>
      <c r="I393" s="1" t="str">
        <f t="shared" si="33"/>
        <v/>
      </c>
      <c r="J393" s="1" t="str">
        <f>_xlfn.IFNA(INDEX([1]历练产出!$Z:$Z,MATCH(B393,[1]历练产出!$AB:$AB,0)),"")</f>
        <v/>
      </c>
      <c r="K393" s="1" t="str">
        <f>_xlfn.IFNA(INDEX([1]洞天福地产出!$H:$H,MATCH(B393,[1]洞天福地产出!$K:$K,0)),"")</f>
        <v/>
      </c>
      <c r="L393" s="1" t="str">
        <f t="shared" si="34"/>
        <v/>
      </c>
      <c r="M393" s="4">
        <f t="shared" si="35"/>
        <v>0</v>
      </c>
    </row>
    <row r="394" ht="30" spans="1:13">
      <c r="A394" s="4"/>
      <c r="B394" t="str">
        <f t="shared" si="31"/>
        <v>7:600117</v>
      </c>
      <c r="C394" s="1">
        <v>7</v>
      </c>
      <c r="D394" s="4">
        <v>600117</v>
      </c>
      <c r="E394" s="3" t="s">
        <v>1880</v>
      </c>
      <c r="F394" s="3"/>
      <c r="G394" s="1">
        <v>916.65</v>
      </c>
      <c r="H394" s="1">
        <f t="shared" si="32"/>
        <v>916.65</v>
      </c>
      <c r="I394" s="1" t="str">
        <f t="shared" si="33"/>
        <v/>
      </c>
      <c r="J394" s="1" t="str">
        <f>_xlfn.IFNA(INDEX([1]历练产出!$Z:$Z,MATCH(B394,[1]历练产出!$AB:$AB,0)),"")</f>
        <v/>
      </c>
      <c r="K394" s="1" t="str">
        <f>_xlfn.IFNA(INDEX([1]洞天福地产出!$H:$H,MATCH(B394,[1]洞天福地产出!$K:$K,0)),"")</f>
        <v/>
      </c>
      <c r="L394" s="1" t="str">
        <f t="shared" si="34"/>
        <v/>
      </c>
      <c r="M394" s="4">
        <f t="shared" si="35"/>
        <v>0</v>
      </c>
    </row>
    <row r="395" ht="30" spans="1:13">
      <c r="A395" s="4"/>
      <c r="B395" t="str">
        <f t="shared" si="31"/>
        <v>7:600118</v>
      </c>
      <c r="C395" s="1">
        <v>7</v>
      </c>
      <c r="D395" s="4">
        <v>600118</v>
      </c>
      <c r="E395" s="3" t="s">
        <v>1880</v>
      </c>
      <c r="F395" s="3"/>
      <c r="G395" s="1">
        <v>1023.975</v>
      </c>
      <c r="H395" s="1">
        <f t="shared" si="32"/>
        <v>1023.975</v>
      </c>
      <c r="I395" s="1" t="str">
        <f t="shared" si="33"/>
        <v/>
      </c>
      <c r="J395" s="1" t="str">
        <f>_xlfn.IFNA(INDEX([1]历练产出!$Z:$Z,MATCH(B395,[1]历练产出!$AB:$AB,0)),"")</f>
        <v/>
      </c>
      <c r="K395" s="1" t="str">
        <f>_xlfn.IFNA(INDEX([1]洞天福地产出!$H:$H,MATCH(B395,[1]洞天福地产出!$K:$K,0)),"")</f>
        <v/>
      </c>
      <c r="L395" s="1" t="str">
        <f t="shared" si="34"/>
        <v/>
      </c>
      <c r="M395" s="4">
        <f t="shared" si="35"/>
        <v>0</v>
      </c>
    </row>
    <row r="396" ht="30" spans="1:13">
      <c r="A396" s="4"/>
      <c r="B396" t="str">
        <f t="shared" si="31"/>
        <v>7:600119</v>
      </c>
      <c r="C396" s="1">
        <v>7</v>
      </c>
      <c r="D396" s="4">
        <v>600119</v>
      </c>
      <c r="E396" s="3" t="s">
        <v>1880</v>
      </c>
      <c r="F396" s="3"/>
      <c r="G396" s="1">
        <v>1137.375</v>
      </c>
      <c r="H396" s="1">
        <f t="shared" si="32"/>
        <v>1137.375</v>
      </c>
      <c r="I396" s="1" t="str">
        <f t="shared" si="33"/>
        <v/>
      </c>
      <c r="J396" s="1" t="str">
        <f>_xlfn.IFNA(INDEX([1]历练产出!$Z:$Z,MATCH(B396,[1]历练产出!$AB:$AB,0)),"")</f>
        <v/>
      </c>
      <c r="K396" s="1" t="str">
        <f>_xlfn.IFNA(INDEX([1]洞天福地产出!$H:$H,MATCH(B396,[1]洞天福地产出!$K:$K,0)),"")</f>
        <v/>
      </c>
      <c r="L396" s="1" t="str">
        <f t="shared" si="34"/>
        <v/>
      </c>
      <c r="M396" s="4">
        <f t="shared" si="35"/>
        <v>0</v>
      </c>
    </row>
    <row r="397" ht="30" spans="1:13">
      <c r="A397" s="4"/>
      <c r="B397" t="str">
        <f t="shared" si="31"/>
        <v>7:600120</v>
      </c>
      <c r="C397" s="1">
        <v>7</v>
      </c>
      <c r="D397" s="4">
        <v>600120</v>
      </c>
      <c r="E397" s="3" t="s">
        <v>1880</v>
      </c>
      <c r="F397" s="3"/>
      <c r="G397" s="1">
        <v>1256.85</v>
      </c>
      <c r="H397" s="1">
        <f t="shared" si="32"/>
        <v>1256.85</v>
      </c>
      <c r="I397" s="1" t="str">
        <f t="shared" si="33"/>
        <v/>
      </c>
      <c r="J397" s="1" t="str">
        <f>_xlfn.IFNA(INDEX([1]历练产出!$Z:$Z,MATCH(B397,[1]历练产出!$AB:$AB,0)),"")</f>
        <v/>
      </c>
      <c r="K397" s="1" t="str">
        <f>_xlfn.IFNA(INDEX([1]洞天福地产出!$H:$H,MATCH(B397,[1]洞天福地产出!$K:$K,0)),"")</f>
        <v/>
      </c>
      <c r="L397" s="1" t="str">
        <f t="shared" si="34"/>
        <v/>
      </c>
      <c r="M397" s="4">
        <f t="shared" si="35"/>
        <v>0</v>
      </c>
    </row>
    <row r="398" ht="30" spans="1:13">
      <c r="A398" s="4"/>
      <c r="B398" t="str">
        <f t="shared" si="31"/>
        <v>7:600121</v>
      </c>
      <c r="C398" s="1">
        <v>7</v>
      </c>
      <c r="D398" s="4">
        <v>600121</v>
      </c>
      <c r="E398" s="3" t="s">
        <v>1880</v>
      </c>
      <c r="F398" s="3"/>
      <c r="G398" s="1">
        <v>1382.4</v>
      </c>
      <c r="H398" s="1">
        <f t="shared" si="32"/>
        <v>1382.4</v>
      </c>
      <c r="I398" s="1" t="str">
        <f t="shared" si="33"/>
        <v/>
      </c>
      <c r="J398" s="1" t="str">
        <f>_xlfn.IFNA(INDEX([1]历练产出!$Z:$Z,MATCH(B398,[1]历练产出!$AB:$AB,0)),"")</f>
        <v/>
      </c>
      <c r="K398" s="1" t="str">
        <f>_xlfn.IFNA(INDEX([1]洞天福地产出!$H:$H,MATCH(B398,[1]洞天福地产出!$K:$K,0)),"")</f>
        <v/>
      </c>
      <c r="L398" s="1" t="str">
        <f t="shared" si="34"/>
        <v/>
      </c>
      <c r="M398" s="4">
        <f t="shared" si="35"/>
        <v>0</v>
      </c>
    </row>
    <row r="399" ht="30" spans="1:13">
      <c r="A399" s="4"/>
      <c r="B399" t="str">
        <f t="shared" si="31"/>
        <v>7:600122</v>
      </c>
      <c r="C399" s="1">
        <v>7</v>
      </c>
      <c r="D399" s="4">
        <v>600122</v>
      </c>
      <c r="E399" s="3" t="s">
        <v>1880</v>
      </c>
      <c r="F399" s="3"/>
      <c r="G399" s="1">
        <v>1514.025</v>
      </c>
      <c r="H399" s="1">
        <f t="shared" si="32"/>
        <v>1514.025</v>
      </c>
      <c r="I399" s="1" t="str">
        <f t="shared" si="33"/>
        <v/>
      </c>
      <c r="J399" s="1" t="str">
        <f>_xlfn.IFNA(INDEX([1]历练产出!$Z:$Z,MATCH(B399,[1]历练产出!$AB:$AB,0)),"")</f>
        <v/>
      </c>
      <c r="K399" s="1" t="str">
        <f>_xlfn.IFNA(INDEX([1]洞天福地产出!$H:$H,MATCH(B399,[1]洞天福地产出!$K:$K,0)),"")</f>
        <v/>
      </c>
      <c r="L399" s="1" t="str">
        <f t="shared" si="34"/>
        <v/>
      </c>
      <c r="M399" s="4">
        <f t="shared" si="35"/>
        <v>0</v>
      </c>
    </row>
    <row r="400" ht="30" spans="1:13">
      <c r="A400" s="4"/>
      <c r="B400" t="str">
        <f t="shared" si="31"/>
        <v>7:600123</v>
      </c>
      <c r="C400" s="1">
        <v>7</v>
      </c>
      <c r="D400" s="4">
        <v>600123</v>
      </c>
      <c r="E400" s="3" t="s">
        <v>1880</v>
      </c>
      <c r="F400" s="3"/>
      <c r="G400" s="1">
        <v>1651.725</v>
      </c>
      <c r="H400" s="1">
        <f t="shared" si="32"/>
        <v>1651.725</v>
      </c>
      <c r="I400" s="1" t="str">
        <f t="shared" si="33"/>
        <v/>
      </c>
      <c r="J400" s="1" t="str">
        <f>_xlfn.IFNA(INDEX([1]历练产出!$Z:$Z,MATCH(B400,[1]历练产出!$AB:$AB,0)),"")</f>
        <v/>
      </c>
      <c r="K400" s="1" t="str">
        <f>_xlfn.IFNA(INDEX([1]洞天福地产出!$H:$H,MATCH(B400,[1]洞天福地产出!$K:$K,0)),"")</f>
        <v/>
      </c>
      <c r="L400" s="1" t="str">
        <f t="shared" si="34"/>
        <v/>
      </c>
      <c r="M400" s="4">
        <f t="shared" si="35"/>
        <v>0</v>
      </c>
    </row>
    <row r="401" ht="30" spans="1:13">
      <c r="A401" s="4"/>
      <c r="B401" t="str">
        <f t="shared" si="31"/>
        <v>7:600124</v>
      </c>
      <c r="C401" s="1">
        <v>7</v>
      </c>
      <c r="D401" s="4">
        <v>600124</v>
      </c>
      <c r="E401" s="3" t="s">
        <v>1880</v>
      </c>
      <c r="F401" s="3"/>
      <c r="G401" s="1">
        <v>1795.5</v>
      </c>
      <c r="H401" s="1">
        <f t="shared" si="32"/>
        <v>1795.5</v>
      </c>
      <c r="I401" s="1" t="str">
        <f t="shared" si="33"/>
        <v/>
      </c>
      <c r="J401" s="1" t="str">
        <f>_xlfn.IFNA(INDEX([1]历练产出!$Z:$Z,MATCH(B401,[1]历练产出!$AB:$AB,0)),"")</f>
        <v/>
      </c>
      <c r="K401" s="1" t="str">
        <f>_xlfn.IFNA(INDEX([1]洞天福地产出!$H:$H,MATCH(B401,[1]洞天福地产出!$K:$K,0)),"")</f>
        <v/>
      </c>
      <c r="L401" s="1" t="str">
        <f t="shared" si="34"/>
        <v/>
      </c>
      <c r="M401" s="4">
        <f t="shared" si="35"/>
        <v>0</v>
      </c>
    </row>
    <row r="402" ht="30" spans="1:13">
      <c r="A402" s="4"/>
      <c r="B402" t="str">
        <f t="shared" si="31"/>
        <v>7:600125</v>
      </c>
      <c r="C402" s="1">
        <v>7</v>
      </c>
      <c r="D402" s="4">
        <v>600125</v>
      </c>
      <c r="E402" s="3" t="s">
        <v>1880</v>
      </c>
      <c r="F402" s="3"/>
      <c r="G402" s="1">
        <v>1945.35</v>
      </c>
      <c r="H402" s="1">
        <f t="shared" si="32"/>
        <v>1945.35</v>
      </c>
      <c r="I402" s="1" t="str">
        <f t="shared" si="33"/>
        <v/>
      </c>
      <c r="J402" s="1" t="str">
        <f>_xlfn.IFNA(INDEX([1]历练产出!$Z:$Z,MATCH(B402,[1]历练产出!$AB:$AB,0)),"")</f>
        <v/>
      </c>
      <c r="K402" s="1" t="str">
        <f>_xlfn.IFNA(INDEX([1]洞天福地产出!$H:$H,MATCH(B402,[1]洞天福地产出!$K:$K,0)),"")</f>
        <v/>
      </c>
      <c r="L402" s="1" t="str">
        <f t="shared" si="34"/>
        <v/>
      </c>
      <c r="M402" s="4">
        <f t="shared" si="35"/>
        <v>0</v>
      </c>
    </row>
    <row r="403" ht="30" spans="1:13">
      <c r="A403" s="4"/>
      <c r="B403" t="str">
        <f t="shared" si="31"/>
        <v>7:600126</v>
      </c>
      <c r="C403" s="1">
        <v>7</v>
      </c>
      <c r="D403" s="4">
        <v>600126</v>
      </c>
      <c r="E403" s="3" t="s">
        <v>1880</v>
      </c>
      <c r="F403" s="3"/>
      <c r="G403" s="1">
        <v>2101.275</v>
      </c>
      <c r="H403" s="1">
        <f t="shared" si="32"/>
        <v>2101.275</v>
      </c>
      <c r="I403" s="1" t="str">
        <f t="shared" si="33"/>
        <v/>
      </c>
      <c r="J403" s="1" t="str">
        <f>_xlfn.IFNA(INDEX([1]历练产出!$Z:$Z,MATCH(B403,[1]历练产出!$AB:$AB,0)),"")</f>
        <v/>
      </c>
      <c r="K403" s="1" t="str">
        <f>_xlfn.IFNA(INDEX([1]洞天福地产出!$H:$H,MATCH(B403,[1]洞天福地产出!$K:$K,0)),"")</f>
        <v/>
      </c>
      <c r="L403" s="1" t="str">
        <f t="shared" si="34"/>
        <v/>
      </c>
      <c r="M403" s="4">
        <f t="shared" si="35"/>
        <v>0</v>
      </c>
    </row>
    <row r="404" ht="30" spans="1:13">
      <c r="A404" s="4"/>
      <c r="B404" t="str">
        <f t="shared" si="31"/>
        <v>7:600127</v>
      </c>
      <c r="C404" s="1">
        <v>7</v>
      </c>
      <c r="D404" s="4">
        <v>600127</v>
      </c>
      <c r="E404" s="3" t="s">
        <v>1880</v>
      </c>
      <c r="F404" s="3"/>
      <c r="G404" s="1">
        <v>2263.275</v>
      </c>
      <c r="H404" s="1">
        <f t="shared" si="32"/>
        <v>2263.275</v>
      </c>
      <c r="I404" s="1" t="str">
        <f t="shared" si="33"/>
        <v/>
      </c>
      <c r="J404" s="1" t="str">
        <f>_xlfn.IFNA(INDEX([1]历练产出!$Z:$Z,MATCH(B404,[1]历练产出!$AB:$AB,0)),"")</f>
        <v/>
      </c>
      <c r="K404" s="1" t="str">
        <f>_xlfn.IFNA(INDEX([1]洞天福地产出!$H:$H,MATCH(B404,[1]洞天福地产出!$K:$K,0)),"")</f>
        <v/>
      </c>
      <c r="L404" s="1" t="str">
        <f t="shared" si="34"/>
        <v/>
      </c>
      <c r="M404" s="4">
        <f t="shared" si="35"/>
        <v>0</v>
      </c>
    </row>
    <row r="405" ht="30" spans="1:13">
      <c r="A405" s="4"/>
      <c r="B405" t="str">
        <f t="shared" si="31"/>
        <v>7:600128</v>
      </c>
      <c r="C405" s="1">
        <v>7</v>
      </c>
      <c r="D405" s="4">
        <v>600128</v>
      </c>
      <c r="E405" s="3" t="s">
        <v>1880</v>
      </c>
      <c r="F405" s="3"/>
      <c r="G405" s="1">
        <v>2431.35</v>
      </c>
      <c r="H405" s="1">
        <f t="shared" si="32"/>
        <v>2431.35</v>
      </c>
      <c r="I405" s="1" t="str">
        <f t="shared" si="33"/>
        <v/>
      </c>
      <c r="J405" s="1" t="str">
        <f>_xlfn.IFNA(INDEX([1]历练产出!$Z:$Z,MATCH(B405,[1]历练产出!$AB:$AB,0)),"")</f>
        <v/>
      </c>
      <c r="K405" s="1" t="str">
        <f>_xlfn.IFNA(INDEX([1]洞天福地产出!$H:$H,MATCH(B405,[1]洞天福地产出!$K:$K,0)),"")</f>
        <v/>
      </c>
      <c r="L405" s="1" t="str">
        <f t="shared" si="34"/>
        <v/>
      </c>
      <c r="M405" s="4">
        <f t="shared" si="35"/>
        <v>0</v>
      </c>
    </row>
    <row r="406" ht="30" spans="1:13">
      <c r="A406" s="4"/>
      <c r="B406" t="str">
        <f t="shared" si="31"/>
        <v>7:600129</v>
      </c>
      <c r="C406" s="1">
        <v>7</v>
      </c>
      <c r="D406" s="4">
        <v>600129</v>
      </c>
      <c r="E406" s="3" t="s">
        <v>1880</v>
      </c>
      <c r="F406" s="3"/>
      <c r="G406" s="1">
        <v>2605.5</v>
      </c>
      <c r="H406" s="1">
        <f t="shared" si="32"/>
        <v>2605.5</v>
      </c>
      <c r="I406" s="1" t="str">
        <f t="shared" si="33"/>
        <v/>
      </c>
      <c r="J406" s="1" t="str">
        <f>_xlfn.IFNA(INDEX([1]历练产出!$Z:$Z,MATCH(B406,[1]历练产出!$AB:$AB,0)),"")</f>
        <v/>
      </c>
      <c r="K406" s="1" t="str">
        <f>_xlfn.IFNA(INDEX([1]洞天福地产出!$H:$H,MATCH(B406,[1]洞天福地产出!$K:$K,0)),"")</f>
        <v/>
      </c>
      <c r="L406" s="1" t="str">
        <f t="shared" si="34"/>
        <v/>
      </c>
      <c r="M406" s="4">
        <f t="shared" si="35"/>
        <v>0</v>
      </c>
    </row>
    <row r="407" ht="30" spans="1:13">
      <c r="A407" s="4"/>
      <c r="B407" t="str">
        <f t="shared" si="31"/>
        <v>7:600130</v>
      </c>
      <c r="C407" s="1">
        <v>7</v>
      </c>
      <c r="D407" s="4">
        <v>600130</v>
      </c>
      <c r="E407" s="3" t="s">
        <v>1880</v>
      </c>
      <c r="F407" s="3"/>
      <c r="G407" s="1">
        <v>2779.65</v>
      </c>
      <c r="H407" s="1">
        <f t="shared" si="32"/>
        <v>2779.65</v>
      </c>
      <c r="I407" s="1" t="str">
        <f t="shared" si="33"/>
        <v/>
      </c>
      <c r="J407" s="1" t="str">
        <f>_xlfn.IFNA(INDEX([1]历练产出!$Z:$Z,MATCH(B407,[1]历练产出!$AB:$AB,0)),"")</f>
        <v/>
      </c>
      <c r="K407" s="1" t="str">
        <f>_xlfn.IFNA(INDEX([1]洞天福地产出!$H:$H,MATCH(B407,[1]洞天福地产出!$K:$K,0)),"")</f>
        <v/>
      </c>
      <c r="L407" s="1" t="str">
        <f t="shared" si="34"/>
        <v/>
      </c>
      <c r="M407" s="4">
        <f t="shared" si="35"/>
        <v>0</v>
      </c>
    </row>
    <row r="408" ht="45" spans="1:13">
      <c r="A408" s="4"/>
      <c r="B408" t="str">
        <f t="shared" si="31"/>
        <v>7:1000101</v>
      </c>
      <c r="C408" s="1">
        <v>7</v>
      </c>
      <c r="D408" s="4">
        <v>1000101</v>
      </c>
      <c r="E408" s="3" t="s">
        <v>1881</v>
      </c>
      <c r="F408" s="3"/>
      <c r="G408" s="1">
        <v>656.1</v>
      </c>
      <c r="H408" s="1">
        <f t="shared" si="32"/>
        <v>656.1</v>
      </c>
      <c r="I408" s="1" t="str">
        <f t="shared" si="33"/>
        <v/>
      </c>
      <c r="J408" s="1" t="str">
        <f>_xlfn.IFNA(INDEX([1]历练产出!$Z:$Z,MATCH(B408,[1]历练产出!$AB:$AB,0)),"")</f>
        <v/>
      </c>
      <c r="K408" s="1" t="str">
        <f>_xlfn.IFNA(INDEX([1]洞天福地产出!$H:$H,MATCH(B408,[1]洞天福地产出!$K:$K,0)),"")</f>
        <v/>
      </c>
      <c r="L408" s="1" t="str">
        <f t="shared" si="34"/>
        <v/>
      </c>
      <c r="M408" s="4">
        <f t="shared" si="35"/>
        <v>0</v>
      </c>
    </row>
    <row r="409" ht="45" spans="1:13">
      <c r="A409" s="4"/>
      <c r="B409" t="str">
        <f t="shared" si="31"/>
        <v>7:1000102</v>
      </c>
      <c r="C409" s="1">
        <v>7</v>
      </c>
      <c r="D409" s="4">
        <v>1000102</v>
      </c>
      <c r="E409" s="3" t="s">
        <v>1881</v>
      </c>
      <c r="F409" s="3"/>
      <c r="G409" s="1">
        <v>676.35</v>
      </c>
      <c r="H409" s="1">
        <f t="shared" si="32"/>
        <v>676.35</v>
      </c>
      <c r="I409" s="1" t="str">
        <f t="shared" si="33"/>
        <v/>
      </c>
      <c r="J409" s="1" t="str">
        <f>_xlfn.IFNA(INDEX([1]历练产出!$Z:$Z,MATCH(B409,[1]历练产出!$AB:$AB,0)),"")</f>
        <v/>
      </c>
      <c r="K409" s="1" t="str">
        <f>_xlfn.IFNA(INDEX([1]洞天福地产出!$H:$H,MATCH(B409,[1]洞天福地产出!$K:$K,0)),"")</f>
        <v/>
      </c>
      <c r="L409" s="1" t="str">
        <f t="shared" si="34"/>
        <v/>
      </c>
      <c r="M409" s="4">
        <f t="shared" si="35"/>
        <v>0</v>
      </c>
    </row>
    <row r="410" ht="45" spans="1:13">
      <c r="A410" s="4"/>
      <c r="B410" t="str">
        <f t="shared" si="31"/>
        <v>7:1000103</v>
      </c>
      <c r="C410" s="1">
        <v>7</v>
      </c>
      <c r="D410" s="4">
        <v>1000103</v>
      </c>
      <c r="E410" s="3" t="s">
        <v>1881</v>
      </c>
      <c r="F410" s="3"/>
      <c r="G410" s="1">
        <v>708.75</v>
      </c>
      <c r="H410" s="1">
        <f t="shared" si="32"/>
        <v>708.75</v>
      </c>
      <c r="I410" s="1" t="str">
        <f t="shared" si="33"/>
        <v/>
      </c>
      <c r="J410" s="1" t="str">
        <f>_xlfn.IFNA(INDEX([1]历练产出!$Z:$Z,MATCH(B410,[1]历练产出!$AB:$AB,0)),"")</f>
        <v/>
      </c>
      <c r="K410" s="1" t="str">
        <f>_xlfn.IFNA(INDEX([1]洞天福地产出!$H:$H,MATCH(B410,[1]洞天福地产出!$K:$K,0)),"")</f>
        <v/>
      </c>
      <c r="L410" s="1" t="str">
        <f t="shared" si="34"/>
        <v/>
      </c>
      <c r="M410" s="4">
        <f t="shared" si="35"/>
        <v>0</v>
      </c>
    </row>
    <row r="411" ht="45" spans="1:13">
      <c r="A411" s="4"/>
      <c r="B411" t="str">
        <f t="shared" si="31"/>
        <v>7:1000104</v>
      </c>
      <c r="C411" s="1">
        <v>7</v>
      </c>
      <c r="D411" s="4">
        <v>1000104</v>
      </c>
      <c r="E411" s="3" t="s">
        <v>1881</v>
      </c>
      <c r="F411" s="3"/>
      <c r="G411" s="1">
        <v>753.3</v>
      </c>
      <c r="H411" s="1">
        <f t="shared" si="32"/>
        <v>753.3</v>
      </c>
      <c r="I411" s="1" t="str">
        <f t="shared" si="33"/>
        <v/>
      </c>
      <c r="J411" s="1" t="str">
        <f>_xlfn.IFNA(INDEX([1]历练产出!$Z:$Z,MATCH(B411,[1]历练产出!$AB:$AB,0)),"")</f>
        <v/>
      </c>
      <c r="K411" s="1" t="str">
        <f>_xlfn.IFNA(INDEX([1]洞天福地产出!$H:$H,MATCH(B411,[1]洞天福地产出!$K:$K,0)),"")</f>
        <v/>
      </c>
      <c r="L411" s="1" t="str">
        <f t="shared" si="34"/>
        <v/>
      </c>
      <c r="M411" s="4">
        <f t="shared" si="35"/>
        <v>0</v>
      </c>
    </row>
    <row r="412" ht="45" spans="1:13">
      <c r="A412" s="4"/>
      <c r="B412" t="str">
        <f t="shared" si="31"/>
        <v>7:1000105</v>
      </c>
      <c r="C412" s="1">
        <v>7</v>
      </c>
      <c r="D412" s="4">
        <v>1000105</v>
      </c>
      <c r="E412" s="3" t="s">
        <v>1881</v>
      </c>
      <c r="F412" s="3"/>
      <c r="G412" s="1">
        <v>810</v>
      </c>
      <c r="H412" s="1">
        <f t="shared" si="32"/>
        <v>810</v>
      </c>
      <c r="I412" s="1" t="str">
        <f t="shared" si="33"/>
        <v/>
      </c>
      <c r="J412" s="1" t="str">
        <f>_xlfn.IFNA(INDEX([1]历练产出!$Z:$Z,MATCH(B412,[1]历练产出!$AB:$AB,0)),"")</f>
        <v/>
      </c>
      <c r="K412" s="1" t="str">
        <f>_xlfn.IFNA(INDEX([1]洞天福地产出!$H:$H,MATCH(B412,[1]洞天福地产出!$K:$K,0)),"")</f>
        <v/>
      </c>
      <c r="L412" s="1" t="str">
        <f t="shared" si="34"/>
        <v/>
      </c>
      <c r="M412" s="4">
        <f t="shared" si="35"/>
        <v>0</v>
      </c>
    </row>
    <row r="413" ht="45" spans="1:13">
      <c r="A413" s="4"/>
      <c r="B413" t="str">
        <f t="shared" si="31"/>
        <v>7:1000106</v>
      </c>
      <c r="C413" s="1">
        <v>7</v>
      </c>
      <c r="D413" s="4">
        <v>1000106</v>
      </c>
      <c r="E413" s="3" t="s">
        <v>1881</v>
      </c>
      <c r="F413" s="3"/>
      <c r="G413" s="1">
        <v>878.85</v>
      </c>
      <c r="H413" s="1">
        <f t="shared" si="32"/>
        <v>878.85</v>
      </c>
      <c r="I413" s="1" t="str">
        <f t="shared" si="33"/>
        <v/>
      </c>
      <c r="J413" s="1" t="str">
        <f>_xlfn.IFNA(INDEX([1]历练产出!$Z:$Z,MATCH(B413,[1]历练产出!$AB:$AB,0)),"")</f>
        <v/>
      </c>
      <c r="K413" s="1" t="str">
        <f>_xlfn.IFNA(INDEX([1]洞天福地产出!$H:$H,MATCH(B413,[1]洞天福地产出!$K:$K,0)),"")</f>
        <v/>
      </c>
      <c r="L413" s="1" t="str">
        <f t="shared" si="34"/>
        <v/>
      </c>
      <c r="M413" s="4">
        <f t="shared" si="35"/>
        <v>0</v>
      </c>
    </row>
    <row r="414" ht="45" spans="1:13">
      <c r="A414" s="4"/>
      <c r="B414" t="str">
        <f t="shared" si="31"/>
        <v>7:1000107</v>
      </c>
      <c r="C414" s="1">
        <v>7</v>
      </c>
      <c r="D414" s="4">
        <v>1000107</v>
      </c>
      <c r="E414" s="3" t="s">
        <v>1881</v>
      </c>
      <c r="F414" s="3"/>
      <c r="G414" s="1">
        <v>959.85</v>
      </c>
      <c r="H414" s="1">
        <f t="shared" si="32"/>
        <v>959.85</v>
      </c>
      <c r="I414" s="1" t="str">
        <f t="shared" si="33"/>
        <v/>
      </c>
      <c r="J414" s="1" t="str">
        <f>_xlfn.IFNA(INDEX([1]历练产出!$Z:$Z,MATCH(B414,[1]历练产出!$AB:$AB,0)),"")</f>
        <v/>
      </c>
      <c r="K414" s="1" t="str">
        <f>_xlfn.IFNA(INDEX([1]洞天福地产出!$H:$H,MATCH(B414,[1]洞天福地产出!$K:$K,0)),"")</f>
        <v/>
      </c>
      <c r="L414" s="1" t="str">
        <f t="shared" si="34"/>
        <v/>
      </c>
      <c r="M414" s="4">
        <f t="shared" si="35"/>
        <v>0</v>
      </c>
    </row>
    <row r="415" ht="45" spans="1:13">
      <c r="A415" s="4"/>
      <c r="B415" t="str">
        <f t="shared" si="31"/>
        <v>7:1000108</v>
      </c>
      <c r="C415" s="1">
        <v>7</v>
      </c>
      <c r="D415" s="4">
        <v>1000108</v>
      </c>
      <c r="E415" s="3" t="s">
        <v>1881</v>
      </c>
      <c r="F415" s="3"/>
      <c r="G415" s="1">
        <v>1053</v>
      </c>
      <c r="H415" s="1">
        <f t="shared" si="32"/>
        <v>1053</v>
      </c>
      <c r="I415" s="1" t="str">
        <f t="shared" si="33"/>
        <v/>
      </c>
      <c r="J415" s="1" t="str">
        <f>_xlfn.IFNA(INDEX([1]历练产出!$Z:$Z,MATCH(B415,[1]历练产出!$AB:$AB,0)),"")</f>
        <v/>
      </c>
      <c r="K415" s="1" t="str">
        <f>_xlfn.IFNA(INDEX([1]洞天福地产出!$H:$H,MATCH(B415,[1]洞天福地产出!$K:$K,0)),"")</f>
        <v/>
      </c>
      <c r="L415" s="1" t="str">
        <f t="shared" si="34"/>
        <v/>
      </c>
      <c r="M415" s="4">
        <f t="shared" si="35"/>
        <v>0</v>
      </c>
    </row>
    <row r="416" ht="45" spans="1:13">
      <c r="A416" s="4"/>
      <c r="B416" t="str">
        <f t="shared" si="31"/>
        <v>7:1000109</v>
      </c>
      <c r="C416" s="1">
        <v>7</v>
      </c>
      <c r="D416" s="4">
        <v>1000109</v>
      </c>
      <c r="E416" s="3" t="s">
        <v>1881</v>
      </c>
      <c r="F416" s="3"/>
      <c r="G416" s="1">
        <v>1806.3</v>
      </c>
      <c r="H416" s="1">
        <f t="shared" si="32"/>
        <v>1806.3</v>
      </c>
      <c r="I416" s="1" t="str">
        <f t="shared" si="33"/>
        <v/>
      </c>
      <c r="J416" s="1" t="str">
        <f>_xlfn.IFNA(INDEX([1]历练产出!$Z:$Z,MATCH(B416,[1]历练产出!$AB:$AB,0)),"")</f>
        <v/>
      </c>
      <c r="K416" s="1" t="str">
        <f>_xlfn.IFNA(INDEX([1]洞天福地产出!$H:$H,MATCH(B416,[1]洞天福地产出!$K:$K,0)),"")</f>
        <v/>
      </c>
      <c r="L416" s="1" t="str">
        <f t="shared" si="34"/>
        <v/>
      </c>
      <c r="M416" s="4">
        <f t="shared" si="35"/>
        <v>0</v>
      </c>
    </row>
    <row r="417" ht="45" spans="1:13">
      <c r="A417" s="4"/>
      <c r="B417" t="str">
        <f t="shared" si="31"/>
        <v>7:1000110</v>
      </c>
      <c r="C417" s="1">
        <v>7</v>
      </c>
      <c r="D417" s="4">
        <v>1000110</v>
      </c>
      <c r="E417" s="3" t="s">
        <v>1881</v>
      </c>
      <c r="F417" s="3"/>
      <c r="G417" s="1">
        <v>1923.75</v>
      </c>
      <c r="H417" s="1">
        <f t="shared" si="32"/>
        <v>1923.75</v>
      </c>
      <c r="I417" s="1" t="str">
        <f t="shared" si="33"/>
        <v/>
      </c>
      <c r="J417" s="1" t="str">
        <f>_xlfn.IFNA(INDEX([1]历练产出!$Z:$Z,MATCH(B417,[1]历练产出!$AB:$AB,0)),"")</f>
        <v/>
      </c>
      <c r="K417" s="1" t="str">
        <f>_xlfn.IFNA(INDEX([1]洞天福地产出!$H:$H,MATCH(B417,[1]洞天福地产出!$K:$K,0)),"")</f>
        <v/>
      </c>
      <c r="L417" s="1" t="str">
        <f t="shared" si="34"/>
        <v/>
      </c>
      <c r="M417" s="4">
        <f t="shared" si="35"/>
        <v>0</v>
      </c>
    </row>
    <row r="418" ht="45" spans="1:13">
      <c r="A418" s="4"/>
      <c r="B418" t="str">
        <f t="shared" si="31"/>
        <v>7:1000111</v>
      </c>
      <c r="C418" s="1">
        <v>7</v>
      </c>
      <c r="D418" s="4">
        <v>1000111</v>
      </c>
      <c r="E418" s="3" t="s">
        <v>1881</v>
      </c>
      <c r="F418" s="3"/>
      <c r="G418" s="1">
        <v>2053.35</v>
      </c>
      <c r="H418" s="1">
        <f t="shared" si="32"/>
        <v>2053.35</v>
      </c>
      <c r="I418" s="1" t="str">
        <f t="shared" si="33"/>
        <v/>
      </c>
      <c r="J418" s="1" t="str">
        <f>_xlfn.IFNA(INDEX([1]历练产出!$Z:$Z,MATCH(B418,[1]历练产出!$AB:$AB,0)),"")</f>
        <v/>
      </c>
      <c r="K418" s="1" t="str">
        <f>_xlfn.IFNA(INDEX([1]洞天福地产出!$H:$H,MATCH(B418,[1]洞天福地产出!$K:$K,0)),"")</f>
        <v/>
      </c>
      <c r="L418" s="1" t="str">
        <f t="shared" si="34"/>
        <v/>
      </c>
      <c r="M418" s="4">
        <f t="shared" si="35"/>
        <v>0</v>
      </c>
    </row>
    <row r="419" ht="45" spans="1:13">
      <c r="A419" s="4"/>
      <c r="B419" t="str">
        <f t="shared" si="31"/>
        <v>7:1000112</v>
      </c>
      <c r="C419" s="1">
        <v>7</v>
      </c>
      <c r="D419" s="4">
        <v>1000112</v>
      </c>
      <c r="E419" s="3" t="s">
        <v>1881</v>
      </c>
      <c r="F419" s="3"/>
      <c r="G419" s="1">
        <v>2195.1</v>
      </c>
      <c r="H419" s="1">
        <f t="shared" si="32"/>
        <v>2195.1</v>
      </c>
      <c r="I419" s="1" t="str">
        <f t="shared" si="33"/>
        <v/>
      </c>
      <c r="J419" s="1" t="str">
        <f>_xlfn.IFNA(INDEX([1]历练产出!$Z:$Z,MATCH(B419,[1]历练产出!$AB:$AB,0)),"")</f>
        <v/>
      </c>
      <c r="K419" s="1" t="str">
        <f>_xlfn.IFNA(INDEX([1]洞天福地产出!$H:$H,MATCH(B419,[1]洞天福地产出!$K:$K,0)),"")</f>
        <v/>
      </c>
      <c r="L419" s="1" t="str">
        <f t="shared" si="34"/>
        <v/>
      </c>
      <c r="M419" s="4">
        <f t="shared" si="35"/>
        <v>0</v>
      </c>
    </row>
    <row r="420" ht="45" spans="1:13">
      <c r="A420" s="4"/>
      <c r="B420" t="str">
        <f t="shared" ref="B420:B483" si="36">C420&amp;":"&amp;D420</f>
        <v>7:1000113</v>
      </c>
      <c r="C420" s="1">
        <v>7</v>
      </c>
      <c r="D420" s="4">
        <v>1000113</v>
      </c>
      <c r="E420" s="3" t="s">
        <v>1881</v>
      </c>
      <c r="F420" s="3"/>
      <c r="G420" s="1">
        <v>2349</v>
      </c>
      <c r="H420" s="1">
        <f t="shared" si="32"/>
        <v>2349</v>
      </c>
      <c r="I420" s="1" t="str">
        <f t="shared" si="33"/>
        <v/>
      </c>
      <c r="J420" s="1" t="str">
        <f>_xlfn.IFNA(INDEX([1]历练产出!$Z:$Z,MATCH(B420,[1]历练产出!$AB:$AB,0)),"")</f>
        <v/>
      </c>
      <c r="K420" s="1" t="str">
        <f>_xlfn.IFNA(INDEX([1]洞天福地产出!$H:$H,MATCH(B420,[1]洞天福地产出!$K:$K,0)),"")</f>
        <v/>
      </c>
      <c r="L420" s="1" t="str">
        <f t="shared" si="34"/>
        <v/>
      </c>
      <c r="M420" s="4">
        <f t="shared" si="35"/>
        <v>0</v>
      </c>
    </row>
    <row r="421" ht="45" spans="1:13">
      <c r="A421" s="4"/>
      <c r="B421" t="str">
        <f t="shared" si="36"/>
        <v>7:1000114</v>
      </c>
      <c r="C421" s="1">
        <v>7</v>
      </c>
      <c r="D421" s="4">
        <v>1000114</v>
      </c>
      <c r="E421" s="3" t="s">
        <v>1881</v>
      </c>
      <c r="F421" s="3"/>
      <c r="G421" s="1">
        <v>2515.05</v>
      </c>
      <c r="H421" s="1">
        <f t="shared" si="32"/>
        <v>2515.05</v>
      </c>
      <c r="I421" s="1" t="str">
        <f t="shared" si="33"/>
        <v/>
      </c>
      <c r="J421" s="1" t="str">
        <f>_xlfn.IFNA(INDEX([1]历练产出!$Z:$Z,MATCH(B421,[1]历练产出!$AB:$AB,0)),"")</f>
        <v/>
      </c>
      <c r="K421" s="1" t="str">
        <f>_xlfn.IFNA(INDEX([1]洞天福地产出!$H:$H,MATCH(B421,[1]洞天福地产出!$K:$K,0)),"")</f>
        <v/>
      </c>
      <c r="L421" s="1" t="str">
        <f t="shared" si="34"/>
        <v/>
      </c>
      <c r="M421" s="4">
        <f t="shared" si="35"/>
        <v>0</v>
      </c>
    </row>
    <row r="422" ht="45" spans="1:13">
      <c r="A422" s="4"/>
      <c r="B422" t="str">
        <f t="shared" si="36"/>
        <v>7:1000115</v>
      </c>
      <c r="C422" s="1">
        <v>7</v>
      </c>
      <c r="D422" s="4">
        <v>1000115</v>
      </c>
      <c r="E422" s="3" t="s">
        <v>1881</v>
      </c>
      <c r="F422" s="3"/>
      <c r="G422" s="1">
        <v>2693.25</v>
      </c>
      <c r="H422" s="1">
        <f t="shared" si="32"/>
        <v>2693.25</v>
      </c>
      <c r="I422" s="1" t="str">
        <f t="shared" si="33"/>
        <v/>
      </c>
      <c r="J422" s="1" t="str">
        <f>_xlfn.IFNA(INDEX([1]历练产出!$Z:$Z,MATCH(B422,[1]历练产出!$AB:$AB,0)),"")</f>
        <v/>
      </c>
      <c r="K422" s="1" t="str">
        <f>_xlfn.IFNA(INDEX([1]洞天福地产出!$H:$H,MATCH(B422,[1]洞天福地产出!$K:$K,0)),"")</f>
        <v/>
      </c>
      <c r="L422" s="1" t="str">
        <f t="shared" si="34"/>
        <v/>
      </c>
      <c r="M422" s="4">
        <f t="shared" si="35"/>
        <v>0</v>
      </c>
    </row>
    <row r="423" ht="45" spans="1:13">
      <c r="A423" s="4"/>
      <c r="B423" t="str">
        <f t="shared" si="36"/>
        <v>7:1000116</v>
      </c>
      <c r="C423" s="1">
        <v>7</v>
      </c>
      <c r="D423" s="4">
        <v>1000116</v>
      </c>
      <c r="E423" s="3" t="s">
        <v>1881</v>
      </c>
      <c r="F423" s="3"/>
      <c r="G423" s="1">
        <v>2883.6</v>
      </c>
      <c r="H423" s="1">
        <f t="shared" si="32"/>
        <v>2883.6</v>
      </c>
      <c r="I423" s="1" t="str">
        <f t="shared" si="33"/>
        <v/>
      </c>
      <c r="J423" s="1" t="str">
        <f>_xlfn.IFNA(INDEX([1]历练产出!$Z:$Z,MATCH(B423,[1]历练产出!$AB:$AB,0)),"")</f>
        <v/>
      </c>
      <c r="K423" s="1" t="str">
        <f>_xlfn.IFNA(INDEX([1]洞天福地产出!$H:$H,MATCH(B423,[1]洞天福地产出!$K:$K,0)),"")</f>
        <v/>
      </c>
      <c r="L423" s="1" t="str">
        <f t="shared" si="34"/>
        <v/>
      </c>
      <c r="M423" s="4">
        <f t="shared" si="35"/>
        <v>0</v>
      </c>
    </row>
    <row r="424" ht="45" spans="1:13">
      <c r="A424" s="4"/>
      <c r="B424" t="str">
        <f t="shared" si="36"/>
        <v>7:1000117</v>
      </c>
      <c r="C424" s="1">
        <v>7</v>
      </c>
      <c r="D424" s="4">
        <v>1000117</v>
      </c>
      <c r="E424" s="3" t="s">
        <v>1881</v>
      </c>
      <c r="F424" s="3"/>
      <c r="G424" s="1">
        <v>3086.1</v>
      </c>
      <c r="H424" s="1">
        <f t="shared" si="32"/>
        <v>3086.1</v>
      </c>
      <c r="I424" s="1" t="str">
        <f t="shared" si="33"/>
        <v/>
      </c>
      <c r="J424" s="1" t="str">
        <f>_xlfn.IFNA(INDEX([1]历练产出!$Z:$Z,MATCH(B424,[1]历练产出!$AB:$AB,0)),"")</f>
        <v/>
      </c>
      <c r="K424" s="1" t="str">
        <f>_xlfn.IFNA(INDEX([1]洞天福地产出!$H:$H,MATCH(B424,[1]洞天福地产出!$K:$K,0)),"")</f>
        <v/>
      </c>
      <c r="L424" s="1" t="str">
        <f t="shared" si="34"/>
        <v/>
      </c>
      <c r="M424" s="4">
        <f t="shared" si="35"/>
        <v>0</v>
      </c>
    </row>
    <row r="425" ht="45" spans="1:13">
      <c r="A425" s="4"/>
      <c r="B425" t="str">
        <f t="shared" si="36"/>
        <v>7:1000118</v>
      </c>
      <c r="C425" s="1">
        <v>7</v>
      </c>
      <c r="D425" s="4">
        <v>1000118</v>
      </c>
      <c r="E425" s="3" t="s">
        <v>1881</v>
      </c>
      <c r="F425" s="3"/>
      <c r="G425" s="1">
        <v>3300.75</v>
      </c>
      <c r="H425" s="1">
        <f t="shared" si="32"/>
        <v>3300.75</v>
      </c>
      <c r="I425" s="1" t="str">
        <f t="shared" si="33"/>
        <v/>
      </c>
      <c r="J425" s="1" t="str">
        <f>_xlfn.IFNA(INDEX([1]历练产出!$Z:$Z,MATCH(B425,[1]历练产出!$AB:$AB,0)),"")</f>
        <v/>
      </c>
      <c r="K425" s="1" t="str">
        <f>_xlfn.IFNA(INDEX([1]洞天福地产出!$H:$H,MATCH(B425,[1]洞天福地产出!$K:$K,0)),"")</f>
        <v/>
      </c>
      <c r="L425" s="1" t="str">
        <f t="shared" si="34"/>
        <v/>
      </c>
      <c r="M425" s="4">
        <f t="shared" si="35"/>
        <v>0</v>
      </c>
    </row>
    <row r="426" ht="45" spans="1:13">
      <c r="A426" s="4"/>
      <c r="B426" t="str">
        <f t="shared" si="36"/>
        <v>7:1000119</v>
      </c>
      <c r="C426" s="1">
        <v>7</v>
      </c>
      <c r="D426" s="4">
        <v>1000119</v>
      </c>
      <c r="E426" s="3" t="s">
        <v>1881</v>
      </c>
      <c r="F426" s="3"/>
      <c r="G426" s="1">
        <v>4823.55</v>
      </c>
      <c r="H426" s="1">
        <f t="shared" si="32"/>
        <v>4823.55</v>
      </c>
      <c r="I426" s="1" t="str">
        <f t="shared" si="33"/>
        <v/>
      </c>
      <c r="J426" s="1" t="str">
        <f>_xlfn.IFNA(INDEX([1]历练产出!$Z:$Z,MATCH(B426,[1]历练产出!$AB:$AB,0)),"")</f>
        <v/>
      </c>
      <c r="K426" s="1" t="str">
        <f>_xlfn.IFNA(INDEX([1]洞天福地产出!$H:$H,MATCH(B426,[1]洞天福地产出!$K:$K,0)),"")</f>
        <v/>
      </c>
      <c r="L426" s="1" t="str">
        <f t="shared" si="34"/>
        <v/>
      </c>
      <c r="M426" s="4">
        <f t="shared" si="35"/>
        <v>0</v>
      </c>
    </row>
    <row r="427" ht="45" spans="1:13">
      <c r="A427" s="4"/>
      <c r="B427" t="str">
        <f t="shared" si="36"/>
        <v>7:1000120</v>
      </c>
      <c r="C427" s="1">
        <v>7</v>
      </c>
      <c r="D427" s="4">
        <v>1000120</v>
      </c>
      <c r="E427" s="3" t="s">
        <v>1881</v>
      </c>
      <c r="F427" s="3"/>
      <c r="G427" s="1">
        <v>5062.5</v>
      </c>
      <c r="H427" s="1">
        <f t="shared" si="32"/>
        <v>5062.5</v>
      </c>
      <c r="I427" s="1" t="str">
        <f t="shared" si="33"/>
        <v/>
      </c>
      <c r="J427" s="1" t="str">
        <f>_xlfn.IFNA(INDEX([1]历练产出!$Z:$Z,MATCH(B427,[1]历练产出!$AB:$AB,0)),"")</f>
        <v/>
      </c>
      <c r="K427" s="1" t="str">
        <f>_xlfn.IFNA(INDEX([1]洞天福地产出!$H:$H,MATCH(B427,[1]洞天福地产出!$K:$K,0)),"")</f>
        <v/>
      </c>
      <c r="L427" s="1" t="str">
        <f t="shared" si="34"/>
        <v/>
      </c>
      <c r="M427" s="4">
        <f t="shared" si="35"/>
        <v>0</v>
      </c>
    </row>
    <row r="428" ht="45" spans="1:13">
      <c r="A428" s="4"/>
      <c r="B428" t="str">
        <f t="shared" si="36"/>
        <v>7:1000121</v>
      </c>
      <c r="C428" s="1">
        <v>7</v>
      </c>
      <c r="D428" s="4">
        <v>1000121</v>
      </c>
      <c r="E428" s="3" t="s">
        <v>1881</v>
      </c>
      <c r="F428" s="3"/>
      <c r="G428" s="1">
        <v>5313.6</v>
      </c>
      <c r="H428" s="1">
        <f t="shared" si="32"/>
        <v>5313.6</v>
      </c>
      <c r="I428" s="1" t="str">
        <f t="shared" si="33"/>
        <v/>
      </c>
      <c r="J428" s="1" t="str">
        <f>_xlfn.IFNA(INDEX([1]历练产出!$Z:$Z,MATCH(B428,[1]历练产出!$AB:$AB,0)),"")</f>
        <v/>
      </c>
      <c r="K428" s="1" t="str">
        <f>_xlfn.IFNA(INDEX([1]洞天福地产出!$H:$H,MATCH(B428,[1]洞天福地产出!$K:$K,0)),"")</f>
        <v/>
      </c>
      <c r="L428" s="1" t="str">
        <f t="shared" si="34"/>
        <v/>
      </c>
      <c r="M428" s="4">
        <f t="shared" si="35"/>
        <v>0</v>
      </c>
    </row>
    <row r="429" ht="45" spans="1:13">
      <c r="A429" s="4"/>
      <c r="B429" t="str">
        <f t="shared" si="36"/>
        <v>7:1000122</v>
      </c>
      <c r="C429" s="1">
        <v>7</v>
      </c>
      <c r="D429" s="4">
        <v>1000122</v>
      </c>
      <c r="E429" s="3" t="s">
        <v>1881</v>
      </c>
      <c r="F429" s="3"/>
      <c r="G429" s="1">
        <v>5576.85</v>
      </c>
      <c r="H429" s="1">
        <f t="shared" si="32"/>
        <v>5576.85</v>
      </c>
      <c r="I429" s="1" t="str">
        <f t="shared" si="33"/>
        <v/>
      </c>
      <c r="J429" s="1" t="str">
        <f>_xlfn.IFNA(INDEX([1]历练产出!$Z:$Z,MATCH(B429,[1]历练产出!$AB:$AB,0)),"")</f>
        <v/>
      </c>
      <c r="K429" s="1" t="str">
        <f>_xlfn.IFNA(INDEX([1]洞天福地产出!$H:$H,MATCH(B429,[1]洞天福地产出!$K:$K,0)),"")</f>
        <v/>
      </c>
      <c r="L429" s="1" t="str">
        <f t="shared" si="34"/>
        <v/>
      </c>
      <c r="M429" s="4">
        <f t="shared" si="35"/>
        <v>0</v>
      </c>
    </row>
    <row r="430" ht="45" spans="1:13">
      <c r="A430" s="4"/>
      <c r="B430" t="str">
        <f t="shared" si="36"/>
        <v>7:1000123</v>
      </c>
      <c r="C430" s="1">
        <v>7</v>
      </c>
      <c r="D430" s="4">
        <v>1000123</v>
      </c>
      <c r="E430" s="3" t="s">
        <v>1881</v>
      </c>
      <c r="F430" s="3"/>
      <c r="G430" s="1">
        <v>5852.25</v>
      </c>
      <c r="H430" s="1">
        <f t="shared" si="32"/>
        <v>5852.25</v>
      </c>
      <c r="I430" s="1" t="str">
        <f t="shared" si="33"/>
        <v/>
      </c>
      <c r="J430" s="1" t="str">
        <f>_xlfn.IFNA(INDEX([1]历练产出!$Z:$Z,MATCH(B430,[1]历练产出!$AB:$AB,0)),"")</f>
        <v/>
      </c>
      <c r="K430" s="1" t="str">
        <f>_xlfn.IFNA(INDEX([1]洞天福地产出!$H:$H,MATCH(B430,[1]洞天福地产出!$K:$K,0)),"")</f>
        <v/>
      </c>
      <c r="L430" s="1" t="str">
        <f t="shared" si="34"/>
        <v/>
      </c>
      <c r="M430" s="4">
        <f t="shared" si="35"/>
        <v>0</v>
      </c>
    </row>
    <row r="431" ht="45" spans="1:13">
      <c r="A431" s="4"/>
      <c r="B431" t="str">
        <f t="shared" si="36"/>
        <v>7:1000124</v>
      </c>
      <c r="C431" s="1">
        <v>7</v>
      </c>
      <c r="D431" s="4">
        <v>1000124</v>
      </c>
      <c r="E431" s="3" t="s">
        <v>1881</v>
      </c>
      <c r="F431" s="3"/>
      <c r="G431" s="1">
        <v>6139.8</v>
      </c>
      <c r="H431" s="1">
        <f t="shared" si="32"/>
        <v>6139.8</v>
      </c>
      <c r="I431" s="1" t="str">
        <f t="shared" si="33"/>
        <v/>
      </c>
      <c r="J431" s="1" t="str">
        <f>_xlfn.IFNA(INDEX([1]历练产出!$Z:$Z,MATCH(B431,[1]历练产出!$AB:$AB,0)),"")</f>
        <v/>
      </c>
      <c r="K431" s="1" t="str">
        <f>_xlfn.IFNA(INDEX([1]洞天福地产出!$H:$H,MATCH(B431,[1]洞天福地产出!$K:$K,0)),"")</f>
        <v/>
      </c>
      <c r="L431" s="1" t="str">
        <f t="shared" si="34"/>
        <v/>
      </c>
      <c r="M431" s="4">
        <f t="shared" si="35"/>
        <v>0</v>
      </c>
    </row>
    <row r="432" ht="45" spans="1:13">
      <c r="A432" s="4"/>
      <c r="B432" t="str">
        <f t="shared" si="36"/>
        <v>7:1000125</v>
      </c>
      <c r="C432" s="1">
        <v>7</v>
      </c>
      <c r="D432" s="4">
        <v>1000125</v>
      </c>
      <c r="E432" s="3" t="s">
        <v>1881</v>
      </c>
      <c r="F432" s="3"/>
      <c r="G432" s="1">
        <v>6439.5</v>
      </c>
      <c r="H432" s="1">
        <f t="shared" si="32"/>
        <v>6439.5</v>
      </c>
      <c r="I432" s="1" t="str">
        <f t="shared" si="33"/>
        <v/>
      </c>
      <c r="J432" s="1" t="str">
        <f>_xlfn.IFNA(INDEX([1]历练产出!$Z:$Z,MATCH(B432,[1]历练产出!$AB:$AB,0)),"")</f>
        <v/>
      </c>
      <c r="K432" s="1" t="str">
        <f>_xlfn.IFNA(INDEX([1]洞天福地产出!$H:$H,MATCH(B432,[1]洞天福地产出!$K:$K,0)),"")</f>
        <v/>
      </c>
      <c r="L432" s="1" t="str">
        <f t="shared" si="34"/>
        <v/>
      </c>
      <c r="M432" s="4">
        <f t="shared" si="35"/>
        <v>0</v>
      </c>
    </row>
    <row r="433" ht="45" spans="1:13">
      <c r="A433" s="4"/>
      <c r="B433" t="str">
        <f t="shared" si="36"/>
        <v>7:1000126</v>
      </c>
      <c r="C433" s="1">
        <v>7</v>
      </c>
      <c r="D433" s="4">
        <v>1000126</v>
      </c>
      <c r="E433" s="3" t="s">
        <v>1881</v>
      </c>
      <c r="F433" s="3"/>
      <c r="G433" s="1">
        <v>6751.35</v>
      </c>
      <c r="H433" s="1">
        <f t="shared" si="32"/>
        <v>6751.35</v>
      </c>
      <c r="I433" s="1" t="str">
        <f t="shared" si="33"/>
        <v/>
      </c>
      <c r="J433" s="1" t="str">
        <f>_xlfn.IFNA(INDEX([1]历练产出!$Z:$Z,MATCH(B433,[1]历练产出!$AB:$AB,0)),"")</f>
        <v/>
      </c>
      <c r="K433" s="1" t="str">
        <f>_xlfn.IFNA(INDEX([1]洞天福地产出!$H:$H,MATCH(B433,[1]洞天福地产出!$K:$K,0)),"")</f>
        <v/>
      </c>
      <c r="L433" s="1" t="str">
        <f t="shared" si="34"/>
        <v/>
      </c>
      <c r="M433" s="4">
        <f t="shared" si="35"/>
        <v>0</v>
      </c>
    </row>
    <row r="434" ht="45" spans="1:13">
      <c r="A434" s="4"/>
      <c r="B434" t="str">
        <f t="shared" si="36"/>
        <v>7:1000127</v>
      </c>
      <c r="C434" s="1">
        <v>7</v>
      </c>
      <c r="D434" s="4">
        <v>1000127</v>
      </c>
      <c r="E434" s="3" t="s">
        <v>1881</v>
      </c>
      <c r="F434" s="3"/>
      <c r="G434" s="1">
        <v>7075.35</v>
      </c>
      <c r="H434" s="1">
        <f t="shared" si="32"/>
        <v>7075.35</v>
      </c>
      <c r="I434" s="1" t="str">
        <f t="shared" si="33"/>
        <v/>
      </c>
      <c r="J434" s="1" t="str">
        <f>_xlfn.IFNA(INDEX([1]历练产出!$Z:$Z,MATCH(B434,[1]历练产出!$AB:$AB,0)),"")</f>
        <v/>
      </c>
      <c r="K434" s="1" t="str">
        <f>_xlfn.IFNA(INDEX([1]洞天福地产出!$H:$H,MATCH(B434,[1]洞天福地产出!$K:$K,0)),"")</f>
        <v/>
      </c>
      <c r="L434" s="1" t="str">
        <f t="shared" si="34"/>
        <v/>
      </c>
      <c r="M434" s="4">
        <f t="shared" si="35"/>
        <v>0</v>
      </c>
    </row>
    <row r="435" ht="45" spans="1:13">
      <c r="A435" s="4"/>
      <c r="B435" t="str">
        <f t="shared" si="36"/>
        <v>7:1000128</v>
      </c>
      <c r="C435" s="1">
        <v>7</v>
      </c>
      <c r="D435" s="4">
        <v>1000128</v>
      </c>
      <c r="E435" s="3" t="s">
        <v>1881</v>
      </c>
      <c r="F435" s="3"/>
      <c r="G435" s="1">
        <v>7411.5</v>
      </c>
      <c r="H435" s="1">
        <f t="shared" si="32"/>
        <v>7411.5</v>
      </c>
      <c r="I435" s="1" t="str">
        <f t="shared" si="33"/>
        <v/>
      </c>
      <c r="J435" s="1" t="str">
        <f>_xlfn.IFNA(INDEX([1]历练产出!$Z:$Z,MATCH(B435,[1]历练产出!$AB:$AB,0)),"")</f>
        <v/>
      </c>
      <c r="K435" s="1" t="str">
        <f>_xlfn.IFNA(INDEX([1]洞天福地产出!$H:$H,MATCH(B435,[1]洞天福地产出!$K:$K,0)),"")</f>
        <v/>
      </c>
      <c r="L435" s="1" t="str">
        <f t="shared" si="34"/>
        <v/>
      </c>
      <c r="M435" s="4">
        <f t="shared" si="35"/>
        <v>0</v>
      </c>
    </row>
    <row r="436" ht="45" spans="1:13">
      <c r="A436" s="4"/>
      <c r="B436" t="str">
        <f t="shared" si="36"/>
        <v>7:1000129</v>
      </c>
      <c r="C436" s="1">
        <v>7</v>
      </c>
      <c r="D436" s="4">
        <v>1000129</v>
      </c>
      <c r="E436" s="3" t="s">
        <v>1881</v>
      </c>
      <c r="F436" s="3"/>
      <c r="G436" s="1">
        <v>9703.8</v>
      </c>
      <c r="H436" s="1">
        <f t="shared" si="32"/>
        <v>9703.8</v>
      </c>
      <c r="I436" s="1" t="str">
        <f t="shared" si="33"/>
        <v/>
      </c>
      <c r="J436" s="1" t="str">
        <f>_xlfn.IFNA(INDEX([1]历练产出!$Z:$Z,MATCH(B436,[1]历练产出!$AB:$AB,0)),"")</f>
        <v/>
      </c>
      <c r="K436" s="1" t="str">
        <f>_xlfn.IFNA(INDEX([1]洞天福地产出!$H:$H,MATCH(B436,[1]洞天福地产出!$K:$K,0)),"")</f>
        <v/>
      </c>
      <c r="L436" s="1" t="str">
        <f t="shared" si="34"/>
        <v/>
      </c>
      <c r="M436" s="4">
        <f t="shared" si="35"/>
        <v>0</v>
      </c>
    </row>
    <row r="437" ht="45" spans="1:13">
      <c r="A437" s="4"/>
      <c r="B437" t="str">
        <f t="shared" si="36"/>
        <v>7:1000130</v>
      </c>
      <c r="C437" s="1">
        <v>7</v>
      </c>
      <c r="D437" s="4">
        <v>1000130</v>
      </c>
      <c r="E437" s="3" t="s">
        <v>1881</v>
      </c>
      <c r="F437" s="3"/>
      <c r="G437" s="1">
        <v>10052.1</v>
      </c>
      <c r="H437" s="1">
        <f t="shared" si="32"/>
        <v>10052.1</v>
      </c>
      <c r="I437" s="1" t="str">
        <f t="shared" si="33"/>
        <v/>
      </c>
      <c r="J437" s="1" t="str">
        <f>_xlfn.IFNA(INDEX([1]历练产出!$Z:$Z,MATCH(B437,[1]历练产出!$AB:$AB,0)),"")</f>
        <v/>
      </c>
      <c r="K437" s="1" t="str">
        <f>_xlfn.IFNA(INDEX([1]洞天福地产出!$H:$H,MATCH(B437,[1]洞天福地产出!$K:$K,0)),"")</f>
        <v/>
      </c>
      <c r="L437" s="1" t="str">
        <f t="shared" si="34"/>
        <v/>
      </c>
      <c r="M437" s="4">
        <f t="shared" si="35"/>
        <v>0</v>
      </c>
    </row>
    <row r="438" ht="45" spans="1:13">
      <c r="A438" s="4"/>
      <c r="B438" t="str">
        <f t="shared" si="36"/>
        <v>7:2000101</v>
      </c>
      <c r="C438" s="1">
        <v>7</v>
      </c>
      <c r="D438" s="4">
        <v>2000101</v>
      </c>
      <c r="E438" s="3" t="s">
        <v>1882</v>
      </c>
      <c r="F438" s="3"/>
      <c r="G438" s="1">
        <v>656.1</v>
      </c>
      <c r="H438" s="1">
        <f t="shared" si="32"/>
        <v>656.1</v>
      </c>
      <c r="I438" s="1" t="str">
        <f t="shared" si="33"/>
        <v/>
      </c>
      <c r="J438" s="1" t="str">
        <f>_xlfn.IFNA(INDEX([1]历练产出!$Z:$Z,MATCH(B438,[1]历练产出!$AB:$AB,0)),"")</f>
        <v/>
      </c>
      <c r="K438" s="1" t="str">
        <f>_xlfn.IFNA(INDEX([1]洞天福地产出!$H:$H,MATCH(B438,[1]洞天福地产出!$K:$K,0)),"")</f>
        <v/>
      </c>
      <c r="L438" s="1" t="str">
        <f t="shared" si="34"/>
        <v/>
      </c>
      <c r="M438" s="4">
        <f t="shared" si="35"/>
        <v>0</v>
      </c>
    </row>
    <row r="439" ht="45" spans="1:13">
      <c r="A439" s="4"/>
      <c r="B439" t="str">
        <f t="shared" si="36"/>
        <v>7:2000102</v>
      </c>
      <c r="C439" s="1">
        <v>7</v>
      </c>
      <c r="D439" s="4">
        <v>2000102</v>
      </c>
      <c r="E439" s="3" t="s">
        <v>1882</v>
      </c>
      <c r="F439" s="3"/>
      <c r="G439" s="1">
        <v>676.35</v>
      </c>
      <c r="H439" s="1">
        <f t="shared" si="32"/>
        <v>676.35</v>
      </c>
      <c r="I439" s="1" t="str">
        <f t="shared" si="33"/>
        <v/>
      </c>
      <c r="J439" s="1" t="str">
        <f>_xlfn.IFNA(INDEX([1]历练产出!$Z:$Z,MATCH(B439,[1]历练产出!$AB:$AB,0)),"")</f>
        <v/>
      </c>
      <c r="K439" s="1" t="str">
        <f>_xlfn.IFNA(INDEX([1]洞天福地产出!$H:$H,MATCH(B439,[1]洞天福地产出!$K:$K,0)),"")</f>
        <v/>
      </c>
      <c r="L439" s="1" t="str">
        <f t="shared" si="34"/>
        <v/>
      </c>
      <c r="M439" s="4">
        <f t="shared" si="35"/>
        <v>0</v>
      </c>
    </row>
    <row r="440" ht="45" spans="1:13">
      <c r="A440" s="4"/>
      <c r="B440" t="str">
        <f t="shared" si="36"/>
        <v>7:2000103</v>
      </c>
      <c r="C440" s="1">
        <v>7</v>
      </c>
      <c r="D440" s="4">
        <v>2000103</v>
      </c>
      <c r="E440" s="3" t="s">
        <v>1882</v>
      </c>
      <c r="F440" s="3"/>
      <c r="G440" s="1">
        <v>708.75</v>
      </c>
      <c r="H440" s="1">
        <f t="shared" si="32"/>
        <v>708.75</v>
      </c>
      <c r="I440" s="1" t="str">
        <f t="shared" si="33"/>
        <v/>
      </c>
      <c r="J440" s="1" t="str">
        <f>_xlfn.IFNA(INDEX([1]历练产出!$Z:$Z,MATCH(B440,[1]历练产出!$AB:$AB,0)),"")</f>
        <v/>
      </c>
      <c r="K440" s="1" t="str">
        <f>_xlfn.IFNA(INDEX([1]洞天福地产出!$H:$H,MATCH(B440,[1]洞天福地产出!$K:$K,0)),"")</f>
        <v/>
      </c>
      <c r="L440" s="1" t="str">
        <f t="shared" si="34"/>
        <v/>
      </c>
      <c r="M440" s="4">
        <f t="shared" si="35"/>
        <v>0</v>
      </c>
    </row>
    <row r="441" ht="45" spans="1:13">
      <c r="A441" s="4"/>
      <c r="B441" t="str">
        <f t="shared" si="36"/>
        <v>7:2000104</v>
      </c>
      <c r="C441" s="1">
        <v>7</v>
      </c>
      <c r="D441" s="4">
        <v>2000104</v>
      </c>
      <c r="E441" s="3" t="s">
        <v>1882</v>
      </c>
      <c r="F441" s="3"/>
      <c r="G441" s="1">
        <v>753.3</v>
      </c>
      <c r="H441" s="1">
        <f t="shared" si="32"/>
        <v>753.3</v>
      </c>
      <c r="I441" s="1" t="str">
        <f t="shared" si="33"/>
        <v/>
      </c>
      <c r="J441" s="1" t="str">
        <f>_xlfn.IFNA(INDEX([1]历练产出!$Z:$Z,MATCH(B441,[1]历练产出!$AB:$AB,0)),"")</f>
        <v/>
      </c>
      <c r="K441" s="1" t="str">
        <f>_xlfn.IFNA(INDEX([1]洞天福地产出!$H:$H,MATCH(B441,[1]洞天福地产出!$K:$K,0)),"")</f>
        <v/>
      </c>
      <c r="L441" s="1" t="str">
        <f t="shared" si="34"/>
        <v/>
      </c>
      <c r="M441" s="4">
        <f t="shared" si="35"/>
        <v>0</v>
      </c>
    </row>
    <row r="442" ht="45" spans="1:13">
      <c r="A442" s="4"/>
      <c r="B442" t="str">
        <f t="shared" si="36"/>
        <v>7:2000105</v>
      </c>
      <c r="C442" s="1">
        <v>7</v>
      </c>
      <c r="D442" s="4">
        <v>2000105</v>
      </c>
      <c r="E442" s="3" t="s">
        <v>1882</v>
      </c>
      <c r="F442" s="3"/>
      <c r="G442" s="1">
        <v>810</v>
      </c>
      <c r="H442" s="1">
        <f t="shared" si="32"/>
        <v>810</v>
      </c>
      <c r="I442" s="1" t="str">
        <f t="shared" si="33"/>
        <v/>
      </c>
      <c r="J442" s="1" t="str">
        <f>_xlfn.IFNA(INDEX([1]历练产出!$Z:$Z,MATCH(B442,[1]历练产出!$AB:$AB,0)),"")</f>
        <v/>
      </c>
      <c r="K442" s="1" t="str">
        <f>_xlfn.IFNA(INDEX([1]洞天福地产出!$H:$H,MATCH(B442,[1]洞天福地产出!$K:$K,0)),"")</f>
        <v/>
      </c>
      <c r="L442" s="1" t="str">
        <f t="shared" si="34"/>
        <v/>
      </c>
      <c r="M442" s="4">
        <f t="shared" si="35"/>
        <v>0</v>
      </c>
    </row>
    <row r="443" ht="45" spans="1:13">
      <c r="A443" s="4"/>
      <c r="B443" t="str">
        <f t="shared" si="36"/>
        <v>7:2000106</v>
      </c>
      <c r="C443" s="1">
        <v>7</v>
      </c>
      <c r="D443" s="4">
        <v>2000106</v>
      </c>
      <c r="E443" s="3" t="s">
        <v>1882</v>
      </c>
      <c r="F443" s="3"/>
      <c r="G443" s="1">
        <v>878.85</v>
      </c>
      <c r="H443" s="1">
        <f t="shared" si="32"/>
        <v>878.85</v>
      </c>
      <c r="I443" s="1" t="str">
        <f t="shared" si="33"/>
        <v/>
      </c>
      <c r="J443" s="1" t="str">
        <f>_xlfn.IFNA(INDEX([1]历练产出!$Z:$Z,MATCH(B443,[1]历练产出!$AB:$AB,0)),"")</f>
        <v/>
      </c>
      <c r="K443" s="1" t="str">
        <f>_xlfn.IFNA(INDEX([1]洞天福地产出!$H:$H,MATCH(B443,[1]洞天福地产出!$K:$K,0)),"")</f>
        <v/>
      </c>
      <c r="L443" s="1" t="str">
        <f t="shared" si="34"/>
        <v/>
      </c>
      <c r="M443" s="4">
        <f t="shared" si="35"/>
        <v>0</v>
      </c>
    </row>
    <row r="444" ht="45" spans="1:13">
      <c r="A444" s="4"/>
      <c r="B444" t="str">
        <f t="shared" si="36"/>
        <v>7:2000107</v>
      </c>
      <c r="C444" s="1">
        <v>7</v>
      </c>
      <c r="D444" s="4">
        <v>2000107</v>
      </c>
      <c r="E444" s="3" t="s">
        <v>1882</v>
      </c>
      <c r="F444" s="3"/>
      <c r="G444" s="1">
        <v>959.85</v>
      </c>
      <c r="H444" s="1">
        <f t="shared" si="32"/>
        <v>959.85</v>
      </c>
      <c r="I444" s="1" t="str">
        <f t="shared" si="33"/>
        <v/>
      </c>
      <c r="J444" s="1" t="str">
        <f>_xlfn.IFNA(INDEX([1]历练产出!$Z:$Z,MATCH(B444,[1]历练产出!$AB:$AB,0)),"")</f>
        <v/>
      </c>
      <c r="K444" s="1" t="str">
        <f>_xlfn.IFNA(INDEX([1]洞天福地产出!$H:$H,MATCH(B444,[1]洞天福地产出!$K:$K,0)),"")</f>
        <v/>
      </c>
      <c r="L444" s="1" t="str">
        <f t="shared" si="34"/>
        <v/>
      </c>
      <c r="M444" s="4">
        <f t="shared" si="35"/>
        <v>0</v>
      </c>
    </row>
    <row r="445" ht="45" spans="1:13">
      <c r="A445" s="4"/>
      <c r="B445" t="str">
        <f t="shared" si="36"/>
        <v>7:2000108</v>
      </c>
      <c r="C445" s="1">
        <v>7</v>
      </c>
      <c r="D445" s="4">
        <v>2000108</v>
      </c>
      <c r="E445" s="3" t="s">
        <v>1882</v>
      </c>
      <c r="F445" s="3"/>
      <c r="G445" s="1">
        <v>1053</v>
      </c>
      <c r="H445" s="1">
        <f t="shared" si="32"/>
        <v>1053</v>
      </c>
      <c r="I445" s="1" t="str">
        <f t="shared" si="33"/>
        <v/>
      </c>
      <c r="J445" s="1" t="str">
        <f>_xlfn.IFNA(INDEX([1]历练产出!$Z:$Z,MATCH(B445,[1]历练产出!$AB:$AB,0)),"")</f>
        <v/>
      </c>
      <c r="K445" s="1" t="str">
        <f>_xlfn.IFNA(INDEX([1]洞天福地产出!$H:$H,MATCH(B445,[1]洞天福地产出!$K:$K,0)),"")</f>
        <v/>
      </c>
      <c r="L445" s="1" t="str">
        <f t="shared" si="34"/>
        <v/>
      </c>
      <c r="M445" s="4">
        <f t="shared" si="35"/>
        <v>0</v>
      </c>
    </row>
    <row r="446" ht="45" spans="1:13">
      <c r="A446" s="4"/>
      <c r="B446" t="str">
        <f t="shared" si="36"/>
        <v>7:2000109</v>
      </c>
      <c r="C446" s="1">
        <v>7</v>
      </c>
      <c r="D446" s="4">
        <v>2000109</v>
      </c>
      <c r="E446" s="3" t="s">
        <v>1882</v>
      </c>
      <c r="F446" s="3"/>
      <c r="G446" s="1">
        <v>1806.3</v>
      </c>
      <c r="H446" s="1">
        <f t="shared" si="32"/>
        <v>1806.3</v>
      </c>
      <c r="I446" s="1" t="str">
        <f t="shared" si="33"/>
        <v/>
      </c>
      <c r="J446" s="1" t="str">
        <f>_xlfn.IFNA(INDEX([1]历练产出!$Z:$Z,MATCH(B446,[1]历练产出!$AB:$AB,0)),"")</f>
        <v/>
      </c>
      <c r="K446" s="1" t="str">
        <f>_xlfn.IFNA(INDEX([1]洞天福地产出!$H:$H,MATCH(B446,[1]洞天福地产出!$K:$K,0)),"")</f>
        <v/>
      </c>
      <c r="L446" s="1" t="str">
        <f t="shared" si="34"/>
        <v/>
      </c>
      <c r="M446" s="4">
        <f t="shared" si="35"/>
        <v>0</v>
      </c>
    </row>
    <row r="447" ht="45" spans="1:13">
      <c r="A447" s="4"/>
      <c r="B447" t="str">
        <f t="shared" si="36"/>
        <v>7:2000110</v>
      </c>
      <c r="C447" s="1">
        <v>7</v>
      </c>
      <c r="D447" s="4">
        <v>2000110</v>
      </c>
      <c r="E447" s="3" t="s">
        <v>1882</v>
      </c>
      <c r="F447" s="3"/>
      <c r="G447" s="1">
        <v>1923.75</v>
      </c>
      <c r="H447" s="1">
        <f t="shared" si="32"/>
        <v>1923.75</v>
      </c>
      <c r="I447" s="1" t="str">
        <f t="shared" si="33"/>
        <v/>
      </c>
      <c r="J447" s="1" t="str">
        <f>_xlfn.IFNA(INDEX([1]历练产出!$Z:$Z,MATCH(B447,[1]历练产出!$AB:$AB,0)),"")</f>
        <v/>
      </c>
      <c r="K447" s="1" t="str">
        <f>_xlfn.IFNA(INDEX([1]洞天福地产出!$H:$H,MATCH(B447,[1]洞天福地产出!$K:$K,0)),"")</f>
        <v/>
      </c>
      <c r="L447" s="1" t="str">
        <f t="shared" si="34"/>
        <v/>
      </c>
      <c r="M447" s="4">
        <f t="shared" si="35"/>
        <v>0</v>
      </c>
    </row>
    <row r="448" ht="45" spans="1:13">
      <c r="A448" s="4"/>
      <c r="B448" t="str">
        <f t="shared" si="36"/>
        <v>7:2000111</v>
      </c>
      <c r="C448" s="1">
        <v>7</v>
      </c>
      <c r="D448" s="4">
        <v>2000111</v>
      </c>
      <c r="E448" s="3" t="s">
        <v>1882</v>
      </c>
      <c r="F448" s="3"/>
      <c r="G448" s="1">
        <v>2053.35</v>
      </c>
      <c r="H448" s="1">
        <f t="shared" si="32"/>
        <v>2053.35</v>
      </c>
      <c r="I448" s="1" t="str">
        <f t="shared" si="33"/>
        <v/>
      </c>
      <c r="J448" s="1" t="str">
        <f>_xlfn.IFNA(INDEX([1]历练产出!$Z:$Z,MATCH(B448,[1]历练产出!$AB:$AB,0)),"")</f>
        <v/>
      </c>
      <c r="K448" s="1" t="str">
        <f>_xlfn.IFNA(INDEX([1]洞天福地产出!$H:$H,MATCH(B448,[1]洞天福地产出!$K:$K,0)),"")</f>
        <v/>
      </c>
      <c r="L448" s="1" t="str">
        <f t="shared" si="34"/>
        <v/>
      </c>
      <c r="M448" s="4">
        <f t="shared" si="35"/>
        <v>0</v>
      </c>
    </row>
    <row r="449" ht="45" spans="1:13">
      <c r="A449" s="4"/>
      <c r="B449" t="str">
        <f t="shared" si="36"/>
        <v>7:2000112</v>
      </c>
      <c r="C449" s="1">
        <v>7</v>
      </c>
      <c r="D449" s="4">
        <v>2000112</v>
      </c>
      <c r="E449" s="3" t="s">
        <v>1882</v>
      </c>
      <c r="F449" s="3"/>
      <c r="G449" s="1">
        <v>2195.1</v>
      </c>
      <c r="H449" s="1">
        <f t="shared" si="32"/>
        <v>2195.1</v>
      </c>
      <c r="I449" s="1" t="str">
        <f t="shared" si="33"/>
        <v/>
      </c>
      <c r="J449" s="1" t="str">
        <f>_xlfn.IFNA(INDEX([1]历练产出!$Z:$Z,MATCH(B449,[1]历练产出!$AB:$AB,0)),"")</f>
        <v/>
      </c>
      <c r="K449" s="1" t="str">
        <f>_xlfn.IFNA(INDEX([1]洞天福地产出!$H:$H,MATCH(B449,[1]洞天福地产出!$K:$K,0)),"")</f>
        <v/>
      </c>
      <c r="L449" s="1" t="str">
        <f t="shared" si="34"/>
        <v/>
      </c>
      <c r="M449" s="4">
        <f t="shared" si="35"/>
        <v>0</v>
      </c>
    </row>
    <row r="450" ht="45" spans="1:13">
      <c r="A450" s="4"/>
      <c r="B450" t="str">
        <f t="shared" si="36"/>
        <v>7:2000113</v>
      </c>
      <c r="C450" s="1">
        <v>7</v>
      </c>
      <c r="D450" s="4">
        <v>2000113</v>
      </c>
      <c r="E450" s="3" t="s">
        <v>1882</v>
      </c>
      <c r="F450" s="3"/>
      <c r="G450" s="1">
        <v>2349</v>
      </c>
      <c r="H450" s="1">
        <f t="shared" si="32"/>
        <v>2349</v>
      </c>
      <c r="I450" s="1" t="str">
        <f t="shared" si="33"/>
        <v/>
      </c>
      <c r="J450" s="1" t="str">
        <f>_xlfn.IFNA(INDEX([1]历练产出!$Z:$Z,MATCH(B450,[1]历练产出!$AB:$AB,0)),"")</f>
        <v/>
      </c>
      <c r="K450" s="1" t="str">
        <f>_xlfn.IFNA(INDEX([1]洞天福地产出!$H:$H,MATCH(B450,[1]洞天福地产出!$K:$K,0)),"")</f>
        <v/>
      </c>
      <c r="L450" s="1" t="str">
        <f t="shared" si="34"/>
        <v/>
      </c>
      <c r="M450" s="4">
        <f t="shared" si="35"/>
        <v>0</v>
      </c>
    </row>
    <row r="451" ht="45" spans="1:13">
      <c r="A451" s="4"/>
      <c r="B451" t="str">
        <f t="shared" si="36"/>
        <v>7:2000114</v>
      </c>
      <c r="C451" s="1">
        <v>7</v>
      </c>
      <c r="D451" s="4">
        <v>2000114</v>
      </c>
      <c r="E451" s="3" t="s">
        <v>1882</v>
      </c>
      <c r="F451" s="3"/>
      <c r="G451" s="1">
        <v>2515.05</v>
      </c>
      <c r="H451" s="1">
        <f t="shared" si="32"/>
        <v>2515.05</v>
      </c>
      <c r="I451" s="1" t="str">
        <f t="shared" si="33"/>
        <v/>
      </c>
      <c r="J451" s="1" t="str">
        <f>_xlfn.IFNA(INDEX([1]历练产出!$Z:$Z,MATCH(B451,[1]历练产出!$AB:$AB,0)),"")</f>
        <v/>
      </c>
      <c r="K451" s="1" t="str">
        <f>_xlfn.IFNA(INDEX([1]洞天福地产出!$H:$H,MATCH(B451,[1]洞天福地产出!$K:$K,0)),"")</f>
        <v/>
      </c>
      <c r="L451" s="1" t="str">
        <f t="shared" si="34"/>
        <v/>
      </c>
      <c r="M451" s="4">
        <f t="shared" si="35"/>
        <v>0</v>
      </c>
    </row>
    <row r="452" ht="45" spans="1:13">
      <c r="A452" s="4"/>
      <c r="B452" t="str">
        <f t="shared" si="36"/>
        <v>7:2000115</v>
      </c>
      <c r="C452" s="1">
        <v>7</v>
      </c>
      <c r="D452" s="4">
        <v>2000115</v>
      </c>
      <c r="E452" s="3" t="s">
        <v>1882</v>
      </c>
      <c r="F452" s="3"/>
      <c r="G452" s="1">
        <v>2693.25</v>
      </c>
      <c r="H452" s="1">
        <f t="shared" ref="H452:H515" si="37">IF(I452="",G452,I452)</f>
        <v>2693.25</v>
      </c>
      <c r="I452" s="1" t="str">
        <f t="shared" ref="I452:I515" si="38">IFERROR(100/L452,"")</f>
        <v/>
      </c>
      <c r="J452" s="1" t="str">
        <f>_xlfn.IFNA(INDEX([1]历练产出!$Z:$Z,MATCH(B452,[1]历练产出!$AB:$AB,0)),"")</f>
        <v/>
      </c>
      <c r="K452" s="1" t="str">
        <f>_xlfn.IFNA(INDEX([1]洞天福地产出!$H:$H,MATCH(B452,[1]洞天福地产出!$K:$K,0)),"")</f>
        <v/>
      </c>
      <c r="L452" s="1" t="str">
        <f t="shared" ref="L452:L515" si="39">IFERROR(J452+K452,"")</f>
        <v/>
      </c>
      <c r="M452" s="4">
        <f t="shared" ref="M452:M515" si="40">IF(I452="",0,1)</f>
        <v>0</v>
      </c>
    </row>
    <row r="453" ht="45" spans="1:13">
      <c r="A453" s="4"/>
      <c r="B453" t="str">
        <f t="shared" si="36"/>
        <v>7:2000116</v>
      </c>
      <c r="C453" s="1">
        <v>7</v>
      </c>
      <c r="D453" s="4">
        <v>2000116</v>
      </c>
      <c r="E453" s="3" t="s">
        <v>1882</v>
      </c>
      <c r="F453" s="3"/>
      <c r="G453" s="1">
        <v>2883.6</v>
      </c>
      <c r="H453" s="1">
        <f t="shared" si="37"/>
        <v>2883.6</v>
      </c>
      <c r="I453" s="1" t="str">
        <f t="shared" si="38"/>
        <v/>
      </c>
      <c r="J453" s="1" t="str">
        <f>_xlfn.IFNA(INDEX([1]历练产出!$Z:$Z,MATCH(B453,[1]历练产出!$AB:$AB,0)),"")</f>
        <v/>
      </c>
      <c r="K453" s="1" t="str">
        <f>_xlfn.IFNA(INDEX([1]洞天福地产出!$H:$H,MATCH(B453,[1]洞天福地产出!$K:$K,0)),"")</f>
        <v/>
      </c>
      <c r="L453" s="1" t="str">
        <f t="shared" si="39"/>
        <v/>
      </c>
      <c r="M453" s="4">
        <f t="shared" si="40"/>
        <v>0</v>
      </c>
    </row>
    <row r="454" ht="45" spans="1:13">
      <c r="A454" s="4"/>
      <c r="B454" t="str">
        <f t="shared" si="36"/>
        <v>7:2000117</v>
      </c>
      <c r="C454" s="1">
        <v>7</v>
      </c>
      <c r="D454" s="4">
        <v>2000117</v>
      </c>
      <c r="E454" s="3" t="s">
        <v>1882</v>
      </c>
      <c r="F454" s="3"/>
      <c r="G454" s="1">
        <v>3086.1</v>
      </c>
      <c r="H454" s="1">
        <f t="shared" si="37"/>
        <v>3086.1</v>
      </c>
      <c r="I454" s="1" t="str">
        <f t="shared" si="38"/>
        <v/>
      </c>
      <c r="J454" s="1" t="str">
        <f>_xlfn.IFNA(INDEX([1]历练产出!$Z:$Z,MATCH(B454,[1]历练产出!$AB:$AB,0)),"")</f>
        <v/>
      </c>
      <c r="K454" s="1" t="str">
        <f>_xlfn.IFNA(INDEX([1]洞天福地产出!$H:$H,MATCH(B454,[1]洞天福地产出!$K:$K,0)),"")</f>
        <v/>
      </c>
      <c r="L454" s="1" t="str">
        <f t="shared" si="39"/>
        <v/>
      </c>
      <c r="M454" s="4">
        <f t="shared" si="40"/>
        <v>0</v>
      </c>
    </row>
    <row r="455" ht="45" spans="1:13">
      <c r="A455" s="4"/>
      <c r="B455" t="str">
        <f t="shared" si="36"/>
        <v>7:2000118</v>
      </c>
      <c r="C455" s="1">
        <v>7</v>
      </c>
      <c r="D455" s="4">
        <v>2000118</v>
      </c>
      <c r="E455" s="3" t="s">
        <v>1882</v>
      </c>
      <c r="F455" s="3"/>
      <c r="G455" s="1">
        <v>3300.75</v>
      </c>
      <c r="H455" s="1">
        <f t="shared" si="37"/>
        <v>3300.75</v>
      </c>
      <c r="I455" s="1" t="str">
        <f t="shared" si="38"/>
        <v/>
      </c>
      <c r="J455" s="1" t="str">
        <f>_xlfn.IFNA(INDEX([1]历练产出!$Z:$Z,MATCH(B455,[1]历练产出!$AB:$AB,0)),"")</f>
        <v/>
      </c>
      <c r="K455" s="1" t="str">
        <f>_xlfn.IFNA(INDEX([1]洞天福地产出!$H:$H,MATCH(B455,[1]洞天福地产出!$K:$K,0)),"")</f>
        <v/>
      </c>
      <c r="L455" s="1" t="str">
        <f t="shared" si="39"/>
        <v/>
      </c>
      <c r="M455" s="4">
        <f t="shared" si="40"/>
        <v>0</v>
      </c>
    </row>
    <row r="456" ht="45" spans="1:13">
      <c r="A456" s="4"/>
      <c r="B456" t="str">
        <f t="shared" si="36"/>
        <v>7:2000119</v>
      </c>
      <c r="C456" s="1">
        <v>7</v>
      </c>
      <c r="D456" s="4">
        <v>2000119</v>
      </c>
      <c r="E456" s="3" t="s">
        <v>1882</v>
      </c>
      <c r="F456" s="3"/>
      <c r="G456" s="1">
        <v>4823.55</v>
      </c>
      <c r="H456" s="1">
        <f t="shared" si="37"/>
        <v>4823.55</v>
      </c>
      <c r="I456" s="1" t="str">
        <f t="shared" si="38"/>
        <v/>
      </c>
      <c r="J456" s="1" t="str">
        <f>_xlfn.IFNA(INDEX([1]历练产出!$Z:$Z,MATCH(B456,[1]历练产出!$AB:$AB,0)),"")</f>
        <v/>
      </c>
      <c r="K456" s="1" t="str">
        <f>_xlfn.IFNA(INDEX([1]洞天福地产出!$H:$H,MATCH(B456,[1]洞天福地产出!$K:$K,0)),"")</f>
        <v/>
      </c>
      <c r="L456" s="1" t="str">
        <f t="shared" si="39"/>
        <v/>
      </c>
      <c r="M456" s="4">
        <f t="shared" si="40"/>
        <v>0</v>
      </c>
    </row>
    <row r="457" ht="45" spans="1:13">
      <c r="A457" s="4"/>
      <c r="B457" t="str">
        <f t="shared" si="36"/>
        <v>7:2000120</v>
      </c>
      <c r="C457" s="1">
        <v>7</v>
      </c>
      <c r="D457" s="4">
        <v>2000120</v>
      </c>
      <c r="E457" s="3" t="s">
        <v>1882</v>
      </c>
      <c r="F457" s="3"/>
      <c r="G457" s="1">
        <v>5062.5</v>
      </c>
      <c r="H457" s="1">
        <f t="shared" si="37"/>
        <v>5062.5</v>
      </c>
      <c r="I457" s="1" t="str">
        <f t="shared" si="38"/>
        <v/>
      </c>
      <c r="J457" s="1" t="str">
        <f>_xlfn.IFNA(INDEX([1]历练产出!$Z:$Z,MATCH(B457,[1]历练产出!$AB:$AB,0)),"")</f>
        <v/>
      </c>
      <c r="K457" s="1" t="str">
        <f>_xlfn.IFNA(INDEX([1]洞天福地产出!$H:$H,MATCH(B457,[1]洞天福地产出!$K:$K,0)),"")</f>
        <v/>
      </c>
      <c r="L457" s="1" t="str">
        <f t="shared" si="39"/>
        <v/>
      </c>
      <c r="M457" s="4">
        <f t="shared" si="40"/>
        <v>0</v>
      </c>
    </row>
    <row r="458" ht="45" spans="1:13">
      <c r="A458" s="4"/>
      <c r="B458" t="str">
        <f t="shared" si="36"/>
        <v>7:2000121</v>
      </c>
      <c r="C458" s="1">
        <v>7</v>
      </c>
      <c r="D458" s="4">
        <v>2000121</v>
      </c>
      <c r="E458" s="3" t="s">
        <v>1882</v>
      </c>
      <c r="F458" s="3"/>
      <c r="G458" s="1">
        <v>5313.6</v>
      </c>
      <c r="H458" s="1">
        <f t="shared" si="37"/>
        <v>5313.6</v>
      </c>
      <c r="I458" s="1" t="str">
        <f t="shared" si="38"/>
        <v/>
      </c>
      <c r="J458" s="1" t="str">
        <f>_xlfn.IFNA(INDEX([1]历练产出!$Z:$Z,MATCH(B458,[1]历练产出!$AB:$AB,0)),"")</f>
        <v/>
      </c>
      <c r="K458" s="1" t="str">
        <f>_xlfn.IFNA(INDEX([1]洞天福地产出!$H:$H,MATCH(B458,[1]洞天福地产出!$K:$K,0)),"")</f>
        <v/>
      </c>
      <c r="L458" s="1" t="str">
        <f t="shared" si="39"/>
        <v/>
      </c>
      <c r="M458" s="4">
        <f t="shared" si="40"/>
        <v>0</v>
      </c>
    </row>
    <row r="459" ht="45" spans="1:13">
      <c r="A459" s="4"/>
      <c r="B459" t="str">
        <f t="shared" si="36"/>
        <v>7:2000122</v>
      </c>
      <c r="C459" s="1">
        <v>7</v>
      </c>
      <c r="D459" s="4">
        <v>2000122</v>
      </c>
      <c r="E459" s="3" t="s">
        <v>1882</v>
      </c>
      <c r="F459" s="3"/>
      <c r="G459" s="1">
        <v>5576.85</v>
      </c>
      <c r="H459" s="1">
        <f t="shared" si="37"/>
        <v>5576.85</v>
      </c>
      <c r="I459" s="1" t="str">
        <f t="shared" si="38"/>
        <v/>
      </c>
      <c r="J459" s="1" t="str">
        <f>_xlfn.IFNA(INDEX([1]历练产出!$Z:$Z,MATCH(B459,[1]历练产出!$AB:$AB,0)),"")</f>
        <v/>
      </c>
      <c r="K459" s="1" t="str">
        <f>_xlfn.IFNA(INDEX([1]洞天福地产出!$H:$H,MATCH(B459,[1]洞天福地产出!$K:$K,0)),"")</f>
        <v/>
      </c>
      <c r="L459" s="1" t="str">
        <f t="shared" si="39"/>
        <v/>
      </c>
      <c r="M459" s="4">
        <f t="shared" si="40"/>
        <v>0</v>
      </c>
    </row>
    <row r="460" ht="45" spans="1:13">
      <c r="A460" s="4"/>
      <c r="B460" t="str">
        <f t="shared" si="36"/>
        <v>7:2000123</v>
      </c>
      <c r="C460" s="1">
        <v>7</v>
      </c>
      <c r="D460" s="4">
        <v>2000123</v>
      </c>
      <c r="E460" s="3" t="s">
        <v>1882</v>
      </c>
      <c r="F460" s="3"/>
      <c r="G460" s="1">
        <v>5852.25</v>
      </c>
      <c r="H460" s="1">
        <f t="shared" si="37"/>
        <v>5852.25</v>
      </c>
      <c r="I460" s="1" t="str">
        <f t="shared" si="38"/>
        <v/>
      </c>
      <c r="J460" s="1" t="str">
        <f>_xlfn.IFNA(INDEX([1]历练产出!$Z:$Z,MATCH(B460,[1]历练产出!$AB:$AB,0)),"")</f>
        <v/>
      </c>
      <c r="K460" s="1" t="str">
        <f>_xlfn.IFNA(INDEX([1]洞天福地产出!$H:$H,MATCH(B460,[1]洞天福地产出!$K:$K,0)),"")</f>
        <v/>
      </c>
      <c r="L460" s="1" t="str">
        <f t="shared" si="39"/>
        <v/>
      </c>
      <c r="M460" s="4">
        <f t="shared" si="40"/>
        <v>0</v>
      </c>
    </row>
    <row r="461" ht="45" spans="1:13">
      <c r="A461" s="4"/>
      <c r="B461" t="str">
        <f t="shared" si="36"/>
        <v>7:2000124</v>
      </c>
      <c r="C461" s="1">
        <v>7</v>
      </c>
      <c r="D461" s="4">
        <v>2000124</v>
      </c>
      <c r="E461" s="3" t="s">
        <v>1882</v>
      </c>
      <c r="F461" s="3"/>
      <c r="G461" s="1">
        <v>6139.8</v>
      </c>
      <c r="H461" s="1">
        <f t="shared" si="37"/>
        <v>6139.8</v>
      </c>
      <c r="I461" s="1" t="str">
        <f t="shared" si="38"/>
        <v/>
      </c>
      <c r="J461" s="1" t="str">
        <f>_xlfn.IFNA(INDEX([1]历练产出!$Z:$Z,MATCH(B461,[1]历练产出!$AB:$AB,0)),"")</f>
        <v/>
      </c>
      <c r="K461" s="1" t="str">
        <f>_xlfn.IFNA(INDEX([1]洞天福地产出!$H:$H,MATCH(B461,[1]洞天福地产出!$K:$K,0)),"")</f>
        <v/>
      </c>
      <c r="L461" s="1" t="str">
        <f t="shared" si="39"/>
        <v/>
      </c>
      <c r="M461" s="4">
        <f t="shared" si="40"/>
        <v>0</v>
      </c>
    </row>
    <row r="462" ht="45" spans="1:13">
      <c r="A462" s="4"/>
      <c r="B462" t="str">
        <f t="shared" si="36"/>
        <v>7:2000125</v>
      </c>
      <c r="C462" s="1">
        <v>7</v>
      </c>
      <c r="D462" s="4">
        <v>2000125</v>
      </c>
      <c r="E462" s="3" t="s">
        <v>1882</v>
      </c>
      <c r="F462" s="3"/>
      <c r="G462" s="1">
        <v>6439.5</v>
      </c>
      <c r="H462" s="1">
        <f t="shared" si="37"/>
        <v>6439.5</v>
      </c>
      <c r="I462" s="1" t="str">
        <f t="shared" si="38"/>
        <v/>
      </c>
      <c r="J462" s="1" t="str">
        <f>_xlfn.IFNA(INDEX([1]历练产出!$Z:$Z,MATCH(B462,[1]历练产出!$AB:$AB,0)),"")</f>
        <v/>
      </c>
      <c r="K462" s="1" t="str">
        <f>_xlfn.IFNA(INDEX([1]洞天福地产出!$H:$H,MATCH(B462,[1]洞天福地产出!$K:$K,0)),"")</f>
        <v/>
      </c>
      <c r="L462" s="1" t="str">
        <f t="shared" si="39"/>
        <v/>
      </c>
      <c r="M462" s="4">
        <f t="shared" si="40"/>
        <v>0</v>
      </c>
    </row>
    <row r="463" ht="45" spans="1:13">
      <c r="A463" s="4"/>
      <c r="B463" t="str">
        <f t="shared" si="36"/>
        <v>7:2000126</v>
      </c>
      <c r="C463" s="1">
        <v>7</v>
      </c>
      <c r="D463" s="4">
        <v>2000126</v>
      </c>
      <c r="E463" s="3" t="s">
        <v>1882</v>
      </c>
      <c r="F463" s="3"/>
      <c r="G463" s="1">
        <v>6751.35</v>
      </c>
      <c r="H463" s="1">
        <f t="shared" si="37"/>
        <v>6751.35</v>
      </c>
      <c r="I463" s="1" t="str">
        <f t="shared" si="38"/>
        <v/>
      </c>
      <c r="J463" s="1" t="str">
        <f>_xlfn.IFNA(INDEX([1]历练产出!$Z:$Z,MATCH(B463,[1]历练产出!$AB:$AB,0)),"")</f>
        <v/>
      </c>
      <c r="K463" s="1" t="str">
        <f>_xlfn.IFNA(INDEX([1]洞天福地产出!$H:$H,MATCH(B463,[1]洞天福地产出!$K:$K,0)),"")</f>
        <v/>
      </c>
      <c r="L463" s="1" t="str">
        <f t="shared" si="39"/>
        <v/>
      </c>
      <c r="M463" s="4">
        <f t="shared" si="40"/>
        <v>0</v>
      </c>
    </row>
    <row r="464" ht="45" spans="1:13">
      <c r="A464" s="4"/>
      <c r="B464" t="str">
        <f t="shared" si="36"/>
        <v>7:2000127</v>
      </c>
      <c r="C464" s="1">
        <v>7</v>
      </c>
      <c r="D464" s="4">
        <v>2000127</v>
      </c>
      <c r="E464" s="3" t="s">
        <v>1882</v>
      </c>
      <c r="F464" s="3"/>
      <c r="G464" s="1">
        <v>7075.35</v>
      </c>
      <c r="H464" s="1">
        <f t="shared" si="37"/>
        <v>7075.35</v>
      </c>
      <c r="I464" s="1" t="str">
        <f t="shared" si="38"/>
        <v/>
      </c>
      <c r="J464" s="1" t="str">
        <f>_xlfn.IFNA(INDEX([1]历练产出!$Z:$Z,MATCH(B464,[1]历练产出!$AB:$AB,0)),"")</f>
        <v/>
      </c>
      <c r="K464" s="1" t="str">
        <f>_xlfn.IFNA(INDEX([1]洞天福地产出!$H:$H,MATCH(B464,[1]洞天福地产出!$K:$K,0)),"")</f>
        <v/>
      </c>
      <c r="L464" s="1" t="str">
        <f t="shared" si="39"/>
        <v/>
      </c>
      <c r="M464" s="4">
        <f t="shared" si="40"/>
        <v>0</v>
      </c>
    </row>
    <row r="465" ht="45" spans="1:13">
      <c r="A465" s="4"/>
      <c r="B465" t="str">
        <f t="shared" si="36"/>
        <v>7:2000128</v>
      </c>
      <c r="C465" s="1">
        <v>7</v>
      </c>
      <c r="D465" s="4">
        <v>2000128</v>
      </c>
      <c r="E465" s="3" t="s">
        <v>1882</v>
      </c>
      <c r="F465" s="3"/>
      <c r="G465" s="1">
        <v>7411.5</v>
      </c>
      <c r="H465" s="1">
        <f t="shared" si="37"/>
        <v>7411.5</v>
      </c>
      <c r="I465" s="1" t="str">
        <f t="shared" si="38"/>
        <v/>
      </c>
      <c r="J465" s="1" t="str">
        <f>_xlfn.IFNA(INDEX([1]历练产出!$Z:$Z,MATCH(B465,[1]历练产出!$AB:$AB,0)),"")</f>
        <v/>
      </c>
      <c r="K465" s="1" t="str">
        <f>_xlfn.IFNA(INDEX([1]洞天福地产出!$H:$H,MATCH(B465,[1]洞天福地产出!$K:$K,0)),"")</f>
        <v/>
      </c>
      <c r="L465" s="1" t="str">
        <f t="shared" si="39"/>
        <v/>
      </c>
      <c r="M465" s="4">
        <f t="shared" si="40"/>
        <v>0</v>
      </c>
    </row>
    <row r="466" ht="45" spans="1:13">
      <c r="A466" s="4"/>
      <c r="B466" t="str">
        <f t="shared" si="36"/>
        <v>7:2000129</v>
      </c>
      <c r="C466" s="1">
        <v>7</v>
      </c>
      <c r="D466" s="4">
        <v>2000129</v>
      </c>
      <c r="E466" s="3" t="s">
        <v>1882</v>
      </c>
      <c r="F466" s="3"/>
      <c r="G466" s="1">
        <v>9703.8</v>
      </c>
      <c r="H466" s="1">
        <f t="shared" si="37"/>
        <v>9703.8</v>
      </c>
      <c r="I466" s="1" t="str">
        <f t="shared" si="38"/>
        <v/>
      </c>
      <c r="J466" s="1" t="str">
        <f>_xlfn.IFNA(INDEX([1]历练产出!$Z:$Z,MATCH(B466,[1]历练产出!$AB:$AB,0)),"")</f>
        <v/>
      </c>
      <c r="K466" s="1" t="str">
        <f>_xlfn.IFNA(INDEX([1]洞天福地产出!$H:$H,MATCH(B466,[1]洞天福地产出!$K:$K,0)),"")</f>
        <v/>
      </c>
      <c r="L466" s="1" t="str">
        <f t="shared" si="39"/>
        <v/>
      </c>
      <c r="M466" s="4">
        <f t="shared" si="40"/>
        <v>0</v>
      </c>
    </row>
    <row r="467" ht="45" spans="1:13">
      <c r="A467" s="4"/>
      <c r="B467" t="str">
        <f t="shared" si="36"/>
        <v>7:2000130</v>
      </c>
      <c r="C467" s="1">
        <v>7</v>
      </c>
      <c r="D467" s="4">
        <v>2000130</v>
      </c>
      <c r="E467" s="3" t="s">
        <v>1882</v>
      </c>
      <c r="F467" s="3"/>
      <c r="G467" s="1">
        <v>10052.1</v>
      </c>
      <c r="H467" s="1">
        <f t="shared" si="37"/>
        <v>10052.1</v>
      </c>
      <c r="I467" s="1" t="str">
        <f t="shared" si="38"/>
        <v/>
      </c>
      <c r="J467" s="1" t="str">
        <f>_xlfn.IFNA(INDEX([1]历练产出!$Z:$Z,MATCH(B467,[1]历练产出!$AB:$AB,0)),"")</f>
        <v/>
      </c>
      <c r="K467" s="1" t="str">
        <f>_xlfn.IFNA(INDEX([1]洞天福地产出!$H:$H,MATCH(B467,[1]洞天福地产出!$K:$K,0)),"")</f>
        <v/>
      </c>
      <c r="L467" s="1" t="str">
        <f t="shared" si="39"/>
        <v/>
      </c>
      <c r="M467" s="4">
        <f t="shared" si="40"/>
        <v>0</v>
      </c>
    </row>
    <row r="468" ht="30" spans="1:13">
      <c r="A468" s="4"/>
      <c r="B468" t="str">
        <f t="shared" si="36"/>
        <v>7:3000101</v>
      </c>
      <c r="C468" s="1">
        <v>7</v>
      </c>
      <c r="D468" s="4">
        <v>3000101</v>
      </c>
      <c r="E468" s="3" t="s">
        <v>1883</v>
      </c>
      <c r="F468" s="3"/>
      <c r="G468" s="1">
        <v>656.1</v>
      </c>
      <c r="H468" s="1">
        <f t="shared" si="37"/>
        <v>656.1</v>
      </c>
      <c r="I468" s="1" t="str">
        <f t="shared" si="38"/>
        <v/>
      </c>
      <c r="J468" s="1" t="str">
        <f>_xlfn.IFNA(INDEX([1]历练产出!$Z:$Z,MATCH(B468,[1]历练产出!$AB:$AB,0)),"")</f>
        <v/>
      </c>
      <c r="K468" s="1" t="str">
        <f>_xlfn.IFNA(INDEX([1]洞天福地产出!$H:$H,MATCH(B468,[1]洞天福地产出!$K:$K,0)),"")</f>
        <v/>
      </c>
      <c r="L468" s="1" t="str">
        <f t="shared" si="39"/>
        <v/>
      </c>
      <c r="M468" s="4">
        <f t="shared" si="40"/>
        <v>0</v>
      </c>
    </row>
    <row r="469" ht="30" spans="1:13">
      <c r="A469" s="4"/>
      <c r="B469" t="str">
        <f t="shared" si="36"/>
        <v>7:3000102</v>
      </c>
      <c r="C469" s="1">
        <v>7</v>
      </c>
      <c r="D469" s="4">
        <v>3000102</v>
      </c>
      <c r="E469" s="3" t="s">
        <v>1883</v>
      </c>
      <c r="F469" s="3"/>
      <c r="G469" s="1">
        <v>676.35</v>
      </c>
      <c r="H469" s="1">
        <f t="shared" si="37"/>
        <v>676.35</v>
      </c>
      <c r="I469" s="1" t="str">
        <f t="shared" si="38"/>
        <v/>
      </c>
      <c r="J469" s="1" t="str">
        <f>_xlfn.IFNA(INDEX([1]历练产出!$Z:$Z,MATCH(B469,[1]历练产出!$AB:$AB,0)),"")</f>
        <v/>
      </c>
      <c r="K469" s="1" t="str">
        <f>_xlfn.IFNA(INDEX([1]洞天福地产出!$H:$H,MATCH(B469,[1]洞天福地产出!$K:$K,0)),"")</f>
        <v/>
      </c>
      <c r="L469" s="1" t="str">
        <f t="shared" si="39"/>
        <v/>
      </c>
      <c r="M469" s="4">
        <f t="shared" si="40"/>
        <v>0</v>
      </c>
    </row>
    <row r="470" ht="30" spans="1:13">
      <c r="A470" s="4"/>
      <c r="B470" t="str">
        <f t="shared" si="36"/>
        <v>7:3000103</v>
      </c>
      <c r="C470" s="1">
        <v>7</v>
      </c>
      <c r="D470" s="4">
        <v>3000103</v>
      </c>
      <c r="E470" s="3" t="s">
        <v>1883</v>
      </c>
      <c r="F470" s="3"/>
      <c r="G470" s="1">
        <v>708.75</v>
      </c>
      <c r="H470" s="1">
        <f t="shared" si="37"/>
        <v>708.75</v>
      </c>
      <c r="I470" s="1" t="str">
        <f t="shared" si="38"/>
        <v/>
      </c>
      <c r="J470" s="1" t="str">
        <f>_xlfn.IFNA(INDEX([1]历练产出!$Z:$Z,MATCH(B470,[1]历练产出!$AB:$AB,0)),"")</f>
        <v/>
      </c>
      <c r="K470" s="1" t="str">
        <f>_xlfn.IFNA(INDEX([1]洞天福地产出!$H:$H,MATCH(B470,[1]洞天福地产出!$K:$K,0)),"")</f>
        <v/>
      </c>
      <c r="L470" s="1" t="str">
        <f t="shared" si="39"/>
        <v/>
      </c>
      <c r="M470" s="4">
        <f t="shared" si="40"/>
        <v>0</v>
      </c>
    </row>
    <row r="471" ht="30" spans="1:13">
      <c r="A471" s="4"/>
      <c r="B471" t="str">
        <f t="shared" si="36"/>
        <v>7:3000104</v>
      </c>
      <c r="C471" s="1">
        <v>7</v>
      </c>
      <c r="D471" s="4">
        <v>3000104</v>
      </c>
      <c r="E471" s="3" t="s">
        <v>1883</v>
      </c>
      <c r="F471" s="3"/>
      <c r="G471" s="1">
        <v>753.3</v>
      </c>
      <c r="H471" s="1">
        <f t="shared" si="37"/>
        <v>753.3</v>
      </c>
      <c r="I471" s="1" t="str">
        <f t="shared" si="38"/>
        <v/>
      </c>
      <c r="J471" s="1" t="str">
        <f>_xlfn.IFNA(INDEX([1]历练产出!$Z:$Z,MATCH(B471,[1]历练产出!$AB:$AB,0)),"")</f>
        <v/>
      </c>
      <c r="K471" s="1" t="str">
        <f>_xlfn.IFNA(INDEX([1]洞天福地产出!$H:$H,MATCH(B471,[1]洞天福地产出!$K:$K,0)),"")</f>
        <v/>
      </c>
      <c r="L471" s="1" t="str">
        <f t="shared" si="39"/>
        <v/>
      </c>
      <c r="M471" s="4">
        <f t="shared" si="40"/>
        <v>0</v>
      </c>
    </row>
    <row r="472" ht="30" spans="1:13">
      <c r="A472" s="4"/>
      <c r="B472" t="str">
        <f t="shared" si="36"/>
        <v>7:3000105</v>
      </c>
      <c r="C472" s="1">
        <v>7</v>
      </c>
      <c r="D472" s="4">
        <v>3000105</v>
      </c>
      <c r="E472" s="3" t="s">
        <v>1883</v>
      </c>
      <c r="F472" s="3"/>
      <c r="G472" s="1">
        <v>810</v>
      </c>
      <c r="H472" s="1">
        <f t="shared" si="37"/>
        <v>810</v>
      </c>
      <c r="I472" s="1" t="str">
        <f t="shared" si="38"/>
        <v/>
      </c>
      <c r="J472" s="1" t="str">
        <f>_xlfn.IFNA(INDEX([1]历练产出!$Z:$Z,MATCH(B472,[1]历练产出!$AB:$AB,0)),"")</f>
        <v/>
      </c>
      <c r="K472" s="1" t="str">
        <f>_xlfn.IFNA(INDEX([1]洞天福地产出!$H:$H,MATCH(B472,[1]洞天福地产出!$K:$K,0)),"")</f>
        <v/>
      </c>
      <c r="L472" s="1" t="str">
        <f t="shared" si="39"/>
        <v/>
      </c>
      <c r="M472" s="4">
        <f t="shared" si="40"/>
        <v>0</v>
      </c>
    </row>
    <row r="473" ht="30" spans="1:13">
      <c r="A473" s="4"/>
      <c r="B473" t="str">
        <f t="shared" si="36"/>
        <v>7:3000106</v>
      </c>
      <c r="C473" s="1">
        <v>7</v>
      </c>
      <c r="D473" s="4">
        <v>3000106</v>
      </c>
      <c r="E473" s="3" t="s">
        <v>1883</v>
      </c>
      <c r="F473" s="3"/>
      <c r="G473" s="1">
        <v>878.85</v>
      </c>
      <c r="H473" s="1">
        <f t="shared" si="37"/>
        <v>878.85</v>
      </c>
      <c r="I473" s="1" t="str">
        <f t="shared" si="38"/>
        <v/>
      </c>
      <c r="J473" s="1" t="str">
        <f>_xlfn.IFNA(INDEX([1]历练产出!$Z:$Z,MATCH(B473,[1]历练产出!$AB:$AB,0)),"")</f>
        <v/>
      </c>
      <c r="K473" s="1" t="str">
        <f>_xlfn.IFNA(INDEX([1]洞天福地产出!$H:$H,MATCH(B473,[1]洞天福地产出!$K:$K,0)),"")</f>
        <v/>
      </c>
      <c r="L473" s="1" t="str">
        <f t="shared" si="39"/>
        <v/>
      </c>
      <c r="M473" s="4">
        <f t="shared" si="40"/>
        <v>0</v>
      </c>
    </row>
    <row r="474" ht="30" spans="1:13">
      <c r="A474" s="4"/>
      <c r="B474" t="str">
        <f t="shared" si="36"/>
        <v>7:3000107</v>
      </c>
      <c r="C474" s="1">
        <v>7</v>
      </c>
      <c r="D474" s="4">
        <v>3000107</v>
      </c>
      <c r="E474" s="3" t="s">
        <v>1883</v>
      </c>
      <c r="F474" s="3"/>
      <c r="G474" s="1">
        <v>959.85</v>
      </c>
      <c r="H474" s="1">
        <f t="shared" si="37"/>
        <v>959.85</v>
      </c>
      <c r="I474" s="1" t="str">
        <f t="shared" si="38"/>
        <v/>
      </c>
      <c r="J474" s="1" t="str">
        <f>_xlfn.IFNA(INDEX([1]历练产出!$Z:$Z,MATCH(B474,[1]历练产出!$AB:$AB,0)),"")</f>
        <v/>
      </c>
      <c r="K474" s="1" t="str">
        <f>_xlfn.IFNA(INDEX([1]洞天福地产出!$H:$H,MATCH(B474,[1]洞天福地产出!$K:$K,0)),"")</f>
        <v/>
      </c>
      <c r="L474" s="1" t="str">
        <f t="shared" si="39"/>
        <v/>
      </c>
      <c r="M474" s="4">
        <f t="shared" si="40"/>
        <v>0</v>
      </c>
    </row>
    <row r="475" ht="30" spans="1:13">
      <c r="A475" s="4"/>
      <c r="B475" t="str">
        <f t="shared" si="36"/>
        <v>7:3000108</v>
      </c>
      <c r="C475" s="1">
        <v>7</v>
      </c>
      <c r="D475" s="4">
        <v>3000108</v>
      </c>
      <c r="E475" s="3" t="s">
        <v>1883</v>
      </c>
      <c r="F475" s="3"/>
      <c r="G475" s="1">
        <v>1053</v>
      </c>
      <c r="H475" s="1">
        <f t="shared" si="37"/>
        <v>1053</v>
      </c>
      <c r="I475" s="1" t="str">
        <f t="shared" si="38"/>
        <v/>
      </c>
      <c r="J475" s="1" t="str">
        <f>_xlfn.IFNA(INDEX([1]历练产出!$Z:$Z,MATCH(B475,[1]历练产出!$AB:$AB,0)),"")</f>
        <v/>
      </c>
      <c r="K475" s="1" t="str">
        <f>_xlfn.IFNA(INDEX([1]洞天福地产出!$H:$H,MATCH(B475,[1]洞天福地产出!$K:$K,0)),"")</f>
        <v/>
      </c>
      <c r="L475" s="1" t="str">
        <f t="shared" si="39"/>
        <v/>
      </c>
      <c r="M475" s="4">
        <f t="shared" si="40"/>
        <v>0</v>
      </c>
    </row>
    <row r="476" ht="30" spans="1:13">
      <c r="A476" s="4"/>
      <c r="B476" t="str">
        <f t="shared" si="36"/>
        <v>7:3000109</v>
      </c>
      <c r="C476" s="1">
        <v>7</v>
      </c>
      <c r="D476" s="4">
        <v>3000109</v>
      </c>
      <c r="E476" s="3" t="s">
        <v>1883</v>
      </c>
      <c r="F476" s="3"/>
      <c r="G476" s="1">
        <v>1806.3</v>
      </c>
      <c r="H476" s="1">
        <f t="shared" si="37"/>
        <v>1806.3</v>
      </c>
      <c r="I476" s="1" t="str">
        <f t="shared" si="38"/>
        <v/>
      </c>
      <c r="J476" s="1" t="str">
        <f>_xlfn.IFNA(INDEX([1]历练产出!$Z:$Z,MATCH(B476,[1]历练产出!$AB:$AB,0)),"")</f>
        <v/>
      </c>
      <c r="K476" s="1" t="str">
        <f>_xlfn.IFNA(INDEX([1]洞天福地产出!$H:$H,MATCH(B476,[1]洞天福地产出!$K:$K,0)),"")</f>
        <v/>
      </c>
      <c r="L476" s="1" t="str">
        <f t="shared" si="39"/>
        <v/>
      </c>
      <c r="M476" s="4">
        <f t="shared" si="40"/>
        <v>0</v>
      </c>
    </row>
    <row r="477" ht="30" spans="1:13">
      <c r="A477" s="4"/>
      <c r="B477" t="str">
        <f t="shared" si="36"/>
        <v>7:3000110</v>
      </c>
      <c r="C477" s="1">
        <v>7</v>
      </c>
      <c r="D477" s="4">
        <v>3000110</v>
      </c>
      <c r="E477" s="3" t="s">
        <v>1883</v>
      </c>
      <c r="F477" s="3"/>
      <c r="G477" s="1">
        <v>1923.75</v>
      </c>
      <c r="H477" s="1">
        <f t="shared" si="37"/>
        <v>1923.75</v>
      </c>
      <c r="I477" s="1" t="str">
        <f t="shared" si="38"/>
        <v/>
      </c>
      <c r="J477" s="1" t="str">
        <f>_xlfn.IFNA(INDEX([1]历练产出!$Z:$Z,MATCH(B477,[1]历练产出!$AB:$AB,0)),"")</f>
        <v/>
      </c>
      <c r="K477" s="1" t="str">
        <f>_xlfn.IFNA(INDEX([1]洞天福地产出!$H:$H,MATCH(B477,[1]洞天福地产出!$K:$K,0)),"")</f>
        <v/>
      </c>
      <c r="L477" s="1" t="str">
        <f t="shared" si="39"/>
        <v/>
      </c>
      <c r="M477" s="4">
        <f t="shared" si="40"/>
        <v>0</v>
      </c>
    </row>
    <row r="478" ht="30" spans="1:13">
      <c r="A478" s="4"/>
      <c r="B478" t="str">
        <f t="shared" si="36"/>
        <v>7:3000111</v>
      </c>
      <c r="C478" s="1">
        <v>7</v>
      </c>
      <c r="D478" s="4">
        <v>3000111</v>
      </c>
      <c r="E478" s="3" t="s">
        <v>1883</v>
      </c>
      <c r="F478" s="3"/>
      <c r="G478" s="1">
        <v>2053.35</v>
      </c>
      <c r="H478" s="1">
        <f t="shared" si="37"/>
        <v>2053.35</v>
      </c>
      <c r="I478" s="1" t="str">
        <f t="shared" si="38"/>
        <v/>
      </c>
      <c r="J478" s="1" t="str">
        <f>_xlfn.IFNA(INDEX([1]历练产出!$Z:$Z,MATCH(B478,[1]历练产出!$AB:$AB,0)),"")</f>
        <v/>
      </c>
      <c r="K478" s="1" t="str">
        <f>_xlfn.IFNA(INDEX([1]洞天福地产出!$H:$H,MATCH(B478,[1]洞天福地产出!$K:$K,0)),"")</f>
        <v/>
      </c>
      <c r="L478" s="1" t="str">
        <f t="shared" si="39"/>
        <v/>
      </c>
      <c r="M478" s="4">
        <f t="shared" si="40"/>
        <v>0</v>
      </c>
    </row>
    <row r="479" ht="30" spans="1:13">
      <c r="A479" s="4"/>
      <c r="B479" t="str">
        <f t="shared" si="36"/>
        <v>7:3000112</v>
      </c>
      <c r="C479" s="1">
        <v>7</v>
      </c>
      <c r="D479" s="4">
        <v>3000112</v>
      </c>
      <c r="E479" s="3" t="s">
        <v>1883</v>
      </c>
      <c r="F479" s="3"/>
      <c r="G479" s="1">
        <v>2195.1</v>
      </c>
      <c r="H479" s="1">
        <f t="shared" si="37"/>
        <v>2195.1</v>
      </c>
      <c r="I479" s="1" t="str">
        <f t="shared" si="38"/>
        <v/>
      </c>
      <c r="J479" s="1" t="str">
        <f>_xlfn.IFNA(INDEX([1]历练产出!$Z:$Z,MATCH(B479,[1]历练产出!$AB:$AB,0)),"")</f>
        <v/>
      </c>
      <c r="K479" s="1" t="str">
        <f>_xlfn.IFNA(INDEX([1]洞天福地产出!$H:$H,MATCH(B479,[1]洞天福地产出!$K:$K,0)),"")</f>
        <v/>
      </c>
      <c r="L479" s="1" t="str">
        <f t="shared" si="39"/>
        <v/>
      </c>
      <c r="M479" s="4">
        <f t="shared" si="40"/>
        <v>0</v>
      </c>
    </row>
    <row r="480" ht="30" spans="1:13">
      <c r="A480" s="4"/>
      <c r="B480" t="str">
        <f t="shared" si="36"/>
        <v>7:3000113</v>
      </c>
      <c r="C480" s="1">
        <v>7</v>
      </c>
      <c r="D480" s="4">
        <v>3000113</v>
      </c>
      <c r="E480" s="3" t="s">
        <v>1883</v>
      </c>
      <c r="F480" s="3"/>
      <c r="G480" s="1">
        <v>2349</v>
      </c>
      <c r="H480" s="1">
        <f t="shared" si="37"/>
        <v>2349</v>
      </c>
      <c r="I480" s="1" t="str">
        <f t="shared" si="38"/>
        <v/>
      </c>
      <c r="J480" s="1" t="str">
        <f>_xlfn.IFNA(INDEX([1]历练产出!$Z:$Z,MATCH(B480,[1]历练产出!$AB:$AB,0)),"")</f>
        <v/>
      </c>
      <c r="K480" s="1" t="str">
        <f>_xlfn.IFNA(INDEX([1]洞天福地产出!$H:$H,MATCH(B480,[1]洞天福地产出!$K:$K,0)),"")</f>
        <v/>
      </c>
      <c r="L480" s="1" t="str">
        <f t="shared" si="39"/>
        <v/>
      </c>
      <c r="M480" s="4">
        <f t="shared" si="40"/>
        <v>0</v>
      </c>
    </row>
    <row r="481" ht="30" spans="1:13">
      <c r="A481" s="4"/>
      <c r="B481" t="str">
        <f t="shared" si="36"/>
        <v>7:3000114</v>
      </c>
      <c r="C481" s="1">
        <v>7</v>
      </c>
      <c r="D481" s="4">
        <v>3000114</v>
      </c>
      <c r="E481" s="3" t="s">
        <v>1883</v>
      </c>
      <c r="F481" s="3"/>
      <c r="G481" s="1">
        <v>2515.05</v>
      </c>
      <c r="H481" s="1">
        <f t="shared" si="37"/>
        <v>2515.05</v>
      </c>
      <c r="I481" s="1" t="str">
        <f t="shared" si="38"/>
        <v/>
      </c>
      <c r="J481" s="1" t="str">
        <f>_xlfn.IFNA(INDEX([1]历练产出!$Z:$Z,MATCH(B481,[1]历练产出!$AB:$AB,0)),"")</f>
        <v/>
      </c>
      <c r="K481" s="1" t="str">
        <f>_xlfn.IFNA(INDEX([1]洞天福地产出!$H:$H,MATCH(B481,[1]洞天福地产出!$K:$K,0)),"")</f>
        <v/>
      </c>
      <c r="L481" s="1" t="str">
        <f t="shared" si="39"/>
        <v/>
      </c>
      <c r="M481" s="4">
        <f t="shared" si="40"/>
        <v>0</v>
      </c>
    </row>
    <row r="482" ht="30" spans="1:13">
      <c r="A482" s="4"/>
      <c r="B482" t="str">
        <f t="shared" si="36"/>
        <v>7:3000115</v>
      </c>
      <c r="C482" s="1">
        <v>7</v>
      </c>
      <c r="D482" s="4">
        <v>3000115</v>
      </c>
      <c r="E482" s="3" t="s">
        <v>1883</v>
      </c>
      <c r="F482" s="3"/>
      <c r="G482" s="1">
        <v>2693.25</v>
      </c>
      <c r="H482" s="1">
        <f t="shared" si="37"/>
        <v>2693.25</v>
      </c>
      <c r="I482" s="1" t="str">
        <f t="shared" si="38"/>
        <v/>
      </c>
      <c r="J482" s="1" t="str">
        <f>_xlfn.IFNA(INDEX([1]历练产出!$Z:$Z,MATCH(B482,[1]历练产出!$AB:$AB,0)),"")</f>
        <v/>
      </c>
      <c r="K482" s="1" t="str">
        <f>_xlfn.IFNA(INDEX([1]洞天福地产出!$H:$H,MATCH(B482,[1]洞天福地产出!$K:$K,0)),"")</f>
        <v/>
      </c>
      <c r="L482" s="1" t="str">
        <f t="shared" si="39"/>
        <v/>
      </c>
      <c r="M482" s="4">
        <f t="shared" si="40"/>
        <v>0</v>
      </c>
    </row>
    <row r="483" ht="30" spans="1:13">
      <c r="A483" s="4"/>
      <c r="B483" t="str">
        <f t="shared" si="36"/>
        <v>7:3000116</v>
      </c>
      <c r="C483" s="1">
        <v>7</v>
      </c>
      <c r="D483" s="4">
        <v>3000116</v>
      </c>
      <c r="E483" s="3" t="s">
        <v>1883</v>
      </c>
      <c r="F483" s="3"/>
      <c r="G483" s="1">
        <v>2883.6</v>
      </c>
      <c r="H483" s="1">
        <f t="shared" si="37"/>
        <v>2883.6</v>
      </c>
      <c r="I483" s="1" t="str">
        <f t="shared" si="38"/>
        <v/>
      </c>
      <c r="J483" s="1" t="str">
        <f>_xlfn.IFNA(INDEX([1]历练产出!$Z:$Z,MATCH(B483,[1]历练产出!$AB:$AB,0)),"")</f>
        <v/>
      </c>
      <c r="K483" s="1" t="str">
        <f>_xlfn.IFNA(INDEX([1]洞天福地产出!$H:$H,MATCH(B483,[1]洞天福地产出!$K:$K,0)),"")</f>
        <v/>
      </c>
      <c r="L483" s="1" t="str">
        <f t="shared" si="39"/>
        <v/>
      </c>
      <c r="M483" s="4">
        <f t="shared" si="40"/>
        <v>0</v>
      </c>
    </row>
    <row r="484" ht="30" spans="1:13">
      <c r="A484" s="4"/>
      <c r="B484" t="str">
        <f t="shared" ref="B484:B547" si="41">C484&amp;":"&amp;D484</f>
        <v>7:3000117</v>
      </c>
      <c r="C484" s="1">
        <v>7</v>
      </c>
      <c r="D484" s="4">
        <v>3000117</v>
      </c>
      <c r="E484" s="3" t="s">
        <v>1883</v>
      </c>
      <c r="F484" s="3"/>
      <c r="G484" s="1">
        <v>3086.1</v>
      </c>
      <c r="H484" s="1">
        <f t="shared" si="37"/>
        <v>3086.1</v>
      </c>
      <c r="I484" s="1" t="str">
        <f t="shared" si="38"/>
        <v/>
      </c>
      <c r="J484" s="1" t="str">
        <f>_xlfn.IFNA(INDEX([1]历练产出!$Z:$Z,MATCH(B484,[1]历练产出!$AB:$AB,0)),"")</f>
        <v/>
      </c>
      <c r="K484" s="1" t="str">
        <f>_xlfn.IFNA(INDEX([1]洞天福地产出!$H:$H,MATCH(B484,[1]洞天福地产出!$K:$K,0)),"")</f>
        <v/>
      </c>
      <c r="L484" s="1" t="str">
        <f t="shared" si="39"/>
        <v/>
      </c>
      <c r="M484" s="4">
        <f t="shared" si="40"/>
        <v>0</v>
      </c>
    </row>
    <row r="485" ht="30" spans="1:13">
      <c r="A485" s="4"/>
      <c r="B485" t="str">
        <f t="shared" si="41"/>
        <v>7:3000118</v>
      </c>
      <c r="C485" s="1">
        <v>7</v>
      </c>
      <c r="D485" s="4">
        <v>3000118</v>
      </c>
      <c r="E485" s="3" t="s">
        <v>1883</v>
      </c>
      <c r="F485" s="3"/>
      <c r="G485" s="1">
        <v>3300.75</v>
      </c>
      <c r="H485" s="1">
        <f t="shared" si="37"/>
        <v>3300.75</v>
      </c>
      <c r="I485" s="1" t="str">
        <f t="shared" si="38"/>
        <v/>
      </c>
      <c r="J485" s="1" t="str">
        <f>_xlfn.IFNA(INDEX([1]历练产出!$Z:$Z,MATCH(B485,[1]历练产出!$AB:$AB,0)),"")</f>
        <v/>
      </c>
      <c r="K485" s="1" t="str">
        <f>_xlfn.IFNA(INDEX([1]洞天福地产出!$H:$H,MATCH(B485,[1]洞天福地产出!$K:$K,0)),"")</f>
        <v/>
      </c>
      <c r="L485" s="1" t="str">
        <f t="shared" si="39"/>
        <v/>
      </c>
      <c r="M485" s="4">
        <f t="shared" si="40"/>
        <v>0</v>
      </c>
    </row>
    <row r="486" ht="30" spans="1:13">
      <c r="A486" s="4"/>
      <c r="B486" t="str">
        <f t="shared" si="41"/>
        <v>7:3000119</v>
      </c>
      <c r="C486" s="1">
        <v>7</v>
      </c>
      <c r="D486" s="4">
        <v>3000119</v>
      </c>
      <c r="E486" s="3" t="s">
        <v>1883</v>
      </c>
      <c r="F486" s="3"/>
      <c r="G486" s="1">
        <v>4823.55</v>
      </c>
      <c r="H486" s="1">
        <f t="shared" si="37"/>
        <v>4823.55</v>
      </c>
      <c r="I486" s="1" t="str">
        <f t="shared" si="38"/>
        <v/>
      </c>
      <c r="J486" s="1" t="str">
        <f>_xlfn.IFNA(INDEX([1]历练产出!$Z:$Z,MATCH(B486,[1]历练产出!$AB:$AB,0)),"")</f>
        <v/>
      </c>
      <c r="K486" s="1" t="str">
        <f>_xlfn.IFNA(INDEX([1]洞天福地产出!$H:$H,MATCH(B486,[1]洞天福地产出!$K:$K,0)),"")</f>
        <v/>
      </c>
      <c r="L486" s="1" t="str">
        <f t="shared" si="39"/>
        <v/>
      </c>
      <c r="M486" s="4">
        <f t="shared" si="40"/>
        <v>0</v>
      </c>
    </row>
    <row r="487" ht="30" spans="1:13">
      <c r="A487" s="4"/>
      <c r="B487" t="str">
        <f t="shared" si="41"/>
        <v>7:3000120</v>
      </c>
      <c r="C487" s="1">
        <v>7</v>
      </c>
      <c r="D487" s="4">
        <v>3000120</v>
      </c>
      <c r="E487" s="3" t="s">
        <v>1883</v>
      </c>
      <c r="F487" s="3"/>
      <c r="G487" s="1">
        <v>5062.5</v>
      </c>
      <c r="H487" s="1">
        <f t="shared" si="37"/>
        <v>5062.5</v>
      </c>
      <c r="I487" s="1" t="str">
        <f t="shared" si="38"/>
        <v/>
      </c>
      <c r="J487" s="1" t="str">
        <f>_xlfn.IFNA(INDEX([1]历练产出!$Z:$Z,MATCH(B487,[1]历练产出!$AB:$AB,0)),"")</f>
        <v/>
      </c>
      <c r="K487" s="1" t="str">
        <f>_xlfn.IFNA(INDEX([1]洞天福地产出!$H:$H,MATCH(B487,[1]洞天福地产出!$K:$K,0)),"")</f>
        <v/>
      </c>
      <c r="L487" s="1" t="str">
        <f t="shared" si="39"/>
        <v/>
      </c>
      <c r="M487" s="4">
        <f t="shared" si="40"/>
        <v>0</v>
      </c>
    </row>
    <row r="488" ht="30" spans="1:13">
      <c r="A488" s="4"/>
      <c r="B488" t="str">
        <f t="shared" si="41"/>
        <v>7:3000121</v>
      </c>
      <c r="C488" s="1">
        <v>7</v>
      </c>
      <c r="D488" s="4">
        <v>3000121</v>
      </c>
      <c r="E488" s="3" t="s">
        <v>1883</v>
      </c>
      <c r="F488" s="3"/>
      <c r="G488" s="1">
        <v>5313.6</v>
      </c>
      <c r="H488" s="1">
        <f t="shared" si="37"/>
        <v>5313.6</v>
      </c>
      <c r="I488" s="1" t="str">
        <f t="shared" si="38"/>
        <v/>
      </c>
      <c r="J488" s="1" t="str">
        <f>_xlfn.IFNA(INDEX([1]历练产出!$Z:$Z,MATCH(B488,[1]历练产出!$AB:$AB,0)),"")</f>
        <v/>
      </c>
      <c r="K488" s="1" t="str">
        <f>_xlfn.IFNA(INDEX([1]洞天福地产出!$H:$H,MATCH(B488,[1]洞天福地产出!$K:$K,0)),"")</f>
        <v/>
      </c>
      <c r="L488" s="1" t="str">
        <f t="shared" si="39"/>
        <v/>
      </c>
      <c r="M488" s="4">
        <f t="shared" si="40"/>
        <v>0</v>
      </c>
    </row>
    <row r="489" ht="30" spans="1:13">
      <c r="A489" s="4"/>
      <c r="B489" t="str">
        <f t="shared" si="41"/>
        <v>7:3000122</v>
      </c>
      <c r="C489" s="1">
        <v>7</v>
      </c>
      <c r="D489" s="4">
        <v>3000122</v>
      </c>
      <c r="E489" s="3" t="s">
        <v>1883</v>
      </c>
      <c r="F489" s="3"/>
      <c r="G489" s="1">
        <v>5576.85</v>
      </c>
      <c r="H489" s="1">
        <f t="shared" si="37"/>
        <v>5576.85</v>
      </c>
      <c r="I489" s="1" t="str">
        <f t="shared" si="38"/>
        <v/>
      </c>
      <c r="J489" s="1" t="str">
        <f>_xlfn.IFNA(INDEX([1]历练产出!$Z:$Z,MATCH(B489,[1]历练产出!$AB:$AB,0)),"")</f>
        <v/>
      </c>
      <c r="K489" s="1" t="str">
        <f>_xlfn.IFNA(INDEX([1]洞天福地产出!$H:$H,MATCH(B489,[1]洞天福地产出!$K:$K,0)),"")</f>
        <v/>
      </c>
      <c r="L489" s="1" t="str">
        <f t="shared" si="39"/>
        <v/>
      </c>
      <c r="M489" s="4">
        <f t="shared" si="40"/>
        <v>0</v>
      </c>
    </row>
    <row r="490" ht="30" spans="1:13">
      <c r="A490" s="4"/>
      <c r="B490" t="str">
        <f t="shared" si="41"/>
        <v>7:3000123</v>
      </c>
      <c r="C490" s="1">
        <v>7</v>
      </c>
      <c r="D490" s="4">
        <v>3000123</v>
      </c>
      <c r="E490" s="3" t="s">
        <v>1883</v>
      </c>
      <c r="F490" s="3"/>
      <c r="G490" s="1">
        <v>5852.25</v>
      </c>
      <c r="H490" s="1">
        <f t="shared" si="37"/>
        <v>5852.25</v>
      </c>
      <c r="I490" s="1" t="str">
        <f t="shared" si="38"/>
        <v/>
      </c>
      <c r="J490" s="1" t="str">
        <f>_xlfn.IFNA(INDEX([1]历练产出!$Z:$Z,MATCH(B490,[1]历练产出!$AB:$AB,0)),"")</f>
        <v/>
      </c>
      <c r="K490" s="1" t="str">
        <f>_xlfn.IFNA(INDEX([1]洞天福地产出!$H:$H,MATCH(B490,[1]洞天福地产出!$K:$K,0)),"")</f>
        <v/>
      </c>
      <c r="L490" s="1" t="str">
        <f t="shared" si="39"/>
        <v/>
      </c>
      <c r="M490" s="4">
        <f t="shared" si="40"/>
        <v>0</v>
      </c>
    </row>
    <row r="491" ht="30" spans="1:13">
      <c r="A491" s="4"/>
      <c r="B491" t="str">
        <f t="shared" si="41"/>
        <v>7:3000124</v>
      </c>
      <c r="C491" s="1">
        <v>7</v>
      </c>
      <c r="D491" s="4">
        <v>3000124</v>
      </c>
      <c r="E491" s="3" t="s">
        <v>1883</v>
      </c>
      <c r="F491" s="3"/>
      <c r="G491" s="1">
        <v>6139.8</v>
      </c>
      <c r="H491" s="1">
        <f t="shared" si="37"/>
        <v>6139.8</v>
      </c>
      <c r="I491" s="1" t="str">
        <f t="shared" si="38"/>
        <v/>
      </c>
      <c r="J491" s="1" t="str">
        <f>_xlfn.IFNA(INDEX([1]历练产出!$Z:$Z,MATCH(B491,[1]历练产出!$AB:$AB,0)),"")</f>
        <v/>
      </c>
      <c r="K491" s="1" t="str">
        <f>_xlfn.IFNA(INDEX([1]洞天福地产出!$H:$H,MATCH(B491,[1]洞天福地产出!$K:$K,0)),"")</f>
        <v/>
      </c>
      <c r="L491" s="1" t="str">
        <f t="shared" si="39"/>
        <v/>
      </c>
      <c r="M491" s="4">
        <f t="shared" si="40"/>
        <v>0</v>
      </c>
    </row>
    <row r="492" ht="30" spans="1:13">
      <c r="A492" s="4"/>
      <c r="B492" t="str">
        <f t="shared" si="41"/>
        <v>7:3000125</v>
      </c>
      <c r="C492" s="1">
        <v>7</v>
      </c>
      <c r="D492" s="4">
        <v>3000125</v>
      </c>
      <c r="E492" s="3" t="s">
        <v>1883</v>
      </c>
      <c r="F492" s="3"/>
      <c r="G492" s="1">
        <v>6439.5</v>
      </c>
      <c r="H492" s="1">
        <f t="shared" si="37"/>
        <v>6439.5</v>
      </c>
      <c r="I492" s="1" t="str">
        <f t="shared" si="38"/>
        <v/>
      </c>
      <c r="J492" s="1" t="str">
        <f>_xlfn.IFNA(INDEX([1]历练产出!$Z:$Z,MATCH(B492,[1]历练产出!$AB:$AB,0)),"")</f>
        <v/>
      </c>
      <c r="K492" s="1" t="str">
        <f>_xlfn.IFNA(INDEX([1]洞天福地产出!$H:$H,MATCH(B492,[1]洞天福地产出!$K:$K,0)),"")</f>
        <v/>
      </c>
      <c r="L492" s="1" t="str">
        <f t="shared" si="39"/>
        <v/>
      </c>
      <c r="M492" s="4">
        <f t="shared" si="40"/>
        <v>0</v>
      </c>
    </row>
    <row r="493" ht="30" spans="1:13">
      <c r="A493" s="4"/>
      <c r="B493" t="str">
        <f t="shared" si="41"/>
        <v>7:3000126</v>
      </c>
      <c r="C493" s="1">
        <v>7</v>
      </c>
      <c r="D493" s="4">
        <v>3000126</v>
      </c>
      <c r="E493" s="3" t="s">
        <v>1883</v>
      </c>
      <c r="F493" s="3"/>
      <c r="G493" s="1">
        <v>6751.35</v>
      </c>
      <c r="H493" s="1">
        <f t="shared" si="37"/>
        <v>6751.35</v>
      </c>
      <c r="I493" s="1" t="str">
        <f t="shared" si="38"/>
        <v/>
      </c>
      <c r="J493" s="1" t="str">
        <f>_xlfn.IFNA(INDEX([1]历练产出!$Z:$Z,MATCH(B493,[1]历练产出!$AB:$AB,0)),"")</f>
        <v/>
      </c>
      <c r="K493" s="1" t="str">
        <f>_xlfn.IFNA(INDEX([1]洞天福地产出!$H:$H,MATCH(B493,[1]洞天福地产出!$K:$K,0)),"")</f>
        <v/>
      </c>
      <c r="L493" s="1" t="str">
        <f t="shared" si="39"/>
        <v/>
      </c>
      <c r="M493" s="4">
        <f t="shared" si="40"/>
        <v>0</v>
      </c>
    </row>
    <row r="494" ht="30" spans="1:13">
      <c r="A494" s="4"/>
      <c r="B494" t="str">
        <f t="shared" si="41"/>
        <v>7:3000127</v>
      </c>
      <c r="C494" s="1">
        <v>7</v>
      </c>
      <c r="D494" s="4">
        <v>3000127</v>
      </c>
      <c r="E494" s="3" t="s">
        <v>1883</v>
      </c>
      <c r="F494" s="3"/>
      <c r="G494" s="1">
        <v>7075.35</v>
      </c>
      <c r="H494" s="1">
        <f t="shared" si="37"/>
        <v>7075.35</v>
      </c>
      <c r="I494" s="1" t="str">
        <f t="shared" si="38"/>
        <v/>
      </c>
      <c r="J494" s="1" t="str">
        <f>_xlfn.IFNA(INDEX([1]历练产出!$Z:$Z,MATCH(B494,[1]历练产出!$AB:$AB,0)),"")</f>
        <v/>
      </c>
      <c r="K494" s="1" t="str">
        <f>_xlfn.IFNA(INDEX([1]洞天福地产出!$H:$H,MATCH(B494,[1]洞天福地产出!$K:$K,0)),"")</f>
        <v/>
      </c>
      <c r="L494" s="1" t="str">
        <f t="shared" si="39"/>
        <v/>
      </c>
      <c r="M494" s="4">
        <f t="shared" si="40"/>
        <v>0</v>
      </c>
    </row>
    <row r="495" ht="30" spans="1:13">
      <c r="A495" s="4"/>
      <c r="B495" t="str">
        <f t="shared" si="41"/>
        <v>7:3000128</v>
      </c>
      <c r="C495" s="1">
        <v>7</v>
      </c>
      <c r="D495" s="4">
        <v>3000128</v>
      </c>
      <c r="E495" s="3" t="s">
        <v>1883</v>
      </c>
      <c r="F495" s="3"/>
      <c r="G495" s="1">
        <v>7411.5</v>
      </c>
      <c r="H495" s="1">
        <f t="shared" si="37"/>
        <v>7411.5</v>
      </c>
      <c r="I495" s="1" t="str">
        <f t="shared" si="38"/>
        <v/>
      </c>
      <c r="J495" s="1" t="str">
        <f>_xlfn.IFNA(INDEX([1]历练产出!$Z:$Z,MATCH(B495,[1]历练产出!$AB:$AB,0)),"")</f>
        <v/>
      </c>
      <c r="K495" s="1" t="str">
        <f>_xlfn.IFNA(INDEX([1]洞天福地产出!$H:$H,MATCH(B495,[1]洞天福地产出!$K:$K,0)),"")</f>
        <v/>
      </c>
      <c r="L495" s="1" t="str">
        <f t="shared" si="39"/>
        <v/>
      </c>
      <c r="M495" s="4">
        <f t="shared" si="40"/>
        <v>0</v>
      </c>
    </row>
    <row r="496" ht="30" spans="1:13">
      <c r="A496" s="4"/>
      <c r="B496" t="str">
        <f t="shared" si="41"/>
        <v>7:3000129</v>
      </c>
      <c r="C496" s="1">
        <v>7</v>
      </c>
      <c r="D496" s="4">
        <v>3000129</v>
      </c>
      <c r="E496" s="3" t="s">
        <v>1883</v>
      </c>
      <c r="F496" s="3"/>
      <c r="G496" s="1">
        <v>9703.8</v>
      </c>
      <c r="H496" s="1">
        <f t="shared" si="37"/>
        <v>9703.8</v>
      </c>
      <c r="I496" s="1" t="str">
        <f t="shared" si="38"/>
        <v/>
      </c>
      <c r="J496" s="1" t="str">
        <f>_xlfn.IFNA(INDEX([1]历练产出!$Z:$Z,MATCH(B496,[1]历练产出!$AB:$AB,0)),"")</f>
        <v/>
      </c>
      <c r="K496" s="1" t="str">
        <f>_xlfn.IFNA(INDEX([1]洞天福地产出!$H:$H,MATCH(B496,[1]洞天福地产出!$K:$K,0)),"")</f>
        <v/>
      </c>
      <c r="L496" s="1" t="str">
        <f t="shared" si="39"/>
        <v/>
      </c>
      <c r="M496" s="4">
        <f t="shared" si="40"/>
        <v>0</v>
      </c>
    </row>
    <row r="497" ht="30" spans="1:13">
      <c r="A497" s="4"/>
      <c r="B497" t="str">
        <f t="shared" si="41"/>
        <v>7:3000130</v>
      </c>
      <c r="C497" s="1">
        <v>7</v>
      </c>
      <c r="D497" s="4">
        <v>3000130</v>
      </c>
      <c r="E497" s="3" t="s">
        <v>1883</v>
      </c>
      <c r="F497" s="3"/>
      <c r="G497" s="1">
        <v>10052.1</v>
      </c>
      <c r="H497" s="1">
        <f t="shared" si="37"/>
        <v>10052.1</v>
      </c>
      <c r="I497" s="1" t="str">
        <f t="shared" si="38"/>
        <v/>
      </c>
      <c r="J497" s="1" t="str">
        <f>_xlfn.IFNA(INDEX([1]历练产出!$Z:$Z,MATCH(B497,[1]历练产出!$AB:$AB,0)),"")</f>
        <v/>
      </c>
      <c r="K497" s="1" t="str">
        <f>_xlfn.IFNA(INDEX([1]洞天福地产出!$H:$H,MATCH(B497,[1]洞天福地产出!$K:$K,0)),"")</f>
        <v/>
      </c>
      <c r="L497" s="1" t="str">
        <f t="shared" si="39"/>
        <v/>
      </c>
      <c r="M497" s="4">
        <f t="shared" si="40"/>
        <v>0</v>
      </c>
    </row>
    <row r="498" ht="30" spans="1:13">
      <c r="A498" s="4"/>
      <c r="B498" t="str">
        <f t="shared" si="41"/>
        <v>7:4000101</v>
      </c>
      <c r="C498" s="1">
        <v>7</v>
      </c>
      <c r="D498" s="4">
        <v>4000101</v>
      </c>
      <c r="E498" s="3" t="s">
        <v>1884</v>
      </c>
      <c r="F498" s="3"/>
      <c r="G498" s="1">
        <v>656.1</v>
      </c>
      <c r="H498" s="1">
        <f t="shared" si="37"/>
        <v>656.1</v>
      </c>
      <c r="I498" s="1" t="str">
        <f t="shared" si="38"/>
        <v/>
      </c>
      <c r="J498" s="1" t="str">
        <f>_xlfn.IFNA(INDEX([1]历练产出!$Z:$Z,MATCH(B498,[1]历练产出!$AB:$AB,0)),"")</f>
        <v/>
      </c>
      <c r="K498" s="1" t="str">
        <f>_xlfn.IFNA(INDEX([1]洞天福地产出!$H:$H,MATCH(B498,[1]洞天福地产出!$K:$K,0)),"")</f>
        <v/>
      </c>
      <c r="L498" s="1" t="str">
        <f t="shared" si="39"/>
        <v/>
      </c>
      <c r="M498" s="4">
        <f t="shared" si="40"/>
        <v>0</v>
      </c>
    </row>
    <row r="499" ht="30" spans="1:13">
      <c r="A499" s="4"/>
      <c r="B499" t="str">
        <f t="shared" si="41"/>
        <v>7:4000102</v>
      </c>
      <c r="C499" s="1">
        <v>7</v>
      </c>
      <c r="D499" s="4">
        <v>4000102</v>
      </c>
      <c r="E499" s="3" t="s">
        <v>1884</v>
      </c>
      <c r="F499" s="3"/>
      <c r="G499" s="1">
        <v>676.35</v>
      </c>
      <c r="H499" s="1">
        <f t="shared" si="37"/>
        <v>676.35</v>
      </c>
      <c r="I499" s="1" t="str">
        <f t="shared" si="38"/>
        <v/>
      </c>
      <c r="J499" s="1" t="str">
        <f>_xlfn.IFNA(INDEX([1]历练产出!$Z:$Z,MATCH(B499,[1]历练产出!$AB:$AB,0)),"")</f>
        <v/>
      </c>
      <c r="K499" s="1" t="str">
        <f>_xlfn.IFNA(INDEX([1]洞天福地产出!$H:$H,MATCH(B499,[1]洞天福地产出!$K:$K,0)),"")</f>
        <v/>
      </c>
      <c r="L499" s="1" t="str">
        <f t="shared" si="39"/>
        <v/>
      </c>
      <c r="M499" s="4">
        <f t="shared" si="40"/>
        <v>0</v>
      </c>
    </row>
    <row r="500" ht="30" spans="1:13">
      <c r="A500" s="4"/>
      <c r="B500" t="str">
        <f t="shared" si="41"/>
        <v>7:4000103</v>
      </c>
      <c r="C500" s="1">
        <v>7</v>
      </c>
      <c r="D500" s="4">
        <v>4000103</v>
      </c>
      <c r="E500" s="3" t="s">
        <v>1884</v>
      </c>
      <c r="F500" s="3"/>
      <c r="G500" s="1">
        <v>708.75</v>
      </c>
      <c r="H500" s="1">
        <f t="shared" si="37"/>
        <v>708.75</v>
      </c>
      <c r="I500" s="1" t="str">
        <f t="shared" si="38"/>
        <v/>
      </c>
      <c r="J500" s="1" t="str">
        <f>_xlfn.IFNA(INDEX([1]历练产出!$Z:$Z,MATCH(B500,[1]历练产出!$AB:$AB,0)),"")</f>
        <v/>
      </c>
      <c r="K500" s="1" t="str">
        <f>_xlfn.IFNA(INDEX([1]洞天福地产出!$H:$H,MATCH(B500,[1]洞天福地产出!$K:$K,0)),"")</f>
        <v/>
      </c>
      <c r="L500" s="1" t="str">
        <f t="shared" si="39"/>
        <v/>
      </c>
      <c r="M500" s="4">
        <f t="shared" si="40"/>
        <v>0</v>
      </c>
    </row>
    <row r="501" ht="30" spans="1:13">
      <c r="A501" s="4"/>
      <c r="B501" t="str">
        <f t="shared" si="41"/>
        <v>7:4000104</v>
      </c>
      <c r="C501" s="1">
        <v>7</v>
      </c>
      <c r="D501" s="4">
        <v>4000104</v>
      </c>
      <c r="E501" s="3" t="s">
        <v>1884</v>
      </c>
      <c r="F501" s="3"/>
      <c r="G501" s="1">
        <v>753.3</v>
      </c>
      <c r="H501" s="1">
        <f t="shared" si="37"/>
        <v>753.3</v>
      </c>
      <c r="I501" s="1" t="str">
        <f t="shared" si="38"/>
        <v/>
      </c>
      <c r="J501" s="1" t="str">
        <f>_xlfn.IFNA(INDEX([1]历练产出!$Z:$Z,MATCH(B501,[1]历练产出!$AB:$AB,0)),"")</f>
        <v/>
      </c>
      <c r="K501" s="1" t="str">
        <f>_xlfn.IFNA(INDEX([1]洞天福地产出!$H:$H,MATCH(B501,[1]洞天福地产出!$K:$K,0)),"")</f>
        <v/>
      </c>
      <c r="L501" s="1" t="str">
        <f t="shared" si="39"/>
        <v/>
      </c>
      <c r="M501" s="4">
        <f t="shared" si="40"/>
        <v>0</v>
      </c>
    </row>
    <row r="502" ht="30" spans="1:13">
      <c r="A502" s="4"/>
      <c r="B502" t="str">
        <f t="shared" si="41"/>
        <v>7:4000105</v>
      </c>
      <c r="C502" s="1">
        <v>7</v>
      </c>
      <c r="D502" s="4">
        <v>4000105</v>
      </c>
      <c r="E502" s="3" t="s">
        <v>1884</v>
      </c>
      <c r="F502" s="3"/>
      <c r="G502" s="1">
        <v>810</v>
      </c>
      <c r="H502" s="1">
        <f t="shared" si="37"/>
        <v>810</v>
      </c>
      <c r="I502" s="1" t="str">
        <f t="shared" si="38"/>
        <v/>
      </c>
      <c r="J502" s="1" t="str">
        <f>_xlfn.IFNA(INDEX([1]历练产出!$Z:$Z,MATCH(B502,[1]历练产出!$AB:$AB,0)),"")</f>
        <v/>
      </c>
      <c r="K502" s="1" t="str">
        <f>_xlfn.IFNA(INDEX([1]洞天福地产出!$H:$H,MATCH(B502,[1]洞天福地产出!$K:$K,0)),"")</f>
        <v/>
      </c>
      <c r="L502" s="1" t="str">
        <f t="shared" si="39"/>
        <v/>
      </c>
      <c r="M502" s="4">
        <f t="shared" si="40"/>
        <v>0</v>
      </c>
    </row>
    <row r="503" ht="30" spans="1:13">
      <c r="A503" s="4"/>
      <c r="B503" t="str">
        <f t="shared" si="41"/>
        <v>7:4000106</v>
      </c>
      <c r="C503" s="1">
        <v>7</v>
      </c>
      <c r="D503" s="4">
        <v>4000106</v>
      </c>
      <c r="E503" s="3" t="s">
        <v>1884</v>
      </c>
      <c r="F503" s="3"/>
      <c r="G503" s="1">
        <v>878.85</v>
      </c>
      <c r="H503" s="1">
        <f t="shared" si="37"/>
        <v>878.85</v>
      </c>
      <c r="I503" s="1" t="str">
        <f t="shared" si="38"/>
        <v/>
      </c>
      <c r="J503" s="1" t="str">
        <f>_xlfn.IFNA(INDEX([1]历练产出!$Z:$Z,MATCH(B503,[1]历练产出!$AB:$AB,0)),"")</f>
        <v/>
      </c>
      <c r="K503" s="1" t="str">
        <f>_xlfn.IFNA(INDEX([1]洞天福地产出!$H:$H,MATCH(B503,[1]洞天福地产出!$K:$K,0)),"")</f>
        <v/>
      </c>
      <c r="L503" s="1" t="str">
        <f t="shared" si="39"/>
        <v/>
      </c>
      <c r="M503" s="4">
        <f t="shared" si="40"/>
        <v>0</v>
      </c>
    </row>
    <row r="504" ht="30" spans="1:13">
      <c r="A504" s="4"/>
      <c r="B504" t="str">
        <f t="shared" si="41"/>
        <v>7:4000107</v>
      </c>
      <c r="C504" s="1">
        <v>7</v>
      </c>
      <c r="D504" s="4">
        <v>4000107</v>
      </c>
      <c r="E504" s="3" t="s">
        <v>1884</v>
      </c>
      <c r="F504" s="3"/>
      <c r="G504" s="1">
        <v>959.85</v>
      </c>
      <c r="H504" s="1">
        <f t="shared" si="37"/>
        <v>959.85</v>
      </c>
      <c r="I504" s="1" t="str">
        <f t="shared" si="38"/>
        <v/>
      </c>
      <c r="J504" s="1" t="str">
        <f>_xlfn.IFNA(INDEX([1]历练产出!$Z:$Z,MATCH(B504,[1]历练产出!$AB:$AB,0)),"")</f>
        <v/>
      </c>
      <c r="K504" s="1" t="str">
        <f>_xlfn.IFNA(INDEX([1]洞天福地产出!$H:$H,MATCH(B504,[1]洞天福地产出!$K:$K,0)),"")</f>
        <v/>
      </c>
      <c r="L504" s="1" t="str">
        <f t="shared" si="39"/>
        <v/>
      </c>
      <c r="M504" s="4">
        <f t="shared" si="40"/>
        <v>0</v>
      </c>
    </row>
    <row r="505" ht="30" spans="1:13">
      <c r="A505" s="4"/>
      <c r="B505" t="str">
        <f t="shared" si="41"/>
        <v>7:4000108</v>
      </c>
      <c r="C505" s="1">
        <v>7</v>
      </c>
      <c r="D505" s="4">
        <v>4000108</v>
      </c>
      <c r="E505" s="3" t="s">
        <v>1884</v>
      </c>
      <c r="F505" s="3"/>
      <c r="G505" s="1">
        <v>1053</v>
      </c>
      <c r="H505" s="1">
        <f t="shared" si="37"/>
        <v>1053</v>
      </c>
      <c r="I505" s="1" t="str">
        <f t="shared" si="38"/>
        <v/>
      </c>
      <c r="J505" s="1" t="str">
        <f>_xlfn.IFNA(INDEX([1]历练产出!$Z:$Z,MATCH(B505,[1]历练产出!$AB:$AB,0)),"")</f>
        <v/>
      </c>
      <c r="K505" s="1" t="str">
        <f>_xlfn.IFNA(INDEX([1]洞天福地产出!$H:$H,MATCH(B505,[1]洞天福地产出!$K:$K,0)),"")</f>
        <v/>
      </c>
      <c r="L505" s="1" t="str">
        <f t="shared" si="39"/>
        <v/>
      </c>
      <c r="M505" s="4">
        <f t="shared" si="40"/>
        <v>0</v>
      </c>
    </row>
    <row r="506" ht="30" spans="1:13">
      <c r="A506" s="4"/>
      <c r="B506" t="str">
        <f t="shared" si="41"/>
        <v>7:4000109</v>
      </c>
      <c r="C506" s="1">
        <v>7</v>
      </c>
      <c r="D506" s="4">
        <v>4000109</v>
      </c>
      <c r="E506" s="3" t="s">
        <v>1884</v>
      </c>
      <c r="F506" s="3"/>
      <c r="G506" s="1">
        <v>1806.3</v>
      </c>
      <c r="H506" s="1">
        <f t="shared" si="37"/>
        <v>1806.3</v>
      </c>
      <c r="I506" s="1" t="str">
        <f t="shared" si="38"/>
        <v/>
      </c>
      <c r="J506" s="1" t="str">
        <f>_xlfn.IFNA(INDEX([1]历练产出!$Z:$Z,MATCH(B506,[1]历练产出!$AB:$AB,0)),"")</f>
        <v/>
      </c>
      <c r="K506" s="1" t="str">
        <f>_xlfn.IFNA(INDEX([1]洞天福地产出!$H:$H,MATCH(B506,[1]洞天福地产出!$K:$K,0)),"")</f>
        <v/>
      </c>
      <c r="L506" s="1" t="str">
        <f t="shared" si="39"/>
        <v/>
      </c>
      <c r="M506" s="4">
        <f t="shared" si="40"/>
        <v>0</v>
      </c>
    </row>
    <row r="507" ht="30" spans="1:13">
      <c r="A507" s="4"/>
      <c r="B507" t="str">
        <f t="shared" si="41"/>
        <v>7:4000110</v>
      </c>
      <c r="C507" s="1">
        <v>7</v>
      </c>
      <c r="D507" s="4">
        <v>4000110</v>
      </c>
      <c r="E507" s="3" t="s">
        <v>1884</v>
      </c>
      <c r="F507" s="3"/>
      <c r="G507" s="1">
        <v>1923.75</v>
      </c>
      <c r="H507" s="1">
        <f t="shared" si="37"/>
        <v>1923.75</v>
      </c>
      <c r="I507" s="1" t="str">
        <f t="shared" si="38"/>
        <v/>
      </c>
      <c r="J507" s="1" t="str">
        <f>_xlfn.IFNA(INDEX([1]历练产出!$Z:$Z,MATCH(B507,[1]历练产出!$AB:$AB,0)),"")</f>
        <v/>
      </c>
      <c r="K507" s="1" t="str">
        <f>_xlfn.IFNA(INDEX([1]洞天福地产出!$H:$H,MATCH(B507,[1]洞天福地产出!$K:$K,0)),"")</f>
        <v/>
      </c>
      <c r="L507" s="1" t="str">
        <f t="shared" si="39"/>
        <v/>
      </c>
      <c r="M507" s="4">
        <f t="shared" si="40"/>
        <v>0</v>
      </c>
    </row>
    <row r="508" ht="30" spans="1:13">
      <c r="A508" s="4"/>
      <c r="B508" t="str">
        <f t="shared" si="41"/>
        <v>7:4000111</v>
      </c>
      <c r="C508" s="1">
        <v>7</v>
      </c>
      <c r="D508" s="4">
        <v>4000111</v>
      </c>
      <c r="E508" s="3" t="s">
        <v>1884</v>
      </c>
      <c r="F508" s="3"/>
      <c r="G508" s="1">
        <v>2053.35</v>
      </c>
      <c r="H508" s="1">
        <f t="shared" si="37"/>
        <v>2053.35</v>
      </c>
      <c r="I508" s="1" t="str">
        <f t="shared" si="38"/>
        <v/>
      </c>
      <c r="J508" s="1" t="str">
        <f>_xlfn.IFNA(INDEX([1]历练产出!$Z:$Z,MATCH(B508,[1]历练产出!$AB:$AB,0)),"")</f>
        <v/>
      </c>
      <c r="K508" s="1" t="str">
        <f>_xlfn.IFNA(INDEX([1]洞天福地产出!$H:$H,MATCH(B508,[1]洞天福地产出!$K:$K,0)),"")</f>
        <v/>
      </c>
      <c r="L508" s="1" t="str">
        <f t="shared" si="39"/>
        <v/>
      </c>
      <c r="M508" s="4">
        <f t="shared" si="40"/>
        <v>0</v>
      </c>
    </row>
    <row r="509" ht="30" spans="1:13">
      <c r="A509" s="4"/>
      <c r="B509" t="str">
        <f t="shared" si="41"/>
        <v>7:4000112</v>
      </c>
      <c r="C509" s="1">
        <v>7</v>
      </c>
      <c r="D509" s="4">
        <v>4000112</v>
      </c>
      <c r="E509" s="3" t="s">
        <v>1884</v>
      </c>
      <c r="F509" s="3"/>
      <c r="G509" s="1">
        <v>2195.1</v>
      </c>
      <c r="H509" s="1">
        <f t="shared" si="37"/>
        <v>2195.1</v>
      </c>
      <c r="I509" s="1" t="str">
        <f t="shared" si="38"/>
        <v/>
      </c>
      <c r="J509" s="1" t="str">
        <f>_xlfn.IFNA(INDEX([1]历练产出!$Z:$Z,MATCH(B509,[1]历练产出!$AB:$AB,0)),"")</f>
        <v/>
      </c>
      <c r="K509" s="1" t="str">
        <f>_xlfn.IFNA(INDEX([1]洞天福地产出!$H:$H,MATCH(B509,[1]洞天福地产出!$K:$K,0)),"")</f>
        <v/>
      </c>
      <c r="L509" s="1" t="str">
        <f t="shared" si="39"/>
        <v/>
      </c>
      <c r="M509" s="4">
        <f t="shared" si="40"/>
        <v>0</v>
      </c>
    </row>
    <row r="510" ht="30" spans="1:13">
      <c r="A510" s="4"/>
      <c r="B510" t="str">
        <f t="shared" si="41"/>
        <v>7:4000113</v>
      </c>
      <c r="C510" s="1">
        <v>7</v>
      </c>
      <c r="D510" s="4">
        <v>4000113</v>
      </c>
      <c r="E510" s="3" t="s">
        <v>1884</v>
      </c>
      <c r="F510" s="3"/>
      <c r="G510" s="1">
        <v>2349</v>
      </c>
      <c r="H510" s="1">
        <f t="shared" si="37"/>
        <v>2349</v>
      </c>
      <c r="I510" s="1" t="str">
        <f t="shared" si="38"/>
        <v/>
      </c>
      <c r="J510" s="1" t="str">
        <f>_xlfn.IFNA(INDEX([1]历练产出!$Z:$Z,MATCH(B510,[1]历练产出!$AB:$AB,0)),"")</f>
        <v/>
      </c>
      <c r="K510" s="1" t="str">
        <f>_xlfn.IFNA(INDEX([1]洞天福地产出!$H:$H,MATCH(B510,[1]洞天福地产出!$K:$K,0)),"")</f>
        <v/>
      </c>
      <c r="L510" s="1" t="str">
        <f t="shared" si="39"/>
        <v/>
      </c>
      <c r="M510" s="4">
        <f t="shared" si="40"/>
        <v>0</v>
      </c>
    </row>
    <row r="511" ht="30" spans="1:13">
      <c r="A511" s="4"/>
      <c r="B511" t="str">
        <f t="shared" si="41"/>
        <v>7:4000114</v>
      </c>
      <c r="C511" s="1">
        <v>7</v>
      </c>
      <c r="D511" s="4">
        <v>4000114</v>
      </c>
      <c r="E511" s="3" t="s">
        <v>1884</v>
      </c>
      <c r="F511" s="3"/>
      <c r="G511" s="1">
        <v>2515.05</v>
      </c>
      <c r="H511" s="1">
        <f t="shared" si="37"/>
        <v>2515.05</v>
      </c>
      <c r="I511" s="1" t="str">
        <f t="shared" si="38"/>
        <v/>
      </c>
      <c r="J511" s="1" t="str">
        <f>_xlfn.IFNA(INDEX([1]历练产出!$Z:$Z,MATCH(B511,[1]历练产出!$AB:$AB,0)),"")</f>
        <v/>
      </c>
      <c r="K511" s="1" t="str">
        <f>_xlfn.IFNA(INDEX([1]洞天福地产出!$H:$H,MATCH(B511,[1]洞天福地产出!$K:$K,0)),"")</f>
        <v/>
      </c>
      <c r="L511" s="1" t="str">
        <f t="shared" si="39"/>
        <v/>
      </c>
      <c r="M511" s="4">
        <f t="shared" si="40"/>
        <v>0</v>
      </c>
    </row>
    <row r="512" ht="30" spans="1:13">
      <c r="A512" s="4"/>
      <c r="B512" t="str">
        <f t="shared" si="41"/>
        <v>7:4000115</v>
      </c>
      <c r="C512" s="1">
        <v>7</v>
      </c>
      <c r="D512" s="4">
        <v>4000115</v>
      </c>
      <c r="E512" s="3" t="s">
        <v>1884</v>
      </c>
      <c r="F512" s="3"/>
      <c r="G512" s="1">
        <v>2693.25</v>
      </c>
      <c r="H512" s="1">
        <f t="shared" si="37"/>
        <v>2693.25</v>
      </c>
      <c r="I512" s="1" t="str">
        <f t="shared" si="38"/>
        <v/>
      </c>
      <c r="J512" s="1" t="str">
        <f>_xlfn.IFNA(INDEX([1]历练产出!$Z:$Z,MATCH(B512,[1]历练产出!$AB:$AB,0)),"")</f>
        <v/>
      </c>
      <c r="K512" s="1" t="str">
        <f>_xlfn.IFNA(INDEX([1]洞天福地产出!$H:$H,MATCH(B512,[1]洞天福地产出!$K:$K,0)),"")</f>
        <v/>
      </c>
      <c r="L512" s="1" t="str">
        <f t="shared" si="39"/>
        <v/>
      </c>
      <c r="M512" s="4">
        <f t="shared" si="40"/>
        <v>0</v>
      </c>
    </row>
    <row r="513" ht="30" spans="1:13">
      <c r="A513" s="4"/>
      <c r="B513" t="str">
        <f t="shared" si="41"/>
        <v>7:4000116</v>
      </c>
      <c r="C513" s="1">
        <v>7</v>
      </c>
      <c r="D513" s="4">
        <v>4000116</v>
      </c>
      <c r="E513" s="3" t="s">
        <v>1884</v>
      </c>
      <c r="F513" s="3"/>
      <c r="G513" s="1">
        <v>2883.6</v>
      </c>
      <c r="H513" s="1">
        <f t="shared" si="37"/>
        <v>2883.6</v>
      </c>
      <c r="I513" s="1" t="str">
        <f t="shared" si="38"/>
        <v/>
      </c>
      <c r="J513" s="1" t="str">
        <f>_xlfn.IFNA(INDEX([1]历练产出!$Z:$Z,MATCH(B513,[1]历练产出!$AB:$AB,0)),"")</f>
        <v/>
      </c>
      <c r="K513" s="1" t="str">
        <f>_xlfn.IFNA(INDEX([1]洞天福地产出!$H:$H,MATCH(B513,[1]洞天福地产出!$K:$K,0)),"")</f>
        <v/>
      </c>
      <c r="L513" s="1" t="str">
        <f t="shared" si="39"/>
        <v/>
      </c>
      <c r="M513" s="4">
        <f t="shared" si="40"/>
        <v>0</v>
      </c>
    </row>
    <row r="514" ht="30" spans="1:13">
      <c r="A514" s="4"/>
      <c r="B514" t="str">
        <f t="shared" si="41"/>
        <v>7:4000117</v>
      </c>
      <c r="C514" s="1">
        <v>7</v>
      </c>
      <c r="D514" s="4">
        <v>4000117</v>
      </c>
      <c r="E514" s="3" t="s">
        <v>1884</v>
      </c>
      <c r="F514" s="3"/>
      <c r="G514" s="1">
        <v>3086.1</v>
      </c>
      <c r="H514" s="1">
        <f t="shared" si="37"/>
        <v>3086.1</v>
      </c>
      <c r="I514" s="1" t="str">
        <f t="shared" si="38"/>
        <v/>
      </c>
      <c r="J514" s="1" t="str">
        <f>_xlfn.IFNA(INDEX([1]历练产出!$Z:$Z,MATCH(B514,[1]历练产出!$AB:$AB,0)),"")</f>
        <v/>
      </c>
      <c r="K514" s="1" t="str">
        <f>_xlfn.IFNA(INDEX([1]洞天福地产出!$H:$H,MATCH(B514,[1]洞天福地产出!$K:$K,0)),"")</f>
        <v/>
      </c>
      <c r="L514" s="1" t="str">
        <f t="shared" si="39"/>
        <v/>
      </c>
      <c r="M514" s="4">
        <f t="shared" si="40"/>
        <v>0</v>
      </c>
    </row>
    <row r="515" ht="30" spans="1:13">
      <c r="A515" s="4"/>
      <c r="B515" t="str">
        <f t="shared" si="41"/>
        <v>7:4000118</v>
      </c>
      <c r="C515" s="1">
        <v>7</v>
      </c>
      <c r="D515" s="4">
        <v>4000118</v>
      </c>
      <c r="E515" s="3" t="s">
        <v>1884</v>
      </c>
      <c r="F515" s="3"/>
      <c r="G515" s="1">
        <v>3300.75</v>
      </c>
      <c r="H515" s="1">
        <f t="shared" si="37"/>
        <v>3300.75</v>
      </c>
      <c r="I515" s="1" t="str">
        <f t="shared" si="38"/>
        <v/>
      </c>
      <c r="J515" s="1" t="str">
        <f>_xlfn.IFNA(INDEX([1]历练产出!$Z:$Z,MATCH(B515,[1]历练产出!$AB:$AB,0)),"")</f>
        <v/>
      </c>
      <c r="K515" s="1" t="str">
        <f>_xlfn.IFNA(INDEX([1]洞天福地产出!$H:$H,MATCH(B515,[1]洞天福地产出!$K:$K,0)),"")</f>
        <v/>
      </c>
      <c r="L515" s="1" t="str">
        <f t="shared" si="39"/>
        <v/>
      </c>
      <c r="M515" s="4">
        <f t="shared" si="40"/>
        <v>0</v>
      </c>
    </row>
    <row r="516" ht="30" spans="1:13">
      <c r="A516" s="4"/>
      <c r="B516" t="str">
        <f t="shared" si="41"/>
        <v>7:4000119</v>
      </c>
      <c r="C516" s="1">
        <v>7</v>
      </c>
      <c r="D516" s="4">
        <v>4000119</v>
      </c>
      <c r="E516" s="3" t="s">
        <v>1884</v>
      </c>
      <c r="F516" s="3"/>
      <c r="G516" s="1">
        <v>4823.55</v>
      </c>
      <c r="H516" s="1">
        <f t="shared" ref="H516:H579" si="42">IF(I516="",G516,I516)</f>
        <v>4823.55</v>
      </c>
      <c r="I516" s="1" t="str">
        <f t="shared" ref="I516:I579" si="43">IFERROR(100/L516,"")</f>
        <v/>
      </c>
      <c r="J516" s="1" t="str">
        <f>_xlfn.IFNA(INDEX([1]历练产出!$Z:$Z,MATCH(B516,[1]历练产出!$AB:$AB,0)),"")</f>
        <v/>
      </c>
      <c r="K516" s="1" t="str">
        <f>_xlfn.IFNA(INDEX([1]洞天福地产出!$H:$H,MATCH(B516,[1]洞天福地产出!$K:$K,0)),"")</f>
        <v/>
      </c>
      <c r="L516" s="1" t="str">
        <f t="shared" ref="L516:L579" si="44">IFERROR(J516+K516,"")</f>
        <v/>
      </c>
      <c r="M516" s="4">
        <f t="shared" ref="M516:M579" si="45">IF(I516="",0,1)</f>
        <v>0</v>
      </c>
    </row>
    <row r="517" ht="30" spans="1:13">
      <c r="A517" s="4"/>
      <c r="B517" t="str">
        <f t="shared" si="41"/>
        <v>7:4000120</v>
      </c>
      <c r="C517" s="1">
        <v>7</v>
      </c>
      <c r="D517" s="4">
        <v>4000120</v>
      </c>
      <c r="E517" s="3" t="s">
        <v>1884</v>
      </c>
      <c r="F517" s="3"/>
      <c r="G517" s="1">
        <v>5062.5</v>
      </c>
      <c r="H517" s="1">
        <f t="shared" si="42"/>
        <v>5062.5</v>
      </c>
      <c r="I517" s="1" t="str">
        <f t="shared" si="43"/>
        <v/>
      </c>
      <c r="J517" s="1" t="str">
        <f>_xlfn.IFNA(INDEX([1]历练产出!$Z:$Z,MATCH(B517,[1]历练产出!$AB:$AB,0)),"")</f>
        <v/>
      </c>
      <c r="K517" s="1" t="str">
        <f>_xlfn.IFNA(INDEX([1]洞天福地产出!$H:$H,MATCH(B517,[1]洞天福地产出!$K:$K,0)),"")</f>
        <v/>
      </c>
      <c r="L517" s="1" t="str">
        <f t="shared" si="44"/>
        <v/>
      </c>
      <c r="M517" s="4">
        <f t="shared" si="45"/>
        <v>0</v>
      </c>
    </row>
    <row r="518" ht="30" spans="1:13">
      <c r="A518" s="4"/>
      <c r="B518" t="str">
        <f t="shared" si="41"/>
        <v>7:4000121</v>
      </c>
      <c r="C518" s="1">
        <v>7</v>
      </c>
      <c r="D518" s="4">
        <v>4000121</v>
      </c>
      <c r="E518" s="3" t="s">
        <v>1884</v>
      </c>
      <c r="F518" s="3"/>
      <c r="G518" s="1">
        <v>5313.6</v>
      </c>
      <c r="H518" s="1">
        <f t="shared" si="42"/>
        <v>5313.6</v>
      </c>
      <c r="I518" s="1" t="str">
        <f t="shared" si="43"/>
        <v/>
      </c>
      <c r="J518" s="1" t="str">
        <f>_xlfn.IFNA(INDEX([1]历练产出!$Z:$Z,MATCH(B518,[1]历练产出!$AB:$AB,0)),"")</f>
        <v/>
      </c>
      <c r="K518" s="1" t="str">
        <f>_xlfn.IFNA(INDEX([1]洞天福地产出!$H:$H,MATCH(B518,[1]洞天福地产出!$K:$K,0)),"")</f>
        <v/>
      </c>
      <c r="L518" s="1" t="str">
        <f t="shared" si="44"/>
        <v/>
      </c>
      <c r="M518" s="4">
        <f t="shared" si="45"/>
        <v>0</v>
      </c>
    </row>
    <row r="519" ht="30" spans="1:13">
      <c r="A519" s="4"/>
      <c r="B519" t="str">
        <f t="shared" si="41"/>
        <v>7:4000122</v>
      </c>
      <c r="C519" s="1">
        <v>7</v>
      </c>
      <c r="D519" s="4">
        <v>4000122</v>
      </c>
      <c r="E519" s="3" t="s">
        <v>1884</v>
      </c>
      <c r="F519" s="3"/>
      <c r="G519" s="1">
        <v>5576.85</v>
      </c>
      <c r="H519" s="1">
        <f t="shared" si="42"/>
        <v>5576.85</v>
      </c>
      <c r="I519" s="1" t="str">
        <f t="shared" si="43"/>
        <v/>
      </c>
      <c r="J519" s="1" t="str">
        <f>_xlfn.IFNA(INDEX([1]历练产出!$Z:$Z,MATCH(B519,[1]历练产出!$AB:$AB,0)),"")</f>
        <v/>
      </c>
      <c r="K519" s="1" t="str">
        <f>_xlfn.IFNA(INDEX([1]洞天福地产出!$H:$H,MATCH(B519,[1]洞天福地产出!$K:$K,0)),"")</f>
        <v/>
      </c>
      <c r="L519" s="1" t="str">
        <f t="shared" si="44"/>
        <v/>
      </c>
      <c r="M519" s="4">
        <f t="shared" si="45"/>
        <v>0</v>
      </c>
    </row>
    <row r="520" ht="30" spans="1:13">
      <c r="A520" s="4"/>
      <c r="B520" t="str">
        <f t="shared" si="41"/>
        <v>7:4000123</v>
      </c>
      <c r="C520" s="1">
        <v>7</v>
      </c>
      <c r="D520" s="4">
        <v>4000123</v>
      </c>
      <c r="E520" s="3" t="s">
        <v>1884</v>
      </c>
      <c r="F520" s="3"/>
      <c r="G520" s="1">
        <v>5852.25</v>
      </c>
      <c r="H520" s="1">
        <f t="shared" si="42"/>
        <v>5852.25</v>
      </c>
      <c r="I520" s="1" t="str">
        <f t="shared" si="43"/>
        <v/>
      </c>
      <c r="J520" s="1" t="str">
        <f>_xlfn.IFNA(INDEX([1]历练产出!$Z:$Z,MATCH(B520,[1]历练产出!$AB:$AB,0)),"")</f>
        <v/>
      </c>
      <c r="K520" s="1" t="str">
        <f>_xlfn.IFNA(INDEX([1]洞天福地产出!$H:$H,MATCH(B520,[1]洞天福地产出!$K:$K,0)),"")</f>
        <v/>
      </c>
      <c r="L520" s="1" t="str">
        <f t="shared" si="44"/>
        <v/>
      </c>
      <c r="M520" s="4">
        <f t="shared" si="45"/>
        <v>0</v>
      </c>
    </row>
    <row r="521" ht="30" spans="1:13">
      <c r="A521" s="4"/>
      <c r="B521" t="str">
        <f t="shared" si="41"/>
        <v>7:4000124</v>
      </c>
      <c r="C521" s="1">
        <v>7</v>
      </c>
      <c r="D521" s="4">
        <v>4000124</v>
      </c>
      <c r="E521" s="3" t="s">
        <v>1884</v>
      </c>
      <c r="F521" s="3"/>
      <c r="G521" s="1">
        <v>6139.8</v>
      </c>
      <c r="H521" s="1">
        <f t="shared" si="42"/>
        <v>6139.8</v>
      </c>
      <c r="I521" s="1" t="str">
        <f t="shared" si="43"/>
        <v/>
      </c>
      <c r="J521" s="1" t="str">
        <f>_xlfn.IFNA(INDEX([1]历练产出!$Z:$Z,MATCH(B521,[1]历练产出!$AB:$AB,0)),"")</f>
        <v/>
      </c>
      <c r="K521" s="1" t="str">
        <f>_xlfn.IFNA(INDEX([1]洞天福地产出!$H:$H,MATCH(B521,[1]洞天福地产出!$K:$K,0)),"")</f>
        <v/>
      </c>
      <c r="L521" s="1" t="str">
        <f t="shared" si="44"/>
        <v/>
      </c>
      <c r="M521" s="4">
        <f t="shared" si="45"/>
        <v>0</v>
      </c>
    </row>
    <row r="522" ht="30" spans="1:13">
      <c r="A522" s="4"/>
      <c r="B522" t="str">
        <f t="shared" si="41"/>
        <v>7:4000125</v>
      </c>
      <c r="C522" s="1">
        <v>7</v>
      </c>
      <c r="D522" s="4">
        <v>4000125</v>
      </c>
      <c r="E522" s="3" t="s">
        <v>1884</v>
      </c>
      <c r="F522" s="3"/>
      <c r="G522" s="1">
        <v>6439.5</v>
      </c>
      <c r="H522" s="1">
        <f t="shared" si="42"/>
        <v>6439.5</v>
      </c>
      <c r="I522" s="1" t="str">
        <f t="shared" si="43"/>
        <v/>
      </c>
      <c r="J522" s="1" t="str">
        <f>_xlfn.IFNA(INDEX([1]历练产出!$Z:$Z,MATCH(B522,[1]历练产出!$AB:$AB,0)),"")</f>
        <v/>
      </c>
      <c r="K522" s="1" t="str">
        <f>_xlfn.IFNA(INDEX([1]洞天福地产出!$H:$H,MATCH(B522,[1]洞天福地产出!$K:$K,0)),"")</f>
        <v/>
      </c>
      <c r="L522" s="1" t="str">
        <f t="shared" si="44"/>
        <v/>
      </c>
      <c r="M522" s="4">
        <f t="shared" si="45"/>
        <v>0</v>
      </c>
    </row>
    <row r="523" ht="30" spans="1:13">
      <c r="A523" s="4"/>
      <c r="B523" t="str">
        <f t="shared" si="41"/>
        <v>7:4000126</v>
      </c>
      <c r="C523" s="1">
        <v>7</v>
      </c>
      <c r="D523" s="4">
        <v>4000126</v>
      </c>
      <c r="E523" s="3" t="s">
        <v>1884</v>
      </c>
      <c r="F523" s="3"/>
      <c r="G523" s="1">
        <v>6751.35</v>
      </c>
      <c r="H523" s="1">
        <f t="shared" si="42"/>
        <v>6751.35</v>
      </c>
      <c r="I523" s="1" t="str">
        <f t="shared" si="43"/>
        <v/>
      </c>
      <c r="J523" s="1" t="str">
        <f>_xlfn.IFNA(INDEX([1]历练产出!$Z:$Z,MATCH(B523,[1]历练产出!$AB:$AB,0)),"")</f>
        <v/>
      </c>
      <c r="K523" s="1" t="str">
        <f>_xlfn.IFNA(INDEX([1]洞天福地产出!$H:$H,MATCH(B523,[1]洞天福地产出!$K:$K,0)),"")</f>
        <v/>
      </c>
      <c r="L523" s="1" t="str">
        <f t="shared" si="44"/>
        <v/>
      </c>
      <c r="M523" s="4">
        <f t="shared" si="45"/>
        <v>0</v>
      </c>
    </row>
    <row r="524" ht="30" spans="1:13">
      <c r="A524" s="4"/>
      <c r="B524" t="str">
        <f t="shared" si="41"/>
        <v>7:4000127</v>
      </c>
      <c r="C524" s="1">
        <v>7</v>
      </c>
      <c r="D524" s="4">
        <v>4000127</v>
      </c>
      <c r="E524" s="3" t="s">
        <v>1884</v>
      </c>
      <c r="F524" s="3"/>
      <c r="G524" s="1">
        <v>7075.35</v>
      </c>
      <c r="H524" s="1">
        <f t="shared" si="42"/>
        <v>7075.35</v>
      </c>
      <c r="I524" s="1" t="str">
        <f t="shared" si="43"/>
        <v/>
      </c>
      <c r="J524" s="1" t="str">
        <f>_xlfn.IFNA(INDEX([1]历练产出!$Z:$Z,MATCH(B524,[1]历练产出!$AB:$AB,0)),"")</f>
        <v/>
      </c>
      <c r="K524" s="1" t="str">
        <f>_xlfn.IFNA(INDEX([1]洞天福地产出!$H:$H,MATCH(B524,[1]洞天福地产出!$K:$K,0)),"")</f>
        <v/>
      </c>
      <c r="L524" s="1" t="str">
        <f t="shared" si="44"/>
        <v/>
      </c>
      <c r="M524" s="4">
        <f t="shared" si="45"/>
        <v>0</v>
      </c>
    </row>
    <row r="525" ht="30" spans="1:13">
      <c r="A525" s="4"/>
      <c r="B525" t="str">
        <f t="shared" si="41"/>
        <v>7:4000128</v>
      </c>
      <c r="C525" s="1">
        <v>7</v>
      </c>
      <c r="D525" s="4">
        <v>4000128</v>
      </c>
      <c r="E525" s="3" t="s">
        <v>1884</v>
      </c>
      <c r="F525" s="3"/>
      <c r="G525" s="1">
        <v>7411.5</v>
      </c>
      <c r="H525" s="1">
        <f t="shared" si="42"/>
        <v>7411.5</v>
      </c>
      <c r="I525" s="1" t="str">
        <f t="shared" si="43"/>
        <v/>
      </c>
      <c r="J525" s="1" t="str">
        <f>_xlfn.IFNA(INDEX([1]历练产出!$Z:$Z,MATCH(B525,[1]历练产出!$AB:$AB,0)),"")</f>
        <v/>
      </c>
      <c r="K525" s="1" t="str">
        <f>_xlfn.IFNA(INDEX([1]洞天福地产出!$H:$H,MATCH(B525,[1]洞天福地产出!$K:$K,0)),"")</f>
        <v/>
      </c>
      <c r="L525" s="1" t="str">
        <f t="shared" si="44"/>
        <v/>
      </c>
      <c r="M525" s="4">
        <f t="shared" si="45"/>
        <v>0</v>
      </c>
    </row>
    <row r="526" ht="30" spans="1:13">
      <c r="A526" s="4"/>
      <c r="B526" t="str">
        <f t="shared" si="41"/>
        <v>7:4000129</v>
      </c>
      <c r="C526" s="1">
        <v>7</v>
      </c>
      <c r="D526" s="4">
        <v>4000129</v>
      </c>
      <c r="E526" s="3" t="s">
        <v>1884</v>
      </c>
      <c r="F526" s="3"/>
      <c r="G526" s="1">
        <v>9703.8</v>
      </c>
      <c r="H526" s="1">
        <f t="shared" si="42"/>
        <v>9703.8</v>
      </c>
      <c r="I526" s="1" t="str">
        <f t="shared" si="43"/>
        <v/>
      </c>
      <c r="J526" s="1" t="str">
        <f>_xlfn.IFNA(INDEX([1]历练产出!$Z:$Z,MATCH(B526,[1]历练产出!$AB:$AB,0)),"")</f>
        <v/>
      </c>
      <c r="K526" s="1" t="str">
        <f>_xlfn.IFNA(INDEX([1]洞天福地产出!$H:$H,MATCH(B526,[1]洞天福地产出!$K:$K,0)),"")</f>
        <v/>
      </c>
      <c r="L526" s="1" t="str">
        <f t="shared" si="44"/>
        <v/>
      </c>
      <c r="M526" s="4">
        <f t="shared" si="45"/>
        <v>0</v>
      </c>
    </row>
    <row r="527" ht="30" spans="1:13">
      <c r="A527" s="4"/>
      <c r="B527" t="str">
        <f t="shared" si="41"/>
        <v>7:4000130</v>
      </c>
      <c r="C527" s="1">
        <v>7</v>
      </c>
      <c r="D527" s="4">
        <v>4000130</v>
      </c>
      <c r="E527" s="3" t="s">
        <v>1884</v>
      </c>
      <c r="F527" s="3"/>
      <c r="G527" s="1">
        <v>10052.1</v>
      </c>
      <c r="H527" s="1">
        <f t="shared" si="42"/>
        <v>10052.1</v>
      </c>
      <c r="I527" s="1" t="str">
        <f t="shared" si="43"/>
        <v/>
      </c>
      <c r="J527" s="1" t="str">
        <f>_xlfn.IFNA(INDEX([1]历练产出!$Z:$Z,MATCH(B527,[1]历练产出!$AB:$AB,0)),"")</f>
        <v/>
      </c>
      <c r="K527" s="1" t="str">
        <f>_xlfn.IFNA(INDEX([1]洞天福地产出!$H:$H,MATCH(B527,[1]洞天福地产出!$K:$K,0)),"")</f>
        <v/>
      </c>
      <c r="L527" s="1" t="str">
        <f t="shared" si="44"/>
        <v/>
      </c>
      <c r="M527" s="4">
        <f t="shared" si="45"/>
        <v>0</v>
      </c>
    </row>
    <row r="528" ht="45" spans="1:13">
      <c r="A528" s="4"/>
      <c r="B528" t="str">
        <f t="shared" si="41"/>
        <v>7:5000101</v>
      </c>
      <c r="C528" s="1">
        <v>7</v>
      </c>
      <c r="D528" s="4">
        <v>5000101</v>
      </c>
      <c r="E528" s="3" t="s">
        <v>433</v>
      </c>
      <c r="F528" s="3"/>
      <c r="G528" s="1">
        <v>656.1</v>
      </c>
      <c r="H528" s="1">
        <f t="shared" si="42"/>
        <v>656.1</v>
      </c>
      <c r="I528" s="1" t="str">
        <f t="shared" si="43"/>
        <v/>
      </c>
      <c r="J528" s="1" t="str">
        <f>_xlfn.IFNA(INDEX([1]历练产出!$Z:$Z,MATCH(B528,[1]历练产出!$AB:$AB,0)),"")</f>
        <v/>
      </c>
      <c r="K528" s="1" t="str">
        <f>_xlfn.IFNA(INDEX([1]洞天福地产出!$H:$H,MATCH(B528,[1]洞天福地产出!$K:$K,0)),"")</f>
        <v/>
      </c>
      <c r="L528" s="1" t="str">
        <f t="shared" si="44"/>
        <v/>
      </c>
      <c r="M528" s="4">
        <f t="shared" si="45"/>
        <v>0</v>
      </c>
    </row>
    <row r="529" ht="45" spans="1:13">
      <c r="A529" s="4"/>
      <c r="B529" t="str">
        <f t="shared" si="41"/>
        <v>7:5000102</v>
      </c>
      <c r="C529" s="1">
        <v>7</v>
      </c>
      <c r="D529" s="4">
        <v>5000102</v>
      </c>
      <c r="E529" s="3" t="s">
        <v>433</v>
      </c>
      <c r="F529" s="3"/>
      <c r="G529" s="1">
        <v>676.35</v>
      </c>
      <c r="H529" s="1">
        <f t="shared" si="42"/>
        <v>676.35</v>
      </c>
      <c r="I529" s="1" t="str">
        <f t="shared" si="43"/>
        <v/>
      </c>
      <c r="J529" s="1" t="str">
        <f>_xlfn.IFNA(INDEX([1]历练产出!$Z:$Z,MATCH(B529,[1]历练产出!$AB:$AB,0)),"")</f>
        <v/>
      </c>
      <c r="K529" s="1" t="str">
        <f>_xlfn.IFNA(INDEX([1]洞天福地产出!$H:$H,MATCH(B529,[1]洞天福地产出!$K:$K,0)),"")</f>
        <v/>
      </c>
      <c r="L529" s="1" t="str">
        <f t="shared" si="44"/>
        <v/>
      </c>
      <c r="M529" s="4">
        <f t="shared" si="45"/>
        <v>0</v>
      </c>
    </row>
    <row r="530" ht="45" spans="1:13">
      <c r="A530" s="4"/>
      <c r="B530" t="str">
        <f t="shared" si="41"/>
        <v>7:5000103</v>
      </c>
      <c r="C530" s="1">
        <v>7</v>
      </c>
      <c r="D530" s="4">
        <v>5000103</v>
      </c>
      <c r="E530" s="3" t="s">
        <v>433</v>
      </c>
      <c r="F530" s="3"/>
      <c r="G530" s="1">
        <v>708.75</v>
      </c>
      <c r="H530" s="1">
        <f t="shared" si="42"/>
        <v>708.75</v>
      </c>
      <c r="I530" s="1" t="str">
        <f t="shared" si="43"/>
        <v/>
      </c>
      <c r="J530" s="1" t="str">
        <f>_xlfn.IFNA(INDEX([1]历练产出!$Z:$Z,MATCH(B530,[1]历练产出!$AB:$AB,0)),"")</f>
        <v/>
      </c>
      <c r="K530" s="1" t="str">
        <f>_xlfn.IFNA(INDEX([1]洞天福地产出!$H:$H,MATCH(B530,[1]洞天福地产出!$K:$K,0)),"")</f>
        <v/>
      </c>
      <c r="L530" s="1" t="str">
        <f t="shared" si="44"/>
        <v/>
      </c>
      <c r="M530" s="4">
        <f t="shared" si="45"/>
        <v>0</v>
      </c>
    </row>
    <row r="531" ht="45" spans="1:13">
      <c r="A531" s="4"/>
      <c r="B531" t="str">
        <f t="shared" si="41"/>
        <v>7:5000104</v>
      </c>
      <c r="C531" s="1">
        <v>7</v>
      </c>
      <c r="D531" s="4">
        <v>5000104</v>
      </c>
      <c r="E531" s="3" t="s">
        <v>433</v>
      </c>
      <c r="F531" s="3"/>
      <c r="G531" s="1">
        <v>753.3</v>
      </c>
      <c r="H531" s="1">
        <f t="shared" si="42"/>
        <v>753.3</v>
      </c>
      <c r="I531" s="1" t="str">
        <f t="shared" si="43"/>
        <v/>
      </c>
      <c r="J531" s="1" t="str">
        <f>_xlfn.IFNA(INDEX([1]历练产出!$Z:$Z,MATCH(B531,[1]历练产出!$AB:$AB,0)),"")</f>
        <v/>
      </c>
      <c r="K531" s="1" t="str">
        <f>_xlfn.IFNA(INDEX([1]洞天福地产出!$H:$H,MATCH(B531,[1]洞天福地产出!$K:$K,0)),"")</f>
        <v/>
      </c>
      <c r="L531" s="1" t="str">
        <f t="shared" si="44"/>
        <v/>
      </c>
      <c r="M531" s="4">
        <f t="shared" si="45"/>
        <v>0</v>
      </c>
    </row>
    <row r="532" ht="45" spans="1:13">
      <c r="A532" s="4"/>
      <c r="B532" t="str">
        <f t="shared" si="41"/>
        <v>7:5000105</v>
      </c>
      <c r="C532" s="1">
        <v>7</v>
      </c>
      <c r="D532" s="4">
        <v>5000105</v>
      </c>
      <c r="E532" s="3" t="s">
        <v>433</v>
      </c>
      <c r="F532" s="3"/>
      <c r="G532" s="1">
        <v>810</v>
      </c>
      <c r="H532" s="1">
        <f t="shared" si="42"/>
        <v>810</v>
      </c>
      <c r="I532" s="1" t="str">
        <f t="shared" si="43"/>
        <v/>
      </c>
      <c r="J532" s="1" t="str">
        <f>_xlfn.IFNA(INDEX([1]历练产出!$Z:$Z,MATCH(B532,[1]历练产出!$AB:$AB,0)),"")</f>
        <v/>
      </c>
      <c r="K532" s="1" t="str">
        <f>_xlfn.IFNA(INDEX([1]洞天福地产出!$H:$H,MATCH(B532,[1]洞天福地产出!$K:$K,0)),"")</f>
        <v/>
      </c>
      <c r="L532" s="1" t="str">
        <f t="shared" si="44"/>
        <v/>
      </c>
      <c r="M532" s="4">
        <f t="shared" si="45"/>
        <v>0</v>
      </c>
    </row>
    <row r="533" ht="45" spans="1:13">
      <c r="A533" s="4"/>
      <c r="B533" t="str">
        <f t="shared" si="41"/>
        <v>7:5000106</v>
      </c>
      <c r="C533" s="1">
        <v>7</v>
      </c>
      <c r="D533" s="4">
        <v>5000106</v>
      </c>
      <c r="E533" s="3" t="s">
        <v>433</v>
      </c>
      <c r="F533" s="3"/>
      <c r="G533" s="1">
        <v>878.85</v>
      </c>
      <c r="H533" s="1">
        <f t="shared" si="42"/>
        <v>878.85</v>
      </c>
      <c r="I533" s="1" t="str">
        <f t="shared" si="43"/>
        <v/>
      </c>
      <c r="J533" s="1" t="str">
        <f>_xlfn.IFNA(INDEX([1]历练产出!$Z:$Z,MATCH(B533,[1]历练产出!$AB:$AB,0)),"")</f>
        <v/>
      </c>
      <c r="K533" s="1" t="str">
        <f>_xlfn.IFNA(INDEX([1]洞天福地产出!$H:$H,MATCH(B533,[1]洞天福地产出!$K:$K,0)),"")</f>
        <v/>
      </c>
      <c r="L533" s="1" t="str">
        <f t="shared" si="44"/>
        <v/>
      </c>
      <c r="M533" s="4">
        <f t="shared" si="45"/>
        <v>0</v>
      </c>
    </row>
    <row r="534" ht="45" spans="1:13">
      <c r="A534" s="4"/>
      <c r="B534" t="str">
        <f t="shared" si="41"/>
        <v>7:5000107</v>
      </c>
      <c r="C534" s="1">
        <v>7</v>
      </c>
      <c r="D534" s="4">
        <v>5000107</v>
      </c>
      <c r="E534" s="3" t="s">
        <v>433</v>
      </c>
      <c r="F534" s="3"/>
      <c r="G534" s="1">
        <v>959.85</v>
      </c>
      <c r="H534" s="1">
        <f t="shared" si="42"/>
        <v>959.85</v>
      </c>
      <c r="I534" s="1" t="str">
        <f t="shared" si="43"/>
        <v/>
      </c>
      <c r="J534" s="1" t="str">
        <f>_xlfn.IFNA(INDEX([1]历练产出!$Z:$Z,MATCH(B534,[1]历练产出!$AB:$AB,0)),"")</f>
        <v/>
      </c>
      <c r="K534" s="1" t="str">
        <f>_xlfn.IFNA(INDEX([1]洞天福地产出!$H:$H,MATCH(B534,[1]洞天福地产出!$K:$K,0)),"")</f>
        <v/>
      </c>
      <c r="L534" s="1" t="str">
        <f t="shared" si="44"/>
        <v/>
      </c>
      <c r="M534" s="4">
        <f t="shared" si="45"/>
        <v>0</v>
      </c>
    </row>
    <row r="535" ht="45" spans="1:13">
      <c r="A535" s="4"/>
      <c r="B535" t="str">
        <f t="shared" si="41"/>
        <v>7:5000108</v>
      </c>
      <c r="C535" s="1">
        <v>7</v>
      </c>
      <c r="D535" s="4">
        <v>5000108</v>
      </c>
      <c r="E535" s="3" t="s">
        <v>433</v>
      </c>
      <c r="F535" s="3"/>
      <c r="G535" s="1">
        <v>1053</v>
      </c>
      <c r="H535" s="1">
        <f t="shared" si="42"/>
        <v>1053</v>
      </c>
      <c r="I535" s="1" t="str">
        <f t="shared" si="43"/>
        <v/>
      </c>
      <c r="J535" s="1" t="str">
        <f>_xlfn.IFNA(INDEX([1]历练产出!$Z:$Z,MATCH(B535,[1]历练产出!$AB:$AB,0)),"")</f>
        <v/>
      </c>
      <c r="K535" s="1" t="str">
        <f>_xlfn.IFNA(INDEX([1]洞天福地产出!$H:$H,MATCH(B535,[1]洞天福地产出!$K:$K,0)),"")</f>
        <v/>
      </c>
      <c r="L535" s="1" t="str">
        <f t="shared" si="44"/>
        <v/>
      </c>
      <c r="M535" s="4">
        <f t="shared" si="45"/>
        <v>0</v>
      </c>
    </row>
    <row r="536" ht="45" spans="1:13">
      <c r="A536" s="4"/>
      <c r="B536" t="str">
        <f t="shared" si="41"/>
        <v>7:5000109</v>
      </c>
      <c r="C536" s="1">
        <v>7</v>
      </c>
      <c r="D536" s="4">
        <v>5000109</v>
      </c>
      <c r="E536" s="3" t="s">
        <v>433</v>
      </c>
      <c r="F536" s="3"/>
      <c r="G536" s="1">
        <v>1806.3</v>
      </c>
      <c r="H536" s="1">
        <f t="shared" si="42"/>
        <v>1806.3</v>
      </c>
      <c r="I536" s="1" t="str">
        <f t="shared" si="43"/>
        <v/>
      </c>
      <c r="J536" s="1" t="str">
        <f>_xlfn.IFNA(INDEX([1]历练产出!$Z:$Z,MATCH(B536,[1]历练产出!$AB:$AB,0)),"")</f>
        <v/>
      </c>
      <c r="K536" s="1" t="str">
        <f>_xlfn.IFNA(INDEX([1]洞天福地产出!$H:$H,MATCH(B536,[1]洞天福地产出!$K:$K,0)),"")</f>
        <v/>
      </c>
      <c r="L536" s="1" t="str">
        <f t="shared" si="44"/>
        <v/>
      </c>
      <c r="M536" s="4">
        <f t="shared" si="45"/>
        <v>0</v>
      </c>
    </row>
    <row r="537" ht="45" spans="1:13">
      <c r="A537" s="4"/>
      <c r="B537" t="str">
        <f t="shared" si="41"/>
        <v>7:5000110</v>
      </c>
      <c r="C537" s="1">
        <v>7</v>
      </c>
      <c r="D537" s="4">
        <v>5000110</v>
      </c>
      <c r="E537" s="3" t="s">
        <v>433</v>
      </c>
      <c r="F537" s="3"/>
      <c r="G537" s="1">
        <v>1923.75</v>
      </c>
      <c r="H537" s="1">
        <f t="shared" si="42"/>
        <v>1923.75</v>
      </c>
      <c r="I537" s="1" t="str">
        <f t="shared" si="43"/>
        <v/>
      </c>
      <c r="J537" s="1" t="str">
        <f>_xlfn.IFNA(INDEX([1]历练产出!$Z:$Z,MATCH(B537,[1]历练产出!$AB:$AB,0)),"")</f>
        <v/>
      </c>
      <c r="K537" s="1" t="str">
        <f>_xlfn.IFNA(INDEX([1]洞天福地产出!$H:$H,MATCH(B537,[1]洞天福地产出!$K:$K,0)),"")</f>
        <v/>
      </c>
      <c r="L537" s="1" t="str">
        <f t="shared" si="44"/>
        <v/>
      </c>
      <c r="M537" s="4">
        <f t="shared" si="45"/>
        <v>0</v>
      </c>
    </row>
    <row r="538" ht="45" spans="1:13">
      <c r="A538" s="4"/>
      <c r="B538" t="str">
        <f t="shared" si="41"/>
        <v>7:5000111</v>
      </c>
      <c r="C538" s="1">
        <v>7</v>
      </c>
      <c r="D538" s="4">
        <v>5000111</v>
      </c>
      <c r="E538" s="3" t="s">
        <v>433</v>
      </c>
      <c r="F538" s="3"/>
      <c r="G538" s="1">
        <v>2053.35</v>
      </c>
      <c r="H538" s="1">
        <f t="shared" si="42"/>
        <v>2053.35</v>
      </c>
      <c r="I538" s="1" t="str">
        <f t="shared" si="43"/>
        <v/>
      </c>
      <c r="J538" s="1" t="str">
        <f>_xlfn.IFNA(INDEX([1]历练产出!$Z:$Z,MATCH(B538,[1]历练产出!$AB:$AB,0)),"")</f>
        <v/>
      </c>
      <c r="K538" s="1" t="str">
        <f>_xlfn.IFNA(INDEX([1]洞天福地产出!$H:$H,MATCH(B538,[1]洞天福地产出!$K:$K,0)),"")</f>
        <v/>
      </c>
      <c r="L538" s="1" t="str">
        <f t="shared" si="44"/>
        <v/>
      </c>
      <c r="M538" s="4">
        <f t="shared" si="45"/>
        <v>0</v>
      </c>
    </row>
    <row r="539" ht="45" spans="1:13">
      <c r="A539" s="4"/>
      <c r="B539" t="str">
        <f t="shared" si="41"/>
        <v>7:5000112</v>
      </c>
      <c r="C539" s="1">
        <v>7</v>
      </c>
      <c r="D539" s="4">
        <v>5000112</v>
      </c>
      <c r="E539" s="3" t="s">
        <v>433</v>
      </c>
      <c r="F539" s="3"/>
      <c r="G539" s="1">
        <v>2195.1</v>
      </c>
      <c r="H539" s="1">
        <f t="shared" si="42"/>
        <v>2195.1</v>
      </c>
      <c r="I539" s="1" t="str">
        <f t="shared" si="43"/>
        <v/>
      </c>
      <c r="J539" s="1" t="str">
        <f>_xlfn.IFNA(INDEX([1]历练产出!$Z:$Z,MATCH(B539,[1]历练产出!$AB:$AB,0)),"")</f>
        <v/>
      </c>
      <c r="K539" s="1" t="str">
        <f>_xlfn.IFNA(INDEX([1]洞天福地产出!$H:$H,MATCH(B539,[1]洞天福地产出!$K:$K,0)),"")</f>
        <v/>
      </c>
      <c r="L539" s="1" t="str">
        <f t="shared" si="44"/>
        <v/>
      </c>
      <c r="M539" s="4">
        <f t="shared" si="45"/>
        <v>0</v>
      </c>
    </row>
    <row r="540" ht="45" spans="1:13">
      <c r="A540" s="4"/>
      <c r="B540" t="str">
        <f t="shared" si="41"/>
        <v>7:5000113</v>
      </c>
      <c r="C540" s="1">
        <v>7</v>
      </c>
      <c r="D540" s="4">
        <v>5000113</v>
      </c>
      <c r="E540" s="3" t="s">
        <v>433</v>
      </c>
      <c r="F540" s="3"/>
      <c r="G540" s="1">
        <v>2349</v>
      </c>
      <c r="H540" s="1">
        <f t="shared" si="42"/>
        <v>2349</v>
      </c>
      <c r="I540" s="1" t="str">
        <f t="shared" si="43"/>
        <v/>
      </c>
      <c r="J540" s="1" t="str">
        <f>_xlfn.IFNA(INDEX([1]历练产出!$Z:$Z,MATCH(B540,[1]历练产出!$AB:$AB,0)),"")</f>
        <v/>
      </c>
      <c r="K540" s="1" t="str">
        <f>_xlfn.IFNA(INDEX([1]洞天福地产出!$H:$H,MATCH(B540,[1]洞天福地产出!$K:$K,0)),"")</f>
        <v/>
      </c>
      <c r="L540" s="1" t="str">
        <f t="shared" si="44"/>
        <v/>
      </c>
      <c r="M540" s="4">
        <f t="shared" si="45"/>
        <v>0</v>
      </c>
    </row>
    <row r="541" ht="45" spans="1:13">
      <c r="A541" s="4"/>
      <c r="B541" t="str">
        <f t="shared" si="41"/>
        <v>7:5000114</v>
      </c>
      <c r="C541" s="1">
        <v>7</v>
      </c>
      <c r="D541" s="4">
        <v>5000114</v>
      </c>
      <c r="E541" s="3" t="s">
        <v>433</v>
      </c>
      <c r="F541" s="3"/>
      <c r="G541" s="1">
        <v>2515.05</v>
      </c>
      <c r="H541" s="1">
        <f t="shared" si="42"/>
        <v>2515.05</v>
      </c>
      <c r="I541" s="1" t="str">
        <f t="shared" si="43"/>
        <v/>
      </c>
      <c r="J541" s="1" t="str">
        <f>_xlfn.IFNA(INDEX([1]历练产出!$Z:$Z,MATCH(B541,[1]历练产出!$AB:$AB,0)),"")</f>
        <v/>
      </c>
      <c r="K541" s="1" t="str">
        <f>_xlfn.IFNA(INDEX([1]洞天福地产出!$H:$H,MATCH(B541,[1]洞天福地产出!$K:$K,0)),"")</f>
        <v/>
      </c>
      <c r="L541" s="1" t="str">
        <f t="shared" si="44"/>
        <v/>
      </c>
      <c r="M541" s="4">
        <f t="shared" si="45"/>
        <v>0</v>
      </c>
    </row>
    <row r="542" ht="45" spans="1:13">
      <c r="A542" s="4"/>
      <c r="B542" t="str">
        <f t="shared" si="41"/>
        <v>7:5000115</v>
      </c>
      <c r="C542" s="1">
        <v>7</v>
      </c>
      <c r="D542" s="4">
        <v>5000115</v>
      </c>
      <c r="E542" s="3" t="s">
        <v>433</v>
      </c>
      <c r="F542" s="3"/>
      <c r="G542" s="1">
        <v>2693.25</v>
      </c>
      <c r="H542" s="1">
        <f t="shared" si="42"/>
        <v>2693.25</v>
      </c>
      <c r="I542" s="1" t="str">
        <f t="shared" si="43"/>
        <v/>
      </c>
      <c r="J542" s="1" t="str">
        <f>_xlfn.IFNA(INDEX([1]历练产出!$Z:$Z,MATCH(B542,[1]历练产出!$AB:$AB,0)),"")</f>
        <v/>
      </c>
      <c r="K542" s="1" t="str">
        <f>_xlfn.IFNA(INDEX([1]洞天福地产出!$H:$H,MATCH(B542,[1]洞天福地产出!$K:$K,0)),"")</f>
        <v/>
      </c>
      <c r="L542" s="1" t="str">
        <f t="shared" si="44"/>
        <v/>
      </c>
      <c r="M542" s="4">
        <f t="shared" si="45"/>
        <v>0</v>
      </c>
    </row>
    <row r="543" ht="45" spans="1:13">
      <c r="A543" s="4"/>
      <c r="B543" t="str">
        <f t="shared" si="41"/>
        <v>7:5000116</v>
      </c>
      <c r="C543" s="1">
        <v>7</v>
      </c>
      <c r="D543" s="4">
        <v>5000116</v>
      </c>
      <c r="E543" s="3" t="s">
        <v>433</v>
      </c>
      <c r="F543" s="3"/>
      <c r="G543" s="1">
        <v>2883.6</v>
      </c>
      <c r="H543" s="1">
        <f t="shared" si="42"/>
        <v>2883.6</v>
      </c>
      <c r="I543" s="1" t="str">
        <f t="shared" si="43"/>
        <v/>
      </c>
      <c r="J543" s="1" t="str">
        <f>_xlfn.IFNA(INDEX([1]历练产出!$Z:$Z,MATCH(B543,[1]历练产出!$AB:$AB,0)),"")</f>
        <v/>
      </c>
      <c r="K543" s="1" t="str">
        <f>_xlfn.IFNA(INDEX([1]洞天福地产出!$H:$H,MATCH(B543,[1]洞天福地产出!$K:$K,0)),"")</f>
        <v/>
      </c>
      <c r="L543" s="1" t="str">
        <f t="shared" si="44"/>
        <v/>
      </c>
      <c r="M543" s="4">
        <f t="shared" si="45"/>
        <v>0</v>
      </c>
    </row>
    <row r="544" ht="45" spans="1:13">
      <c r="A544" s="4"/>
      <c r="B544" t="str">
        <f t="shared" si="41"/>
        <v>7:5000117</v>
      </c>
      <c r="C544" s="1">
        <v>7</v>
      </c>
      <c r="D544" s="4">
        <v>5000117</v>
      </c>
      <c r="E544" s="3" t="s">
        <v>433</v>
      </c>
      <c r="F544" s="3"/>
      <c r="G544" s="1">
        <v>3086.1</v>
      </c>
      <c r="H544" s="1">
        <f t="shared" si="42"/>
        <v>3086.1</v>
      </c>
      <c r="I544" s="1" t="str">
        <f t="shared" si="43"/>
        <v/>
      </c>
      <c r="J544" s="1" t="str">
        <f>_xlfn.IFNA(INDEX([1]历练产出!$Z:$Z,MATCH(B544,[1]历练产出!$AB:$AB,0)),"")</f>
        <v/>
      </c>
      <c r="K544" s="1" t="str">
        <f>_xlfn.IFNA(INDEX([1]洞天福地产出!$H:$H,MATCH(B544,[1]洞天福地产出!$K:$K,0)),"")</f>
        <v/>
      </c>
      <c r="L544" s="1" t="str">
        <f t="shared" si="44"/>
        <v/>
      </c>
      <c r="M544" s="4">
        <f t="shared" si="45"/>
        <v>0</v>
      </c>
    </row>
    <row r="545" ht="45" spans="1:13">
      <c r="A545" s="4"/>
      <c r="B545" t="str">
        <f t="shared" si="41"/>
        <v>7:5000118</v>
      </c>
      <c r="C545" s="1">
        <v>7</v>
      </c>
      <c r="D545" s="4">
        <v>5000118</v>
      </c>
      <c r="E545" s="3" t="s">
        <v>433</v>
      </c>
      <c r="F545" s="3"/>
      <c r="G545" s="1">
        <v>3300.75</v>
      </c>
      <c r="H545" s="1">
        <f t="shared" si="42"/>
        <v>3300.75</v>
      </c>
      <c r="I545" s="1" t="str">
        <f t="shared" si="43"/>
        <v/>
      </c>
      <c r="J545" s="1" t="str">
        <f>_xlfn.IFNA(INDEX([1]历练产出!$Z:$Z,MATCH(B545,[1]历练产出!$AB:$AB,0)),"")</f>
        <v/>
      </c>
      <c r="K545" s="1" t="str">
        <f>_xlfn.IFNA(INDEX([1]洞天福地产出!$H:$H,MATCH(B545,[1]洞天福地产出!$K:$K,0)),"")</f>
        <v/>
      </c>
      <c r="L545" s="1" t="str">
        <f t="shared" si="44"/>
        <v/>
      </c>
      <c r="M545" s="4">
        <f t="shared" si="45"/>
        <v>0</v>
      </c>
    </row>
    <row r="546" ht="45" spans="1:13">
      <c r="A546" s="4"/>
      <c r="B546" t="str">
        <f t="shared" si="41"/>
        <v>7:5000119</v>
      </c>
      <c r="C546" s="1">
        <v>7</v>
      </c>
      <c r="D546" s="4">
        <v>5000119</v>
      </c>
      <c r="E546" s="3" t="s">
        <v>433</v>
      </c>
      <c r="F546" s="3"/>
      <c r="G546" s="1">
        <v>4823.55</v>
      </c>
      <c r="H546" s="1">
        <f t="shared" si="42"/>
        <v>4823.55</v>
      </c>
      <c r="I546" s="1" t="str">
        <f t="shared" si="43"/>
        <v/>
      </c>
      <c r="J546" s="1" t="str">
        <f>_xlfn.IFNA(INDEX([1]历练产出!$Z:$Z,MATCH(B546,[1]历练产出!$AB:$AB,0)),"")</f>
        <v/>
      </c>
      <c r="K546" s="1" t="str">
        <f>_xlfn.IFNA(INDEX([1]洞天福地产出!$H:$H,MATCH(B546,[1]洞天福地产出!$K:$K,0)),"")</f>
        <v/>
      </c>
      <c r="L546" s="1" t="str">
        <f t="shared" si="44"/>
        <v/>
      </c>
      <c r="M546" s="4">
        <f t="shared" si="45"/>
        <v>0</v>
      </c>
    </row>
    <row r="547" ht="45" spans="1:13">
      <c r="A547" s="4"/>
      <c r="B547" t="str">
        <f t="shared" si="41"/>
        <v>7:5000120</v>
      </c>
      <c r="C547" s="1">
        <v>7</v>
      </c>
      <c r="D547" s="4">
        <v>5000120</v>
      </c>
      <c r="E547" s="3" t="s">
        <v>433</v>
      </c>
      <c r="F547" s="3"/>
      <c r="G547" s="1">
        <v>5062.5</v>
      </c>
      <c r="H547" s="1">
        <f t="shared" si="42"/>
        <v>5062.5</v>
      </c>
      <c r="I547" s="1" t="str">
        <f t="shared" si="43"/>
        <v/>
      </c>
      <c r="J547" s="1" t="str">
        <f>_xlfn.IFNA(INDEX([1]历练产出!$Z:$Z,MATCH(B547,[1]历练产出!$AB:$AB,0)),"")</f>
        <v/>
      </c>
      <c r="K547" s="1" t="str">
        <f>_xlfn.IFNA(INDEX([1]洞天福地产出!$H:$H,MATCH(B547,[1]洞天福地产出!$K:$K,0)),"")</f>
        <v/>
      </c>
      <c r="L547" s="1" t="str">
        <f t="shared" si="44"/>
        <v/>
      </c>
      <c r="M547" s="4">
        <f t="shared" si="45"/>
        <v>0</v>
      </c>
    </row>
    <row r="548" ht="45" spans="1:13">
      <c r="A548" s="4"/>
      <c r="B548" t="str">
        <f t="shared" ref="B548:B611" si="46">C548&amp;":"&amp;D548</f>
        <v>7:5000121</v>
      </c>
      <c r="C548" s="1">
        <v>7</v>
      </c>
      <c r="D548" s="4">
        <v>5000121</v>
      </c>
      <c r="E548" s="3" t="s">
        <v>433</v>
      </c>
      <c r="F548" s="3"/>
      <c r="G548" s="1">
        <v>5313.6</v>
      </c>
      <c r="H548" s="1">
        <f t="shared" si="42"/>
        <v>5313.6</v>
      </c>
      <c r="I548" s="1" t="str">
        <f t="shared" si="43"/>
        <v/>
      </c>
      <c r="J548" s="1" t="str">
        <f>_xlfn.IFNA(INDEX([1]历练产出!$Z:$Z,MATCH(B548,[1]历练产出!$AB:$AB,0)),"")</f>
        <v/>
      </c>
      <c r="K548" s="1" t="str">
        <f>_xlfn.IFNA(INDEX([1]洞天福地产出!$H:$H,MATCH(B548,[1]洞天福地产出!$K:$K,0)),"")</f>
        <v/>
      </c>
      <c r="L548" s="1" t="str">
        <f t="shared" si="44"/>
        <v/>
      </c>
      <c r="M548" s="4">
        <f t="shared" si="45"/>
        <v>0</v>
      </c>
    </row>
    <row r="549" ht="45" spans="1:13">
      <c r="A549" s="4"/>
      <c r="B549" t="str">
        <f t="shared" si="46"/>
        <v>7:5000122</v>
      </c>
      <c r="C549" s="1">
        <v>7</v>
      </c>
      <c r="D549" s="4">
        <v>5000122</v>
      </c>
      <c r="E549" s="3" t="s">
        <v>433</v>
      </c>
      <c r="F549" s="3"/>
      <c r="G549" s="1">
        <v>5576.85</v>
      </c>
      <c r="H549" s="1">
        <f t="shared" si="42"/>
        <v>5576.85</v>
      </c>
      <c r="I549" s="1" t="str">
        <f t="shared" si="43"/>
        <v/>
      </c>
      <c r="J549" s="1" t="str">
        <f>_xlfn.IFNA(INDEX([1]历练产出!$Z:$Z,MATCH(B549,[1]历练产出!$AB:$AB,0)),"")</f>
        <v/>
      </c>
      <c r="K549" s="1" t="str">
        <f>_xlfn.IFNA(INDEX([1]洞天福地产出!$H:$H,MATCH(B549,[1]洞天福地产出!$K:$K,0)),"")</f>
        <v/>
      </c>
      <c r="L549" s="1" t="str">
        <f t="shared" si="44"/>
        <v/>
      </c>
      <c r="M549" s="4">
        <f t="shared" si="45"/>
        <v>0</v>
      </c>
    </row>
    <row r="550" ht="45" spans="1:13">
      <c r="A550" s="4"/>
      <c r="B550" t="str">
        <f t="shared" si="46"/>
        <v>7:5000123</v>
      </c>
      <c r="C550" s="1">
        <v>7</v>
      </c>
      <c r="D550" s="4">
        <v>5000123</v>
      </c>
      <c r="E550" s="3" t="s">
        <v>433</v>
      </c>
      <c r="F550" s="3"/>
      <c r="G550" s="1">
        <v>5852.25</v>
      </c>
      <c r="H550" s="1">
        <f t="shared" si="42"/>
        <v>5852.25</v>
      </c>
      <c r="I550" s="1" t="str">
        <f t="shared" si="43"/>
        <v/>
      </c>
      <c r="J550" s="1" t="str">
        <f>_xlfn.IFNA(INDEX([1]历练产出!$Z:$Z,MATCH(B550,[1]历练产出!$AB:$AB,0)),"")</f>
        <v/>
      </c>
      <c r="K550" s="1" t="str">
        <f>_xlfn.IFNA(INDEX([1]洞天福地产出!$H:$H,MATCH(B550,[1]洞天福地产出!$K:$K,0)),"")</f>
        <v/>
      </c>
      <c r="L550" s="1" t="str">
        <f t="shared" si="44"/>
        <v/>
      </c>
      <c r="M550" s="4">
        <f t="shared" si="45"/>
        <v>0</v>
      </c>
    </row>
    <row r="551" ht="45" spans="1:13">
      <c r="A551" s="4"/>
      <c r="B551" t="str">
        <f t="shared" si="46"/>
        <v>7:5000124</v>
      </c>
      <c r="C551" s="1">
        <v>7</v>
      </c>
      <c r="D551" s="4">
        <v>5000124</v>
      </c>
      <c r="E551" s="3" t="s">
        <v>433</v>
      </c>
      <c r="F551" s="3"/>
      <c r="G551" s="1">
        <v>6139.8</v>
      </c>
      <c r="H551" s="1">
        <f t="shared" si="42"/>
        <v>6139.8</v>
      </c>
      <c r="I551" s="1" t="str">
        <f t="shared" si="43"/>
        <v/>
      </c>
      <c r="J551" s="1" t="str">
        <f>_xlfn.IFNA(INDEX([1]历练产出!$Z:$Z,MATCH(B551,[1]历练产出!$AB:$AB,0)),"")</f>
        <v/>
      </c>
      <c r="K551" s="1" t="str">
        <f>_xlfn.IFNA(INDEX([1]洞天福地产出!$H:$H,MATCH(B551,[1]洞天福地产出!$K:$K,0)),"")</f>
        <v/>
      </c>
      <c r="L551" s="1" t="str">
        <f t="shared" si="44"/>
        <v/>
      </c>
      <c r="M551" s="4">
        <f t="shared" si="45"/>
        <v>0</v>
      </c>
    </row>
    <row r="552" ht="45" spans="1:13">
      <c r="A552" s="4"/>
      <c r="B552" t="str">
        <f t="shared" si="46"/>
        <v>7:5000125</v>
      </c>
      <c r="C552" s="1">
        <v>7</v>
      </c>
      <c r="D552" s="4">
        <v>5000125</v>
      </c>
      <c r="E552" s="3" t="s">
        <v>433</v>
      </c>
      <c r="F552" s="3"/>
      <c r="G552" s="1">
        <v>6439.5</v>
      </c>
      <c r="H552" s="1">
        <f t="shared" si="42"/>
        <v>6439.5</v>
      </c>
      <c r="I552" s="1" t="str">
        <f t="shared" si="43"/>
        <v/>
      </c>
      <c r="J552" s="1" t="str">
        <f>_xlfn.IFNA(INDEX([1]历练产出!$Z:$Z,MATCH(B552,[1]历练产出!$AB:$AB,0)),"")</f>
        <v/>
      </c>
      <c r="K552" s="1" t="str">
        <f>_xlfn.IFNA(INDEX([1]洞天福地产出!$H:$H,MATCH(B552,[1]洞天福地产出!$K:$K,0)),"")</f>
        <v/>
      </c>
      <c r="L552" s="1" t="str">
        <f t="shared" si="44"/>
        <v/>
      </c>
      <c r="M552" s="4">
        <f t="shared" si="45"/>
        <v>0</v>
      </c>
    </row>
    <row r="553" ht="45" spans="1:13">
      <c r="A553" s="4"/>
      <c r="B553" t="str">
        <f t="shared" si="46"/>
        <v>7:5000126</v>
      </c>
      <c r="C553" s="1">
        <v>7</v>
      </c>
      <c r="D553" s="4">
        <v>5000126</v>
      </c>
      <c r="E553" s="3" t="s">
        <v>433</v>
      </c>
      <c r="F553" s="3"/>
      <c r="G553" s="1">
        <v>6751.35</v>
      </c>
      <c r="H553" s="1">
        <f t="shared" si="42"/>
        <v>6751.35</v>
      </c>
      <c r="I553" s="1" t="str">
        <f t="shared" si="43"/>
        <v/>
      </c>
      <c r="J553" s="1" t="str">
        <f>_xlfn.IFNA(INDEX([1]历练产出!$Z:$Z,MATCH(B553,[1]历练产出!$AB:$AB,0)),"")</f>
        <v/>
      </c>
      <c r="K553" s="1" t="str">
        <f>_xlfn.IFNA(INDEX([1]洞天福地产出!$H:$H,MATCH(B553,[1]洞天福地产出!$K:$K,0)),"")</f>
        <v/>
      </c>
      <c r="L553" s="1" t="str">
        <f t="shared" si="44"/>
        <v/>
      </c>
      <c r="M553" s="4">
        <f t="shared" si="45"/>
        <v>0</v>
      </c>
    </row>
    <row r="554" ht="45" spans="1:13">
      <c r="A554" s="4"/>
      <c r="B554" t="str">
        <f t="shared" si="46"/>
        <v>7:5000127</v>
      </c>
      <c r="C554" s="1">
        <v>7</v>
      </c>
      <c r="D554" s="4">
        <v>5000127</v>
      </c>
      <c r="E554" s="3" t="s">
        <v>433</v>
      </c>
      <c r="F554" s="3"/>
      <c r="G554" s="1">
        <v>7075.35</v>
      </c>
      <c r="H554" s="1">
        <f t="shared" si="42"/>
        <v>7075.35</v>
      </c>
      <c r="I554" s="1" t="str">
        <f t="shared" si="43"/>
        <v/>
      </c>
      <c r="J554" s="1" t="str">
        <f>_xlfn.IFNA(INDEX([1]历练产出!$Z:$Z,MATCH(B554,[1]历练产出!$AB:$AB,0)),"")</f>
        <v/>
      </c>
      <c r="K554" s="1" t="str">
        <f>_xlfn.IFNA(INDEX([1]洞天福地产出!$H:$H,MATCH(B554,[1]洞天福地产出!$K:$K,0)),"")</f>
        <v/>
      </c>
      <c r="L554" s="1" t="str">
        <f t="shared" si="44"/>
        <v/>
      </c>
      <c r="M554" s="4">
        <f t="shared" si="45"/>
        <v>0</v>
      </c>
    </row>
    <row r="555" ht="45" spans="1:13">
      <c r="A555" s="4"/>
      <c r="B555" t="str">
        <f t="shared" si="46"/>
        <v>7:5000128</v>
      </c>
      <c r="C555" s="1">
        <v>7</v>
      </c>
      <c r="D555" s="4">
        <v>5000128</v>
      </c>
      <c r="E555" s="3" t="s">
        <v>433</v>
      </c>
      <c r="F555" s="3"/>
      <c r="G555" s="1">
        <v>7411.5</v>
      </c>
      <c r="H555" s="1">
        <f t="shared" si="42"/>
        <v>7411.5</v>
      </c>
      <c r="I555" s="1" t="str">
        <f t="shared" si="43"/>
        <v/>
      </c>
      <c r="J555" s="1" t="str">
        <f>_xlfn.IFNA(INDEX([1]历练产出!$Z:$Z,MATCH(B555,[1]历练产出!$AB:$AB,0)),"")</f>
        <v/>
      </c>
      <c r="K555" s="1" t="str">
        <f>_xlfn.IFNA(INDEX([1]洞天福地产出!$H:$H,MATCH(B555,[1]洞天福地产出!$K:$K,0)),"")</f>
        <v/>
      </c>
      <c r="L555" s="1" t="str">
        <f t="shared" si="44"/>
        <v/>
      </c>
      <c r="M555" s="4">
        <f t="shared" si="45"/>
        <v>0</v>
      </c>
    </row>
    <row r="556" ht="45" spans="1:13">
      <c r="A556" s="4"/>
      <c r="B556" t="str">
        <f t="shared" si="46"/>
        <v>7:5000129</v>
      </c>
      <c r="C556" s="1">
        <v>7</v>
      </c>
      <c r="D556" s="4">
        <v>5000129</v>
      </c>
      <c r="E556" s="3" t="s">
        <v>433</v>
      </c>
      <c r="F556" s="3"/>
      <c r="G556" s="1">
        <v>9703.8</v>
      </c>
      <c r="H556" s="1">
        <f t="shared" si="42"/>
        <v>9703.8</v>
      </c>
      <c r="I556" s="1" t="str">
        <f t="shared" si="43"/>
        <v/>
      </c>
      <c r="J556" s="1" t="str">
        <f>_xlfn.IFNA(INDEX([1]历练产出!$Z:$Z,MATCH(B556,[1]历练产出!$AB:$AB,0)),"")</f>
        <v/>
      </c>
      <c r="K556" s="1" t="str">
        <f>_xlfn.IFNA(INDEX([1]洞天福地产出!$H:$H,MATCH(B556,[1]洞天福地产出!$K:$K,0)),"")</f>
        <v/>
      </c>
      <c r="L556" s="1" t="str">
        <f t="shared" si="44"/>
        <v/>
      </c>
      <c r="M556" s="4">
        <f t="shared" si="45"/>
        <v>0</v>
      </c>
    </row>
    <row r="557" ht="45" spans="1:13">
      <c r="A557" s="4"/>
      <c r="B557" t="str">
        <f t="shared" si="46"/>
        <v>7:5000130</v>
      </c>
      <c r="C557" s="1">
        <v>7</v>
      </c>
      <c r="D557" s="4">
        <v>5000130</v>
      </c>
      <c r="E557" s="3" t="s">
        <v>433</v>
      </c>
      <c r="F557" s="3"/>
      <c r="G557" s="1">
        <v>10052.1</v>
      </c>
      <c r="H557" s="1">
        <f t="shared" si="42"/>
        <v>10052.1</v>
      </c>
      <c r="I557" s="1" t="str">
        <f t="shared" si="43"/>
        <v/>
      </c>
      <c r="J557" s="1" t="str">
        <f>_xlfn.IFNA(INDEX([1]历练产出!$Z:$Z,MATCH(B557,[1]历练产出!$AB:$AB,0)),"")</f>
        <v/>
      </c>
      <c r="K557" s="1" t="str">
        <f>_xlfn.IFNA(INDEX([1]洞天福地产出!$H:$H,MATCH(B557,[1]洞天福地产出!$K:$K,0)),"")</f>
        <v/>
      </c>
      <c r="L557" s="1" t="str">
        <f t="shared" si="44"/>
        <v/>
      </c>
      <c r="M557" s="4">
        <f t="shared" si="45"/>
        <v>0</v>
      </c>
    </row>
    <row r="558" ht="30" spans="1:13">
      <c r="A558" s="4"/>
      <c r="B558" t="str">
        <f t="shared" si="46"/>
        <v>7:6000101</v>
      </c>
      <c r="C558" s="1">
        <v>7</v>
      </c>
      <c r="D558" s="4">
        <v>6000101</v>
      </c>
      <c r="E558" s="3" t="s">
        <v>435</v>
      </c>
      <c r="F558" s="3"/>
      <c r="G558" s="1">
        <v>656.1</v>
      </c>
      <c r="H558" s="1">
        <f t="shared" si="42"/>
        <v>656.1</v>
      </c>
      <c r="I558" s="1" t="str">
        <f t="shared" si="43"/>
        <v/>
      </c>
      <c r="J558" s="1" t="str">
        <f>_xlfn.IFNA(INDEX([1]历练产出!$Z:$Z,MATCH(B558,[1]历练产出!$AB:$AB,0)),"")</f>
        <v/>
      </c>
      <c r="K558" s="1" t="str">
        <f>_xlfn.IFNA(INDEX([1]洞天福地产出!$H:$H,MATCH(B558,[1]洞天福地产出!$K:$K,0)),"")</f>
        <v/>
      </c>
      <c r="L558" s="1" t="str">
        <f t="shared" si="44"/>
        <v/>
      </c>
      <c r="M558" s="4">
        <f t="shared" si="45"/>
        <v>0</v>
      </c>
    </row>
    <row r="559" ht="30" spans="1:13">
      <c r="A559" s="4"/>
      <c r="B559" t="str">
        <f t="shared" si="46"/>
        <v>7:6000102</v>
      </c>
      <c r="C559" s="1">
        <v>7</v>
      </c>
      <c r="D559" s="4">
        <v>6000102</v>
      </c>
      <c r="E559" s="3" t="s">
        <v>435</v>
      </c>
      <c r="F559" s="3"/>
      <c r="G559" s="1">
        <v>676.35</v>
      </c>
      <c r="H559" s="1">
        <f t="shared" si="42"/>
        <v>676.35</v>
      </c>
      <c r="I559" s="1" t="str">
        <f t="shared" si="43"/>
        <v/>
      </c>
      <c r="J559" s="1" t="str">
        <f>_xlfn.IFNA(INDEX([1]历练产出!$Z:$Z,MATCH(B559,[1]历练产出!$AB:$AB,0)),"")</f>
        <v/>
      </c>
      <c r="K559" s="1" t="str">
        <f>_xlfn.IFNA(INDEX([1]洞天福地产出!$H:$H,MATCH(B559,[1]洞天福地产出!$K:$K,0)),"")</f>
        <v/>
      </c>
      <c r="L559" s="1" t="str">
        <f t="shared" si="44"/>
        <v/>
      </c>
      <c r="M559" s="4">
        <f t="shared" si="45"/>
        <v>0</v>
      </c>
    </row>
    <row r="560" ht="30" spans="1:13">
      <c r="A560" s="4"/>
      <c r="B560" t="str">
        <f t="shared" si="46"/>
        <v>7:6000103</v>
      </c>
      <c r="C560" s="1">
        <v>7</v>
      </c>
      <c r="D560" s="4">
        <v>6000103</v>
      </c>
      <c r="E560" s="3" t="s">
        <v>435</v>
      </c>
      <c r="F560" s="3"/>
      <c r="G560" s="1">
        <v>708.75</v>
      </c>
      <c r="H560" s="1">
        <f t="shared" si="42"/>
        <v>708.75</v>
      </c>
      <c r="I560" s="1" t="str">
        <f t="shared" si="43"/>
        <v/>
      </c>
      <c r="J560" s="1" t="str">
        <f>_xlfn.IFNA(INDEX([1]历练产出!$Z:$Z,MATCH(B560,[1]历练产出!$AB:$AB,0)),"")</f>
        <v/>
      </c>
      <c r="K560" s="1" t="str">
        <f>_xlfn.IFNA(INDEX([1]洞天福地产出!$H:$H,MATCH(B560,[1]洞天福地产出!$K:$K,0)),"")</f>
        <v/>
      </c>
      <c r="L560" s="1" t="str">
        <f t="shared" si="44"/>
        <v/>
      </c>
      <c r="M560" s="4">
        <f t="shared" si="45"/>
        <v>0</v>
      </c>
    </row>
    <row r="561" ht="30" spans="1:13">
      <c r="A561" s="4"/>
      <c r="B561" t="str">
        <f t="shared" si="46"/>
        <v>7:6000104</v>
      </c>
      <c r="C561" s="1">
        <v>7</v>
      </c>
      <c r="D561" s="4">
        <v>6000104</v>
      </c>
      <c r="E561" s="3" t="s">
        <v>435</v>
      </c>
      <c r="F561" s="3"/>
      <c r="G561" s="1">
        <v>753.3</v>
      </c>
      <c r="H561" s="1">
        <f t="shared" si="42"/>
        <v>753.3</v>
      </c>
      <c r="I561" s="1" t="str">
        <f t="shared" si="43"/>
        <v/>
      </c>
      <c r="J561" s="1" t="str">
        <f>_xlfn.IFNA(INDEX([1]历练产出!$Z:$Z,MATCH(B561,[1]历练产出!$AB:$AB,0)),"")</f>
        <v/>
      </c>
      <c r="K561" s="1" t="str">
        <f>_xlfn.IFNA(INDEX([1]洞天福地产出!$H:$H,MATCH(B561,[1]洞天福地产出!$K:$K,0)),"")</f>
        <v/>
      </c>
      <c r="L561" s="1" t="str">
        <f t="shared" si="44"/>
        <v/>
      </c>
      <c r="M561" s="4">
        <f t="shared" si="45"/>
        <v>0</v>
      </c>
    </row>
    <row r="562" ht="30" spans="1:13">
      <c r="A562" s="4"/>
      <c r="B562" t="str">
        <f t="shared" si="46"/>
        <v>7:6000105</v>
      </c>
      <c r="C562" s="1">
        <v>7</v>
      </c>
      <c r="D562" s="4">
        <v>6000105</v>
      </c>
      <c r="E562" s="3" t="s">
        <v>435</v>
      </c>
      <c r="F562" s="3"/>
      <c r="G562" s="1">
        <v>810</v>
      </c>
      <c r="H562" s="1">
        <f t="shared" si="42"/>
        <v>810</v>
      </c>
      <c r="I562" s="1" t="str">
        <f t="shared" si="43"/>
        <v/>
      </c>
      <c r="J562" s="1" t="str">
        <f>_xlfn.IFNA(INDEX([1]历练产出!$Z:$Z,MATCH(B562,[1]历练产出!$AB:$AB,0)),"")</f>
        <v/>
      </c>
      <c r="K562" s="1" t="str">
        <f>_xlfn.IFNA(INDEX([1]洞天福地产出!$H:$H,MATCH(B562,[1]洞天福地产出!$K:$K,0)),"")</f>
        <v/>
      </c>
      <c r="L562" s="1" t="str">
        <f t="shared" si="44"/>
        <v/>
      </c>
      <c r="M562" s="4">
        <f t="shared" si="45"/>
        <v>0</v>
      </c>
    </row>
    <row r="563" ht="30" spans="1:13">
      <c r="A563" s="4"/>
      <c r="B563" t="str">
        <f t="shared" si="46"/>
        <v>7:6000106</v>
      </c>
      <c r="C563" s="1">
        <v>7</v>
      </c>
      <c r="D563" s="4">
        <v>6000106</v>
      </c>
      <c r="E563" s="3" t="s">
        <v>435</v>
      </c>
      <c r="F563" s="3"/>
      <c r="G563" s="1">
        <v>878.85</v>
      </c>
      <c r="H563" s="1">
        <f t="shared" si="42"/>
        <v>878.85</v>
      </c>
      <c r="I563" s="1" t="str">
        <f t="shared" si="43"/>
        <v/>
      </c>
      <c r="J563" s="1" t="str">
        <f>_xlfn.IFNA(INDEX([1]历练产出!$Z:$Z,MATCH(B563,[1]历练产出!$AB:$AB,0)),"")</f>
        <v/>
      </c>
      <c r="K563" s="1" t="str">
        <f>_xlfn.IFNA(INDEX([1]洞天福地产出!$H:$H,MATCH(B563,[1]洞天福地产出!$K:$K,0)),"")</f>
        <v/>
      </c>
      <c r="L563" s="1" t="str">
        <f t="shared" si="44"/>
        <v/>
      </c>
      <c r="M563" s="4">
        <f t="shared" si="45"/>
        <v>0</v>
      </c>
    </row>
    <row r="564" ht="30" spans="1:13">
      <c r="A564" s="4"/>
      <c r="B564" t="str">
        <f t="shared" si="46"/>
        <v>7:6000107</v>
      </c>
      <c r="C564" s="1">
        <v>7</v>
      </c>
      <c r="D564" s="4">
        <v>6000107</v>
      </c>
      <c r="E564" s="3" t="s">
        <v>435</v>
      </c>
      <c r="F564" s="3"/>
      <c r="G564" s="1">
        <v>959.85</v>
      </c>
      <c r="H564" s="1">
        <f t="shared" si="42"/>
        <v>959.85</v>
      </c>
      <c r="I564" s="1" t="str">
        <f t="shared" si="43"/>
        <v/>
      </c>
      <c r="J564" s="1" t="str">
        <f>_xlfn.IFNA(INDEX([1]历练产出!$Z:$Z,MATCH(B564,[1]历练产出!$AB:$AB,0)),"")</f>
        <v/>
      </c>
      <c r="K564" s="1" t="str">
        <f>_xlfn.IFNA(INDEX([1]洞天福地产出!$H:$H,MATCH(B564,[1]洞天福地产出!$K:$K,0)),"")</f>
        <v/>
      </c>
      <c r="L564" s="1" t="str">
        <f t="shared" si="44"/>
        <v/>
      </c>
      <c r="M564" s="4">
        <f t="shared" si="45"/>
        <v>0</v>
      </c>
    </row>
    <row r="565" ht="30" spans="1:13">
      <c r="A565" s="4"/>
      <c r="B565" t="str">
        <f t="shared" si="46"/>
        <v>7:6000108</v>
      </c>
      <c r="C565" s="1">
        <v>7</v>
      </c>
      <c r="D565" s="4">
        <v>6000108</v>
      </c>
      <c r="E565" s="3" t="s">
        <v>435</v>
      </c>
      <c r="F565" s="3"/>
      <c r="G565" s="1">
        <v>1053</v>
      </c>
      <c r="H565" s="1">
        <f t="shared" si="42"/>
        <v>1053</v>
      </c>
      <c r="I565" s="1" t="str">
        <f t="shared" si="43"/>
        <v/>
      </c>
      <c r="J565" s="1" t="str">
        <f>_xlfn.IFNA(INDEX([1]历练产出!$Z:$Z,MATCH(B565,[1]历练产出!$AB:$AB,0)),"")</f>
        <v/>
      </c>
      <c r="K565" s="1" t="str">
        <f>_xlfn.IFNA(INDEX([1]洞天福地产出!$H:$H,MATCH(B565,[1]洞天福地产出!$K:$K,0)),"")</f>
        <v/>
      </c>
      <c r="L565" s="1" t="str">
        <f t="shared" si="44"/>
        <v/>
      </c>
      <c r="M565" s="4">
        <f t="shared" si="45"/>
        <v>0</v>
      </c>
    </row>
    <row r="566" ht="30" spans="1:13">
      <c r="A566" s="4"/>
      <c r="B566" t="str">
        <f t="shared" si="46"/>
        <v>7:6000109</v>
      </c>
      <c r="C566" s="1">
        <v>7</v>
      </c>
      <c r="D566" s="4">
        <v>6000109</v>
      </c>
      <c r="E566" s="3" t="s">
        <v>435</v>
      </c>
      <c r="F566" s="3"/>
      <c r="G566" s="1">
        <v>1806.3</v>
      </c>
      <c r="H566" s="1">
        <f t="shared" si="42"/>
        <v>1806.3</v>
      </c>
      <c r="I566" s="1" t="str">
        <f t="shared" si="43"/>
        <v/>
      </c>
      <c r="J566" s="1" t="str">
        <f>_xlfn.IFNA(INDEX([1]历练产出!$Z:$Z,MATCH(B566,[1]历练产出!$AB:$AB,0)),"")</f>
        <v/>
      </c>
      <c r="K566" s="1" t="str">
        <f>_xlfn.IFNA(INDEX([1]洞天福地产出!$H:$H,MATCH(B566,[1]洞天福地产出!$K:$K,0)),"")</f>
        <v/>
      </c>
      <c r="L566" s="1" t="str">
        <f t="shared" si="44"/>
        <v/>
      </c>
      <c r="M566" s="4">
        <f t="shared" si="45"/>
        <v>0</v>
      </c>
    </row>
    <row r="567" ht="30" spans="1:13">
      <c r="A567" s="4"/>
      <c r="B567" t="str">
        <f t="shared" si="46"/>
        <v>7:6000110</v>
      </c>
      <c r="C567" s="1">
        <v>7</v>
      </c>
      <c r="D567" s="4">
        <v>6000110</v>
      </c>
      <c r="E567" s="3" t="s">
        <v>435</v>
      </c>
      <c r="F567" s="3"/>
      <c r="G567" s="1">
        <v>1923.75</v>
      </c>
      <c r="H567" s="1">
        <f t="shared" si="42"/>
        <v>1923.75</v>
      </c>
      <c r="I567" s="1" t="str">
        <f t="shared" si="43"/>
        <v/>
      </c>
      <c r="J567" s="1" t="str">
        <f>_xlfn.IFNA(INDEX([1]历练产出!$Z:$Z,MATCH(B567,[1]历练产出!$AB:$AB,0)),"")</f>
        <v/>
      </c>
      <c r="K567" s="1" t="str">
        <f>_xlfn.IFNA(INDEX([1]洞天福地产出!$H:$H,MATCH(B567,[1]洞天福地产出!$K:$K,0)),"")</f>
        <v/>
      </c>
      <c r="L567" s="1" t="str">
        <f t="shared" si="44"/>
        <v/>
      </c>
      <c r="M567" s="4">
        <f t="shared" si="45"/>
        <v>0</v>
      </c>
    </row>
    <row r="568" ht="30" spans="1:13">
      <c r="A568" s="4"/>
      <c r="B568" t="str">
        <f t="shared" si="46"/>
        <v>7:6000111</v>
      </c>
      <c r="C568" s="1">
        <v>7</v>
      </c>
      <c r="D568" s="4">
        <v>6000111</v>
      </c>
      <c r="E568" s="3" t="s">
        <v>435</v>
      </c>
      <c r="F568" s="3"/>
      <c r="G568" s="1">
        <v>2053.35</v>
      </c>
      <c r="H568" s="1">
        <f t="shared" si="42"/>
        <v>2053.35</v>
      </c>
      <c r="I568" s="1" t="str">
        <f t="shared" si="43"/>
        <v/>
      </c>
      <c r="J568" s="1" t="str">
        <f>_xlfn.IFNA(INDEX([1]历练产出!$Z:$Z,MATCH(B568,[1]历练产出!$AB:$AB,0)),"")</f>
        <v/>
      </c>
      <c r="K568" s="1" t="str">
        <f>_xlfn.IFNA(INDEX([1]洞天福地产出!$H:$H,MATCH(B568,[1]洞天福地产出!$K:$K,0)),"")</f>
        <v/>
      </c>
      <c r="L568" s="1" t="str">
        <f t="shared" si="44"/>
        <v/>
      </c>
      <c r="M568" s="4">
        <f t="shared" si="45"/>
        <v>0</v>
      </c>
    </row>
    <row r="569" ht="30" spans="1:13">
      <c r="A569" s="4"/>
      <c r="B569" t="str">
        <f t="shared" si="46"/>
        <v>7:6000112</v>
      </c>
      <c r="C569" s="1">
        <v>7</v>
      </c>
      <c r="D569" s="4">
        <v>6000112</v>
      </c>
      <c r="E569" s="3" t="s">
        <v>435</v>
      </c>
      <c r="F569" s="3"/>
      <c r="G569" s="1">
        <v>2195.1</v>
      </c>
      <c r="H569" s="1">
        <f t="shared" si="42"/>
        <v>2195.1</v>
      </c>
      <c r="I569" s="1" t="str">
        <f t="shared" si="43"/>
        <v/>
      </c>
      <c r="J569" s="1" t="str">
        <f>_xlfn.IFNA(INDEX([1]历练产出!$Z:$Z,MATCH(B569,[1]历练产出!$AB:$AB,0)),"")</f>
        <v/>
      </c>
      <c r="K569" s="1" t="str">
        <f>_xlfn.IFNA(INDEX([1]洞天福地产出!$H:$H,MATCH(B569,[1]洞天福地产出!$K:$K,0)),"")</f>
        <v/>
      </c>
      <c r="L569" s="1" t="str">
        <f t="shared" si="44"/>
        <v/>
      </c>
      <c r="M569" s="4">
        <f t="shared" si="45"/>
        <v>0</v>
      </c>
    </row>
    <row r="570" ht="30" spans="1:13">
      <c r="A570" s="4"/>
      <c r="B570" t="str">
        <f t="shared" si="46"/>
        <v>7:6000113</v>
      </c>
      <c r="C570" s="1">
        <v>7</v>
      </c>
      <c r="D570" s="4">
        <v>6000113</v>
      </c>
      <c r="E570" s="3" t="s">
        <v>435</v>
      </c>
      <c r="F570" s="3"/>
      <c r="G570" s="1">
        <v>2349</v>
      </c>
      <c r="H570" s="1">
        <f t="shared" si="42"/>
        <v>2349</v>
      </c>
      <c r="I570" s="1" t="str">
        <f t="shared" si="43"/>
        <v/>
      </c>
      <c r="J570" s="1" t="str">
        <f>_xlfn.IFNA(INDEX([1]历练产出!$Z:$Z,MATCH(B570,[1]历练产出!$AB:$AB,0)),"")</f>
        <v/>
      </c>
      <c r="K570" s="1" t="str">
        <f>_xlfn.IFNA(INDEX([1]洞天福地产出!$H:$H,MATCH(B570,[1]洞天福地产出!$K:$K,0)),"")</f>
        <v/>
      </c>
      <c r="L570" s="1" t="str">
        <f t="shared" si="44"/>
        <v/>
      </c>
      <c r="M570" s="4">
        <f t="shared" si="45"/>
        <v>0</v>
      </c>
    </row>
    <row r="571" ht="30" spans="1:13">
      <c r="A571" s="4"/>
      <c r="B571" t="str">
        <f t="shared" si="46"/>
        <v>7:6000114</v>
      </c>
      <c r="C571" s="1">
        <v>7</v>
      </c>
      <c r="D571" s="4">
        <v>6000114</v>
      </c>
      <c r="E571" s="3" t="s">
        <v>435</v>
      </c>
      <c r="F571" s="3"/>
      <c r="G571" s="1">
        <v>2515.05</v>
      </c>
      <c r="H571" s="1">
        <f t="shared" si="42"/>
        <v>2515.05</v>
      </c>
      <c r="I571" s="1" t="str">
        <f t="shared" si="43"/>
        <v/>
      </c>
      <c r="J571" s="1" t="str">
        <f>_xlfn.IFNA(INDEX([1]历练产出!$Z:$Z,MATCH(B571,[1]历练产出!$AB:$AB,0)),"")</f>
        <v/>
      </c>
      <c r="K571" s="1" t="str">
        <f>_xlfn.IFNA(INDEX([1]洞天福地产出!$H:$H,MATCH(B571,[1]洞天福地产出!$K:$K,0)),"")</f>
        <v/>
      </c>
      <c r="L571" s="1" t="str">
        <f t="shared" si="44"/>
        <v/>
      </c>
      <c r="M571" s="4">
        <f t="shared" si="45"/>
        <v>0</v>
      </c>
    </row>
    <row r="572" ht="30" spans="1:13">
      <c r="A572" s="4"/>
      <c r="B572" t="str">
        <f t="shared" si="46"/>
        <v>7:6000115</v>
      </c>
      <c r="C572" s="1">
        <v>7</v>
      </c>
      <c r="D572" s="4">
        <v>6000115</v>
      </c>
      <c r="E572" s="3" t="s">
        <v>435</v>
      </c>
      <c r="F572" s="3"/>
      <c r="G572" s="1">
        <v>2693.25</v>
      </c>
      <c r="H572" s="1">
        <f t="shared" si="42"/>
        <v>2693.25</v>
      </c>
      <c r="I572" s="1" t="str">
        <f t="shared" si="43"/>
        <v/>
      </c>
      <c r="J572" s="1" t="str">
        <f>_xlfn.IFNA(INDEX([1]历练产出!$Z:$Z,MATCH(B572,[1]历练产出!$AB:$AB,0)),"")</f>
        <v/>
      </c>
      <c r="K572" s="1" t="str">
        <f>_xlfn.IFNA(INDEX([1]洞天福地产出!$H:$H,MATCH(B572,[1]洞天福地产出!$K:$K,0)),"")</f>
        <v/>
      </c>
      <c r="L572" s="1" t="str">
        <f t="shared" si="44"/>
        <v/>
      </c>
      <c r="M572" s="4">
        <f t="shared" si="45"/>
        <v>0</v>
      </c>
    </row>
    <row r="573" ht="30" spans="1:13">
      <c r="A573" s="4"/>
      <c r="B573" t="str">
        <f t="shared" si="46"/>
        <v>7:6000116</v>
      </c>
      <c r="C573" s="1">
        <v>7</v>
      </c>
      <c r="D573" s="4">
        <v>6000116</v>
      </c>
      <c r="E573" s="3" t="s">
        <v>435</v>
      </c>
      <c r="F573" s="3"/>
      <c r="G573" s="1">
        <v>2883.6</v>
      </c>
      <c r="H573" s="1">
        <f t="shared" si="42"/>
        <v>2883.6</v>
      </c>
      <c r="I573" s="1" t="str">
        <f t="shared" si="43"/>
        <v/>
      </c>
      <c r="J573" s="1" t="str">
        <f>_xlfn.IFNA(INDEX([1]历练产出!$Z:$Z,MATCH(B573,[1]历练产出!$AB:$AB,0)),"")</f>
        <v/>
      </c>
      <c r="K573" s="1" t="str">
        <f>_xlfn.IFNA(INDEX([1]洞天福地产出!$H:$H,MATCH(B573,[1]洞天福地产出!$K:$K,0)),"")</f>
        <v/>
      </c>
      <c r="L573" s="1" t="str">
        <f t="shared" si="44"/>
        <v/>
      </c>
      <c r="M573" s="4">
        <f t="shared" si="45"/>
        <v>0</v>
      </c>
    </row>
    <row r="574" ht="30" spans="1:13">
      <c r="A574" s="4"/>
      <c r="B574" t="str">
        <f t="shared" si="46"/>
        <v>7:6000117</v>
      </c>
      <c r="C574" s="1">
        <v>7</v>
      </c>
      <c r="D574" s="4">
        <v>6000117</v>
      </c>
      <c r="E574" s="3" t="s">
        <v>435</v>
      </c>
      <c r="F574" s="3"/>
      <c r="G574" s="1">
        <v>3086.1</v>
      </c>
      <c r="H574" s="1">
        <f t="shared" si="42"/>
        <v>3086.1</v>
      </c>
      <c r="I574" s="1" t="str">
        <f t="shared" si="43"/>
        <v/>
      </c>
      <c r="J574" s="1" t="str">
        <f>_xlfn.IFNA(INDEX([1]历练产出!$Z:$Z,MATCH(B574,[1]历练产出!$AB:$AB,0)),"")</f>
        <v/>
      </c>
      <c r="K574" s="1" t="str">
        <f>_xlfn.IFNA(INDEX([1]洞天福地产出!$H:$H,MATCH(B574,[1]洞天福地产出!$K:$K,0)),"")</f>
        <v/>
      </c>
      <c r="L574" s="1" t="str">
        <f t="shared" si="44"/>
        <v/>
      </c>
      <c r="M574" s="4">
        <f t="shared" si="45"/>
        <v>0</v>
      </c>
    </row>
    <row r="575" ht="30" spans="1:13">
      <c r="A575" s="4"/>
      <c r="B575" t="str">
        <f t="shared" si="46"/>
        <v>7:6000118</v>
      </c>
      <c r="C575" s="1">
        <v>7</v>
      </c>
      <c r="D575" s="4">
        <v>6000118</v>
      </c>
      <c r="E575" s="3" t="s">
        <v>435</v>
      </c>
      <c r="F575" s="3"/>
      <c r="G575" s="1">
        <v>3300.75</v>
      </c>
      <c r="H575" s="1">
        <f t="shared" si="42"/>
        <v>3300.75</v>
      </c>
      <c r="I575" s="1" t="str">
        <f t="shared" si="43"/>
        <v/>
      </c>
      <c r="J575" s="1" t="str">
        <f>_xlfn.IFNA(INDEX([1]历练产出!$Z:$Z,MATCH(B575,[1]历练产出!$AB:$AB,0)),"")</f>
        <v/>
      </c>
      <c r="K575" s="1" t="str">
        <f>_xlfn.IFNA(INDEX([1]洞天福地产出!$H:$H,MATCH(B575,[1]洞天福地产出!$K:$K,0)),"")</f>
        <v/>
      </c>
      <c r="L575" s="1" t="str">
        <f t="shared" si="44"/>
        <v/>
      </c>
      <c r="M575" s="4">
        <f t="shared" si="45"/>
        <v>0</v>
      </c>
    </row>
    <row r="576" ht="30" spans="1:13">
      <c r="A576" s="4"/>
      <c r="B576" t="str">
        <f t="shared" si="46"/>
        <v>7:6000119</v>
      </c>
      <c r="C576" s="1">
        <v>7</v>
      </c>
      <c r="D576" s="4">
        <v>6000119</v>
      </c>
      <c r="E576" s="3" t="s">
        <v>435</v>
      </c>
      <c r="F576" s="3"/>
      <c r="G576" s="1">
        <v>4823.55</v>
      </c>
      <c r="H576" s="1">
        <f t="shared" si="42"/>
        <v>4823.55</v>
      </c>
      <c r="I576" s="1" t="str">
        <f t="shared" si="43"/>
        <v/>
      </c>
      <c r="J576" s="1" t="str">
        <f>_xlfn.IFNA(INDEX([1]历练产出!$Z:$Z,MATCH(B576,[1]历练产出!$AB:$AB,0)),"")</f>
        <v/>
      </c>
      <c r="K576" s="1" t="str">
        <f>_xlfn.IFNA(INDEX([1]洞天福地产出!$H:$H,MATCH(B576,[1]洞天福地产出!$K:$K,0)),"")</f>
        <v/>
      </c>
      <c r="L576" s="1" t="str">
        <f t="shared" si="44"/>
        <v/>
      </c>
      <c r="M576" s="4">
        <f t="shared" si="45"/>
        <v>0</v>
      </c>
    </row>
    <row r="577" ht="30" spans="1:13">
      <c r="A577" s="4"/>
      <c r="B577" t="str">
        <f t="shared" si="46"/>
        <v>7:6000120</v>
      </c>
      <c r="C577" s="1">
        <v>7</v>
      </c>
      <c r="D577" s="4">
        <v>6000120</v>
      </c>
      <c r="E577" s="3" t="s">
        <v>435</v>
      </c>
      <c r="F577" s="3"/>
      <c r="G577" s="1">
        <v>5062.5</v>
      </c>
      <c r="H577" s="1">
        <f t="shared" si="42"/>
        <v>5062.5</v>
      </c>
      <c r="I577" s="1" t="str">
        <f t="shared" si="43"/>
        <v/>
      </c>
      <c r="J577" s="1" t="str">
        <f>_xlfn.IFNA(INDEX([1]历练产出!$Z:$Z,MATCH(B577,[1]历练产出!$AB:$AB,0)),"")</f>
        <v/>
      </c>
      <c r="K577" s="1" t="str">
        <f>_xlfn.IFNA(INDEX([1]洞天福地产出!$H:$H,MATCH(B577,[1]洞天福地产出!$K:$K,0)),"")</f>
        <v/>
      </c>
      <c r="L577" s="1" t="str">
        <f t="shared" si="44"/>
        <v/>
      </c>
      <c r="M577" s="4">
        <f t="shared" si="45"/>
        <v>0</v>
      </c>
    </row>
    <row r="578" ht="30" spans="1:13">
      <c r="A578" s="4"/>
      <c r="B578" t="str">
        <f t="shared" si="46"/>
        <v>7:6000121</v>
      </c>
      <c r="C578" s="1">
        <v>7</v>
      </c>
      <c r="D578" s="4">
        <v>6000121</v>
      </c>
      <c r="E578" s="3" t="s">
        <v>435</v>
      </c>
      <c r="F578" s="3"/>
      <c r="G578" s="1">
        <v>5313.6</v>
      </c>
      <c r="H578" s="1">
        <f t="shared" si="42"/>
        <v>5313.6</v>
      </c>
      <c r="I578" s="1" t="str">
        <f t="shared" si="43"/>
        <v/>
      </c>
      <c r="J578" s="1" t="str">
        <f>_xlfn.IFNA(INDEX([1]历练产出!$Z:$Z,MATCH(B578,[1]历练产出!$AB:$AB,0)),"")</f>
        <v/>
      </c>
      <c r="K578" s="1" t="str">
        <f>_xlfn.IFNA(INDEX([1]洞天福地产出!$H:$H,MATCH(B578,[1]洞天福地产出!$K:$K,0)),"")</f>
        <v/>
      </c>
      <c r="L578" s="1" t="str">
        <f t="shared" si="44"/>
        <v/>
      </c>
      <c r="M578" s="4">
        <f t="shared" si="45"/>
        <v>0</v>
      </c>
    </row>
    <row r="579" ht="30" spans="1:13">
      <c r="A579" s="4"/>
      <c r="B579" t="str">
        <f t="shared" si="46"/>
        <v>7:6000122</v>
      </c>
      <c r="C579" s="1">
        <v>7</v>
      </c>
      <c r="D579" s="4">
        <v>6000122</v>
      </c>
      <c r="E579" s="3" t="s">
        <v>435</v>
      </c>
      <c r="F579" s="3"/>
      <c r="G579" s="1">
        <v>5576.85</v>
      </c>
      <c r="H579" s="1">
        <f t="shared" si="42"/>
        <v>5576.85</v>
      </c>
      <c r="I579" s="1" t="str">
        <f t="shared" si="43"/>
        <v/>
      </c>
      <c r="J579" s="1" t="str">
        <f>_xlfn.IFNA(INDEX([1]历练产出!$Z:$Z,MATCH(B579,[1]历练产出!$AB:$AB,0)),"")</f>
        <v/>
      </c>
      <c r="K579" s="1" t="str">
        <f>_xlfn.IFNA(INDEX([1]洞天福地产出!$H:$H,MATCH(B579,[1]洞天福地产出!$K:$K,0)),"")</f>
        <v/>
      </c>
      <c r="L579" s="1" t="str">
        <f t="shared" si="44"/>
        <v/>
      </c>
      <c r="M579" s="4">
        <f t="shared" si="45"/>
        <v>0</v>
      </c>
    </row>
    <row r="580" ht="30" spans="1:13">
      <c r="A580" s="4"/>
      <c r="B580" t="str">
        <f t="shared" si="46"/>
        <v>7:6000123</v>
      </c>
      <c r="C580" s="1">
        <v>7</v>
      </c>
      <c r="D580" s="4">
        <v>6000123</v>
      </c>
      <c r="E580" s="3" t="s">
        <v>435</v>
      </c>
      <c r="F580" s="3"/>
      <c r="G580" s="1">
        <v>5852.25</v>
      </c>
      <c r="H580" s="1">
        <f t="shared" ref="H580:H643" si="47">IF(I580="",G580,I580)</f>
        <v>5852.25</v>
      </c>
      <c r="I580" s="1" t="str">
        <f t="shared" ref="I580:I643" si="48">IFERROR(100/L580,"")</f>
        <v/>
      </c>
      <c r="J580" s="1" t="str">
        <f>_xlfn.IFNA(INDEX([1]历练产出!$Z:$Z,MATCH(B580,[1]历练产出!$AB:$AB,0)),"")</f>
        <v/>
      </c>
      <c r="K580" s="1" t="str">
        <f>_xlfn.IFNA(INDEX([1]洞天福地产出!$H:$H,MATCH(B580,[1]洞天福地产出!$K:$K,0)),"")</f>
        <v/>
      </c>
      <c r="L580" s="1" t="str">
        <f t="shared" ref="L580:L643" si="49">IFERROR(J580+K580,"")</f>
        <v/>
      </c>
      <c r="M580" s="4">
        <f t="shared" ref="M580:M643" si="50">IF(I580="",0,1)</f>
        <v>0</v>
      </c>
    </row>
    <row r="581" ht="30" spans="1:13">
      <c r="A581" s="4"/>
      <c r="B581" t="str">
        <f t="shared" si="46"/>
        <v>7:6000124</v>
      </c>
      <c r="C581" s="1">
        <v>7</v>
      </c>
      <c r="D581" s="4">
        <v>6000124</v>
      </c>
      <c r="E581" s="3" t="s">
        <v>435</v>
      </c>
      <c r="F581" s="3"/>
      <c r="G581" s="1">
        <v>6139.8</v>
      </c>
      <c r="H581" s="1">
        <f t="shared" si="47"/>
        <v>6139.8</v>
      </c>
      <c r="I581" s="1" t="str">
        <f t="shared" si="48"/>
        <v/>
      </c>
      <c r="J581" s="1" t="str">
        <f>_xlfn.IFNA(INDEX([1]历练产出!$Z:$Z,MATCH(B581,[1]历练产出!$AB:$AB,0)),"")</f>
        <v/>
      </c>
      <c r="K581" s="1" t="str">
        <f>_xlfn.IFNA(INDEX([1]洞天福地产出!$H:$H,MATCH(B581,[1]洞天福地产出!$K:$K,0)),"")</f>
        <v/>
      </c>
      <c r="L581" s="1" t="str">
        <f t="shared" si="49"/>
        <v/>
      </c>
      <c r="M581" s="4">
        <f t="shared" si="50"/>
        <v>0</v>
      </c>
    </row>
    <row r="582" ht="30" spans="1:13">
      <c r="A582" s="4"/>
      <c r="B582" t="str">
        <f t="shared" si="46"/>
        <v>7:6000125</v>
      </c>
      <c r="C582" s="1">
        <v>7</v>
      </c>
      <c r="D582" s="4">
        <v>6000125</v>
      </c>
      <c r="E582" s="3" t="s">
        <v>435</v>
      </c>
      <c r="F582" s="3"/>
      <c r="G582" s="1">
        <v>6439.5</v>
      </c>
      <c r="H582" s="1">
        <f t="shared" si="47"/>
        <v>6439.5</v>
      </c>
      <c r="I582" s="1" t="str">
        <f t="shared" si="48"/>
        <v/>
      </c>
      <c r="J582" s="1" t="str">
        <f>_xlfn.IFNA(INDEX([1]历练产出!$Z:$Z,MATCH(B582,[1]历练产出!$AB:$AB,0)),"")</f>
        <v/>
      </c>
      <c r="K582" s="1" t="str">
        <f>_xlfn.IFNA(INDEX([1]洞天福地产出!$H:$H,MATCH(B582,[1]洞天福地产出!$K:$K,0)),"")</f>
        <v/>
      </c>
      <c r="L582" s="1" t="str">
        <f t="shared" si="49"/>
        <v/>
      </c>
      <c r="M582" s="4">
        <f t="shared" si="50"/>
        <v>0</v>
      </c>
    </row>
    <row r="583" ht="30" spans="1:13">
      <c r="A583" s="4"/>
      <c r="B583" t="str">
        <f t="shared" si="46"/>
        <v>7:6000126</v>
      </c>
      <c r="C583" s="1">
        <v>7</v>
      </c>
      <c r="D583" s="4">
        <v>6000126</v>
      </c>
      <c r="E583" s="3" t="s">
        <v>435</v>
      </c>
      <c r="F583" s="3"/>
      <c r="G583" s="1">
        <v>6751.35</v>
      </c>
      <c r="H583" s="1">
        <f t="shared" si="47"/>
        <v>6751.35</v>
      </c>
      <c r="I583" s="1" t="str">
        <f t="shared" si="48"/>
        <v/>
      </c>
      <c r="J583" s="1" t="str">
        <f>_xlfn.IFNA(INDEX([1]历练产出!$Z:$Z,MATCH(B583,[1]历练产出!$AB:$AB,0)),"")</f>
        <v/>
      </c>
      <c r="K583" s="1" t="str">
        <f>_xlfn.IFNA(INDEX([1]洞天福地产出!$H:$H,MATCH(B583,[1]洞天福地产出!$K:$K,0)),"")</f>
        <v/>
      </c>
      <c r="L583" s="1" t="str">
        <f t="shared" si="49"/>
        <v/>
      </c>
      <c r="M583" s="4">
        <f t="shared" si="50"/>
        <v>0</v>
      </c>
    </row>
    <row r="584" ht="30" spans="1:13">
      <c r="A584" s="4"/>
      <c r="B584" t="str">
        <f t="shared" si="46"/>
        <v>7:6000127</v>
      </c>
      <c r="C584" s="1">
        <v>7</v>
      </c>
      <c r="D584" s="4">
        <v>6000127</v>
      </c>
      <c r="E584" s="3" t="s">
        <v>435</v>
      </c>
      <c r="F584" s="3"/>
      <c r="G584" s="1">
        <v>7075.35</v>
      </c>
      <c r="H584" s="1">
        <f t="shared" si="47"/>
        <v>7075.35</v>
      </c>
      <c r="I584" s="1" t="str">
        <f t="shared" si="48"/>
        <v/>
      </c>
      <c r="J584" s="1" t="str">
        <f>_xlfn.IFNA(INDEX([1]历练产出!$Z:$Z,MATCH(B584,[1]历练产出!$AB:$AB,0)),"")</f>
        <v/>
      </c>
      <c r="K584" s="1" t="str">
        <f>_xlfn.IFNA(INDEX([1]洞天福地产出!$H:$H,MATCH(B584,[1]洞天福地产出!$K:$K,0)),"")</f>
        <v/>
      </c>
      <c r="L584" s="1" t="str">
        <f t="shared" si="49"/>
        <v/>
      </c>
      <c r="M584" s="4">
        <f t="shared" si="50"/>
        <v>0</v>
      </c>
    </row>
    <row r="585" ht="30" spans="1:13">
      <c r="A585" s="4"/>
      <c r="B585" t="str">
        <f t="shared" si="46"/>
        <v>7:6000128</v>
      </c>
      <c r="C585" s="1">
        <v>7</v>
      </c>
      <c r="D585" s="4">
        <v>6000128</v>
      </c>
      <c r="E585" s="3" t="s">
        <v>435</v>
      </c>
      <c r="F585" s="3"/>
      <c r="G585" s="1">
        <v>7411.5</v>
      </c>
      <c r="H585" s="1">
        <f t="shared" si="47"/>
        <v>7411.5</v>
      </c>
      <c r="I585" s="1" t="str">
        <f t="shared" si="48"/>
        <v/>
      </c>
      <c r="J585" s="1" t="str">
        <f>_xlfn.IFNA(INDEX([1]历练产出!$Z:$Z,MATCH(B585,[1]历练产出!$AB:$AB,0)),"")</f>
        <v/>
      </c>
      <c r="K585" s="1" t="str">
        <f>_xlfn.IFNA(INDEX([1]洞天福地产出!$H:$H,MATCH(B585,[1]洞天福地产出!$K:$K,0)),"")</f>
        <v/>
      </c>
      <c r="L585" s="1" t="str">
        <f t="shared" si="49"/>
        <v/>
      </c>
      <c r="M585" s="4">
        <f t="shared" si="50"/>
        <v>0</v>
      </c>
    </row>
    <row r="586" ht="30" spans="1:13">
      <c r="A586" s="4"/>
      <c r="B586" t="str">
        <f t="shared" si="46"/>
        <v>7:6000129</v>
      </c>
      <c r="C586" s="1">
        <v>7</v>
      </c>
      <c r="D586" s="4">
        <v>6000129</v>
      </c>
      <c r="E586" s="3" t="s">
        <v>435</v>
      </c>
      <c r="F586" s="3"/>
      <c r="G586" s="1">
        <v>9703.8</v>
      </c>
      <c r="H586" s="1">
        <f t="shared" si="47"/>
        <v>9703.8</v>
      </c>
      <c r="I586" s="1" t="str">
        <f t="shared" si="48"/>
        <v/>
      </c>
      <c r="J586" s="1" t="str">
        <f>_xlfn.IFNA(INDEX([1]历练产出!$Z:$Z,MATCH(B586,[1]历练产出!$AB:$AB,0)),"")</f>
        <v/>
      </c>
      <c r="K586" s="1" t="str">
        <f>_xlfn.IFNA(INDEX([1]洞天福地产出!$H:$H,MATCH(B586,[1]洞天福地产出!$K:$K,0)),"")</f>
        <v/>
      </c>
      <c r="L586" s="1" t="str">
        <f t="shared" si="49"/>
        <v/>
      </c>
      <c r="M586" s="4">
        <f t="shared" si="50"/>
        <v>0</v>
      </c>
    </row>
    <row r="587" ht="30" spans="1:13">
      <c r="A587" s="4"/>
      <c r="B587" t="str">
        <f t="shared" si="46"/>
        <v>7:6000130</v>
      </c>
      <c r="C587" s="1">
        <v>7</v>
      </c>
      <c r="D587" s="4">
        <v>6000130</v>
      </c>
      <c r="E587" s="3" t="s">
        <v>435</v>
      </c>
      <c r="F587" s="3"/>
      <c r="G587" s="1">
        <v>10052.1</v>
      </c>
      <c r="H587" s="1">
        <f t="shared" si="47"/>
        <v>10052.1</v>
      </c>
      <c r="I587" s="1" t="str">
        <f t="shared" si="48"/>
        <v/>
      </c>
      <c r="J587" s="1" t="str">
        <f>_xlfn.IFNA(INDEX([1]历练产出!$Z:$Z,MATCH(B587,[1]历练产出!$AB:$AB,0)),"")</f>
        <v/>
      </c>
      <c r="K587" s="1" t="str">
        <f>_xlfn.IFNA(INDEX([1]洞天福地产出!$H:$H,MATCH(B587,[1]洞天福地产出!$K:$K,0)),"")</f>
        <v/>
      </c>
      <c r="L587" s="1" t="str">
        <f t="shared" si="49"/>
        <v/>
      </c>
      <c r="M587" s="4">
        <f t="shared" si="50"/>
        <v>0</v>
      </c>
    </row>
    <row r="588" ht="45" spans="1:13">
      <c r="A588" s="4"/>
      <c r="B588" t="str">
        <f t="shared" si="46"/>
        <v>7:7000101</v>
      </c>
      <c r="C588" s="1">
        <v>7</v>
      </c>
      <c r="D588" s="4">
        <v>7000101</v>
      </c>
      <c r="E588" s="3" t="s">
        <v>1885</v>
      </c>
      <c r="F588" s="3"/>
      <c r="G588" s="1">
        <v>656.1</v>
      </c>
      <c r="H588" s="1">
        <f t="shared" si="47"/>
        <v>656.1</v>
      </c>
      <c r="I588" s="1" t="str">
        <f t="shared" si="48"/>
        <v/>
      </c>
      <c r="J588" s="1" t="str">
        <f>_xlfn.IFNA(INDEX([1]历练产出!$Z:$Z,MATCH(B588,[1]历练产出!$AB:$AB,0)),"")</f>
        <v/>
      </c>
      <c r="K588" s="1" t="str">
        <f>_xlfn.IFNA(INDEX([1]洞天福地产出!$H:$H,MATCH(B588,[1]洞天福地产出!$K:$K,0)),"")</f>
        <v/>
      </c>
      <c r="L588" s="1" t="str">
        <f t="shared" si="49"/>
        <v/>
      </c>
      <c r="M588" s="4">
        <f t="shared" si="50"/>
        <v>0</v>
      </c>
    </row>
    <row r="589" ht="45" spans="1:13">
      <c r="A589" s="4"/>
      <c r="B589" t="str">
        <f t="shared" si="46"/>
        <v>7:7000102</v>
      </c>
      <c r="C589" s="1">
        <v>7</v>
      </c>
      <c r="D589" s="4">
        <v>7000102</v>
      </c>
      <c r="E589" s="3" t="s">
        <v>1885</v>
      </c>
      <c r="F589" s="3"/>
      <c r="G589" s="1">
        <v>676.35</v>
      </c>
      <c r="H589" s="1">
        <f t="shared" si="47"/>
        <v>676.35</v>
      </c>
      <c r="I589" s="1" t="str">
        <f t="shared" si="48"/>
        <v/>
      </c>
      <c r="J589" s="1" t="str">
        <f>_xlfn.IFNA(INDEX([1]历练产出!$Z:$Z,MATCH(B589,[1]历练产出!$AB:$AB,0)),"")</f>
        <v/>
      </c>
      <c r="K589" s="1" t="str">
        <f>_xlfn.IFNA(INDEX([1]洞天福地产出!$H:$H,MATCH(B589,[1]洞天福地产出!$K:$K,0)),"")</f>
        <v/>
      </c>
      <c r="L589" s="1" t="str">
        <f t="shared" si="49"/>
        <v/>
      </c>
      <c r="M589" s="4">
        <f t="shared" si="50"/>
        <v>0</v>
      </c>
    </row>
    <row r="590" ht="45" spans="1:13">
      <c r="A590" s="4"/>
      <c r="B590" t="str">
        <f t="shared" si="46"/>
        <v>7:7000103</v>
      </c>
      <c r="C590" s="1">
        <v>7</v>
      </c>
      <c r="D590" s="4">
        <v>7000103</v>
      </c>
      <c r="E590" s="3" t="s">
        <v>1885</v>
      </c>
      <c r="F590" s="3"/>
      <c r="G590" s="1">
        <v>708.75</v>
      </c>
      <c r="H590" s="1">
        <f t="shared" si="47"/>
        <v>708.75</v>
      </c>
      <c r="I590" s="1" t="str">
        <f t="shared" si="48"/>
        <v/>
      </c>
      <c r="J590" s="1" t="str">
        <f>_xlfn.IFNA(INDEX([1]历练产出!$Z:$Z,MATCH(B590,[1]历练产出!$AB:$AB,0)),"")</f>
        <v/>
      </c>
      <c r="K590" s="1" t="str">
        <f>_xlfn.IFNA(INDEX([1]洞天福地产出!$H:$H,MATCH(B590,[1]洞天福地产出!$K:$K,0)),"")</f>
        <v/>
      </c>
      <c r="L590" s="1" t="str">
        <f t="shared" si="49"/>
        <v/>
      </c>
      <c r="M590" s="4">
        <f t="shared" si="50"/>
        <v>0</v>
      </c>
    </row>
    <row r="591" ht="45" spans="1:13">
      <c r="A591" s="4"/>
      <c r="B591" t="str">
        <f t="shared" si="46"/>
        <v>7:7000104</v>
      </c>
      <c r="C591" s="1">
        <v>7</v>
      </c>
      <c r="D591" s="4">
        <v>7000104</v>
      </c>
      <c r="E591" s="3" t="s">
        <v>1885</v>
      </c>
      <c r="F591" s="3"/>
      <c r="G591" s="1">
        <v>753.3</v>
      </c>
      <c r="H591" s="1">
        <f t="shared" si="47"/>
        <v>753.3</v>
      </c>
      <c r="I591" s="1" t="str">
        <f t="shared" si="48"/>
        <v/>
      </c>
      <c r="J591" s="1" t="str">
        <f>_xlfn.IFNA(INDEX([1]历练产出!$Z:$Z,MATCH(B591,[1]历练产出!$AB:$AB,0)),"")</f>
        <v/>
      </c>
      <c r="K591" s="1" t="str">
        <f>_xlfn.IFNA(INDEX([1]洞天福地产出!$H:$H,MATCH(B591,[1]洞天福地产出!$K:$K,0)),"")</f>
        <v/>
      </c>
      <c r="L591" s="1" t="str">
        <f t="shared" si="49"/>
        <v/>
      </c>
      <c r="M591" s="4">
        <f t="shared" si="50"/>
        <v>0</v>
      </c>
    </row>
    <row r="592" ht="45" spans="1:13">
      <c r="A592" s="4"/>
      <c r="B592" t="str">
        <f t="shared" si="46"/>
        <v>7:7000105</v>
      </c>
      <c r="C592" s="1">
        <v>7</v>
      </c>
      <c r="D592" s="4">
        <v>7000105</v>
      </c>
      <c r="E592" s="3" t="s">
        <v>1885</v>
      </c>
      <c r="F592" s="3"/>
      <c r="G592" s="1">
        <v>810</v>
      </c>
      <c r="H592" s="1">
        <f t="shared" si="47"/>
        <v>810</v>
      </c>
      <c r="I592" s="1" t="str">
        <f t="shared" si="48"/>
        <v/>
      </c>
      <c r="J592" s="1" t="str">
        <f>_xlfn.IFNA(INDEX([1]历练产出!$Z:$Z,MATCH(B592,[1]历练产出!$AB:$AB,0)),"")</f>
        <v/>
      </c>
      <c r="K592" s="1" t="str">
        <f>_xlfn.IFNA(INDEX([1]洞天福地产出!$H:$H,MATCH(B592,[1]洞天福地产出!$K:$K,0)),"")</f>
        <v/>
      </c>
      <c r="L592" s="1" t="str">
        <f t="shared" si="49"/>
        <v/>
      </c>
      <c r="M592" s="4">
        <f t="shared" si="50"/>
        <v>0</v>
      </c>
    </row>
    <row r="593" ht="45" spans="1:13">
      <c r="A593" s="4"/>
      <c r="B593" t="str">
        <f t="shared" si="46"/>
        <v>7:7000106</v>
      </c>
      <c r="C593" s="1">
        <v>7</v>
      </c>
      <c r="D593" s="4">
        <v>7000106</v>
      </c>
      <c r="E593" s="3" t="s">
        <v>1885</v>
      </c>
      <c r="F593" s="3"/>
      <c r="G593" s="1">
        <v>878.85</v>
      </c>
      <c r="H593" s="1">
        <f t="shared" si="47"/>
        <v>878.85</v>
      </c>
      <c r="I593" s="1" t="str">
        <f t="shared" si="48"/>
        <v/>
      </c>
      <c r="J593" s="1" t="str">
        <f>_xlfn.IFNA(INDEX([1]历练产出!$Z:$Z,MATCH(B593,[1]历练产出!$AB:$AB,0)),"")</f>
        <v/>
      </c>
      <c r="K593" s="1" t="str">
        <f>_xlfn.IFNA(INDEX([1]洞天福地产出!$H:$H,MATCH(B593,[1]洞天福地产出!$K:$K,0)),"")</f>
        <v/>
      </c>
      <c r="L593" s="1" t="str">
        <f t="shared" si="49"/>
        <v/>
      </c>
      <c r="M593" s="4">
        <f t="shared" si="50"/>
        <v>0</v>
      </c>
    </row>
    <row r="594" ht="45" spans="1:13">
      <c r="A594" s="4"/>
      <c r="B594" t="str">
        <f t="shared" si="46"/>
        <v>7:7000107</v>
      </c>
      <c r="C594" s="1">
        <v>7</v>
      </c>
      <c r="D594" s="4">
        <v>7000107</v>
      </c>
      <c r="E594" s="3" t="s">
        <v>1885</v>
      </c>
      <c r="F594" s="3"/>
      <c r="G594" s="1">
        <v>959.85</v>
      </c>
      <c r="H594" s="1">
        <f t="shared" si="47"/>
        <v>959.85</v>
      </c>
      <c r="I594" s="1" t="str">
        <f t="shared" si="48"/>
        <v/>
      </c>
      <c r="J594" s="1" t="str">
        <f>_xlfn.IFNA(INDEX([1]历练产出!$Z:$Z,MATCH(B594,[1]历练产出!$AB:$AB,0)),"")</f>
        <v/>
      </c>
      <c r="K594" s="1" t="str">
        <f>_xlfn.IFNA(INDEX([1]洞天福地产出!$H:$H,MATCH(B594,[1]洞天福地产出!$K:$K,0)),"")</f>
        <v/>
      </c>
      <c r="L594" s="1" t="str">
        <f t="shared" si="49"/>
        <v/>
      </c>
      <c r="M594" s="4">
        <f t="shared" si="50"/>
        <v>0</v>
      </c>
    </row>
    <row r="595" ht="45" spans="1:13">
      <c r="A595" s="4"/>
      <c r="B595" t="str">
        <f t="shared" si="46"/>
        <v>7:7000108</v>
      </c>
      <c r="C595" s="1">
        <v>7</v>
      </c>
      <c r="D595" s="4">
        <v>7000108</v>
      </c>
      <c r="E595" s="3" t="s">
        <v>1885</v>
      </c>
      <c r="F595" s="3"/>
      <c r="G595" s="1">
        <v>1053</v>
      </c>
      <c r="H595" s="1">
        <f t="shared" si="47"/>
        <v>1053</v>
      </c>
      <c r="I595" s="1" t="str">
        <f t="shared" si="48"/>
        <v/>
      </c>
      <c r="J595" s="1" t="str">
        <f>_xlfn.IFNA(INDEX([1]历练产出!$Z:$Z,MATCH(B595,[1]历练产出!$AB:$AB,0)),"")</f>
        <v/>
      </c>
      <c r="K595" s="1" t="str">
        <f>_xlfn.IFNA(INDEX([1]洞天福地产出!$H:$H,MATCH(B595,[1]洞天福地产出!$K:$K,0)),"")</f>
        <v/>
      </c>
      <c r="L595" s="1" t="str">
        <f t="shared" si="49"/>
        <v/>
      </c>
      <c r="M595" s="4">
        <f t="shared" si="50"/>
        <v>0</v>
      </c>
    </row>
    <row r="596" ht="45" spans="1:13">
      <c r="A596" s="4"/>
      <c r="B596" t="str">
        <f t="shared" si="46"/>
        <v>7:7000109</v>
      </c>
      <c r="C596" s="1">
        <v>7</v>
      </c>
      <c r="D596" s="4">
        <v>7000109</v>
      </c>
      <c r="E596" s="3" t="s">
        <v>1885</v>
      </c>
      <c r="F596" s="3"/>
      <c r="G596" s="1">
        <v>1806.3</v>
      </c>
      <c r="H596" s="1">
        <f t="shared" si="47"/>
        <v>1806.3</v>
      </c>
      <c r="I596" s="1" t="str">
        <f t="shared" si="48"/>
        <v/>
      </c>
      <c r="J596" s="1" t="str">
        <f>_xlfn.IFNA(INDEX([1]历练产出!$Z:$Z,MATCH(B596,[1]历练产出!$AB:$AB,0)),"")</f>
        <v/>
      </c>
      <c r="K596" s="1" t="str">
        <f>_xlfn.IFNA(INDEX([1]洞天福地产出!$H:$H,MATCH(B596,[1]洞天福地产出!$K:$K,0)),"")</f>
        <v/>
      </c>
      <c r="L596" s="1" t="str">
        <f t="shared" si="49"/>
        <v/>
      </c>
      <c r="M596" s="4">
        <f t="shared" si="50"/>
        <v>0</v>
      </c>
    </row>
    <row r="597" ht="45" spans="1:13">
      <c r="A597" s="4"/>
      <c r="B597" t="str">
        <f t="shared" si="46"/>
        <v>7:7000110</v>
      </c>
      <c r="C597" s="1">
        <v>7</v>
      </c>
      <c r="D597" s="4">
        <v>7000110</v>
      </c>
      <c r="E597" s="3" t="s">
        <v>1885</v>
      </c>
      <c r="F597" s="3"/>
      <c r="G597" s="1">
        <v>1923.75</v>
      </c>
      <c r="H597" s="1">
        <f t="shared" si="47"/>
        <v>1923.75</v>
      </c>
      <c r="I597" s="1" t="str">
        <f t="shared" si="48"/>
        <v/>
      </c>
      <c r="J597" s="1" t="str">
        <f>_xlfn.IFNA(INDEX([1]历练产出!$Z:$Z,MATCH(B597,[1]历练产出!$AB:$AB,0)),"")</f>
        <v/>
      </c>
      <c r="K597" s="1" t="str">
        <f>_xlfn.IFNA(INDEX([1]洞天福地产出!$H:$H,MATCH(B597,[1]洞天福地产出!$K:$K,0)),"")</f>
        <v/>
      </c>
      <c r="L597" s="1" t="str">
        <f t="shared" si="49"/>
        <v/>
      </c>
      <c r="M597" s="4">
        <f t="shared" si="50"/>
        <v>0</v>
      </c>
    </row>
    <row r="598" ht="45" spans="1:13">
      <c r="A598" s="4"/>
      <c r="B598" t="str">
        <f t="shared" si="46"/>
        <v>7:7000111</v>
      </c>
      <c r="C598" s="1">
        <v>7</v>
      </c>
      <c r="D598" s="4">
        <v>7000111</v>
      </c>
      <c r="E598" s="3" t="s">
        <v>1885</v>
      </c>
      <c r="F598" s="3"/>
      <c r="G598" s="1">
        <v>2053.35</v>
      </c>
      <c r="H598" s="1">
        <f t="shared" si="47"/>
        <v>2053.35</v>
      </c>
      <c r="I598" s="1" t="str">
        <f t="shared" si="48"/>
        <v/>
      </c>
      <c r="J598" s="1" t="str">
        <f>_xlfn.IFNA(INDEX([1]历练产出!$Z:$Z,MATCH(B598,[1]历练产出!$AB:$AB,0)),"")</f>
        <v/>
      </c>
      <c r="K598" s="1" t="str">
        <f>_xlfn.IFNA(INDEX([1]洞天福地产出!$H:$H,MATCH(B598,[1]洞天福地产出!$K:$K,0)),"")</f>
        <v/>
      </c>
      <c r="L598" s="1" t="str">
        <f t="shared" si="49"/>
        <v/>
      </c>
      <c r="M598" s="4">
        <f t="shared" si="50"/>
        <v>0</v>
      </c>
    </row>
    <row r="599" ht="45" spans="1:13">
      <c r="A599" s="4"/>
      <c r="B599" t="str">
        <f t="shared" si="46"/>
        <v>7:7000112</v>
      </c>
      <c r="C599" s="1">
        <v>7</v>
      </c>
      <c r="D599" s="4">
        <v>7000112</v>
      </c>
      <c r="E599" s="3" t="s">
        <v>1885</v>
      </c>
      <c r="F599" s="3"/>
      <c r="G599" s="1">
        <v>2195.1</v>
      </c>
      <c r="H599" s="1">
        <f t="shared" si="47"/>
        <v>2195.1</v>
      </c>
      <c r="I599" s="1" t="str">
        <f t="shared" si="48"/>
        <v/>
      </c>
      <c r="J599" s="1" t="str">
        <f>_xlfn.IFNA(INDEX([1]历练产出!$Z:$Z,MATCH(B599,[1]历练产出!$AB:$AB,0)),"")</f>
        <v/>
      </c>
      <c r="K599" s="1" t="str">
        <f>_xlfn.IFNA(INDEX([1]洞天福地产出!$H:$H,MATCH(B599,[1]洞天福地产出!$K:$K,0)),"")</f>
        <v/>
      </c>
      <c r="L599" s="1" t="str">
        <f t="shared" si="49"/>
        <v/>
      </c>
      <c r="M599" s="4">
        <f t="shared" si="50"/>
        <v>0</v>
      </c>
    </row>
    <row r="600" ht="45" spans="1:13">
      <c r="A600" s="4"/>
      <c r="B600" t="str">
        <f t="shared" si="46"/>
        <v>7:7000113</v>
      </c>
      <c r="C600" s="1">
        <v>7</v>
      </c>
      <c r="D600" s="4">
        <v>7000113</v>
      </c>
      <c r="E600" s="3" t="s">
        <v>1885</v>
      </c>
      <c r="F600" s="3"/>
      <c r="G600" s="1">
        <v>2349</v>
      </c>
      <c r="H600" s="1">
        <f t="shared" si="47"/>
        <v>2349</v>
      </c>
      <c r="I600" s="1" t="str">
        <f t="shared" si="48"/>
        <v/>
      </c>
      <c r="J600" s="1" t="str">
        <f>_xlfn.IFNA(INDEX([1]历练产出!$Z:$Z,MATCH(B600,[1]历练产出!$AB:$AB,0)),"")</f>
        <v/>
      </c>
      <c r="K600" s="1" t="str">
        <f>_xlfn.IFNA(INDEX([1]洞天福地产出!$H:$H,MATCH(B600,[1]洞天福地产出!$K:$K,0)),"")</f>
        <v/>
      </c>
      <c r="L600" s="1" t="str">
        <f t="shared" si="49"/>
        <v/>
      </c>
      <c r="M600" s="4">
        <f t="shared" si="50"/>
        <v>0</v>
      </c>
    </row>
    <row r="601" ht="45" spans="1:13">
      <c r="A601" s="4"/>
      <c r="B601" t="str">
        <f t="shared" si="46"/>
        <v>7:7000114</v>
      </c>
      <c r="C601" s="1">
        <v>7</v>
      </c>
      <c r="D601" s="4">
        <v>7000114</v>
      </c>
      <c r="E601" s="3" t="s">
        <v>1885</v>
      </c>
      <c r="F601" s="3"/>
      <c r="G601" s="1">
        <v>2515.05</v>
      </c>
      <c r="H601" s="1">
        <f t="shared" si="47"/>
        <v>2515.05</v>
      </c>
      <c r="I601" s="1" t="str">
        <f t="shared" si="48"/>
        <v/>
      </c>
      <c r="J601" s="1" t="str">
        <f>_xlfn.IFNA(INDEX([1]历练产出!$Z:$Z,MATCH(B601,[1]历练产出!$AB:$AB,0)),"")</f>
        <v/>
      </c>
      <c r="K601" s="1" t="str">
        <f>_xlfn.IFNA(INDEX([1]洞天福地产出!$H:$H,MATCH(B601,[1]洞天福地产出!$K:$K,0)),"")</f>
        <v/>
      </c>
      <c r="L601" s="1" t="str">
        <f t="shared" si="49"/>
        <v/>
      </c>
      <c r="M601" s="4">
        <f t="shared" si="50"/>
        <v>0</v>
      </c>
    </row>
    <row r="602" ht="45" spans="1:13">
      <c r="A602" s="4"/>
      <c r="B602" t="str">
        <f t="shared" si="46"/>
        <v>7:7000115</v>
      </c>
      <c r="C602" s="1">
        <v>7</v>
      </c>
      <c r="D602" s="4">
        <v>7000115</v>
      </c>
      <c r="E602" s="3" t="s">
        <v>1885</v>
      </c>
      <c r="F602" s="3"/>
      <c r="G602" s="1">
        <v>2693.25</v>
      </c>
      <c r="H602" s="1">
        <f t="shared" si="47"/>
        <v>2693.25</v>
      </c>
      <c r="I602" s="1" t="str">
        <f t="shared" si="48"/>
        <v/>
      </c>
      <c r="J602" s="1" t="str">
        <f>_xlfn.IFNA(INDEX([1]历练产出!$Z:$Z,MATCH(B602,[1]历练产出!$AB:$AB,0)),"")</f>
        <v/>
      </c>
      <c r="K602" s="1" t="str">
        <f>_xlfn.IFNA(INDEX([1]洞天福地产出!$H:$H,MATCH(B602,[1]洞天福地产出!$K:$K,0)),"")</f>
        <v/>
      </c>
      <c r="L602" s="1" t="str">
        <f t="shared" si="49"/>
        <v/>
      </c>
      <c r="M602" s="4">
        <f t="shared" si="50"/>
        <v>0</v>
      </c>
    </row>
    <row r="603" ht="45" spans="1:13">
      <c r="A603" s="4"/>
      <c r="B603" t="str">
        <f t="shared" si="46"/>
        <v>7:7000116</v>
      </c>
      <c r="C603" s="1">
        <v>7</v>
      </c>
      <c r="D603" s="4">
        <v>7000116</v>
      </c>
      <c r="E603" s="3" t="s">
        <v>1885</v>
      </c>
      <c r="F603" s="3"/>
      <c r="G603" s="1">
        <v>2883.6</v>
      </c>
      <c r="H603" s="1">
        <f t="shared" si="47"/>
        <v>2883.6</v>
      </c>
      <c r="I603" s="1" t="str">
        <f t="shared" si="48"/>
        <v/>
      </c>
      <c r="J603" s="1" t="str">
        <f>_xlfn.IFNA(INDEX([1]历练产出!$Z:$Z,MATCH(B603,[1]历练产出!$AB:$AB,0)),"")</f>
        <v/>
      </c>
      <c r="K603" s="1" t="str">
        <f>_xlfn.IFNA(INDEX([1]洞天福地产出!$H:$H,MATCH(B603,[1]洞天福地产出!$K:$K,0)),"")</f>
        <v/>
      </c>
      <c r="L603" s="1" t="str">
        <f t="shared" si="49"/>
        <v/>
      </c>
      <c r="M603" s="4">
        <f t="shared" si="50"/>
        <v>0</v>
      </c>
    </row>
    <row r="604" ht="45" spans="1:13">
      <c r="A604" s="4"/>
      <c r="B604" t="str">
        <f t="shared" si="46"/>
        <v>7:7000117</v>
      </c>
      <c r="C604" s="1">
        <v>7</v>
      </c>
      <c r="D604" s="4">
        <v>7000117</v>
      </c>
      <c r="E604" s="3" t="s">
        <v>1885</v>
      </c>
      <c r="F604" s="3"/>
      <c r="G604" s="1">
        <v>3086.1</v>
      </c>
      <c r="H604" s="1">
        <f t="shared" si="47"/>
        <v>3086.1</v>
      </c>
      <c r="I604" s="1" t="str">
        <f t="shared" si="48"/>
        <v/>
      </c>
      <c r="J604" s="1" t="str">
        <f>_xlfn.IFNA(INDEX([1]历练产出!$Z:$Z,MATCH(B604,[1]历练产出!$AB:$AB,0)),"")</f>
        <v/>
      </c>
      <c r="K604" s="1" t="str">
        <f>_xlfn.IFNA(INDEX([1]洞天福地产出!$H:$H,MATCH(B604,[1]洞天福地产出!$K:$K,0)),"")</f>
        <v/>
      </c>
      <c r="L604" s="1" t="str">
        <f t="shared" si="49"/>
        <v/>
      </c>
      <c r="M604" s="4">
        <f t="shared" si="50"/>
        <v>0</v>
      </c>
    </row>
    <row r="605" ht="45" spans="1:13">
      <c r="A605" s="4"/>
      <c r="B605" t="str">
        <f t="shared" si="46"/>
        <v>7:7000118</v>
      </c>
      <c r="C605" s="1">
        <v>7</v>
      </c>
      <c r="D605" s="4">
        <v>7000118</v>
      </c>
      <c r="E605" s="3" t="s">
        <v>1885</v>
      </c>
      <c r="F605" s="3"/>
      <c r="G605" s="1">
        <v>3300.75</v>
      </c>
      <c r="H605" s="1">
        <f t="shared" si="47"/>
        <v>3300.75</v>
      </c>
      <c r="I605" s="1" t="str">
        <f t="shared" si="48"/>
        <v/>
      </c>
      <c r="J605" s="1" t="str">
        <f>_xlfn.IFNA(INDEX([1]历练产出!$Z:$Z,MATCH(B605,[1]历练产出!$AB:$AB,0)),"")</f>
        <v/>
      </c>
      <c r="K605" s="1" t="str">
        <f>_xlfn.IFNA(INDEX([1]洞天福地产出!$H:$H,MATCH(B605,[1]洞天福地产出!$K:$K,0)),"")</f>
        <v/>
      </c>
      <c r="L605" s="1" t="str">
        <f t="shared" si="49"/>
        <v/>
      </c>
      <c r="M605" s="4">
        <f t="shared" si="50"/>
        <v>0</v>
      </c>
    </row>
    <row r="606" ht="45" spans="1:13">
      <c r="A606" s="4"/>
      <c r="B606" t="str">
        <f t="shared" si="46"/>
        <v>7:7000119</v>
      </c>
      <c r="C606" s="1">
        <v>7</v>
      </c>
      <c r="D606" s="4">
        <v>7000119</v>
      </c>
      <c r="E606" s="3" t="s">
        <v>1885</v>
      </c>
      <c r="F606" s="3"/>
      <c r="G606" s="1">
        <v>4823.55</v>
      </c>
      <c r="H606" s="1">
        <f t="shared" si="47"/>
        <v>4823.55</v>
      </c>
      <c r="I606" s="1" t="str">
        <f t="shared" si="48"/>
        <v/>
      </c>
      <c r="J606" s="1" t="str">
        <f>_xlfn.IFNA(INDEX([1]历练产出!$Z:$Z,MATCH(B606,[1]历练产出!$AB:$AB,0)),"")</f>
        <v/>
      </c>
      <c r="K606" s="1" t="str">
        <f>_xlfn.IFNA(INDEX([1]洞天福地产出!$H:$H,MATCH(B606,[1]洞天福地产出!$K:$K,0)),"")</f>
        <v/>
      </c>
      <c r="L606" s="1" t="str">
        <f t="shared" si="49"/>
        <v/>
      </c>
      <c r="M606" s="4">
        <f t="shared" si="50"/>
        <v>0</v>
      </c>
    </row>
    <row r="607" ht="45" spans="1:13">
      <c r="A607" s="4"/>
      <c r="B607" t="str">
        <f t="shared" si="46"/>
        <v>7:7000120</v>
      </c>
      <c r="C607" s="1">
        <v>7</v>
      </c>
      <c r="D607" s="4">
        <v>7000120</v>
      </c>
      <c r="E607" s="3" t="s">
        <v>1885</v>
      </c>
      <c r="F607" s="3"/>
      <c r="G607" s="1">
        <v>5062.5</v>
      </c>
      <c r="H607" s="1">
        <f t="shared" si="47"/>
        <v>5062.5</v>
      </c>
      <c r="I607" s="1" t="str">
        <f t="shared" si="48"/>
        <v/>
      </c>
      <c r="J607" s="1" t="str">
        <f>_xlfn.IFNA(INDEX([1]历练产出!$Z:$Z,MATCH(B607,[1]历练产出!$AB:$AB,0)),"")</f>
        <v/>
      </c>
      <c r="K607" s="1" t="str">
        <f>_xlfn.IFNA(INDEX([1]洞天福地产出!$H:$H,MATCH(B607,[1]洞天福地产出!$K:$K,0)),"")</f>
        <v/>
      </c>
      <c r="L607" s="1" t="str">
        <f t="shared" si="49"/>
        <v/>
      </c>
      <c r="M607" s="4">
        <f t="shared" si="50"/>
        <v>0</v>
      </c>
    </row>
    <row r="608" ht="45" spans="1:13">
      <c r="A608" s="4"/>
      <c r="B608" t="str">
        <f t="shared" si="46"/>
        <v>7:7000121</v>
      </c>
      <c r="C608" s="1">
        <v>7</v>
      </c>
      <c r="D608" s="4">
        <v>7000121</v>
      </c>
      <c r="E608" s="3" t="s">
        <v>1885</v>
      </c>
      <c r="F608" s="3"/>
      <c r="G608" s="1">
        <v>5313.6</v>
      </c>
      <c r="H608" s="1">
        <f t="shared" si="47"/>
        <v>5313.6</v>
      </c>
      <c r="I608" s="1" t="str">
        <f t="shared" si="48"/>
        <v/>
      </c>
      <c r="J608" s="1" t="str">
        <f>_xlfn.IFNA(INDEX([1]历练产出!$Z:$Z,MATCH(B608,[1]历练产出!$AB:$AB,0)),"")</f>
        <v/>
      </c>
      <c r="K608" s="1" t="str">
        <f>_xlfn.IFNA(INDEX([1]洞天福地产出!$H:$H,MATCH(B608,[1]洞天福地产出!$K:$K,0)),"")</f>
        <v/>
      </c>
      <c r="L608" s="1" t="str">
        <f t="shared" si="49"/>
        <v/>
      </c>
      <c r="M608" s="4">
        <f t="shared" si="50"/>
        <v>0</v>
      </c>
    </row>
    <row r="609" ht="45" spans="1:13">
      <c r="A609" s="4"/>
      <c r="B609" t="str">
        <f t="shared" si="46"/>
        <v>7:7000122</v>
      </c>
      <c r="C609" s="1">
        <v>7</v>
      </c>
      <c r="D609" s="4">
        <v>7000122</v>
      </c>
      <c r="E609" s="3" t="s">
        <v>1885</v>
      </c>
      <c r="F609" s="3"/>
      <c r="G609" s="1">
        <v>5576.85</v>
      </c>
      <c r="H609" s="1">
        <f t="shared" si="47"/>
        <v>5576.85</v>
      </c>
      <c r="I609" s="1" t="str">
        <f t="shared" si="48"/>
        <v/>
      </c>
      <c r="J609" s="1" t="str">
        <f>_xlfn.IFNA(INDEX([1]历练产出!$Z:$Z,MATCH(B609,[1]历练产出!$AB:$AB,0)),"")</f>
        <v/>
      </c>
      <c r="K609" s="1" t="str">
        <f>_xlfn.IFNA(INDEX([1]洞天福地产出!$H:$H,MATCH(B609,[1]洞天福地产出!$K:$K,0)),"")</f>
        <v/>
      </c>
      <c r="L609" s="1" t="str">
        <f t="shared" si="49"/>
        <v/>
      </c>
      <c r="M609" s="4">
        <f t="shared" si="50"/>
        <v>0</v>
      </c>
    </row>
    <row r="610" ht="45" spans="1:13">
      <c r="A610" s="4"/>
      <c r="B610" t="str">
        <f t="shared" si="46"/>
        <v>7:7000123</v>
      </c>
      <c r="C610" s="1">
        <v>7</v>
      </c>
      <c r="D610" s="4">
        <v>7000123</v>
      </c>
      <c r="E610" s="3" t="s">
        <v>1885</v>
      </c>
      <c r="F610" s="3"/>
      <c r="G610" s="1">
        <v>5852.25</v>
      </c>
      <c r="H610" s="1">
        <f t="shared" si="47"/>
        <v>5852.25</v>
      </c>
      <c r="I610" s="1" t="str">
        <f t="shared" si="48"/>
        <v/>
      </c>
      <c r="J610" s="1" t="str">
        <f>_xlfn.IFNA(INDEX([1]历练产出!$Z:$Z,MATCH(B610,[1]历练产出!$AB:$AB,0)),"")</f>
        <v/>
      </c>
      <c r="K610" s="1" t="str">
        <f>_xlfn.IFNA(INDEX([1]洞天福地产出!$H:$H,MATCH(B610,[1]洞天福地产出!$K:$K,0)),"")</f>
        <v/>
      </c>
      <c r="L610" s="1" t="str">
        <f t="shared" si="49"/>
        <v/>
      </c>
      <c r="M610" s="4">
        <f t="shared" si="50"/>
        <v>0</v>
      </c>
    </row>
    <row r="611" ht="45" spans="1:13">
      <c r="A611" s="4"/>
      <c r="B611" t="str">
        <f t="shared" si="46"/>
        <v>7:7000124</v>
      </c>
      <c r="C611" s="1">
        <v>7</v>
      </c>
      <c r="D611" s="4">
        <v>7000124</v>
      </c>
      <c r="E611" s="3" t="s">
        <v>1885</v>
      </c>
      <c r="F611" s="3"/>
      <c r="G611" s="1">
        <v>6139.8</v>
      </c>
      <c r="H611" s="1">
        <f t="shared" si="47"/>
        <v>6139.8</v>
      </c>
      <c r="I611" s="1" t="str">
        <f t="shared" si="48"/>
        <v/>
      </c>
      <c r="J611" s="1" t="str">
        <f>_xlfn.IFNA(INDEX([1]历练产出!$Z:$Z,MATCH(B611,[1]历练产出!$AB:$AB,0)),"")</f>
        <v/>
      </c>
      <c r="K611" s="1" t="str">
        <f>_xlfn.IFNA(INDEX([1]洞天福地产出!$H:$H,MATCH(B611,[1]洞天福地产出!$K:$K,0)),"")</f>
        <v/>
      </c>
      <c r="L611" s="1" t="str">
        <f t="shared" si="49"/>
        <v/>
      </c>
      <c r="M611" s="4">
        <f t="shared" si="50"/>
        <v>0</v>
      </c>
    </row>
    <row r="612" ht="45" spans="1:13">
      <c r="A612" s="4"/>
      <c r="B612" t="str">
        <f t="shared" ref="B612:B675" si="51">C612&amp;":"&amp;D612</f>
        <v>7:7000125</v>
      </c>
      <c r="C612" s="1">
        <v>7</v>
      </c>
      <c r="D612" s="4">
        <v>7000125</v>
      </c>
      <c r="E612" s="3" t="s">
        <v>1885</v>
      </c>
      <c r="F612" s="3"/>
      <c r="G612" s="1">
        <v>6439.5</v>
      </c>
      <c r="H612" s="1">
        <f t="shared" si="47"/>
        <v>6439.5</v>
      </c>
      <c r="I612" s="1" t="str">
        <f t="shared" si="48"/>
        <v/>
      </c>
      <c r="J612" s="1" t="str">
        <f>_xlfn.IFNA(INDEX([1]历练产出!$Z:$Z,MATCH(B612,[1]历练产出!$AB:$AB,0)),"")</f>
        <v/>
      </c>
      <c r="K612" s="1" t="str">
        <f>_xlfn.IFNA(INDEX([1]洞天福地产出!$H:$H,MATCH(B612,[1]洞天福地产出!$K:$K,0)),"")</f>
        <v/>
      </c>
      <c r="L612" s="1" t="str">
        <f t="shared" si="49"/>
        <v/>
      </c>
      <c r="M612" s="4">
        <f t="shared" si="50"/>
        <v>0</v>
      </c>
    </row>
    <row r="613" ht="45" spans="1:13">
      <c r="A613" s="4"/>
      <c r="B613" t="str">
        <f t="shared" si="51"/>
        <v>7:7000126</v>
      </c>
      <c r="C613" s="1">
        <v>7</v>
      </c>
      <c r="D613" s="4">
        <v>7000126</v>
      </c>
      <c r="E613" s="3" t="s">
        <v>1885</v>
      </c>
      <c r="F613" s="3"/>
      <c r="G613" s="1">
        <v>6751.35</v>
      </c>
      <c r="H613" s="1">
        <f t="shared" si="47"/>
        <v>6751.35</v>
      </c>
      <c r="I613" s="1" t="str">
        <f t="shared" si="48"/>
        <v/>
      </c>
      <c r="J613" s="1" t="str">
        <f>_xlfn.IFNA(INDEX([1]历练产出!$Z:$Z,MATCH(B613,[1]历练产出!$AB:$AB,0)),"")</f>
        <v/>
      </c>
      <c r="K613" s="1" t="str">
        <f>_xlfn.IFNA(INDEX([1]洞天福地产出!$H:$H,MATCH(B613,[1]洞天福地产出!$K:$K,0)),"")</f>
        <v/>
      </c>
      <c r="L613" s="1" t="str">
        <f t="shared" si="49"/>
        <v/>
      </c>
      <c r="M613" s="4">
        <f t="shared" si="50"/>
        <v>0</v>
      </c>
    </row>
    <row r="614" ht="45" spans="1:13">
      <c r="A614" s="4"/>
      <c r="B614" t="str">
        <f t="shared" si="51"/>
        <v>7:7000127</v>
      </c>
      <c r="C614" s="1">
        <v>7</v>
      </c>
      <c r="D614" s="4">
        <v>7000127</v>
      </c>
      <c r="E614" s="3" t="s">
        <v>1885</v>
      </c>
      <c r="F614" s="3"/>
      <c r="G614" s="1">
        <v>7075.35</v>
      </c>
      <c r="H614" s="1">
        <f t="shared" si="47"/>
        <v>7075.35</v>
      </c>
      <c r="I614" s="1" t="str">
        <f t="shared" si="48"/>
        <v/>
      </c>
      <c r="J614" s="1" t="str">
        <f>_xlfn.IFNA(INDEX([1]历练产出!$Z:$Z,MATCH(B614,[1]历练产出!$AB:$AB,0)),"")</f>
        <v/>
      </c>
      <c r="K614" s="1" t="str">
        <f>_xlfn.IFNA(INDEX([1]洞天福地产出!$H:$H,MATCH(B614,[1]洞天福地产出!$K:$K,0)),"")</f>
        <v/>
      </c>
      <c r="L614" s="1" t="str">
        <f t="shared" si="49"/>
        <v/>
      </c>
      <c r="M614" s="4">
        <f t="shared" si="50"/>
        <v>0</v>
      </c>
    </row>
    <row r="615" ht="45" spans="1:13">
      <c r="A615" s="4"/>
      <c r="B615" t="str">
        <f t="shared" si="51"/>
        <v>7:7000128</v>
      </c>
      <c r="C615" s="1">
        <v>7</v>
      </c>
      <c r="D615" s="4">
        <v>7000128</v>
      </c>
      <c r="E615" s="3" t="s">
        <v>1885</v>
      </c>
      <c r="F615" s="3"/>
      <c r="G615" s="1">
        <v>7411.5</v>
      </c>
      <c r="H615" s="1">
        <f t="shared" si="47"/>
        <v>7411.5</v>
      </c>
      <c r="I615" s="1" t="str">
        <f t="shared" si="48"/>
        <v/>
      </c>
      <c r="J615" s="1" t="str">
        <f>_xlfn.IFNA(INDEX([1]历练产出!$Z:$Z,MATCH(B615,[1]历练产出!$AB:$AB,0)),"")</f>
        <v/>
      </c>
      <c r="K615" s="1" t="str">
        <f>_xlfn.IFNA(INDEX([1]洞天福地产出!$H:$H,MATCH(B615,[1]洞天福地产出!$K:$K,0)),"")</f>
        <v/>
      </c>
      <c r="L615" s="1" t="str">
        <f t="shared" si="49"/>
        <v/>
      </c>
      <c r="M615" s="4">
        <f t="shared" si="50"/>
        <v>0</v>
      </c>
    </row>
    <row r="616" ht="45" spans="1:13">
      <c r="A616" s="4"/>
      <c r="B616" t="str">
        <f t="shared" si="51"/>
        <v>7:7000129</v>
      </c>
      <c r="C616" s="1">
        <v>7</v>
      </c>
      <c r="D616" s="4">
        <v>7000129</v>
      </c>
      <c r="E616" s="3" t="s">
        <v>1885</v>
      </c>
      <c r="F616" s="3"/>
      <c r="G616" s="1">
        <v>9703.8</v>
      </c>
      <c r="H616" s="1">
        <f t="shared" si="47"/>
        <v>9703.8</v>
      </c>
      <c r="I616" s="1" t="str">
        <f t="shared" si="48"/>
        <v/>
      </c>
      <c r="J616" s="1" t="str">
        <f>_xlfn.IFNA(INDEX([1]历练产出!$Z:$Z,MATCH(B616,[1]历练产出!$AB:$AB,0)),"")</f>
        <v/>
      </c>
      <c r="K616" s="1" t="str">
        <f>_xlfn.IFNA(INDEX([1]洞天福地产出!$H:$H,MATCH(B616,[1]洞天福地产出!$K:$K,0)),"")</f>
        <v/>
      </c>
      <c r="L616" s="1" t="str">
        <f t="shared" si="49"/>
        <v/>
      </c>
      <c r="M616" s="4">
        <f t="shared" si="50"/>
        <v>0</v>
      </c>
    </row>
    <row r="617" ht="45" spans="1:13">
      <c r="A617" s="4"/>
      <c r="B617" t="str">
        <f t="shared" si="51"/>
        <v>7:7000130</v>
      </c>
      <c r="C617" s="1">
        <v>7</v>
      </c>
      <c r="D617" s="4">
        <v>7000130</v>
      </c>
      <c r="E617" s="3" t="s">
        <v>1885</v>
      </c>
      <c r="F617" s="3"/>
      <c r="G617" s="1">
        <v>10052.1</v>
      </c>
      <c r="H617" s="1">
        <f t="shared" si="47"/>
        <v>10052.1</v>
      </c>
      <c r="I617" s="1" t="str">
        <f t="shared" si="48"/>
        <v/>
      </c>
      <c r="J617" s="1" t="str">
        <f>_xlfn.IFNA(INDEX([1]历练产出!$Z:$Z,MATCH(B617,[1]历练产出!$AB:$AB,0)),"")</f>
        <v/>
      </c>
      <c r="K617" s="1" t="str">
        <f>_xlfn.IFNA(INDEX([1]洞天福地产出!$H:$H,MATCH(B617,[1]洞天福地产出!$K:$K,0)),"")</f>
        <v/>
      </c>
      <c r="L617" s="1" t="str">
        <f t="shared" si="49"/>
        <v/>
      </c>
      <c r="M617" s="4">
        <f t="shared" si="50"/>
        <v>0</v>
      </c>
    </row>
    <row r="618" ht="30" spans="1:13">
      <c r="A618" s="4"/>
      <c r="B618" t="str">
        <f t="shared" si="51"/>
        <v>7:8000101</v>
      </c>
      <c r="C618" s="1">
        <v>7</v>
      </c>
      <c r="D618" s="4">
        <v>8000101</v>
      </c>
      <c r="E618" s="3" t="s">
        <v>1886</v>
      </c>
      <c r="F618" s="3"/>
      <c r="G618" s="1">
        <v>656.1</v>
      </c>
      <c r="H618" s="1">
        <f t="shared" si="47"/>
        <v>656.1</v>
      </c>
      <c r="I618" s="1" t="str">
        <f t="shared" si="48"/>
        <v/>
      </c>
      <c r="J618" s="1" t="str">
        <f>_xlfn.IFNA(INDEX([1]历练产出!$Z:$Z,MATCH(B618,[1]历练产出!$AB:$AB,0)),"")</f>
        <v/>
      </c>
      <c r="K618" s="1" t="str">
        <f>_xlfn.IFNA(INDEX([1]洞天福地产出!$H:$H,MATCH(B618,[1]洞天福地产出!$K:$K,0)),"")</f>
        <v/>
      </c>
      <c r="L618" s="1" t="str">
        <f t="shared" si="49"/>
        <v/>
      </c>
      <c r="M618" s="4">
        <f t="shared" si="50"/>
        <v>0</v>
      </c>
    </row>
    <row r="619" ht="30" spans="1:13">
      <c r="A619" s="4"/>
      <c r="B619" t="str">
        <f t="shared" si="51"/>
        <v>7:8000102</v>
      </c>
      <c r="C619" s="1">
        <v>7</v>
      </c>
      <c r="D619" s="4">
        <v>8000102</v>
      </c>
      <c r="E619" s="3" t="s">
        <v>1886</v>
      </c>
      <c r="F619" s="3"/>
      <c r="G619" s="1">
        <v>676.35</v>
      </c>
      <c r="H619" s="1">
        <f t="shared" si="47"/>
        <v>676.35</v>
      </c>
      <c r="I619" s="1" t="str">
        <f t="shared" si="48"/>
        <v/>
      </c>
      <c r="J619" s="1" t="str">
        <f>_xlfn.IFNA(INDEX([1]历练产出!$Z:$Z,MATCH(B619,[1]历练产出!$AB:$AB,0)),"")</f>
        <v/>
      </c>
      <c r="K619" s="1" t="str">
        <f>_xlfn.IFNA(INDEX([1]洞天福地产出!$H:$H,MATCH(B619,[1]洞天福地产出!$K:$K,0)),"")</f>
        <v/>
      </c>
      <c r="L619" s="1" t="str">
        <f t="shared" si="49"/>
        <v/>
      </c>
      <c r="M619" s="4">
        <f t="shared" si="50"/>
        <v>0</v>
      </c>
    </row>
    <row r="620" ht="30" spans="1:13">
      <c r="A620" s="4"/>
      <c r="B620" t="str">
        <f t="shared" si="51"/>
        <v>7:8000103</v>
      </c>
      <c r="C620" s="1">
        <v>7</v>
      </c>
      <c r="D620" s="4">
        <v>8000103</v>
      </c>
      <c r="E620" s="3" t="s">
        <v>1886</v>
      </c>
      <c r="F620" s="3"/>
      <c r="G620" s="1">
        <v>708.75</v>
      </c>
      <c r="H620" s="1">
        <f t="shared" si="47"/>
        <v>708.75</v>
      </c>
      <c r="I620" s="1" t="str">
        <f t="shared" si="48"/>
        <v/>
      </c>
      <c r="J620" s="1" t="str">
        <f>_xlfn.IFNA(INDEX([1]历练产出!$Z:$Z,MATCH(B620,[1]历练产出!$AB:$AB,0)),"")</f>
        <v/>
      </c>
      <c r="K620" s="1" t="str">
        <f>_xlfn.IFNA(INDEX([1]洞天福地产出!$H:$H,MATCH(B620,[1]洞天福地产出!$K:$K,0)),"")</f>
        <v/>
      </c>
      <c r="L620" s="1" t="str">
        <f t="shared" si="49"/>
        <v/>
      </c>
      <c r="M620" s="4">
        <f t="shared" si="50"/>
        <v>0</v>
      </c>
    </row>
    <row r="621" ht="30" spans="1:13">
      <c r="A621" s="4"/>
      <c r="B621" t="str">
        <f t="shared" si="51"/>
        <v>7:8000104</v>
      </c>
      <c r="C621" s="1">
        <v>7</v>
      </c>
      <c r="D621" s="4">
        <v>8000104</v>
      </c>
      <c r="E621" s="3" t="s">
        <v>1886</v>
      </c>
      <c r="F621" s="3"/>
      <c r="G621" s="1">
        <v>753.3</v>
      </c>
      <c r="H621" s="1">
        <f t="shared" si="47"/>
        <v>753.3</v>
      </c>
      <c r="I621" s="1" t="str">
        <f t="shared" si="48"/>
        <v/>
      </c>
      <c r="J621" s="1" t="str">
        <f>_xlfn.IFNA(INDEX([1]历练产出!$Z:$Z,MATCH(B621,[1]历练产出!$AB:$AB,0)),"")</f>
        <v/>
      </c>
      <c r="K621" s="1" t="str">
        <f>_xlfn.IFNA(INDEX([1]洞天福地产出!$H:$H,MATCH(B621,[1]洞天福地产出!$K:$K,0)),"")</f>
        <v/>
      </c>
      <c r="L621" s="1" t="str">
        <f t="shared" si="49"/>
        <v/>
      </c>
      <c r="M621" s="4">
        <f t="shared" si="50"/>
        <v>0</v>
      </c>
    </row>
    <row r="622" ht="30" spans="1:13">
      <c r="A622" s="4"/>
      <c r="B622" t="str">
        <f t="shared" si="51"/>
        <v>7:8000105</v>
      </c>
      <c r="C622" s="1">
        <v>7</v>
      </c>
      <c r="D622" s="4">
        <v>8000105</v>
      </c>
      <c r="E622" s="3" t="s">
        <v>1886</v>
      </c>
      <c r="F622" s="3"/>
      <c r="G622" s="1">
        <v>810</v>
      </c>
      <c r="H622" s="1">
        <f t="shared" si="47"/>
        <v>810</v>
      </c>
      <c r="I622" s="1" t="str">
        <f t="shared" si="48"/>
        <v/>
      </c>
      <c r="J622" s="1" t="str">
        <f>_xlfn.IFNA(INDEX([1]历练产出!$Z:$Z,MATCH(B622,[1]历练产出!$AB:$AB,0)),"")</f>
        <v/>
      </c>
      <c r="K622" s="1" t="str">
        <f>_xlfn.IFNA(INDEX([1]洞天福地产出!$H:$H,MATCH(B622,[1]洞天福地产出!$K:$K,0)),"")</f>
        <v/>
      </c>
      <c r="L622" s="1" t="str">
        <f t="shared" si="49"/>
        <v/>
      </c>
      <c r="M622" s="4">
        <f t="shared" si="50"/>
        <v>0</v>
      </c>
    </row>
    <row r="623" ht="30" spans="1:13">
      <c r="A623" s="4"/>
      <c r="B623" t="str">
        <f t="shared" si="51"/>
        <v>7:8000106</v>
      </c>
      <c r="C623" s="1">
        <v>7</v>
      </c>
      <c r="D623" s="4">
        <v>8000106</v>
      </c>
      <c r="E623" s="3" t="s">
        <v>1886</v>
      </c>
      <c r="F623" s="3"/>
      <c r="G623" s="1">
        <v>878.85</v>
      </c>
      <c r="H623" s="1">
        <f t="shared" si="47"/>
        <v>878.85</v>
      </c>
      <c r="I623" s="1" t="str">
        <f t="shared" si="48"/>
        <v/>
      </c>
      <c r="J623" s="1" t="str">
        <f>_xlfn.IFNA(INDEX([1]历练产出!$Z:$Z,MATCH(B623,[1]历练产出!$AB:$AB,0)),"")</f>
        <v/>
      </c>
      <c r="K623" s="1" t="str">
        <f>_xlfn.IFNA(INDEX([1]洞天福地产出!$H:$H,MATCH(B623,[1]洞天福地产出!$K:$K,0)),"")</f>
        <v/>
      </c>
      <c r="L623" s="1" t="str">
        <f t="shared" si="49"/>
        <v/>
      </c>
      <c r="M623" s="4">
        <f t="shared" si="50"/>
        <v>0</v>
      </c>
    </row>
    <row r="624" ht="30" spans="1:13">
      <c r="A624" s="4"/>
      <c r="B624" t="str">
        <f t="shared" si="51"/>
        <v>7:8000107</v>
      </c>
      <c r="C624" s="1">
        <v>7</v>
      </c>
      <c r="D624" s="4">
        <v>8000107</v>
      </c>
      <c r="E624" s="3" t="s">
        <v>1886</v>
      </c>
      <c r="F624" s="3"/>
      <c r="G624" s="1">
        <v>959.85</v>
      </c>
      <c r="H624" s="1">
        <f t="shared" si="47"/>
        <v>959.85</v>
      </c>
      <c r="I624" s="1" t="str">
        <f t="shared" si="48"/>
        <v/>
      </c>
      <c r="J624" s="1" t="str">
        <f>_xlfn.IFNA(INDEX([1]历练产出!$Z:$Z,MATCH(B624,[1]历练产出!$AB:$AB,0)),"")</f>
        <v/>
      </c>
      <c r="K624" s="1" t="str">
        <f>_xlfn.IFNA(INDEX([1]洞天福地产出!$H:$H,MATCH(B624,[1]洞天福地产出!$K:$K,0)),"")</f>
        <v/>
      </c>
      <c r="L624" s="1" t="str">
        <f t="shared" si="49"/>
        <v/>
      </c>
      <c r="M624" s="4">
        <f t="shared" si="50"/>
        <v>0</v>
      </c>
    </row>
    <row r="625" ht="30" spans="1:13">
      <c r="A625" s="4"/>
      <c r="B625" t="str">
        <f t="shared" si="51"/>
        <v>7:8000108</v>
      </c>
      <c r="C625" s="1">
        <v>7</v>
      </c>
      <c r="D625" s="4">
        <v>8000108</v>
      </c>
      <c r="E625" s="3" t="s">
        <v>1886</v>
      </c>
      <c r="F625" s="3"/>
      <c r="G625" s="1">
        <v>1053</v>
      </c>
      <c r="H625" s="1">
        <f t="shared" si="47"/>
        <v>1053</v>
      </c>
      <c r="I625" s="1" t="str">
        <f t="shared" si="48"/>
        <v/>
      </c>
      <c r="J625" s="1" t="str">
        <f>_xlfn.IFNA(INDEX([1]历练产出!$Z:$Z,MATCH(B625,[1]历练产出!$AB:$AB,0)),"")</f>
        <v/>
      </c>
      <c r="K625" s="1" t="str">
        <f>_xlfn.IFNA(INDEX([1]洞天福地产出!$H:$H,MATCH(B625,[1]洞天福地产出!$K:$K,0)),"")</f>
        <v/>
      </c>
      <c r="L625" s="1" t="str">
        <f t="shared" si="49"/>
        <v/>
      </c>
      <c r="M625" s="4">
        <f t="shared" si="50"/>
        <v>0</v>
      </c>
    </row>
    <row r="626" ht="30" spans="1:13">
      <c r="A626" s="4"/>
      <c r="B626" t="str">
        <f t="shared" si="51"/>
        <v>7:8000109</v>
      </c>
      <c r="C626" s="1">
        <v>7</v>
      </c>
      <c r="D626" s="4">
        <v>8000109</v>
      </c>
      <c r="E626" s="3" t="s">
        <v>1886</v>
      </c>
      <c r="F626" s="3"/>
      <c r="G626" s="1">
        <v>1806.3</v>
      </c>
      <c r="H626" s="1">
        <f t="shared" si="47"/>
        <v>1806.3</v>
      </c>
      <c r="I626" s="1" t="str">
        <f t="shared" si="48"/>
        <v/>
      </c>
      <c r="J626" s="1" t="str">
        <f>_xlfn.IFNA(INDEX([1]历练产出!$Z:$Z,MATCH(B626,[1]历练产出!$AB:$AB,0)),"")</f>
        <v/>
      </c>
      <c r="K626" s="1" t="str">
        <f>_xlfn.IFNA(INDEX([1]洞天福地产出!$H:$H,MATCH(B626,[1]洞天福地产出!$K:$K,0)),"")</f>
        <v/>
      </c>
      <c r="L626" s="1" t="str">
        <f t="shared" si="49"/>
        <v/>
      </c>
      <c r="M626" s="4">
        <f t="shared" si="50"/>
        <v>0</v>
      </c>
    </row>
    <row r="627" ht="30" spans="1:13">
      <c r="A627" s="4"/>
      <c r="B627" t="str">
        <f t="shared" si="51"/>
        <v>7:8000110</v>
      </c>
      <c r="C627" s="1">
        <v>7</v>
      </c>
      <c r="D627" s="4">
        <v>8000110</v>
      </c>
      <c r="E627" s="3" t="s">
        <v>1886</v>
      </c>
      <c r="F627" s="3"/>
      <c r="G627" s="1">
        <v>1923.75</v>
      </c>
      <c r="H627" s="1">
        <f t="shared" si="47"/>
        <v>1923.75</v>
      </c>
      <c r="I627" s="1" t="str">
        <f t="shared" si="48"/>
        <v/>
      </c>
      <c r="J627" s="1" t="str">
        <f>_xlfn.IFNA(INDEX([1]历练产出!$Z:$Z,MATCH(B627,[1]历练产出!$AB:$AB,0)),"")</f>
        <v/>
      </c>
      <c r="K627" s="1" t="str">
        <f>_xlfn.IFNA(INDEX([1]洞天福地产出!$H:$H,MATCH(B627,[1]洞天福地产出!$K:$K,0)),"")</f>
        <v/>
      </c>
      <c r="L627" s="1" t="str">
        <f t="shared" si="49"/>
        <v/>
      </c>
      <c r="M627" s="4">
        <f t="shared" si="50"/>
        <v>0</v>
      </c>
    </row>
    <row r="628" ht="30" spans="1:13">
      <c r="A628" s="4"/>
      <c r="B628" t="str">
        <f t="shared" si="51"/>
        <v>7:8000111</v>
      </c>
      <c r="C628" s="1">
        <v>7</v>
      </c>
      <c r="D628" s="4">
        <v>8000111</v>
      </c>
      <c r="E628" s="3" t="s">
        <v>1886</v>
      </c>
      <c r="F628" s="3"/>
      <c r="G628" s="1">
        <v>2053.35</v>
      </c>
      <c r="H628" s="1">
        <f t="shared" si="47"/>
        <v>2053.35</v>
      </c>
      <c r="I628" s="1" t="str">
        <f t="shared" si="48"/>
        <v/>
      </c>
      <c r="J628" s="1" t="str">
        <f>_xlfn.IFNA(INDEX([1]历练产出!$Z:$Z,MATCH(B628,[1]历练产出!$AB:$AB,0)),"")</f>
        <v/>
      </c>
      <c r="K628" s="1" t="str">
        <f>_xlfn.IFNA(INDEX([1]洞天福地产出!$H:$H,MATCH(B628,[1]洞天福地产出!$K:$K,0)),"")</f>
        <v/>
      </c>
      <c r="L628" s="1" t="str">
        <f t="shared" si="49"/>
        <v/>
      </c>
      <c r="M628" s="4">
        <f t="shared" si="50"/>
        <v>0</v>
      </c>
    </row>
    <row r="629" ht="30" spans="1:13">
      <c r="A629" s="4"/>
      <c r="B629" t="str">
        <f t="shared" si="51"/>
        <v>7:8000112</v>
      </c>
      <c r="C629" s="1">
        <v>7</v>
      </c>
      <c r="D629" s="4">
        <v>8000112</v>
      </c>
      <c r="E629" s="3" t="s">
        <v>1886</v>
      </c>
      <c r="F629" s="3"/>
      <c r="G629" s="1">
        <v>2195.1</v>
      </c>
      <c r="H629" s="1">
        <f t="shared" si="47"/>
        <v>2195.1</v>
      </c>
      <c r="I629" s="1" t="str">
        <f t="shared" si="48"/>
        <v/>
      </c>
      <c r="J629" s="1" t="str">
        <f>_xlfn.IFNA(INDEX([1]历练产出!$Z:$Z,MATCH(B629,[1]历练产出!$AB:$AB,0)),"")</f>
        <v/>
      </c>
      <c r="K629" s="1" t="str">
        <f>_xlfn.IFNA(INDEX([1]洞天福地产出!$H:$H,MATCH(B629,[1]洞天福地产出!$K:$K,0)),"")</f>
        <v/>
      </c>
      <c r="L629" s="1" t="str">
        <f t="shared" si="49"/>
        <v/>
      </c>
      <c r="M629" s="4">
        <f t="shared" si="50"/>
        <v>0</v>
      </c>
    </row>
    <row r="630" ht="30" spans="1:13">
      <c r="A630" s="4"/>
      <c r="B630" t="str">
        <f t="shared" si="51"/>
        <v>7:8000113</v>
      </c>
      <c r="C630" s="1">
        <v>7</v>
      </c>
      <c r="D630" s="4">
        <v>8000113</v>
      </c>
      <c r="E630" s="3" t="s">
        <v>1886</v>
      </c>
      <c r="F630" s="3"/>
      <c r="G630" s="1">
        <v>2349</v>
      </c>
      <c r="H630" s="1">
        <f t="shared" si="47"/>
        <v>2349</v>
      </c>
      <c r="I630" s="1" t="str">
        <f t="shared" si="48"/>
        <v/>
      </c>
      <c r="J630" s="1" t="str">
        <f>_xlfn.IFNA(INDEX([1]历练产出!$Z:$Z,MATCH(B630,[1]历练产出!$AB:$AB,0)),"")</f>
        <v/>
      </c>
      <c r="K630" s="1" t="str">
        <f>_xlfn.IFNA(INDEX([1]洞天福地产出!$H:$H,MATCH(B630,[1]洞天福地产出!$K:$K,0)),"")</f>
        <v/>
      </c>
      <c r="L630" s="1" t="str">
        <f t="shared" si="49"/>
        <v/>
      </c>
      <c r="M630" s="4">
        <f t="shared" si="50"/>
        <v>0</v>
      </c>
    </row>
    <row r="631" ht="30" spans="1:13">
      <c r="A631" s="4"/>
      <c r="B631" t="str">
        <f t="shared" si="51"/>
        <v>7:8000114</v>
      </c>
      <c r="C631" s="1">
        <v>7</v>
      </c>
      <c r="D631" s="4">
        <v>8000114</v>
      </c>
      <c r="E631" s="3" t="s">
        <v>1886</v>
      </c>
      <c r="F631" s="3"/>
      <c r="G631" s="1">
        <v>2515.05</v>
      </c>
      <c r="H631" s="1">
        <f t="shared" si="47"/>
        <v>2515.05</v>
      </c>
      <c r="I631" s="1" t="str">
        <f t="shared" si="48"/>
        <v/>
      </c>
      <c r="J631" s="1" t="str">
        <f>_xlfn.IFNA(INDEX([1]历练产出!$Z:$Z,MATCH(B631,[1]历练产出!$AB:$AB,0)),"")</f>
        <v/>
      </c>
      <c r="K631" s="1" t="str">
        <f>_xlfn.IFNA(INDEX([1]洞天福地产出!$H:$H,MATCH(B631,[1]洞天福地产出!$K:$K,0)),"")</f>
        <v/>
      </c>
      <c r="L631" s="1" t="str">
        <f t="shared" si="49"/>
        <v/>
      </c>
      <c r="M631" s="4">
        <f t="shared" si="50"/>
        <v>0</v>
      </c>
    </row>
    <row r="632" ht="30" spans="1:13">
      <c r="A632" s="4"/>
      <c r="B632" t="str">
        <f t="shared" si="51"/>
        <v>7:8000115</v>
      </c>
      <c r="C632" s="1">
        <v>7</v>
      </c>
      <c r="D632" s="4">
        <v>8000115</v>
      </c>
      <c r="E632" s="3" t="s">
        <v>1886</v>
      </c>
      <c r="F632" s="3"/>
      <c r="G632" s="1">
        <v>2693.25</v>
      </c>
      <c r="H632" s="1">
        <f t="shared" si="47"/>
        <v>2693.25</v>
      </c>
      <c r="I632" s="1" t="str">
        <f t="shared" si="48"/>
        <v/>
      </c>
      <c r="J632" s="1" t="str">
        <f>_xlfn.IFNA(INDEX([1]历练产出!$Z:$Z,MATCH(B632,[1]历练产出!$AB:$AB,0)),"")</f>
        <v/>
      </c>
      <c r="K632" s="1" t="str">
        <f>_xlfn.IFNA(INDEX([1]洞天福地产出!$H:$H,MATCH(B632,[1]洞天福地产出!$K:$K,0)),"")</f>
        <v/>
      </c>
      <c r="L632" s="1" t="str">
        <f t="shared" si="49"/>
        <v/>
      </c>
      <c r="M632" s="4">
        <f t="shared" si="50"/>
        <v>0</v>
      </c>
    </row>
    <row r="633" ht="30" spans="1:13">
      <c r="A633" s="4"/>
      <c r="B633" t="str">
        <f t="shared" si="51"/>
        <v>7:8000116</v>
      </c>
      <c r="C633" s="1">
        <v>7</v>
      </c>
      <c r="D633" s="4">
        <v>8000116</v>
      </c>
      <c r="E633" s="3" t="s">
        <v>1886</v>
      </c>
      <c r="F633" s="3"/>
      <c r="G633" s="1">
        <v>2883.6</v>
      </c>
      <c r="H633" s="1">
        <f t="shared" si="47"/>
        <v>2883.6</v>
      </c>
      <c r="I633" s="1" t="str">
        <f t="shared" si="48"/>
        <v/>
      </c>
      <c r="J633" s="1" t="str">
        <f>_xlfn.IFNA(INDEX([1]历练产出!$Z:$Z,MATCH(B633,[1]历练产出!$AB:$AB,0)),"")</f>
        <v/>
      </c>
      <c r="K633" s="1" t="str">
        <f>_xlfn.IFNA(INDEX([1]洞天福地产出!$H:$H,MATCH(B633,[1]洞天福地产出!$K:$K,0)),"")</f>
        <v/>
      </c>
      <c r="L633" s="1" t="str">
        <f t="shared" si="49"/>
        <v/>
      </c>
      <c r="M633" s="4">
        <f t="shared" si="50"/>
        <v>0</v>
      </c>
    </row>
    <row r="634" ht="30" spans="1:13">
      <c r="A634" s="4"/>
      <c r="B634" t="str">
        <f t="shared" si="51"/>
        <v>7:8000117</v>
      </c>
      <c r="C634" s="1">
        <v>7</v>
      </c>
      <c r="D634" s="4">
        <v>8000117</v>
      </c>
      <c r="E634" s="3" t="s">
        <v>1886</v>
      </c>
      <c r="F634" s="3"/>
      <c r="G634" s="1">
        <v>3086.1</v>
      </c>
      <c r="H634" s="1">
        <f t="shared" si="47"/>
        <v>3086.1</v>
      </c>
      <c r="I634" s="1" t="str">
        <f t="shared" si="48"/>
        <v/>
      </c>
      <c r="J634" s="1" t="str">
        <f>_xlfn.IFNA(INDEX([1]历练产出!$Z:$Z,MATCH(B634,[1]历练产出!$AB:$AB,0)),"")</f>
        <v/>
      </c>
      <c r="K634" s="1" t="str">
        <f>_xlfn.IFNA(INDEX([1]洞天福地产出!$H:$H,MATCH(B634,[1]洞天福地产出!$K:$K,0)),"")</f>
        <v/>
      </c>
      <c r="L634" s="1" t="str">
        <f t="shared" si="49"/>
        <v/>
      </c>
      <c r="M634" s="4">
        <f t="shared" si="50"/>
        <v>0</v>
      </c>
    </row>
    <row r="635" ht="30" spans="1:13">
      <c r="A635" s="4"/>
      <c r="B635" t="str">
        <f t="shared" si="51"/>
        <v>7:8000118</v>
      </c>
      <c r="C635" s="1">
        <v>7</v>
      </c>
      <c r="D635" s="4">
        <v>8000118</v>
      </c>
      <c r="E635" s="3" t="s">
        <v>1886</v>
      </c>
      <c r="F635" s="3"/>
      <c r="G635" s="1">
        <v>3300.75</v>
      </c>
      <c r="H635" s="1">
        <f t="shared" si="47"/>
        <v>3300.75</v>
      </c>
      <c r="I635" s="1" t="str">
        <f t="shared" si="48"/>
        <v/>
      </c>
      <c r="J635" s="1" t="str">
        <f>_xlfn.IFNA(INDEX([1]历练产出!$Z:$Z,MATCH(B635,[1]历练产出!$AB:$AB,0)),"")</f>
        <v/>
      </c>
      <c r="K635" s="1" t="str">
        <f>_xlfn.IFNA(INDEX([1]洞天福地产出!$H:$H,MATCH(B635,[1]洞天福地产出!$K:$K,0)),"")</f>
        <v/>
      </c>
      <c r="L635" s="1" t="str">
        <f t="shared" si="49"/>
        <v/>
      </c>
      <c r="M635" s="4">
        <f t="shared" si="50"/>
        <v>0</v>
      </c>
    </row>
    <row r="636" ht="30" spans="1:13">
      <c r="A636" s="4"/>
      <c r="B636" t="str">
        <f t="shared" si="51"/>
        <v>7:8000119</v>
      </c>
      <c r="C636" s="1">
        <v>7</v>
      </c>
      <c r="D636" s="4">
        <v>8000119</v>
      </c>
      <c r="E636" s="3" t="s">
        <v>1886</v>
      </c>
      <c r="F636" s="3"/>
      <c r="G636" s="1">
        <v>4823.55</v>
      </c>
      <c r="H636" s="1">
        <f t="shared" si="47"/>
        <v>4823.55</v>
      </c>
      <c r="I636" s="1" t="str">
        <f t="shared" si="48"/>
        <v/>
      </c>
      <c r="J636" s="1" t="str">
        <f>_xlfn.IFNA(INDEX([1]历练产出!$Z:$Z,MATCH(B636,[1]历练产出!$AB:$AB,0)),"")</f>
        <v/>
      </c>
      <c r="K636" s="1" t="str">
        <f>_xlfn.IFNA(INDEX([1]洞天福地产出!$H:$H,MATCH(B636,[1]洞天福地产出!$K:$K,0)),"")</f>
        <v/>
      </c>
      <c r="L636" s="1" t="str">
        <f t="shared" si="49"/>
        <v/>
      </c>
      <c r="M636" s="4">
        <f t="shared" si="50"/>
        <v>0</v>
      </c>
    </row>
    <row r="637" ht="30" spans="1:13">
      <c r="A637" s="4"/>
      <c r="B637" t="str">
        <f t="shared" si="51"/>
        <v>7:8000120</v>
      </c>
      <c r="C637" s="1">
        <v>7</v>
      </c>
      <c r="D637" s="4">
        <v>8000120</v>
      </c>
      <c r="E637" s="3" t="s">
        <v>1886</v>
      </c>
      <c r="F637" s="3"/>
      <c r="G637" s="1">
        <v>5062.5</v>
      </c>
      <c r="H637" s="1">
        <f t="shared" si="47"/>
        <v>5062.5</v>
      </c>
      <c r="I637" s="1" t="str">
        <f t="shared" si="48"/>
        <v/>
      </c>
      <c r="J637" s="1" t="str">
        <f>_xlfn.IFNA(INDEX([1]历练产出!$Z:$Z,MATCH(B637,[1]历练产出!$AB:$AB,0)),"")</f>
        <v/>
      </c>
      <c r="K637" s="1" t="str">
        <f>_xlfn.IFNA(INDEX([1]洞天福地产出!$H:$H,MATCH(B637,[1]洞天福地产出!$K:$K,0)),"")</f>
        <v/>
      </c>
      <c r="L637" s="1" t="str">
        <f t="shared" si="49"/>
        <v/>
      </c>
      <c r="M637" s="4">
        <f t="shared" si="50"/>
        <v>0</v>
      </c>
    </row>
    <row r="638" ht="30" spans="1:13">
      <c r="A638" s="4"/>
      <c r="B638" t="str">
        <f t="shared" si="51"/>
        <v>7:8000121</v>
      </c>
      <c r="C638" s="1">
        <v>7</v>
      </c>
      <c r="D638" s="4">
        <v>8000121</v>
      </c>
      <c r="E638" s="3" t="s">
        <v>1886</v>
      </c>
      <c r="F638" s="3"/>
      <c r="G638" s="1">
        <v>5313.6</v>
      </c>
      <c r="H638" s="1">
        <f t="shared" si="47"/>
        <v>5313.6</v>
      </c>
      <c r="I638" s="1" t="str">
        <f t="shared" si="48"/>
        <v/>
      </c>
      <c r="J638" s="1" t="str">
        <f>_xlfn.IFNA(INDEX([1]历练产出!$Z:$Z,MATCH(B638,[1]历练产出!$AB:$AB,0)),"")</f>
        <v/>
      </c>
      <c r="K638" s="1" t="str">
        <f>_xlfn.IFNA(INDEX([1]洞天福地产出!$H:$H,MATCH(B638,[1]洞天福地产出!$K:$K,0)),"")</f>
        <v/>
      </c>
      <c r="L638" s="1" t="str">
        <f t="shared" si="49"/>
        <v/>
      </c>
      <c r="M638" s="4">
        <f t="shared" si="50"/>
        <v>0</v>
      </c>
    </row>
    <row r="639" ht="30" spans="1:13">
      <c r="A639" s="4"/>
      <c r="B639" t="str">
        <f t="shared" si="51"/>
        <v>7:8000122</v>
      </c>
      <c r="C639" s="1">
        <v>7</v>
      </c>
      <c r="D639" s="4">
        <v>8000122</v>
      </c>
      <c r="E639" s="3" t="s">
        <v>1886</v>
      </c>
      <c r="F639" s="3"/>
      <c r="G639" s="1">
        <v>5576.85</v>
      </c>
      <c r="H639" s="1">
        <f t="shared" si="47"/>
        <v>5576.85</v>
      </c>
      <c r="I639" s="1" t="str">
        <f t="shared" si="48"/>
        <v/>
      </c>
      <c r="J639" s="1" t="str">
        <f>_xlfn.IFNA(INDEX([1]历练产出!$Z:$Z,MATCH(B639,[1]历练产出!$AB:$AB,0)),"")</f>
        <v/>
      </c>
      <c r="K639" s="1" t="str">
        <f>_xlfn.IFNA(INDEX([1]洞天福地产出!$H:$H,MATCH(B639,[1]洞天福地产出!$K:$K,0)),"")</f>
        <v/>
      </c>
      <c r="L639" s="1" t="str">
        <f t="shared" si="49"/>
        <v/>
      </c>
      <c r="M639" s="4">
        <f t="shared" si="50"/>
        <v>0</v>
      </c>
    </row>
    <row r="640" ht="30" spans="1:13">
      <c r="A640" s="4"/>
      <c r="B640" t="str">
        <f t="shared" si="51"/>
        <v>7:8000123</v>
      </c>
      <c r="C640" s="1">
        <v>7</v>
      </c>
      <c r="D640" s="4">
        <v>8000123</v>
      </c>
      <c r="E640" s="3" t="s">
        <v>1886</v>
      </c>
      <c r="F640" s="3"/>
      <c r="G640" s="1">
        <v>5852.25</v>
      </c>
      <c r="H640" s="1">
        <f t="shared" si="47"/>
        <v>5852.25</v>
      </c>
      <c r="I640" s="1" t="str">
        <f t="shared" si="48"/>
        <v/>
      </c>
      <c r="J640" s="1" t="str">
        <f>_xlfn.IFNA(INDEX([1]历练产出!$Z:$Z,MATCH(B640,[1]历练产出!$AB:$AB,0)),"")</f>
        <v/>
      </c>
      <c r="K640" s="1" t="str">
        <f>_xlfn.IFNA(INDEX([1]洞天福地产出!$H:$H,MATCH(B640,[1]洞天福地产出!$K:$K,0)),"")</f>
        <v/>
      </c>
      <c r="L640" s="1" t="str">
        <f t="shared" si="49"/>
        <v/>
      </c>
      <c r="M640" s="4">
        <f t="shared" si="50"/>
        <v>0</v>
      </c>
    </row>
    <row r="641" ht="30" spans="1:13">
      <c r="A641" s="4"/>
      <c r="B641" t="str">
        <f t="shared" si="51"/>
        <v>7:8000124</v>
      </c>
      <c r="C641" s="1">
        <v>7</v>
      </c>
      <c r="D641" s="4">
        <v>8000124</v>
      </c>
      <c r="E641" s="3" t="s">
        <v>1886</v>
      </c>
      <c r="F641" s="3"/>
      <c r="G641" s="1">
        <v>6139.8</v>
      </c>
      <c r="H641" s="1">
        <f t="shared" si="47"/>
        <v>6139.8</v>
      </c>
      <c r="I641" s="1" t="str">
        <f t="shared" si="48"/>
        <v/>
      </c>
      <c r="J641" s="1" t="str">
        <f>_xlfn.IFNA(INDEX([1]历练产出!$Z:$Z,MATCH(B641,[1]历练产出!$AB:$AB,0)),"")</f>
        <v/>
      </c>
      <c r="K641" s="1" t="str">
        <f>_xlfn.IFNA(INDEX([1]洞天福地产出!$H:$H,MATCH(B641,[1]洞天福地产出!$K:$K,0)),"")</f>
        <v/>
      </c>
      <c r="L641" s="1" t="str">
        <f t="shared" si="49"/>
        <v/>
      </c>
      <c r="M641" s="4">
        <f t="shared" si="50"/>
        <v>0</v>
      </c>
    </row>
    <row r="642" ht="30" spans="1:13">
      <c r="A642" s="4"/>
      <c r="B642" t="str">
        <f t="shared" si="51"/>
        <v>7:8000125</v>
      </c>
      <c r="C642" s="1">
        <v>7</v>
      </c>
      <c r="D642" s="4">
        <v>8000125</v>
      </c>
      <c r="E642" s="3" t="s">
        <v>1886</v>
      </c>
      <c r="F642" s="3"/>
      <c r="G642" s="1">
        <v>6439.5</v>
      </c>
      <c r="H642" s="1">
        <f t="shared" si="47"/>
        <v>6439.5</v>
      </c>
      <c r="I642" s="1" t="str">
        <f t="shared" si="48"/>
        <v/>
      </c>
      <c r="J642" s="1" t="str">
        <f>_xlfn.IFNA(INDEX([1]历练产出!$Z:$Z,MATCH(B642,[1]历练产出!$AB:$AB,0)),"")</f>
        <v/>
      </c>
      <c r="K642" s="1" t="str">
        <f>_xlfn.IFNA(INDEX([1]洞天福地产出!$H:$H,MATCH(B642,[1]洞天福地产出!$K:$K,0)),"")</f>
        <v/>
      </c>
      <c r="L642" s="1" t="str">
        <f t="shared" si="49"/>
        <v/>
      </c>
      <c r="M642" s="4">
        <f t="shared" si="50"/>
        <v>0</v>
      </c>
    </row>
    <row r="643" ht="30" spans="1:13">
      <c r="A643" s="4"/>
      <c r="B643" t="str">
        <f t="shared" si="51"/>
        <v>7:8000126</v>
      </c>
      <c r="C643" s="1">
        <v>7</v>
      </c>
      <c r="D643" s="4">
        <v>8000126</v>
      </c>
      <c r="E643" s="3" t="s">
        <v>1886</v>
      </c>
      <c r="F643" s="3"/>
      <c r="G643" s="1">
        <v>6751.35</v>
      </c>
      <c r="H643" s="1">
        <f t="shared" si="47"/>
        <v>6751.35</v>
      </c>
      <c r="I643" s="1" t="str">
        <f t="shared" si="48"/>
        <v/>
      </c>
      <c r="J643" s="1" t="str">
        <f>_xlfn.IFNA(INDEX([1]历练产出!$Z:$Z,MATCH(B643,[1]历练产出!$AB:$AB,0)),"")</f>
        <v/>
      </c>
      <c r="K643" s="1" t="str">
        <f>_xlfn.IFNA(INDEX([1]洞天福地产出!$H:$H,MATCH(B643,[1]洞天福地产出!$K:$K,0)),"")</f>
        <v/>
      </c>
      <c r="L643" s="1" t="str">
        <f t="shared" si="49"/>
        <v/>
      </c>
      <c r="M643" s="4">
        <f t="shared" si="50"/>
        <v>0</v>
      </c>
    </row>
    <row r="644" ht="30" spans="1:13">
      <c r="A644" s="4"/>
      <c r="B644" t="str">
        <f t="shared" si="51"/>
        <v>7:8000127</v>
      </c>
      <c r="C644" s="1">
        <v>7</v>
      </c>
      <c r="D644" s="4">
        <v>8000127</v>
      </c>
      <c r="E644" s="3" t="s">
        <v>1886</v>
      </c>
      <c r="F644" s="3"/>
      <c r="G644" s="1">
        <v>7075.35</v>
      </c>
      <c r="H644" s="1">
        <f t="shared" ref="H644:H707" si="52">IF(I644="",G644,I644)</f>
        <v>7075.35</v>
      </c>
      <c r="I644" s="1" t="str">
        <f t="shared" ref="I644:I707" si="53">IFERROR(100/L644,"")</f>
        <v/>
      </c>
      <c r="J644" s="1" t="str">
        <f>_xlfn.IFNA(INDEX([1]历练产出!$Z:$Z,MATCH(B644,[1]历练产出!$AB:$AB,0)),"")</f>
        <v/>
      </c>
      <c r="K644" s="1" t="str">
        <f>_xlfn.IFNA(INDEX([1]洞天福地产出!$H:$H,MATCH(B644,[1]洞天福地产出!$K:$K,0)),"")</f>
        <v/>
      </c>
      <c r="L644" s="1" t="str">
        <f t="shared" ref="L644:L707" si="54">IFERROR(J644+K644,"")</f>
        <v/>
      </c>
      <c r="M644" s="4">
        <f t="shared" ref="M644:M707" si="55">IF(I644="",0,1)</f>
        <v>0</v>
      </c>
    </row>
    <row r="645" ht="30" spans="1:13">
      <c r="A645" s="4"/>
      <c r="B645" t="str">
        <f t="shared" si="51"/>
        <v>7:8000128</v>
      </c>
      <c r="C645" s="1">
        <v>7</v>
      </c>
      <c r="D645" s="4">
        <v>8000128</v>
      </c>
      <c r="E645" s="3" t="s">
        <v>1886</v>
      </c>
      <c r="F645" s="3"/>
      <c r="G645" s="1">
        <v>7411.5</v>
      </c>
      <c r="H645" s="1">
        <f t="shared" si="52"/>
        <v>7411.5</v>
      </c>
      <c r="I645" s="1" t="str">
        <f t="shared" si="53"/>
        <v/>
      </c>
      <c r="J645" s="1" t="str">
        <f>_xlfn.IFNA(INDEX([1]历练产出!$Z:$Z,MATCH(B645,[1]历练产出!$AB:$AB,0)),"")</f>
        <v/>
      </c>
      <c r="K645" s="1" t="str">
        <f>_xlfn.IFNA(INDEX([1]洞天福地产出!$H:$H,MATCH(B645,[1]洞天福地产出!$K:$K,0)),"")</f>
        <v/>
      </c>
      <c r="L645" s="1" t="str">
        <f t="shared" si="54"/>
        <v/>
      </c>
      <c r="M645" s="4">
        <f t="shared" si="55"/>
        <v>0</v>
      </c>
    </row>
    <row r="646" ht="30" spans="1:13">
      <c r="A646" s="4"/>
      <c r="B646" t="str">
        <f t="shared" si="51"/>
        <v>7:8000129</v>
      </c>
      <c r="C646" s="1">
        <v>7</v>
      </c>
      <c r="D646" s="4">
        <v>8000129</v>
      </c>
      <c r="E646" s="3" t="s">
        <v>1886</v>
      </c>
      <c r="F646" s="3"/>
      <c r="G646" s="1">
        <v>9703.8</v>
      </c>
      <c r="H646" s="1">
        <f t="shared" si="52"/>
        <v>9703.8</v>
      </c>
      <c r="I646" s="1" t="str">
        <f t="shared" si="53"/>
        <v/>
      </c>
      <c r="J646" s="1" t="str">
        <f>_xlfn.IFNA(INDEX([1]历练产出!$Z:$Z,MATCH(B646,[1]历练产出!$AB:$AB,0)),"")</f>
        <v/>
      </c>
      <c r="K646" s="1" t="str">
        <f>_xlfn.IFNA(INDEX([1]洞天福地产出!$H:$H,MATCH(B646,[1]洞天福地产出!$K:$K,0)),"")</f>
        <v/>
      </c>
      <c r="L646" s="1" t="str">
        <f t="shared" si="54"/>
        <v/>
      </c>
      <c r="M646" s="4">
        <f t="shared" si="55"/>
        <v>0</v>
      </c>
    </row>
    <row r="647" ht="30" spans="1:13">
      <c r="A647" s="4"/>
      <c r="B647" t="str">
        <f t="shared" si="51"/>
        <v>7:8000130</v>
      </c>
      <c r="C647" s="1">
        <v>7</v>
      </c>
      <c r="D647" s="4">
        <v>8000130</v>
      </c>
      <c r="E647" s="3" t="s">
        <v>1886</v>
      </c>
      <c r="F647" s="3"/>
      <c r="G647" s="1">
        <v>10052.1</v>
      </c>
      <c r="H647" s="1">
        <f t="shared" si="52"/>
        <v>10052.1</v>
      </c>
      <c r="I647" s="1" t="str">
        <f t="shared" si="53"/>
        <v/>
      </c>
      <c r="J647" s="1" t="str">
        <f>_xlfn.IFNA(INDEX([1]历练产出!$Z:$Z,MATCH(B647,[1]历练产出!$AB:$AB,0)),"")</f>
        <v/>
      </c>
      <c r="K647" s="1" t="str">
        <f>_xlfn.IFNA(INDEX([1]洞天福地产出!$H:$H,MATCH(B647,[1]洞天福地产出!$K:$K,0)),"")</f>
        <v/>
      </c>
      <c r="L647" s="1" t="str">
        <f t="shared" si="54"/>
        <v/>
      </c>
      <c r="M647" s="4">
        <f t="shared" si="55"/>
        <v>0</v>
      </c>
    </row>
    <row r="648" ht="45" spans="1:13">
      <c r="A648" s="4"/>
      <c r="B648" t="str">
        <f t="shared" si="51"/>
        <v>7:9000101</v>
      </c>
      <c r="C648" s="1">
        <v>7</v>
      </c>
      <c r="D648" s="4">
        <v>9000101</v>
      </c>
      <c r="E648" s="3" t="s">
        <v>1887</v>
      </c>
      <c r="F648" s="3"/>
      <c r="G648" s="1">
        <v>656.1</v>
      </c>
      <c r="H648" s="1">
        <f t="shared" si="52"/>
        <v>656.1</v>
      </c>
      <c r="I648" s="1" t="str">
        <f t="shared" si="53"/>
        <v/>
      </c>
      <c r="J648" s="1" t="str">
        <f>_xlfn.IFNA(INDEX([1]历练产出!$Z:$Z,MATCH(B648,[1]历练产出!$AB:$AB,0)),"")</f>
        <v/>
      </c>
      <c r="K648" s="1" t="str">
        <f>_xlfn.IFNA(INDEX([1]洞天福地产出!$H:$H,MATCH(B648,[1]洞天福地产出!$K:$K,0)),"")</f>
        <v/>
      </c>
      <c r="L648" s="1" t="str">
        <f t="shared" si="54"/>
        <v/>
      </c>
      <c r="M648" s="4">
        <f t="shared" si="55"/>
        <v>0</v>
      </c>
    </row>
    <row r="649" ht="45" spans="1:13">
      <c r="A649" s="4"/>
      <c r="B649" t="str">
        <f t="shared" si="51"/>
        <v>7:9000102</v>
      </c>
      <c r="C649" s="1">
        <v>7</v>
      </c>
      <c r="D649" s="4">
        <v>9000102</v>
      </c>
      <c r="E649" s="3" t="s">
        <v>1887</v>
      </c>
      <c r="F649" s="3"/>
      <c r="G649" s="1">
        <v>676.35</v>
      </c>
      <c r="H649" s="1">
        <f t="shared" si="52"/>
        <v>676.35</v>
      </c>
      <c r="I649" s="1" t="str">
        <f t="shared" si="53"/>
        <v/>
      </c>
      <c r="J649" s="1" t="str">
        <f>_xlfn.IFNA(INDEX([1]历练产出!$Z:$Z,MATCH(B649,[1]历练产出!$AB:$AB,0)),"")</f>
        <v/>
      </c>
      <c r="K649" s="1" t="str">
        <f>_xlfn.IFNA(INDEX([1]洞天福地产出!$H:$H,MATCH(B649,[1]洞天福地产出!$K:$K,0)),"")</f>
        <v/>
      </c>
      <c r="L649" s="1" t="str">
        <f t="shared" si="54"/>
        <v/>
      </c>
      <c r="M649" s="4">
        <f t="shared" si="55"/>
        <v>0</v>
      </c>
    </row>
    <row r="650" ht="45" spans="1:13">
      <c r="A650" s="4"/>
      <c r="B650" t="str">
        <f t="shared" si="51"/>
        <v>7:9000103</v>
      </c>
      <c r="C650" s="1">
        <v>7</v>
      </c>
      <c r="D650" s="4">
        <v>9000103</v>
      </c>
      <c r="E650" s="3" t="s">
        <v>1887</v>
      </c>
      <c r="F650" s="3"/>
      <c r="G650" s="1">
        <v>708.75</v>
      </c>
      <c r="H650" s="1">
        <f t="shared" si="52"/>
        <v>708.75</v>
      </c>
      <c r="I650" s="1" t="str">
        <f t="shared" si="53"/>
        <v/>
      </c>
      <c r="J650" s="1" t="str">
        <f>_xlfn.IFNA(INDEX([1]历练产出!$Z:$Z,MATCH(B650,[1]历练产出!$AB:$AB,0)),"")</f>
        <v/>
      </c>
      <c r="K650" s="1" t="str">
        <f>_xlfn.IFNA(INDEX([1]洞天福地产出!$H:$H,MATCH(B650,[1]洞天福地产出!$K:$K,0)),"")</f>
        <v/>
      </c>
      <c r="L650" s="1" t="str">
        <f t="shared" si="54"/>
        <v/>
      </c>
      <c r="M650" s="4">
        <f t="shared" si="55"/>
        <v>0</v>
      </c>
    </row>
    <row r="651" ht="45" spans="1:13">
      <c r="A651" s="4"/>
      <c r="B651" t="str">
        <f t="shared" si="51"/>
        <v>7:9000104</v>
      </c>
      <c r="C651" s="1">
        <v>7</v>
      </c>
      <c r="D651" s="4">
        <v>9000104</v>
      </c>
      <c r="E651" s="3" t="s">
        <v>1887</v>
      </c>
      <c r="F651" s="3"/>
      <c r="G651" s="1">
        <v>753.3</v>
      </c>
      <c r="H651" s="1">
        <f t="shared" si="52"/>
        <v>753.3</v>
      </c>
      <c r="I651" s="1" t="str">
        <f t="shared" si="53"/>
        <v/>
      </c>
      <c r="J651" s="1" t="str">
        <f>_xlfn.IFNA(INDEX([1]历练产出!$Z:$Z,MATCH(B651,[1]历练产出!$AB:$AB,0)),"")</f>
        <v/>
      </c>
      <c r="K651" s="1" t="str">
        <f>_xlfn.IFNA(INDEX([1]洞天福地产出!$H:$H,MATCH(B651,[1]洞天福地产出!$K:$K,0)),"")</f>
        <v/>
      </c>
      <c r="L651" s="1" t="str">
        <f t="shared" si="54"/>
        <v/>
      </c>
      <c r="M651" s="4">
        <f t="shared" si="55"/>
        <v>0</v>
      </c>
    </row>
    <row r="652" ht="45" spans="1:13">
      <c r="A652" s="4"/>
      <c r="B652" t="str">
        <f t="shared" si="51"/>
        <v>7:9000105</v>
      </c>
      <c r="C652" s="1">
        <v>7</v>
      </c>
      <c r="D652" s="4">
        <v>9000105</v>
      </c>
      <c r="E652" s="3" t="s">
        <v>1887</v>
      </c>
      <c r="F652" s="3"/>
      <c r="G652" s="1">
        <v>810</v>
      </c>
      <c r="H652" s="1">
        <f t="shared" si="52"/>
        <v>810</v>
      </c>
      <c r="I652" s="1" t="str">
        <f t="shared" si="53"/>
        <v/>
      </c>
      <c r="J652" s="1" t="str">
        <f>_xlfn.IFNA(INDEX([1]历练产出!$Z:$Z,MATCH(B652,[1]历练产出!$AB:$AB,0)),"")</f>
        <v/>
      </c>
      <c r="K652" s="1" t="str">
        <f>_xlfn.IFNA(INDEX([1]洞天福地产出!$H:$H,MATCH(B652,[1]洞天福地产出!$K:$K,0)),"")</f>
        <v/>
      </c>
      <c r="L652" s="1" t="str">
        <f t="shared" si="54"/>
        <v/>
      </c>
      <c r="M652" s="4">
        <f t="shared" si="55"/>
        <v>0</v>
      </c>
    </row>
    <row r="653" ht="45" spans="1:13">
      <c r="A653" s="4"/>
      <c r="B653" t="str">
        <f t="shared" si="51"/>
        <v>7:9000106</v>
      </c>
      <c r="C653" s="1">
        <v>7</v>
      </c>
      <c r="D653" s="4">
        <v>9000106</v>
      </c>
      <c r="E653" s="3" t="s">
        <v>1887</v>
      </c>
      <c r="F653" s="3"/>
      <c r="G653" s="1">
        <v>878.85</v>
      </c>
      <c r="H653" s="1">
        <f t="shared" si="52"/>
        <v>878.85</v>
      </c>
      <c r="I653" s="1" t="str">
        <f t="shared" si="53"/>
        <v/>
      </c>
      <c r="J653" s="1" t="str">
        <f>_xlfn.IFNA(INDEX([1]历练产出!$Z:$Z,MATCH(B653,[1]历练产出!$AB:$AB,0)),"")</f>
        <v/>
      </c>
      <c r="K653" s="1" t="str">
        <f>_xlfn.IFNA(INDEX([1]洞天福地产出!$H:$H,MATCH(B653,[1]洞天福地产出!$K:$K,0)),"")</f>
        <v/>
      </c>
      <c r="L653" s="1" t="str">
        <f t="shared" si="54"/>
        <v/>
      </c>
      <c r="M653" s="4">
        <f t="shared" si="55"/>
        <v>0</v>
      </c>
    </row>
    <row r="654" ht="45" spans="1:13">
      <c r="A654" s="4"/>
      <c r="B654" t="str">
        <f t="shared" si="51"/>
        <v>7:9000107</v>
      </c>
      <c r="C654" s="1">
        <v>7</v>
      </c>
      <c r="D654" s="4">
        <v>9000107</v>
      </c>
      <c r="E654" s="3" t="s">
        <v>1887</v>
      </c>
      <c r="F654" s="3"/>
      <c r="G654" s="1">
        <v>959.85</v>
      </c>
      <c r="H654" s="1">
        <f t="shared" si="52"/>
        <v>959.85</v>
      </c>
      <c r="I654" s="1" t="str">
        <f t="shared" si="53"/>
        <v/>
      </c>
      <c r="J654" s="1" t="str">
        <f>_xlfn.IFNA(INDEX([1]历练产出!$Z:$Z,MATCH(B654,[1]历练产出!$AB:$AB,0)),"")</f>
        <v/>
      </c>
      <c r="K654" s="1" t="str">
        <f>_xlfn.IFNA(INDEX([1]洞天福地产出!$H:$H,MATCH(B654,[1]洞天福地产出!$K:$K,0)),"")</f>
        <v/>
      </c>
      <c r="L654" s="1" t="str">
        <f t="shared" si="54"/>
        <v/>
      </c>
      <c r="M654" s="4">
        <f t="shared" si="55"/>
        <v>0</v>
      </c>
    </row>
    <row r="655" ht="45" spans="1:13">
      <c r="A655" s="4"/>
      <c r="B655" t="str">
        <f t="shared" si="51"/>
        <v>7:9000108</v>
      </c>
      <c r="C655" s="1">
        <v>7</v>
      </c>
      <c r="D655" s="4">
        <v>9000108</v>
      </c>
      <c r="E655" s="3" t="s">
        <v>1887</v>
      </c>
      <c r="F655" s="3"/>
      <c r="G655" s="1">
        <v>1053</v>
      </c>
      <c r="H655" s="1">
        <f t="shared" si="52"/>
        <v>1053</v>
      </c>
      <c r="I655" s="1" t="str">
        <f t="shared" si="53"/>
        <v/>
      </c>
      <c r="J655" s="1" t="str">
        <f>_xlfn.IFNA(INDEX([1]历练产出!$Z:$Z,MATCH(B655,[1]历练产出!$AB:$AB,0)),"")</f>
        <v/>
      </c>
      <c r="K655" s="1" t="str">
        <f>_xlfn.IFNA(INDEX([1]洞天福地产出!$H:$H,MATCH(B655,[1]洞天福地产出!$K:$K,0)),"")</f>
        <v/>
      </c>
      <c r="L655" s="1" t="str">
        <f t="shared" si="54"/>
        <v/>
      </c>
      <c r="M655" s="4">
        <f t="shared" si="55"/>
        <v>0</v>
      </c>
    </row>
    <row r="656" ht="45" spans="1:13">
      <c r="A656" s="4"/>
      <c r="B656" t="str">
        <f t="shared" si="51"/>
        <v>7:9000109</v>
      </c>
      <c r="C656" s="1">
        <v>7</v>
      </c>
      <c r="D656" s="4">
        <v>9000109</v>
      </c>
      <c r="E656" s="3" t="s">
        <v>1887</v>
      </c>
      <c r="F656" s="3"/>
      <c r="G656" s="1">
        <v>1806.3</v>
      </c>
      <c r="H656" s="1">
        <f t="shared" si="52"/>
        <v>1806.3</v>
      </c>
      <c r="I656" s="1" t="str">
        <f t="shared" si="53"/>
        <v/>
      </c>
      <c r="J656" s="1" t="str">
        <f>_xlfn.IFNA(INDEX([1]历练产出!$Z:$Z,MATCH(B656,[1]历练产出!$AB:$AB,0)),"")</f>
        <v/>
      </c>
      <c r="K656" s="1" t="str">
        <f>_xlfn.IFNA(INDEX([1]洞天福地产出!$H:$H,MATCH(B656,[1]洞天福地产出!$K:$K,0)),"")</f>
        <v/>
      </c>
      <c r="L656" s="1" t="str">
        <f t="shared" si="54"/>
        <v/>
      </c>
      <c r="M656" s="4">
        <f t="shared" si="55"/>
        <v>0</v>
      </c>
    </row>
    <row r="657" ht="45" spans="1:13">
      <c r="A657" s="4"/>
      <c r="B657" t="str">
        <f t="shared" si="51"/>
        <v>7:9000110</v>
      </c>
      <c r="C657" s="1">
        <v>7</v>
      </c>
      <c r="D657" s="4">
        <v>9000110</v>
      </c>
      <c r="E657" s="3" t="s">
        <v>1887</v>
      </c>
      <c r="F657" s="3"/>
      <c r="G657" s="1">
        <v>1923.75</v>
      </c>
      <c r="H657" s="1">
        <f t="shared" si="52"/>
        <v>1923.75</v>
      </c>
      <c r="I657" s="1" t="str">
        <f t="shared" si="53"/>
        <v/>
      </c>
      <c r="J657" s="1" t="str">
        <f>_xlfn.IFNA(INDEX([1]历练产出!$Z:$Z,MATCH(B657,[1]历练产出!$AB:$AB,0)),"")</f>
        <v/>
      </c>
      <c r="K657" s="1" t="str">
        <f>_xlfn.IFNA(INDEX([1]洞天福地产出!$H:$H,MATCH(B657,[1]洞天福地产出!$K:$K,0)),"")</f>
        <v/>
      </c>
      <c r="L657" s="1" t="str">
        <f t="shared" si="54"/>
        <v/>
      </c>
      <c r="M657" s="4">
        <f t="shared" si="55"/>
        <v>0</v>
      </c>
    </row>
    <row r="658" ht="45" spans="1:13">
      <c r="A658" s="4"/>
      <c r="B658" t="str">
        <f t="shared" si="51"/>
        <v>7:9000111</v>
      </c>
      <c r="C658" s="1">
        <v>7</v>
      </c>
      <c r="D658" s="4">
        <v>9000111</v>
      </c>
      <c r="E658" s="3" t="s">
        <v>1887</v>
      </c>
      <c r="F658" s="3"/>
      <c r="G658" s="1">
        <v>2053.35</v>
      </c>
      <c r="H658" s="1">
        <f t="shared" si="52"/>
        <v>2053.35</v>
      </c>
      <c r="I658" s="1" t="str">
        <f t="shared" si="53"/>
        <v/>
      </c>
      <c r="J658" s="1" t="str">
        <f>_xlfn.IFNA(INDEX([1]历练产出!$Z:$Z,MATCH(B658,[1]历练产出!$AB:$AB,0)),"")</f>
        <v/>
      </c>
      <c r="K658" s="1" t="str">
        <f>_xlfn.IFNA(INDEX([1]洞天福地产出!$H:$H,MATCH(B658,[1]洞天福地产出!$K:$K,0)),"")</f>
        <v/>
      </c>
      <c r="L658" s="1" t="str">
        <f t="shared" si="54"/>
        <v/>
      </c>
      <c r="M658" s="4">
        <f t="shared" si="55"/>
        <v>0</v>
      </c>
    </row>
    <row r="659" ht="45" spans="1:13">
      <c r="A659" s="4"/>
      <c r="B659" t="str">
        <f t="shared" si="51"/>
        <v>7:9000112</v>
      </c>
      <c r="C659" s="1">
        <v>7</v>
      </c>
      <c r="D659" s="4">
        <v>9000112</v>
      </c>
      <c r="E659" s="3" t="s">
        <v>1887</v>
      </c>
      <c r="F659" s="3"/>
      <c r="G659" s="1">
        <v>2195.1</v>
      </c>
      <c r="H659" s="1">
        <f t="shared" si="52"/>
        <v>2195.1</v>
      </c>
      <c r="I659" s="1" t="str">
        <f t="shared" si="53"/>
        <v/>
      </c>
      <c r="J659" s="1" t="str">
        <f>_xlfn.IFNA(INDEX([1]历练产出!$Z:$Z,MATCH(B659,[1]历练产出!$AB:$AB,0)),"")</f>
        <v/>
      </c>
      <c r="K659" s="1" t="str">
        <f>_xlfn.IFNA(INDEX([1]洞天福地产出!$H:$H,MATCH(B659,[1]洞天福地产出!$K:$K,0)),"")</f>
        <v/>
      </c>
      <c r="L659" s="1" t="str">
        <f t="shared" si="54"/>
        <v/>
      </c>
      <c r="M659" s="4">
        <f t="shared" si="55"/>
        <v>0</v>
      </c>
    </row>
    <row r="660" ht="45" spans="1:13">
      <c r="A660" s="4"/>
      <c r="B660" t="str">
        <f t="shared" si="51"/>
        <v>7:9000113</v>
      </c>
      <c r="C660" s="1">
        <v>7</v>
      </c>
      <c r="D660" s="4">
        <v>9000113</v>
      </c>
      <c r="E660" s="3" t="s">
        <v>1887</v>
      </c>
      <c r="F660" s="3"/>
      <c r="G660" s="1">
        <v>2349</v>
      </c>
      <c r="H660" s="1">
        <f t="shared" si="52"/>
        <v>2349</v>
      </c>
      <c r="I660" s="1" t="str">
        <f t="shared" si="53"/>
        <v/>
      </c>
      <c r="J660" s="1" t="str">
        <f>_xlfn.IFNA(INDEX([1]历练产出!$Z:$Z,MATCH(B660,[1]历练产出!$AB:$AB,0)),"")</f>
        <v/>
      </c>
      <c r="K660" s="1" t="str">
        <f>_xlfn.IFNA(INDEX([1]洞天福地产出!$H:$H,MATCH(B660,[1]洞天福地产出!$K:$K,0)),"")</f>
        <v/>
      </c>
      <c r="L660" s="1" t="str">
        <f t="shared" si="54"/>
        <v/>
      </c>
      <c r="M660" s="4">
        <f t="shared" si="55"/>
        <v>0</v>
      </c>
    </row>
    <row r="661" ht="45" spans="1:13">
      <c r="A661" s="4"/>
      <c r="B661" t="str">
        <f t="shared" si="51"/>
        <v>7:9000114</v>
      </c>
      <c r="C661" s="1">
        <v>7</v>
      </c>
      <c r="D661" s="4">
        <v>9000114</v>
      </c>
      <c r="E661" s="3" t="s">
        <v>1887</v>
      </c>
      <c r="F661" s="3"/>
      <c r="G661" s="1">
        <v>2515.05</v>
      </c>
      <c r="H661" s="1">
        <f t="shared" si="52"/>
        <v>2515.05</v>
      </c>
      <c r="I661" s="1" t="str">
        <f t="shared" si="53"/>
        <v/>
      </c>
      <c r="J661" s="1" t="str">
        <f>_xlfn.IFNA(INDEX([1]历练产出!$Z:$Z,MATCH(B661,[1]历练产出!$AB:$AB,0)),"")</f>
        <v/>
      </c>
      <c r="K661" s="1" t="str">
        <f>_xlfn.IFNA(INDEX([1]洞天福地产出!$H:$H,MATCH(B661,[1]洞天福地产出!$K:$K,0)),"")</f>
        <v/>
      </c>
      <c r="L661" s="1" t="str">
        <f t="shared" si="54"/>
        <v/>
      </c>
      <c r="M661" s="4">
        <f t="shared" si="55"/>
        <v>0</v>
      </c>
    </row>
    <row r="662" ht="45" spans="1:13">
      <c r="A662" s="4"/>
      <c r="B662" t="str">
        <f t="shared" si="51"/>
        <v>7:9000115</v>
      </c>
      <c r="C662" s="1">
        <v>7</v>
      </c>
      <c r="D662" s="4">
        <v>9000115</v>
      </c>
      <c r="E662" s="3" t="s">
        <v>1887</v>
      </c>
      <c r="F662" s="3"/>
      <c r="G662" s="1">
        <v>2693.25</v>
      </c>
      <c r="H662" s="1">
        <f t="shared" si="52"/>
        <v>2693.25</v>
      </c>
      <c r="I662" s="1" t="str">
        <f t="shared" si="53"/>
        <v/>
      </c>
      <c r="J662" s="1" t="str">
        <f>_xlfn.IFNA(INDEX([1]历练产出!$Z:$Z,MATCH(B662,[1]历练产出!$AB:$AB,0)),"")</f>
        <v/>
      </c>
      <c r="K662" s="1" t="str">
        <f>_xlfn.IFNA(INDEX([1]洞天福地产出!$H:$H,MATCH(B662,[1]洞天福地产出!$K:$K,0)),"")</f>
        <v/>
      </c>
      <c r="L662" s="1" t="str">
        <f t="shared" si="54"/>
        <v/>
      </c>
      <c r="M662" s="4">
        <f t="shared" si="55"/>
        <v>0</v>
      </c>
    </row>
    <row r="663" ht="45" spans="1:13">
      <c r="A663" s="4"/>
      <c r="B663" t="str">
        <f t="shared" si="51"/>
        <v>7:9000116</v>
      </c>
      <c r="C663" s="1">
        <v>7</v>
      </c>
      <c r="D663" s="4">
        <v>9000116</v>
      </c>
      <c r="E663" s="3" t="s">
        <v>1887</v>
      </c>
      <c r="F663" s="3"/>
      <c r="G663" s="1">
        <v>2883.6</v>
      </c>
      <c r="H663" s="1">
        <f t="shared" si="52"/>
        <v>2883.6</v>
      </c>
      <c r="I663" s="1" t="str">
        <f t="shared" si="53"/>
        <v/>
      </c>
      <c r="J663" s="1" t="str">
        <f>_xlfn.IFNA(INDEX([1]历练产出!$Z:$Z,MATCH(B663,[1]历练产出!$AB:$AB,0)),"")</f>
        <v/>
      </c>
      <c r="K663" s="1" t="str">
        <f>_xlfn.IFNA(INDEX([1]洞天福地产出!$H:$H,MATCH(B663,[1]洞天福地产出!$K:$K,0)),"")</f>
        <v/>
      </c>
      <c r="L663" s="1" t="str">
        <f t="shared" si="54"/>
        <v/>
      </c>
      <c r="M663" s="4">
        <f t="shared" si="55"/>
        <v>0</v>
      </c>
    </row>
    <row r="664" ht="45" spans="1:13">
      <c r="A664" s="4"/>
      <c r="B664" t="str">
        <f t="shared" si="51"/>
        <v>7:9000117</v>
      </c>
      <c r="C664" s="1">
        <v>7</v>
      </c>
      <c r="D664" s="4">
        <v>9000117</v>
      </c>
      <c r="E664" s="3" t="s">
        <v>1887</v>
      </c>
      <c r="F664" s="3"/>
      <c r="G664" s="1">
        <v>3086.1</v>
      </c>
      <c r="H664" s="1">
        <f t="shared" si="52"/>
        <v>3086.1</v>
      </c>
      <c r="I664" s="1" t="str">
        <f t="shared" si="53"/>
        <v/>
      </c>
      <c r="J664" s="1" t="str">
        <f>_xlfn.IFNA(INDEX([1]历练产出!$Z:$Z,MATCH(B664,[1]历练产出!$AB:$AB,0)),"")</f>
        <v/>
      </c>
      <c r="K664" s="1" t="str">
        <f>_xlfn.IFNA(INDEX([1]洞天福地产出!$H:$H,MATCH(B664,[1]洞天福地产出!$K:$K,0)),"")</f>
        <v/>
      </c>
      <c r="L664" s="1" t="str">
        <f t="shared" si="54"/>
        <v/>
      </c>
      <c r="M664" s="4">
        <f t="shared" si="55"/>
        <v>0</v>
      </c>
    </row>
    <row r="665" ht="45" spans="1:13">
      <c r="A665" s="4"/>
      <c r="B665" t="str">
        <f t="shared" si="51"/>
        <v>7:9000118</v>
      </c>
      <c r="C665" s="1">
        <v>7</v>
      </c>
      <c r="D665" s="4">
        <v>9000118</v>
      </c>
      <c r="E665" s="3" t="s">
        <v>1887</v>
      </c>
      <c r="F665" s="3"/>
      <c r="G665" s="1">
        <v>3300.75</v>
      </c>
      <c r="H665" s="1">
        <f t="shared" si="52"/>
        <v>3300.75</v>
      </c>
      <c r="I665" s="1" t="str">
        <f t="shared" si="53"/>
        <v/>
      </c>
      <c r="J665" s="1" t="str">
        <f>_xlfn.IFNA(INDEX([1]历练产出!$Z:$Z,MATCH(B665,[1]历练产出!$AB:$AB,0)),"")</f>
        <v/>
      </c>
      <c r="K665" s="1" t="str">
        <f>_xlfn.IFNA(INDEX([1]洞天福地产出!$H:$H,MATCH(B665,[1]洞天福地产出!$K:$K,0)),"")</f>
        <v/>
      </c>
      <c r="L665" s="1" t="str">
        <f t="shared" si="54"/>
        <v/>
      </c>
      <c r="M665" s="4">
        <f t="shared" si="55"/>
        <v>0</v>
      </c>
    </row>
    <row r="666" ht="45" spans="1:13">
      <c r="A666" s="4"/>
      <c r="B666" t="str">
        <f t="shared" si="51"/>
        <v>7:9000119</v>
      </c>
      <c r="C666" s="1">
        <v>7</v>
      </c>
      <c r="D666" s="4">
        <v>9000119</v>
      </c>
      <c r="E666" s="3" t="s">
        <v>1887</v>
      </c>
      <c r="F666" s="3"/>
      <c r="G666" s="1">
        <v>4823.55</v>
      </c>
      <c r="H666" s="1">
        <f t="shared" si="52"/>
        <v>4823.55</v>
      </c>
      <c r="I666" s="1" t="str">
        <f t="shared" si="53"/>
        <v/>
      </c>
      <c r="J666" s="1" t="str">
        <f>_xlfn.IFNA(INDEX([1]历练产出!$Z:$Z,MATCH(B666,[1]历练产出!$AB:$AB,0)),"")</f>
        <v/>
      </c>
      <c r="K666" s="1" t="str">
        <f>_xlfn.IFNA(INDEX([1]洞天福地产出!$H:$H,MATCH(B666,[1]洞天福地产出!$K:$K,0)),"")</f>
        <v/>
      </c>
      <c r="L666" s="1" t="str">
        <f t="shared" si="54"/>
        <v/>
      </c>
      <c r="M666" s="4">
        <f t="shared" si="55"/>
        <v>0</v>
      </c>
    </row>
    <row r="667" ht="45" spans="1:13">
      <c r="A667" s="4"/>
      <c r="B667" t="str">
        <f t="shared" si="51"/>
        <v>7:9000120</v>
      </c>
      <c r="C667" s="1">
        <v>7</v>
      </c>
      <c r="D667" s="4">
        <v>9000120</v>
      </c>
      <c r="E667" s="3" t="s">
        <v>1887</v>
      </c>
      <c r="F667" s="3"/>
      <c r="G667" s="1">
        <v>5062.5</v>
      </c>
      <c r="H667" s="1">
        <f t="shared" si="52"/>
        <v>5062.5</v>
      </c>
      <c r="I667" s="1" t="str">
        <f t="shared" si="53"/>
        <v/>
      </c>
      <c r="J667" s="1" t="str">
        <f>_xlfn.IFNA(INDEX([1]历练产出!$Z:$Z,MATCH(B667,[1]历练产出!$AB:$AB,0)),"")</f>
        <v/>
      </c>
      <c r="K667" s="1" t="str">
        <f>_xlfn.IFNA(INDEX([1]洞天福地产出!$H:$H,MATCH(B667,[1]洞天福地产出!$K:$K,0)),"")</f>
        <v/>
      </c>
      <c r="L667" s="1" t="str">
        <f t="shared" si="54"/>
        <v/>
      </c>
      <c r="M667" s="4">
        <f t="shared" si="55"/>
        <v>0</v>
      </c>
    </row>
    <row r="668" ht="45" spans="1:13">
      <c r="A668" s="4"/>
      <c r="B668" t="str">
        <f t="shared" si="51"/>
        <v>7:9000121</v>
      </c>
      <c r="C668" s="1">
        <v>7</v>
      </c>
      <c r="D668" s="4">
        <v>9000121</v>
      </c>
      <c r="E668" s="3" t="s">
        <v>1887</v>
      </c>
      <c r="F668" s="3"/>
      <c r="G668" s="1">
        <v>5313.6</v>
      </c>
      <c r="H668" s="1">
        <f t="shared" si="52"/>
        <v>5313.6</v>
      </c>
      <c r="I668" s="1" t="str">
        <f t="shared" si="53"/>
        <v/>
      </c>
      <c r="J668" s="1" t="str">
        <f>_xlfn.IFNA(INDEX([1]历练产出!$Z:$Z,MATCH(B668,[1]历练产出!$AB:$AB,0)),"")</f>
        <v/>
      </c>
      <c r="K668" s="1" t="str">
        <f>_xlfn.IFNA(INDEX([1]洞天福地产出!$H:$H,MATCH(B668,[1]洞天福地产出!$K:$K,0)),"")</f>
        <v/>
      </c>
      <c r="L668" s="1" t="str">
        <f t="shared" si="54"/>
        <v/>
      </c>
      <c r="M668" s="4">
        <f t="shared" si="55"/>
        <v>0</v>
      </c>
    </row>
    <row r="669" ht="45" spans="1:13">
      <c r="A669" s="4"/>
      <c r="B669" t="str">
        <f t="shared" si="51"/>
        <v>7:9000122</v>
      </c>
      <c r="C669" s="1">
        <v>7</v>
      </c>
      <c r="D669" s="4">
        <v>9000122</v>
      </c>
      <c r="E669" s="3" t="s">
        <v>1887</v>
      </c>
      <c r="F669" s="3"/>
      <c r="G669" s="1">
        <v>5576.85</v>
      </c>
      <c r="H669" s="1">
        <f t="shared" si="52"/>
        <v>5576.85</v>
      </c>
      <c r="I669" s="1" t="str">
        <f t="shared" si="53"/>
        <v/>
      </c>
      <c r="J669" s="1" t="str">
        <f>_xlfn.IFNA(INDEX([1]历练产出!$Z:$Z,MATCH(B669,[1]历练产出!$AB:$AB,0)),"")</f>
        <v/>
      </c>
      <c r="K669" s="1" t="str">
        <f>_xlfn.IFNA(INDEX([1]洞天福地产出!$H:$H,MATCH(B669,[1]洞天福地产出!$K:$K,0)),"")</f>
        <v/>
      </c>
      <c r="L669" s="1" t="str">
        <f t="shared" si="54"/>
        <v/>
      </c>
      <c r="M669" s="4">
        <f t="shared" si="55"/>
        <v>0</v>
      </c>
    </row>
    <row r="670" ht="45" spans="1:13">
      <c r="A670" s="4"/>
      <c r="B670" t="str">
        <f t="shared" si="51"/>
        <v>7:9000123</v>
      </c>
      <c r="C670" s="1">
        <v>7</v>
      </c>
      <c r="D670" s="4">
        <v>9000123</v>
      </c>
      <c r="E670" s="3" t="s">
        <v>1887</v>
      </c>
      <c r="F670" s="3"/>
      <c r="G670" s="1">
        <v>5852.25</v>
      </c>
      <c r="H670" s="1">
        <f t="shared" si="52"/>
        <v>5852.25</v>
      </c>
      <c r="I670" s="1" t="str">
        <f t="shared" si="53"/>
        <v/>
      </c>
      <c r="J670" s="1" t="str">
        <f>_xlfn.IFNA(INDEX([1]历练产出!$Z:$Z,MATCH(B670,[1]历练产出!$AB:$AB,0)),"")</f>
        <v/>
      </c>
      <c r="K670" s="1" t="str">
        <f>_xlfn.IFNA(INDEX([1]洞天福地产出!$H:$H,MATCH(B670,[1]洞天福地产出!$K:$K,0)),"")</f>
        <v/>
      </c>
      <c r="L670" s="1" t="str">
        <f t="shared" si="54"/>
        <v/>
      </c>
      <c r="M670" s="4">
        <f t="shared" si="55"/>
        <v>0</v>
      </c>
    </row>
    <row r="671" ht="45" spans="1:13">
      <c r="A671" s="4"/>
      <c r="B671" t="str">
        <f t="shared" si="51"/>
        <v>7:9000124</v>
      </c>
      <c r="C671" s="1">
        <v>7</v>
      </c>
      <c r="D671" s="4">
        <v>9000124</v>
      </c>
      <c r="E671" s="3" t="s">
        <v>1887</v>
      </c>
      <c r="F671" s="3"/>
      <c r="G671" s="1">
        <v>6139.8</v>
      </c>
      <c r="H671" s="1">
        <f t="shared" si="52"/>
        <v>6139.8</v>
      </c>
      <c r="I671" s="1" t="str">
        <f t="shared" si="53"/>
        <v/>
      </c>
      <c r="J671" s="1" t="str">
        <f>_xlfn.IFNA(INDEX([1]历练产出!$Z:$Z,MATCH(B671,[1]历练产出!$AB:$AB,0)),"")</f>
        <v/>
      </c>
      <c r="K671" s="1" t="str">
        <f>_xlfn.IFNA(INDEX([1]洞天福地产出!$H:$H,MATCH(B671,[1]洞天福地产出!$K:$K,0)),"")</f>
        <v/>
      </c>
      <c r="L671" s="1" t="str">
        <f t="shared" si="54"/>
        <v/>
      </c>
      <c r="M671" s="4">
        <f t="shared" si="55"/>
        <v>0</v>
      </c>
    </row>
    <row r="672" ht="45" spans="1:13">
      <c r="A672" s="4"/>
      <c r="B672" t="str">
        <f t="shared" si="51"/>
        <v>7:9000125</v>
      </c>
      <c r="C672" s="1">
        <v>7</v>
      </c>
      <c r="D672" s="4">
        <v>9000125</v>
      </c>
      <c r="E672" s="3" t="s">
        <v>1887</v>
      </c>
      <c r="F672" s="3"/>
      <c r="G672" s="1">
        <v>6439.5</v>
      </c>
      <c r="H672" s="1">
        <f t="shared" si="52"/>
        <v>6439.5</v>
      </c>
      <c r="I672" s="1" t="str">
        <f t="shared" si="53"/>
        <v/>
      </c>
      <c r="J672" s="1" t="str">
        <f>_xlfn.IFNA(INDEX([1]历练产出!$Z:$Z,MATCH(B672,[1]历练产出!$AB:$AB,0)),"")</f>
        <v/>
      </c>
      <c r="K672" s="1" t="str">
        <f>_xlfn.IFNA(INDEX([1]洞天福地产出!$H:$H,MATCH(B672,[1]洞天福地产出!$K:$K,0)),"")</f>
        <v/>
      </c>
      <c r="L672" s="1" t="str">
        <f t="shared" si="54"/>
        <v/>
      </c>
      <c r="M672" s="4">
        <f t="shared" si="55"/>
        <v>0</v>
      </c>
    </row>
    <row r="673" ht="45" spans="1:13">
      <c r="A673" s="4"/>
      <c r="B673" t="str">
        <f t="shared" si="51"/>
        <v>7:9000126</v>
      </c>
      <c r="C673" s="1">
        <v>7</v>
      </c>
      <c r="D673" s="4">
        <v>9000126</v>
      </c>
      <c r="E673" s="3" t="s">
        <v>1887</v>
      </c>
      <c r="F673" s="3"/>
      <c r="G673" s="1">
        <v>6751.35</v>
      </c>
      <c r="H673" s="1">
        <f t="shared" si="52"/>
        <v>6751.35</v>
      </c>
      <c r="I673" s="1" t="str">
        <f t="shared" si="53"/>
        <v/>
      </c>
      <c r="J673" s="1" t="str">
        <f>_xlfn.IFNA(INDEX([1]历练产出!$Z:$Z,MATCH(B673,[1]历练产出!$AB:$AB,0)),"")</f>
        <v/>
      </c>
      <c r="K673" s="1" t="str">
        <f>_xlfn.IFNA(INDEX([1]洞天福地产出!$H:$H,MATCH(B673,[1]洞天福地产出!$K:$K,0)),"")</f>
        <v/>
      </c>
      <c r="L673" s="1" t="str">
        <f t="shared" si="54"/>
        <v/>
      </c>
      <c r="M673" s="4">
        <f t="shared" si="55"/>
        <v>0</v>
      </c>
    </row>
    <row r="674" ht="45" spans="1:13">
      <c r="A674" s="4"/>
      <c r="B674" t="str">
        <f t="shared" si="51"/>
        <v>7:9000127</v>
      </c>
      <c r="C674" s="1">
        <v>7</v>
      </c>
      <c r="D674" s="4">
        <v>9000127</v>
      </c>
      <c r="E674" s="3" t="s">
        <v>1887</v>
      </c>
      <c r="F674" s="3"/>
      <c r="G674" s="1">
        <v>7075.35</v>
      </c>
      <c r="H674" s="1">
        <f t="shared" si="52"/>
        <v>7075.35</v>
      </c>
      <c r="I674" s="1" t="str">
        <f t="shared" si="53"/>
        <v/>
      </c>
      <c r="J674" s="1" t="str">
        <f>_xlfn.IFNA(INDEX([1]历练产出!$Z:$Z,MATCH(B674,[1]历练产出!$AB:$AB,0)),"")</f>
        <v/>
      </c>
      <c r="K674" s="1" t="str">
        <f>_xlfn.IFNA(INDEX([1]洞天福地产出!$H:$H,MATCH(B674,[1]洞天福地产出!$K:$K,0)),"")</f>
        <v/>
      </c>
      <c r="L674" s="1" t="str">
        <f t="shared" si="54"/>
        <v/>
      </c>
      <c r="M674" s="4">
        <f t="shared" si="55"/>
        <v>0</v>
      </c>
    </row>
    <row r="675" ht="45" spans="1:13">
      <c r="A675" s="4"/>
      <c r="B675" t="str">
        <f t="shared" si="51"/>
        <v>7:9000128</v>
      </c>
      <c r="C675" s="1">
        <v>7</v>
      </c>
      <c r="D675" s="4">
        <v>9000128</v>
      </c>
      <c r="E675" s="3" t="s">
        <v>1887</v>
      </c>
      <c r="F675" s="3"/>
      <c r="G675" s="1">
        <v>7411.5</v>
      </c>
      <c r="H675" s="1">
        <f t="shared" si="52"/>
        <v>7411.5</v>
      </c>
      <c r="I675" s="1" t="str">
        <f t="shared" si="53"/>
        <v/>
      </c>
      <c r="J675" s="1" t="str">
        <f>_xlfn.IFNA(INDEX([1]历练产出!$Z:$Z,MATCH(B675,[1]历练产出!$AB:$AB,0)),"")</f>
        <v/>
      </c>
      <c r="K675" s="1" t="str">
        <f>_xlfn.IFNA(INDEX([1]洞天福地产出!$H:$H,MATCH(B675,[1]洞天福地产出!$K:$K,0)),"")</f>
        <v/>
      </c>
      <c r="L675" s="1" t="str">
        <f t="shared" si="54"/>
        <v/>
      </c>
      <c r="M675" s="4">
        <f t="shared" si="55"/>
        <v>0</v>
      </c>
    </row>
    <row r="676" ht="45" spans="1:13">
      <c r="A676" s="4"/>
      <c r="B676" t="str">
        <f t="shared" ref="B676:B739" si="56">C676&amp;":"&amp;D676</f>
        <v>7:9000129</v>
      </c>
      <c r="C676" s="1">
        <v>7</v>
      </c>
      <c r="D676" s="4">
        <v>9000129</v>
      </c>
      <c r="E676" s="3" t="s">
        <v>1887</v>
      </c>
      <c r="F676" s="3"/>
      <c r="G676" s="1">
        <v>9703.8</v>
      </c>
      <c r="H676" s="1">
        <f t="shared" si="52"/>
        <v>9703.8</v>
      </c>
      <c r="I676" s="1" t="str">
        <f t="shared" si="53"/>
        <v/>
      </c>
      <c r="J676" s="1" t="str">
        <f>_xlfn.IFNA(INDEX([1]历练产出!$Z:$Z,MATCH(B676,[1]历练产出!$AB:$AB,0)),"")</f>
        <v/>
      </c>
      <c r="K676" s="1" t="str">
        <f>_xlfn.IFNA(INDEX([1]洞天福地产出!$H:$H,MATCH(B676,[1]洞天福地产出!$K:$K,0)),"")</f>
        <v/>
      </c>
      <c r="L676" s="1" t="str">
        <f t="shared" si="54"/>
        <v/>
      </c>
      <c r="M676" s="4">
        <f t="shared" si="55"/>
        <v>0</v>
      </c>
    </row>
    <row r="677" ht="45" spans="1:13">
      <c r="A677" s="4"/>
      <c r="B677" t="str">
        <f t="shared" si="56"/>
        <v>7:9000130</v>
      </c>
      <c r="C677" s="1">
        <v>7</v>
      </c>
      <c r="D677" s="4">
        <v>9000130</v>
      </c>
      <c r="E677" s="3" t="s">
        <v>1887</v>
      </c>
      <c r="F677" s="3"/>
      <c r="G677" s="1">
        <v>10052.1</v>
      </c>
      <c r="H677" s="1">
        <f t="shared" si="52"/>
        <v>10052.1</v>
      </c>
      <c r="I677" s="1" t="str">
        <f t="shared" si="53"/>
        <v/>
      </c>
      <c r="J677" s="1" t="str">
        <f>_xlfn.IFNA(INDEX([1]历练产出!$Z:$Z,MATCH(B677,[1]历练产出!$AB:$AB,0)),"")</f>
        <v/>
      </c>
      <c r="K677" s="1" t="str">
        <f>_xlfn.IFNA(INDEX([1]洞天福地产出!$H:$H,MATCH(B677,[1]洞天福地产出!$K:$K,0)),"")</f>
        <v/>
      </c>
      <c r="L677" s="1" t="str">
        <f t="shared" si="54"/>
        <v/>
      </c>
      <c r="M677" s="4">
        <f t="shared" si="55"/>
        <v>0</v>
      </c>
    </row>
    <row r="678" spans="1:13">
      <c r="A678" s="4"/>
      <c r="B678" t="str">
        <f t="shared" si="56"/>
        <v>7:10000101</v>
      </c>
      <c r="C678" s="1">
        <v>7</v>
      </c>
      <c r="D678" s="4">
        <v>10000101</v>
      </c>
      <c r="E678" s="3" t="s">
        <v>1888</v>
      </c>
      <c r="F678" s="3"/>
      <c r="G678" s="1">
        <v>656.1</v>
      </c>
      <c r="H678" s="1">
        <f t="shared" si="52"/>
        <v>656.1</v>
      </c>
      <c r="I678" s="1" t="str">
        <f t="shared" si="53"/>
        <v/>
      </c>
      <c r="J678" s="1" t="str">
        <f>_xlfn.IFNA(INDEX([1]历练产出!$Z:$Z,MATCH(B678,[1]历练产出!$AB:$AB,0)),"")</f>
        <v/>
      </c>
      <c r="K678" s="1" t="str">
        <f>_xlfn.IFNA(INDEX([1]洞天福地产出!$H:$H,MATCH(B678,[1]洞天福地产出!$K:$K,0)),"")</f>
        <v/>
      </c>
      <c r="L678" s="1" t="str">
        <f t="shared" si="54"/>
        <v/>
      </c>
      <c r="M678" s="4">
        <f t="shared" si="55"/>
        <v>0</v>
      </c>
    </row>
    <row r="679" spans="1:13">
      <c r="A679" s="4"/>
      <c r="B679" t="str">
        <f t="shared" si="56"/>
        <v>7:10000102</v>
      </c>
      <c r="C679" s="1">
        <v>7</v>
      </c>
      <c r="D679" s="4">
        <v>10000102</v>
      </c>
      <c r="E679" s="3" t="s">
        <v>1888</v>
      </c>
      <c r="F679" s="3"/>
      <c r="G679" s="1">
        <v>676.35</v>
      </c>
      <c r="H679" s="1">
        <f t="shared" si="52"/>
        <v>676.35</v>
      </c>
      <c r="I679" s="1" t="str">
        <f t="shared" si="53"/>
        <v/>
      </c>
      <c r="J679" s="1" t="str">
        <f>_xlfn.IFNA(INDEX([1]历练产出!$Z:$Z,MATCH(B679,[1]历练产出!$AB:$AB,0)),"")</f>
        <v/>
      </c>
      <c r="K679" s="1" t="str">
        <f>_xlfn.IFNA(INDEX([1]洞天福地产出!$H:$H,MATCH(B679,[1]洞天福地产出!$K:$K,0)),"")</f>
        <v/>
      </c>
      <c r="L679" s="1" t="str">
        <f t="shared" si="54"/>
        <v/>
      </c>
      <c r="M679" s="4">
        <f t="shared" si="55"/>
        <v>0</v>
      </c>
    </row>
    <row r="680" spans="1:13">
      <c r="A680" s="4"/>
      <c r="B680" t="str">
        <f t="shared" si="56"/>
        <v>7:10000103</v>
      </c>
      <c r="C680" s="1">
        <v>7</v>
      </c>
      <c r="D680" s="4">
        <v>10000103</v>
      </c>
      <c r="E680" s="3" t="s">
        <v>1888</v>
      </c>
      <c r="F680" s="3"/>
      <c r="G680" s="1">
        <v>708.75</v>
      </c>
      <c r="H680" s="1">
        <f t="shared" si="52"/>
        <v>708.75</v>
      </c>
      <c r="I680" s="1" t="str">
        <f t="shared" si="53"/>
        <v/>
      </c>
      <c r="J680" s="1" t="str">
        <f>_xlfn.IFNA(INDEX([1]历练产出!$Z:$Z,MATCH(B680,[1]历练产出!$AB:$AB,0)),"")</f>
        <v/>
      </c>
      <c r="K680" s="1" t="str">
        <f>_xlfn.IFNA(INDEX([1]洞天福地产出!$H:$H,MATCH(B680,[1]洞天福地产出!$K:$K,0)),"")</f>
        <v/>
      </c>
      <c r="L680" s="1" t="str">
        <f t="shared" si="54"/>
        <v/>
      </c>
      <c r="M680" s="4">
        <f t="shared" si="55"/>
        <v>0</v>
      </c>
    </row>
    <row r="681" spans="1:13">
      <c r="A681" s="4"/>
      <c r="B681" t="str">
        <f t="shared" si="56"/>
        <v>7:10000104</v>
      </c>
      <c r="C681" s="1">
        <v>7</v>
      </c>
      <c r="D681" s="4">
        <v>10000104</v>
      </c>
      <c r="E681" s="3" t="s">
        <v>1888</v>
      </c>
      <c r="F681" s="3"/>
      <c r="G681" s="1">
        <v>753.3</v>
      </c>
      <c r="H681" s="1">
        <f t="shared" si="52"/>
        <v>753.3</v>
      </c>
      <c r="I681" s="1" t="str">
        <f t="shared" si="53"/>
        <v/>
      </c>
      <c r="J681" s="1" t="str">
        <f>_xlfn.IFNA(INDEX([1]历练产出!$Z:$Z,MATCH(B681,[1]历练产出!$AB:$AB,0)),"")</f>
        <v/>
      </c>
      <c r="K681" s="1" t="str">
        <f>_xlfn.IFNA(INDEX([1]洞天福地产出!$H:$H,MATCH(B681,[1]洞天福地产出!$K:$K,0)),"")</f>
        <v/>
      </c>
      <c r="L681" s="1" t="str">
        <f t="shared" si="54"/>
        <v/>
      </c>
      <c r="M681" s="4">
        <f t="shared" si="55"/>
        <v>0</v>
      </c>
    </row>
    <row r="682" spans="1:13">
      <c r="A682" s="4"/>
      <c r="B682" t="str">
        <f t="shared" si="56"/>
        <v>7:10000105</v>
      </c>
      <c r="C682" s="1">
        <v>7</v>
      </c>
      <c r="D682" s="4">
        <v>10000105</v>
      </c>
      <c r="E682" s="3" t="s">
        <v>1888</v>
      </c>
      <c r="F682" s="3"/>
      <c r="G682" s="1">
        <v>810</v>
      </c>
      <c r="H682" s="1">
        <f t="shared" si="52"/>
        <v>810</v>
      </c>
      <c r="I682" s="1" t="str">
        <f t="shared" si="53"/>
        <v/>
      </c>
      <c r="J682" s="1" t="str">
        <f>_xlfn.IFNA(INDEX([1]历练产出!$Z:$Z,MATCH(B682,[1]历练产出!$AB:$AB,0)),"")</f>
        <v/>
      </c>
      <c r="K682" s="1" t="str">
        <f>_xlfn.IFNA(INDEX([1]洞天福地产出!$H:$H,MATCH(B682,[1]洞天福地产出!$K:$K,0)),"")</f>
        <v/>
      </c>
      <c r="L682" s="1" t="str">
        <f t="shared" si="54"/>
        <v/>
      </c>
      <c r="M682" s="4">
        <f t="shared" si="55"/>
        <v>0</v>
      </c>
    </row>
    <row r="683" spans="1:13">
      <c r="A683" s="4"/>
      <c r="B683" t="str">
        <f t="shared" si="56"/>
        <v>7:10000106</v>
      </c>
      <c r="C683" s="1">
        <v>7</v>
      </c>
      <c r="D683" s="4">
        <v>10000106</v>
      </c>
      <c r="E683" s="3" t="s">
        <v>1888</v>
      </c>
      <c r="F683" s="3"/>
      <c r="G683" s="1">
        <v>878.85</v>
      </c>
      <c r="H683" s="1">
        <f t="shared" si="52"/>
        <v>878.85</v>
      </c>
      <c r="I683" s="1" t="str">
        <f t="shared" si="53"/>
        <v/>
      </c>
      <c r="J683" s="1" t="str">
        <f>_xlfn.IFNA(INDEX([1]历练产出!$Z:$Z,MATCH(B683,[1]历练产出!$AB:$AB,0)),"")</f>
        <v/>
      </c>
      <c r="K683" s="1" t="str">
        <f>_xlfn.IFNA(INDEX([1]洞天福地产出!$H:$H,MATCH(B683,[1]洞天福地产出!$K:$K,0)),"")</f>
        <v/>
      </c>
      <c r="L683" s="1" t="str">
        <f t="shared" si="54"/>
        <v/>
      </c>
      <c r="M683" s="4">
        <f t="shared" si="55"/>
        <v>0</v>
      </c>
    </row>
    <row r="684" spans="1:13">
      <c r="A684" s="4"/>
      <c r="B684" t="str">
        <f t="shared" si="56"/>
        <v>7:10000107</v>
      </c>
      <c r="C684" s="1">
        <v>7</v>
      </c>
      <c r="D684" s="4">
        <v>10000107</v>
      </c>
      <c r="E684" s="3" t="s">
        <v>1888</v>
      </c>
      <c r="F684" s="3"/>
      <c r="G684" s="1">
        <v>959.85</v>
      </c>
      <c r="H684" s="1">
        <f t="shared" si="52"/>
        <v>959.85</v>
      </c>
      <c r="I684" s="1" t="str">
        <f t="shared" si="53"/>
        <v/>
      </c>
      <c r="J684" s="1" t="str">
        <f>_xlfn.IFNA(INDEX([1]历练产出!$Z:$Z,MATCH(B684,[1]历练产出!$AB:$AB,0)),"")</f>
        <v/>
      </c>
      <c r="K684" s="1" t="str">
        <f>_xlfn.IFNA(INDEX([1]洞天福地产出!$H:$H,MATCH(B684,[1]洞天福地产出!$K:$K,0)),"")</f>
        <v/>
      </c>
      <c r="L684" s="1" t="str">
        <f t="shared" si="54"/>
        <v/>
      </c>
      <c r="M684" s="4">
        <f t="shared" si="55"/>
        <v>0</v>
      </c>
    </row>
    <row r="685" spans="1:13">
      <c r="A685" s="4"/>
      <c r="B685" t="str">
        <f t="shared" si="56"/>
        <v>7:10000108</v>
      </c>
      <c r="C685" s="1">
        <v>7</v>
      </c>
      <c r="D685" s="4">
        <v>10000108</v>
      </c>
      <c r="E685" s="3" t="s">
        <v>1888</v>
      </c>
      <c r="F685" s="3"/>
      <c r="G685" s="1">
        <v>1053</v>
      </c>
      <c r="H685" s="1">
        <f t="shared" si="52"/>
        <v>1053</v>
      </c>
      <c r="I685" s="1" t="str">
        <f t="shared" si="53"/>
        <v/>
      </c>
      <c r="J685" s="1" t="str">
        <f>_xlfn.IFNA(INDEX([1]历练产出!$Z:$Z,MATCH(B685,[1]历练产出!$AB:$AB,0)),"")</f>
        <v/>
      </c>
      <c r="K685" s="1" t="str">
        <f>_xlfn.IFNA(INDEX([1]洞天福地产出!$H:$H,MATCH(B685,[1]洞天福地产出!$K:$K,0)),"")</f>
        <v/>
      </c>
      <c r="L685" s="1" t="str">
        <f t="shared" si="54"/>
        <v/>
      </c>
      <c r="M685" s="4">
        <f t="shared" si="55"/>
        <v>0</v>
      </c>
    </row>
    <row r="686" spans="1:13">
      <c r="A686" s="4"/>
      <c r="B686" t="str">
        <f t="shared" si="56"/>
        <v>7:10000109</v>
      </c>
      <c r="C686" s="1">
        <v>7</v>
      </c>
      <c r="D686" s="4">
        <v>10000109</v>
      </c>
      <c r="E686" s="3" t="s">
        <v>1888</v>
      </c>
      <c r="F686" s="3"/>
      <c r="G686" s="1">
        <v>1806.3</v>
      </c>
      <c r="H686" s="1">
        <f t="shared" si="52"/>
        <v>1806.3</v>
      </c>
      <c r="I686" s="1" t="str">
        <f t="shared" si="53"/>
        <v/>
      </c>
      <c r="J686" s="1" t="str">
        <f>_xlfn.IFNA(INDEX([1]历练产出!$Z:$Z,MATCH(B686,[1]历练产出!$AB:$AB,0)),"")</f>
        <v/>
      </c>
      <c r="K686" s="1" t="str">
        <f>_xlfn.IFNA(INDEX([1]洞天福地产出!$H:$H,MATCH(B686,[1]洞天福地产出!$K:$K,0)),"")</f>
        <v/>
      </c>
      <c r="L686" s="1" t="str">
        <f t="shared" si="54"/>
        <v/>
      </c>
      <c r="M686" s="4">
        <f t="shared" si="55"/>
        <v>0</v>
      </c>
    </row>
    <row r="687" spans="1:13">
      <c r="A687" s="4"/>
      <c r="B687" t="str">
        <f t="shared" si="56"/>
        <v>7:10000110</v>
      </c>
      <c r="C687" s="1">
        <v>7</v>
      </c>
      <c r="D687" s="4">
        <v>10000110</v>
      </c>
      <c r="E687" s="3" t="s">
        <v>1888</v>
      </c>
      <c r="F687" s="3"/>
      <c r="G687" s="1">
        <v>1923.75</v>
      </c>
      <c r="H687" s="1">
        <f t="shared" si="52"/>
        <v>1923.75</v>
      </c>
      <c r="I687" s="1" t="str">
        <f t="shared" si="53"/>
        <v/>
      </c>
      <c r="J687" s="1" t="str">
        <f>_xlfn.IFNA(INDEX([1]历练产出!$Z:$Z,MATCH(B687,[1]历练产出!$AB:$AB,0)),"")</f>
        <v/>
      </c>
      <c r="K687" s="1" t="str">
        <f>_xlfn.IFNA(INDEX([1]洞天福地产出!$H:$H,MATCH(B687,[1]洞天福地产出!$K:$K,0)),"")</f>
        <v/>
      </c>
      <c r="L687" s="1" t="str">
        <f t="shared" si="54"/>
        <v/>
      </c>
      <c r="M687" s="4">
        <f t="shared" si="55"/>
        <v>0</v>
      </c>
    </row>
    <row r="688" spans="1:13">
      <c r="A688" s="4"/>
      <c r="B688" t="str">
        <f t="shared" si="56"/>
        <v>7:10000111</v>
      </c>
      <c r="C688" s="1">
        <v>7</v>
      </c>
      <c r="D688" s="4">
        <v>10000111</v>
      </c>
      <c r="E688" s="3" t="s">
        <v>1888</v>
      </c>
      <c r="F688" s="3"/>
      <c r="G688" s="1">
        <v>2053.35</v>
      </c>
      <c r="H688" s="1">
        <f t="shared" si="52"/>
        <v>2053.35</v>
      </c>
      <c r="I688" s="1" t="str">
        <f t="shared" si="53"/>
        <v/>
      </c>
      <c r="J688" s="1" t="str">
        <f>_xlfn.IFNA(INDEX([1]历练产出!$Z:$Z,MATCH(B688,[1]历练产出!$AB:$AB,0)),"")</f>
        <v/>
      </c>
      <c r="K688" s="1" t="str">
        <f>_xlfn.IFNA(INDEX([1]洞天福地产出!$H:$H,MATCH(B688,[1]洞天福地产出!$K:$K,0)),"")</f>
        <v/>
      </c>
      <c r="L688" s="1" t="str">
        <f t="shared" si="54"/>
        <v/>
      </c>
      <c r="M688" s="4">
        <f t="shared" si="55"/>
        <v>0</v>
      </c>
    </row>
    <row r="689" spans="1:13">
      <c r="A689" s="4"/>
      <c r="B689" t="str">
        <f t="shared" si="56"/>
        <v>7:10000112</v>
      </c>
      <c r="C689" s="1">
        <v>7</v>
      </c>
      <c r="D689" s="4">
        <v>10000112</v>
      </c>
      <c r="E689" s="3" t="s">
        <v>1888</v>
      </c>
      <c r="F689" s="3"/>
      <c r="G689" s="1">
        <v>2195.1</v>
      </c>
      <c r="H689" s="1">
        <f t="shared" si="52"/>
        <v>2195.1</v>
      </c>
      <c r="I689" s="1" t="str">
        <f t="shared" si="53"/>
        <v/>
      </c>
      <c r="J689" s="1" t="str">
        <f>_xlfn.IFNA(INDEX([1]历练产出!$Z:$Z,MATCH(B689,[1]历练产出!$AB:$AB,0)),"")</f>
        <v/>
      </c>
      <c r="K689" s="1" t="str">
        <f>_xlfn.IFNA(INDEX([1]洞天福地产出!$H:$H,MATCH(B689,[1]洞天福地产出!$K:$K,0)),"")</f>
        <v/>
      </c>
      <c r="L689" s="1" t="str">
        <f t="shared" si="54"/>
        <v/>
      </c>
      <c r="M689" s="4">
        <f t="shared" si="55"/>
        <v>0</v>
      </c>
    </row>
    <row r="690" spans="1:13">
      <c r="A690" s="4"/>
      <c r="B690" t="str">
        <f t="shared" si="56"/>
        <v>7:10000113</v>
      </c>
      <c r="C690" s="1">
        <v>7</v>
      </c>
      <c r="D690" s="4">
        <v>10000113</v>
      </c>
      <c r="E690" s="3" t="s">
        <v>1888</v>
      </c>
      <c r="F690" s="3"/>
      <c r="G690" s="1">
        <v>2349</v>
      </c>
      <c r="H690" s="1">
        <f t="shared" si="52"/>
        <v>2349</v>
      </c>
      <c r="I690" s="1" t="str">
        <f t="shared" si="53"/>
        <v/>
      </c>
      <c r="J690" s="1" t="str">
        <f>_xlfn.IFNA(INDEX([1]历练产出!$Z:$Z,MATCH(B690,[1]历练产出!$AB:$AB,0)),"")</f>
        <v/>
      </c>
      <c r="K690" s="1" t="str">
        <f>_xlfn.IFNA(INDEX([1]洞天福地产出!$H:$H,MATCH(B690,[1]洞天福地产出!$K:$K,0)),"")</f>
        <v/>
      </c>
      <c r="L690" s="1" t="str">
        <f t="shared" si="54"/>
        <v/>
      </c>
      <c r="M690" s="4">
        <f t="shared" si="55"/>
        <v>0</v>
      </c>
    </row>
    <row r="691" spans="1:13">
      <c r="A691" s="4"/>
      <c r="B691" t="str">
        <f t="shared" si="56"/>
        <v>7:10000114</v>
      </c>
      <c r="C691" s="1">
        <v>7</v>
      </c>
      <c r="D691" s="4">
        <v>10000114</v>
      </c>
      <c r="E691" s="3" t="s">
        <v>1888</v>
      </c>
      <c r="F691" s="3"/>
      <c r="G691" s="1">
        <v>2515.05</v>
      </c>
      <c r="H691" s="1">
        <f t="shared" si="52"/>
        <v>2515.05</v>
      </c>
      <c r="I691" s="1" t="str">
        <f t="shared" si="53"/>
        <v/>
      </c>
      <c r="J691" s="1" t="str">
        <f>_xlfn.IFNA(INDEX([1]历练产出!$Z:$Z,MATCH(B691,[1]历练产出!$AB:$AB,0)),"")</f>
        <v/>
      </c>
      <c r="K691" s="1" t="str">
        <f>_xlfn.IFNA(INDEX([1]洞天福地产出!$H:$H,MATCH(B691,[1]洞天福地产出!$K:$K,0)),"")</f>
        <v/>
      </c>
      <c r="L691" s="1" t="str">
        <f t="shared" si="54"/>
        <v/>
      </c>
      <c r="M691" s="4">
        <f t="shared" si="55"/>
        <v>0</v>
      </c>
    </row>
    <row r="692" spans="1:13">
      <c r="A692" s="4"/>
      <c r="B692" t="str">
        <f t="shared" si="56"/>
        <v>7:10000115</v>
      </c>
      <c r="C692" s="1">
        <v>7</v>
      </c>
      <c r="D692" s="4">
        <v>10000115</v>
      </c>
      <c r="E692" s="3" t="s">
        <v>1888</v>
      </c>
      <c r="F692" s="3"/>
      <c r="G692" s="1">
        <v>2693.25</v>
      </c>
      <c r="H692" s="1">
        <f t="shared" si="52"/>
        <v>2693.25</v>
      </c>
      <c r="I692" s="1" t="str">
        <f t="shared" si="53"/>
        <v/>
      </c>
      <c r="J692" s="1" t="str">
        <f>_xlfn.IFNA(INDEX([1]历练产出!$Z:$Z,MATCH(B692,[1]历练产出!$AB:$AB,0)),"")</f>
        <v/>
      </c>
      <c r="K692" s="1" t="str">
        <f>_xlfn.IFNA(INDEX([1]洞天福地产出!$H:$H,MATCH(B692,[1]洞天福地产出!$K:$K,0)),"")</f>
        <v/>
      </c>
      <c r="L692" s="1" t="str">
        <f t="shared" si="54"/>
        <v/>
      </c>
      <c r="M692" s="4">
        <f t="shared" si="55"/>
        <v>0</v>
      </c>
    </row>
    <row r="693" spans="1:13">
      <c r="A693" s="4"/>
      <c r="B693" t="str">
        <f t="shared" si="56"/>
        <v>7:10000116</v>
      </c>
      <c r="C693" s="1">
        <v>7</v>
      </c>
      <c r="D693" s="4">
        <v>10000116</v>
      </c>
      <c r="E693" s="3" t="s">
        <v>1888</v>
      </c>
      <c r="F693" s="3"/>
      <c r="G693" s="1">
        <v>2883.6</v>
      </c>
      <c r="H693" s="1">
        <f t="shared" si="52"/>
        <v>2883.6</v>
      </c>
      <c r="I693" s="1" t="str">
        <f t="shared" si="53"/>
        <v/>
      </c>
      <c r="J693" s="1" t="str">
        <f>_xlfn.IFNA(INDEX([1]历练产出!$Z:$Z,MATCH(B693,[1]历练产出!$AB:$AB,0)),"")</f>
        <v/>
      </c>
      <c r="K693" s="1" t="str">
        <f>_xlfn.IFNA(INDEX([1]洞天福地产出!$H:$H,MATCH(B693,[1]洞天福地产出!$K:$K,0)),"")</f>
        <v/>
      </c>
      <c r="L693" s="1" t="str">
        <f t="shared" si="54"/>
        <v/>
      </c>
      <c r="M693" s="4">
        <f t="shared" si="55"/>
        <v>0</v>
      </c>
    </row>
    <row r="694" spans="1:13">
      <c r="A694" s="4"/>
      <c r="B694" t="str">
        <f t="shared" si="56"/>
        <v>7:10000117</v>
      </c>
      <c r="C694" s="1">
        <v>7</v>
      </c>
      <c r="D694" s="4">
        <v>10000117</v>
      </c>
      <c r="E694" s="3" t="s">
        <v>1888</v>
      </c>
      <c r="F694" s="3"/>
      <c r="G694" s="1">
        <v>3086.1</v>
      </c>
      <c r="H694" s="1">
        <f t="shared" si="52"/>
        <v>3086.1</v>
      </c>
      <c r="I694" s="1" t="str">
        <f t="shared" si="53"/>
        <v/>
      </c>
      <c r="J694" s="1" t="str">
        <f>_xlfn.IFNA(INDEX([1]历练产出!$Z:$Z,MATCH(B694,[1]历练产出!$AB:$AB,0)),"")</f>
        <v/>
      </c>
      <c r="K694" s="1" t="str">
        <f>_xlfn.IFNA(INDEX([1]洞天福地产出!$H:$H,MATCH(B694,[1]洞天福地产出!$K:$K,0)),"")</f>
        <v/>
      </c>
      <c r="L694" s="1" t="str">
        <f t="shared" si="54"/>
        <v/>
      </c>
      <c r="M694" s="4">
        <f t="shared" si="55"/>
        <v>0</v>
      </c>
    </row>
    <row r="695" spans="1:13">
      <c r="A695" s="4"/>
      <c r="B695" t="str">
        <f t="shared" si="56"/>
        <v>7:10000118</v>
      </c>
      <c r="C695" s="1">
        <v>7</v>
      </c>
      <c r="D695" s="4">
        <v>10000118</v>
      </c>
      <c r="E695" s="3" t="s">
        <v>1888</v>
      </c>
      <c r="F695" s="3"/>
      <c r="G695" s="1">
        <v>3300.75</v>
      </c>
      <c r="H695" s="1">
        <f t="shared" si="52"/>
        <v>3300.75</v>
      </c>
      <c r="I695" s="1" t="str">
        <f t="shared" si="53"/>
        <v/>
      </c>
      <c r="J695" s="1" t="str">
        <f>_xlfn.IFNA(INDEX([1]历练产出!$Z:$Z,MATCH(B695,[1]历练产出!$AB:$AB,0)),"")</f>
        <v/>
      </c>
      <c r="K695" s="1" t="str">
        <f>_xlfn.IFNA(INDEX([1]洞天福地产出!$H:$H,MATCH(B695,[1]洞天福地产出!$K:$K,0)),"")</f>
        <v/>
      </c>
      <c r="L695" s="1" t="str">
        <f t="shared" si="54"/>
        <v/>
      </c>
      <c r="M695" s="4">
        <f t="shared" si="55"/>
        <v>0</v>
      </c>
    </row>
    <row r="696" spans="1:13">
      <c r="A696" s="4"/>
      <c r="B696" t="str">
        <f t="shared" si="56"/>
        <v>7:10000119</v>
      </c>
      <c r="C696" s="1">
        <v>7</v>
      </c>
      <c r="D696" s="4">
        <v>10000119</v>
      </c>
      <c r="E696" s="3" t="s">
        <v>1888</v>
      </c>
      <c r="F696" s="3"/>
      <c r="G696" s="1">
        <v>4823.55</v>
      </c>
      <c r="H696" s="1">
        <f t="shared" si="52"/>
        <v>4823.55</v>
      </c>
      <c r="I696" s="1" t="str">
        <f t="shared" si="53"/>
        <v/>
      </c>
      <c r="J696" s="1" t="str">
        <f>_xlfn.IFNA(INDEX([1]历练产出!$Z:$Z,MATCH(B696,[1]历练产出!$AB:$AB,0)),"")</f>
        <v/>
      </c>
      <c r="K696" s="1" t="str">
        <f>_xlfn.IFNA(INDEX([1]洞天福地产出!$H:$H,MATCH(B696,[1]洞天福地产出!$K:$K,0)),"")</f>
        <v/>
      </c>
      <c r="L696" s="1" t="str">
        <f t="shared" si="54"/>
        <v/>
      </c>
      <c r="M696" s="4">
        <f t="shared" si="55"/>
        <v>0</v>
      </c>
    </row>
    <row r="697" spans="1:13">
      <c r="A697" s="4"/>
      <c r="B697" t="str">
        <f t="shared" si="56"/>
        <v>7:10000120</v>
      </c>
      <c r="C697" s="1">
        <v>7</v>
      </c>
      <c r="D697" s="4">
        <v>10000120</v>
      </c>
      <c r="E697" s="3" t="s">
        <v>1888</v>
      </c>
      <c r="F697" s="3"/>
      <c r="G697" s="1">
        <v>5062.5</v>
      </c>
      <c r="H697" s="1">
        <f t="shared" si="52"/>
        <v>5062.5</v>
      </c>
      <c r="I697" s="1" t="str">
        <f t="shared" si="53"/>
        <v/>
      </c>
      <c r="J697" s="1" t="str">
        <f>_xlfn.IFNA(INDEX([1]历练产出!$Z:$Z,MATCH(B697,[1]历练产出!$AB:$AB,0)),"")</f>
        <v/>
      </c>
      <c r="K697" s="1" t="str">
        <f>_xlfn.IFNA(INDEX([1]洞天福地产出!$H:$H,MATCH(B697,[1]洞天福地产出!$K:$K,0)),"")</f>
        <v/>
      </c>
      <c r="L697" s="1" t="str">
        <f t="shared" si="54"/>
        <v/>
      </c>
      <c r="M697" s="4">
        <f t="shared" si="55"/>
        <v>0</v>
      </c>
    </row>
    <row r="698" spans="1:13">
      <c r="A698" s="4"/>
      <c r="B698" t="str">
        <f t="shared" si="56"/>
        <v>7:10000121</v>
      </c>
      <c r="C698" s="1">
        <v>7</v>
      </c>
      <c r="D698" s="4">
        <v>10000121</v>
      </c>
      <c r="E698" s="3" t="s">
        <v>1888</v>
      </c>
      <c r="F698" s="3"/>
      <c r="G698" s="1">
        <v>5313.6</v>
      </c>
      <c r="H698" s="1">
        <f t="shared" si="52"/>
        <v>5313.6</v>
      </c>
      <c r="I698" s="1" t="str">
        <f t="shared" si="53"/>
        <v/>
      </c>
      <c r="J698" s="1" t="str">
        <f>_xlfn.IFNA(INDEX([1]历练产出!$Z:$Z,MATCH(B698,[1]历练产出!$AB:$AB,0)),"")</f>
        <v/>
      </c>
      <c r="K698" s="1" t="str">
        <f>_xlfn.IFNA(INDEX([1]洞天福地产出!$H:$H,MATCH(B698,[1]洞天福地产出!$K:$K,0)),"")</f>
        <v/>
      </c>
      <c r="L698" s="1" t="str">
        <f t="shared" si="54"/>
        <v/>
      </c>
      <c r="M698" s="4">
        <f t="shared" si="55"/>
        <v>0</v>
      </c>
    </row>
    <row r="699" spans="1:13">
      <c r="A699" s="4"/>
      <c r="B699" t="str">
        <f t="shared" si="56"/>
        <v>7:10000122</v>
      </c>
      <c r="C699" s="1">
        <v>7</v>
      </c>
      <c r="D699" s="4">
        <v>10000122</v>
      </c>
      <c r="E699" s="3" t="s">
        <v>1888</v>
      </c>
      <c r="F699" s="3"/>
      <c r="G699" s="1">
        <v>5576.85</v>
      </c>
      <c r="H699" s="1">
        <f t="shared" si="52"/>
        <v>5576.85</v>
      </c>
      <c r="I699" s="1" t="str">
        <f t="shared" si="53"/>
        <v/>
      </c>
      <c r="J699" s="1" t="str">
        <f>_xlfn.IFNA(INDEX([1]历练产出!$Z:$Z,MATCH(B699,[1]历练产出!$AB:$AB,0)),"")</f>
        <v/>
      </c>
      <c r="K699" s="1" t="str">
        <f>_xlfn.IFNA(INDEX([1]洞天福地产出!$H:$H,MATCH(B699,[1]洞天福地产出!$K:$K,0)),"")</f>
        <v/>
      </c>
      <c r="L699" s="1" t="str">
        <f t="shared" si="54"/>
        <v/>
      </c>
      <c r="M699" s="4">
        <f t="shared" si="55"/>
        <v>0</v>
      </c>
    </row>
    <row r="700" spans="1:13">
      <c r="A700" s="4"/>
      <c r="B700" t="str">
        <f t="shared" si="56"/>
        <v>7:10000123</v>
      </c>
      <c r="C700" s="1">
        <v>7</v>
      </c>
      <c r="D700" s="4">
        <v>10000123</v>
      </c>
      <c r="E700" s="3" t="s">
        <v>1888</v>
      </c>
      <c r="F700" s="3"/>
      <c r="G700" s="1">
        <v>5852.25</v>
      </c>
      <c r="H700" s="1">
        <f t="shared" si="52"/>
        <v>5852.25</v>
      </c>
      <c r="I700" s="1" t="str">
        <f t="shared" si="53"/>
        <v/>
      </c>
      <c r="J700" s="1" t="str">
        <f>_xlfn.IFNA(INDEX([1]历练产出!$Z:$Z,MATCH(B700,[1]历练产出!$AB:$AB,0)),"")</f>
        <v/>
      </c>
      <c r="K700" s="1" t="str">
        <f>_xlfn.IFNA(INDEX([1]洞天福地产出!$H:$H,MATCH(B700,[1]洞天福地产出!$K:$K,0)),"")</f>
        <v/>
      </c>
      <c r="L700" s="1" t="str">
        <f t="shared" si="54"/>
        <v/>
      </c>
      <c r="M700" s="4">
        <f t="shared" si="55"/>
        <v>0</v>
      </c>
    </row>
    <row r="701" spans="1:13">
      <c r="A701" s="4"/>
      <c r="B701" t="str">
        <f t="shared" si="56"/>
        <v>7:10000124</v>
      </c>
      <c r="C701" s="1">
        <v>7</v>
      </c>
      <c r="D701" s="4">
        <v>10000124</v>
      </c>
      <c r="E701" s="3" t="s">
        <v>1888</v>
      </c>
      <c r="F701" s="3"/>
      <c r="G701" s="1">
        <v>6139.8</v>
      </c>
      <c r="H701" s="1">
        <f t="shared" si="52"/>
        <v>6139.8</v>
      </c>
      <c r="I701" s="1" t="str">
        <f t="shared" si="53"/>
        <v/>
      </c>
      <c r="J701" s="1" t="str">
        <f>_xlfn.IFNA(INDEX([1]历练产出!$Z:$Z,MATCH(B701,[1]历练产出!$AB:$AB,0)),"")</f>
        <v/>
      </c>
      <c r="K701" s="1" t="str">
        <f>_xlfn.IFNA(INDEX([1]洞天福地产出!$H:$H,MATCH(B701,[1]洞天福地产出!$K:$K,0)),"")</f>
        <v/>
      </c>
      <c r="L701" s="1" t="str">
        <f t="shared" si="54"/>
        <v/>
      </c>
      <c r="M701" s="4">
        <f t="shared" si="55"/>
        <v>0</v>
      </c>
    </row>
    <row r="702" spans="1:13">
      <c r="A702" s="4"/>
      <c r="B702" t="str">
        <f t="shared" si="56"/>
        <v>7:10000125</v>
      </c>
      <c r="C702" s="1">
        <v>7</v>
      </c>
      <c r="D702" s="4">
        <v>10000125</v>
      </c>
      <c r="E702" s="3" t="s">
        <v>1888</v>
      </c>
      <c r="F702" s="3"/>
      <c r="G702" s="1">
        <v>6439.5</v>
      </c>
      <c r="H702" s="1">
        <f t="shared" si="52"/>
        <v>6439.5</v>
      </c>
      <c r="I702" s="1" t="str">
        <f t="shared" si="53"/>
        <v/>
      </c>
      <c r="J702" s="1" t="str">
        <f>_xlfn.IFNA(INDEX([1]历练产出!$Z:$Z,MATCH(B702,[1]历练产出!$AB:$AB,0)),"")</f>
        <v/>
      </c>
      <c r="K702" s="1" t="str">
        <f>_xlfn.IFNA(INDEX([1]洞天福地产出!$H:$H,MATCH(B702,[1]洞天福地产出!$K:$K,0)),"")</f>
        <v/>
      </c>
      <c r="L702" s="1" t="str">
        <f t="shared" si="54"/>
        <v/>
      </c>
      <c r="M702" s="4">
        <f t="shared" si="55"/>
        <v>0</v>
      </c>
    </row>
    <row r="703" spans="1:13">
      <c r="A703" s="4"/>
      <c r="B703" t="str">
        <f t="shared" si="56"/>
        <v>7:10000126</v>
      </c>
      <c r="C703" s="1">
        <v>7</v>
      </c>
      <c r="D703" s="4">
        <v>10000126</v>
      </c>
      <c r="E703" s="3" t="s">
        <v>1888</v>
      </c>
      <c r="F703" s="3"/>
      <c r="G703" s="1">
        <v>6751.35</v>
      </c>
      <c r="H703" s="1">
        <f t="shared" si="52"/>
        <v>6751.35</v>
      </c>
      <c r="I703" s="1" t="str">
        <f t="shared" si="53"/>
        <v/>
      </c>
      <c r="J703" s="1" t="str">
        <f>_xlfn.IFNA(INDEX([1]历练产出!$Z:$Z,MATCH(B703,[1]历练产出!$AB:$AB,0)),"")</f>
        <v/>
      </c>
      <c r="K703" s="1" t="str">
        <f>_xlfn.IFNA(INDEX([1]洞天福地产出!$H:$H,MATCH(B703,[1]洞天福地产出!$K:$K,0)),"")</f>
        <v/>
      </c>
      <c r="L703" s="1" t="str">
        <f t="shared" si="54"/>
        <v/>
      </c>
      <c r="M703" s="4">
        <f t="shared" si="55"/>
        <v>0</v>
      </c>
    </row>
    <row r="704" spans="1:13">
      <c r="A704" s="4"/>
      <c r="B704" t="str">
        <f t="shared" si="56"/>
        <v>7:10000127</v>
      </c>
      <c r="C704" s="1">
        <v>7</v>
      </c>
      <c r="D704" s="4">
        <v>10000127</v>
      </c>
      <c r="E704" s="3" t="s">
        <v>1888</v>
      </c>
      <c r="F704" s="3"/>
      <c r="G704" s="1">
        <v>7075.35</v>
      </c>
      <c r="H704" s="1">
        <f t="shared" si="52"/>
        <v>7075.35</v>
      </c>
      <c r="I704" s="1" t="str">
        <f t="shared" si="53"/>
        <v/>
      </c>
      <c r="J704" s="1" t="str">
        <f>_xlfn.IFNA(INDEX([1]历练产出!$Z:$Z,MATCH(B704,[1]历练产出!$AB:$AB,0)),"")</f>
        <v/>
      </c>
      <c r="K704" s="1" t="str">
        <f>_xlfn.IFNA(INDEX([1]洞天福地产出!$H:$H,MATCH(B704,[1]洞天福地产出!$K:$K,0)),"")</f>
        <v/>
      </c>
      <c r="L704" s="1" t="str">
        <f t="shared" si="54"/>
        <v/>
      </c>
      <c r="M704" s="4">
        <f t="shared" si="55"/>
        <v>0</v>
      </c>
    </row>
    <row r="705" spans="1:13">
      <c r="A705" s="4"/>
      <c r="B705" t="str">
        <f t="shared" si="56"/>
        <v>7:10000128</v>
      </c>
      <c r="C705" s="1">
        <v>7</v>
      </c>
      <c r="D705" s="4">
        <v>10000128</v>
      </c>
      <c r="E705" s="3" t="s">
        <v>1888</v>
      </c>
      <c r="F705" s="3"/>
      <c r="G705" s="1">
        <v>7411.5</v>
      </c>
      <c r="H705" s="1">
        <f t="shared" si="52"/>
        <v>7411.5</v>
      </c>
      <c r="I705" s="1" t="str">
        <f t="shared" si="53"/>
        <v/>
      </c>
      <c r="J705" s="1" t="str">
        <f>_xlfn.IFNA(INDEX([1]历练产出!$Z:$Z,MATCH(B705,[1]历练产出!$AB:$AB,0)),"")</f>
        <v/>
      </c>
      <c r="K705" s="1" t="str">
        <f>_xlfn.IFNA(INDEX([1]洞天福地产出!$H:$H,MATCH(B705,[1]洞天福地产出!$K:$K,0)),"")</f>
        <v/>
      </c>
      <c r="L705" s="1" t="str">
        <f t="shared" si="54"/>
        <v/>
      </c>
      <c r="M705" s="4">
        <f t="shared" si="55"/>
        <v>0</v>
      </c>
    </row>
    <row r="706" spans="1:13">
      <c r="A706" s="4"/>
      <c r="B706" t="str">
        <f t="shared" si="56"/>
        <v>7:10000129</v>
      </c>
      <c r="C706" s="1">
        <v>7</v>
      </c>
      <c r="D706" s="4">
        <v>10000129</v>
      </c>
      <c r="E706" s="3" t="s">
        <v>1888</v>
      </c>
      <c r="F706" s="3"/>
      <c r="G706" s="1">
        <v>9703.8</v>
      </c>
      <c r="H706" s="1">
        <f t="shared" si="52"/>
        <v>9703.8</v>
      </c>
      <c r="I706" s="1" t="str">
        <f t="shared" si="53"/>
        <v/>
      </c>
      <c r="J706" s="1" t="str">
        <f>_xlfn.IFNA(INDEX([1]历练产出!$Z:$Z,MATCH(B706,[1]历练产出!$AB:$AB,0)),"")</f>
        <v/>
      </c>
      <c r="K706" s="1" t="str">
        <f>_xlfn.IFNA(INDEX([1]洞天福地产出!$H:$H,MATCH(B706,[1]洞天福地产出!$K:$K,0)),"")</f>
        <v/>
      </c>
      <c r="L706" s="1" t="str">
        <f t="shared" si="54"/>
        <v/>
      </c>
      <c r="M706" s="4">
        <f t="shared" si="55"/>
        <v>0</v>
      </c>
    </row>
    <row r="707" spans="1:13">
      <c r="A707" s="4"/>
      <c r="B707" t="str">
        <f t="shared" si="56"/>
        <v>7:10000130</v>
      </c>
      <c r="C707" s="1">
        <v>7</v>
      </c>
      <c r="D707" s="4">
        <v>10000130</v>
      </c>
      <c r="E707" s="3" t="s">
        <v>1888</v>
      </c>
      <c r="F707" s="3"/>
      <c r="G707" s="1">
        <v>10052.1</v>
      </c>
      <c r="H707" s="1">
        <f t="shared" si="52"/>
        <v>10052.1</v>
      </c>
      <c r="I707" s="1" t="str">
        <f t="shared" si="53"/>
        <v/>
      </c>
      <c r="J707" s="1" t="str">
        <f>_xlfn.IFNA(INDEX([1]历练产出!$Z:$Z,MATCH(B707,[1]历练产出!$AB:$AB,0)),"")</f>
        <v/>
      </c>
      <c r="K707" s="1" t="str">
        <f>_xlfn.IFNA(INDEX([1]洞天福地产出!$H:$H,MATCH(B707,[1]洞天福地产出!$K:$K,0)),"")</f>
        <v/>
      </c>
      <c r="L707" s="1" t="str">
        <f t="shared" si="54"/>
        <v/>
      </c>
      <c r="M707" s="4">
        <f t="shared" si="55"/>
        <v>0</v>
      </c>
    </row>
    <row r="708" ht="30" spans="1:13">
      <c r="A708" s="4"/>
      <c r="B708" t="str">
        <f t="shared" si="56"/>
        <v>7:11000101</v>
      </c>
      <c r="C708" s="1">
        <v>7</v>
      </c>
      <c r="D708" s="4">
        <v>11000101</v>
      </c>
      <c r="E708" s="3" t="s">
        <v>1889</v>
      </c>
      <c r="F708" s="3"/>
      <c r="G708" s="1">
        <v>656.1</v>
      </c>
      <c r="H708" s="1">
        <f t="shared" ref="H708:H771" si="57">IF(I708="",G708,I708)</f>
        <v>656.1</v>
      </c>
      <c r="I708" s="1" t="str">
        <f t="shared" ref="I708:I771" si="58">IFERROR(100/L708,"")</f>
        <v/>
      </c>
      <c r="J708" s="1" t="str">
        <f>_xlfn.IFNA(INDEX([1]历练产出!$Z:$Z,MATCH(B708,[1]历练产出!$AB:$AB,0)),"")</f>
        <v/>
      </c>
      <c r="K708" s="1" t="str">
        <f>_xlfn.IFNA(INDEX([1]洞天福地产出!$H:$H,MATCH(B708,[1]洞天福地产出!$K:$K,0)),"")</f>
        <v/>
      </c>
      <c r="L708" s="1" t="str">
        <f t="shared" ref="L708:L771" si="59">IFERROR(J708+K708,"")</f>
        <v/>
      </c>
      <c r="M708" s="4">
        <f t="shared" ref="M708:M771" si="60">IF(I708="",0,1)</f>
        <v>0</v>
      </c>
    </row>
    <row r="709" ht="30" spans="1:13">
      <c r="A709" s="4"/>
      <c r="B709" t="str">
        <f t="shared" si="56"/>
        <v>7:11000102</v>
      </c>
      <c r="C709" s="1">
        <v>7</v>
      </c>
      <c r="D709" s="4">
        <v>11000102</v>
      </c>
      <c r="E709" s="3" t="s">
        <v>1889</v>
      </c>
      <c r="F709" s="3"/>
      <c r="G709" s="1">
        <v>676.35</v>
      </c>
      <c r="H709" s="1">
        <f t="shared" si="57"/>
        <v>676.35</v>
      </c>
      <c r="I709" s="1" t="str">
        <f t="shared" si="58"/>
        <v/>
      </c>
      <c r="J709" s="1" t="str">
        <f>_xlfn.IFNA(INDEX([1]历练产出!$Z:$Z,MATCH(B709,[1]历练产出!$AB:$AB,0)),"")</f>
        <v/>
      </c>
      <c r="K709" s="1" t="str">
        <f>_xlfn.IFNA(INDEX([1]洞天福地产出!$H:$H,MATCH(B709,[1]洞天福地产出!$K:$K,0)),"")</f>
        <v/>
      </c>
      <c r="L709" s="1" t="str">
        <f t="shared" si="59"/>
        <v/>
      </c>
      <c r="M709" s="4">
        <f t="shared" si="60"/>
        <v>0</v>
      </c>
    </row>
    <row r="710" ht="30" spans="1:13">
      <c r="A710" s="4"/>
      <c r="B710" t="str">
        <f t="shared" si="56"/>
        <v>7:11000103</v>
      </c>
      <c r="C710" s="1">
        <v>7</v>
      </c>
      <c r="D710" s="4">
        <v>11000103</v>
      </c>
      <c r="E710" s="3" t="s">
        <v>1889</v>
      </c>
      <c r="F710" s="3"/>
      <c r="G710" s="1">
        <v>708.75</v>
      </c>
      <c r="H710" s="1">
        <f t="shared" si="57"/>
        <v>708.75</v>
      </c>
      <c r="I710" s="1" t="str">
        <f t="shared" si="58"/>
        <v/>
      </c>
      <c r="J710" s="1" t="str">
        <f>_xlfn.IFNA(INDEX([1]历练产出!$Z:$Z,MATCH(B710,[1]历练产出!$AB:$AB,0)),"")</f>
        <v/>
      </c>
      <c r="K710" s="1" t="str">
        <f>_xlfn.IFNA(INDEX([1]洞天福地产出!$H:$H,MATCH(B710,[1]洞天福地产出!$K:$K,0)),"")</f>
        <v/>
      </c>
      <c r="L710" s="1" t="str">
        <f t="shared" si="59"/>
        <v/>
      </c>
      <c r="M710" s="4">
        <f t="shared" si="60"/>
        <v>0</v>
      </c>
    </row>
    <row r="711" ht="30" spans="1:13">
      <c r="A711" s="4"/>
      <c r="B711" t="str">
        <f t="shared" si="56"/>
        <v>7:11000104</v>
      </c>
      <c r="C711" s="1">
        <v>7</v>
      </c>
      <c r="D711" s="4">
        <v>11000104</v>
      </c>
      <c r="E711" s="3" t="s">
        <v>1889</v>
      </c>
      <c r="F711" s="3"/>
      <c r="G711" s="1">
        <v>753.3</v>
      </c>
      <c r="H711" s="1">
        <f t="shared" si="57"/>
        <v>753.3</v>
      </c>
      <c r="I711" s="1" t="str">
        <f t="shared" si="58"/>
        <v/>
      </c>
      <c r="J711" s="1" t="str">
        <f>_xlfn.IFNA(INDEX([1]历练产出!$Z:$Z,MATCH(B711,[1]历练产出!$AB:$AB,0)),"")</f>
        <v/>
      </c>
      <c r="K711" s="1" t="str">
        <f>_xlfn.IFNA(INDEX([1]洞天福地产出!$H:$H,MATCH(B711,[1]洞天福地产出!$K:$K,0)),"")</f>
        <v/>
      </c>
      <c r="L711" s="1" t="str">
        <f t="shared" si="59"/>
        <v/>
      </c>
      <c r="M711" s="4">
        <f t="shared" si="60"/>
        <v>0</v>
      </c>
    </row>
    <row r="712" ht="30" spans="1:13">
      <c r="A712" s="4"/>
      <c r="B712" t="str">
        <f t="shared" si="56"/>
        <v>7:11000105</v>
      </c>
      <c r="C712" s="1">
        <v>7</v>
      </c>
      <c r="D712" s="4">
        <v>11000105</v>
      </c>
      <c r="E712" s="3" t="s">
        <v>1889</v>
      </c>
      <c r="F712" s="3"/>
      <c r="G712" s="1">
        <v>810</v>
      </c>
      <c r="H712" s="1">
        <f t="shared" si="57"/>
        <v>810</v>
      </c>
      <c r="I712" s="1" t="str">
        <f t="shared" si="58"/>
        <v/>
      </c>
      <c r="J712" s="1" t="str">
        <f>_xlfn.IFNA(INDEX([1]历练产出!$Z:$Z,MATCH(B712,[1]历练产出!$AB:$AB,0)),"")</f>
        <v/>
      </c>
      <c r="K712" s="1" t="str">
        <f>_xlfn.IFNA(INDEX([1]洞天福地产出!$H:$H,MATCH(B712,[1]洞天福地产出!$K:$K,0)),"")</f>
        <v/>
      </c>
      <c r="L712" s="1" t="str">
        <f t="shared" si="59"/>
        <v/>
      </c>
      <c r="M712" s="4">
        <f t="shared" si="60"/>
        <v>0</v>
      </c>
    </row>
    <row r="713" ht="30" spans="1:13">
      <c r="A713" s="4"/>
      <c r="B713" t="str">
        <f t="shared" si="56"/>
        <v>7:11000106</v>
      </c>
      <c r="C713" s="1">
        <v>7</v>
      </c>
      <c r="D713" s="4">
        <v>11000106</v>
      </c>
      <c r="E713" s="3" t="s">
        <v>1889</v>
      </c>
      <c r="F713" s="3"/>
      <c r="G713" s="1">
        <v>878.85</v>
      </c>
      <c r="H713" s="1">
        <f t="shared" si="57"/>
        <v>878.85</v>
      </c>
      <c r="I713" s="1" t="str">
        <f t="shared" si="58"/>
        <v/>
      </c>
      <c r="J713" s="1" t="str">
        <f>_xlfn.IFNA(INDEX([1]历练产出!$Z:$Z,MATCH(B713,[1]历练产出!$AB:$AB,0)),"")</f>
        <v/>
      </c>
      <c r="K713" s="1" t="str">
        <f>_xlfn.IFNA(INDEX([1]洞天福地产出!$H:$H,MATCH(B713,[1]洞天福地产出!$K:$K,0)),"")</f>
        <v/>
      </c>
      <c r="L713" s="1" t="str">
        <f t="shared" si="59"/>
        <v/>
      </c>
      <c r="M713" s="4">
        <f t="shared" si="60"/>
        <v>0</v>
      </c>
    </row>
    <row r="714" ht="30" spans="1:13">
      <c r="A714" s="4"/>
      <c r="B714" t="str">
        <f t="shared" si="56"/>
        <v>7:11000107</v>
      </c>
      <c r="C714" s="1">
        <v>7</v>
      </c>
      <c r="D714" s="4">
        <v>11000107</v>
      </c>
      <c r="E714" s="3" t="s">
        <v>1889</v>
      </c>
      <c r="F714" s="3"/>
      <c r="G714" s="1">
        <v>959.85</v>
      </c>
      <c r="H714" s="1">
        <f t="shared" si="57"/>
        <v>959.85</v>
      </c>
      <c r="I714" s="1" t="str">
        <f t="shared" si="58"/>
        <v/>
      </c>
      <c r="J714" s="1" t="str">
        <f>_xlfn.IFNA(INDEX([1]历练产出!$Z:$Z,MATCH(B714,[1]历练产出!$AB:$AB,0)),"")</f>
        <v/>
      </c>
      <c r="K714" s="1" t="str">
        <f>_xlfn.IFNA(INDEX([1]洞天福地产出!$H:$H,MATCH(B714,[1]洞天福地产出!$K:$K,0)),"")</f>
        <v/>
      </c>
      <c r="L714" s="1" t="str">
        <f t="shared" si="59"/>
        <v/>
      </c>
      <c r="M714" s="4">
        <f t="shared" si="60"/>
        <v>0</v>
      </c>
    </row>
    <row r="715" ht="30" spans="1:13">
      <c r="A715" s="4"/>
      <c r="B715" t="str">
        <f t="shared" si="56"/>
        <v>7:11000108</v>
      </c>
      <c r="C715" s="1">
        <v>7</v>
      </c>
      <c r="D715" s="4">
        <v>11000108</v>
      </c>
      <c r="E715" s="3" t="s">
        <v>1889</v>
      </c>
      <c r="F715" s="3"/>
      <c r="G715" s="1">
        <v>1053</v>
      </c>
      <c r="H715" s="1">
        <f t="shared" si="57"/>
        <v>1053</v>
      </c>
      <c r="I715" s="1" t="str">
        <f t="shared" si="58"/>
        <v/>
      </c>
      <c r="J715" s="1" t="str">
        <f>_xlfn.IFNA(INDEX([1]历练产出!$Z:$Z,MATCH(B715,[1]历练产出!$AB:$AB,0)),"")</f>
        <v/>
      </c>
      <c r="K715" s="1" t="str">
        <f>_xlfn.IFNA(INDEX([1]洞天福地产出!$H:$H,MATCH(B715,[1]洞天福地产出!$K:$K,0)),"")</f>
        <v/>
      </c>
      <c r="L715" s="1" t="str">
        <f t="shared" si="59"/>
        <v/>
      </c>
      <c r="M715" s="4">
        <f t="shared" si="60"/>
        <v>0</v>
      </c>
    </row>
    <row r="716" ht="30" spans="1:13">
      <c r="A716" s="4"/>
      <c r="B716" t="str">
        <f t="shared" si="56"/>
        <v>7:11000109</v>
      </c>
      <c r="C716" s="1">
        <v>7</v>
      </c>
      <c r="D716" s="4">
        <v>11000109</v>
      </c>
      <c r="E716" s="3" t="s">
        <v>1889</v>
      </c>
      <c r="F716" s="3"/>
      <c r="G716" s="1">
        <v>1806.3</v>
      </c>
      <c r="H716" s="1">
        <f t="shared" si="57"/>
        <v>1806.3</v>
      </c>
      <c r="I716" s="1" t="str">
        <f t="shared" si="58"/>
        <v/>
      </c>
      <c r="J716" s="1" t="str">
        <f>_xlfn.IFNA(INDEX([1]历练产出!$Z:$Z,MATCH(B716,[1]历练产出!$AB:$AB,0)),"")</f>
        <v/>
      </c>
      <c r="K716" s="1" t="str">
        <f>_xlfn.IFNA(INDEX([1]洞天福地产出!$H:$H,MATCH(B716,[1]洞天福地产出!$K:$K,0)),"")</f>
        <v/>
      </c>
      <c r="L716" s="1" t="str">
        <f t="shared" si="59"/>
        <v/>
      </c>
      <c r="M716" s="4">
        <f t="shared" si="60"/>
        <v>0</v>
      </c>
    </row>
    <row r="717" ht="30" spans="1:13">
      <c r="A717" s="4"/>
      <c r="B717" t="str">
        <f t="shared" si="56"/>
        <v>7:11000110</v>
      </c>
      <c r="C717" s="1">
        <v>7</v>
      </c>
      <c r="D717" s="4">
        <v>11000110</v>
      </c>
      <c r="E717" s="3" t="s">
        <v>1889</v>
      </c>
      <c r="F717" s="3"/>
      <c r="G717" s="1">
        <v>1923.75</v>
      </c>
      <c r="H717" s="1">
        <f t="shared" si="57"/>
        <v>1923.75</v>
      </c>
      <c r="I717" s="1" t="str">
        <f t="shared" si="58"/>
        <v/>
      </c>
      <c r="J717" s="1" t="str">
        <f>_xlfn.IFNA(INDEX([1]历练产出!$Z:$Z,MATCH(B717,[1]历练产出!$AB:$AB,0)),"")</f>
        <v/>
      </c>
      <c r="K717" s="1" t="str">
        <f>_xlfn.IFNA(INDEX([1]洞天福地产出!$H:$H,MATCH(B717,[1]洞天福地产出!$K:$K,0)),"")</f>
        <v/>
      </c>
      <c r="L717" s="1" t="str">
        <f t="shared" si="59"/>
        <v/>
      </c>
      <c r="M717" s="4">
        <f t="shared" si="60"/>
        <v>0</v>
      </c>
    </row>
    <row r="718" ht="30" spans="1:13">
      <c r="A718" s="4"/>
      <c r="B718" t="str">
        <f t="shared" si="56"/>
        <v>7:11000111</v>
      </c>
      <c r="C718" s="1">
        <v>7</v>
      </c>
      <c r="D718" s="4">
        <v>11000111</v>
      </c>
      <c r="E718" s="3" t="s">
        <v>1889</v>
      </c>
      <c r="F718" s="3"/>
      <c r="G718" s="1">
        <v>2053.35</v>
      </c>
      <c r="H718" s="1">
        <f t="shared" si="57"/>
        <v>2053.35</v>
      </c>
      <c r="I718" s="1" t="str">
        <f t="shared" si="58"/>
        <v/>
      </c>
      <c r="J718" s="1" t="str">
        <f>_xlfn.IFNA(INDEX([1]历练产出!$Z:$Z,MATCH(B718,[1]历练产出!$AB:$AB,0)),"")</f>
        <v/>
      </c>
      <c r="K718" s="1" t="str">
        <f>_xlfn.IFNA(INDEX([1]洞天福地产出!$H:$H,MATCH(B718,[1]洞天福地产出!$K:$K,0)),"")</f>
        <v/>
      </c>
      <c r="L718" s="1" t="str">
        <f t="shared" si="59"/>
        <v/>
      </c>
      <c r="M718" s="4">
        <f t="shared" si="60"/>
        <v>0</v>
      </c>
    </row>
    <row r="719" ht="30" spans="1:13">
      <c r="A719" s="4"/>
      <c r="B719" t="str">
        <f t="shared" si="56"/>
        <v>7:11000112</v>
      </c>
      <c r="C719" s="1">
        <v>7</v>
      </c>
      <c r="D719" s="4">
        <v>11000112</v>
      </c>
      <c r="E719" s="3" t="s">
        <v>1889</v>
      </c>
      <c r="F719" s="3"/>
      <c r="G719" s="1">
        <v>2195.1</v>
      </c>
      <c r="H719" s="1">
        <f t="shared" si="57"/>
        <v>2195.1</v>
      </c>
      <c r="I719" s="1" t="str">
        <f t="shared" si="58"/>
        <v/>
      </c>
      <c r="J719" s="1" t="str">
        <f>_xlfn.IFNA(INDEX([1]历练产出!$Z:$Z,MATCH(B719,[1]历练产出!$AB:$AB,0)),"")</f>
        <v/>
      </c>
      <c r="K719" s="1" t="str">
        <f>_xlfn.IFNA(INDEX([1]洞天福地产出!$H:$H,MATCH(B719,[1]洞天福地产出!$K:$K,0)),"")</f>
        <v/>
      </c>
      <c r="L719" s="1" t="str">
        <f t="shared" si="59"/>
        <v/>
      </c>
      <c r="M719" s="4">
        <f t="shared" si="60"/>
        <v>0</v>
      </c>
    </row>
    <row r="720" ht="30" spans="1:13">
      <c r="A720" s="4"/>
      <c r="B720" t="str">
        <f t="shared" si="56"/>
        <v>7:11000113</v>
      </c>
      <c r="C720" s="1">
        <v>7</v>
      </c>
      <c r="D720" s="4">
        <v>11000113</v>
      </c>
      <c r="E720" s="3" t="s">
        <v>1889</v>
      </c>
      <c r="F720" s="3"/>
      <c r="G720" s="1">
        <v>2349</v>
      </c>
      <c r="H720" s="1">
        <f t="shared" si="57"/>
        <v>2349</v>
      </c>
      <c r="I720" s="1" t="str">
        <f t="shared" si="58"/>
        <v/>
      </c>
      <c r="J720" s="1" t="str">
        <f>_xlfn.IFNA(INDEX([1]历练产出!$Z:$Z,MATCH(B720,[1]历练产出!$AB:$AB,0)),"")</f>
        <v/>
      </c>
      <c r="K720" s="1" t="str">
        <f>_xlfn.IFNA(INDEX([1]洞天福地产出!$H:$H,MATCH(B720,[1]洞天福地产出!$K:$K,0)),"")</f>
        <v/>
      </c>
      <c r="L720" s="1" t="str">
        <f t="shared" si="59"/>
        <v/>
      </c>
      <c r="M720" s="4">
        <f t="shared" si="60"/>
        <v>0</v>
      </c>
    </row>
    <row r="721" ht="30" spans="1:13">
      <c r="A721" s="4"/>
      <c r="B721" t="str">
        <f t="shared" si="56"/>
        <v>7:11000114</v>
      </c>
      <c r="C721" s="1">
        <v>7</v>
      </c>
      <c r="D721" s="4">
        <v>11000114</v>
      </c>
      <c r="E721" s="3" t="s">
        <v>1889</v>
      </c>
      <c r="F721" s="3"/>
      <c r="G721" s="1">
        <v>2515.05</v>
      </c>
      <c r="H721" s="1">
        <f t="shared" si="57"/>
        <v>2515.05</v>
      </c>
      <c r="I721" s="1" t="str">
        <f t="shared" si="58"/>
        <v/>
      </c>
      <c r="J721" s="1" t="str">
        <f>_xlfn.IFNA(INDEX([1]历练产出!$Z:$Z,MATCH(B721,[1]历练产出!$AB:$AB,0)),"")</f>
        <v/>
      </c>
      <c r="K721" s="1" t="str">
        <f>_xlfn.IFNA(INDEX([1]洞天福地产出!$H:$H,MATCH(B721,[1]洞天福地产出!$K:$K,0)),"")</f>
        <v/>
      </c>
      <c r="L721" s="1" t="str">
        <f t="shared" si="59"/>
        <v/>
      </c>
      <c r="M721" s="4">
        <f t="shared" si="60"/>
        <v>0</v>
      </c>
    </row>
    <row r="722" ht="30" spans="1:13">
      <c r="A722" s="4"/>
      <c r="B722" t="str">
        <f t="shared" si="56"/>
        <v>7:11000115</v>
      </c>
      <c r="C722" s="1">
        <v>7</v>
      </c>
      <c r="D722" s="4">
        <v>11000115</v>
      </c>
      <c r="E722" s="3" t="s">
        <v>1889</v>
      </c>
      <c r="F722" s="3"/>
      <c r="G722" s="1">
        <v>2693.25</v>
      </c>
      <c r="H722" s="1">
        <f t="shared" si="57"/>
        <v>2693.25</v>
      </c>
      <c r="I722" s="1" t="str">
        <f t="shared" si="58"/>
        <v/>
      </c>
      <c r="J722" s="1" t="str">
        <f>_xlfn.IFNA(INDEX([1]历练产出!$Z:$Z,MATCH(B722,[1]历练产出!$AB:$AB,0)),"")</f>
        <v/>
      </c>
      <c r="K722" s="1" t="str">
        <f>_xlfn.IFNA(INDEX([1]洞天福地产出!$H:$H,MATCH(B722,[1]洞天福地产出!$K:$K,0)),"")</f>
        <v/>
      </c>
      <c r="L722" s="1" t="str">
        <f t="shared" si="59"/>
        <v/>
      </c>
      <c r="M722" s="4">
        <f t="shared" si="60"/>
        <v>0</v>
      </c>
    </row>
    <row r="723" ht="30" spans="1:13">
      <c r="A723" s="4"/>
      <c r="B723" t="str">
        <f t="shared" si="56"/>
        <v>7:11000116</v>
      </c>
      <c r="C723" s="1">
        <v>7</v>
      </c>
      <c r="D723" s="4">
        <v>11000116</v>
      </c>
      <c r="E723" s="3" t="s">
        <v>1889</v>
      </c>
      <c r="F723" s="3"/>
      <c r="G723" s="1">
        <v>2883.6</v>
      </c>
      <c r="H723" s="1">
        <f t="shared" si="57"/>
        <v>2883.6</v>
      </c>
      <c r="I723" s="1" t="str">
        <f t="shared" si="58"/>
        <v/>
      </c>
      <c r="J723" s="1" t="str">
        <f>_xlfn.IFNA(INDEX([1]历练产出!$Z:$Z,MATCH(B723,[1]历练产出!$AB:$AB,0)),"")</f>
        <v/>
      </c>
      <c r="K723" s="1" t="str">
        <f>_xlfn.IFNA(INDEX([1]洞天福地产出!$H:$H,MATCH(B723,[1]洞天福地产出!$K:$K,0)),"")</f>
        <v/>
      </c>
      <c r="L723" s="1" t="str">
        <f t="shared" si="59"/>
        <v/>
      </c>
      <c r="M723" s="4">
        <f t="shared" si="60"/>
        <v>0</v>
      </c>
    </row>
    <row r="724" ht="30" spans="1:13">
      <c r="A724" s="4"/>
      <c r="B724" t="str">
        <f t="shared" si="56"/>
        <v>7:11000117</v>
      </c>
      <c r="C724" s="1">
        <v>7</v>
      </c>
      <c r="D724" s="4">
        <v>11000117</v>
      </c>
      <c r="E724" s="3" t="s">
        <v>1889</v>
      </c>
      <c r="F724" s="3"/>
      <c r="G724" s="1">
        <v>3086.1</v>
      </c>
      <c r="H724" s="1">
        <f t="shared" si="57"/>
        <v>3086.1</v>
      </c>
      <c r="I724" s="1" t="str">
        <f t="shared" si="58"/>
        <v/>
      </c>
      <c r="J724" s="1" t="str">
        <f>_xlfn.IFNA(INDEX([1]历练产出!$Z:$Z,MATCH(B724,[1]历练产出!$AB:$AB,0)),"")</f>
        <v/>
      </c>
      <c r="K724" s="1" t="str">
        <f>_xlfn.IFNA(INDEX([1]洞天福地产出!$H:$H,MATCH(B724,[1]洞天福地产出!$K:$K,0)),"")</f>
        <v/>
      </c>
      <c r="L724" s="1" t="str">
        <f t="shared" si="59"/>
        <v/>
      </c>
      <c r="M724" s="4">
        <f t="shared" si="60"/>
        <v>0</v>
      </c>
    </row>
    <row r="725" ht="30" spans="1:13">
      <c r="A725" s="4"/>
      <c r="B725" t="str">
        <f t="shared" si="56"/>
        <v>7:11000118</v>
      </c>
      <c r="C725" s="1">
        <v>7</v>
      </c>
      <c r="D725" s="4">
        <v>11000118</v>
      </c>
      <c r="E725" s="3" t="s">
        <v>1889</v>
      </c>
      <c r="F725" s="3"/>
      <c r="G725" s="1">
        <v>3300.75</v>
      </c>
      <c r="H725" s="1">
        <f t="shared" si="57"/>
        <v>3300.75</v>
      </c>
      <c r="I725" s="1" t="str">
        <f t="shared" si="58"/>
        <v/>
      </c>
      <c r="J725" s="1" t="str">
        <f>_xlfn.IFNA(INDEX([1]历练产出!$Z:$Z,MATCH(B725,[1]历练产出!$AB:$AB,0)),"")</f>
        <v/>
      </c>
      <c r="K725" s="1" t="str">
        <f>_xlfn.IFNA(INDEX([1]洞天福地产出!$H:$H,MATCH(B725,[1]洞天福地产出!$K:$K,0)),"")</f>
        <v/>
      </c>
      <c r="L725" s="1" t="str">
        <f t="shared" si="59"/>
        <v/>
      </c>
      <c r="M725" s="4">
        <f t="shared" si="60"/>
        <v>0</v>
      </c>
    </row>
    <row r="726" ht="30" spans="1:13">
      <c r="A726" s="4"/>
      <c r="B726" t="str">
        <f t="shared" si="56"/>
        <v>7:11000119</v>
      </c>
      <c r="C726" s="1">
        <v>7</v>
      </c>
      <c r="D726" s="4">
        <v>11000119</v>
      </c>
      <c r="E726" s="3" t="s">
        <v>1889</v>
      </c>
      <c r="F726" s="3"/>
      <c r="G726" s="1">
        <v>4823.55</v>
      </c>
      <c r="H726" s="1">
        <f t="shared" si="57"/>
        <v>4823.55</v>
      </c>
      <c r="I726" s="1" t="str">
        <f t="shared" si="58"/>
        <v/>
      </c>
      <c r="J726" s="1" t="str">
        <f>_xlfn.IFNA(INDEX([1]历练产出!$Z:$Z,MATCH(B726,[1]历练产出!$AB:$AB,0)),"")</f>
        <v/>
      </c>
      <c r="K726" s="1" t="str">
        <f>_xlfn.IFNA(INDEX([1]洞天福地产出!$H:$H,MATCH(B726,[1]洞天福地产出!$K:$K,0)),"")</f>
        <v/>
      </c>
      <c r="L726" s="1" t="str">
        <f t="shared" si="59"/>
        <v/>
      </c>
      <c r="M726" s="4">
        <f t="shared" si="60"/>
        <v>0</v>
      </c>
    </row>
    <row r="727" ht="30" spans="1:13">
      <c r="A727" s="4"/>
      <c r="B727" t="str">
        <f t="shared" si="56"/>
        <v>7:11000120</v>
      </c>
      <c r="C727" s="1">
        <v>7</v>
      </c>
      <c r="D727" s="4">
        <v>11000120</v>
      </c>
      <c r="E727" s="3" t="s">
        <v>1889</v>
      </c>
      <c r="F727" s="3"/>
      <c r="G727" s="1">
        <v>5062.5</v>
      </c>
      <c r="H727" s="1">
        <f t="shared" si="57"/>
        <v>5062.5</v>
      </c>
      <c r="I727" s="1" t="str">
        <f t="shared" si="58"/>
        <v/>
      </c>
      <c r="J727" s="1" t="str">
        <f>_xlfn.IFNA(INDEX([1]历练产出!$Z:$Z,MATCH(B727,[1]历练产出!$AB:$AB,0)),"")</f>
        <v/>
      </c>
      <c r="K727" s="1" t="str">
        <f>_xlfn.IFNA(INDEX([1]洞天福地产出!$H:$H,MATCH(B727,[1]洞天福地产出!$K:$K,0)),"")</f>
        <v/>
      </c>
      <c r="L727" s="1" t="str">
        <f t="shared" si="59"/>
        <v/>
      </c>
      <c r="M727" s="4">
        <f t="shared" si="60"/>
        <v>0</v>
      </c>
    </row>
    <row r="728" ht="30" spans="1:13">
      <c r="A728" s="4"/>
      <c r="B728" t="str">
        <f t="shared" si="56"/>
        <v>7:11000121</v>
      </c>
      <c r="C728" s="1">
        <v>7</v>
      </c>
      <c r="D728" s="4">
        <v>11000121</v>
      </c>
      <c r="E728" s="3" t="s">
        <v>1889</v>
      </c>
      <c r="F728" s="3"/>
      <c r="G728" s="1">
        <v>5313.6</v>
      </c>
      <c r="H728" s="1">
        <f t="shared" si="57"/>
        <v>5313.6</v>
      </c>
      <c r="I728" s="1" t="str">
        <f t="shared" si="58"/>
        <v/>
      </c>
      <c r="J728" s="1" t="str">
        <f>_xlfn.IFNA(INDEX([1]历练产出!$Z:$Z,MATCH(B728,[1]历练产出!$AB:$AB,0)),"")</f>
        <v/>
      </c>
      <c r="K728" s="1" t="str">
        <f>_xlfn.IFNA(INDEX([1]洞天福地产出!$H:$H,MATCH(B728,[1]洞天福地产出!$K:$K,0)),"")</f>
        <v/>
      </c>
      <c r="L728" s="1" t="str">
        <f t="shared" si="59"/>
        <v/>
      </c>
      <c r="M728" s="4">
        <f t="shared" si="60"/>
        <v>0</v>
      </c>
    </row>
    <row r="729" ht="30" spans="1:13">
      <c r="A729" s="4"/>
      <c r="B729" t="str">
        <f t="shared" si="56"/>
        <v>7:11000122</v>
      </c>
      <c r="C729" s="1">
        <v>7</v>
      </c>
      <c r="D729" s="4">
        <v>11000122</v>
      </c>
      <c r="E729" s="3" t="s">
        <v>1889</v>
      </c>
      <c r="F729" s="3"/>
      <c r="G729" s="1">
        <v>5576.85</v>
      </c>
      <c r="H729" s="1">
        <f t="shared" si="57"/>
        <v>5576.85</v>
      </c>
      <c r="I729" s="1" t="str">
        <f t="shared" si="58"/>
        <v/>
      </c>
      <c r="J729" s="1" t="str">
        <f>_xlfn.IFNA(INDEX([1]历练产出!$Z:$Z,MATCH(B729,[1]历练产出!$AB:$AB,0)),"")</f>
        <v/>
      </c>
      <c r="K729" s="1" t="str">
        <f>_xlfn.IFNA(INDEX([1]洞天福地产出!$H:$H,MATCH(B729,[1]洞天福地产出!$K:$K,0)),"")</f>
        <v/>
      </c>
      <c r="L729" s="1" t="str">
        <f t="shared" si="59"/>
        <v/>
      </c>
      <c r="M729" s="4">
        <f t="shared" si="60"/>
        <v>0</v>
      </c>
    </row>
    <row r="730" ht="30" spans="1:13">
      <c r="A730" s="4"/>
      <c r="B730" t="str">
        <f t="shared" si="56"/>
        <v>7:11000123</v>
      </c>
      <c r="C730" s="1">
        <v>7</v>
      </c>
      <c r="D730" s="4">
        <v>11000123</v>
      </c>
      <c r="E730" s="3" t="s">
        <v>1889</v>
      </c>
      <c r="F730" s="3"/>
      <c r="G730" s="1">
        <v>5852.25</v>
      </c>
      <c r="H730" s="1">
        <f t="shared" si="57"/>
        <v>5852.25</v>
      </c>
      <c r="I730" s="1" t="str">
        <f t="shared" si="58"/>
        <v/>
      </c>
      <c r="J730" s="1" t="str">
        <f>_xlfn.IFNA(INDEX([1]历练产出!$Z:$Z,MATCH(B730,[1]历练产出!$AB:$AB,0)),"")</f>
        <v/>
      </c>
      <c r="K730" s="1" t="str">
        <f>_xlfn.IFNA(INDEX([1]洞天福地产出!$H:$H,MATCH(B730,[1]洞天福地产出!$K:$K,0)),"")</f>
        <v/>
      </c>
      <c r="L730" s="1" t="str">
        <f t="shared" si="59"/>
        <v/>
      </c>
      <c r="M730" s="4">
        <f t="shared" si="60"/>
        <v>0</v>
      </c>
    </row>
    <row r="731" ht="30" spans="1:13">
      <c r="A731" s="4"/>
      <c r="B731" t="str">
        <f t="shared" si="56"/>
        <v>7:11000124</v>
      </c>
      <c r="C731" s="1">
        <v>7</v>
      </c>
      <c r="D731" s="4">
        <v>11000124</v>
      </c>
      <c r="E731" s="3" t="s">
        <v>1889</v>
      </c>
      <c r="F731" s="3"/>
      <c r="G731" s="1">
        <v>6139.8</v>
      </c>
      <c r="H731" s="1">
        <f t="shared" si="57"/>
        <v>6139.8</v>
      </c>
      <c r="I731" s="1" t="str">
        <f t="shared" si="58"/>
        <v/>
      </c>
      <c r="J731" s="1" t="str">
        <f>_xlfn.IFNA(INDEX([1]历练产出!$Z:$Z,MATCH(B731,[1]历练产出!$AB:$AB,0)),"")</f>
        <v/>
      </c>
      <c r="K731" s="1" t="str">
        <f>_xlfn.IFNA(INDEX([1]洞天福地产出!$H:$H,MATCH(B731,[1]洞天福地产出!$K:$K,0)),"")</f>
        <v/>
      </c>
      <c r="L731" s="1" t="str">
        <f t="shared" si="59"/>
        <v/>
      </c>
      <c r="M731" s="4">
        <f t="shared" si="60"/>
        <v>0</v>
      </c>
    </row>
    <row r="732" ht="30" spans="1:13">
      <c r="A732" s="4"/>
      <c r="B732" t="str">
        <f t="shared" si="56"/>
        <v>7:11000125</v>
      </c>
      <c r="C732" s="1">
        <v>7</v>
      </c>
      <c r="D732" s="4">
        <v>11000125</v>
      </c>
      <c r="E732" s="3" t="s">
        <v>1889</v>
      </c>
      <c r="F732" s="3"/>
      <c r="G732" s="1">
        <v>6439.5</v>
      </c>
      <c r="H732" s="1">
        <f t="shared" si="57"/>
        <v>6439.5</v>
      </c>
      <c r="I732" s="1" t="str">
        <f t="shared" si="58"/>
        <v/>
      </c>
      <c r="J732" s="1" t="str">
        <f>_xlfn.IFNA(INDEX([1]历练产出!$Z:$Z,MATCH(B732,[1]历练产出!$AB:$AB,0)),"")</f>
        <v/>
      </c>
      <c r="K732" s="1" t="str">
        <f>_xlfn.IFNA(INDEX([1]洞天福地产出!$H:$H,MATCH(B732,[1]洞天福地产出!$K:$K,0)),"")</f>
        <v/>
      </c>
      <c r="L732" s="1" t="str">
        <f t="shared" si="59"/>
        <v/>
      </c>
      <c r="M732" s="4">
        <f t="shared" si="60"/>
        <v>0</v>
      </c>
    </row>
    <row r="733" ht="30" spans="1:13">
      <c r="A733" s="4"/>
      <c r="B733" t="str">
        <f t="shared" si="56"/>
        <v>7:11000126</v>
      </c>
      <c r="C733" s="1">
        <v>7</v>
      </c>
      <c r="D733" s="4">
        <v>11000126</v>
      </c>
      <c r="E733" s="3" t="s">
        <v>1889</v>
      </c>
      <c r="F733" s="3"/>
      <c r="G733" s="1">
        <v>6751.35</v>
      </c>
      <c r="H733" s="1">
        <f t="shared" si="57"/>
        <v>6751.35</v>
      </c>
      <c r="I733" s="1" t="str">
        <f t="shared" si="58"/>
        <v/>
      </c>
      <c r="J733" s="1" t="str">
        <f>_xlfn.IFNA(INDEX([1]历练产出!$Z:$Z,MATCH(B733,[1]历练产出!$AB:$AB,0)),"")</f>
        <v/>
      </c>
      <c r="K733" s="1" t="str">
        <f>_xlfn.IFNA(INDEX([1]洞天福地产出!$H:$H,MATCH(B733,[1]洞天福地产出!$K:$K,0)),"")</f>
        <v/>
      </c>
      <c r="L733" s="1" t="str">
        <f t="shared" si="59"/>
        <v/>
      </c>
      <c r="M733" s="4">
        <f t="shared" si="60"/>
        <v>0</v>
      </c>
    </row>
    <row r="734" ht="30" spans="1:13">
      <c r="A734" s="4"/>
      <c r="B734" t="str">
        <f t="shared" si="56"/>
        <v>7:11000127</v>
      </c>
      <c r="C734" s="1">
        <v>7</v>
      </c>
      <c r="D734" s="4">
        <v>11000127</v>
      </c>
      <c r="E734" s="3" t="s">
        <v>1889</v>
      </c>
      <c r="F734" s="3"/>
      <c r="G734" s="1">
        <v>7075.35</v>
      </c>
      <c r="H734" s="1">
        <f t="shared" si="57"/>
        <v>7075.35</v>
      </c>
      <c r="I734" s="1" t="str">
        <f t="shared" si="58"/>
        <v/>
      </c>
      <c r="J734" s="1" t="str">
        <f>_xlfn.IFNA(INDEX([1]历练产出!$Z:$Z,MATCH(B734,[1]历练产出!$AB:$AB,0)),"")</f>
        <v/>
      </c>
      <c r="K734" s="1" t="str">
        <f>_xlfn.IFNA(INDEX([1]洞天福地产出!$H:$H,MATCH(B734,[1]洞天福地产出!$K:$K,0)),"")</f>
        <v/>
      </c>
      <c r="L734" s="1" t="str">
        <f t="shared" si="59"/>
        <v/>
      </c>
      <c r="M734" s="4">
        <f t="shared" si="60"/>
        <v>0</v>
      </c>
    </row>
    <row r="735" ht="30" spans="1:13">
      <c r="A735" s="4"/>
      <c r="B735" t="str">
        <f t="shared" si="56"/>
        <v>7:11000128</v>
      </c>
      <c r="C735" s="1">
        <v>7</v>
      </c>
      <c r="D735" s="4">
        <v>11000128</v>
      </c>
      <c r="E735" s="3" t="s">
        <v>1889</v>
      </c>
      <c r="F735" s="3"/>
      <c r="G735" s="1">
        <v>7411.5</v>
      </c>
      <c r="H735" s="1">
        <f t="shared" si="57"/>
        <v>7411.5</v>
      </c>
      <c r="I735" s="1" t="str">
        <f t="shared" si="58"/>
        <v/>
      </c>
      <c r="J735" s="1" t="str">
        <f>_xlfn.IFNA(INDEX([1]历练产出!$Z:$Z,MATCH(B735,[1]历练产出!$AB:$AB,0)),"")</f>
        <v/>
      </c>
      <c r="K735" s="1" t="str">
        <f>_xlfn.IFNA(INDEX([1]洞天福地产出!$H:$H,MATCH(B735,[1]洞天福地产出!$K:$K,0)),"")</f>
        <v/>
      </c>
      <c r="L735" s="1" t="str">
        <f t="shared" si="59"/>
        <v/>
      </c>
      <c r="M735" s="4">
        <f t="shared" si="60"/>
        <v>0</v>
      </c>
    </row>
    <row r="736" ht="30" spans="1:13">
      <c r="A736" s="4"/>
      <c r="B736" t="str">
        <f t="shared" si="56"/>
        <v>7:11000129</v>
      </c>
      <c r="C736" s="1">
        <v>7</v>
      </c>
      <c r="D736" s="4">
        <v>11000129</v>
      </c>
      <c r="E736" s="3" t="s">
        <v>1889</v>
      </c>
      <c r="F736" s="3"/>
      <c r="G736" s="1">
        <v>9703.8</v>
      </c>
      <c r="H736" s="1">
        <f t="shared" si="57"/>
        <v>9703.8</v>
      </c>
      <c r="I736" s="1" t="str">
        <f t="shared" si="58"/>
        <v/>
      </c>
      <c r="J736" s="1" t="str">
        <f>_xlfn.IFNA(INDEX([1]历练产出!$Z:$Z,MATCH(B736,[1]历练产出!$AB:$AB,0)),"")</f>
        <v/>
      </c>
      <c r="K736" s="1" t="str">
        <f>_xlfn.IFNA(INDEX([1]洞天福地产出!$H:$H,MATCH(B736,[1]洞天福地产出!$K:$K,0)),"")</f>
        <v/>
      </c>
      <c r="L736" s="1" t="str">
        <f t="shared" si="59"/>
        <v/>
      </c>
      <c r="M736" s="4">
        <f t="shared" si="60"/>
        <v>0</v>
      </c>
    </row>
    <row r="737" ht="30" spans="1:13">
      <c r="A737" s="4"/>
      <c r="B737" t="str">
        <f t="shared" si="56"/>
        <v>7:11000130</v>
      </c>
      <c r="C737" s="1">
        <v>7</v>
      </c>
      <c r="D737" s="4">
        <v>11000130</v>
      </c>
      <c r="E737" s="3" t="s">
        <v>1889</v>
      </c>
      <c r="F737" s="3"/>
      <c r="G737" s="1">
        <v>10052.1</v>
      </c>
      <c r="H737" s="1">
        <f t="shared" si="57"/>
        <v>10052.1</v>
      </c>
      <c r="I737" s="1" t="str">
        <f t="shared" si="58"/>
        <v/>
      </c>
      <c r="J737" s="1" t="str">
        <f>_xlfn.IFNA(INDEX([1]历练产出!$Z:$Z,MATCH(B737,[1]历练产出!$AB:$AB,0)),"")</f>
        <v/>
      </c>
      <c r="K737" s="1" t="str">
        <f>_xlfn.IFNA(INDEX([1]洞天福地产出!$H:$H,MATCH(B737,[1]洞天福地产出!$K:$K,0)),"")</f>
        <v/>
      </c>
      <c r="L737" s="1" t="str">
        <f t="shared" si="59"/>
        <v/>
      </c>
      <c r="M737" s="4">
        <f t="shared" si="60"/>
        <v>0</v>
      </c>
    </row>
    <row r="738" ht="30" spans="1:13">
      <c r="A738" s="4"/>
      <c r="B738" t="str">
        <f t="shared" si="56"/>
        <v>7:12000101</v>
      </c>
      <c r="C738" s="1">
        <v>7</v>
      </c>
      <c r="D738" s="4">
        <v>12000101</v>
      </c>
      <c r="E738" s="3" t="s">
        <v>1890</v>
      </c>
      <c r="F738" s="3"/>
      <c r="G738" s="1">
        <v>656.1</v>
      </c>
      <c r="H738" s="1">
        <f t="shared" si="57"/>
        <v>656.1</v>
      </c>
      <c r="I738" s="1" t="str">
        <f t="shared" si="58"/>
        <v/>
      </c>
      <c r="J738" s="1" t="str">
        <f>_xlfn.IFNA(INDEX([1]历练产出!$Z:$Z,MATCH(B738,[1]历练产出!$AB:$AB,0)),"")</f>
        <v/>
      </c>
      <c r="K738" s="1" t="str">
        <f>_xlfn.IFNA(INDEX([1]洞天福地产出!$H:$H,MATCH(B738,[1]洞天福地产出!$K:$K,0)),"")</f>
        <v/>
      </c>
      <c r="L738" s="1" t="str">
        <f t="shared" si="59"/>
        <v/>
      </c>
      <c r="M738" s="4">
        <f t="shared" si="60"/>
        <v>0</v>
      </c>
    </row>
    <row r="739" ht="30" spans="1:13">
      <c r="A739" s="4"/>
      <c r="B739" t="str">
        <f t="shared" si="56"/>
        <v>7:12000102</v>
      </c>
      <c r="C739" s="1">
        <v>7</v>
      </c>
      <c r="D739" s="4">
        <v>12000102</v>
      </c>
      <c r="E739" s="3" t="s">
        <v>1890</v>
      </c>
      <c r="F739" s="3"/>
      <c r="G739" s="1">
        <v>676.35</v>
      </c>
      <c r="H739" s="1">
        <f t="shared" si="57"/>
        <v>676.35</v>
      </c>
      <c r="I739" s="1" t="str">
        <f t="shared" si="58"/>
        <v/>
      </c>
      <c r="J739" s="1" t="str">
        <f>_xlfn.IFNA(INDEX([1]历练产出!$Z:$Z,MATCH(B739,[1]历练产出!$AB:$AB,0)),"")</f>
        <v/>
      </c>
      <c r="K739" s="1" t="str">
        <f>_xlfn.IFNA(INDEX([1]洞天福地产出!$H:$H,MATCH(B739,[1]洞天福地产出!$K:$K,0)),"")</f>
        <v/>
      </c>
      <c r="L739" s="1" t="str">
        <f t="shared" si="59"/>
        <v/>
      </c>
      <c r="M739" s="4">
        <f t="shared" si="60"/>
        <v>0</v>
      </c>
    </row>
    <row r="740" ht="30" spans="1:13">
      <c r="A740" s="4"/>
      <c r="B740" t="str">
        <f t="shared" ref="B740:B803" si="61">C740&amp;":"&amp;D740</f>
        <v>7:12000103</v>
      </c>
      <c r="C740" s="1">
        <v>7</v>
      </c>
      <c r="D740" s="4">
        <v>12000103</v>
      </c>
      <c r="E740" s="3" t="s">
        <v>1890</v>
      </c>
      <c r="F740" s="3"/>
      <c r="G740" s="1">
        <v>708.75</v>
      </c>
      <c r="H740" s="1">
        <f t="shared" si="57"/>
        <v>708.75</v>
      </c>
      <c r="I740" s="1" t="str">
        <f t="shared" si="58"/>
        <v/>
      </c>
      <c r="J740" s="1" t="str">
        <f>_xlfn.IFNA(INDEX([1]历练产出!$Z:$Z,MATCH(B740,[1]历练产出!$AB:$AB,0)),"")</f>
        <v/>
      </c>
      <c r="K740" s="1" t="str">
        <f>_xlfn.IFNA(INDEX([1]洞天福地产出!$H:$H,MATCH(B740,[1]洞天福地产出!$K:$K,0)),"")</f>
        <v/>
      </c>
      <c r="L740" s="1" t="str">
        <f t="shared" si="59"/>
        <v/>
      </c>
      <c r="M740" s="4">
        <f t="shared" si="60"/>
        <v>0</v>
      </c>
    </row>
    <row r="741" ht="30" spans="1:13">
      <c r="A741" s="4"/>
      <c r="B741" t="str">
        <f t="shared" si="61"/>
        <v>7:12000104</v>
      </c>
      <c r="C741" s="1">
        <v>7</v>
      </c>
      <c r="D741" s="4">
        <v>12000104</v>
      </c>
      <c r="E741" s="3" t="s">
        <v>1890</v>
      </c>
      <c r="F741" s="3"/>
      <c r="G741" s="1">
        <v>753.3</v>
      </c>
      <c r="H741" s="1">
        <f t="shared" si="57"/>
        <v>753.3</v>
      </c>
      <c r="I741" s="1" t="str">
        <f t="shared" si="58"/>
        <v/>
      </c>
      <c r="J741" s="1" t="str">
        <f>_xlfn.IFNA(INDEX([1]历练产出!$Z:$Z,MATCH(B741,[1]历练产出!$AB:$AB,0)),"")</f>
        <v/>
      </c>
      <c r="K741" s="1" t="str">
        <f>_xlfn.IFNA(INDEX([1]洞天福地产出!$H:$H,MATCH(B741,[1]洞天福地产出!$K:$K,0)),"")</f>
        <v/>
      </c>
      <c r="L741" s="1" t="str">
        <f t="shared" si="59"/>
        <v/>
      </c>
      <c r="M741" s="4">
        <f t="shared" si="60"/>
        <v>0</v>
      </c>
    </row>
    <row r="742" ht="30" spans="1:13">
      <c r="A742" s="4"/>
      <c r="B742" t="str">
        <f t="shared" si="61"/>
        <v>7:12000105</v>
      </c>
      <c r="C742" s="1">
        <v>7</v>
      </c>
      <c r="D742" s="4">
        <v>12000105</v>
      </c>
      <c r="E742" s="3" t="s">
        <v>1890</v>
      </c>
      <c r="F742" s="3"/>
      <c r="G742" s="1">
        <v>810</v>
      </c>
      <c r="H742" s="1">
        <f t="shared" si="57"/>
        <v>810</v>
      </c>
      <c r="I742" s="1" t="str">
        <f t="shared" si="58"/>
        <v/>
      </c>
      <c r="J742" s="1" t="str">
        <f>_xlfn.IFNA(INDEX([1]历练产出!$Z:$Z,MATCH(B742,[1]历练产出!$AB:$AB,0)),"")</f>
        <v/>
      </c>
      <c r="K742" s="1" t="str">
        <f>_xlfn.IFNA(INDEX([1]洞天福地产出!$H:$H,MATCH(B742,[1]洞天福地产出!$K:$K,0)),"")</f>
        <v/>
      </c>
      <c r="L742" s="1" t="str">
        <f t="shared" si="59"/>
        <v/>
      </c>
      <c r="M742" s="4">
        <f t="shared" si="60"/>
        <v>0</v>
      </c>
    </row>
    <row r="743" ht="30" spans="1:13">
      <c r="A743" s="4"/>
      <c r="B743" t="str">
        <f t="shared" si="61"/>
        <v>7:12000106</v>
      </c>
      <c r="C743" s="1">
        <v>7</v>
      </c>
      <c r="D743" s="4">
        <v>12000106</v>
      </c>
      <c r="E743" s="3" t="s">
        <v>1890</v>
      </c>
      <c r="F743" s="3"/>
      <c r="G743" s="1">
        <v>878.85</v>
      </c>
      <c r="H743" s="1">
        <f t="shared" si="57"/>
        <v>878.85</v>
      </c>
      <c r="I743" s="1" t="str">
        <f t="shared" si="58"/>
        <v/>
      </c>
      <c r="J743" s="1" t="str">
        <f>_xlfn.IFNA(INDEX([1]历练产出!$Z:$Z,MATCH(B743,[1]历练产出!$AB:$AB,0)),"")</f>
        <v/>
      </c>
      <c r="K743" s="1" t="str">
        <f>_xlfn.IFNA(INDEX([1]洞天福地产出!$H:$H,MATCH(B743,[1]洞天福地产出!$K:$K,0)),"")</f>
        <v/>
      </c>
      <c r="L743" s="1" t="str">
        <f t="shared" si="59"/>
        <v/>
      </c>
      <c r="M743" s="4">
        <f t="shared" si="60"/>
        <v>0</v>
      </c>
    </row>
    <row r="744" ht="30" spans="1:13">
      <c r="A744" s="4"/>
      <c r="B744" t="str">
        <f t="shared" si="61"/>
        <v>7:12000107</v>
      </c>
      <c r="C744" s="1">
        <v>7</v>
      </c>
      <c r="D744" s="4">
        <v>12000107</v>
      </c>
      <c r="E744" s="3" t="s">
        <v>1890</v>
      </c>
      <c r="F744" s="3"/>
      <c r="G744" s="1">
        <v>959.85</v>
      </c>
      <c r="H744" s="1">
        <f t="shared" si="57"/>
        <v>959.85</v>
      </c>
      <c r="I744" s="1" t="str">
        <f t="shared" si="58"/>
        <v/>
      </c>
      <c r="J744" s="1" t="str">
        <f>_xlfn.IFNA(INDEX([1]历练产出!$Z:$Z,MATCH(B744,[1]历练产出!$AB:$AB,0)),"")</f>
        <v/>
      </c>
      <c r="K744" s="1" t="str">
        <f>_xlfn.IFNA(INDEX([1]洞天福地产出!$H:$H,MATCH(B744,[1]洞天福地产出!$K:$K,0)),"")</f>
        <v/>
      </c>
      <c r="L744" s="1" t="str">
        <f t="shared" si="59"/>
        <v/>
      </c>
      <c r="M744" s="4">
        <f t="shared" si="60"/>
        <v>0</v>
      </c>
    </row>
    <row r="745" ht="30" spans="1:13">
      <c r="A745" s="4"/>
      <c r="B745" t="str">
        <f t="shared" si="61"/>
        <v>7:12000108</v>
      </c>
      <c r="C745" s="1">
        <v>7</v>
      </c>
      <c r="D745" s="4">
        <v>12000108</v>
      </c>
      <c r="E745" s="3" t="s">
        <v>1890</v>
      </c>
      <c r="F745" s="3"/>
      <c r="G745" s="1">
        <v>1053</v>
      </c>
      <c r="H745" s="1">
        <f t="shared" si="57"/>
        <v>1053</v>
      </c>
      <c r="I745" s="1" t="str">
        <f t="shared" si="58"/>
        <v/>
      </c>
      <c r="J745" s="1" t="str">
        <f>_xlfn.IFNA(INDEX([1]历练产出!$Z:$Z,MATCH(B745,[1]历练产出!$AB:$AB,0)),"")</f>
        <v/>
      </c>
      <c r="K745" s="1" t="str">
        <f>_xlfn.IFNA(INDEX([1]洞天福地产出!$H:$H,MATCH(B745,[1]洞天福地产出!$K:$K,0)),"")</f>
        <v/>
      </c>
      <c r="L745" s="1" t="str">
        <f t="shared" si="59"/>
        <v/>
      </c>
      <c r="M745" s="4">
        <f t="shared" si="60"/>
        <v>0</v>
      </c>
    </row>
    <row r="746" ht="30" spans="1:13">
      <c r="A746" s="4"/>
      <c r="B746" t="str">
        <f t="shared" si="61"/>
        <v>7:12000109</v>
      </c>
      <c r="C746" s="1">
        <v>7</v>
      </c>
      <c r="D746" s="4">
        <v>12000109</v>
      </c>
      <c r="E746" s="3" t="s">
        <v>1890</v>
      </c>
      <c r="F746" s="3"/>
      <c r="G746" s="1">
        <v>1806.3</v>
      </c>
      <c r="H746" s="1">
        <f t="shared" si="57"/>
        <v>1806.3</v>
      </c>
      <c r="I746" s="1" t="str">
        <f t="shared" si="58"/>
        <v/>
      </c>
      <c r="J746" s="1" t="str">
        <f>_xlfn.IFNA(INDEX([1]历练产出!$Z:$Z,MATCH(B746,[1]历练产出!$AB:$AB,0)),"")</f>
        <v/>
      </c>
      <c r="K746" s="1" t="str">
        <f>_xlfn.IFNA(INDEX([1]洞天福地产出!$H:$H,MATCH(B746,[1]洞天福地产出!$K:$K,0)),"")</f>
        <v/>
      </c>
      <c r="L746" s="1" t="str">
        <f t="shared" si="59"/>
        <v/>
      </c>
      <c r="M746" s="4">
        <f t="shared" si="60"/>
        <v>0</v>
      </c>
    </row>
    <row r="747" ht="30" spans="1:13">
      <c r="A747" s="4"/>
      <c r="B747" t="str">
        <f t="shared" si="61"/>
        <v>7:12000110</v>
      </c>
      <c r="C747" s="1">
        <v>7</v>
      </c>
      <c r="D747" s="4">
        <v>12000110</v>
      </c>
      <c r="E747" s="3" t="s">
        <v>1890</v>
      </c>
      <c r="F747" s="3"/>
      <c r="G747" s="1">
        <v>1923.75</v>
      </c>
      <c r="H747" s="1">
        <f t="shared" si="57"/>
        <v>1923.75</v>
      </c>
      <c r="I747" s="1" t="str">
        <f t="shared" si="58"/>
        <v/>
      </c>
      <c r="J747" s="1" t="str">
        <f>_xlfn.IFNA(INDEX([1]历练产出!$Z:$Z,MATCH(B747,[1]历练产出!$AB:$AB,0)),"")</f>
        <v/>
      </c>
      <c r="K747" s="1" t="str">
        <f>_xlfn.IFNA(INDEX([1]洞天福地产出!$H:$H,MATCH(B747,[1]洞天福地产出!$K:$K,0)),"")</f>
        <v/>
      </c>
      <c r="L747" s="1" t="str">
        <f t="shared" si="59"/>
        <v/>
      </c>
      <c r="M747" s="4">
        <f t="shared" si="60"/>
        <v>0</v>
      </c>
    </row>
    <row r="748" ht="30" spans="1:13">
      <c r="A748" s="4"/>
      <c r="B748" t="str">
        <f t="shared" si="61"/>
        <v>7:12000111</v>
      </c>
      <c r="C748" s="1">
        <v>7</v>
      </c>
      <c r="D748" s="4">
        <v>12000111</v>
      </c>
      <c r="E748" s="3" t="s">
        <v>1890</v>
      </c>
      <c r="F748" s="3"/>
      <c r="G748" s="1">
        <v>2053.35</v>
      </c>
      <c r="H748" s="1">
        <f t="shared" si="57"/>
        <v>2053.35</v>
      </c>
      <c r="I748" s="1" t="str">
        <f t="shared" si="58"/>
        <v/>
      </c>
      <c r="J748" s="1" t="str">
        <f>_xlfn.IFNA(INDEX([1]历练产出!$Z:$Z,MATCH(B748,[1]历练产出!$AB:$AB,0)),"")</f>
        <v/>
      </c>
      <c r="K748" s="1" t="str">
        <f>_xlfn.IFNA(INDEX([1]洞天福地产出!$H:$H,MATCH(B748,[1]洞天福地产出!$K:$K,0)),"")</f>
        <v/>
      </c>
      <c r="L748" s="1" t="str">
        <f t="shared" si="59"/>
        <v/>
      </c>
      <c r="M748" s="4">
        <f t="shared" si="60"/>
        <v>0</v>
      </c>
    </row>
    <row r="749" ht="30" spans="1:13">
      <c r="A749" s="4"/>
      <c r="B749" t="str">
        <f t="shared" si="61"/>
        <v>7:12000112</v>
      </c>
      <c r="C749" s="1">
        <v>7</v>
      </c>
      <c r="D749" s="4">
        <v>12000112</v>
      </c>
      <c r="E749" s="3" t="s">
        <v>1890</v>
      </c>
      <c r="F749" s="3"/>
      <c r="G749" s="1">
        <v>2195.1</v>
      </c>
      <c r="H749" s="1">
        <f t="shared" si="57"/>
        <v>2195.1</v>
      </c>
      <c r="I749" s="1" t="str">
        <f t="shared" si="58"/>
        <v/>
      </c>
      <c r="J749" s="1" t="str">
        <f>_xlfn.IFNA(INDEX([1]历练产出!$Z:$Z,MATCH(B749,[1]历练产出!$AB:$AB,0)),"")</f>
        <v/>
      </c>
      <c r="K749" s="1" t="str">
        <f>_xlfn.IFNA(INDEX([1]洞天福地产出!$H:$H,MATCH(B749,[1]洞天福地产出!$K:$K,0)),"")</f>
        <v/>
      </c>
      <c r="L749" s="1" t="str">
        <f t="shared" si="59"/>
        <v/>
      </c>
      <c r="M749" s="4">
        <f t="shared" si="60"/>
        <v>0</v>
      </c>
    </row>
    <row r="750" ht="30" spans="1:13">
      <c r="A750" s="4"/>
      <c r="B750" t="str">
        <f t="shared" si="61"/>
        <v>7:12000113</v>
      </c>
      <c r="C750" s="1">
        <v>7</v>
      </c>
      <c r="D750" s="4">
        <v>12000113</v>
      </c>
      <c r="E750" s="3" t="s">
        <v>1890</v>
      </c>
      <c r="F750" s="3"/>
      <c r="G750" s="1">
        <v>2349</v>
      </c>
      <c r="H750" s="1">
        <f t="shared" si="57"/>
        <v>2349</v>
      </c>
      <c r="I750" s="1" t="str">
        <f t="shared" si="58"/>
        <v/>
      </c>
      <c r="J750" s="1" t="str">
        <f>_xlfn.IFNA(INDEX([1]历练产出!$Z:$Z,MATCH(B750,[1]历练产出!$AB:$AB,0)),"")</f>
        <v/>
      </c>
      <c r="K750" s="1" t="str">
        <f>_xlfn.IFNA(INDEX([1]洞天福地产出!$H:$H,MATCH(B750,[1]洞天福地产出!$K:$K,0)),"")</f>
        <v/>
      </c>
      <c r="L750" s="1" t="str">
        <f t="shared" si="59"/>
        <v/>
      </c>
      <c r="M750" s="4">
        <f t="shared" si="60"/>
        <v>0</v>
      </c>
    </row>
    <row r="751" ht="30" spans="1:13">
      <c r="A751" s="4"/>
      <c r="B751" t="str">
        <f t="shared" si="61"/>
        <v>7:12000114</v>
      </c>
      <c r="C751" s="1">
        <v>7</v>
      </c>
      <c r="D751" s="4">
        <v>12000114</v>
      </c>
      <c r="E751" s="3" t="s">
        <v>1890</v>
      </c>
      <c r="F751" s="3"/>
      <c r="G751" s="1">
        <v>2515.05</v>
      </c>
      <c r="H751" s="1">
        <f t="shared" si="57"/>
        <v>2515.05</v>
      </c>
      <c r="I751" s="1" t="str">
        <f t="shared" si="58"/>
        <v/>
      </c>
      <c r="J751" s="1" t="str">
        <f>_xlfn.IFNA(INDEX([1]历练产出!$Z:$Z,MATCH(B751,[1]历练产出!$AB:$AB,0)),"")</f>
        <v/>
      </c>
      <c r="K751" s="1" t="str">
        <f>_xlfn.IFNA(INDEX([1]洞天福地产出!$H:$H,MATCH(B751,[1]洞天福地产出!$K:$K,0)),"")</f>
        <v/>
      </c>
      <c r="L751" s="1" t="str">
        <f t="shared" si="59"/>
        <v/>
      </c>
      <c r="M751" s="4">
        <f t="shared" si="60"/>
        <v>0</v>
      </c>
    </row>
    <row r="752" ht="30" spans="1:13">
      <c r="A752" s="4"/>
      <c r="B752" t="str">
        <f t="shared" si="61"/>
        <v>7:12000115</v>
      </c>
      <c r="C752" s="1">
        <v>7</v>
      </c>
      <c r="D752" s="4">
        <v>12000115</v>
      </c>
      <c r="E752" s="3" t="s">
        <v>1890</v>
      </c>
      <c r="F752" s="3"/>
      <c r="G752" s="1">
        <v>2693.25</v>
      </c>
      <c r="H752" s="1">
        <f t="shared" si="57"/>
        <v>2693.25</v>
      </c>
      <c r="I752" s="1" t="str">
        <f t="shared" si="58"/>
        <v/>
      </c>
      <c r="J752" s="1" t="str">
        <f>_xlfn.IFNA(INDEX([1]历练产出!$Z:$Z,MATCH(B752,[1]历练产出!$AB:$AB,0)),"")</f>
        <v/>
      </c>
      <c r="K752" s="1" t="str">
        <f>_xlfn.IFNA(INDEX([1]洞天福地产出!$H:$H,MATCH(B752,[1]洞天福地产出!$K:$K,0)),"")</f>
        <v/>
      </c>
      <c r="L752" s="1" t="str">
        <f t="shared" si="59"/>
        <v/>
      </c>
      <c r="M752" s="4">
        <f t="shared" si="60"/>
        <v>0</v>
      </c>
    </row>
    <row r="753" ht="30" spans="1:13">
      <c r="A753" s="4"/>
      <c r="B753" t="str">
        <f t="shared" si="61"/>
        <v>7:12000116</v>
      </c>
      <c r="C753" s="1">
        <v>7</v>
      </c>
      <c r="D753" s="4">
        <v>12000116</v>
      </c>
      <c r="E753" s="3" t="s">
        <v>1890</v>
      </c>
      <c r="F753" s="3"/>
      <c r="G753" s="1">
        <v>2883.6</v>
      </c>
      <c r="H753" s="1">
        <f t="shared" si="57"/>
        <v>2883.6</v>
      </c>
      <c r="I753" s="1" t="str">
        <f t="shared" si="58"/>
        <v/>
      </c>
      <c r="J753" s="1" t="str">
        <f>_xlfn.IFNA(INDEX([1]历练产出!$Z:$Z,MATCH(B753,[1]历练产出!$AB:$AB,0)),"")</f>
        <v/>
      </c>
      <c r="K753" s="1" t="str">
        <f>_xlfn.IFNA(INDEX([1]洞天福地产出!$H:$H,MATCH(B753,[1]洞天福地产出!$K:$K,0)),"")</f>
        <v/>
      </c>
      <c r="L753" s="1" t="str">
        <f t="shared" si="59"/>
        <v/>
      </c>
      <c r="M753" s="4">
        <f t="shared" si="60"/>
        <v>0</v>
      </c>
    </row>
    <row r="754" ht="30" spans="1:13">
      <c r="A754" s="4"/>
      <c r="B754" t="str">
        <f t="shared" si="61"/>
        <v>7:12000117</v>
      </c>
      <c r="C754" s="1">
        <v>7</v>
      </c>
      <c r="D754" s="4">
        <v>12000117</v>
      </c>
      <c r="E754" s="3" t="s">
        <v>1890</v>
      </c>
      <c r="F754" s="3"/>
      <c r="G754" s="1">
        <v>3086.1</v>
      </c>
      <c r="H754" s="1">
        <f t="shared" si="57"/>
        <v>3086.1</v>
      </c>
      <c r="I754" s="1" t="str">
        <f t="shared" si="58"/>
        <v/>
      </c>
      <c r="J754" s="1" t="str">
        <f>_xlfn.IFNA(INDEX([1]历练产出!$Z:$Z,MATCH(B754,[1]历练产出!$AB:$AB,0)),"")</f>
        <v/>
      </c>
      <c r="K754" s="1" t="str">
        <f>_xlfn.IFNA(INDEX([1]洞天福地产出!$H:$H,MATCH(B754,[1]洞天福地产出!$K:$K,0)),"")</f>
        <v/>
      </c>
      <c r="L754" s="1" t="str">
        <f t="shared" si="59"/>
        <v/>
      </c>
      <c r="M754" s="4">
        <f t="shared" si="60"/>
        <v>0</v>
      </c>
    </row>
    <row r="755" ht="30" spans="1:13">
      <c r="A755" s="4"/>
      <c r="B755" t="str">
        <f t="shared" si="61"/>
        <v>7:12000118</v>
      </c>
      <c r="C755" s="1">
        <v>7</v>
      </c>
      <c r="D755" s="4">
        <v>12000118</v>
      </c>
      <c r="E755" s="3" t="s">
        <v>1890</v>
      </c>
      <c r="F755" s="3"/>
      <c r="G755" s="1">
        <v>3300.75</v>
      </c>
      <c r="H755" s="1">
        <f t="shared" si="57"/>
        <v>3300.75</v>
      </c>
      <c r="I755" s="1" t="str">
        <f t="shared" si="58"/>
        <v/>
      </c>
      <c r="J755" s="1" t="str">
        <f>_xlfn.IFNA(INDEX([1]历练产出!$Z:$Z,MATCH(B755,[1]历练产出!$AB:$AB,0)),"")</f>
        <v/>
      </c>
      <c r="K755" s="1" t="str">
        <f>_xlfn.IFNA(INDEX([1]洞天福地产出!$H:$H,MATCH(B755,[1]洞天福地产出!$K:$K,0)),"")</f>
        <v/>
      </c>
      <c r="L755" s="1" t="str">
        <f t="shared" si="59"/>
        <v/>
      </c>
      <c r="M755" s="4">
        <f t="shared" si="60"/>
        <v>0</v>
      </c>
    </row>
    <row r="756" ht="30" spans="1:13">
      <c r="A756" s="4"/>
      <c r="B756" t="str">
        <f t="shared" si="61"/>
        <v>7:12000119</v>
      </c>
      <c r="C756" s="1">
        <v>7</v>
      </c>
      <c r="D756" s="4">
        <v>12000119</v>
      </c>
      <c r="E756" s="3" t="s">
        <v>1890</v>
      </c>
      <c r="F756" s="3"/>
      <c r="G756" s="1">
        <v>4823.55</v>
      </c>
      <c r="H756" s="1">
        <f t="shared" si="57"/>
        <v>4823.55</v>
      </c>
      <c r="I756" s="1" t="str">
        <f t="shared" si="58"/>
        <v/>
      </c>
      <c r="J756" s="1" t="str">
        <f>_xlfn.IFNA(INDEX([1]历练产出!$Z:$Z,MATCH(B756,[1]历练产出!$AB:$AB,0)),"")</f>
        <v/>
      </c>
      <c r="K756" s="1" t="str">
        <f>_xlfn.IFNA(INDEX([1]洞天福地产出!$H:$H,MATCH(B756,[1]洞天福地产出!$K:$K,0)),"")</f>
        <v/>
      </c>
      <c r="L756" s="1" t="str">
        <f t="shared" si="59"/>
        <v/>
      </c>
      <c r="M756" s="4">
        <f t="shared" si="60"/>
        <v>0</v>
      </c>
    </row>
    <row r="757" ht="30" spans="1:13">
      <c r="A757" s="4"/>
      <c r="B757" t="str">
        <f t="shared" si="61"/>
        <v>7:12000120</v>
      </c>
      <c r="C757" s="1">
        <v>7</v>
      </c>
      <c r="D757" s="4">
        <v>12000120</v>
      </c>
      <c r="E757" s="3" t="s">
        <v>1890</v>
      </c>
      <c r="F757" s="3"/>
      <c r="G757" s="1">
        <v>5062.5</v>
      </c>
      <c r="H757" s="1">
        <f t="shared" si="57"/>
        <v>5062.5</v>
      </c>
      <c r="I757" s="1" t="str">
        <f t="shared" si="58"/>
        <v/>
      </c>
      <c r="J757" s="1" t="str">
        <f>_xlfn.IFNA(INDEX([1]历练产出!$Z:$Z,MATCH(B757,[1]历练产出!$AB:$AB,0)),"")</f>
        <v/>
      </c>
      <c r="K757" s="1" t="str">
        <f>_xlfn.IFNA(INDEX([1]洞天福地产出!$H:$H,MATCH(B757,[1]洞天福地产出!$K:$K,0)),"")</f>
        <v/>
      </c>
      <c r="L757" s="1" t="str">
        <f t="shared" si="59"/>
        <v/>
      </c>
      <c r="M757" s="4">
        <f t="shared" si="60"/>
        <v>0</v>
      </c>
    </row>
    <row r="758" ht="30" spans="1:13">
      <c r="A758" s="4"/>
      <c r="B758" t="str">
        <f t="shared" si="61"/>
        <v>7:12000121</v>
      </c>
      <c r="C758" s="1">
        <v>7</v>
      </c>
      <c r="D758" s="4">
        <v>12000121</v>
      </c>
      <c r="E758" s="3" t="s">
        <v>1890</v>
      </c>
      <c r="F758" s="3"/>
      <c r="G758" s="1">
        <v>5313.6</v>
      </c>
      <c r="H758" s="1">
        <f t="shared" si="57"/>
        <v>5313.6</v>
      </c>
      <c r="I758" s="1" t="str">
        <f t="shared" si="58"/>
        <v/>
      </c>
      <c r="J758" s="1" t="str">
        <f>_xlfn.IFNA(INDEX([1]历练产出!$Z:$Z,MATCH(B758,[1]历练产出!$AB:$AB,0)),"")</f>
        <v/>
      </c>
      <c r="K758" s="1" t="str">
        <f>_xlfn.IFNA(INDEX([1]洞天福地产出!$H:$H,MATCH(B758,[1]洞天福地产出!$K:$K,0)),"")</f>
        <v/>
      </c>
      <c r="L758" s="1" t="str">
        <f t="shared" si="59"/>
        <v/>
      </c>
      <c r="M758" s="4">
        <f t="shared" si="60"/>
        <v>0</v>
      </c>
    </row>
    <row r="759" ht="30" spans="1:13">
      <c r="A759" s="4"/>
      <c r="B759" t="str">
        <f t="shared" si="61"/>
        <v>7:12000122</v>
      </c>
      <c r="C759" s="1">
        <v>7</v>
      </c>
      <c r="D759" s="4">
        <v>12000122</v>
      </c>
      <c r="E759" s="3" t="s">
        <v>1890</v>
      </c>
      <c r="F759" s="3"/>
      <c r="G759" s="1">
        <v>5576.85</v>
      </c>
      <c r="H759" s="1">
        <f t="shared" si="57"/>
        <v>5576.85</v>
      </c>
      <c r="I759" s="1" t="str">
        <f t="shared" si="58"/>
        <v/>
      </c>
      <c r="J759" s="1" t="str">
        <f>_xlfn.IFNA(INDEX([1]历练产出!$Z:$Z,MATCH(B759,[1]历练产出!$AB:$AB,0)),"")</f>
        <v/>
      </c>
      <c r="K759" s="1" t="str">
        <f>_xlfn.IFNA(INDEX([1]洞天福地产出!$H:$H,MATCH(B759,[1]洞天福地产出!$K:$K,0)),"")</f>
        <v/>
      </c>
      <c r="L759" s="1" t="str">
        <f t="shared" si="59"/>
        <v/>
      </c>
      <c r="M759" s="4">
        <f t="shared" si="60"/>
        <v>0</v>
      </c>
    </row>
    <row r="760" ht="30" spans="1:13">
      <c r="A760" s="4"/>
      <c r="B760" t="str">
        <f t="shared" si="61"/>
        <v>7:12000123</v>
      </c>
      <c r="C760" s="1">
        <v>7</v>
      </c>
      <c r="D760" s="4">
        <v>12000123</v>
      </c>
      <c r="E760" s="3" t="s">
        <v>1890</v>
      </c>
      <c r="F760" s="3"/>
      <c r="G760" s="1">
        <v>5852.25</v>
      </c>
      <c r="H760" s="1">
        <f t="shared" si="57"/>
        <v>5852.25</v>
      </c>
      <c r="I760" s="1" t="str">
        <f t="shared" si="58"/>
        <v/>
      </c>
      <c r="J760" s="1" t="str">
        <f>_xlfn.IFNA(INDEX([1]历练产出!$Z:$Z,MATCH(B760,[1]历练产出!$AB:$AB,0)),"")</f>
        <v/>
      </c>
      <c r="K760" s="1" t="str">
        <f>_xlfn.IFNA(INDEX([1]洞天福地产出!$H:$H,MATCH(B760,[1]洞天福地产出!$K:$K,0)),"")</f>
        <v/>
      </c>
      <c r="L760" s="1" t="str">
        <f t="shared" si="59"/>
        <v/>
      </c>
      <c r="M760" s="4">
        <f t="shared" si="60"/>
        <v>0</v>
      </c>
    </row>
    <row r="761" ht="30" spans="1:13">
      <c r="A761" s="4"/>
      <c r="B761" t="str">
        <f t="shared" si="61"/>
        <v>7:12000124</v>
      </c>
      <c r="C761" s="1">
        <v>7</v>
      </c>
      <c r="D761" s="4">
        <v>12000124</v>
      </c>
      <c r="E761" s="3" t="s">
        <v>1890</v>
      </c>
      <c r="F761" s="3"/>
      <c r="G761" s="1">
        <v>6139.8</v>
      </c>
      <c r="H761" s="1">
        <f t="shared" si="57"/>
        <v>6139.8</v>
      </c>
      <c r="I761" s="1" t="str">
        <f t="shared" si="58"/>
        <v/>
      </c>
      <c r="J761" s="1" t="str">
        <f>_xlfn.IFNA(INDEX([1]历练产出!$Z:$Z,MATCH(B761,[1]历练产出!$AB:$AB,0)),"")</f>
        <v/>
      </c>
      <c r="K761" s="1" t="str">
        <f>_xlfn.IFNA(INDEX([1]洞天福地产出!$H:$H,MATCH(B761,[1]洞天福地产出!$K:$K,0)),"")</f>
        <v/>
      </c>
      <c r="L761" s="1" t="str">
        <f t="shared" si="59"/>
        <v/>
      </c>
      <c r="M761" s="4">
        <f t="shared" si="60"/>
        <v>0</v>
      </c>
    </row>
    <row r="762" ht="30" spans="1:13">
      <c r="A762" s="4"/>
      <c r="B762" t="str">
        <f t="shared" si="61"/>
        <v>7:12000125</v>
      </c>
      <c r="C762" s="1">
        <v>7</v>
      </c>
      <c r="D762" s="4">
        <v>12000125</v>
      </c>
      <c r="E762" s="3" t="s">
        <v>1890</v>
      </c>
      <c r="F762" s="3"/>
      <c r="G762" s="1">
        <v>6439.5</v>
      </c>
      <c r="H762" s="1">
        <f t="shared" si="57"/>
        <v>6439.5</v>
      </c>
      <c r="I762" s="1" t="str">
        <f t="shared" si="58"/>
        <v/>
      </c>
      <c r="J762" s="1" t="str">
        <f>_xlfn.IFNA(INDEX([1]历练产出!$Z:$Z,MATCH(B762,[1]历练产出!$AB:$AB,0)),"")</f>
        <v/>
      </c>
      <c r="K762" s="1" t="str">
        <f>_xlfn.IFNA(INDEX([1]洞天福地产出!$H:$H,MATCH(B762,[1]洞天福地产出!$K:$K,0)),"")</f>
        <v/>
      </c>
      <c r="L762" s="1" t="str">
        <f t="shared" si="59"/>
        <v/>
      </c>
      <c r="M762" s="4">
        <f t="shared" si="60"/>
        <v>0</v>
      </c>
    </row>
    <row r="763" ht="30" spans="1:13">
      <c r="A763" s="4"/>
      <c r="B763" t="str">
        <f t="shared" si="61"/>
        <v>7:12000126</v>
      </c>
      <c r="C763" s="1">
        <v>7</v>
      </c>
      <c r="D763" s="4">
        <v>12000126</v>
      </c>
      <c r="E763" s="3" t="s">
        <v>1890</v>
      </c>
      <c r="F763" s="3"/>
      <c r="G763" s="1">
        <v>6751.35</v>
      </c>
      <c r="H763" s="1">
        <f t="shared" si="57"/>
        <v>6751.35</v>
      </c>
      <c r="I763" s="1" t="str">
        <f t="shared" si="58"/>
        <v/>
      </c>
      <c r="J763" s="1" t="str">
        <f>_xlfn.IFNA(INDEX([1]历练产出!$Z:$Z,MATCH(B763,[1]历练产出!$AB:$AB,0)),"")</f>
        <v/>
      </c>
      <c r="K763" s="1" t="str">
        <f>_xlfn.IFNA(INDEX([1]洞天福地产出!$H:$H,MATCH(B763,[1]洞天福地产出!$K:$K,0)),"")</f>
        <v/>
      </c>
      <c r="L763" s="1" t="str">
        <f t="shared" si="59"/>
        <v/>
      </c>
      <c r="M763" s="4">
        <f t="shared" si="60"/>
        <v>0</v>
      </c>
    </row>
    <row r="764" ht="30" spans="1:13">
      <c r="A764" s="4"/>
      <c r="B764" t="str">
        <f t="shared" si="61"/>
        <v>7:12000127</v>
      </c>
      <c r="C764" s="1">
        <v>7</v>
      </c>
      <c r="D764" s="4">
        <v>12000127</v>
      </c>
      <c r="E764" s="3" t="s">
        <v>1890</v>
      </c>
      <c r="F764" s="3"/>
      <c r="G764" s="1">
        <v>7075.35</v>
      </c>
      <c r="H764" s="1">
        <f t="shared" si="57"/>
        <v>7075.35</v>
      </c>
      <c r="I764" s="1" t="str">
        <f t="shared" si="58"/>
        <v/>
      </c>
      <c r="J764" s="1" t="str">
        <f>_xlfn.IFNA(INDEX([1]历练产出!$Z:$Z,MATCH(B764,[1]历练产出!$AB:$AB,0)),"")</f>
        <v/>
      </c>
      <c r="K764" s="1" t="str">
        <f>_xlfn.IFNA(INDEX([1]洞天福地产出!$H:$H,MATCH(B764,[1]洞天福地产出!$K:$K,0)),"")</f>
        <v/>
      </c>
      <c r="L764" s="1" t="str">
        <f t="shared" si="59"/>
        <v/>
      </c>
      <c r="M764" s="4">
        <f t="shared" si="60"/>
        <v>0</v>
      </c>
    </row>
    <row r="765" ht="30" spans="1:13">
      <c r="A765" s="4"/>
      <c r="B765" t="str">
        <f t="shared" si="61"/>
        <v>7:12000128</v>
      </c>
      <c r="C765" s="1">
        <v>7</v>
      </c>
      <c r="D765" s="4">
        <v>12000128</v>
      </c>
      <c r="E765" s="3" t="s">
        <v>1890</v>
      </c>
      <c r="F765" s="3"/>
      <c r="G765" s="1">
        <v>7411.5</v>
      </c>
      <c r="H765" s="1">
        <f t="shared" si="57"/>
        <v>7411.5</v>
      </c>
      <c r="I765" s="1" t="str">
        <f t="shared" si="58"/>
        <v/>
      </c>
      <c r="J765" s="1" t="str">
        <f>_xlfn.IFNA(INDEX([1]历练产出!$Z:$Z,MATCH(B765,[1]历练产出!$AB:$AB,0)),"")</f>
        <v/>
      </c>
      <c r="K765" s="1" t="str">
        <f>_xlfn.IFNA(INDEX([1]洞天福地产出!$H:$H,MATCH(B765,[1]洞天福地产出!$K:$K,0)),"")</f>
        <v/>
      </c>
      <c r="L765" s="1" t="str">
        <f t="shared" si="59"/>
        <v/>
      </c>
      <c r="M765" s="4">
        <f t="shared" si="60"/>
        <v>0</v>
      </c>
    </row>
    <row r="766" ht="30" spans="1:13">
      <c r="A766" s="4"/>
      <c r="B766" t="str">
        <f t="shared" si="61"/>
        <v>7:12000129</v>
      </c>
      <c r="C766" s="1">
        <v>7</v>
      </c>
      <c r="D766" s="4">
        <v>12000129</v>
      </c>
      <c r="E766" s="3" t="s">
        <v>1890</v>
      </c>
      <c r="F766" s="3"/>
      <c r="G766" s="1">
        <v>9703.8</v>
      </c>
      <c r="H766" s="1">
        <f t="shared" si="57"/>
        <v>9703.8</v>
      </c>
      <c r="I766" s="1" t="str">
        <f t="shared" si="58"/>
        <v/>
      </c>
      <c r="J766" s="1" t="str">
        <f>_xlfn.IFNA(INDEX([1]历练产出!$Z:$Z,MATCH(B766,[1]历练产出!$AB:$AB,0)),"")</f>
        <v/>
      </c>
      <c r="K766" s="1" t="str">
        <f>_xlfn.IFNA(INDEX([1]洞天福地产出!$H:$H,MATCH(B766,[1]洞天福地产出!$K:$K,0)),"")</f>
        <v/>
      </c>
      <c r="L766" s="1" t="str">
        <f t="shared" si="59"/>
        <v/>
      </c>
      <c r="M766" s="4">
        <f t="shared" si="60"/>
        <v>0</v>
      </c>
    </row>
    <row r="767" ht="30" spans="1:13">
      <c r="A767" s="4"/>
      <c r="B767" t="str">
        <f t="shared" si="61"/>
        <v>7:12000130</v>
      </c>
      <c r="C767" s="1">
        <v>7</v>
      </c>
      <c r="D767" s="4">
        <v>12000130</v>
      </c>
      <c r="E767" s="3" t="s">
        <v>1890</v>
      </c>
      <c r="F767" s="3"/>
      <c r="G767" s="1">
        <v>10052.1</v>
      </c>
      <c r="H767" s="1">
        <f t="shared" si="57"/>
        <v>10052.1</v>
      </c>
      <c r="I767" s="1" t="str">
        <f t="shared" si="58"/>
        <v/>
      </c>
      <c r="J767" s="1" t="str">
        <f>_xlfn.IFNA(INDEX([1]历练产出!$Z:$Z,MATCH(B767,[1]历练产出!$AB:$AB,0)),"")</f>
        <v/>
      </c>
      <c r="K767" s="1" t="str">
        <f>_xlfn.IFNA(INDEX([1]洞天福地产出!$H:$H,MATCH(B767,[1]洞天福地产出!$K:$K,0)),"")</f>
        <v/>
      </c>
      <c r="L767" s="1" t="str">
        <f t="shared" si="59"/>
        <v/>
      </c>
      <c r="M767" s="4">
        <f t="shared" si="60"/>
        <v>0</v>
      </c>
    </row>
    <row r="768" ht="45" spans="1:13">
      <c r="A768" s="4"/>
      <c r="B768" t="str">
        <f t="shared" si="61"/>
        <v>7:13000101</v>
      </c>
      <c r="C768" s="1">
        <v>7</v>
      </c>
      <c r="D768" s="4">
        <v>13000101</v>
      </c>
      <c r="E768" s="3" t="s">
        <v>449</v>
      </c>
      <c r="F768" s="3"/>
      <c r="G768" s="1">
        <v>656.1</v>
      </c>
      <c r="H768" s="1">
        <f t="shared" si="57"/>
        <v>656.1</v>
      </c>
      <c r="I768" s="1" t="str">
        <f t="shared" si="58"/>
        <v/>
      </c>
      <c r="J768" s="1" t="str">
        <f>_xlfn.IFNA(INDEX([1]历练产出!$Z:$Z,MATCH(B768,[1]历练产出!$AB:$AB,0)),"")</f>
        <v/>
      </c>
      <c r="K768" s="1" t="str">
        <f>_xlfn.IFNA(INDEX([1]洞天福地产出!$H:$H,MATCH(B768,[1]洞天福地产出!$K:$K,0)),"")</f>
        <v/>
      </c>
      <c r="L768" s="1" t="str">
        <f t="shared" si="59"/>
        <v/>
      </c>
      <c r="M768" s="4">
        <f t="shared" si="60"/>
        <v>0</v>
      </c>
    </row>
    <row r="769" ht="45" spans="1:13">
      <c r="A769" s="4"/>
      <c r="B769" t="str">
        <f t="shared" si="61"/>
        <v>7:13000102</v>
      </c>
      <c r="C769" s="1">
        <v>7</v>
      </c>
      <c r="D769" s="4">
        <v>13000102</v>
      </c>
      <c r="E769" s="3" t="s">
        <v>449</v>
      </c>
      <c r="F769" s="3"/>
      <c r="G769" s="1">
        <v>676.35</v>
      </c>
      <c r="H769" s="1">
        <f t="shared" si="57"/>
        <v>676.35</v>
      </c>
      <c r="I769" s="1" t="str">
        <f t="shared" si="58"/>
        <v/>
      </c>
      <c r="J769" s="1" t="str">
        <f>_xlfn.IFNA(INDEX([1]历练产出!$Z:$Z,MATCH(B769,[1]历练产出!$AB:$AB,0)),"")</f>
        <v/>
      </c>
      <c r="K769" s="1" t="str">
        <f>_xlfn.IFNA(INDEX([1]洞天福地产出!$H:$H,MATCH(B769,[1]洞天福地产出!$K:$K,0)),"")</f>
        <v/>
      </c>
      <c r="L769" s="1" t="str">
        <f t="shared" si="59"/>
        <v/>
      </c>
      <c r="M769" s="4">
        <f t="shared" si="60"/>
        <v>0</v>
      </c>
    </row>
    <row r="770" ht="45" spans="1:13">
      <c r="A770" s="4"/>
      <c r="B770" t="str">
        <f t="shared" si="61"/>
        <v>7:13000103</v>
      </c>
      <c r="C770" s="1">
        <v>7</v>
      </c>
      <c r="D770" s="4">
        <v>13000103</v>
      </c>
      <c r="E770" s="3" t="s">
        <v>449</v>
      </c>
      <c r="F770" s="3"/>
      <c r="G770" s="1">
        <v>708.75</v>
      </c>
      <c r="H770" s="1">
        <f t="shared" si="57"/>
        <v>708.75</v>
      </c>
      <c r="I770" s="1" t="str">
        <f t="shared" si="58"/>
        <v/>
      </c>
      <c r="J770" s="1" t="str">
        <f>_xlfn.IFNA(INDEX([1]历练产出!$Z:$Z,MATCH(B770,[1]历练产出!$AB:$AB,0)),"")</f>
        <v/>
      </c>
      <c r="K770" s="1" t="str">
        <f>_xlfn.IFNA(INDEX([1]洞天福地产出!$H:$H,MATCH(B770,[1]洞天福地产出!$K:$K,0)),"")</f>
        <v/>
      </c>
      <c r="L770" s="1" t="str">
        <f t="shared" si="59"/>
        <v/>
      </c>
      <c r="M770" s="4">
        <f t="shared" si="60"/>
        <v>0</v>
      </c>
    </row>
    <row r="771" ht="45" spans="1:13">
      <c r="A771" s="4"/>
      <c r="B771" t="str">
        <f t="shared" si="61"/>
        <v>7:13000104</v>
      </c>
      <c r="C771" s="1">
        <v>7</v>
      </c>
      <c r="D771" s="4">
        <v>13000104</v>
      </c>
      <c r="E771" s="3" t="s">
        <v>449</v>
      </c>
      <c r="F771" s="3"/>
      <c r="G771" s="1">
        <v>753.3</v>
      </c>
      <c r="H771" s="1">
        <f t="shared" si="57"/>
        <v>753.3</v>
      </c>
      <c r="I771" s="1" t="str">
        <f t="shared" si="58"/>
        <v/>
      </c>
      <c r="J771" s="1" t="str">
        <f>_xlfn.IFNA(INDEX([1]历练产出!$Z:$Z,MATCH(B771,[1]历练产出!$AB:$AB,0)),"")</f>
        <v/>
      </c>
      <c r="K771" s="1" t="str">
        <f>_xlfn.IFNA(INDEX([1]洞天福地产出!$H:$H,MATCH(B771,[1]洞天福地产出!$K:$K,0)),"")</f>
        <v/>
      </c>
      <c r="L771" s="1" t="str">
        <f t="shared" si="59"/>
        <v/>
      </c>
      <c r="M771" s="4">
        <f t="shared" si="60"/>
        <v>0</v>
      </c>
    </row>
    <row r="772" ht="45" spans="1:13">
      <c r="A772" s="4"/>
      <c r="B772" t="str">
        <f t="shared" si="61"/>
        <v>7:13000105</v>
      </c>
      <c r="C772" s="1">
        <v>7</v>
      </c>
      <c r="D772" s="4">
        <v>13000105</v>
      </c>
      <c r="E772" s="3" t="s">
        <v>449</v>
      </c>
      <c r="F772" s="3"/>
      <c r="G772" s="1">
        <v>810</v>
      </c>
      <c r="H772" s="1">
        <f t="shared" ref="H772:H835" si="62">IF(I772="",G772,I772)</f>
        <v>810</v>
      </c>
      <c r="I772" s="1" t="str">
        <f t="shared" ref="I772:I835" si="63">IFERROR(100/L772,"")</f>
        <v/>
      </c>
      <c r="J772" s="1" t="str">
        <f>_xlfn.IFNA(INDEX([1]历练产出!$Z:$Z,MATCH(B772,[1]历练产出!$AB:$AB,0)),"")</f>
        <v/>
      </c>
      <c r="K772" s="1" t="str">
        <f>_xlfn.IFNA(INDEX([1]洞天福地产出!$H:$H,MATCH(B772,[1]洞天福地产出!$K:$K,0)),"")</f>
        <v/>
      </c>
      <c r="L772" s="1" t="str">
        <f t="shared" ref="L772:L835" si="64">IFERROR(J772+K772,"")</f>
        <v/>
      </c>
      <c r="M772" s="4">
        <f t="shared" ref="M772:M835" si="65">IF(I772="",0,1)</f>
        <v>0</v>
      </c>
    </row>
    <row r="773" ht="45" spans="1:13">
      <c r="A773" s="4"/>
      <c r="B773" t="str">
        <f t="shared" si="61"/>
        <v>7:13000106</v>
      </c>
      <c r="C773" s="1">
        <v>7</v>
      </c>
      <c r="D773" s="4">
        <v>13000106</v>
      </c>
      <c r="E773" s="3" t="s">
        <v>449</v>
      </c>
      <c r="F773" s="3"/>
      <c r="G773" s="1">
        <v>878.85</v>
      </c>
      <c r="H773" s="1">
        <f t="shared" si="62"/>
        <v>878.85</v>
      </c>
      <c r="I773" s="1" t="str">
        <f t="shared" si="63"/>
        <v/>
      </c>
      <c r="J773" s="1" t="str">
        <f>_xlfn.IFNA(INDEX([1]历练产出!$Z:$Z,MATCH(B773,[1]历练产出!$AB:$AB,0)),"")</f>
        <v/>
      </c>
      <c r="K773" s="1" t="str">
        <f>_xlfn.IFNA(INDEX([1]洞天福地产出!$H:$H,MATCH(B773,[1]洞天福地产出!$K:$K,0)),"")</f>
        <v/>
      </c>
      <c r="L773" s="1" t="str">
        <f t="shared" si="64"/>
        <v/>
      </c>
      <c r="M773" s="4">
        <f t="shared" si="65"/>
        <v>0</v>
      </c>
    </row>
    <row r="774" ht="45" spans="1:13">
      <c r="A774" s="4"/>
      <c r="B774" t="str">
        <f t="shared" si="61"/>
        <v>7:13000107</v>
      </c>
      <c r="C774" s="1">
        <v>7</v>
      </c>
      <c r="D774" s="4">
        <v>13000107</v>
      </c>
      <c r="E774" s="3" t="s">
        <v>449</v>
      </c>
      <c r="F774" s="3"/>
      <c r="G774" s="1">
        <v>959.85</v>
      </c>
      <c r="H774" s="1">
        <f t="shared" si="62"/>
        <v>959.85</v>
      </c>
      <c r="I774" s="1" t="str">
        <f t="shared" si="63"/>
        <v/>
      </c>
      <c r="J774" s="1" t="str">
        <f>_xlfn.IFNA(INDEX([1]历练产出!$Z:$Z,MATCH(B774,[1]历练产出!$AB:$AB,0)),"")</f>
        <v/>
      </c>
      <c r="K774" s="1" t="str">
        <f>_xlfn.IFNA(INDEX([1]洞天福地产出!$H:$H,MATCH(B774,[1]洞天福地产出!$K:$K,0)),"")</f>
        <v/>
      </c>
      <c r="L774" s="1" t="str">
        <f t="shared" si="64"/>
        <v/>
      </c>
      <c r="M774" s="4">
        <f t="shared" si="65"/>
        <v>0</v>
      </c>
    </row>
    <row r="775" ht="45" spans="1:13">
      <c r="A775" s="4"/>
      <c r="B775" t="str">
        <f t="shared" si="61"/>
        <v>7:13000108</v>
      </c>
      <c r="C775" s="1">
        <v>7</v>
      </c>
      <c r="D775" s="4">
        <v>13000108</v>
      </c>
      <c r="E775" s="3" t="s">
        <v>449</v>
      </c>
      <c r="F775" s="3"/>
      <c r="G775" s="1">
        <v>1053</v>
      </c>
      <c r="H775" s="1">
        <f t="shared" si="62"/>
        <v>1053</v>
      </c>
      <c r="I775" s="1" t="str">
        <f t="shared" si="63"/>
        <v/>
      </c>
      <c r="J775" s="1" t="str">
        <f>_xlfn.IFNA(INDEX([1]历练产出!$Z:$Z,MATCH(B775,[1]历练产出!$AB:$AB,0)),"")</f>
        <v/>
      </c>
      <c r="K775" s="1" t="str">
        <f>_xlfn.IFNA(INDEX([1]洞天福地产出!$H:$H,MATCH(B775,[1]洞天福地产出!$K:$K,0)),"")</f>
        <v/>
      </c>
      <c r="L775" s="1" t="str">
        <f t="shared" si="64"/>
        <v/>
      </c>
      <c r="M775" s="4">
        <f t="shared" si="65"/>
        <v>0</v>
      </c>
    </row>
    <row r="776" ht="45" spans="1:13">
      <c r="A776" s="4"/>
      <c r="B776" t="str">
        <f t="shared" si="61"/>
        <v>7:13000109</v>
      </c>
      <c r="C776" s="1">
        <v>7</v>
      </c>
      <c r="D776" s="4">
        <v>13000109</v>
      </c>
      <c r="E776" s="3" t="s">
        <v>449</v>
      </c>
      <c r="F776" s="3"/>
      <c r="G776" s="1">
        <v>1806.3</v>
      </c>
      <c r="H776" s="1">
        <f t="shared" si="62"/>
        <v>1806.3</v>
      </c>
      <c r="I776" s="1" t="str">
        <f t="shared" si="63"/>
        <v/>
      </c>
      <c r="J776" s="1" t="str">
        <f>_xlfn.IFNA(INDEX([1]历练产出!$Z:$Z,MATCH(B776,[1]历练产出!$AB:$AB,0)),"")</f>
        <v/>
      </c>
      <c r="K776" s="1" t="str">
        <f>_xlfn.IFNA(INDEX([1]洞天福地产出!$H:$H,MATCH(B776,[1]洞天福地产出!$K:$K,0)),"")</f>
        <v/>
      </c>
      <c r="L776" s="1" t="str">
        <f t="shared" si="64"/>
        <v/>
      </c>
      <c r="M776" s="4">
        <f t="shared" si="65"/>
        <v>0</v>
      </c>
    </row>
    <row r="777" ht="45" spans="1:13">
      <c r="A777" s="4"/>
      <c r="B777" t="str">
        <f t="shared" si="61"/>
        <v>7:13000110</v>
      </c>
      <c r="C777" s="1">
        <v>7</v>
      </c>
      <c r="D777" s="4">
        <v>13000110</v>
      </c>
      <c r="E777" s="3" t="s">
        <v>449</v>
      </c>
      <c r="F777" s="3"/>
      <c r="G777" s="1">
        <v>1923.75</v>
      </c>
      <c r="H777" s="1">
        <f t="shared" si="62"/>
        <v>1923.75</v>
      </c>
      <c r="I777" s="1" t="str">
        <f t="shared" si="63"/>
        <v/>
      </c>
      <c r="J777" s="1" t="str">
        <f>_xlfn.IFNA(INDEX([1]历练产出!$Z:$Z,MATCH(B777,[1]历练产出!$AB:$AB,0)),"")</f>
        <v/>
      </c>
      <c r="K777" s="1" t="str">
        <f>_xlfn.IFNA(INDEX([1]洞天福地产出!$H:$H,MATCH(B777,[1]洞天福地产出!$K:$K,0)),"")</f>
        <v/>
      </c>
      <c r="L777" s="1" t="str">
        <f t="shared" si="64"/>
        <v/>
      </c>
      <c r="M777" s="4">
        <f t="shared" si="65"/>
        <v>0</v>
      </c>
    </row>
    <row r="778" ht="45" spans="1:13">
      <c r="A778" s="4"/>
      <c r="B778" t="str">
        <f t="shared" si="61"/>
        <v>7:13000111</v>
      </c>
      <c r="C778" s="1">
        <v>7</v>
      </c>
      <c r="D778" s="4">
        <v>13000111</v>
      </c>
      <c r="E778" s="3" t="s">
        <v>449</v>
      </c>
      <c r="F778" s="3"/>
      <c r="G778" s="1">
        <v>2053.35</v>
      </c>
      <c r="H778" s="1">
        <f t="shared" si="62"/>
        <v>2053.35</v>
      </c>
      <c r="I778" s="1" t="str">
        <f t="shared" si="63"/>
        <v/>
      </c>
      <c r="J778" s="1" t="str">
        <f>_xlfn.IFNA(INDEX([1]历练产出!$Z:$Z,MATCH(B778,[1]历练产出!$AB:$AB,0)),"")</f>
        <v/>
      </c>
      <c r="K778" s="1" t="str">
        <f>_xlfn.IFNA(INDEX([1]洞天福地产出!$H:$H,MATCH(B778,[1]洞天福地产出!$K:$K,0)),"")</f>
        <v/>
      </c>
      <c r="L778" s="1" t="str">
        <f t="shared" si="64"/>
        <v/>
      </c>
      <c r="M778" s="4">
        <f t="shared" si="65"/>
        <v>0</v>
      </c>
    </row>
    <row r="779" ht="45" spans="1:13">
      <c r="A779" s="4"/>
      <c r="B779" t="str">
        <f t="shared" si="61"/>
        <v>7:13000112</v>
      </c>
      <c r="C779" s="1">
        <v>7</v>
      </c>
      <c r="D779" s="4">
        <v>13000112</v>
      </c>
      <c r="E779" s="3" t="s">
        <v>449</v>
      </c>
      <c r="F779" s="3"/>
      <c r="G779" s="1">
        <v>2195.1</v>
      </c>
      <c r="H779" s="1">
        <f t="shared" si="62"/>
        <v>2195.1</v>
      </c>
      <c r="I779" s="1" t="str">
        <f t="shared" si="63"/>
        <v/>
      </c>
      <c r="J779" s="1" t="str">
        <f>_xlfn.IFNA(INDEX([1]历练产出!$Z:$Z,MATCH(B779,[1]历练产出!$AB:$AB,0)),"")</f>
        <v/>
      </c>
      <c r="K779" s="1" t="str">
        <f>_xlfn.IFNA(INDEX([1]洞天福地产出!$H:$H,MATCH(B779,[1]洞天福地产出!$K:$K,0)),"")</f>
        <v/>
      </c>
      <c r="L779" s="1" t="str">
        <f t="shared" si="64"/>
        <v/>
      </c>
      <c r="M779" s="4">
        <f t="shared" si="65"/>
        <v>0</v>
      </c>
    </row>
    <row r="780" ht="45" spans="1:13">
      <c r="A780" s="4"/>
      <c r="B780" t="str">
        <f t="shared" si="61"/>
        <v>7:13000113</v>
      </c>
      <c r="C780" s="1">
        <v>7</v>
      </c>
      <c r="D780" s="4">
        <v>13000113</v>
      </c>
      <c r="E780" s="3" t="s">
        <v>449</v>
      </c>
      <c r="F780" s="3"/>
      <c r="G780" s="1">
        <v>2349</v>
      </c>
      <c r="H780" s="1">
        <f t="shared" si="62"/>
        <v>2349</v>
      </c>
      <c r="I780" s="1" t="str">
        <f t="shared" si="63"/>
        <v/>
      </c>
      <c r="J780" s="1" t="str">
        <f>_xlfn.IFNA(INDEX([1]历练产出!$Z:$Z,MATCH(B780,[1]历练产出!$AB:$AB,0)),"")</f>
        <v/>
      </c>
      <c r="K780" s="1" t="str">
        <f>_xlfn.IFNA(INDEX([1]洞天福地产出!$H:$H,MATCH(B780,[1]洞天福地产出!$K:$K,0)),"")</f>
        <v/>
      </c>
      <c r="L780" s="1" t="str">
        <f t="shared" si="64"/>
        <v/>
      </c>
      <c r="M780" s="4">
        <f t="shared" si="65"/>
        <v>0</v>
      </c>
    </row>
    <row r="781" ht="45" spans="1:13">
      <c r="A781" s="4"/>
      <c r="B781" t="str">
        <f t="shared" si="61"/>
        <v>7:13000114</v>
      </c>
      <c r="C781" s="1">
        <v>7</v>
      </c>
      <c r="D781" s="4">
        <v>13000114</v>
      </c>
      <c r="E781" s="3" t="s">
        <v>449</v>
      </c>
      <c r="F781" s="3"/>
      <c r="G781" s="1">
        <v>2515.05</v>
      </c>
      <c r="H781" s="1">
        <f t="shared" si="62"/>
        <v>2515.05</v>
      </c>
      <c r="I781" s="1" t="str">
        <f t="shared" si="63"/>
        <v/>
      </c>
      <c r="J781" s="1" t="str">
        <f>_xlfn.IFNA(INDEX([1]历练产出!$Z:$Z,MATCH(B781,[1]历练产出!$AB:$AB,0)),"")</f>
        <v/>
      </c>
      <c r="K781" s="1" t="str">
        <f>_xlfn.IFNA(INDEX([1]洞天福地产出!$H:$H,MATCH(B781,[1]洞天福地产出!$K:$K,0)),"")</f>
        <v/>
      </c>
      <c r="L781" s="1" t="str">
        <f t="shared" si="64"/>
        <v/>
      </c>
      <c r="M781" s="4">
        <f t="shared" si="65"/>
        <v>0</v>
      </c>
    </row>
    <row r="782" ht="45" spans="1:13">
      <c r="A782" s="4"/>
      <c r="B782" t="str">
        <f t="shared" si="61"/>
        <v>7:13000115</v>
      </c>
      <c r="C782" s="1">
        <v>7</v>
      </c>
      <c r="D782" s="4">
        <v>13000115</v>
      </c>
      <c r="E782" s="3" t="s">
        <v>449</v>
      </c>
      <c r="F782" s="3"/>
      <c r="G782" s="1">
        <v>2693.25</v>
      </c>
      <c r="H782" s="1">
        <f t="shared" si="62"/>
        <v>2693.25</v>
      </c>
      <c r="I782" s="1" t="str">
        <f t="shared" si="63"/>
        <v/>
      </c>
      <c r="J782" s="1" t="str">
        <f>_xlfn.IFNA(INDEX([1]历练产出!$Z:$Z,MATCH(B782,[1]历练产出!$AB:$AB,0)),"")</f>
        <v/>
      </c>
      <c r="K782" s="1" t="str">
        <f>_xlfn.IFNA(INDEX([1]洞天福地产出!$H:$H,MATCH(B782,[1]洞天福地产出!$K:$K,0)),"")</f>
        <v/>
      </c>
      <c r="L782" s="1" t="str">
        <f t="shared" si="64"/>
        <v/>
      </c>
      <c r="M782" s="4">
        <f t="shared" si="65"/>
        <v>0</v>
      </c>
    </row>
    <row r="783" ht="45" spans="1:13">
      <c r="A783" s="4"/>
      <c r="B783" t="str">
        <f t="shared" si="61"/>
        <v>7:13000116</v>
      </c>
      <c r="C783" s="1">
        <v>7</v>
      </c>
      <c r="D783" s="4">
        <v>13000116</v>
      </c>
      <c r="E783" s="3" t="s">
        <v>449</v>
      </c>
      <c r="F783" s="3"/>
      <c r="G783" s="1">
        <v>2883.6</v>
      </c>
      <c r="H783" s="1">
        <f t="shared" si="62"/>
        <v>2883.6</v>
      </c>
      <c r="I783" s="1" t="str">
        <f t="shared" si="63"/>
        <v/>
      </c>
      <c r="J783" s="1" t="str">
        <f>_xlfn.IFNA(INDEX([1]历练产出!$Z:$Z,MATCH(B783,[1]历练产出!$AB:$AB,0)),"")</f>
        <v/>
      </c>
      <c r="K783" s="1" t="str">
        <f>_xlfn.IFNA(INDEX([1]洞天福地产出!$H:$H,MATCH(B783,[1]洞天福地产出!$K:$K,0)),"")</f>
        <v/>
      </c>
      <c r="L783" s="1" t="str">
        <f t="shared" si="64"/>
        <v/>
      </c>
      <c r="M783" s="4">
        <f t="shared" si="65"/>
        <v>0</v>
      </c>
    </row>
    <row r="784" ht="45" spans="1:13">
      <c r="A784" s="4"/>
      <c r="B784" t="str">
        <f t="shared" si="61"/>
        <v>7:13000117</v>
      </c>
      <c r="C784" s="1">
        <v>7</v>
      </c>
      <c r="D784" s="4">
        <v>13000117</v>
      </c>
      <c r="E784" s="3" t="s">
        <v>449</v>
      </c>
      <c r="F784" s="3"/>
      <c r="G784" s="1">
        <v>3086.1</v>
      </c>
      <c r="H784" s="1">
        <f t="shared" si="62"/>
        <v>3086.1</v>
      </c>
      <c r="I784" s="1" t="str">
        <f t="shared" si="63"/>
        <v/>
      </c>
      <c r="J784" s="1" t="str">
        <f>_xlfn.IFNA(INDEX([1]历练产出!$Z:$Z,MATCH(B784,[1]历练产出!$AB:$AB,0)),"")</f>
        <v/>
      </c>
      <c r="K784" s="1" t="str">
        <f>_xlfn.IFNA(INDEX([1]洞天福地产出!$H:$H,MATCH(B784,[1]洞天福地产出!$K:$K,0)),"")</f>
        <v/>
      </c>
      <c r="L784" s="1" t="str">
        <f t="shared" si="64"/>
        <v/>
      </c>
      <c r="M784" s="4">
        <f t="shared" si="65"/>
        <v>0</v>
      </c>
    </row>
    <row r="785" ht="45" spans="1:13">
      <c r="A785" s="4"/>
      <c r="B785" t="str">
        <f t="shared" si="61"/>
        <v>7:13000118</v>
      </c>
      <c r="C785" s="1">
        <v>7</v>
      </c>
      <c r="D785" s="4">
        <v>13000118</v>
      </c>
      <c r="E785" s="3" t="s">
        <v>449</v>
      </c>
      <c r="F785" s="3"/>
      <c r="G785" s="1">
        <v>3300.75</v>
      </c>
      <c r="H785" s="1">
        <f t="shared" si="62"/>
        <v>3300.75</v>
      </c>
      <c r="I785" s="1" t="str">
        <f t="shared" si="63"/>
        <v/>
      </c>
      <c r="J785" s="1" t="str">
        <f>_xlfn.IFNA(INDEX([1]历练产出!$Z:$Z,MATCH(B785,[1]历练产出!$AB:$AB,0)),"")</f>
        <v/>
      </c>
      <c r="K785" s="1" t="str">
        <f>_xlfn.IFNA(INDEX([1]洞天福地产出!$H:$H,MATCH(B785,[1]洞天福地产出!$K:$K,0)),"")</f>
        <v/>
      </c>
      <c r="L785" s="1" t="str">
        <f t="shared" si="64"/>
        <v/>
      </c>
      <c r="M785" s="4">
        <f t="shared" si="65"/>
        <v>0</v>
      </c>
    </row>
    <row r="786" ht="45" spans="1:13">
      <c r="A786" s="4"/>
      <c r="B786" t="str">
        <f t="shared" si="61"/>
        <v>7:13000119</v>
      </c>
      <c r="C786" s="1">
        <v>7</v>
      </c>
      <c r="D786" s="4">
        <v>13000119</v>
      </c>
      <c r="E786" s="3" t="s">
        <v>449</v>
      </c>
      <c r="F786" s="3"/>
      <c r="G786" s="1">
        <v>4823.55</v>
      </c>
      <c r="H786" s="1">
        <f t="shared" si="62"/>
        <v>4823.55</v>
      </c>
      <c r="I786" s="1" t="str">
        <f t="shared" si="63"/>
        <v/>
      </c>
      <c r="J786" s="1" t="str">
        <f>_xlfn.IFNA(INDEX([1]历练产出!$Z:$Z,MATCH(B786,[1]历练产出!$AB:$AB,0)),"")</f>
        <v/>
      </c>
      <c r="K786" s="1" t="str">
        <f>_xlfn.IFNA(INDEX([1]洞天福地产出!$H:$H,MATCH(B786,[1]洞天福地产出!$K:$K,0)),"")</f>
        <v/>
      </c>
      <c r="L786" s="1" t="str">
        <f t="shared" si="64"/>
        <v/>
      </c>
      <c r="M786" s="4">
        <f t="shared" si="65"/>
        <v>0</v>
      </c>
    </row>
    <row r="787" ht="45" spans="1:13">
      <c r="A787" s="4"/>
      <c r="B787" t="str">
        <f t="shared" si="61"/>
        <v>7:13000120</v>
      </c>
      <c r="C787" s="1">
        <v>7</v>
      </c>
      <c r="D787" s="4">
        <v>13000120</v>
      </c>
      <c r="E787" s="3" t="s">
        <v>449</v>
      </c>
      <c r="F787" s="3"/>
      <c r="G787" s="1">
        <v>5062.5</v>
      </c>
      <c r="H787" s="1">
        <f t="shared" si="62"/>
        <v>5062.5</v>
      </c>
      <c r="I787" s="1" t="str">
        <f t="shared" si="63"/>
        <v/>
      </c>
      <c r="J787" s="1" t="str">
        <f>_xlfn.IFNA(INDEX([1]历练产出!$Z:$Z,MATCH(B787,[1]历练产出!$AB:$AB,0)),"")</f>
        <v/>
      </c>
      <c r="K787" s="1" t="str">
        <f>_xlfn.IFNA(INDEX([1]洞天福地产出!$H:$H,MATCH(B787,[1]洞天福地产出!$K:$K,0)),"")</f>
        <v/>
      </c>
      <c r="L787" s="1" t="str">
        <f t="shared" si="64"/>
        <v/>
      </c>
      <c r="M787" s="4">
        <f t="shared" si="65"/>
        <v>0</v>
      </c>
    </row>
    <row r="788" ht="45" spans="1:13">
      <c r="A788" s="4"/>
      <c r="B788" t="str">
        <f t="shared" si="61"/>
        <v>7:13000121</v>
      </c>
      <c r="C788" s="1">
        <v>7</v>
      </c>
      <c r="D788" s="4">
        <v>13000121</v>
      </c>
      <c r="E788" s="3" t="s">
        <v>449</v>
      </c>
      <c r="F788" s="3"/>
      <c r="G788" s="1">
        <v>5313.6</v>
      </c>
      <c r="H788" s="1">
        <f t="shared" si="62"/>
        <v>5313.6</v>
      </c>
      <c r="I788" s="1" t="str">
        <f t="shared" si="63"/>
        <v/>
      </c>
      <c r="J788" s="1" t="str">
        <f>_xlfn.IFNA(INDEX([1]历练产出!$Z:$Z,MATCH(B788,[1]历练产出!$AB:$AB,0)),"")</f>
        <v/>
      </c>
      <c r="K788" s="1" t="str">
        <f>_xlfn.IFNA(INDEX([1]洞天福地产出!$H:$H,MATCH(B788,[1]洞天福地产出!$K:$K,0)),"")</f>
        <v/>
      </c>
      <c r="L788" s="1" t="str">
        <f t="shared" si="64"/>
        <v/>
      </c>
      <c r="M788" s="4">
        <f t="shared" si="65"/>
        <v>0</v>
      </c>
    </row>
    <row r="789" ht="45" spans="1:13">
      <c r="A789" s="4"/>
      <c r="B789" t="str">
        <f t="shared" si="61"/>
        <v>7:13000122</v>
      </c>
      <c r="C789" s="1">
        <v>7</v>
      </c>
      <c r="D789" s="4">
        <v>13000122</v>
      </c>
      <c r="E789" s="3" t="s">
        <v>449</v>
      </c>
      <c r="F789" s="3"/>
      <c r="G789" s="1">
        <v>5576.85</v>
      </c>
      <c r="H789" s="1">
        <f t="shared" si="62"/>
        <v>5576.85</v>
      </c>
      <c r="I789" s="1" t="str">
        <f t="shared" si="63"/>
        <v/>
      </c>
      <c r="J789" s="1" t="str">
        <f>_xlfn.IFNA(INDEX([1]历练产出!$Z:$Z,MATCH(B789,[1]历练产出!$AB:$AB,0)),"")</f>
        <v/>
      </c>
      <c r="K789" s="1" t="str">
        <f>_xlfn.IFNA(INDEX([1]洞天福地产出!$H:$H,MATCH(B789,[1]洞天福地产出!$K:$K,0)),"")</f>
        <v/>
      </c>
      <c r="L789" s="1" t="str">
        <f t="shared" si="64"/>
        <v/>
      </c>
      <c r="M789" s="4">
        <f t="shared" si="65"/>
        <v>0</v>
      </c>
    </row>
    <row r="790" ht="45" spans="1:13">
      <c r="A790" s="4"/>
      <c r="B790" t="str">
        <f t="shared" si="61"/>
        <v>7:13000123</v>
      </c>
      <c r="C790" s="1">
        <v>7</v>
      </c>
      <c r="D790" s="4">
        <v>13000123</v>
      </c>
      <c r="E790" s="3" t="s">
        <v>449</v>
      </c>
      <c r="F790" s="3"/>
      <c r="G790" s="1">
        <v>5852.25</v>
      </c>
      <c r="H790" s="1">
        <f t="shared" si="62"/>
        <v>5852.25</v>
      </c>
      <c r="I790" s="1" t="str">
        <f t="shared" si="63"/>
        <v/>
      </c>
      <c r="J790" s="1" t="str">
        <f>_xlfn.IFNA(INDEX([1]历练产出!$Z:$Z,MATCH(B790,[1]历练产出!$AB:$AB,0)),"")</f>
        <v/>
      </c>
      <c r="K790" s="1" t="str">
        <f>_xlfn.IFNA(INDEX([1]洞天福地产出!$H:$H,MATCH(B790,[1]洞天福地产出!$K:$K,0)),"")</f>
        <v/>
      </c>
      <c r="L790" s="1" t="str">
        <f t="shared" si="64"/>
        <v/>
      </c>
      <c r="M790" s="4">
        <f t="shared" si="65"/>
        <v>0</v>
      </c>
    </row>
    <row r="791" ht="45" spans="1:13">
      <c r="A791" s="4"/>
      <c r="B791" t="str">
        <f t="shared" si="61"/>
        <v>7:13000124</v>
      </c>
      <c r="C791" s="1">
        <v>7</v>
      </c>
      <c r="D791" s="4">
        <v>13000124</v>
      </c>
      <c r="E791" s="3" t="s">
        <v>449</v>
      </c>
      <c r="F791" s="3"/>
      <c r="G791" s="1">
        <v>6139.8</v>
      </c>
      <c r="H791" s="1">
        <f t="shared" si="62"/>
        <v>6139.8</v>
      </c>
      <c r="I791" s="1" t="str">
        <f t="shared" si="63"/>
        <v/>
      </c>
      <c r="J791" s="1" t="str">
        <f>_xlfn.IFNA(INDEX([1]历练产出!$Z:$Z,MATCH(B791,[1]历练产出!$AB:$AB,0)),"")</f>
        <v/>
      </c>
      <c r="K791" s="1" t="str">
        <f>_xlfn.IFNA(INDEX([1]洞天福地产出!$H:$H,MATCH(B791,[1]洞天福地产出!$K:$K,0)),"")</f>
        <v/>
      </c>
      <c r="L791" s="1" t="str">
        <f t="shared" si="64"/>
        <v/>
      </c>
      <c r="M791" s="4">
        <f t="shared" si="65"/>
        <v>0</v>
      </c>
    </row>
    <row r="792" ht="45" spans="1:13">
      <c r="A792" s="4"/>
      <c r="B792" t="str">
        <f t="shared" si="61"/>
        <v>7:13000125</v>
      </c>
      <c r="C792" s="1">
        <v>7</v>
      </c>
      <c r="D792" s="4">
        <v>13000125</v>
      </c>
      <c r="E792" s="3" t="s">
        <v>449</v>
      </c>
      <c r="F792" s="3"/>
      <c r="G792" s="1">
        <v>6439.5</v>
      </c>
      <c r="H792" s="1">
        <f t="shared" si="62"/>
        <v>6439.5</v>
      </c>
      <c r="I792" s="1" t="str">
        <f t="shared" si="63"/>
        <v/>
      </c>
      <c r="J792" s="1" t="str">
        <f>_xlfn.IFNA(INDEX([1]历练产出!$Z:$Z,MATCH(B792,[1]历练产出!$AB:$AB,0)),"")</f>
        <v/>
      </c>
      <c r="K792" s="1" t="str">
        <f>_xlfn.IFNA(INDEX([1]洞天福地产出!$H:$H,MATCH(B792,[1]洞天福地产出!$K:$K,0)),"")</f>
        <v/>
      </c>
      <c r="L792" s="1" t="str">
        <f t="shared" si="64"/>
        <v/>
      </c>
      <c r="M792" s="4">
        <f t="shared" si="65"/>
        <v>0</v>
      </c>
    </row>
    <row r="793" ht="45" spans="1:13">
      <c r="A793" s="4"/>
      <c r="B793" t="str">
        <f t="shared" si="61"/>
        <v>7:13000126</v>
      </c>
      <c r="C793" s="1">
        <v>7</v>
      </c>
      <c r="D793" s="4">
        <v>13000126</v>
      </c>
      <c r="E793" s="3" t="s">
        <v>449</v>
      </c>
      <c r="F793" s="3"/>
      <c r="G793" s="1">
        <v>6751.35</v>
      </c>
      <c r="H793" s="1">
        <f t="shared" si="62"/>
        <v>6751.35</v>
      </c>
      <c r="I793" s="1" t="str">
        <f t="shared" si="63"/>
        <v/>
      </c>
      <c r="J793" s="1" t="str">
        <f>_xlfn.IFNA(INDEX([1]历练产出!$Z:$Z,MATCH(B793,[1]历练产出!$AB:$AB,0)),"")</f>
        <v/>
      </c>
      <c r="K793" s="1" t="str">
        <f>_xlfn.IFNA(INDEX([1]洞天福地产出!$H:$H,MATCH(B793,[1]洞天福地产出!$K:$K,0)),"")</f>
        <v/>
      </c>
      <c r="L793" s="1" t="str">
        <f t="shared" si="64"/>
        <v/>
      </c>
      <c r="M793" s="4">
        <f t="shared" si="65"/>
        <v>0</v>
      </c>
    </row>
    <row r="794" ht="45" spans="1:13">
      <c r="A794" s="4"/>
      <c r="B794" t="str">
        <f t="shared" si="61"/>
        <v>7:13000127</v>
      </c>
      <c r="C794" s="1">
        <v>7</v>
      </c>
      <c r="D794" s="4">
        <v>13000127</v>
      </c>
      <c r="E794" s="3" t="s">
        <v>449</v>
      </c>
      <c r="F794" s="3"/>
      <c r="G794" s="1">
        <v>7075.35</v>
      </c>
      <c r="H794" s="1">
        <f t="shared" si="62"/>
        <v>7075.35</v>
      </c>
      <c r="I794" s="1" t="str">
        <f t="shared" si="63"/>
        <v/>
      </c>
      <c r="J794" s="1" t="str">
        <f>_xlfn.IFNA(INDEX([1]历练产出!$Z:$Z,MATCH(B794,[1]历练产出!$AB:$AB,0)),"")</f>
        <v/>
      </c>
      <c r="K794" s="1" t="str">
        <f>_xlfn.IFNA(INDEX([1]洞天福地产出!$H:$H,MATCH(B794,[1]洞天福地产出!$K:$K,0)),"")</f>
        <v/>
      </c>
      <c r="L794" s="1" t="str">
        <f t="shared" si="64"/>
        <v/>
      </c>
      <c r="M794" s="4">
        <f t="shared" si="65"/>
        <v>0</v>
      </c>
    </row>
    <row r="795" ht="45" spans="1:13">
      <c r="A795" s="4"/>
      <c r="B795" t="str">
        <f t="shared" si="61"/>
        <v>7:13000128</v>
      </c>
      <c r="C795" s="1">
        <v>7</v>
      </c>
      <c r="D795" s="4">
        <v>13000128</v>
      </c>
      <c r="E795" s="3" t="s">
        <v>449</v>
      </c>
      <c r="F795" s="3"/>
      <c r="G795" s="1">
        <v>7411.5</v>
      </c>
      <c r="H795" s="1">
        <f t="shared" si="62"/>
        <v>7411.5</v>
      </c>
      <c r="I795" s="1" t="str">
        <f t="shared" si="63"/>
        <v/>
      </c>
      <c r="J795" s="1" t="str">
        <f>_xlfn.IFNA(INDEX([1]历练产出!$Z:$Z,MATCH(B795,[1]历练产出!$AB:$AB,0)),"")</f>
        <v/>
      </c>
      <c r="K795" s="1" t="str">
        <f>_xlfn.IFNA(INDEX([1]洞天福地产出!$H:$H,MATCH(B795,[1]洞天福地产出!$K:$K,0)),"")</f>
        <v/>
      </c>
      <c r="L795" s="1" t="str">
        <f t="shared" si="64"/>
        <v/>
      </c>
      <c r="M795" s="4">
        <f t="shared" si="65"/>
        <v>0</v>
      </c>
    </row>
    <row r="796" ht="45" spans="1:13">
      <c r="A796" s="4"/>
      <c r="B796" t="str">
        <f t="shared" si="61"/>
        <v>7:13000129</v>
      </c>
      <c r="C796" s="1">
        <v>7</v>
      </c>
      <c r="D796" s="4">
        <v>13000129</v>
      </c>
      <c r="E796" s="3" t="s">
        <v>449</v>
      </c>
      <c r="F796" s="3"/>
      <c r="G796" s="1">
        <v>9703.8</v>
      </c>
      <c r="H796" s="1">
        <f t="shared" si="62"/>
        <v>9703.8</v>
      </c>
      <c r="I796" s="1" t="str">
        <f t="shared" si="63"/>
        <v/>
      </c>
      <c r="J796" s="1" t="str">
        <f>_xlfn.IFNA(INDEX([1]历练产出!$Z:$Z,MATCH(B796,[1]历练产出!$AB:$AB,0)),"")</f>
        <v/>
      </c>
      <c r="K796" s="1" t="str">
        <f>_xlfn.IFNA(INDEX([1]洞天福地产出!$H:$H,MATCH(B796,[1]洞天福地产出!$K:$K,0)),"")</f>
        <v/>
      </c>
      <c r="L796" s="1" t="str">
        <f t="shared" si="64"/>
        <v/>
      </c>
      <c r="M796" s="4">
        <f t="shared" si="65"/>
        <v>0</v>
      </c>
    </row>
    <row r="797" ht="45" spans="1:13">
      <c r="A797" s="4"/>
      <c r="B797" t="str">
        <f t="shared" si="61"/>
        <v>7:13000130</v>
      </c>
      <c r="C797" s="1">
        <v>7</v>
      </c>
      <c r="D797" s="4">
        <v>13000130</v>
      </c>
      <c r="E797" s="3" t="s">
        <v>449</v>
      </c>
      <c r="F797" s="3"/>
      <c r="G797" s="1">
        <v>10052.1</v>
      </c>
      <c r="H797" s="1">
        <f t="shared" si="62"/>
        <v>10052.1</v>
      </c>
      <c r="I797" s="1" t="str">
        <f t="shared" si="63"/>
        <v/>
      </c>
      <c r="J797" s="1" t="str">
        <f>_xlfn.IFNA(INDEX([1]历练产出!$Z:$Z,MATCH(B797,[1]历练产出!$AB:$AB,0)),"")</f>
        <v/>
      </c>
      <c r="K797" s="1" t="str">
        <f>_xlfn.IFNA(INDEX([1]洞天福地产出!$H:$H,MATCH(B797,[1]洞天福地产出!$K:$K,0)),"")</f>
        <v/>
      </c>
      <c r="L797" s="1" t="str">
        <f t="shared" si="64"/>
        <v/>
      </c>
      <c r="M797" s="4">
        <f t="shared" si="65"/>
        <v>0</v>
      </c>
    </row>
    <row r="798" ht="30" spans="1:13">
      <c r="A798" s="4"/>
      <c r="B798" t="str">
        <f t="shared" si="61"/>
        <v>7:14000101</v>
      </c>
      <c r="C798" s="1">
        <v>7</v>
      </c>
      <c r="D798" s="4">
        <v>14000101</v>
      </c>
      <c r="E798" s="3" t="s">
        <v>1891</v>
      </c>
      <c r="F798" s="3"/>
      <c r="G798" s="1">
        <v>656.1</v>
      </c>
      <c r="H798" s="1">
        <f t="shared" si="62"/>
        <v>656.1</v>
      </c>
      <c r="I798" s="1" t="str">
        <f t="shared" si="63"/>
        <v/>
      </c>
      <c r="J798" s="1" t="str">
        <f>_xlfn.IFNA(INDEX([1]历练产出!$Z:$Z,MATCH(B798,[1]历练产出!$AB:$AB,0)),"")</f>
        <v/>
      </c>
      <c r="K798" s="1" t="str">
        <f>_xlfn.IFNA(INDEX([1]洞天福地产出!$H:$H,MATCH(B798,[1]洞天福地产出!$K:$K,0)),"")</f>
        <v/>
      </c>
      <c r="L798" s="1" t="str">
        <f t="shared" si="64"/>
        <v/>
      </c>
      <c r="M798" s="4">
        <f t="shared" si="65"/>
        <v>0</v>
      </c>
    </row>
    <row r="799" ht="30" spans="1:13">
      <c r="A799" s="4"/>
      <c r="B799" t="str">
        <f t="shared" si="61"/>
        <v>7:14000102</v>
      </c>
      <c r="C799" s="1">
        <v>7</v>
      </c>
      <c r="D799" s="4">
        <v>14000102</v>
      </c>
      <c r="E799" s="3" t="s">
        <v>1891</v>
      </c>
      <c r="F799" s="3"/>
      <c r="G799" s="1">
        <v>676.35</v>
      </c>
      <c r="H799" s="1">
        <f t="shared" si="62"/>
        <v>676.35</v>
      </c>
      <c r="I799" s="1" t="str">
        <f t="shared" si="63"/>
        <v/>
      </c>
      <c r="J799" s="1" t="str">
        <f>_xlfn.IFNA(INDEX([1]历练产出!$Z:$Z,MATCH(B799,[1]历练产出!$AB:$AB,0)),"")</f>
        <v/>
      </c>
      <c r="K799" s="1" t="str">
        <f>_xlfn.IFNA(INDEX([1]洞天福地产出!$H:$H,MATCH(B799,[1]洞天福地产出!$K:$K,0)),"")</f>
        <v/>
      </c>
      <c r="L799" s="1" t="str">
        <f t="shared" si="64"/>
        <v/>
      </c>
      <c r="M799" s="4">
        <f t="shared" si="65"/>
        <v>0</v>
      </c>
    </row>
    <row r="800" ht="30" spans="1:13">
      <c r="A800" s="4"/>
      <c r="B800" t="str">
        <f t="shared" si="61"/>
        <v>7:14000103</v>
      </c>
      <c r="C800" s="1">
        <v>7</v>
      </c>
      <c r="D800" s="4">
        <v>14000103</v>
      </c>
      <c r="E800" s="3" t="s">
        <v>1891</v>
      </c>
      <c r="F800" s="3"/>
      <c r="G800" s="1">
        <v>708.75</v>
      </c>
      <c r="H800" s="1">
        <f t="shared" si="62"/>
        <v>708.75</v>
      </c>
      <c r="I800" s="1" t="str">
        <f t="shared" si="63"/>
        <v/>
      </c>
      <c r="J800" s="1" t="str">
        <f>_xlfn.IFNA(INDEX([1]历练产出!$Z:$Z,MATCH(B800,[1]历练产出!$AB:$AB,0)),"")</f>
        <v/>
      </c>
      <c r="K800" s="1" t="str">
        <f>_xlfn.IFNA(INDEX([1]洞天福地产出!$H:$H,MATCH(B800,[1]洞天福地产出!$K:$K,0)),"")</f>
        <v/>
      </c>
      <c r="L800" s="1" t="str">
        <f t="shared" si="64"/>
        <v/>
      </c>
      <c r="M800" s="4">
        <f t="shared" si="65"/>
        <v>0</v>
      </c>
    </row>
    <row r="801" ht="30" spans="1:13">
      <c r="A801" s="4"/>
      <c r="B801" t="str">
        <f t="shared" si="61"/>
        <v>7:14000104</v>
      </c>
      <c r="C801" s="1">
        <v>7</v>
      </c>
      <c r="D801" s="4">
        <v>14000104</v>
      </c>
      <c r="E801" s="3" t="s">
        <v>1891</v>
      </c>
      <c r="F801" s="3"/>
      <c r="G801" s="1">
        <v>753.3</v>
      </c>
      <c r="H801" s="1">
        <f t="shared" si="62"/>
        <v>753.3</v>
      </c>
      <c r="I801" s="1" t="str">
        <f t="shared" si="63"/>
        <v/>
      </c>
      <c r="J801" s="1" t="str">
        <f>_xlfn.IFNA(INDEX([1]历练产出!$Z:$Z,MATCH(B801,[1]历练产出!$AB:$AB,0)),"")</f>
        <v/>
      </c>
      <c r="K801" s="1" t="str">
        <f>_xlfn.IFNA(INDEX([1]洞天福地产出!$H:$H,MATCH(B801,[1]洞天福地产出!$K:$K,0)),"")</f>
        <v/>
      </c>
      <c r="L801" s="1" t="str">
        <f t="shared" si="64"/>
        <v/>
      </c>
      <c r="M801" s="4">
        <f t="shared" si="65"/>
        <v>0</v>
      </c>
    </row>
    <row r="802" ht="30" spans="1:13">
      <c r="A802" s="4"/>
      <c r="B802" t="str">
        <f t="shared" si="61"/>
        <v>7:14000105</v>
      </c>
      <c r="C802" s="1">
        <v>7</v>
      </c>
      <c r="D802" s="4">
        <v>14000105</v>
      </c>
      <c r="E802" s="3" t="s">
        <v>1891</v>
      </c>
      <c r="F802" s="3"/>
      <c r="G802" s="1">
        <v>810</v>
      </c>
      <c r="H802" s="1">
        <f t="shared" si="62"/>
        <v>810</v>
      </c>
      <c r="I802" s="1" t="str">
        <f t="shared" si="63"/>
        <v/>
      </c>
      <c r="J802" s="1" t="str">
        <f>_xlfn.IFNA(INDEX([1]历练产出!$Z:$Z,MATCH(B802,[1]历练产出!$AB:$AB,0)),"")</f>
        <v/>
      </c>
      <c r="K802" s="1" t="str">
        <f>_xlfn.IFNA(INDEX([1]洞天福地产出!$H:$H,MATCH(B802,[1]洞天福地产出!$K:$K,0)),"")</f>
        <v/>
      </c>
      <c r="L802" s="1" t="str">
        <f t="shared" si="64"/>
        <v/>
      </c>
      <c r="M802" s="4">
        <f t="shared" si="65"/>
        <v>0</v>
      </c>
    </row>
    <row r="803" ht="30" spans="1:13">
      <c r="A803" s="4"/>
      <c r="B803" t="str">
        <f t="shared" si="61"/>
        <v>7:14000106</v>
      </c>
      <c r="C803" s="1">
        <v>7</v>
      </c>
      <c r="D803" s="4">
        <v>14000106</v>
      </c>
      <c r="E803" s="3" t="s">
        <v>1891</v>
      </c>
      <c r="F803" s="3"/>
      <c r="G803" s="1">
        <v>878.85</v>
      </c>
      <c r="H803" s="1">
        <f t="shared" si="62"/>
        <v>878.85</v>
      </c>
      <c r="I803" s="1" t="str">
        <f t="shared" si="63"/>
        <v/>
      </c>
      <c r="J803" s="1" t="str">
        <f>_xlfn.IFNA(INDEX([1]历练产出!$Z:$Z,MATCH(B803,[1]历练产出!$AB:$AB,0)),"")</f>
        <v/>
      </c>
      <c r="K803" s="1" t="str">
        <f>_xlfn.IFNA(INDEX([1]洞天福地产出!$H:$H,MATCH(B803,[1]洞天福地产出!$K:$K,0)),"")</f>
        <v/>
      </c>
      <c r="L803" s="1" t="str">
        <f t="shared" si="64"/>
        <v/>
      </c>
      <c r="M803" s="4">
        <f t="shared" si="65"/>
        <v>0</v>
      </c>
    </row>
    <row r="804" ht="30" spans="1:13">
      <c r="A804" s="4"/>
      <c r="B804" t="str">
        <f t="shared" ref="B804:B867" si="66">C804&amp;":"&amp;D804</f>
        <v>7:14000107</v>
      </c>
      <c r="C804" s="1">
        <v>7</v>
      </c>
      <c r="D804" s="4">
        <v>14000107</v>
      </c>
      <c r="E804" s="3" t="s">
        <v>1891</v>
      </c>
      <c r="F804" s="3"/>
      <c r="G804" s="1">
        <v>959.85</v>
      </c>
      <c r="H804" s="1">
        <f t="shared" si="62"/>
        <v>959.85</v>
      </c>
      <c r="I804" s="1" t="str">
        <f t="shared" si="63"/>
        <v/>
      </c>
      <c r="J804" s="1" t="str">
        <f>_xlfn.IFNA(INDEX([1]历练产出!$Z:$Z,MATCH(B804,[1]历练产出!$AB:$AB,0)),"")</f>
        <v/>
      </c>
      <c r="K804" s="1" t="str">
        <f>_xlfn.IFNA(INDEX([1]洞天福地产出!$H:$H,MATCH(B804,[1]洞天福地产出!$K:$K,0)),"")</f>
        <v/>
      </c>
      <c r="L804" s="1" t="str">
        <f t="shared" si="64"/>
        <v/>
      </c>
      <c r="M804" s="4">
        <f t="shared" si="65"/>
        <v>0</v>
      </c>
    </row>
    <row r="805" ht="30" spans="1:13">
      <c r="A805" s="4"/>
      <c r="B805" t="str">
        <f t="shared" si="66"/>
        <v>7:14000108</v>
      </c>
      <c r="C805" s="1">
        <v>7</v>
      </c>
      <c r="D805" s="4">
        <v>14000108</v>
      </c>
      <c r="E805" s="3" t="s">
        <v>1891</v>
      </c>
      <c r="F805" s="3"/>
      <c r="G805" s="1">
        <v>1053</v>
      </c>
      <c r="H805" s="1">
        <f t="shared" si="62"/>
        <v>1053</v>
      </c>
      <c r="I805" s="1" t="str">
        <f t="shared" si="63"/>
        <v/>
      </c>
      <c r="J805" s="1" t="str">
        <f>_xlfn.IFNA(INDEX([1]历练产出!$Z:$Z,MATCH(B805,[1]历练产出!$AB:$AB,0)),"")</f>
        <v/>
      </c>
      <c r="K805" s="1" t="str">
        <f>_xlfn.IFNA(INDEX([1]洞天福地产出!$H:$H,MATCH(B805,[1]洞天福地产出!$K:$K,0)),"")</f>
        <v/>
      </c>
      <c r="L805" s="1" t="str">
        <f t="shared" si="64"/>
        <v/>
      </c>
      <c r="M805" s="4">
        <f t="shared" si="65"/>
        <v>0</v>
      </c>
    </row>
    <row r="806" ht="30" spans="1:13">
      <c r="A806" s="4"/>
      <c r="B806" t="str">
        <f t="shared" si="66"/>
        <v>7:14000109</v>
      </c>
      <c r="C806" s="1">
        <v>7</v>
      </c>
      <c r="D806" s="4">
        <v>14000109</v>
      </c>
      <c r="E806" s="3" t="s">
        <v>1891</v>
      </c>
      <c r="F806" s="3"/>
      <c r="G806" s="1">
        <v>1806.3</v>
      </c>
      <c r="H806" s="1">
        <f t="shared" si="62"/>
        <v>1806.3</v>
      </c>
      <c r="I806" s="1" t="str">
        <f t="shared" si="63"/>
        <v/>
      </c>
      <c r="J806" s="1" t="str">
        <f>_xlfn.IFNA(INDEX([1]历练产出!$Z:$Z,MATCH(B806,[1]历练产出!$AB:$AB,0)),"")</f>
        <v/>
      </c>
      <c r="K806" s="1" t="str">
        <f>_xlfn.IFNA(INDEX([1]洞天福地产出!$H:$H,MATCH(B806,[1]洞天福地产出!$K:$K,0)),"")</f>
        <v/>
      </c>
      <c r="L806" s="1" t="str">
        <f t="shared" si="64"/>
        <v/>
      </c>
      <c r="M806" s="4">
        <f t="shared" si="65"/>
        <v>0</v>
      </c>
    </row>
    <row r="807" ht="30" spans="1:13">
      <c r="A807" s="4"/>
      <c r="B807" t="str">
        <f t="shared" si="66"/>
        <v>7:14000110</v>
      </c>
      <c r="C807" s="1">
        <v>7</v>
      </c>
      <c r="D807" s="4">
        <v>14000110</v>
      </c>
      <c r="E807" s="3" t="s">
        <v>1891</v>
      </c>
      <c r="F807" s="3"/>
      <c r="G807" s="1">
        <v>1923.75</v>
      </c>
      <c r="H807" s="1">
        <f t="shared" si="62"/>
        <v>1923.75</v>
      </c>
      <c r="I807" s="1" t="str">
        <f t="shared" si="63"/>
        <v/>
      </c>
      <c r="J807" s="1" t="str">
        <f>_xlfn.IFNA(INDEX([1]历练产出!$Z:$Z,MATCH(B807,[1]历练产出!$AB:$AB,0)),"")</f>
        <v/>
      </c>
      <c r="K807" s="1" t="str">
        <f>_xlfn.IFNA(INDEX([1]洞天福地产出!$H:$H,MATCH(B807,[1]洞天福地产出!$K:$K,0)),"")</f>
        <v/>
      </c>
      <c r="L807" s="1" t="str">
        <f t="shared" si="64"/>
        <v/>
      </c>
      <c r="M807" s="4">
        <f t="shared" si="65"/>
        <v>0</v>
      </c>
    </row>
    <row r="808" ht="30" spans="1:13">
      <c r="A808" s="4"/>
      <c r="B808" t="str">
        <f t="shared" si="66"/>
        <v>7:14000111</v>
      </c>
      <c r="C808" s="1">
        <v>7</v>
      </c>
      <c r="D808" s="4">
        <v>14000111</v>
      </c>
      <c r="E808" s="3" t="s">
        <v>1891</v>
      </c>
      <c r="F808" s="3"/>
      <c r="G808" s="1">
        <v>2053.35</v>
      </c>
      <c r="H808" s="1">
        <f t="shared" si="62"/>
        <v>2053.35</v>
      </c>
      <c r="I808" s="1" t="str">
        <f t="shared" si="63"/>
        <v/>
      </c>
      <c r="J808" s="1" t="str">
        <f>_xlfn.IFNA(INDEX([1]历练产出!$Z:$Z,MATCH(B808,[1]历练产出!$AB:$AB,0)),"")</f>
        <v/>
      </c>
      <c r="K808" s="1" t="str">
        <f>_xlfn.IFNA(INDEX([1]洞天福地产出!$H:$H,MATCH(B808,[1]洞天福地产出!$K:$K,0)),"")</f>
        <v/>
      </c>
      <c r="L808" s="1" t="str">
        <f t="shared" si="64"/>
        <v/>
      </c>
      <c r="M808" s="4">
        <f t="shared" si="65"/>
        <v>0</v>
      </c>
    </row>
    <row r="809" ht="30" spans="1:13">
      <c r="A809" s="4"/>
      <c r="B809" t="str">
        <f t="shared" si="66"/>
        <v>7:14000112</v>
      </c>
      <c r="C809" s="1">
        <v>7</v>
      </c>
      <c r="D809" s="4">
        <v>14000112</v>
      </c>
      <c r="E809" s="3" t="s">
        <v>1891</v>
      </c>
      <c r="F809" s="3"/>
      <c r="G809" s="1">
        <v>2195.1</v>
      </c>
      <c r="H809" s="1">
        <f t="shared" si="62"/>
        <v>2195.1</v>
      </c>
      <c r="I809" s="1" t="str">
        <f t="shared" si="63"/>
        <v/>
      </c>
      <c r="J809" s="1" t="str">
        <f>_xlfn.IFNA(INDEX([1]历练产出!$Z:$Z,MATCH(B809,[1]历练产出!$AB:$AB,0)),"")</f>
        <v/>
      </c>
      <c r="K809" s="1" t="str">
        <f>_xlfn.IFNA(INDEX([1]洞天福地产出!$H:$H,MATCH(B809,[1]洞天福地产出!$K:$K,0)),"")</f>
        <v/>
      </c>
      <c r="L809" s="1" t="str">
        <f t="shared" si="64"/>
        <v/>
      </c>
      <c r="M809" s="4">
        <f t="shared" si="65"/>
        <v>0</v>
      </c>
    </row>
    <row r="810" ht="30" spans="1:13">
      <c r="A810" s="4"/>
      <c r="B810" t="str">
        <f t="shared" si="66"/>
        <v>7:14000113</v>
      </c>
      <c r="C810" s="1">
        <v>7</v>
      </c>
      <c r="D810" s="4">
        <v>14000113</v>
      </c>
      <c r="E810" s="3" t="s">
        <v>1891</v>
      </c>
      <c r="F810" s="3"/>
      <c r="G810" s="1">
        <v>2349</v>
      </c>
      <c r="H810" s="1">
        <f t="shared" si="62"/>
        <v>2349</v>
      </c>
      <c r="I810" s="1" t="str">
        <f t="shared" si="63"/>
        <v/>
      </c>
      <c r="J810" s="1" t="str">
        <f>_xlfn.IFNA(INDEX([1]历练产出!$Z:$Z,MATCH(B810,[1]历练产出!$AB:$AB,0)),"")</f>
        <v/>
      </c>
      <c r="K810" s="1" t="str">
        <f>_xlfn.IFNA(INDEX([1]洞天福地产出!$H:$H,MATCH(B810,[1]洞天福地产出!$K:$K,0)),"")</f>
        <v/>
      </c>
      <c r="L810" s="1" t="str">
        <f t="shared" si="64"/>
        <v/>
      </c>
      <c r="M810" s="4">
        <f t="shared" si="65"/>
        <v>0</v>
      </c>
    </row>
    <row r="811" ht="30" spans="1:13">
      <c r="A811" s="4"/>
      <c r="B811" t="str">
        <f t="shared" si="66"/>
        <v>7:14000114</v>
      </c>
      <c r="C811" s="1">
        <v>7</v>
      </c>
      <c r="D811" s="4">
        <v>14000114</v>
      </c>
      <c r="E811" s="3" t="s">
        <v>1891</v>
      </c>
      <c r="F811" s="3"/>
      <c r="G811" s="1">
        <v>2515.05</v>
      </c>
      <c r="H811" s="1">
        <f t="shared" si="62"/>
        <v>2515.05</v>
      </c>
      <c r="I811" s="1" t="str">
        <f t="shared" si="63"/>
        <v/>
      </c>
      <c r="J811" s="1" t="str">
        <f>_xlfn.IFNA(INDEX([1]历练产出!$Z:$Z,MATCH(B811,[1]历练产出!$AB:$AB,0)),"")</f>
        <v/>
      </c>
      <c r="K811" s="1" t="str">
        <f>_xlfn.IFNA(INDEX([1]洞天福地产出!$H:$H,MATCH(B811,[1]洞天福地产出!$K:$K,0)),"")</f>
        <v/>
      </c>
      <c r="L811" s="1" t="str">
        <f t="shared" si="64"/>
        <v/>
      </c>
      <c r="M811" s="4">
        <f t="shared" si="65"/>
        <v>0</v>
      </c>
    </row>
    <row r="812" ht="30" spans="1:13">
      <c r="A812" s="4"/>
      <c r="B812" t="str">
        <f t="shared" si="66"/>
        <v>7:14000115</v>
      </c>
      <c r="C812" s="1">
        <v>7</v>
      </c>
      <c r="D812" s="4">
        <v>14000115</v>
      </c>
      <c r="E812" s="3" t="s">
        <v>1891</v>
      </c>
      <c r="F812" s="3"/>
      <c r="G812" s="1">
        <v>2693.25</v>
      </c>
      <c r="H812" s="1">
        <f t="shared" si="62"/>
        <v>2693.25</v>
      </c>
      <c r="I812" s="1" t="str">
        <f t="shared" si="63"/>
        <v/>
      </c>
      <c r="J812" s="1" t="str">
        <f>_xlfn.IFNA(INDEX([1]历练产出!$Z:$Z,MATCH(B812,[1]历练产出!$AB:$AB,0)),"")</f>
        <v/>
      </c>
      <c r="K812" s="1" t="str">
        <f>_xlfn.IFNA(INDEX([1]洞天福地产出!$H:$H,MATCH(B812,[1]洞天福地产出!$K:$K,0)),"")</f>
        <v/>
      </c>
      <c r="L812" s="1" t="str">
        <f t="shared" si="64"/>
        <v/>
      </c>
      <c r="M812" s="4">
        <f t="shared" si="65"/>
        <v>0</v>
      </c>
    </row>
    <row r="813" ht="30" spans="1:13">
      <c r="A813" s="4"/>
      <c r="B813" t="str">
        <f t="shared" si="66"/>
        <v>7:14000116</v>
      </c>
      <c r="C813" s="1">
        <v>7</v>
      </c>
      <c r="D813" s="4">
        <v>14000116</v>
      </c>
      <c r="E813" s="3" t="s">
        <v>1891</v>
      </c>
      <c r="F813" s="3"/>
      <c r="G813" s="1">
        <v>2883.6</v>
      </c>
      <c r="H813" s="1">
        <f t="shared" si="62"/>
        <v>2883.6</v>
      </c>
      <c r="I813" s="1" t="str">
        <f t="shared" si="63"/>
        <v/>
      </c>
      <c r="J813" s="1" t="str">
        <f>_xlfn.IFNA(INDEX([1]历练产出!$Z:$Z,MATCH(B813,[1]历练产出!$AB:$AB,0)),"")</f>
        <v/>
      </c>
      <c r="K813" s="1" t="str">
        <f>_xlfn.IFNA(INDEX([1]洞天福地产出!$H:$H,MATCH(B813,[1]洞天福地产出!$K:$K,0)),"")</f>
        <v/>
      </c>
      <c r="L813" s="1" t="str">
        <f t="shared" si="64"/>
        <v/>
      </c>
      <c r="M813" s="4">
        <f t="shared" si="65"/>
        <v>0</v>
      </c>
    </row>
    <row r="814" ht="30" spans="1:13">
      <c r="A814" s="4"/>
      <c r="B814" t="str">
        <f t="shared" si="66"/>
        <v>7:14000117</v>
      </c>
      <c r="C814" s="1">
        <v>7</v>
      </c>
      <c r="D814" s="4">
        <v>14000117</v>
      </c>
      <c r="E814" s="3" t="s">
        <v>1891</v>
      </c>
      <c r="F814" s="3"/>
      <c r="G814" s="1">
        <v>3086.1</v>
      </c>
      <c r="H814" s="1">
        <f t="shared" si="62"/>
        <v>3086.1</v>
      </c>
      <c r="I814" s="1" t="str">
        <f t="shared" si="63"/>
        <v/>
      </c>
      <c r="J814" s="1" t="str">
        <f>_xlfn.IFNA(INDEX([1]历练产出!$Z:$Z,MATCH(B814,[1]历练产出!$AB:$AB,0)),"")</f>
        <v/>
      </c>
      <c r="K814" s="1" t="str">
        <f>_xlfn.IFNA(INDEX([1]洞天福地产出!$H:$H,MATCH(B814,[1]洞天福地产出!$K:$K,0)),"")</f>
        <v/>
      </c>
      <c r="L814" s="1" t="str">
        <f t="shared" si="64"/>
        <v/>
      </c>
      <c r="M814" s="4">
        <f t="shared" si="65"/>
        <v>0</v>
      </c>
    </row>
    <row r="815" ht="30" spans="1:13">
      <c r="A815" s="4"/>
      <c r="B815" t="str">
        <f t="shared" si="66"/>
        <v>7:14000118</v>
      </c>
      <c r="C815" s="1">
        <v>7</v>
      </c>
      <c r="D815" s="4">
        <v>14000118</v>
      </c>
      <c r="E815" s="3" t="s">
        <v>1891</v>
      </c>
      <c r="F815" s="3"/>
      <c r="G815" s="1">
        <v>3300.75</v>
      </c>
      <c r="H815" s="1">
        <f t="shared" si="62"/>
        <v>3300.75</v>
      </c>
      <c r="I815" s="1" t="str">
        <f t="shared" si="63"/>
        <v/>
      </c>
      <c r="J815" s="1" t="str">
        <f>_xlfn.IFNA(INDEX([1]历练产出!$Z:$Z,MATCH(B815,[1]历练产出!$AB:$AB,0)),"")</f>
        <v/>
      </c>
      <c r="K815" s="1" t="str">
        <f>_xlfn.IFNA(INDEX([1]洞天福地产出!$H:$H,MATCH(B815,[1]洞天福地产出!$K:$K,0)),"")</f>
        <v/>
      </c>
      <c r="L815" s="1" t="str">
        <f t="shared" si="64"/>
        <v/>
      </c>
      <c r="M815" s="4">
        <f t="shared" si="65"/>
        <v>0</v>
      </c>
    </row>
    <row r="816" ht="30" spans="1:13">
      <c r="A816" s="4"/>
      <c r="B816" t="str">
        <f t="shared" si="66"/>
        <v>7:14000119</v>
      </c>
      <c r="C816" s="1">
        <v>7</v>
      </c>
      <c r="D816" s="4">
        <v>14000119</v>
      </c>
      <c r="E816" s="3" t="s">
        <v>1891</v>
      </c>
      <c r="F816" s="3"/>
      <c r="G816" s="1">
        <v>4823.55</v>
      </c>
      <c r="H816" s="1">
        <f t="shared" si="62"/>
        <v>4823.55</v>
      </c>
      <c r="I816" s="1" t="str">
        <f t="shared" si="63"/>
        <v/>
      </c>
      <c r="J816" s="1" t="str">
        <f>_xlfn.IFNA(INDEX([1]历练产出!$Z:$Z,MATCH(B816,[1]历练产出!$AB:$AB,0)),"")</f>
        <v/>
      </c>
      <c r="K816" s="1" t="str">
        <f>_xlfn.IFNA(INDEX([1]洞天福地产出!$H:$H,MATCH(B816,[1]洞天福地产出!$K:$K,0)),"")</f>
        <v/>
      </c>
      <c r="L816" s="1" t="str">
        <f t="shared" si="64"/>
        <v/>
      </c>
      <c r="M816" s="4">
        <f t="shared" si="65"/>
        <v>0</v>
      </c>
    </row>
    <row r="817" ht="30" spans="1:13">
      <c r="A817" s="4"/>
      <c r="B817" t="str">
        <f t="shared" si="66"/>
        <v>7:14000120</v>
      </c>
      <c r="C817" s="1">
        <v>7</v>
      </c>
      <c r="D817" s="4">
        <v>14000120</v>
      </c>
      <c r="E817" s="3" t="s">
        <v>1891</v>
      </c>
      <c r="F817" s="3"/>
      <c r="G817" s="1">
        <v>5062.5</v>
      </c>
      <c r="H817" s="1">
        <f t="shared" si="62"/>
        <v>5062.5</v>
      </c>
      <c r="I817" s="1" t="str">
        <f t="shared" si="63"/>
        <v/>
      </c>
      <c r="J817" s="1" t="str">
        <f>_xlfn.IFNA(INDEX([1]历练产出!$Z:$Z,MATCH(B817,[1]历练产出!$AB:$AB,0)),"")</f>
        <v/>
      </c>
      <c r="K817" s="1" t="str">
        <f>_xlfn.IFNA(INDEX([1]洞天福地产出!$H:$H,MATCH(B817,[1]洞天福地产出!$K:$K,0)),"")</f>
        <v/>
      </c>
      <c r="L817" s="1" t="str">
        <f t="shared" si="64"/>
        <v/>
      </c>
      <c r="M817" s="4">
        <f t="shared" si="65"/>
        <v>0</v>
      </c>
    </row>
    <row r="818" ht="30" spans="1:13">
      <c r="A818" s="4"/>
      <c r="B818" t="str">
        <f t="shared" si="66"/>
        <v>7:14000121</v>
      </c>
      <c r="C818" s="1">
        <v>7</v>
      </c>
      <c r="D818" s="4">
        <v>14000121</v>
      </c>
      <c r="E818" s="3" t="s">
        <v>1891</v>
      </c>
      <c r="F818" s="3"/>
      <c r="G818" s="1">
        <v>5313.6</v>
      </c>
      <c r="H818" s="1">
        <f t="shared" si="62"/>
        <v>5313.6</v>
      </c>
      <c r="I818" s="1" t="str">
        <f t="shared" si="63"/>
        <v/>
      </c>
      <c r="J818" s="1" t="str">
        <f>_xlfn.IFNA(INDEX([1]历练产出!$Z:$Z,MATCH(B818,[1]历练产出!$AB:$AB,0)),"")</f>
        <v/>
      </c>
      <c r="K818" s="1" t="str">
        <f>_xlfn.IFNA(INDEX([1]洞天福地产出!$H:$H,MATCH(B818,[1]洞天福地产出!$K:$K,0)),"")</f>
        <v/>
      </c>
      <c r="L818" s="1" t="str">
        <f t="shared" si="64"/>
        <v/>
      </c>
      <c r="M818" s="4">
        <f t="shared" si="65"/>
        <v>0</v>
      </c>
    </row>
    <row r="819" ht="30" spans="1:13">
      <c r="A819" s="4"/>
      <c r="B819" t="str">
        <f t="shared" si="66"/>
        <v>7:14000122</v>
      </c>
      <c r="C819" s="1">
        <v>7</v>
      </c>
      <c r="D819" s="4">
        <v>14000122</v>
      </c>
      <c r="E819" s="3" t="s">
        <v>1891</v>
      </c>
      <c r="F819" s="3"/>
      <c r="G819" s="1">
        <v>5576.85</v>
      </c>
      <c r="H819" s="1">
        <f t="shared" si="62"/>
        <v>5576.85</v>
      </c>
      <c r="I819" s="1" t="str">
        <f t="shared" si="63"/>
        <v/>
      </c>
      <c r="J819" s="1" t="str">
        <f>_xlfn.IFNA(INDEX([1]历练产出!$Z:$Z,MATCH(B819,[1]历练产出!$AB:$AB,0)),"")</f>
        <v/>
      </c>
      <c r="K819" s="1" t="str">
        <f>_xlfn.IFNA(INDEX([1]洞天福地产出!$H:$H,MATCH(B819,[1]洞天福地产出!$K:$K,0)),"")</f>
        <v/>
      </c>
      <c r="L819" s="1" t="str">
        <f t="shared" si="64"/>
        <v/>
      </c>
      <c r="M819" s="4">
        <f t="shared" si="65"/>
        <v>0</v>
      </c>
    </row>
    <row r="820" ht="30" spans="1:13">
      <c r="A820" s="4"/>
      <c r="B820" t="str">
        <f t="shared" si="66"/>
        <v>7:14000123</v>
      </c>
      <c r="C820" s="1">
        <v>7</v>
      </c>
      <c r="D820" s="4">
        <v>14000123</v>
      </c>
      <c r="E820" s="3" t="s">
        <v>1891</v>
      </c>
      <c r="F820" s="3"/>
      <c r="G820" s="1">
        <v>5852.25</v>
      </c>
      <c r="H820" s="1">
        <f t="shared" si="62"/>
        <v>5852.25</v>
      </c>
      <c r="I820" s="1" t="str">
        <f t="shared" si="63"/>
        <v/>
      </c>
      <c r="J820" s="1" t="str">
        <f>_xlfn.IFNA(INDEX([1]历练产出!$Z:$Z,MATCH(B820,[1]历练产出!$AB:$AB,0)),"")</f>
        <v/>
      </c>
      <c r="K820" s="1" t="str">
        <f>_xlfn.IFNA(INDEX([1]洞天福地产出!$H:$H,MATCH(B820,[1]洞天福地产出!$K:$K,0)),"")</f>
        <v/>
      </c>
      <c r="L820" s="1" t="str">
        <f t="shared" si="64"/>
        <v/>
      </c>
      <c r="M820" s="4">
        <f t="shared" si="65"/>
        <v>0</v>
      </c>
    </row>
    <row r="821" ht="30" spans="1:13">
      <c r="A821" s="4"/>
      <c r="B821" t="str">
        <f t="shared" si="66"/>
        <v>7:14000124</v>
      </c>
      <c r="C821" s="1">
        <v>7</v>
      </c>
      <c r="D821" s="4">
        <v>14000124</v>
      </c>
      <c r="E821" s="3" t="s">
        <v>1891</v>
      </c>
      <c r="F821" s="3"/>
      <c r="G821" s="1">
        <v>6139.8</v>
      </c>
      <c r="H821" s="1">
        <f t="shared" si="62"/>
        <v>6139.8</v>
      </c>
      <c r="I821" s="1" t="str">
        <f t="shared" si="63"/>
        <v/>
      </c>
      <c r="J821" s="1" t="str">
        <f>_xlfn.IFNA(INDEX([1]历练产出!$Z:$Z,MATCH(B821,[1]历练产出!$AB:$AB,0)),"")</f>
        <v/>
      </c>
      <c r="K821" s="1" t="str">
        <f>_xlfn.IFNA(INDEX([1]洞天福地产出!$H:$H,MATCH(B821,[1]洞天福地产出!$K:$K,0)),"")</f>
        <v/>
      </c>
      <c r="L821" s="1" t="str">
        <f t="shared" si="64"/>
        <v/>
      </c>
      <c r="M821" s="4">
        <f t="shared" si="65"/>
        <v>0</v>
      </c>
    </row>
    <row r="822" ht="30" spans="1:13">
      <c r="A822" s="4"/>
      <c r="B822" t="str">
        <f t="shared" si="66"/>
        <v>7:14000125</v>
      </c>
      <c r="C822" s="1">
        <v>7</v>
      </c>
      <c r="D822" s="4">
        <v>14000125</v>
      </c>
      <c r="E822" s="3" t="s">
        <v>1891</v>
      </c>
      <c r="F822" s="3"/>
      <c r="G822" s="1">
        <v>6439.5</v>
      </c>
      <c r="H822" s="1">
        <f t="shared" si="62"/>
        <v>6439.5</v>
      </c>
      <c r="I822" s="1" t="str">
        <f t="shared" si="63"/>
        <v/>
      </c>
      <c r="J822" s="1" t="str">
        <f>_xlfn.IFNA(INDEX([1]历练产出!$Z:$Z,MATCH(B822,[1]历练产出!$AB:$AB,0)),"")</f>
        <v/>
      </c>
      <c r="K822" s="1" t="str">
        <f>_xlfn.IFNA(INDEX([1]洞天福地产出!$H:$H,MATCH(B822,[1]洞天福地产出!$K:$K,0)),"")</f>
        <v/>
      </c>
      <c r="L822" s="1" t="str">
        <f t="shared" si="64"/>
        <v/>
      </c>
      <c r="M822" s="4">
        <f t="shared" si="65"/>
        <v>0</v>
      </c>
    </row>
    <row r="823" ht="30" spans="1:13">
      <c r="A823" s="4"/>
      <c r="B823" t="str">
        <f t="shared" si="66"/>
        <v>7:14000126</v>
      </c>
      <c r="C823" s="1">
        <v>7</v>
      </c>
      <c r="D823" s="4">
        <v>14000126</v>
      </c>
      <c r="E823" s="3" t="s">
        <v>1891</v>
      </c>
      <c r="F823" s="3"/>
      <c r="G823" s="1">
        <v>6751.35</v>
      </c>
      <c r="H823" s="1">
        <f t="shared" si="62"/>
        <v>6751.35</v>
      </c>
      <c r="I823" s="1" t="str">
        <f t="shared" si="63"/>
        <v/>
      </c>
      <c r="J823" s="1" t="str">
        <f>_xlfn.IFNA(INDEX([1]历练产出!$Z:$Z,MATCH(B823,[1]历练产出!$AB:$AB,0)),"")</f>
        <v/>
      </c>
      <c r="K823" s="1" t="str">
        <f>_xlfn.IFNA(INDEX([1]洞天福地产出!$H:$H,MATCH(B823,[1]洞天福地产出!$K:$K,0)),"")</f>
        <v/>
      </c>
      <c r="L823" s="1" t="str">
        <f t="shared" si="64"/>
        <v/>
      </c>
      <c r="M823" s="4">
        <f t="shared" si="65"/>
        <v>0</v>
      </c>
    </row>
    <row r="824" ht="30" spans="1:13">
      <c r="A824" s="4"/>
      <c r="B824" t="str">
        <f t="shared" si="66"/>
        <v>7:14000127</v>
      </c>
      <c r="C824" s="1">
        <v>7</v>
      </c>
      <c r="D824" s="4">
        <v>14000127</v>
      </c>
      <c r="E824" s="3" t="s">
        <v>1891</v>
      </c>
      <c r="F824" s="3"/>
      <c r="G824" s="1">
        <v>7075.35</v>
      </c>
      <c r="H824" s="1">
        <f t="shared" si="62"/>
        <v>7075.35</v>
      </c>
      <c r="I824" s="1" t="str">
        <f t="shared" si="63"/>
        <v/>
      </c>
      <c r="J824" s="1" t="str">
        <f>_xlfn.IFNA(INDEX([1]历练产出!$Z:$Z,MATCH(B824,[1]历练产出!$AB:$AB,0)),"")</f>
        <v/>
      </c>
      <c r="K824" s="1" t="str">
        <f>_xlfn.IFNA(INDEX([1]洞天福地产出!$H:$H,MATCH(B824,[1]洞天福地产出!$K:$K,0)),"")</f>
        <v/>
      </c>
      <c r="L824" s="1" t="str">
        <f t="shared" si="64"/>
        <v/>
      </c>
      <c r="M824" s="4">
        <f t="shared" si="65"/>
        <v>0</v>
      </c>
    </row>
    <row r="825" ht="30" spans="1:13">
      <c r="A825" s="4"/>
      <c r="B825" t="str">
        <f t="shared" si="66"/>
        <v>7:14000128</v>
      </c>
      <c r="C825" s="1">
        <v>7</v>
      </c>
      <c r="D825" s="4">
        <v>14000128</v>
      </c>
      <c r="E825" s="3" t="s">
        <v>1891</v>
      </c>
      <c r="F825" s="3"/>
      <c r="G825" s="1">
        <v>7411.5</v>
      </c>
      <c r="H825" s="1">
        <f t="shared" si="62"/>
        <v>7411.5</v>
      </c>
      <c r="I825" s="1" t="str">
        <f t="shared" si="63"/>
        <v/>
      </c>
      <c r="J825" s="1" t="str">
        <f>_xlfn.IFNA(INDEX([1]历练产出!$Z:$Z,MATCH(B825,[1]历练产出!$AB:$AB,0)),"")</f>
        <v/>
      </c>
      <c r="K825" s="1" t="str">
        <f>_xlfn.IFNA(INDEX([1]洞天福地产出!$H:$H,MATCH(B825,[1]洞天福地产出!$K:$K,0)),"")</f>
        <v/>
      </c>
      <c r="L825" s="1" t="str">
        <f t="shared" si="64"/>
        <v/>
      </c>
      <c r="M825" s="4">
        <f t="shared" si="65"/>
        <v>0</v>
      </c>
    </row>
    <row r="826" ht="30" spans="1:13">
      <c r="A826" s="4"/>
      <c r="B826" t="str">
        <f t="shared" si="66"/>
        <v>7:14000129</v>
      </c>
      <c r="C826" s="1">
        <v>7</v>
      </c>
      <c r="D826" s="4">
        <v>14000129</v>
      </c>
      <c r="E826" s="3" t="s">
        <v>1891</v>
      </c>
      <c r="F826" s="3"/>
      <c r="G826" s="1">
        <v>9703.8</v>
      </c>
      <c r="H826" s="1">
        <f t="shared" si="62"/>
        <v>9703.8</v>
      </c>
      <c r="I826" s="1" t="str">
        <f t="shared" si="63"/>
        <v/>
      </c>
      <c r="J826" s="1" t="str">
        <f>_xlfn.IFNA(INDEX([1]历练产出!$Z:$Z,MATCH(B826,[1]历练产出!$AB:$AB,0)),"")</f>
        <v/>
      </c>
      <c r="K826" s="1" t="str">
        <f>_xlfn.IFNA(INDEX([1]洞天福地产出!$H:$H,MATCH(B826,[1]洞天福地产出!$K:$K,0)),"")</f>
        <v/>
      </c>
      <c r="L826" s="1" t="str">
        <f t="shared" si="64"/>
        <v/>
      </c>
      <c r="M826" s="4">
        <f t="shared" si="65"/>
        <v>0</v>
      </c>
    </row>
    <row r="827" ht="30" spans="1:13">
      <c r="A827" s="4"/>
      <c r="B827" t="str">
        <f t="shared" si="66"/>
        <v>7:14000130</v>
      </c>
      <c r="C827" s="1">
        <v>7</v>
      </c>
      <c r="D827" s="4">
        <v>14000130</v>
      </c>
      <c r="E827" s="3" t="s">
        <v>1891</v>
      </c>
      <c r="F827" s="3"/>
      <c r="G827" s="1">
        <v>10052.1</v>
      </c>
      <c r="H827" s="1">
        <f t="shared" si="62"/>
        <v>10052.1</v>
      </c>
      <c r="I827" s="1" t="str">
        <f t="shared" si="63"/>
        <v/>
      </c>
      <c r="J827" s="1" t="str">
        <f>_xlfn.IFNA(INDEX([1]历练产出!$Z:$Z,MATCH(B827,[1]历练产出!$AB:$AB,0)),"")</f>
        <v/>
      </c>
      <c r="K827" s="1" t="str">
        <f>_xlfn.IFNA(INDEX([1]洞天福地产出!$H:$H,MATCH(B827,[1]洞天福地产出!$K:$K,0)),"")</f>
        <v/>
      </c>
      <c r="L827" s="1" t="str">
        <f t="shared" si="64"/>
        <v/>
      </c>
      <c r="M827" s="4">
        <f t="shared" si="65"/>
        <v>0</v>
      </c>
    </row>
    <row r="828" ht="45" spans="1:13">
      <c r="A828" s="4"/>
      <c r="B828" t="str">
        <f t="shared" si="66"/>
        <v>7:15000101</v>
      </c>
      <c r="C828" s="1">
        <v>7</v>
      </c>
      <c r="D828" s="4">
        <v>15000101</v>
      </c>
      <c r="E828" s="3" t="s">
        <v>1892</v>
      </c>
      <c r="F828" s="3"/>
      <c r="G828" s="1">
        <v>656.1</v>
      </c>
      <c r="H828" s="1">
        <f t="shared" si="62"/>
        <v>656.1</v>
      </c>
      <c r="I828" s="1" t="str">
        <f t="shared" si="63"/>
        <v/>
      </c>
      <c r="J828" s="1" t="str">
        <f>_xlfn.IFNA(INDEX([1]历练产出!$Z:$Z,MATCH(B828,[1]历练产出!$AB:$AB,0)),"")</f>
        <v/>
      </c>
      <c r="K828" s="1" t="str">
        <f>_xlfn.IFNA(INDEX([1]洞天福地产出!$H:$H,MATCH(B828,[1]洞天福地产出!$K:$K,0)),"")</f>
        <v/>
      </c>
      <c r="L828" s="1" t="str">
        <f t="shared" si="64"/>
        <v/>
      </c>
      <c r="M828" s="4">
        <f t="shared" si="65"/>
        <v>0</v>
      </c>
    </row>
    <row r="829" ht="45" spans="1:13">
      <c r="A829" s="4"/>
      <c r="B829" t="str">
        <f t="shared" si="66"/>
        <v>7:15000102</v>
      </c>
      <c r="C829" s="1">
        <v>7</v>
      </c>
      <c r="D829" s="4">
        <v>15000102</v>
      </c>
      <c r="E829" s="3" t="s">
        <v>1892</v>
      </c>
      <c r="F829" s="3"/>
      <c r="G829" s="1">
        <v>676.35</v>
      </c>
      <c r="H829" s="1">
        <f t="shared" si="62"/>
        <v>676.35</v>
      </c>
      <c r="I829" s="1" t="str">
        <f t="shared" si="63"/>
        <v/>
      </c>
      <c r="J829" s="1" t="str">
        <f>_xlfn.IFNA(INDEX([1]历练产出!$Z:$Z,MATCH(B829,[1]历练产出!$AB:$AB,0)),"")</f>
        <v/>
      </c>
      <c r="K829" s="1" t="str">
        <f>_xlfn.IFNA(INDEX([1]洞天福地产出!$H:$H,MATCH(B829,[1]洞天福地产出!$K:$K,0)),"")</f>
        <v/>
      </c>
      <c r="L829" s="1" t="str">
        <f t="shared" si="64"/>
        <v/>
      </c>
      <c r="M829" s="4">
        <f t="shared" si="65"/>
        <v>0</v>
      </c>
    </row>
    <row r="830" ht="45" spans="1:13">
      <c r="A830" s="4"/>
      <c r="B830" t="str">
        <f t="shared" si="66"/>
        <v>7:15000103</v>
      </c>
      <c r="C830" s="1">
        <v>7</v>
      </c>
      <c r="D830" s="4">
        <v>15000103</v>
      </c>
      <c r="E830" s="3" t="s">
        <v>1892</v>
      </c>
      <c r="F830" s="3"/>
      <c r="G830" s="1">
        <v>708.75</v>
      </c>
      <c r="H830" s="1">
        <f t="shared" si="62"/>
        <v>708.75</v>
      </c>
      <c r="I830" s="1" t="str">
        <f t="shared" si="63"/>
        <v/>
      </c>
      <c r="J830" s="1" t="str">
        <f>_xlfn.IFNA(INDEX([1]历练产出!$Z:$Z,MATCH(B830,[1]历练产出!$AB:$AB,0)),"")</f>
        <v/>
      </c>
      <c r="K830" s="1" t="str">
        <f>_xlfn.IFNA(INDEX([1]洞天福地产出!$H:$H,MATCH(B830,[1]洞天福地产出!$K:$K,0)),"")</f>
        <v/>
      </c>
      <c r="L830" s="1" t="str">
        <f t="shared" si="64"/>
        <v/>
      </c>
      <c r="M830" s="4">
        <f t="shared" si="65"/>
        <v>0</v>
      </c>
    </row>
    <row r="831" ht="45" spans="1:13">
      <c r="A831" s="4"/>
      <c r="B831" t="str">
        <f t="shared" si="66"/>
        <v>7:15000104</v>
      </c>
      <c r="C831" s="1">
        <v>7</v>
      </c>
      <c r="D831" s="4">
        <v>15000104</v>
      </c>
      <c r="E831" s="3" t="s">
        <v>1892</v>
      </c>
      <c r="F831" s="3"/>
      <c r="G831" s="1">
        <v>753.3</v>
      </c>
      <c r="H831" s="1">
        <f t="shared" si="62"/>
        <v>753.3</v>
      </c>
      <c r="I831" s="1" t="str">
        <f t="shared" si="63"/>
        <v/>
      </c>
      <c r="J831" s="1" t="str">
        <f>_xlfn.IFNA(INDEX([1]历练产出!$Z:$Z,MATCH(B831,[1]历练产出!$AB:$AB,0)),"")</f>
        <v/>
      </c>
      <c r="K831" s="1" t="str">
        <f>_xlfn.IFNA(INDEX([1]洞天福地产出!$H:$H,MATCH(B831,[1]洞天福地产出!$K:$K,0)),"")</f>
        <v/>
      </c>
      <c r="L831" s="1" t="str">
        <f t="shared" si="64"/>
        <v/>
      </c>
      <c r="M831" s="4">
        <f t="shared" si="65"/>
        <v>0</v>
      </c>
    </row>
    <row r="832" ht="45" spans="1:13">
      <c r="A832" s="4"/>
      <c r="B832" t="str">
        <f t="shared" si="66"/>
        <v>7:15000105</v>
      </c>
      <c r="C832" s="1">
        <v>7</v>
      </c>
      <c r="D832" s="4">
        <v>15000105</v>
      </c>
      <c r="E832" s="3" t="s">
        <v>1892</v>
      </c>
      <c r="F832" s="3"/>
      <c r="G832" s="1">
        <v>810</v>
      </c>
      <c r="H832" s="1">
        <f t="shared" si="62"/>
        <v>810</v>
      </c>
      <c r="I832" s="1" t="str">
        <f t="shared" si="63"/>
        <v/>
      </c>
      <c r="J832" s="1" t="str">
        <f>_xlfn.IFNA(INDEX([1]历练产出!$Z:$Z,MATCH(B832,[1]历练产出!$AB:$AB,0)),"")</f>
        <v/>
      </c>
      <c r="K832" s="1" t="str">
        <f>_xlfn.IFNA(INDEX([1]洞天福地产出!$H:$H,MATCH(B832,[1]洞天福地产出!$K:$K,0)),"")</f>
        <v/>
      </c>
      <c r="L832" s="1" t="str">
        <f t="shared" si="64"/>
        <v/>
      </c>
      <c r="M832" s="4">
        <f t="shared" si="65"/>
        <v>0</v>
      </c>
    </row>
    <row r="833" ht="45" spans="1:13">
      <c r="A833" s="4"/>
      <c r="B833" t="str">
        <f t="shared" si="66"/>
        <v>7:15000106</v>
      </c>
      <c r="C833" s="1">
        <v>7</v>
      </c>
      <c r="D833" s="4">
        <v>15000106</v>
      </c>
      <c r="E833" s="3" t="s">
        <v>1892</v>
      </c>
      <c r="F833" s="3"/>
      <c r="G833" s="1">
        <v>878.85</v>
      </c>
      <c r="H833" s="1">
        <f t="shared" si="62"/>
        <v>878.85</v>
      </c>
      <c r="I833" s="1" t="str">
        <f t="shared" si="63"/>
        <v/>
      </c>
      <c r="J833" s="1" t="str">
        <f>_xlfn.IFNA(INDEX([1]历练产出!$Z:$Z,MATCH(B833,[1]历练产出!$AB:$AB,0)),"")</f>
        <v/>
      </c>
      <c r="K833" s="1" t="str">
        <f>_xlfn.IFNA(INDEX([1]洞天福地产出!$H:$H,MATCH(B833,[1]洞天福地产出!$K:$K,0)),"")</f>
        <v/>
      </c>
      <c r="L833" s="1" t="str">
        <f t="shared" si="64"/>
        <v/>
      </c>
      <c r="M833" s="4">
        <f t="shared" si="65"/>
        <v>0</v>
      </c>
    </row>
    <row r="834" ht="45" spans="1:13">
      <c r="A834" s="4"/>
      <c r="B834" t="str">
        <f t="shared" si="66"/>
        <v>7:15000107</v>
      </c>
      <c r="C834" s="1">
        <v>7</v>
      </c>
      <c r="D834" s="4">
        <v>15000107</v>
      </c>
      <c r="E834" s="3" t="s">
        <v>1892</v>
      </c>
      <c r="F834" s="3"/>
      <c r="G834" s="1">
        <v>959.85</v>
      </c>
      <c r="H834" s="1">
        <f t="shared" si="62"/>
        <v>959.85</v>
      </c>
      <c r="I834" s="1" t="str">
        <f t="shared" si="63"/>
        <v/>
      </c>
      <c r="J834" s="1" t="str">
        <f>_xlfn.IFNA(INDEX([1]历练产出!$Z:$Z,MATCH(B834,[1]历练产出!$AB:$AB,0)),"")</f>
        <v/>
      </c>
      <c r="K834" s="1" t="str">
        <f>_xlfn.IFNA(INDEX([1]洞天福地产出!$H:$H,MATCH(B834,[1]洞天福地产出!$K:$K,0)),"")</f>
        <v/>
      </c>
      <c r="L834" s="1" t="str">
        <f t="shared" si="64"/>
        <v/>
      </c>
      <c r="M834" s="4">
        <f t="shared" si="65"/>
        <v>0</v>
      </c>
    </row>
    <row r="835" ht="45" spans="1:13">
      <c r="A835" s="4"/>
      <c r="B835" t="str">
        <f t="shared" si="66"/>
        <v>7:15000108</v>
      </c>
      <c r="C835" s="1">
        <v>7</v>
      </c>
      <c r="D835" s="4">
        <v>15000108</v>
      </c>
      <c r="E835" s="3" t="s">
        <v>1892</v>
      </c>
      <c r="F835" s="3"/>
      <c r="G835" s="1">
        <v>1053</v>
      </c>
      <c r="H835" s="1">
        <f t="shared" si="62"/>
        <v>1053</v>
      </c>
      <c r="I835" s="1" t="str">
        <f t="shared" si="63"/>
        <v/>
      </c>
      <c r="J835" s="1" t="str">
        <f>_xlfn.IFNA(INDEX([1]历练产出!$Z:$Z,MATCH(B835,[1]历练产出!$AB:$AB,0)),"")</f>
        <v/>
      </c>
      <c r="K835" s="1" t="str">
        <f>_xlfn.IFNA(INDEX([1]洞天福地产出!$H:$H,MATCH(B835,[1]洞天福地产出!$K:$K,0)),"")</f>
        <v/>
      </c>
      <c r="L835" s="1" t="str">
        <f t="shared" si="64"/>
        <v/>
      </c>
      <c r="M835" s="4">
        <f t="shared" si="65"/>
        <v>0</v>
      </c>
    </row>
    <row r="836" ht="45" spans="1:13">
      <c r="A836" s="4"/>
      <c r="B836" t="str">
        <f t="shared" si="66"/>
        <v>7:15000109</v>
      </c>
      <c r="C836" s="1">
        <v>7</v>
      </c>
      <c r="D836" s="4">
        <v>15000109</v>
      </c>
      <c r="E836" s="3" t="s">
        <v>1892</v>
      </c>
      <c r="F836" s="3"/>
      <c r="G836" s="1">
        <v>1806.3</v>
      </c>
      <c r="H836" s="1">
        <f t="shared" ref="H836:H899" si="67">IF(I836="",G836,I836)</f>
        <v>1806.3</v>
      </c>
      <c r="I836" s="1" t="str">
        <f t="shared" ref="I836:I899" si="68">IFERROR(100/L836,"")</f>
        <v/>
      </c>
      <c r="J836" s="1" t="str">
        <f>_xlfn.IFNA(INDEX([1]历练产出!$Z:$Z,MATCH(B836,[1]历练产出!$AB:$AB,0)),"")</f>
        <v/>
      </c>
      <c r="K836" s="1" t="str">
        <f>_xlfn.IFNA(INDEX([1]洞天福地产出!$H:$H,MATCH(B836,[1]洞天福地产出!$K:$K,0)),"")</f>
        <v/>
      </c>
      <c r="L836" s="1" t="str">
        <f t="shared" ref="L836:L899" si="69">IFERROR(J836+K836,"")</f>
        <v/>
      </c>
      <c r="M836" s="4">
        <f t="shared" ref="M836:M899" si="70">IF(I836="",0,1)</f>
        <v>0</v>
      </c>
    </row>
    <row r="837" ht="45" spans="1:13">
      <c r="A837" s="4"/>
      <c r="B837" t="str">
        <f t="shared" si="66"/>
        <v>7:15000110</v>
      </c>
      <c r="C837" s="1">
        <v>7</v>
      </c>
      <c r="D837" s="4">
        <v>15000110</v>
      </c>
      <c r="E837" s="3" t="s">
        <v>1892</v>
      </c>
      <c r="F837" s="3"/>
      <c r="G837" s="1">
        <v>1923.75</v>
      </c>
      <c r="H837" s="1">
        <f t="shared" si="67"/>
        <v>1923.75</v>
      </c>
      <c r="I837" s="1" t="str">
        <f t="shared" si="68"/>
        <v/>
      </c>
      <c r="J837" s="1" t="str">
        <f>_xlfn.IFNA(INDEX([1]历练产出!$Z:$Z,MATCH(B837,[1]历练产出!$AB:$AB,0)),"")</f>
        <v/>
      </c>
      <c r="K837" s="1" t="str">
        <f>_xlfn.IFNA(INDEX([1]洞天福地产出!$H:$H,MATCH(B837,[1]洞天福地产出!$K:$K,0)),"")</f>
        <v/>
      </c>
      <c r="L837" s="1" t="str">
        <f t="shared" si="69"/>
        <v/>
      </c>
      <c r="M837" s="4">
        <f t="shared" si="70"/>
        <v>0</v>
      </c>
    </row>
    <row r="838" ht="45" spans="1:13">
      <c r="A838" s="4"/>
      <c r="B838" t="str">
        <f t="shared" si="66"/>
        <v>7:15000111</v>
      </c>
      <c r="C838" s="1">
        <v>7</v>
      </c>
      <c r="D838" s="4">
        <v>15000111</v>
      </c>
      <c r="E838" s="3" t="s">
        <v>1892</v>
      </c>
      <c r="F838" s="3"/>
      <c r="G838" s="1">
        <v>2053.35</v>
      </c>
      <c r="H838" s="1">
        <f t="shared" si="67"/>
        <v>2053.35</v>
      </c>
      <c r="I838" s="1" t="str">
        <f t="shared" si="68"/>
        <v/>
      </c>
      <c r="J838" s="1" t="str">
        <f>_xlfn.IFNA(INDEX([1]历练产出!$Z:$Z,MATCH(B838,[1]历练产出!$AB:$AB,0)),"")</f>
        <v/>
      </c>
      <c r="K838" s="1" t="str">
        <f>_xlfn.IFNA(INDEX([1]洞天福地产出!$H:$H,MATCH(B838,[1]洞天福地产出!$K:$K,0)),"")</f>
        <v/>
      </c>
      <c r="L838" s="1" t="str">
        <f t="shared" si="69"/>
        <v/>
      </c>
      <c r="M838" s="4">
        <f t="shared" si="70"/>
        <v>0</v>
      </c>
    </row>
    <row r="839" ht="45" spans="1:13">
      <c r="A839" s="4"/>
      <c r="B839" t="str">
        <f t="shared" si="66"/>
        <v>7:15000112</v>
      </c>
      <c r="C839" s="1">
        <v>7</v>
      </c>
      <c r="D839" s="4">
        <v>15000112</v>
      </c>
      <c r="E839" s="3" t="s">
        <v>1892</v>
      </c>
      <c r="F839" s="3"/>
      <c r="G839" s="1">
        <v>2195.1</v>
      </c>
      <c r="H839" s="1">
        <f t="shared" si="67"/>
        <v>2195.1</v>
      </c>
      <c r="I839" s="1" t="str">
        <f t="shared" si="68"/>
        <v/>
      </c>
      <c r="J839" s="1" t="str">
        <f>_xlfn.IFNA(INDEX([1]历练产出!$Z:$Z,MATCH(B839,[1]历练产出!$AB:$AB,0)),"")</f>
        <v/>
      </c>
      <c r="K839" s="1" t="str">
        <f>_xlfn.IFNA(INDEX([1]洞天福地产出!$H:$H,MATCH(B839,[1]洞天福地产出!$K:$K,0)),"")</f>
        <v/>
      </c>
      <c r="L839" s="1" t="str">
        <f t="shared" si="69"/>
        <v/>
      </c>
      <c r="M839" s="4">
        <f t="shared" si="70"/>
        <v>0</v>
      </c>
    </row>
    <row r="840" ht="45" spans="1:13">
      <c r="A840" s="4"/>
      <c r="B840" t="str">
        <f t="shared" si="66"/>
        <v>7:15000113</v>
      </c>
      <c r="C840" s="1">
        <v>7</v>
      </c>
      <c r="D840" s="4">
        <v>15000113</v>
      </c>
      <c r="E840" s="3" t="s">
        <v>1892</v>
      </c>
      <c r="F840" s="3"/>
      <c r="G840" s="1">
        <v>2349</v>
      </c>
      <c r="H840" s="1">
        <f t="shared" si="67"/>
        <v>2349</v>
      </c>
      <c r="I840" s="1" t="str">
        <f t="shared" si="68"/>
        <v/>
      </c>
      <c r="J840" s="1" t="str">
        <f>_xlfn.IFNA(INDEX([1]历练产出!$Z:$Z,MATCH(B840,[1]历练产出!$AB:$AB,0)),"")</f>
        <v/>
      </c>
      <c r="K840" s="1" t="str">
        <f>_xlfn.IFNA(INDEX([1]洞天福地产出!$H:$H,MATCH(B840,[1]洞天福地产出!$K:$K,0)),"")</f>
        <v/>
      </c>
      <c r="L840" s="1" t="str">
        <f t="shared" si="69"/>
        <v/>
      </c>
      <c r="M840" s="4">
        <f t="shared" si="70"/>
        <v>0</v>
      </c>
    </row>
    <row r="841" ht="45" spans="1:13">
      <c r="A841" s="4"/>
      <c r="B841" t="str">
        <f t="shared" si="66"/>
        <v>7:15000114</v>
      </c>
      <c r="C841" s="1">
        <v>7</v>
      </c>
      <c r="D841" s="4">
        <v>15000114</v>
      </c>
      <c r="E841" s="3" t="s">
        <v>1892</v>
      </c>
      <c r="F841" s="3"/>
      <c r="G841" s="1">
        <v>2515.05</v>
      </c>
      <c r="H841" s="1">
        <f t="shared" si="67"/>
        <v>2515.05</v>
      </c>
      <c r="I841" s="1" t="str">
        <f t="shared" si="68"/>
        <v/>
      </c>
      <c r="J841" s="1" t="str">
        <f>_xlfn.IFNA(INDEX([1]历练产出!$Z:$Z,MATCH(B841,[1]历练产出!$AB:$AB,0)),"")</f>
        <v/>
      </c>
      <c r="K841" s="1" t="str">
        <f>_xlfn.IFNA(INDEX([1]洞天福地产出!$H:$H,MATCH(B841,[1]洞天福地产出!$K:$K,0)),"")</f>
        <v/>
      </c>
      <c r="L841" s="1" t="str">
        <f t="shared" si="69"/>
        <v/>
      </c>
      <c r="M841" s="4">
        <f t="shared" si="70"/>
        <v>0</v>
      </c>
    </row>
    <row r="842" ht="45" spans="1:13">
      <c r="A842" s="4"/>
      <c r="B842" t="str">
        <f t="shared" si="66"/>
        <v>7:15000115</v>
      </c>
      <c r="C842" s="1">
        <v>7</v>
      </c>
      <c r="D842" s="4">
        <v>15000115</v>
      </c>
      <c r="E842" s="3" t="s">
        <v>1892</v>
      </c>
      <c r="F842" s="3"/>
      <c r="G842" s="1">
        <v>2693.25</v>
      </c>
      <c r="H842" s="1">
        <f t="shared" si="67"/>
        <v>2693.25</v>
      </c>
      <c r="I842" s="1" t="str">
        <f t="shared" si="68"/>
        <v/>
      </c>
      <c r="J842" s="1" t="str">
        <f>_xlfn.IFNA(INDEX([1]历练产出!$Z:$Z,MATCH(B842,[1]历练产出!$AB:$AB,0)),"")</f>
        <v/>
      </c>
      <c r="K842" s="1" t="str">
        <f>_xlfn.IFNA(INDEX([1]洞天福地产出!$H:$H,MATCH(B842,[1]洞天福地产出!$K:$K,0)),"")</f>
        <v/>
      </c>
      <c r="L842" s="1" t="str">
        <f t="shared" si="69"/>
        <v/>
      </c>
      <c r="M842" s="4">
        <f t="shared" si="70"/>
        <v>0</v>
      </c>
    </row>
    <row r="843" ht="45" spans="1:13">
      <c r="A843" s="4"/>
      <c r="B843" t="str">
        <f t="shared" si="66"/>
        <v>7:15000116</v>
      </c>
      <c r="C843" s="1">
        <v>7</v>
      </c>
      <c r="D843" s="4">
        <v>15000116</v>
      </c>
      <c r="E843" s="3" t="s">
        <v>1892</v>
      </c>
      <c r="F843" s="3"/>
      <c r="G843" s="1">
        <v>2883.6</v>
      </c>
      <c r="H843" s="1">
        <f t="shared" si="67"/>
        <v>2883.6</v>
      </c>
      <c r="I843" s="1" t="str">
        <f t="shared" si="68"/>
        <v/>
      </c>
      <c r="J843" s="1" t="str">
        <f>_xlfn.IFNA(INDEX([1]历练产出!$Z:$Z,MATCH(B843,[1]历练产出!$AB:$AB,0)),"")</f>
        <v/>
      </c>
      <c r="K843" s="1" t="str">
        <f>_xlfn.IFNA(INDEX([1]洞天福地产出!$H:$H,MATCH(B843,[1]洞天福地产出!$K:$K,0)),"")</f>
        <v/>
      </c>
      <c r="L843" s="1" t="str">
        <f t="shared" si="69"/>
        <v/>
      </c>
      <c r="M843" s="4">
        <f t="shared" si="70"/>
        <v>0</v>
      </c>
    </row>
    <row r="844" ht="45" spans="1:13">
      <c r="A844" s="4"/>
      <c r="B844" t="str">
        <f t="shared" si="66"/>
        <v>7:15000117</v>
      </c>
      <c r="C844" s="1">
        <v>7</v>
      </c>
      <c r="D844" s="4">
        <v>15000117</v>
      </c>
      <c r="E844" s="3" t="s">
        <v>1892</v>
      </c>
      <c r="F844" s="3"/>
      <c r="G844" s="1">
        <v>3086.1</v>
      </c>
      <c r="H844" s="1">
        <f t="shared" si="67"/>
        <v>3086.1</v>
      </c>
      <c r="I844" s="1" t="str">
        <f t="shared" si="68"/>
        <v/>
      </c>
      <c r="J844" s="1" t="str">
        <f>_xlfn.IFNA(INDEX([1]历练产出!$Z:$Z,MATCH(B844,[1]历练产出!$AB:$AB,0)),"")</f>
        <v/>
      </c>
      <c r="K844" s="1" t="str">
        <f>_xlfn.IFNA(INDEX([1]洞天福地产出!$H:$H,MATCH(B844,[1]洞天福地产出!$K:$K,0)),"")</f>
        <v/>
      </c>
      <c r="L844" s="1" t="str">
        <f t="shared" si="69"/>
        <v/>
      </c>
      <c r="M844" s="4">
        <f t="shared" si="70"/>
        <v>0</v>
      </c>
    </row>
    <row r="845" ht="45" spans="1:13">
      <c r="A845" s="4"/>
      <c r="B845" t="str">
        <f t="shared" si="66"/>
        <v>7:15000118</v>
      </c>
      <c r="C845" s="1">
        <v>7</v>
      </c>
      <c r="D845" s="4">
        <v>15000118</v>
      </c>
      <c r="E845" s="3" t="s">
        <v>1892</v>
      </c>
      <c r="F845" s="3"/>
      <c r="G845" s="1">
        <v>3300.75</v>
      </c>
      <c r="H845" s="1">
        <f t="shared" si="67"/>
        <v>3300.75</v>
      </c>
      <c r="I845" s="1" t="str">
        <f t="shared" si="68"/>
        <v/>
      </c>
      <c r="J845" s="1" t="str">
        <f>_xlfn.IFNA(INDEX([1]历练产出!$Z:$Z,MATCH(B845,[1]历练产出!$AB:$AB,0)),"")</f>
        <v/>
      </c>
      <c r="K845" s="1" t="str">
        <f>_xlfn.IFNA(INDEX([1]洞天福地产出!$H:$H,MATCH(B845,[1]洞天福地产出!$K:$K,0)),"")</f>
        <v/>
      </c>
      <c r="L845" s="1" t="str">
        <f t="shared" si="69"/>
        <v/>
      </c>
      <c r="M845" s="4">
        <f t="shared" si="70"/>
        <v>0</v>
      </c>
    </row>
    <row r="846" ht="45" spans="1:13">
      <c r="A846" s="4"/>
      <c r="B846" t="str">
        <f t="shared" si="66"/>
        <v>7:15000119</v>
      </c>
      <c r="C846" s="1">
        <v>7</v>
      </c>
      <c r="D846" s="4">
        <v>15000119</v>
      </c>
      <c r="E846" s="3" t="s">
        <v>1892</v>
      </c>
      <c r="F846" s="3"/>
      <c r="G846" s="1">
        <v>4823.55</v>
      </c>
      <c r="H846" s="1">
        <f t="shared" si="67"/>
        <v>4823.55</v>
      </c>
      <c r="I846" s="1" t="str">
        <f t="shared" si="68"/>
        <v/>
      </c>
      <c r="J846" s="1" t="str">
        <f>_xlfn.IFNA(INDEX([1]历练产出!$Z:$Z,MATCH(B846,[1]历练产出!$AB:$AB,0)),"")</f>
        <v/>
      </c>
      <c r="K846" s="1" t="str">
        <f>_xlfn.IFNA(INDEX([1]洞天福地产出!$H:$H,MATCH(B846,[1]洞天福地产出!$K:$K,0)),"")</f>
        <v/>
      </c>
      <c r="L846" s="1" t="str">
        <f t="shared" si="69"/>
        <v/>
      </c>
      <c r="M846" s="4">
        <f t="shared" si="70"/>
        <v>0</v>
      </c>
    </row>
    <row r="847" ht="45" spans="1:13">
      <c r="A847" s="4"/>
      <c r="B847" t="str">
        <f t="shared" si="66"/>
        <v>7:15000120</v>
      </c>
      <c r="C847" s="1">
        <v>7</v>
      </c>
      <c r="D847" s="4">
        <v>15000120</v>
      </c>
      <c r="E847" s="3" t="s">
        <v>1892</v>
      </c>
      <c r="F847" s="3"/>
      <c r="G847" s="1">
        <v>5062.5</v>
      </c>
      <c r="H847" s="1">
        <f t="shared" si="67"/>
        <v>5062.5</v>
      </c>
      <c r="I847" s="1" t="str">
        <f t="shared" si="68"/>
        <v/>
      </c>
      <c r="J847" s="1" t="str">
        <f>_xlfn.IFNA(INDEX([1]历练产出!$Z:$Z,MATCH(B847,[1]历练产出!$AB:$AB,0)),"")</f>
        <v/>
      </c>
      <c r="K847" s="1" t="str">
        <f>_xlfn.IFNA(INDEX([1]洞天福地产出!$H:$H,MATCH(B847,[1]洞天福地产出!$K:$K,0)),"")</f>
        <v/>
      </c>
      <c r="L847" s="1" t="str">
        <f t="shared" si="69"/>
        <v/>
      </c>
      <c r="M847" s="4">
        <f t="shared" si="70"/>
        <v>0</v>
      </c>
    </row>
    <row r="848" ht="45" spans="1:13">
      <c r="A848" s="4"/>
      <c r="B848" t="str">
        <f t="shared" si="66"/>
        <v>7:15000121</v>
      </c>
      <c r="C848" s="1">
        <v>7</v>
      </c>
      <c r="D848" s="4">
        <v>15000121</v>
      </c>
      <c r="E848" s="3" t="s">
        <v>1892</v>
      </c>
      <c r="F848" s="3"/>
      <c r="G848" s="1">
        <v>5313.6</v>
      </c>
      <c r="H848" s="1">
        <f t="shared" si="67"/>
        <v>5313.6</v>
      </c>
      <c r="I848" s="1" t="str">
        <f t="shared" si="68"/>
        <v/>
      </c>
      <c r="J848" s="1" t="str">
        <f>_xlfn.IFNA(INDEX([1]历练产出!$Z:$Z,MATCH(B848,[1]历练产出!$AB:$AB,0)),"")</f>
        <v/>
      </c>
      <c r="K848" s="1" t="str">
        <f>_xlfn.IFNA(INDEX([1]洞天福地产出!$H:$H,MATCH(B848,[1]洞天福地产出!$K:$K,0)),"")</f>
        <v/>
      </c>
      <c r="L848" s="1" t="str">
        <f t="shared" si="69"/>
        <v/>
      </c>
      <c r="M848" s="4">
        <f t="shared" si="70"/>
        <v>0</v>
      </c>
    </row>
    <row r="849" ht="45" spans="1:13">
      <c r="A849" s="4"/>
      <c r="B849" t="str">
        <f t="shared" si="66"/>
        <v>7:15000122</v>
      </c>
      <c r="C849" s="1">
        <v>7</v>
      </c>
      <c r="D849" s="4">
        <v>15000122</v>
      </c>
      <c r="E849" s="3" t="s">
        <v>1892</v>
      </c>
      <c r="F849" s="3"/>
      <c r="G849" s="1">
        <v>5576.85</v>
      </c>
      <c r="H849" s="1">
        <f t="shared" si="67"/>
        <v>5576.85</v>
      </c>
      <c r="I849" s="1" t="str">
        <f t="shared" si="68"/>
        <v/>
      </c>
      <c r="J849" s="1" t="str">
        <f>_xlfn.IFNA(INDEX([1]历练产出!$Z:$Z,MATCH(B849,[1]历练产出!$AB:$AB,0)),"")</f>
        <v/>
      </c>
      <c r="K849" s="1" t="str">
        <f>_xlfn.IFNA(INDEX([1]洞天福地产出!$H:$H,MATCH(B849,[1]洞天福地产出!$K:$K,0)),"")</f>
        <v/>
      </c>
      <c r="L849" s="1" t="str">
        <f t="shared" si="69"/>
        <v/>
      </c>
      <c r="M849" s="4">
        <f t="shared" si="70"/>
        <v>0</v>
      </c>
    </row>
    <row r="850" ht="45" spans="1:13">
      <c r="A850" s="4"/>
      <c r="B850" t="str">
        <f t="shared" si="66"/>
        <v>7:15000123</v>
      </c>
      <c r="C850" s="1">
        <v>7</v>
      </c>
      <c r="D850" s="4">
        <v>15000123</v>
      </c>
      <c r="E850" s="3" t="s">
        <v>1892</v>
      </c>
      <c r="F850" s="3"/>
      <c r="G850" s="1">
        <v>5852.25</v>
      </c>
      <c r="H850" s="1">
        <f t="shared" si="67"/>
        <v>5852.25</v>
      </c>
      <c r="I850" s="1" t="str">
        <f t="shared" si="68"/>
        <v/>
      </c>
      <c r="J850" s="1" t="str">
        <f>_xlfn.IFNA(INDEX([1]历练产出!$Z:$Z,MATCH(B850,[1]历练产出!$AB:$AB,0)),"")</f>
        <v/>
      </c>
      <c r="K850" s="1" t="str">
        <f>_xlfn.IFNA(INDEX([1]洞天福地产出!$H:$H,MATCH(B850,[1]洞天福地产出!$K:$K,0)),"")</f>
        <v/>
      </c>
      <c r="L850" s="1" t="str">
        <f t="shared" si="69"/>
        <v/>
      </c>
      <c r="M850" s="4">
        <f t="shared" si="70"/>
        <v>0</v>
      </c>
    </row>
    <row r="851" ht="45" spans="1:13">
      <c r="A851" s="4"/>
      <c r="B851" t="str">
        <f t="shared" si="66"/>
        <v>7:15000124</v>
      </c>
      <c r="C851" s="1">
        <v>7</v>
      </c>
      <c r="D851" s="4">
        <v>15000124</v>
      </c>
      <c r="E851" s="3" t="s">
        <v>1892</v>
      </c>
      <c r="F851" s="3"/>
      <c r="G851" s="1">
        <v>6139.8</v>
      </c>
      <c r="H851" s="1">
        <f t="shared" si="67"/>
        <v>6139.8</v>
      </c>
      <c r="I851" s="1" t="str">
        <f t="shared" si="68"/>
        <v/>
      </c>
      <c r="J851" s="1" t="str">
        <f>_xlfn.IFNA(INDEX([1]历练产出!$Z:$Z,MATCH(B851,[1]历练产出!$AB:$AB,0)),"")</f>
        <v/>
      </c>
      <c r="K851" s="1" t="str">
        <f>_xlfn.IFNA(INDEX([1]洞天福地产出!$H:$H,MATCH(B851,[1]洞天福地产出!$K:$K,0)),"")</f>
        <v/>
      </c>
      <c r="L851" s="1" t="str">
        <f t="shared" si="69"/>
        <v/>
      </c>
      <c r="M851" s="4">
        <f t="shared" si="70"/>
        <v>0</v>
      </c>
    </row>
    <row r="852" ht="45" spans="1:13">
      <c r="A852" s="4"/>
      <c r="B852" t="str">
        <f t="shared" si="66"/>
        <v>7:15000125</v>
      </c>
      <c r="C852" s="1">
        <v>7</v>
      </c>
      <c r="D852" s="4">
        <v>15000125</v>
      </c>
      <c r="E852" s="3" t="s">
        <v>1892</v>
      </c>
      <c r="F852" s="3"/>
      <c r="G852" s="1">
        <v>6439.5</v>
      </c>
      <c r="H852" s="1">
        <f t="shared" si="67"/>
        <v>6439.5</v>
      </c>
      <c r="I852" s="1" t="str">
        <f t="shared" si="68"/>
        <v/>
      </c>
      <c r="J852" s="1" t="str">
        <f>_xlfn.IFNA(INDEX([1]历练产出!$Z:$Z,MATCH(B852,[1]历练产出!$AB:$AB,0)),"")</f>
        <v/>
      </c>
      <c r="K852" s="1" t="str">
        <f>_xlfn.IFNA(INDEX([1]洞天福地产出!$H:$H,MATCH(B852,[1]洞天福地产出!$K:$K,0)),"")</f>
        <v/>
      </c>
      <c r="L852" s="1" t="str">
        <f t="shared" si="69"/>
        <v/>
      </c>
      <c r="M852" s="4">
        <f t="shared" si="70"/>
        <v>0</v>
      </c>
    </row>
    <row r="853" ht="45" spans="1:13">
      <c r="A853" s="4"/>
      <c r="B853" t="str">
        <f t="shared" si="66"/>
        <v>7:15000126</v>
      </c>
      <c r="C853" s="1">
        <v>7</v>
      </c>
      <c r="D853" s="4">
        <v>15000126</v>
      </c>
      <c r="E853" s="3" t="s">
        <v>1892</v>
      </c>
      <c r="F853" s="3"/>
      <c r="G853" s="1">
        <v>6751.35</v>
      </c>
      <c r="H853" s="1">
        <f t="shared" si="67"/>
        <v>6751.35</v>
      </c>
      <c r="I853" s="1" t="str">
        <f t="shared" si="68"/>
        <v/>
      </c>
      <c r="J853" s="1" t="str">
        <f>_xlfn.IFNA(INDEX([1]历练产出!$Z:$Z,MATCH(B853,[1]历练产出!$AB:$AB,0)),"")</f>
        <v/>
      </c>
      <c r="K853" s="1" t="str">
        <f>_xlfn.IFNA(INDEX([1]洞天福地产出!$H:$H,MATCH(B853,[1]洞天福地产出!$K:$K,0)),"")</f>
        <v/>
      </c>
      <c r="L853" s="1" t="str">
        <f t="shared" si="69"/>
        <v/>
      </c>
      <c r="M853" s="4">
        <f t="shared" si="70"/>
        <v>0</v>
      </c>
    </row>
    <row r="854" ht="45" spans="1:13">
      <c r="A854" s="4"/>
      <c r="B854" t="str">
        <f t="shared" si="66"/>
        <v>7:15000127</v>
      </c>
      <c r="C854" s="1">
        <v>7</v>
      </c>
      <c r="D854" s="4">
        <v>15000127</v>
      </c>
      <c r="E854" s="3" t="s">
        <v>1892</v>
      </c>
      <c r="F854" s="3"/>
      <c r="G854" s="1">
        <v>7075.35</v>
      </c>
      <c r="H854" s="1">
        <f t="shared" si="67"/>
        <v>7075.35</v>
      </c>
      <c r="I854" s="1" t="str">
        <f t="shared" si="68"/>
        <v/>
      </c>
      <c r="J854" s="1" t="str">
        <f>_xlfn.IFNA(INDEX([1]历练产出!$Z:$Z,MATCH(B854,[1]历练产出!$AB:$AB,0)),"")</f>
        <v/>
      </c>
      <c r="K854" s="1" t="str">
        <f>_xlfn.IFNA(INDEX([1]洞天福地产出!$H:$H,MATCH(B854,[1]洞天福地产出!$K:$K,0)),"")</f>
        <v/>
      </c>
      <c r="L854" s="1" t="str">
        <f t="shared" si="69"/>
        <v/>
      </c>
      <c r="M854" s="4">
        <f t="shared" si="70"/>
        <v>0</v>
      </c>
    </row>
    <row r="855" ht="45" spans="1:13">
      <c r="A855" s="4"/>
      <c r="B855" t="str">
        <f t="shared" si="66"/>
        <v>7:15000128</v>
      </c>
      <c r="C855" s="1">
        <v>7</v>
      </c>
      <c r="D855" s="4">
        <v>15000128</v>
      </c>
      <c r="E855" s="3" t="s">
        <v>1892</v>
      </c>
      <c r="F855" s="3"/>
      <c r="G855" s="1">
        <v>7411.5</v>
      </c>
      <c r="H855" s="1">
        <f t="shared" si="67"/>
        <v>7411.5</v>
      </c>
      <c r="I855" s="1" t="str">
        <f t="shared" si="68"/>
        <v/>
      </c>
      <c r="J855" s="1" t="str">
        <f>_xlfn.IFNA(INDEX([1]历练产出!$Z:$Z,MATCH(B855,[1]历练产出!$AB:$AB,0)),"")</f>
        <v/>
      </c>
      <c r="K855" s="1" t="str">
        <f>_xlfn.IFNA(INDEX([1]洞天福地产出!$H:$H,MATCH(B855,[1]洞天福地产出!$K:$K,0)),"")</f>
        <v/>
      </c>
      <c r="L855" s="1" t="str">
        <f t="shared" si="69"/>
        <v/>
      </c>
      <c r="M855" s="4">
        <f t="shared" si="70"/>
        <v>0</v>
      </c>
    </row>
    <row r="856" ht="45" spans="1:13">
      <c r="A856" s="4"/>
      <c r="B856" t="str">
        <f t="shared" si="66"/>
        <v>7:15000129</v>
      </c>
      <c r="C856" s="1">
        <v>7</v>
      </c>
      <c r="D856" s="4">
        <v>15000129</v>
      </c>
      <c r="E856" s="3" t="s">
        <v>1892</v>
      </c>
      <c r="F856" s="3"/>
      <c r="G856" s="1">
        <v>9703.8</v>
      </c>
      <c r="H856" s="1">
        <f t="shared" si="67"/>
        <v>9703.8</v>
      </c>
      <c r="I856" s="1" t="str">
        <f t="shared" si="68"/>
        <v/>
      </c>
      <c r="J856" s="1" t="str">
        <f>_xlfn.IFNA(INDEX([1]历练产出!$Z:$Z,MATCH(B856,[1]历练产出!$AB:$AB,0)),"")</f>
        <v/>
      </c>
      <c r="K856" s="1" t="str">
        <f>_xlfn.IFNA(INDEX([1]洞天福地产出!$H:$H,MATCH(B856,[1]洞天福地产出!$K:$K,0)),"")</f>
        <v/>
      </c>
      <c r="L856" s="1" t="str">
        <f t="shared" si="69"/>
        <v/>
      </c>
      <c r="M856" s="4">
        <f t="shared" si="70"/>
        <v>0</v>
      </c>
    </row>
    <row r="857" ht="45" spans="1:13">
      <c r="A857" s="4"/>
      <c r="B857" t="str">
        <f t="shared" si="66"/>
        <v>7:15000130</v>
      </c>
      <c r="C857" s="1">
        <v>7</v>
      </c>
      <c r="D857" s="4">
        <v>15000130</v>
      </c>
      <c r="E857" s="3" t="s">
        <v>1892</v>
      </c>
      <c r="F857" s="3"/>
      <c r="G857" s="1">
        <v>10052.1</v>
      </c>
      <c r="H857" s="1">
        <f t="shared" si="67"/>
        <v>10052.1</v>
      </c>
      <c r="I857" s="1" t="str">
        <f t="shared" si="68"/>
        <v/>
      </c>
      <c r="J857" s="1" t="str">
        <f>_xlfn.IFNA(INDEX([1]历练产出!$Z:$Z,MATCH(B857,[1]历练产出!$AB:$AB,0)),"")</f>
        <v/>
      </c>
      <c r="K857" s="1" t="str">
        <f>_xlfn.IFNA(INDEX([1]洞天福地产出!$H:$H,MATCH(B857,[1]洞天福地产出!$K:$K,0)),"")</f>
        <v/>
      </c>
      <c r="L857" s="1" t="str">
        <f t="shared" si="69"/>
        <v/>
      </c>
      <c r="M857" s="4">
        <f t="shared" si="70"/>
        <v>0</v>
      </c>
    </row>
    <row r="858" ht="60" spans="1:13">
      <c r="A858" s="4"/>
      <c r="B858" t="str">
        <f t="shared" si="66"/>
        <v>7:16000101</v>
      </c>
      <c r="C858" s="1">
        <v>7</v>
      </c>
      <c r="D858" s="4">
        <v>16000101</v>
      </c>
      <c r="E858" s="3" t="s">
        <v>1893</v>
      </c>
      <c r="F858" s="3"/>
      <c r="G858" s="1">
        <v>656.1</v>
      </c>
      <c r="H858" s="1">
        <f t="shared" si="67"/>
        <v>656.1</v>
      </c>
      <c r="I858" s="1" t="str">
        <f t="shared" si="68"/>
        <v/>
      </c>
      <c r="J858" s="1" t="str">
        <f>_xlfn.IFNA(INDEX([1]历练产出!$Z:$Z,MATCH(B858,[1]历练产出!$AB:$AB,0)),"")</f>
        <v/>
      </c>
      <c r="K858" s="1" t="str">
        <f>_xlfn.IFNA(INDEX([1]洞天福地产出!$H:$H,MATCH(B858,[1]洞天福地产出!$K:$K,0)),"")</f>
        <v/>
      </c>
      <c r="L858" s="1" t="str">
        <f t="shared" si="69"/>
        <v/>
      </c>
      <c r="M858" s="4">
        <f t="shared" si="70"/>
        <v>0</v>
      </c>
    </row>
    <row r="859" ht="60" spans="1:13">
      <c r="A859" s="4"/>
      <c r="B859" t="str">
        <f t="shared" si="66"/>
        <v>7:16000102</v>
      </c>
      <c r="C859" s="1">
        <v>7</v>
      </c>
      <c r="D859" s="4">
        <v>16000102</v>
      </c>
      <c r="E859" s="3" t="s">
        <v>1893</v>
      </c>
      <c r="F859" s="3"/>
      <c r="G859" s="1">
        <v>676.35</v>
      </c>
      <c r="H859" s="1">
        <f t="shared" si="67"/>
        <v>676.35</v>
      </c>
      <c r="I859" s="1" t="str">
        <f t="shared" si="68"/>
        <v/>
      </c>
      <c r="J859" s="1" t="str">
        <f>_xlfn.IFNA(INDEX([1]历练产出!$Z:$Z,MATCH(B859,[1]历练产出!$AB:$AB,0)),"")</f>
        <v/>
      </c>
      <c r="K859" s="1" t="str">
        <f>_xlfn.IFNA(INDEX([1]洞天福地产出!$H:$H,MATCH(B859,[1]洞天福地产出!$K:$K,0)),"")</f>
        <v/>
      </c>
      <c r="L859" s="1" t="str">
        <f t="shared" si="69"/>
        <v/>
      </c>
      <c r="M859" s="4">
        <f t="shared" si="70"/>
        <v>0</v>
      </c>
    </row>
    <row r="860" ht="60" spans="1:13">
      <c r="A860" s="4"/>
      <c r="B860" t="str">
        <f t="shared" si="66"/>
        <v>7:16000103</v>
      </c>
      <c r="C860" s="1">
        <v>7</v>
      </c>
      <c r="D860" s="4">
        <v>16000103</v>
      </c>
      <c r="E860" s="3" t="s">
        <v>1893</v>
      </c>
      <c r="F860" s="3"/>
      <c r="G860" s="1">
        <v>708.75</v>
      </c>
      <c r="H860" s="1">
        <f t="shared" si="67"/>
        <v>708.75</v>
      </c>
      <c r="I860" s="1" t="str">
        <f t="shared" si="68"/>
        <v/>
      </c>
      <c r="J860" s="1" t="str">
        <f>_xlfn.IFNA(INDEX([1]历练产出!$Z:$Z,MATCH(B860,[1]历练产出!$AB:$AB,0)),"")</f>
        <v/>
      </c>
      <c r="K860" s="1" t="str">
        <f>_xlfn.IFNA(INDEX([1]洞天福地产出!$H:$H,MATCH(B860,[1]洞天福地产出!$K:$K,0)),"")</f>
        <v/>
      </c>
      <c r="L860" s="1" t="str">
        <f t="shared" si="69"/>
        <v/>
      </c>
      <c r="M860" s="4">
        <f t="shared" si="70"/>
        <v>0</v>
      </c>
    </row>
    <row r="861" ht="60" spans="1:13">
      <c r="A861" s="4"/>
      <c r="B861" t="str">
        <f t="shared" si="66"/>
        <v>7:16000104</v>
      </c>
      <c r="C861" s="1">
        <v>7</v>
      </c>
      <c r="D861" s="4">
        <v>16000104</v>
      </c>
      <c r="E861" s="3" t="s">
        <v>1893</v>
      </c>
      <c r="F861" s="3"/>
      <c r="G861" s="1">
        <v>753.3</v>
      </c>
      <c r="H861" s="1">
        <f t="shared" si="67"/>
        <v>753.3</v>
      </c>
      <c r="I861" s="1" t="str">
        <f t="shared" si="68"/>
        <v/>
      </c>
      <c r="J861" s="1" t="str">
        <f>_xlfn.IFNA(INDEX([1]历练产出!$Z:$Z,MATCH(B861,[1]历练产出!$AB:$AB,0)),"")</f>
        <v/>
      </c>
      <c r="K861" s="1" t="str">
        <f>_xlfn.IFNA(INDEX([1]洞天福地产出!$H:$H,MATCH(B861,[1]洞天福地产出!$K:$K,0)),"")</f>
        <v/>
      </c>
      <c r="L861" s="1" t="str">
        <f t="shared" si="69"/>
        <v/>
      </c>
      <c r="M861" s="4">
        <f t="shared" si="70"/>
        <v>0</v>
      </c>
    </row>
    <row r="862" ht="60" spans="1:13">
      <c r="A862" s="4"/>
      <c r="B862" t="str">
        <f t="shared" si="66"/>
        <v>7:16000105</v>
      </c>
      <c r="C862" s="1">
        <v>7</v>
      </c>
      <c r="D862" s="4">
        <v>16000105</v>
      </c>
      <c r="E862" s="3" t="s">
        <v>1893</v>
      </c>
      <c r="F862" s="3"/>
      <c r="G862" s="1">
        <v>810</v>
      </c>
      <c r="H862" s="1">
        <f t="shared" si="67"/>
        <v>810</v>
      </c>
      <c r="I862" s="1" t="str">
        <f t="shared" si="68"/>
        <v/>
      </c>
      <c r="J862" s="1" t="str">
        <f>_xlfn.IFNA(INDEX([1]历练产出!$Z:$Z,MATCH(B862,[1]历练产出!$AB:$AB,0)),"")</f>
        <v/>
      </c>
      <c r="K862" s="1" t="str">
        <f>_xlfn.IFNA(INDEX([1]洞天福地产出!$H:$H,MATCH(B862,[1]洞天福地产出!$K:$K,0)),"")</f>
        <v/>
      </c>
      <c r="L862" s="1" t="str">
        <f t="shared" si="69"/>
        <v/>
      </c>
      <c r="M862" s="4">
        <f t="shared" si="70"/>
        <v>0</v>
      </c>
    </row>
    <row r="863" ht="60" spans="1:13">
      <c r="A863" s="4"/>
      <c r="B863" t="str">
        <f t="shared" si="66"/>
        <v>7:16000106</v>
      </c>
      <c r="C863" s="1">
        <v>7</v>
      </c>
      <c r="D863" s="4">
        <v>16000106</v>
      </c>
      <c r="E863" s="3" t="s">
        <v>1893</v>
      </c>
      <c r="F863" s="3"/>
      <c r="G863" s="1">
        <v>878.85</v>
      </c>
      <c r="H863" s="1">
        <f t="shared" si="67"/>
        <v>878.85</v>
      </c>
      <c r="I863" s="1" t="str">
        <f t="shared" si="68"/>
        <v/>
      </c>
      <c r="J863" s="1" t="str">
        <f>_xlfn.IFNA(INDEX([1]历练产出!$Z:$Z,MATCH(B863,[1]历练产出!$AB:$AB,0)),"")</f>
        <v/>
      </c>
      <c r="K863" s="1" t="str">
        <f>_xlfn.IFNA(INDEX([1]洞天福地产出!$H:$H,MATCH(B863,[1]洞天福地产出!$K:$K,0)),"")</f>
        <v/>
      </c>
      <c r="L863" s="1" t="str">
        <f t="shared" si="69"/>
        <v/>
      </c>
      <c r="M863" s="4">
        <f t="shared" si="70"/>
        <v>0</v>
      </c>
    </row>
    <row r="864" ht="60" spans="1:13">
      <c r="A864" s="4"/>
      <c r="B864" t="str">
        <f t="shared" si="66"/>
        <v>7:16000107</v>
      </c>
      <c r="C864" s="1">
        <v>7</v>
      </c>
      <c r="D864" s="4">
        <v>16000107</v>
      </c>
      <c r="E864" s="3" t="s">
        <v>1893</v>
      </c>
      <c r="F864" s="3"/>
      <c r="G864" s="1">
        <v>959.85</v>
      </c>
      <c r="H864" s="1">
        <f t="shared" si="67"/>
        <v>959.85</v>
      </c>
      <c r="I864" s="1" t="str">
        <f t="shared" si="68"/>
        <v/>
      </c>
      <c r="J864" s="1" t="str">
        <f>_xlfn.IFNA(INDEX([1]历练产出!$Z:$Z,MATCH(B864,[1]历练产出!$AB:$AB,0)),"")</f>
        <v/>
      </c>
      <c r="K864" s="1" t="str">
        <f>_xlfn.IFNA(INDEX([1]洞天福地产出!$H:$H,MATCH(B864,[1]洞天福地产出!$K:$K,0)),"")</f>
        <v/>
      </c>
      <c r="L864" s="1" t="str">
        <f t="shared" si="69"/>
        <v/>
      </c>
      <c r="M864" s="4">
        <f t="shared" si="70"/>
        <v>0</v>
      </c>
    </row>
    <row r="865" ht="60" spans="1:13">
      <c r="A865" s="4"/>
      <c r="B865" t="str">
        <f t="shared" si="66"/>
        <v>7:16000108</v>
      </c>
      <c r="C865" s="1">
        <v>7</v>
      </c>
      <c r="D865" s="4">
        <v>16000108</v>
      </c>
      <c r="E865" s="3" t="s">
        <v>1893</v>
      </c>
      <c r="F865" s="3"/>
      <c r="G865" s="1">
        <v>1053</v>
      </c>
      <c r="H865" s="1">
        <f t="shared" si="67"/>
        <v>1053</v>
      </c>
      <c r="I865" s="1" t="str">
        <f t="shared" si="68"/>
        <v/>
      </c>
      <c r="J865" s="1" t="str">
        <f>_xlfn.IFNA(INDEX([1]历练产出!$Z:$Z,MATCH(B865,[1]历练产出!$AB:$AB,0)),"")</f>
        <v/>
      </c>
      <c r="K865" s="1" t="str">
        <f>_xlfn.IFNA(INDEX([1]洞天福地产出!$H:$H,MATCH(B865,[1]洞天福地产出!$K:$K,0)),"")</f>
        <v/>
      </c>
      <c r="L865" s="1" t="str">
        <f t="shared" si="69"/>
        <v/>
      </c>
      <c r="M865" s="4">
        <f t="shared" si="70"/>
        <v>0</v>
      </c>
    </row>
    <row r="866" ht="60" spans="1:13">
      <c r="A866" s="4"/>
      <c r="B866" t="str">
        <f t="shared" si="66"/>
        <v>7:16000109</v>
      </c>
      <c r="C866" s="1">
        <v>7</v>
      </c>
      <c r="D866" s="4">
        <v>16000109</v>
      </c>
      <c r="E866" s="3" t="s">
        <v>1893</v>
      </c>
      <c r="F866" s="3"/>
      <c r="G866" s="1">
        <v>1806.3</v>
      </c>
      <c r="H866" s="1">
        <f t="shared" si="67"/>
        <v>1806.3</v>
      </c>
      <c r="I866" s="1" t="str">
        <f t="shared" si="68"/>
        <v/>
      </c>
      <c r="J866" s="1" t="str">
        <f>_xlfn.IFNA(INDEX([1]历练产出!$Z:$Z,MATCH(B866,[1]历练产出!$AB:$AB,0)),"")</f>
        <v/>
      </c>
      <c r="K866" s="1" t="str">
        <f>_xlfn.IFNA(INDEX([1]洞天福地产出!$H:$H,MATCH(B866,[1]洞天福地产出!$K:$K,0)),"")</f>
        <v/>
      </c>
      <c r="L866" s="1" t="str">
        <f t="shared" si="69"/>
        <v/>
      </c>
      <c r="M866" s="4">
        <f t="shared" si="70"/>
        <v>0</v>
      </c>
    </row>
    <row r="867" ht="60" spans="1:13">
      <c r="A867" s="4"/>
      <c r="B867" t="str">
        <f t="shared" si="66"/>
        <v>7:16000110</v>
      </c>
      <c r="C867" s="1">
        <v>7</v>
      </c>
      <c r="D867" s="4">
        <v>16000110</v>
      </c>
      <c r="E867" s="3" t="s">
        <v>1893</v>
      </c>
      <c r="F867" s="3"/>
      <c r="G867" s="1">
        <v>1923.75</v>
      </c>
      <c r="H867" s="1">
        <f t="shared" si="67"/>
        <v>1923.75</v>
      </c>
      <c r="I867" s="1" t="str">
        <f t="shared" si="68"/>
        <v/>
      </c>
      <c r="J867" s="1" t="str">
        <f>_xlfn.IFNA(INDEX([1]历练产出!$Z:$Z,MATCH(B867,[1]历练产出!$AB:$AB,0)),"")</f>
        <v/>
      </c>
      <c r="K867" s="1" t="str">
        <f>_xlfn.IFNA(INDEX([1]洞天福地产出!$H:$H,MATCH(B867,[1]洞天福地产出!$K:$K,0)),"")</f>
        <v/>
      </c>
      <c r="L867" s="1" t="str">
        <f t="shared" si="69"/>
        <v/>
      </c>
      <c r="M867" s="4">
        <f t="shared" si="70"/>
        <v>0</v>
      </c>
    </row>
    <row r="868" ht="60" spans="1:13">
      <c r="A868" s="4"/>
      <c r="B868" t="str">
        <f t="shared" ref="B868:B931" si="71">C868&amp;":"&amp;D868</f>
        <v>7:16000111</v>
      </c>
      <c r="C868" s="1">
        <v>7</v>
      </c>
      <c r="D868" s="4">
        <v>16000111</v>
      </c>
      <c r="E868" s="3" t="s">
        <v>1893</v>
      </c>
      <c r="F868" s="3"/>
      <c r="G868" s="1">
        <v>2053.35</v>
      </c>
      <c r="H868" s="1">
        <f t="shared" si="67"/>
        <v>2053.35</v>
      </c>
      <c r="I868" s="1" t="str">
        <f t="shared" si="68"/>
        <v/>
      </c>
      <c r="J868" s="1" t="str">
        <f>_xlfn.IFNA(INDEX([1]历练产出!$Z:$Z,MATCH(B868,[1]历练产出!$AB:$AB,0)),"")</f>
        <v/>
      </c>
      <c r="K868" s="1" t="str">
        <f>_xlfn.IFNA(INDEX([1]洞天福地产出!$H:$H,MATCH(B868,[1]洞天福地产出!$K:$K,0)),"")</f>
        <v/>
      </c>
      <c r="L868" s="1" t="str">
        <f t="shared" si="69"/>
        <v/>
      </c>
      <c r="M868" s="4">
        <f t="shared" si="70"/>
        <v>0</v>
      </c>
    </row>
    <row r="869" ht="60" spans="1:13">
      <c r="A869" s="4"/>
      <c r="B869" t="str">
        <f t="shared" si="71"/>
        <v>7:16000112</v>
      </c>
      <c r="C869" s="1">
        <v>7</v>
      </c>
      <c r="D869" s="4">
        <v>16000112</v>
      </c>
      <c r="E869" s="3" t="s">
        <v>1893</v>
      </c>
      <c r="F869" s="3"/>
      <c r="G869" s="1">
        <v>2195.1</v>
      </c>
      <c r="H869" s="1">
        <f t="shared" si="67"/>
        <v>2195.1</v>
      </c>
      <c r="I869" s="1" t="str">
        <f t="shared" si="68"/>
        <v/>
      </c>
      <c r="J869" s="1" t="str">
        <f>_xlfn.IFNA(INDEX([1]历练产出!$Z:$Z,MATCH(B869,[1]历练产出!$AB:$AB,0)),"")</f>
        <v/>
      </c>
      <c r="K869" s="1" t="str">
        <f>_xlfn.IFNA(INDEX([1]洞天福地产出!$H:$H,MATCH(B869,[1]洞天福地产出!$K:$K,0)),"")</f>
        <v/>
      </c>
      <c r="L869" s="1" t="str">
        <f t="shared" si="69"/>
        <v/>
      </c>
      <c r="M869" s="4">
        <f t="shared" si="70"/>
        <v>0</v>
      </c>
    </row>
    <row r="870" ht="60" spans="1:13">
      <c r="A870" s="4"/>
      <c r="B870" t="str">
        <f t="shared" si="71"/>
        <v>7:16000113</v>
      </c>
      <c r="C870" s="1">
        <v>7</v>
      </c>
      <c r="D870" s="4">
        <v>16000113</v>
      </c>
      <c r="E870" s="3" t="s">
        <v>1893</v>
      </c>
      <c r="F870" s="3"/>
      <c r="G870" s="1">
        <v>2349</v>
      </c>
      <c r="H870" s="1">
        <f t="shared" si="67"/>
        <v>2349</v>
      </c>
      <c r="I870" s="1" t="str">
        <f t="shared" si="68"/>
        <v/>
      </c>
      <c r="J870" s="1" t="str">
        <f>_xlfn.IFNA(INDEX([1]历练产出!$Z:$Z,MATCH(B870,[1]历练产出!$AB:$AB,0)),"")</f>
        <v/>
      </c>
      <c r="K870" s="1" t="str">
        <f>_xlfn.IFNA(INDEX([1]洞天福地产出!$H:$H,MATCH(B870,[1]洞天福地产出!$K:$K,0)),"")</f>
        <v/>
      </c>
      <c r="L870" s="1" t="str">
        <f t="shared" si="69"/>
        <v/>
      </c>
      <c r="M870" s="4">
        <f t="shared" si="70"/>
        <v>0</v>
      </c>
    </row>
    <row r="871" ht="60" spans="1:13">
      <c r="A871" s="4"/>
      <c r="B871" t="str">
        <f t="shared" si="71"/>
        <v>7:16000114</v>
      </c>
      <c r="C871" s="1">
        <v>7</v>
      </c>
      <c r="D871" s="4">
        <v>16000114</v>
      </c>
      <c r="E871" s="3" t="s">
        <v>1893</v>
      </c>
      <c r="F871" s="3"/>
      <c r="G871" s="1">
        <v>2515.05</v>
      </c>
      <c r="H871" s="1">
        <f t="shared" si="67"/>
        <v>2515.05</v>
      </c>
      <c r="I871" s="1" t="str">
        <f t="shared" si="68"/>
        <v/>
      </c>
      <c r="J871" s="1" t="str">
        <f>_xlfn.IFNA(INDEX([1]历练产出!$Z:$Z,MATCH(B871,[1]历练产出!$AB:$AB,0)),"")</f>
        <v/>
      </c>
      <c r="K871" s="1" t="str">
        <f>_xlfn.IFNA(INDEX([1]洞天福地产出!$H:$H,MATCH(B871,[1]洞天福地产出!$K:$K,0)),"")</f>
        <v/>
      </c>
      <c r="L871" s="1" t="str">
        <f t="shared" si="69"/>
        <v/>
      </c>
      <c r="M871" s="4">
        <f t="shared" si="70"/>
        <v>0</v>
      </c>
    </row>
    <row r="872" ht="60" spans="1:13">
      <c r="A872" s="4"/>
      <c r="B872" t="str">
        <f t="shared" si="71"/>
        <v>7:16000115</v>
      </c>
      <c r="C872" s="1">
        <v>7</v>
      </c>
      <c r="D872" s="4">
        <v>16000115</v>
      </c>
      <c r="E872" s="3" t="s">
        <v>1893</v>
      </c>
      <c r="F872" s="3"/>
      <c r="G872" s="1">
        <v>2693.25</v>
      </c>
      <c r="H872" s="1">
        <f t="shared" si="67"/>
        <v>2693.25</v>
      </c>
      <c r="I872" s="1" t="str">
        <f t="shared" si="68"/>
        <v/>
      </c>
      <c r="J872" s="1" t="str">
        <f>_xlfn.IFNA(INDEX([1]历练产出!$Z:$Z,MATCH(B872,[1]历练产出!$AB:$AB,0)),"")</f>
        <v/>
      </c>
      <c r="K872" s="1" t="str">
        <f>_xlfn.IFNA(INDEX([1]洞天福地产出!$H:$H,MATCH(B872,[1]洞天福地产出!$K:$K,0)),"")</f>
        <v/>
      </c>
      <c r="L872" s="1" t="str">
        <f t="shared" si="69"/>
        <v/>
      </c>
      <c r="M872" s="4">
        <f t="shared" si="70"/>
        <v>0</v>
      </c>
    </row>
    <row r="873" ht="60" spans="1:13">
      <c r="A873" s="4"/>
      <c r="B873" t="str">
        <f t="shared" si="71"/>
        <v>7:16000116</v>
      </c>
      <c r="C873" s="1">
        <v>7</v>
      </c>
      <c r="D873" s="4">
        <v>16000116</v>
      </c>
      <c r="E873" s="3" t="s">
        <v>1893</v>
      </c>
      <c r="F873" s="3"/>
      <c r="G873" s="1">
        <v>2883.6</v>
      </c>
      <c r="H873" s="1">
        <f t="shared" si="67"/>
        <v>2883.6</v>
      </c>
      <c r="I873" s="1" t="str">
        <f t="shared" si="68"/>
        <v/>
      </c>
      <c r="J873" s="1" t="str">
        <f>_xlfn.IFNA(INDEX([1]历练产出!$Z:$Z,MATCH(B873,[1]历练产出!$AB:$AB,0)),"")</f>
        <v/>
      </c>
      <c r="K873" s="1" t="str">
        <f>_xlfn.IFNA(INDEX([1]洞天福地产出!$H:$H,MATCH(B873,[1]洞天福地产出!$K:$K,0)),"")</f>
        <v/>
      </c>
      <c r="L873" s="1" t="str">
        <f t="shared" si="69"/>
        <v/>
      </c>
      <c r="M873" s="4">
        <f t="shared" si="70"/>
        <v>0</v>
      </c>
    </row>
    <row r="874" ht="60" spans="1:13">
      <c r="A874" s="4"/>
      <c r="B874" t="str">
        <f t="shared" si="71"/>
        <v>7:16000117</v>
      </c>
      <c r="C874" s="1">
        <v>7</v>
      </c>
      <c r="D874" s="4">
        <v>16000117</v>
      </c>
      <c r="E874" s="3" t="s">
        <v>1893</v>
      </c>
      <c r="F874" s="3"/>
      <c r="G874" s="1">
        <v>3086.1</v>
      </c>
      <c r="H874" s="1">
        <f t="shared" si="67"/>
        <v>3086.1</v>
      </c>
      <c r="I874" s="1" t="str">
        <f t="shared" si="68"/>
        <v/>
      </c>
      <c r="J874" s="1" t="str">
        <f>_xlfn.IFNA(INDEX([1]历练产出!$Z:$Z,MATCH(B874,[1]历练产出!$AB:$AB,0)),"")</f>
        <v/>
      </c>
      <c r="K874" s="1" t="str">
        <f>_xlfn.IFNA(INDEX([1]洞天福地产出!$H:$H,MATCH(B874,[1]洞天福地产出!$K:$K,0)),"")</f>
        <v/>
      </c>
      <c r="L874" s="1" t="str">
        <f t="shared" si="69"/>
        <v/>
      </c>
      <c r="M874" s="4">
        <f t="shared" si="70"/>
        <v>0</v>
      </c>
    </row>
    <row r="875" ht="60" spans="1:13">
      <c r="A875" s="4"/>
      <c r="B875" t="str">
        <f t="shared" si="71"/>
        <v>7:16000118</v>
      </c>
      <c r="C875" s="1">
        <v>7</v>
      </c>
      <c r="D875" s="4">
        <v>16000118</v>
      </c>
      <c r="E875" s="3" t="s">
        <v>1893</v>
      </c>
      <c r="F875" s="3"/>
      <c r="G875" s="1">
        <v>3300.75</v>
      </c>
      <c r="H875" s="1">
        <f t="shared" si="67"/>
        <v>3300.75</v>
      </c>
      <c r="I875" s="1" t="str">
        <f t="shared" si="68"/>
        <v/>
      </c>
      <c r="J875" s="1" t="str">
        <f>_xlfn.IFNA(INDEX([1]历练产出!$Z:$Z,MATCH(B875,[1]历练产出!$AB:$AB,0)),"")</f>
        <v/>
      </c>
      <c r="K875" s="1" t="str">
        <f>_xlfn.IFNA(INDEX([1]洞天福地产出!$H:$H,MATCH(B875,[1]洞天福地产出!$K:$K,0)),"")</f>
        <v/>
      </c>
      <c r="L875" s="1" t="str">
        <f t="shared" si="69"/>
        <v/>
      </c>
      <c r="M875" s="4">
        <f t="shared" si="70"/>
        <v>0</v>
      </c>
    </row>
    <row r="876" ht="60" spans="1:13">
      <c r="A876" s="4"/>
      <c r="B876" t="str">
        <f t="shared" si="71"/>
        <v>7:16000119</v>
      </c>
      <c r="C876" s="1">
        <v>7</v>
      </c>
      <c r="D876" s="4">
        <v>16000119</v>
      </c>
      <c r="E876" s="3" t="s">
        <v>1893</v>
      </c>
      <c r="F876" s="3"/>
      <c r="G876" s="1">
        <v>4823.55</v>
      </c>
      <c r="H876" s="1">
        <f t="shared" si="67"/>
        <v>4823.55</v>
      </c>
      <c r="I876" s="1" t="str">
        <f t="shared" si="68"/>
        <v/>
      </c>
      <c r="J876" s="1" t="str">
        <f>_xlfn.IFNA(INDEX([1]历练产出!$Z:$Z,MATCH(B876,[1]历练产出!$AB:$AB,0)),"")</f>
        <v/>
      </c>
      <c r="K876" s="1" t="str">
        <f>_xlfn.IFNA(INDEX([1]洞天福地产出!$H:$H,MATCH(B876,[1]洞天福地产出!$K:$K,0)),"")</f>
        <v/>
      </c>
      <c r="L876" s="1" t="str">
        <f t="shared" si="69"/>
        <v/>
      </c>
      <c r="M876" s="4">
        <f t="shared" si="70"/>
        <v>0</v>
      </c>
    </row>
    <row r="877" ht="60" spans="1:13">
      <c r="A877" s="4"/>
      <c r="B877" t="str">
        <f t="shared" si="71"/>
        <v>7:16000120</v>
      </c>
      <c r="C877" s="1">
        <v>7</v>
      </c>
      <c r="D877" s="4">
        <v>16000120</v>
      </c>
      <c r="E877" s="3" t="s">
        <v>1893</v>
      </c>
      <c r="F877" s="3"/>
      <c r="G877" s="1">
        <v>5062.5</v>
      </c>
      <c r="H877" s="1">
        <f t="shared" si="67"/>
        <v>5062.5</v>
      </c>
      <c r="I877" s="1" t="str">
        <f t="shared" si="68"/>
        <v/>
      </c>
      <c r="J877" s="1" t="str">
        <f>_xlfn.IFNA(INDEX([1]历练产出!$Z:$Z,MATCH(B877,[1]历练产出!$AB:$AB,0)),"")</f>
        <v/>
      </c>
      <c r="K877" s="1" t="str">
        <f>_xlfn.IFNA(INDEX([1]洞天福地产出!$H:$H,MATCH(B877,[1]洞天福地产出!$K:$K,0)),"")</f>
        <v/>
      </c>
      <c r="L877" s="1" t="str">
        <f t="shared" si="69"/>
        <v/>
      </c>
      <c r="M877" s="4">
        <f t="shared" si="70"/>
        <v>0</v>
      </c>
    </row>
    <row r="878" ht="60" spans="1:13">
      <c r="A878" s="4"/>
      <c r="B878" t="str">
        <f t="shared" si="71"/>
        <v>7:16000121</v>
      </c>
      <c r="C878" s="1">
        <v>7</v>
      </c>
      <c r="D878" s="4">
        <v>16000121</v>
      </c>
      <c r="E878" s="3" t="s">
        <v>1893</v>
      </c>
      <c r="F878" s="3"/>
      <c r="G878" s="1">
        <v>5313.6</v>
      </c>
      <c r="H878" s="1">
        <f t="shared" si="67"/>
        <v>5313.6</v>
      </c>
      <c r="I878" s="1" t="str">
        <f t="shared" si="68"/>
        <v/>
      </c>
      <c r="J878" s="1" t="str">
        <f>_xlfn.IFNA(INDEX([1]历练产出!$Z:$Z,MATCH(B878,[1]历练产出!$AB:$AB,0)),"")</f>
        <v/>
      </c>
      <c r="K878" s="1" t="str">
        <f>_xlfn.IFNA(INDEX([1]洞天福地产出!$H:$H,MATCH(B878,[1]洞天福地产出!$K:$K,0)),"")</f>
        <v/>
      </c>
      <c r="L878" s="1" t="str">
        <f t="shared" si="69"/>
        <v/>
      </c>
      <c r="M878" s="4">
        <f t="shared" si="70"/>
        <v>0</v>
      </c>
    </row>
    <row r="879" ht="60" spans="1:13">
      <c r="A879" s="4"/>
      <c r="B879" t="str">
        <f t="shared" si="71"/>
        <v>7:16000122</v>
      </c>
      <c r="C879" s="1">
        <v>7</v>
      </c>
      <c r="D879" s="4">
        <v>16000122</v>
      </c>
      <c r="E879" s="3" t="s">
        <v>1893</v>
      </c>
      <c r="F879" s="3"/>
      <c r="G879" s="1">
        <v>5576.85</v>
      </c>
      <c r="H879" s="1">
        <f t="shared" si="67"/>
        <v>5576.85</v>
      </c>
      <c r="I879" s="1" t="str">
        <f t="shared" si="68"/>
        <v/>
      </c>
      <c r="J879" s="1" t="str">
        <f>_xlfn.IFNA(INDEX([1]历练产出!$Z:$Z,MATCH(B879,[1]历练产出!$AB:$AB,0)),"")</f>
        <v/>
      </c>
      <c r="K879" s="1" t="str">
        <f>_xlfn.IFNA(INDEX([1]洞天福地产出!$H:$H,MATCH(B879,[1]洞天福地产出!$K:$K,0)),"")</f>
        <v/>
      </c>
      <c r="L879" s="1" t="str">
        <f t="shared" si="69"/>
        <v/>
      </c>
      <c r="M879" s="4">
        <f t="shared" si="70"/>
        <v>0</v>
      </c>
    </row>
    <row r="880" ht="60" spans="1:13">
      <c r="A880" s="4"/>
      <c r="B880" t="str">
        <f t="shared" si="71"/>
        <v>7:16000123</v>
      </c>
      <c r="C880" s="1">
        <v>7</v>
      </c>
      <c r="D880" s="4">
        <v>16000123</v>
      </c>
      <c r="E880" s="3" t="s">
        <v>1893</v>
      </c>
      <c r="F880" s="3"/>
      <c r="G880" s="1">
        <v>5852.25</v>
      </c>
      <c r="H880" s="1">
        <f t="shared" si="67"/>
        <v>5852.25</v>
      </c>
      <c r="I880" s="1" t="str">
        <f t="shared" si="68"/>
        <v/>
      </c>
      <c r="J880" s="1" t="str">
        <f>_xlfn.IFNA(INDEX([1]历练产出!$Z:$Z,MATCH(B880,[1]历练产出!$AB:$AB,0)),"")</f>
        <v/>
      </c>
      <c r="K880" s="1" t="str">
        <f>_xlfn.IFNA(INDEX([1]洞天福地产出!$H:$H,MATCH(B880,[1]洞天福地产出!$K:$K,0)),"")</f>
        <v/>
      </c>
      <c r="L880" s="1" t="str">
        <f t="shared" si="69"/>
        <v/>
      </c>
      <c r="M880" s="4">
        <f t="shared" si="70"/>
        <v>0</v>
      </c>
    </row>
    <row r="881" ht="60" spans="1:13">
      <c r="A881" s="4"/>
      <c r="B881" t="str">
        <f t="shared" si="71"/>
        <v>7:16000124</v>
      </c>
      <c r="C881" s="1">
        <v>7</v>
      </c>
      <c r="D881" s="4">
        <v>16000124</v>
      </c>
      <c r="E881" s="3" t="s">
        <v>1893</v>
      </c>
      <c r="F881" s="3"/>
      <c r="G881" s="1">
        <v>6139.8</v>
      </c>
      <c r="H881" s="1">
        <f t="shared" si="67"/>
        <v>6139.8</v>
      </c>
      <c r="I881" s="1" t="str">
        <f t="shared" si="68"/>
        <v/>
      </c>
      <c r="J881" s="1" t="str">
        <f>_xlfn.IFNA(INDEX([1]历练产出!$Z:$Z,MATCH(B881,[1]历练产出!$AB:$AB,0)),"")</f>
        <v/>
      </c>
      <c r="K881" s="1" t="str">
        <f>_xlfn.IFNA(INDEX([1]洞天福地产出!$H:$H,MATCH(B881,[1]洞天福地产出!$K:$K,0)),"")</f>
        <v/>
      </c>
      <c r="L881" s="1" t="str">
        <f t="shared" si="69"/>
        <v/>
      </c>
      <c r="M881" s="4">
        <f t="shared" si="70"/>
        <v>0</v>
      </c>
    </row>
    <row r="882" ht="60" spans="1:13">
      <c r="A882" s="4"/>
      <c r="B882" t="str">
        <f t="shared" si="71"/>
        <v>7:16000125</v>
      </c>
      <c r="C882" s="1">
        <v>7</v>
      </c>
      <c r="D882" s="4">
        <v>16000125</v>
      </c>
      <c r="E882" s="3" t="s">
        <v>1893</v>
      </c>
      <c r="F882" s="3"/>
      <c r="G882" s="1">
        <v>6439.5</v>
      </c>
      <c r="H882" s="1">
        <f t="shared" si="67"/>
        <v>6439.5</v>
      </c>
      <c r="I882" s="1" t="str">
        <f t="shared" si="68"/>
        <v/>
      </c>
      <c r="J882" s="1" t="str">
        <f>_xlfn.IFNA(INDEX([1]历练产出!$Z:$Z,MATCH(B882,[1]历练产出!$AB:$AB,0)),"")</f>
        <v/>
      </c>
      <c r="K882" s="1" t="str">
        <f>_xlfn.IFNA(INDEX([1]洞天福地产出!$H:$H,MATCH(B882,[1]洞天福地产出!$K:$K,0)),"")</f>
        <v/>
      </c>
      <c r="L882" s="1" t="str">
        <f t="shared" si="69"/>
        <v/>
      </c>
      <c r="M882" s="4">
        <f t="shared" si="70"/>
        <v>0</v>
      </c>
    </row>
    <row r="883" ht="60" spans="1:13">
      <c r="A883" s="4"/>
      <c r="B883" t="str">
        <f t="shared" si="71"/>
        <v>7:16000126</v>
      </c>
      <c r="C883" s="1">
        <v>7</v>
      </c>
      <c r="D883" s="4">
        <v>16000126</v>
      </c>
      <c r="E883" s="3" t="s">
        <v>1893</v>
      </c>
      <c r="F883" s="3"/>
      <c r="G883" s="1">
        <v>6751.35</v>
      </c>
      <c r="H883" s="1">
        <f t="shared" si="67"/>
        <v>6751.35</v>
      </c>
      <c r="I883" s="1" t="str">
        <f t="shared" si="68"/>
        <v/>
      </c>
      <c r="J883" s="1" t="str">
        <f>_xlfn.IFNA(INDEX([1]历练产出!$Z:$Z,MATCH(B883,[1]历练产出!$AB:$AB,0)),"")</f>
        <v/>
      </c>
      <c r="K883" s="1" t="str">
        <f>_xlfn.IFNA(INDEX([1]洞天福地产出!$H:$H,MATCH(B883,[1]洞天福地产出!$K:$K,0)),"")</f>
        <v/>
      </c>
      <c r="L883" s="1" t="str">
        <f t="shared" si="69"/>
        <v/>
      </c>
      <c r="M883" s="4">
        <f t="shared" si="70"/>
        <v>0</v>
      </c>
    </row>
    <row r="884" ht="60" spans="1:13">
      <c r="A884" s="4"/>
      <c r="B884" t="str">
        <f t="shared" si="71"/>
        <v>7:16000127</v>
      </c>
      <c r="C884" s="1">
        <v>7</v>
      </c>
      <c r="D884" s="4">
        <v>16000127</v>
      </c>
      <c r="E884" s="3" t="s">
        <v>1893</v>
      </c>
      <c r="F884" s="3"/>
      <c r="G884" s="1">
        <v>7075.35</v>
      </c>
      <c r="H884" s="1">
        <f t="shared" si="67"/>
        <v>7075.35</v>
      </c>
      <c r="I884" s="1" t="str">
        <f t="shared" si="68"/>
        <v/>
      </c>
      <c r="J884" s="1" t="str">
        <f>_xlfn.IFNA(INDEX([1]历练产出!$Z:$Z,MATCH(B884,[1]历练产出!$AB:$AB,0)),"")</f>
        <v/>
      </c>
      <c r="K884" s="1" t="str">
        <f>_xlfn.IFNA(INDEX([1]洞天福地产出!$H:$H,MATCH(B884,[1]洞天福地产出!$K:$K,0)),"")</f>
        <v/>
      </c>
      <c r="L884" s="1" t="str">
        <f t="shared" si="69"/>
        <v/>
      </c>
      <c r="M884" s="4">
        <f t="shared" si="70"/>
        <v>0</v>
      </c>
    </row>
    <row r="885" ht="60" spans="1:13">
      <c r="A885" s="4"/>
      <c r="B885" t="str">
        <f t="shared" si="71"/>
        <v>7:16000128</v>
      </c>
      <c r="C885" s="1">
        <v>7</v>
      </c>
      <c r="D885" s="4">
        <v>16000128</v>
      </c>
      <c r="E885" s="3" t="s">
        <v>1893</v>
      </c>
      <c r="F885" s="3"/>
      <c r="G885" s="1">
        <v>7411.5</v>
      </c>
      <c r="H885" s="1">
        <f t="shared" si="67"/>
        <v>7411.5</v>
      </c>
      <c r="I885" s="1" t="str">
        <f t="shared" si="68"/>
        <v/>
      </c>
      <c r="J885" s="1" t="str">
        <f>_xlfn.IFNA(INDEX([1]历练产出!$Z:$Z,MATCH(B885,[1]历练产出!$AB:$AB,0)),"")</f>
        <v/>
      </c>
      <c r="K885" s="1" t="str">
        <f>_xlfn.IFNA(INDEX([1]洞天福地产出!$H:$H,MATCH(B885,[1]洞天福地产出!$K:$K,0)),"")</f>
        <v/>
      </c>
      <c r="L885" s="1" t="str">
        <f t="shared" si="69"/>
        <v/>
      </c>
      <c r="M885" s="4">
        <f t="shared" si="70"/>
        <v>0</v>
      </c>
    </row>
    <row r="886" ht="60" spans="1:13">
      <c r="A886" s="4"/>
      <c r="B886" t="str">
        <f t="shared" si="71"/>
        <v>7:16000129</v>
      </c>
      <c r="C886" s="1">
        <v>7</v>
      </c>
      <c r="D886" s="4">
        <v>16000129</v>
      </c>
      <c r="E886" s="3" t="s">
        <v>1893</v>
      </c>
      <c r="F886" s="3"/>
      <c r="G886" s="1">
        <v>9703.8</v>
      </c>
      <c r="H886" s="1">
        <f t="shared" si="67"/>
        <v>9703.8</v>
      </c>
      <c r="I886" s="1" t="str">
        <f t="shared" si="68"/>
        <v/>
      </c>
      <c r="J886" s="1" t="str">
        <f>_xlfn.IFNA(INDEX([1]历练产出!$Z:$Z,MATCH(B886,[1]历练产出!$AB:$AB,0)),"")</f>
        <v/>
      </c>
      <c r="K886" s="1" t="str">
        <f>_xlfn.IFNA(INDEX([1]洞天福地产出!$H:$H,MATCH(B886,[1]洞天福地产出!$K:$K,0)),"")</f>
        <v/>
      </c>
      <c r="L886" s="1" t="str">
        <f t="shared" si="69"/>
        <v/>
      </c>
      <c r="M886" s="4">
        <f t="shared" si="70"/>
        <v>0</v>
      </c>
    </row>
    <row r="887" ht="60" spans="1:13">
      <c r="A887" s="4"/>
      <c r="B887" t="str">
        <f t="shared" si="71"/>
        <v>7:16000130</v>
      </c>
      <c r="C887" s="1">
        <v>7</v>
      </c>
      <c r="D887" s="4">
        <v>16000130</v>
      </c>
      <c r="E887" s="3" t="s">
        <v>1893</v>
      </c>
      <c r="F887" s="3"/>
      <c r="G887" s="1">
        <v>10052.1</v>
      </c>
      <c r="H887" s="1">
        <f t="shared" si="67"/>
        <v>10052.1</v>
      </c>
      <c r="I887" s="1" t="str">
        <f t="shared" si="68"/>
        <v/>
      </c>
      <c r="J887" s="1" t="str">
        <f>_xlfn.IFNA(INDEX([1]历练产出!$Z:$Z,MATCH(B887,[1]历练产出!$AB:$AB,0)),"")</f>
        <v/>
      </c>
      <c r="K887" s="1" t="str">
        <f>_xlfn.IFNA(INDEX([1]洞天福地产出!$H:$H,MATCH(B887,[1]洞天福地产出!$K:$K,0)),"")</f>
        <v/>
      </c>
      <c r="L887" s="1" t="str">
        <f t="shared" si="69"/>
        <v/>
      </c>
      <c r="M887" s="4">
        <f t="shared" si="70"/>
        <v>0</v>
      </c>
    </row>
    <row r="888" ht="45" spans="1:13">
      <c r="A888" s="4"/>
      <c r="B888" t="str">
        <f t="shared" si="71"/>
        <v>7:17000101</v>
      </c>
      <c r="C888" s="1">
        <v>7</v>
      </c>
      <c r="D888" s="4">
        <v>17000101</v>
      </c>
      <c r="E888" s="3" t="s">
        <v>1894</v>
      </c>
      <c r="F888" s="3"/>
      <c r="G888" s="1">
        <v>656.1</v>
      </c>
      <c r="H888" s="1">
        <f t="shared" si="67"/>
        <v>656.1</v>
      </c>
      <c r="I888" s="1" t="str">
        <f t="shared" si="68"/>
        <v/>
      </c>
      <c r="J888" s="1" t="str">
        <f>_xlfn.IFNA(INDEX([1]历练产出!$Z:$Z,MATCH(B888,[1]历练产出!$AB:$AB,0)),"")</f>
        <v/>
      </c>
      <c r="K888" s="1" t="str">
        <f>_xlfn.IFNA(INDEX([1]洞天福地产出!$H:$H,MATCH(B888,[1]洞天福地产出!$K:$K,0)),"")</f>
        <v/>
      </c>
      <c r="L888" s="1" t="str">
        <f t="shared" si="69"/>
        <v/>
      </c>
      <c r="M888" s="4">
        <f t="shared" si="70"/>
        <v>0</v>
      </c>
    </row>
    <row r="889" ht="45" spans="1:13">
      <c r="A889" s="4"/>
      <c r="B889" t="str">
        <f t="shared" si="71"/>
        <v>7:17000102</v>
      </c>
      <c r="C889" s="1">
        <v>7</v>
      </c>
      <c r="D889" s="4">
        <v>17000102</v>
      </c>
      <c r="E889" s="3" t="s">
        <v>1894</v>
      </c>
      <c r="F889" s="3"/>
      <c r="G889" s="1">
        <v>676.35</v>
      </c>
      <c r="H889" s="1">
        <f t="shared" si="67"/>
        <v>676.35</v>
      </c>
      <c r="I889" s="1" t="str">
        <f t="shared" si="68"/>
        <v/>
      </c>
      <c r="J889" s="1" t="str">
        <f>_xlfn.IFNA(INDEX([1]历练产出!$Z:$Z,MATCH(B889,[1]历练产出!$AB:$AB,0)),"")</f>
        <v/>
      </c>
      <c r="K889" s="1" t="str">
        <f>_xlfn.IFNA(INDEX([1]洞天福地产出!$H:$H,MATCH(B889,[1]洞天福地产出!$K:$K,0)),"")</f>
        <v/>
      </c>
      <c r="L889" s="1" t="str">
        <f t="shared" si="69"/>
        <v/>
      </c>
      <c r="M889" s="4">
        <f t="shared" si="70"/>
        <v>0</v>
      </c>
    </row>
    <row r="890" ht="45" spans="1:13">
      <c r="A890" s="4"/>
      <c r="B890" t="str">
        <f t="shared" si="71"/>
        <v>7:17000103</v>
      </c>
      <c r="C890" s="1">
        <v>7</v>
      </c>
      <c r="D890" s="4">
        <v>17000103</v>
      </c>
      <c r="E890" s="3" t="s">
        <v>1894</v>
      </c>
      <c r="F890" s="3"/>
      <c r="G890" s="1">
        <v>708.75</v>
      </c>
      <c r="H890" s="1">
        <f t="shared" si="67"/>
        <v>708.75</v>
      </c>
      <c r="I890" s="1" t="str">
        <f t="shared" si="68"/>
        <v/>
      </c>
      <c r="J890" s="1" t="str">
        <f>_xlfn.IFNA(INDEX([1]历练产出!$Z:$Z,MATCH(B890,[1]历练产出!$AB:$AB,0)),"")</f>
        <v/>
      </c>
      <c r="K890" s="1" t="str">
        <f>_xlfn.IFNA(INDEX([1]洞天福地产出!$H:$H,MATCH(B890,[1]洞天福地产出!$K:$K,0)),"")</f>
        <v/>
      </c>
      <c r="L890" s="1" t="str">
        <f t="shared" si="69"/>
        <v/>
      </c>
      <c r="M890" s="4">
        <f t="shared" si="70"/>
        <v>0</v>
      </c>
    </row>
    <row r="891" ht="45" spans="1:13">
      <c r="A891" s="4"/>
      <c r="B891" t="str">
        <f t="shared" si="71"/>
        <v>7:17000104</v>
      </c>
      <c r="C891" s="1">
        <v>7</v>
      </c>
      <c r="D891" s="4">
        <v>17000104</v>
      </c>
      <c r="E891" s="3" t="s">
        <v>1894</v>
      </c>
      <c r="F891" s="3"/>
      <c r="G891" s="1">
        <v>753.3</v>
      </c>
      <c r="H891" s="1">
        <f t="shared" si="67"/>
        <v>753.3</v>
      </c>
      <c r="I891" s="1" t="str">
        <f t="shared" si="68"/>
        <v/>
      </c>
      <c r="J891" s="1" t="str">
        <f>_xlfn.IFNA(INDEX([1]历练产出!$Z:$Z,MATCH(B891,[1]历练产出!$AB:$AB,0)),"")</f>
        <v/>
      </c>
      <c r="K891" s="1" t="str">
        <f>_xlfn.IFNA(INDEX([1]洞天福地产出!$H:$H,MATCH(B891,[1]洞天福地产出!$K:$K,0)),"")</f>
        <v/>
      </c>
      <c r="L891" s="1" t="str">
        <f t="shared" si="69"/>
        <v/>
      </c>
      <c r="M891" s="4">
        <f t="shared" si="70"/>
        <v>0</v>
      </c>
    </row>
    <row r="892" ht="45" spans="1:13">
      <c r="A892" s="4"/>
      <c r="B892" t="str">
        <f t="shared" si="71"/>
        <v>7:17000105</v>
      </c>
      <c r="C892" s="1">
        <v>7</v>
      </c>
      <c r="D892" s="4">
        <v>17000105</v>
      </c>
      <c r="E892" s="3" t="s">
        <v>1894</v>
      </c>
      <c r="F892" s="3"/>
      <c r="G892" s="1">
        <v>810</v>
      </c>
      <c r="H892" s="1">
        <f t="shared" si="67"/>
        <v>810</v>
      </c>
      <c r="I892" s="1" t="str">
        <f t="shared" si="68"/>
        <v/>
      </c>
      <c r="J892" s="1" t="str">
        <f>_xlfn.IFNA(INDEX([1]历练产出!$Z:$Z,MATCH(B892,[1]历练产出!$AB:$AB,0)),"")</f>
        <v/>
      </c>
      <c r="K892" s="1" t="str">
        <f>_xlfn.IFNA(INDEX([1]洞天福地产出!$H:$H,MATCH(B892,[1]洞天福地产出!$K:$K,0)),"")</f>
        <v/>
      </c>
      <c r="L892" s="1" t="str">
        <f t="shared" si="69"/>
        <v/>
      </c>
      <c r="M892" s="4">
        <f t="shared" si="70"/>
        <v>0</v>
      </c>
    </row>
    <row r="893" ht="45" spans="1:13">
      <c r="A893" s="4"/>
      <c r="B893" t="str">
        <f t="shared" si="71"/>
        <v>7:17000106</v>
      </c>
      <c r="C893" s="1">
        <v>7</v>
      </c>
      <c r="D893" s="4">
        <v>17000106</v>
      </c>
      <c r="E893" s="3" t="s">
        <v>1894</v>
      </c>
      <c r="F893" s="3"/>
      <c r="G893" s="1">
        <v>878.85</v>
      </c>
      <c r="H893" s="1">
        <f t="shared" si="67"/>
        <v>878.85</v>
      </c>
      <c r="I893" s="1" t="str">
        <f t="shared" si="68"/>
        <v/>
      </c>
      <c r="J893" s="1" t="str">
        <f>_xlfn.IFNA(INDEX([1]历练产出!$Z:$Z,MATCH(B893,[1]历练产出!$AB:$AB,0)),"")</f>
        <v/>
      </c>
      <c r="K893" s="1" t="str">
        <f>_xlfn.IFNA(INDEX([1]洞天福地产出!$H:$H,MATCH(B893,[1]洞天福地产出!$K:$K,0)),"")</f>
        <v/>
      </c>
      <c r="L893" s="1" t="str">
        <f t="shared" si="69"/>
        <v/>
      </c>
      <c r="M893" s="4">
        <f t="shared" si="70"/>
        <v>0</v>
      </c>
    </row>
    <row r="894" ht="45" spans="1:13">
      <c r="A894" s="4"/>
      <c r="B894" t="str">
        <f t="shared" si="71"/>
        <v>7:17000107</v>
      </c>
      <c r="C894" s="1">
        <v>7</v>
      </c>
      <c r="D894" s="4">
        <v>17000107</v>
      </c>
      <c r="E894" s="3" t="s">
        <v>1894</v>
      </c>
      <c r="F894" s="3"/>
      <c r="G894" s="1">
        <v>959.85</v>
      </c>
      <c r="H894" s="1">
        <f t="shared" si="67"/>
        <v>959.85</v>
      </c>
      <c r="I894" s="1" t="str">
        <f t="shared" si="68"/>
        <v/>
      </c>
      <c r="J894" s="1" t="str">
        <f>_xlfn.IFNA(INDEX([1]历练产出!$Z:$Z,MATCH(B894,[1]历练产出!$AB:$AB,0)),"")</f>
        <v/>
      </c>
      <c r="K894" s="1" t="str">
        <f>_xlfn.IFNA(INDEX([1]洞天福地产出!$H:$H,MATCH(B894,[1]洞天福地产出!$K:$K,0)),"")</f>
        <v/>
      </c>
      <c r="L894" s="1" t="str">
        <f t="shared" si="69"/>
        <v/>
      </c>
      <c r="M894" s="4">
        <f t="shared" si="70"/>
        <v>0</v>
      </c>
    </row>
    <row r="895" ht="45" spans="1:13">
      <c r="A895" s="4"/>
      <c r="B895" t="str">
        <f t="shared" si="71"/>
        <v>7:17000108</v>
      </c>
      <c r="C895" s="1">
        <v>7</v>
      </c>
      <c r="D895" s="4">
        <v>17000108</v>
      </c>
      <c r="E895" s="3" t="s">
        <v>1894</v>
      </c>
      <c r="F895" s="3"/>
      <c r="G895" s="1">
        <v>1053</v>
      </c>
      <c r="H895" s="1">
        <f t="shared" si="67"/>
        <v>1053</v>
      </c>
      <c r="I895" s="1" t="str">
        <f t="shared" si="68"/>
        <v/>
      </c>
      <c r="J895" s="1" t="str">
        <f>_xlfn.IFNA(INDEX([1]历练产出!$Z:$Z,MATCH(B895,[1]历练产出!$AB:$AB,0)),"")</f>
        <v/>
      </c>
      <c r="K895" s="1" t="str">
        <f>_xlfn.IFNA(INDEX([1]洞天福地产出!$H:$H,MATCH(B895,[1]洞天福地产出!$K:$K,0)),"")</f>
        <v/>
      </c>
      <c r="L895" s="1" t="str">
        <f t="shared" si="69"/>
        <v/>
      </c>
      <c r="M895" s="4">
        <f t="shared" si="70"/>
        <v>0</v>
      </c>
    </row>
    <row r="896" ht="45" spans="1:13">
      <c r="A896" s="4"/>
      <c r="B896" t="str">
        <f t="shared" si="71"/>
        <v>7:17000109</v>
      </c>
      <c r="C896" s="1">
        <v>7</v>
      </c>
      <c r="D896" s="4">
        <v>17000109</v>
      </c>
      <c r="E896" s="3" t="s">
        <v>1894</v>
      </c>
      <c r="F896" s="3"/>
      <c r="G896" s="1">
        <v>1806.3</v>
      </c>
      <c r="H896" s="1">
        <f t="shared" si="67"/>
        <v>1806.3</v>
      </c>
      <c r="I896" s="1" t="str">
        <f t="shared" si="68"/>
        <v/>
      </c>
      <c r="J896" s="1" t="str">
        <f>_xlfn.IFNA(INDEX([1]历练产出!$Z:$Z,MATCH(B896,[1]历练产出!$AB:$AB,0)),"")</f>
        <v/>
      </c>
      <c r="K896" s="1" t="str">
        <f>_xlfn.IFNA(INDEX([1]洞天福地产出!$H:$H,MATCH(B896,[1]洞天福地产出!$K:$K,0)),"")</f>
        <v/>
      </c>
      <c r="L896" s="1" t="str">
        <f t="shared" si="69"/>
        <v/>
      </c>
      <c r="M896" s="4">
        <f t="shared" si="70"/>
        <v>0</v>
      </c>
    </row>
    <row r="897" ht="45" spans="1:13">
      <c r="A897" s="4"/>
      <c r="B897" t="str">
        <f t="shared" si="71"/>
        <v>7:17000110</v>
      </c>
      <c r="C897" s="1">
        <v>7</v>
      </c>
      <c r="D897" s="4">
        <v>17000110</v>
      </c>
      <c r="E897" s="3" t="s">
        <v>1894</v>
      </c>
      <c r="F897" s="3"/>
      <c r="G897" s="1">
        <v>1923.75</v>
      </c>
      <c r="H897" s="1">
        <f t="shared" si="67"/>
        <v>1923.75</v>
      </c>
      <c r="I897" s="1" t="str">
        <f t="shared" si="68"/>
        <v/>
      </c>
      <c r="J897" s="1" t="str">
        <f>_xlfn.IFNA(INDEX([1]历练产出!$Z:$Z,MATCH(B897,[1]历练产出!$AB:$AB,0)),"")</f>
        <v/>
      </c>
      <c r="K897" s="1" t="str">
        <f>_xlfn.IFNA(INDEX([1]洞天福地产出!$H:$H,MATCH(B897,[1]洞天福地产出!$K:$K,0)),"")</f>
        <v/>
      </c>
      <c r="L897" s="1" t="str">
        <f t="shared" si="69"/>
        <v/>
      </c>
      <c r="M897" s="4">
        <f t="shared" si="70"/>
        <v>0</v>
      </c>
    </row>
    <row r="898" ht="45" spans="1:13">
      <c r="A898" s="4"/>
      <c r="B898" t="str">
        <f t="shared" si="71"/>
        <v>7:17000111</v>
      </c>
      <c r="C898" s="1">
        <v>7</v>
      </c>
      <c r="D898" s="4">
        <v>17000111</v>
      </c>
      <c r="E898" s="3" t="s">
        <v>1894</v>
      </c>
      <c r="F898" s="3"/>
      <c r="G898" s="1">
        <v>2053.35</v>
      </c>
      <c r="H898" s="1">
        <f t="shared" si="67"/>
        <v>2053.35</v>
      </c>
      <c r="I898" s="1" t="str">
        <f t="shared" si="68"/>
        <v/>
      </c>
      <c r="J898" s="1" t="str">
        <f>_xlfn.IFNA(INDEX([1]历练产出!$Z:$Z,MATCH(B898,[1]历练产出!$AB:$AB,0)),"")</f>
        <v/>
      </c>
      <c r="K898" s="1" t="str">
        <f>_xlfn.IFNA(INDEX([1]洞天福地产出!$H:$H,MATCH(B898,[1]洞天福地产出!$K:$K,0)),"")</f>
        <v/>
      </c>
      <c r="L898" s="1" t="str">
        <f t="shared" si="69"/>
        <v/>
      </c>
      <c r="M898" s="4">
        <f t="shared" si="70"/>
        <v>0</v>
      </c>
    </row>
    <row r="899" ht="45" spans="1:13">
      <c r="A899" s="4"/>
      <c r="B899" t="str">
        <f t="shared" si="71"/>
        <v>7:17000112</v>
      </c>
      <c r="C899" s="1">
        <v>7</v>
      </c>
      <c r="D899" s="4">
        <v>17000112</v>
      </c>
      <c r="E899" s="3" t="s">
        <v>1894</v>
      </c>
      <c r="F899" s="3"/>
      <c r="G899" s="1">
        <v>2195.1</v>
      </c>
      <c r="H899" s="1">
        <f t="shared" si="67"/>
        <v>2195.1</v>
      </c>
      <c r="I899" s="1" t="str">
        <f t="shared" si="68"/>
        <v/>
      </c>
      <c r="J899" s="1" t="str">
        <f>_xlfn.IFNA(INDEX([1]历练产出!$Z:$Z,MATCH(B899,[1]历练产出!$AB:$AB,0)),"")</f>
        <v/>
      </c>
      <c r="K899" s="1" t="str">
        <f>_xlfn.IFNA(INDEX([1]洞天福地产出!$H:$H,MATCH(B899,[1]洞天福地产出!$K:$K,0)),"")</f>
        <v/>
      </c>
      <c r="L899" s="1" t="str">
        <f t="shared" si="69"/>
        <v/>
      </c>
      <c r="M899" s="4">
        <f t="shared" si="70"/>
        <v>0</v>
      </c>
    </row>
    <row r="900" ht="45" spans="1:13">
      <c r="A900" s="4"/>
      <c r="B900" t="str">
        <f t="shared" si="71"/>
        <v>7:17000113</v>
      </c>
      <c r="C900" s="1">
        <v>7</v>
      </c>
      <c r="D900" s="4">
        <v>17000113</v>
      </c>
      <c r="E900" s="3" t="s">
        <v>1894</v>
      </c>
      <c r="F900" s="3"/>
      <c r="G900" s="1">
        <v>2349</v>
      </c>
      <c r="H900" s="1">
        <f t="shared" ref="H900:H963" si="72">IF(I900="",G900,I900)</f>
        <v>2349</v>
      </c>
      <c r="I900" s="1" t="str">
        <f t="shared" ref="I900:I963" si="73">IFERROR(100/L900,"")</f>
        <v/>
      </c>
      <c r="J900" s="1" t="str">
        <f>_xlfn.IFNA(INDEX([1]历练产出!$Z:$Z,MATCH(B900,[1]历练产出!$AB:$AB,0)),"")</f>
        <v/>
      </c>
      <c r="K900" s="1" t="str">
        <f>_xlfn.IFNA(INDEX([1]洞天福地产出!$H:$H,MATCH(B900,[1]洞天福地产出!$K:$K,0)),"")</f>
        <v/>
      </c>
      <c r="L900" s="1" t="str">
        <f t="shared" ref="L900:L963" si="74">IFERROR(J900+K900,"")</f>
        <v/>
      </c>
      <c r="M900" s="4">
        <f t="shared" ref="M900:M963" si="75">IF(I900="",0,1)</f>
        <v>0</v>
      </c>
    </row>
    <row r="901" ht="45" spans="1:13">
      <c r="A901" s="4"/>
      <c r="B901" t="str">
        <f t="shared" si="71"/>
        <v>7:17000114</v>
      </c>
      <c r="C901" s="1">
        <v>7</v>
      </c>
      <c r="D901" s="4">
        <v>17000114</v>
      </c>
      <c r="E901" s="3" t="s">
        <v>1894</v>
      </c>
      <c r="F901" s="3"/>
      <c r="G901" s="1">
        <v>2515.05</v>
      </c>
      <c r="H901" s="1">
        <f t="shared" si="72"/>
        <v>2515.05</v>
      </c>
      <c r="I901" s="1" t="str">
        <f t="shared" si="73"/>
        <v/>
      </c>
      <c r="J901" s="1" t="str">
        <f>_xlfn.IFNA(INDEX([1]历练产出!$Z:$Z,MATCH(B901,[1]历练产出!$AB:$AB,0)),"")</f>
        <v/>
      </c>
      <c r="K901" s="1" t="str">
        <f>_xlfn.IFNA(INDEX([1]洞天福地产出!$H:$H,MATCH(B901,[1]洞天福地产出!$K:$K,0)),"")</f>
        <v/>
      </c>
      <c r="L901" s="1" t="str">
        <f t="shared" si="74"/>
        <v/>
      </c>
      <c r="M901" s="4">
        <f t="shared" si="75"/>
        <v>0</v>
      </c>
    </row>
    <row r="902" ht="45" spans="1:13">
      <c r="A902" s="4"/>
      <c r="B902" t="str">
        <f t="shared" si="71"/>
        <v>7:17000115</v>
      </c>
      <c r="C902" s="1">
        <v>7</v>
      </c>
      <c r="D902" s="4">
        <v>17000115</v>
      </c>
      <c r="E902" s="3" t="s">
        <v>1894</v>
      </c>
      <c r="F902" s="3"/>
      <c r="G902" s="1">
        <v>2693.25</v>
      </c>
      <c r="H902" s="1">
        <f t="shared" si="72"/>
        <v>2693.25</v>
      </c>
      <c r="I902" s="1" t="str">
        <f t="shared" si="73"/>
        <v/>
      </c>
      <c r="J902" s="1" t="str">
        <f>_xlfn.IFNA(INDEX([1]历练产出!$Z:$Z,MATCH(B902,[1]历练产出!$AB:$AB,0)),"")</f>
        <v/>
      </c>
      <c r="K902" s="1" t="str">
        <f>_xlfn.IFNA(INDEX([1]洞天福地产出!$H:$H,MATCH(B902,[1]洞天福地产出!$K:$K,0)),"")</f>
        <v/>
      </c>
      <c r="L902" s="1" t="str">
        <f t="shared" si="74"/>
        <v/>
      </c>
      <c r="M902" s="4">
        <f t="shared" si="75"/>
        <v>0</v>
      </c>
    </row>
    <row r="903" ht="45" spans="1:13">
      <c r="A903" s="4"/>
      <c r="B903" t="str">
        <f t="shared" si="71"/>
        <v>7:17000116</v>
      </c>
      <c r="C903" s="1">
        <v>7</v>
      </c>
      <c r="D903" s="4">
        <v>17000116</v>
      </c>
      <c r="E903" s="3" t="s">
        <v>1894</v>
      </c>
      <c r="F903" s="3"/>
      <c r="G903" s="1">
        <v>2883.6</v>
      </c>
      <c r="H903" s="1">
        <f t="shared" si="72"/>
        <v>2883.6</v>
      </c>
      <c r="I903" s="1" t="str">
        <f t="shared" si="73"/>
        <v/>
      </c>
      <c r="J903" s="1" t="str">
        <f>_xlfn.IFNA(INDEX([1]历练产出!$Z:$Z,MATCH(B903,[1]历练产出!$AB:$AB,0)),"")</f>
        <v/>
      </c>
      <c r="K903" s="1" t="str">
        <f>_xlfn.IFNA(INDEX([1]洞天福地产出!$H:$H,MATCH(B903,[1]洞天福地产出!$K:$K,0)),"")</f>
        <v/>
      </c>
      <c r="L903" s="1" t="str">
        <f t="shared" si="74"/>
        <v/>
      </c>
      <c r="M903" s="4">
        <f t="shared" si="75"/>
        <v>0</v>
      </c>
    </row>
    <row r="904" ht="45" spans="1:13">
      <c r="A904" s="4"/>
      <c r="B904" t="str">
        <f t="shared" si="71"/>
        <v>7:17000117</v>
      </c>
      <c r="C904" s="1">
        <v>7</v>
      </c>
      <c r="D904" s="4">
        <v>17000117</v>
      </c>
      <c r="E904" s="3" t="s">
        <v>1894</v>
      </c>
      <c r="F904" s="3"/>
      <c r="G904" s="1">
        <v>3086.1</v>
      </c>
      <c r="H904" s="1">
        <f t="shared" si="72"/>
        <v>3086.1</v>
      </c>
      <c r="I904" s="1" t="str">
        <f t="shared" si="73"/>
        <v/>
      </c>
      <c r="J904" s="1" t="str">
        <f>_xlfn.IFNA(INDEX([1]历练产出!$Z:$Z,MATCH(B904,[1]历练产出!$AB:$AB,0)),"")</f>
        <v/>
      </c>
      <c r="K904" s="1" t="str">
        <f>_xlfn.IFNA(INDEX([1]洞天福地产出!$H:$H,MATCH(B904,[1]洞天福地产出!$K:$K,0)),"")</f>
        <v/>
      </c>
      <c r="L904" s="1" t="str">
        <f t="shared" si="74"/>
        <v/>
      </c>
      <c r="M904" s="4">
        <f t="shared" si="75"/>
        <v>0</v>
      </c>
    </row>
    <row r="905" ht="45" spans="1:13">
      <c r="A905" s="4"/>
      <c r="B905" t="str">
        <f t="shared" si="71"/>
        <v>7:17000118</v>
      </c>
      <c r="C905" s="1">
        <v>7</v>
      </c>
      <c r="D905" s="4">
        <v>17000118</v>
      </c>
      <c r="E905" s="3" t="s">
        <v>1894</v>
      </c>
      <c r="F905" s="3"/>
      <c r="G905" s="1">
        <v>3300.75</v>
      </c>
      <c r="H905" s="1">
        <f t="shared" si="72"/>
        <v>3300.75</v>
      </c>
      <c r="I905" s="1" t="str">
        <f t="shared" si="73"/>
        <v/>
      </c>
      <c r="J905" s="1" t="str">
        <f>_xlfn.IFNA(INDEX([1]历练产出!$Z:$Z,MATCH(B905,[1]历练产出!$AB:$AB,0)),"")</f>
        <v/>
      </c>
      <c r="K905" s="1" t="str">
        <f>_xlfn.IFNA(INDEX([1]洞天福地产出!$H:$H,MATCH(B905,[1]洞天福地产出!$K:$K,0)),"")</f>
        <v/>
      </c>
      <c r="L905" s="1" t="str">
        <f t="shared" si="74"/>
        <v/>
      </c>
      <c r="M905" s="4">
        <f t="shared" si="75"/>
        <v>0</v>
      </c>
    </row>
    <row r="906" ht="45" spans="1:13">
      <c r="A906" s="4"/>
      <c r="B906" t="str">
        <f t="shared" si="71"/>
        <v>7:17000119</v>
      </c>
      <c r="C906" s="1">
        <v>7</v>
      </c>
      <c r="D906" s="4">
        <v>17000119</v>
      </c>
      <c r="E906" s="3" t="s">
        <v>1894</v>
      </c>
      <c r="F906" s="3"/>
      <c r="G906" s="1">
        <v>4823.55</v>
      </c>
      <c r="H906" s="1">
        <f t="shared" si="72"/>
        <v>4823.55</v>
      </c>
      <c r="I906" s="1" t="str">
        <f t="shared" si="73"/>
        <v/>
      </c>
      <c r="J906" s="1" t="str">
        <f>_xlfn.IFNA(INDEX([1]历练产出!$Z:$Z,MATCH(B906,[1]历练产出!$AB:$AB,0)),"")</f>
        <v/>
      </c>
      <c r="K906" s="1" t="str">
        <f>_xlfn.IFNA(INDEX([1]洞天福地产出!$H:$H,MATCH(B906,[1]洞天福地产出!$K:$K,0)),"")</f>
        <v/>
      </c>
      <c r="L906" s="1" t="str">
        <f t="shared" si="74"/>
        <v/>
      </c>
      <c r="M906" s="4">
        <f t="shared" si="75"/>
        <v>0</v>
      </c>
    </row>
    <row r="907" ht="45" spans="1:13">
      <c r="A907" s="4"/>
      <c r="B907" t="str">
        <f t="shared" si="71"/>
        <v>7:17000120</v>
      </c>
      <c r="C907" s="1">
        <v>7</v>
      </c>
      <c r="D907" s="4">
        <v>17000120</v>
      </c>
      <c r="E907" s="3" t="s">
        <v>1894</v>
      </c>
      <c r="F907" s="3"/>
      <c r="G907" s="1">
        <v>5062.5</v>
      </c>
      <c r="H907" s="1">
        <f t="shared" si="72"/>
        <v>5062.5</v>
      </c>
      <c r="I907" s="1" t="str">
        <f t="shared" si="73"/>
        <v/>
      </c>
      <c r="J907" s="1" t="str">
        <f>_xlfn.IFNA(INDEX([1]历练产出!$Z:$Z,MATCH(B907,[1]历练产出!$AB:$AB,0)),"")</f>
        <v/>
      </c>
      <c r="K907" s="1" t="str">
        <f>_xlfn.IFNA(INDEX([1]洞天福地产出!$H:$H,MATCH(B907,[1]洞天福地产出!$K:$K,0)),"")</f>
        <v/>
      </c>
      <c r="L907" s="1" t="str">
        <f t="shared" si="74"/>
        <v/>
      </c>
      <c r="M907" s="4">
        <f t="shared" si="75"/>
        <v>0</v>
      </c>
    </row>
    <row r="908" ht="45" spans="1:13">
      <c r="A908" s="4"/>
      <c r="B908" t="str">
        <f t="shared" si="71"/>
        <v>7:17000121</v>
      </c>
      <c r="C908" s="1">
        <v>7</v>
      </c>
      <c r="D908" s="4">
        <v>17000121</v>
      </c>
      <c r="E908" s="3" t="s">
        <v>1894</v>
      </c>
      <c r="F908" s="3"/>
      <c r="G908" s="1">
        <v>5313.6</v>
      </c>
      <c r="H908" s="1">
        <f t="shared" si="72"/>
        <v>5313.6</v>
      </c>
      <c r="I908" s="1" t="str">
        <f t="shared" si="73"/>
        <v/>
      </c>
      <c r="J908" s="1" t="str">
        <f>_xlfn.IFNA(INDEX([1]历练产出!$Z:$Z,MATCH(B908,[1]历练产出!$AB:$AB,0)),"")</f>
        <v/>
      </c>
      <c r="K908" s="1" t="str">
        <f>_xlfn.IFNA(INDEX([1]洞天福地产出!$H:$H,MATCH(B908,[1]洞天福地产出!$K:$K,0)),"")</f>
        <v/>
      </c>
      <c r="L908" s="1" t="str">
        <f t="shared" si="74"/>
        <v/>
      </c>
      <c r="M908" s="4">
        <f t="shared" si="75"/>
        <v>0</v>
      </c>
    </row>
    <row r="909" ht="45" spans="1:13">
      <c r="A909" s="4"/>
      <c r="B909" t="str">
        <f t="shared" si="71"/>
        <v>7:17000122</v>
      </c>
      <c r="C909" s="1">
        <v>7</v>
      </c>
      <c r="D909" s="4">
        <v>17000122</v>
      </c>
      <c r="E909" s="3" t="s">
        <v>1894</v>
      </c>
      <c r="F909" s="3"/>
      <c r="G909" s="1">
        <v>5576.85</v>
      </c>
      <c r="H909" s="1">
        <f t="shared" si="72"/>
        <v>5576.85</v>
      </c>
      <c r="I909" s="1" t="str">
        <f t="shared" si="73"/>
        <v/>
      </c>
      <c r="J909" s="1" t="str">
        <f>_xlfn.IFNA(INDEX([1]历练产出!$Z:$Z,MATCH(B909,[1]历练产出!$AB:$AB,0)),"")</f>
        <v/>
      </c>
      <c r="K909" s="1" t="str">
        <f>_xlfn.IFNA(INDEX([1]洞天福地产出!$H:$H,MATCH(B909,[1]洞天福地产出!$K:$K,0)),"")</f>
        <v/>
      </c>
      <c r="L909" s="1" t="str">
        <f t="shared" si="74"/>
        <v/>
      </c>
      <c r="M909" s="4">
        <f t="shared" si="75"/>
        <v>0</v>
      </c>
    </row>
    <row r="910" ht="45" spans="1:13">
      <c r="A910" s="4"/>
      <c r="B910" t="str">
        <f t="shared" si="71"/>
        <v>7:17000123</v>
      </c>
      <c r="C910" s="1">
        <v>7</v>
      </c>
      <c r="D910" s="4">
        <v>17000123</v>
      </c>
      <c r="E910" s="3" t="s">
        <v>1894</v>
      </c>
      <c r="F910" s="3"/>
      <c r="G910" s="1">
        <v>5852.25</v>
      </c>
      <c r="H910" s="1">
        <f t="shared" si="72"/>
        <v>5852.25</v>
      </c>
      <c r="I910" s="1" t="str">
        <f t="shared" si="73"/>
        <v/>
      </c>
      <c r="J910" s="1" t="str">
        <f>_xlfn.IFNA(INDEX([1]历练产出!$Z:$Z,MATCH(B910,[1]历练产出!$AB:$AB,0)),"")</f>
        <v/>
      </c>
      <c r="K910" s="1" t="str">
        <f>_xlfn.IFNA(INDEX([1]洞天福地产出!$H:$H,MATCH(B910,[1]洞天福地产出!$K:$K,0)),"")</f>
        <v/>
      </c>
      <c r="L910" s="1" t="str">
        <f t="shared" si="74"/>
        <v/>
      </c>
      <c r="M910" s="4">
        <f t="shared" si="75"/>
        <v>0</v>
      </c>
    </row>
    <row r="911" ht="45" spans="1:13">
      <c r="A911" s="4"/>
      <c r="B911" t="str">
        <f t="shared" si="71"/>
        <v>7:17000124</v>
      </c>
      <c r="C911" s="1">
        <v>7</v>
      </c>
      <c r="D911" s="4">
        <v>17000124</v>
      </c>
      <c r="E911" s="3" t="s">
        <v>1894</v>
      </c>
      <c r="F911" s="3"/>
      <c r="G911" s="1">
        <v>6139.8</v>
      </c>
      <c r="H911" s="1">
        <f t="shared" si="72"/>
        <v>6139.8</v>
      </c>
      <c r="I911" s="1" t="str">
        <f t="shared" si="73"/>
        <v/>
      </c>
      <c r="J911" s="1" t="str">
        <f>_xlfn.IFNA(INDEX([1]历练产出!$Z:$Z,MATCH(B911,[1]历练产出!$AB:$AB,0)),"")</f>
        <v/>
      </c>
      <c r="K911" s="1" t="str">
        <f>_xlfn.IFNA(INDEX([1]洞天福地产出!$H:$H,MATCH(B911,[1]洞天福地产出!$K:$K,0)),"")</f>
        <v/>
      </c>
      <c r="L911" s="1" t="str">
        <f t="shared" si="74"/>
        <v/>
      </c>
      <c r="M911" s="4">
        <f t="shared" si="75"/>
        <v>0</v>
      </c>
    </row>
    <row r="912" ht="45" spans="1:13">
      <c r="A912" s="4"/>
      <c r="B912" t="str">
        <f t="shared" si="71"/>
        <v>7:17000125</v>
      </c>
      <c r="C912" s="1">
        <v>7</v>
      </c>
      <c r="D912" s="4">
        <v>17000125</v>
      </c>
      <c r="E912" s="3" t="s">
        <v>1894</v>
      </c>
      <c r="F912" s="3"/>
      <c r="G912" s="1">
        <v>6439.5</v>
      </c>
      <c r="H912" s="1">
        <f t="shared" si="72"/>
        <v>6439.5</v>
      </c>
      <c r="I912" s="1" t="str">
        <f t="shared" si="73"/>
        <v/>
      </c>
      <c r="J912" s="1" t="str">
        <f>_xlfn.IFNA(INDEX([1]历练产出!$Z:$Z,MATCH(B912,[1]历练产出!$AB:$AB,0)),"")</f>
        <v/>
      </c>
      <c r="K912" s="1" t="str">
        <f>_xlfn.IFNA(INDEX([1]洞天福地产出!$H:$H,MATCH(B912,[1]洞天福地产出!$K:$K,0)),"")</f>
        <v/>
      </c>
      <c r="L912" s="1" t="str">
        <f t="shared" si="74"/>
        <v/>
      </c>
      <c r="M912" s="4">
        <f t="shared" si="75"/>
        <v>0</v>
      </c>
    </row>
    <row r="913" ht="45" spans="1:13">
      <c r="A913" s="4"/>
      <c r="B913" t="str">
        <f t="shared" si="71"/>
        <v>7:17000126</v>
      </c>
      <c r="C913" s="1">
        <v>7</v>
      </c>
      <c r="D913" s="4">
        <v>17000126</v>
      </c>
      <c r="E913" s="3" t="s">
        <v>1894</v>
      </c>
      <c r="F913" s="3"/>
      <c r="G913" s="1">
        <v>6751.35</v>
      </c>
      <c r="H913" s="1">
        <f t="shared" si="72"/>
        <v>6751.35</v>
      </c>
      <c r="I913" s="1" t="str">
        <f t="shared" si="73"/>
        <v/>
      </c>
      <c r="J913" s="1" t="str">
        <f>_xlfn.IFNA(INDEX([1]历练产出!$Z:$Z,MATCH(B913,[1]历练产出!$AB:$AB,0)),"")</f>
        <v/>
      </c>
      <c r="K913" s="1" t="str">
        <f>_xlfn.IFNA(INDEX([1]洞天福地产出!$H:$H,MATCH(B913,[1]洞天福地产出!$K:$K,0)),"")</f>
        <v/>
      </c>
      <c r="L913" s="1" t="str">
        <f t="shared" si="74"/>
        <v/>
      </c>
      <c r="M913" s="4">
        <f t="shared" si="75"/>
        <v>0</v>
      </c>
    </row>
    <row r="914" ht="45" spans="1:13">
      <c r="A914" s="4"/>
      <c r="B914" t="str">
        <f t="shared" si="71"/>
        <v>7:17000127</v>
      </c>
      <c r="C914" s="1">
        <v>7</v>
      </c>
      <c r="D914" s="4">
        <v>17000127</v>
      </c>
      <c r="E914" s="3" t="s">
        <v>1894</v>
      </c>
      <c r="F914" s="3"/>
      <c r="G914" s="1">
        <v>7075.35</v>
      </c>
      <c r="H914" s="1">
        <f t="shared" si="72"/>
        <v>7075.35</v>
      </c>
      <c r="I914" s="1" t="str">
        <f t="shared" si="73"/>
        <v/>
      </c>
      <c r="J914" s="1" t="str">
        <f>_xlfn.IFNA(INDEX([1]历练产出!$Z:$Z,MATCH(B914,[1]历练产出!$AB:$AB,0)),"")</f>
        <v/>
      </c>
      <c r="K914" s="1" t="str">
        <f>_xlfn.IFNA(INDEX([1]洞天福地产出!$H:$H,MATCH(B914,[1]洞天福地产出!$K:$K,0)),"")</f>
        <v/>
      </c>
      <c r="L914" s="1" t="str">
        <f t="shared" si="74"/>
        <v/>
      </c>
      <c r="M914" s="4">
        <f t="shared" si="75"/>
        <v>0</v>
      </c>
    </row>
    <row r="915" ht="45" spans="1:13">
      <c r="A915" s="4"/>
      <c r="B915" t="str">
        <f t="shared" si="71"/>
        <v>7:17000128</v>
      </c>
      <c r="C915" s="1">
        <v>7</v>
      </c>
      <c r="D915" s="4">
        <v>17000128</v>
      </c>
      <c r="E915" s="3" t="s">
        <v>1894</v>
      </c>
      <c r="F915" s="3"/>
      <c r="G915" s="1">
        <v>7411.5</v>
      </c>
      <c r="H915" s="1">
        <f t="shared" si="72"/>
        <v>7411.5</v>
      </c>
      <c r="I915" s="1" t="str">
        <f t="shared" si="73"/>
        <v/>
      </c>
      <c r="J915" s="1" t="str">
        <f>_xlfn.IFNA(INDEX([1]历练产出!$Z:$Z,MATCH(B915,[1]历练产出!$AB:$AB,0)),"")</f>
        <v/>
      </c>
      <c r="K915" s="1" t="str">
        <f>_xlfn.IFNA(INDEX([1]洞天福地产出!$H:$H,MATCH(B915,[1]洞天福地产出!$K:$K,0)),"")</f>
        <v/>
      </c>
      <c r="L915" s="1" t="str">
        <f t="shared" si="74"/>
        <v/>
      </c>
      <c r="M915" s="4">
        <f t="shared" si="75"/>
        <v>0</v>
      </c>
    </row>
    <row r="916" ht="45" spans="1:13">
      <c r="A916" s="4"/>
      <c r="B916" t="str">
        <f t="shared" si="71"/>
        <v>7:17000129</v>
      </c>
      <c r="C916" s="1">
        <v>7</v>
      </c>
      <c r="D916" s="4">
        <v>17000129</v>
      </c>
      <c r="E916" s="3" t="s">
        <v>1894</v>
      </c>
      <c r="F916" s="3"/>
      <c r="G916" s="1">
        <v>9703.8</v>
      </c>
      <c r="H916" s="1">
        <f t="shared" si="72"/>
        <v>9703.8</v>
      </c>
      <c r="I916" s="1" t="str">
        <f t="shared" si="73"/>
        <v/>
      </c>
      <c r="J916" s="1" t="str">
        <f>_xlfn.IFNA(INDEX([1]历练产出!$Z:$Z,MATCH(B916,[1]历练产出!$AB:$AB,0)),"")</f>
        <v/>
      </c>
      <c r="K916" s="1" t="str">
        <f>_xlfn.IFNA(INDEX([1]洞天福地产出!$H:$H,MATCH(B916,[1]洞天福地产出!$K:$K,0)),"")</f>
        <v/>
      </c>
      <c r="L916" s="1" t="str">
        <f t="shared" si="74"/>
        <v/>
      </c>
      <c r="M916" s="4">
        <f t="shared" si="75"/>
        <v>0</v>
      </c>
    </row>
    <row r="917" ht="45" spans="1:13">
      <c r="A917" s="4"/>
      <c r="B917" t="str">
        <f t="shared" si="71"/>
        <v>7:17000130</v>
      </c>
      <c r="C917" s="1">
        <v>7</v>
      </c>
      <c r="D917" s="4">
        <v>17000130</v>
      </c>
      <c r="E917" s="3" t="s">
        <v>1894</v>
      </c>
      <c r="F917" s="3"/>
      <c r="G917" s="1">
        <v>10052.1</v>
      </c>
      <c r="H917" s="1">
        <f t="shared" si="72"/>
        <v>10052.1</v>
      </c>
      <c r="I917" s="1" t="str">
        <f t="shared" si="73"/>
        <v/>
      </c>
      <c r="J917" s="1" t="str">
        <f>_xlfn.IFNA(INDEX([1]历练产出!$Z:$Z,MATCH(B917,[1]历练产出!$AB:$AB,0)),"")</f>
        <v/>
      </c>
      <c r="K917" s="1" t="str">
        <f>_xlfn.IFNA(INDEX([1]洞天福地产出!$H:$H,MATCH(B917,[1]洞天福地产出!$K:$K,0)),"")</f>
        <v/>
      </c>
      <c r="L917" s="1" t="str">
        <f t="shared" si="74"/>
        <v/>
      </c>
      <c r="M917" s="4">
        <f t="shared" si="75"/>
        <v>0</v>
      </c>
    </row>
    <row r="918" ht="45" spans="1:13">
      <c r="A918" s="4"/>
      <c r="B918" t="str">
        <f t="shared" si="71"/>
        <v>7:18000101</v>
      </c>
      <c r="C918" s="1">
        <v>7</v>
      </c>
      <c r="D918" s="4">
        <v>18000101</v>
      </c>
      <c r="E918" s="3" t="s">
        <v>1895</v>
      </c>
      <c r="F918" s="3"/>
      <c r="G918" s="1">
        <v>656.1</v>
      </c>
      <c r="H918" s="1">
        <f t="shared" si="72"/>
        <v>656.1</v>
      </c>
      <c r="I918" s="1" t="str">
        <f t="shared" si="73"/>
        <v/>
      </c>
      <c r="J918" s="1" t="str">
        <f>_xlfn.IFNA(INDEX([1]历练产出!$Z:$Z,MATCH(B918,[1]历练产出!$AB:$AB,0)),"")</f>
        <v/>
      </c>
      <c r="K918" s="1" t="str">
        <f>_xlfn.IFNA(INDEX([1]洞天福地产出!$H:$H,MATCH(B918,[1]洞天福地产出!$K:$K,0)),"")</f>
        <v/>
      </c>
      <c r="L918" s="1" t="str">
        <f t="shared" si="74"/>
        <v/>
      </c>
      <c r="M918" s="4">
        <f t="shared" si="75"/>
        <v>0</v>
      </c>
    </row>
    <row r="919" ht="45" spans="1:13">
      <c r="A919" s="4"/>
      <c r="B919" t="str">
        <f t="shared" si="71"/>
        <v>7:18000102</v>
      </c>
      <c r="C919" s="1">
        <v>7</v>
      </c>
      <c r="D919" s="4">
        <v>18000102</v>
      </c>
      <c r="E919" s="3" t="s">
        <v>1895</v>
      </c>
      <c r="F919" s="3"/>
      <c r="G919" s="1">
        <v>676.35</v>
      </c>
      <c r="H919" s="1">
        <f t="shared" si="72"/>
        <v>676.35</v>
      </c>
      <c r="I919" s="1" t="str">
        <f t="shared" si="73"/>
        <v/>
      </c>
      <c r="J919" s="1" t="str">
        <f>_xlfn.IFNA(INDEX([1]历练产出!$Z:$Z,MATCH(B919,[1]历练产出!$AB:$AB,0)),"")</f>
        <v/>
      </c>
      <c r="K919" s="1" t="str">
        <f>_xlfn.IFNA(INDEX([1]洞天福地产出!$H:$H,MATCH(B919,[1]洞天福地产出!$K:$K,0)),"")</f>
        <v/>
      </c>
      <c r="L919" s="1" t="str">
        <f t="shared" si="74"/>
        <v/>
      </c>
      <c r="M919" s="4">
        <f t="shared" si="75"/>
        <v>0</v>
      </c>
    </row>
    <row r="920" ht="45" spans="1:13">
      <c r="A920" s="4"/>
      <c r="B920" t="str">
        <f t="shared" si="71"/>
        <v>7:18000103</v>
      </c>
      <c r="C920" s="1">
        <v>7</v>
      </c>
      <c r="D920" s="4">
        <v>18000103</v>
      </c>
      <c r="E920" s="3" t="s">
        <v>1895</v>
      </c>
      <c r="F920" s="3"/>
      <c r="G920" s="1">
        <v>708.75</v>
      </c>
      <c r="H920" s="1">
        <f t="shared" si="72"/>
        <v>708.75</v>
      </c>
      <c r="I920" s="1" t="str">
        <f t="shared" si="73"/>
        <v/>
      </c>
      <c r="J920" s="1" t="str">
        <f>_xlfn.IFNA(INDEX([1]历练产出!$Z:$Z,MATCH(B920,[1]历练产出!$AB:$AB,0)),"")</f>
        <v/>
      </c>
      <c r="K920" s="1" t="str">
        <f>_xlfn.IFNA(INDEX([1]洞天福地产出!$H:$H,MATCH(B920,[1]洞天福地产出!$K:$K,0)),"")</f>
        <v/>
      </c>
      <c r="L920" s="1" t="str">
        <f t="shared" si="74"/>
        <v/>
      </c>
      <c r="M920" s="4">
        <f t="shared" si="75"/>
        <v>0</v>
      </c>
    </row>
    <row r="921" ht="45" spans="1:13">
      <c r="A921" s="4"/>
      <c r="B921" t="str">
        <f t="shared" si="71"/>
        <v>7:18000104</v>
      </c>
      <c r="C921" s="1">
        <v>7</v>
      </c>
      <c r="D921" s="4">
        <v>18000104</v>
      </c>
      <c r="E921" s="3" t="s">
        <v>1895</v>
      </c>
      <c r="F921" s="3"/>
      <c r="G921" s="1">
        <v>753.3</v>
      </c>
      <c r="H921" s="1">
        <f t="shared" si="72"/>
        <v>753.3</v>
      </c>
      <c r="I921" s="1" t="str">
        <f t="shared" si="73"/>
        <v/>
      </c>
      <c r="J921" s="1" t="str">
        <f>_xlfn.IFNA(INDEX([1]历练产出!$Z:$Z,MATCH(B921,[1]历练产出!$AB:$AB,0)),"")</f>
        <v/>
      </c>
      <c r="K921" s="1" t="str">
        <f>_xlfn.IFNA(INDEX([1]洞天福地产出!$H:$H,MATCH(B921,[1]洞天福地产出!$K:$K,0)),"")</f>
        <v/>
      </c>
      <c r="L921" s="1" t="str">
        <f t="shared" si="74"/>
        <v/>
      </c>
      <c r="M921" s="4">
        <f t="shared" si="75"/>
        <v>0</v>
      </c>
    </row>
    <row r="922" ht="45" spans="1:13">
      <c r="A922" s="4"/>
      <c r="B922" t="str">
        <f t="shared" si="71"/>
        <v>7:18000105</v>
      </c>
      <c r="C922" s="1">
        <v>7</v>
      </c>
      <c r="D922" s="4">
        <v>18000105</v>
      </c>
      <c r="E922" s="3" t="s">
        <v>1895</v>
      </c>
      <c r="F922" s="3"/>
      <c r="G922" s="1">
        <v>810</v>
      </c>
      <c r="H922" s="1">
        <f t="shared" si="72"/>
        <v>810</v>
      </c>
      <c r="I922" s="1" t="str">
        <f t="shared" si="73"/>
        <v/>
      </c>
      <c r="J922" s="1" t="str">
        <f>_xlfn.IFNA(INDEX([1]历练产出!$Z:$Z,MATCH(B922,[1]历练产出!$AB:$AB,0)),"")</f>
        <v/>
      </c>
      <c r="K922" s="1" t="str">
        <f>_xlfn.IFNA(INDEX([1]洞天福地产出!$H:$H,MATCH(B922,[1]洞天福地产出!$K:$K,0)),"")</f>
        <v/>
      </c>
      <c r="L922" s="1" t="str">
        <f t="shared" si="74"/>
        <v/>
      </c>
      <c r="M922" s="4">
        <f t="shared" si="75"/>
        <v>0</v>
      </c>
    </row>
    <row r="923" ht="45" spans="1:13">
      <c r="A923" s="4"/>
      <c r="B923" t="str">
        <f t="shared" si="71"/>
        <v>7:18000106</v>
      </c>
      <c r="C923" s="1">
        <v>7</v>
      </c>
      <c r="D923" s="4">
        <v>18000106</v>
      </c>
      <c r="E923" s="3" t="s">
        <v>1895</v>
      </c>
      <c r="F923" s="3"/>
      <c r="G923" s="1">
        <v>878.85</v>
      </c>
      <c r="H923" s="1">
        <f t="shared" si="72"/>
        <v>878.85</v>
      </c>
      <c r="I923" s="1" t="str">
        <f t="shared" si="73"/>
        <v/>
      </c>
      <c r="J923" s="1" t="str">
        <f>_xlfn.IFNA(INDEX([1]历练产出!$Z:$Z,MATCH(B923,[1]历练产出!$AB:$AB,0)),"")</f>
        <v/>
      </c>
      <c r="K923" s="1" t="str">
        <f>_xlfn.IFNA(INDEX([1]洞天福地产出!$H:$H,MATCH(B923,[1]洞天福地产出!$K:$K,0)),"")</f>
        <v/>
      </c>
      <c r="L923" s="1" t="str">
        <f t="shared" si="74"/>
        <v/>
      </c>
      <c r="M923" s="4">
        <f t="shared" si="75"/>
        <v>0</v>
      </c>
    </row>
    <row r="924" ht="45" spans="1:13">
      <c r="A924" s="4"/>
      <c r="B924" t="str">
        <f t="shared" si="71"/>
        <v>7:18000107</v>
      </c>
      <c r="C924" s="1">
        <v>7</v>
      </c>
      <c r="D924" s="4">
        <v>18000107</v>
      </c>
      <c r="E924" s="3" t="s">
        <v>1895</v>
      </c>
      <c r="F924" s="3"/>
      <c r="G924" s="1">
        <v>959.85</v>
      </c>
      <c r="H924" s="1">
        <f t="shared" si="72"/>
        <v>959.85</v>
      </c>
      <c r="I924" s="1" t="str">
        <f t="shared" si="73"/>
        <v/>
      </c>
      <c r="J924" s="1" t="str">
        <f>_xlfn.IFNA(INDEX([1]历练产出!$Z:$Z,MATCH(B924,[1]历练产出!$AB:$AB,0)),"")</f>
        <v/>
      </c>
      <c r="K924" s="1" t="str">
        <f>_xlfn.IFNA(INDEX([1]洞天福地产出!$H:$H,MATCH(B924,[1]洞天福地产出!$K:$K,0)),"")</f>
        <v/>
      </c>
      <c r="L924" s="1" t="str">
        <f t="shared" si="74"/>
        <v/>
      </c>
      <c r="M924" s="4">
        <f t="shared" si="75"/>
        <v>0</v>
      </c>
    </row>
    <row r="925" ht="45" spans="1:13">
      <c r="A925" s="4"/>
      <c r="B925" t="str">
        <f t="shared" si="71"/>
        <v>7:18000108</v>
      </c>
      <c r="C925" s="1">
        <v>7</v>
      </c>
      <c r="D925" s="4">
        <v>18000108</v>
      </c>
      <c r="E925" s="3" t="s">
        <v>1895</v>
      </c>
      <c r="F925" s="3"/>
      <c r="G925" s="1">
        <v>1053</v>
      </c>
      <c r="H925" s="1">
        <f t="shared" si="72"/>
        <v>1053</v>
      </c>
      <c r="I925" s="1" t="str">
        <f t="shared" si="73"/>
        <v/>
      </c>
      <c r="J925" s="1" t="str">
        <f>_xlfn.IFNA(INDEX([1]历练产出!$Z:$Z,MATCH(B925,[1]历练产出!$AB:$AB,0)),"")</f>
        <v/>
      </c>
      <c r="K925" s="1" t="str">
        <f>_xlfn.IFNA(INDEX([1]洞天福地产出!$H:$H,MATCH(B925,[1]洞天福地产出!$K:$K,0)),"")</f>
        <v/>
      </c>
      <c r="L925" s="1" t="str">
        <f t="shared" si="74"/>
        <v/>
      </c>
      <c r="M925" s="4">
        <f t="shared" si="75"/>
        <v>0</v>
      </c>
    </row>
    <row r="926" ht="45" spans="1:13">
      <c r="A926" s="4"/>
      <c r="B926" t="str">
        <f t="shared" si="71"/>
        <v>7:18000109</v>
      </c>
      <c r="C926" s="1">
        <v>7</v>
      </c>
      <c r="D926" s="4">
        <v>18000109</v>
      </c>
      <c r="E926" s="3" t="s">
        <v>1895</v>
      </c>
      <c r="F926" s="3"/>
      <c r="G926" s="1">
        <v>1806.3</v>
      </c>
      <c r="H926" s="1">
        <f t="shared" si="72"/>
        <v>1806.3</v>
      </c>
      <c r="I926" s="1" t="str">
        <f t="shared" si="73"/>
        <v/>
      </c>
      <c r="J926" s="1" t="str">
        <f>_xlfn.IFNA(INDEX([1]历练产出!$Z:$Z,MATCH(B926,[1]历练产出!$AB:$AB,0)),"")</f>
        <v/>
      </c>
      <c r="K926" s="1" t="str">
        <f>_xlfn.IFNA(INDEX([1]洞天福地产出!$H:$H,MATCH(B926,[1]洞天福地产出!$K:$K,0)),"")</f>
        <v/>
      </c>
      <c r="L926" s="1" t="str">
        <f t="shared" si="74"/>
        <v/>
      </c>
      <c r="M926" s="4">
        <f t="shared" si="75"/>
        <v>0</v>
      </c>
    </row>
    <row r="927" ht="45" spans="1:13">
      <c r="A927" s="4"/>
      <c r="B927" t="str">
        <f t="shared" si="71"/>
        <v>7:18000110</v>
      </c>
      <c r="C927" s="1">
        <v>7</v>
      </c>
      <c r="D927" s="4">
        <v>18000110</v>
      </c>
      <c r="E927" s="3" t="s">
        <v>1895</v>
      </c>
      <c r="F927" s="3"/>
      <c r="G927" s="1">
        <v>1923.75</v>
      </c>
      <c r="H927" s="1">
        <f t="shared" si="72"/>
        <v>1923.75</v>
      </c>
      <c r="I927" s="1" t="str">
        <f t="shared" si="73"/>
        <v/>
      </c>
      <c r="J927" s="1" t="str">
        <f>_xlfn.IFNA(INDEX([1]历练产出!$Z:$Z,MATCH(B927,[1]历练产出!$AB:$AB,0)),"")</f>
        <v/>
      </c>
      <c r="K927" s="1" t="str">
        <f>_xlfn.IFNA(INDEX([1]洞天福地产出!$H:$H,MATCH(B927,[1]洞天福地产出!$K:$K,0)),"")</f>
        <v/>
      </c>
      <c r="L927" s="1" t="str">
        <f t="shared" si="74"/>
        <v/>
      </c>
      <c r="M927" s="4">
        <f t="shared" si="75"/>
        <v>0</v>
      </c>
    </row>
    <row r="928" ht="45" spans="1:13">
      <c r="A928" s="4"/>
      <c r="B928" t="str">
        <f t="shared" si="71"/>
        <v>7:18000111</v>
      </c>
      <c r="C928" s="1">
        <v>7</v>
      </c>
      <c r="D928" s="4">
        <v>18000111</v>
      </c>
      <c r="E928" s="3" t="s">
        <v>1895</v>
      </c>
      <c r="F928" s="3"/>
      <c r="G928" s="1">
        <v>2053.35</v>
      </c>
      <c r="H928" s="1">
        <f t="shared" si="72"/>
        <v>2053.35</v>
      </c>
      <c r="I928" s="1" t="str">
        <f t="shared" si="73"/>
        <v/>
      </c>
      <c r="J928" s="1" t="str">
        <f>_xlfn.IFNA(INDEX([1]历练产出!$Z:$Z,MATCH(B928,[1]历练产出!$AB:$AB,0)),"")</f>
        <v/>
      </c>
      <c r="K928" s="1" t="str">
        <f>_xlfn.IFNA(INDEX([1]洞天福地产出!$H:$H,MATCH(B928,[1]洞天福地产出!$K:$K,0)),"")</f>
        <v/>
      </c>
      <c r="L928" s="1" t="str">
        <f t="shared" si="74"/>
        <v/>
      </c>
      <c r="M928" s="4">
        <f t="shared" si="75"/>
        <v>0</v>
      </c>
    </row>
    <row r="929" ht="45" spans="1:13">
      <c r="A929" s="4"/>
      <c r="B929" t="str">
        <f t="shared" si="71"/>
        <v>7:18000112</v>
      </c>
      <c r="C929" s="1">
        <v>7</v>
      </c>
      <c r="D929" s="4">
        <v>18000112</v>
      </c>
      <c r="E929" s="3" t="s">
        <v>1895</v>
      </c>
      <c r="F929" s="3"/>
      <c r="G929" s="1">
        <v>2195.1</v>
      </c>
      <c r="H929" s="1">
        <f t="shared" si="72"/>
        <v>2195.1</v>
      </c>
      <c r="I929" s="1" t="str">
        <f t="shared" si="73"/>
        <v/>
      </c>
      <c r="J929" s="1" t="str">
        <f>_xlfn.IFNA(INDEX([1]历练产出!$Z:$Z,MATCH(B929,[1]历练产出!$AB:$AB,0)),"")</f>
        <v/>
      </c>
      <c r="K929" s="1" t="str">
        <f>_xlfn.IFNA(INDEX([1]洞天福地产出!$H:$H,MATCH(B929,[1]洞天福地产出!$K:$K,0)),"")</f>
        <v/>
      </c>
      <c r="L929" s="1" t="str">
        <f t="shared" si="74"/>
        <v/>
      </c>
      <c r="M929" s="4">
        <f t="shared" si="75"/>
        <v>0</v>
      </c>
    </row>
    <row r="930" ht="45" spans="1:13">
      <c r="A930" s="4"/>
      <c r="B930" t="str">
        <f t="shared" si="71"/>
        <v>7:18000113</v>
      </c>
      <c r="C930" s="1">
        <v>7</v>
      </c>
      <c r="D930" s="4">
        <v>18000113</v>
      </c>
      <c r="E930" s="3" t="s">
        <v>1895</v>
      </c>
      <c r="F930" s="3"/>
      <c r="G930" s="1">
        <v>2349</v>
      </c>
      <c r="H930" s="1">
        <f t="shared" si="72"/>
        <v>2349</v>
      </c>
      <c r="I930" s="1" t="str">
        <f t="shared" si="73"/>
        <v/>
      </c>
      <c r="J930" s="1" t="str">
        <f>_xlfn.IFNA(INDEX([1]历练产出!$Z:$Z,MATCH(B930,[1]历练产出!$AB:$AB,0)),"")</f>
        <v/>
      </c>
      <c r="K930" s="1" t="str">
        <f>_xlfn.IFNA(INDEX([1]洞天福地产出!$H:$H,MATCH(B930,[1]洞天福地产出!$K:$K,0)),"")</f>
        <v/>
      </c>
      <c r="L930" s="1" t="str">
        <f t="shared" si="74"/>
        <v/>
      </c>
      <c r="M930" s="4">
        <f t="shared" si="75"/>
        <v>0</v>
      </c>
    </row>
    <row r="931" ht="45" spans="1:13">
      <c r="A931" s="4"/>
      <c r="B931" t="str">
        <f t="shared" si="71"/>
        <v>7:18000114</v>
      </c>
      <c r="C931" s="1">
        <v>7</v>
      </c>
      <c r="D931" s="4">
        <v>18000114</v>
      </c>
      <c r="E931" s="3" t="s">
        <v>1895</v>
      </c>
      <c r="F931" s="3"/>
      <c r="G931" s="1">
        <v>2515.05</v>
      </c>
      <c r="H931" s="1">
        <f t="shared" si="72"/>
        <v>2515.05</v>
      </c>
      <c r="I931" s="1" t="str">
        <f t="shared" si="73"/>
        <v/>
      </c>
      <c r="J931" s="1" t="str">
        <f>_xlfn.IFNA(INDEX([1]历练产出!$Z:$Z,MATCH(B931,[1]历练产出!$AB:$AB,0)),"")</f>
        <v/>
      </c>
      <c r="K931" s="1" t="str">
        <f>_xlfn.IFNA(INDEX([1]洞天福地产出!$H:$H,MATCH(B931,[1]洞天福地产出!$K:$K,0)),"")</f>
        <v/>
      </c>
      <c r="L931" s="1" t="str">
        <f t="shared" si="74"/>
        <v/>
      </c>
      <c r="M931" s="4">
        <f t="shared" si="75"/>
        <v>0</v>
      </c>
    </row>
    <row r="932" ht="45" spans="1:13">
      <c r="A932" s="4"/>
      <c r="B932" t="str">
        <f t="shared" ref="B932:B995" si="76">C932&amp;":"&amp;D932</f>
        <v>7:18000115</v>
      </c>
      <c r="C932" s="1">
        <v>7</v>
      </c>
      <c r="D932" s="4">
        <v>18000115</v>
      </c>
      <c r="E932" s="3" t="s">
        <v>1895</v>
      </c>
      <c r="F932" s="3"/>
      <c r="G932" s="1">
        <v>2693.25</v>
      </c>
      <c r="H932" s="1">
        <f t="shared" si="72"/>
        <v>2693.25</v>
      </c>
      <c r="I932" s="1" t="str">
        <f t="shared" si="73"/>
        <v/>
      </c>
      <c r="J932" s="1" t="str">
        <f>_xlfn.IFNA(INDEX([1]历练产出!$Z:$Z,MATCH(B932,[1]历练产出!$AB:$AB,0)),"")</f>
        <v/>
      </c>
      <c r="K932" s="1" t="str">
        <f>_xlfn.IFNA(INDEX([1]洞天福地产出!$H:$H,MATCH(B932,[1]洞天福地产出!$K:$K,0)),"")</f>
        <v/>
      </c>
      <c r="L932" s="1" t="str">
        <f t="shared" si="74"/>
        <v/>
      </c>
      <c r="M932" s="4">
        <f t="shared" si="75"/>
        <v>0</v>
      </c>
    </row>
    <row r="933" ht="45" spans="1:13">
      <c r="A933" s="4"/>
      <c r="B933" t="str">
        <f t="shared" si="76"/>
        <v>7:18000116</v>
      </c>
      <c r="C933" s="1">
        <v>7</v>
      </c>
      <c r="D933" s="4">
        <v>18000116</v>
      </c>
      <c r="E933" s="3" t="s">
        <v>1895</v>
      </c>
      <c r="F933" s="3"/>
      <c r="G933" s="1">
        <v>2883.6</v>
      </c>
      <c r="H933" s="1">
        <f t="shared" si="72"/>
        <v>2883.6</v>
      </c>
      <c r="I933" s="1" t="str">
        <f t="shared" si="73"/>
        <v/>
      </c>
      <c r="J933" s="1" t="str">
        <f>_xlfn.IFNA(INDEX([1]历练产出!$Z:$Z,MATCH(B933,[1]历练产出!$AB:$AB,0)),"")</f>
        <v/>
      </c>
      <c r="K933" s="1" t="str">
        <f>_xlfn.IFNA(INDEX([1]洞天福地产出!$H:$H,MATCH(B933,[1]洞天福地产出!$K:$K,0)),"")</f>
        <v/>
      </c>
      <c r="L933" s="1" t="str">
        <f t="shared" si="74"/>
        <v/>
      </c>
      <c r="M933" s="4">
        <f t="shared" si="75"/>
        <v>0</v>
      </c>
    </row>
    <row r="934" ht="45" spans="1:13">
      <c r="A934" s="4"/>
      <c r="B934" t="str">
        <f t="shared" si="76"/>
        <v>7:18000117</v>
      </c>
      <c r="C934" s="1">
        <v>7</v>
      </c>
      <c r="D934" s="4">
        <v>18000117</v>
      </c>
      <c r="E934" s="3" t="s">
        <v>1895</v>
      </c>
      <c r="F934" s="3"/>
      <c r="G934" s="1">
        <v>3086.1</v>
      </c>
      <c r="H934" s="1">
        <f t="shared" si="72"/>
        <v>3086.1</v>
      </c>
      <c r="I934" s="1" t="str">
        <f t="shared" si="73"/>
        <v/>
      </c>
      <c r="J934" s="1" t="str">
        <f>_xlfn.IFNA(INDEX([1]历练产出!$Z:$Z,MATCH(B934,[1]历练产出!$AB:$AB,0)),"")</f>
        <v/>
      </c>
      <c r="K934" s="1" t="str">
        <f>_xlfn.IFNA(INDEX([1]洞天福地产出!$H:$H,MATCH(B934,[1]洞天福地产出!$K:$K,0)),"")</f>
        <v/>
      </c>
      <c r="L934" s="1" t="str">
        <f t="shared" si="74"/>
        <v/>
      </c>
      <c r="M934" s="4">
        <f t="shared" si="75"/>
        <v>0</v>
      </c>
    </row>
    <row r="935" ht="45" spans="1:13">
      <c r="A935" s="4"/>
      <c r="B935" t="str">
        <f t="shared" si="76"/>
        <v>7:18000118</v>
      </c>
      <c r="C935" s="1">
        <v>7</v>
      </c>
      <c r="D935" s="4">
        <v>18000118</v>
      </c>
      <c r="E935" s="3" t="s">
        <v>1895</v>
      </c>
      <c r="F935" s="3"/>
      <c r="G935" s="1">
        <v>3300.75</v>
      </c>
      <c r="H935" s="1">
        <f t="shared" si="72"/>
        <v>3300.75</v>
      </c>
      <c r="I935" s="1" t="str">
        <f t="shared" si="73"/>
        <v/>
      </c>
      <c r="J935" s="1" t="str">
        <f>_xlfn.IFNA(INDEX([1]历练产出!$Z:$Z,MATCH(B935,[1]历练产出!$AB:$AB,0)),"")</f>
        <v/>
      </c>
      <c r="K935" s="1" t="str">
        <f>_xlfn.IFNA(INDEX([1]洞天福地产出!$H:$H,MATCH(B935,[1]洞天福地产出!$K:$K,0)),"")</f>
        <v/>
      </c>
      <c r="L935" s="1" t="str">
        <f t="shared" si="74"/>
        <v/>
      </c>
      <c r="M935" s="4">
        <f t="shared" si="75"/>
        <v>0</v>
      </c>
    </row>
    <row r="936" ht="45" spans="1:13">
      <c r="A936" s="4"/>
      <c r="B936" t="str">
        <f t="shared" si="76"/>
        <v>7:18000119</v>
      </c>
      <c r="C936" s="1">
        <v>7</v>
      </c>
      <c r="D936" s="4">
        <v>18000119</v>
      </c>
      <c r="E936" s="3" t="s">
        <v>1895</v>
      </c>
      <c r="F936" s="3"/>
      <c r="G936" s="1">
        <v>4823.55</v>
      </c>
      <c r="H936" s="1">
        <f t="shared" si="72"/>
        <v>4823.55</v>
      </c>
      <c r="I936" s="1" t="str">
        <f t="shared" si="73"/>
        <v/>
      </c>
      <c r="J936" s="1" t="str">
        <f>_xlfn.IFNA(INDEX([1]历练产出!$Z:$Z,MATCH(B936,[1]历练产出!$AB:$AB,0)),"")</f>
        <v/>
      </c>
      <c r="K936" s="1" t="str">
        <f>_xlfn.IFNA(INDEX([1]洞天福地产出!$H:$H,MATCH(B936,[1]洞天福地产出!$K:$K,0)),"")</f>
        <v/>
      </c>
      <c r="L936" s="1" t="str">
        <f t="shared" si="74"/>
        <v/>
      </c>
      <c r="M936" s="4">
        <f t="shared" si="75"/>
        <v>0</v>
      </c>
    </row>
    <row r="937" ht="45" spans="1:13">
      <c r="A937" s="4"/>
      <c r="B937" t="str">
        <f t="shared" si="76"/>
        <v>7:18000120</v>
      </c>
      <c r="C937" s="1">
        <v>7</v>
      </c>
      <c r="D937" s="4">
        <v>18000120</v>
      </c>
      <c r="E937" s="3" t="s">
        <v>1895</v>
      </c>
      <c r="F937" s="3"/>
      <c r="G937" s="1">
        <v>5062.5</v>
      </c>
      <c r="H937" s="1">
        <f t="shared" si="72"/>
        <v>5062.5</v>
      </c>
      <c r="I937" s="1" t="str">
        <f t="shared" si="73"/>
        <v/>
      </c>
      <c r="J937" s="1" t="str">
        <f>_xlfn.IFNA(INDEX([1]历练产出!$Z:$Z,MATCH(B937,[1]历练产出!$AB:$AB,0)),"")</f>
        <v/>
      </c>
      <c r="K937" s="1" t="str">
        <f>_xlfn.IFNA(INDEX([1]洞天福地产出!$H:$H,MATCH(B937,[1]洞天福地产出!$K:$K,0)),"")</f>
        <v/>
      </c>
      <c r="L937" s="1" t="str">
        <f t="shared" si="74"/>
        <v/>
      </c>
      <c r="M937" s="4">
        <f t="shared" si="75"/>
        <v>0</v>
      </c>
    </row>
    <row r="938" ht="45" spans="1:13">
      <c r="A938" s="4"/>
      <c r="B938" t="str">
        <f t="shared" si="76"/>
        <v>7:18000121</v>
      </c>
      <c r="C938" s="1">
        <v>7</v>
      </c>
      <c r="D938" s="4">
        <v>18000121</v>
      </c>
      <c r="E938" s="3" t="s">
        <v>1895</v>
      </c>
      <c r="F938" s="3"/>
      <c r="G938" s="1">
        <v>5313.6</v>
      </c>
      <c r="H938" s="1">
        <f t="shared" si="72"/>
        <v>5313.6</v>
      </c>
      <c r="I938" s="1" t="str">
        <f t="shared" si="73"/>
        <v/>
      </c>
      <c r="J938" s="1" t="str">
        <f>_xlfn.IFNA(INDEX([1]历练产出!$Z:$Z,MATCH(B938,[1]历练产出!$AB:$AB,0)),"")</f>
        <v/>
      </c>
      <c r="K938" s="1" t="str">
        <f>_xlfn.IFNA(INDEX([1]洞天福地产出!$H:$H,MATCH(B938,[1]洞天福地产出!$K:$K,0)),"")</f>
        <v/>
      </c>
      <c r="L938" s="1" t="str">
        <f t="shared" si="74"/>
        <v/>
      </c>
      <c r="M938" s="4">
        <f t="shared" si="75"/>
        <v>0</v>
      </c>
    </row>
    <row r="939" ht="45" spans="1:13">
      <c r="A939" s="4"/>
      <c r="B939" t="str">
        <f t="shared" si="76"/>
        <v>7:18000122</v>
      </c>
      <c r="C939" s="1">
        <v>7</v>
      </c>
      <c r="D939" s="4">
        <v>18000122</v>
      </c>
      <c r="E939" s="3" t="s">
        <v>1895</v>
      </c>
      <c r="F939" s="3"/>
      <c r="G939" s="1">
        <v>5576.85</v>
      </c>
      <c r="H939" s="1">
        <f t="shared" si="72"/>
        <v>5576.85</v>
      </c>
      <c r="I939" s="1" t="str">
        <f t="shared" si="73"/>
        <v/>
      </c>
      <c r="J939" s="1" t="str">
        <f>_xlfn.IFNA(INDEX([1]历练产出!$Z:$Z,MATCH(B939,[1]历练产出!$AB:$AB,0)),"")</f>
        <v/>
      </c>
      <c r="K939" s="1" t="str">
        <f>_xlfn.IFNA(INDEX([1]洞天福地产出!$H:$H,MATCH(B939,[1]洞天福地产出!$K:$K,0)),"")</f>
        <v/>
      </c>
      <c r="L939" s="1" t="str">
        <f t="shared" si="74"/>
        <v/>
      </c>
      <c r="M939" s="4">
        <f t="shared" si="75"/>
        <v>0</v>
      </c>
    </row>
    <row r="940" ht="45" spans="1:13">
      <c r="A940" s="4"/>
      <c r="B940" t="str">
        <f t="shared" si="76"/>
        <v>7:18000123</v>
      </c>
      <c r="C940" s="1">
        <v>7</v>
      </c>
      <c r="D940" s="4">
        <v>18000123</v>
      </c>
      <c r="E940" s="3" t="s">
        <v>1895</v>
      </c>
      <c r="F940" s="3"/>
      <c r="G940" s="1">
        <v>5852.25</v>
      </c>
      <c r="H940" s="1">
        <f t="shared" si="72"/>
        <v>5852.25</v>
      </c>
      <c r="I940" s="1" t="str">
        <f t="shared" si="73"/>
        <v/>
      </c>
      <c r="J940" s="1" t="str">
        <f>_xlfn.IFNA(INDEX([1]历练产出!$Z:$Z,MATCH(B940,[1]历练产出!$AB:$AB,0)),"")</f>
        <v/>
      </c>
      <c r="K940" s="1" t="str">
        <f>_xlfn.IFNA(INDEX([1]洞天福地产出!$H:$H,MATCH(B940,[1]洞天福地产出!$K:$K,0)),"")</f>
        <v/>
      </c>
      <c r="L940" s="1" t="str">
        <f t="shared" si="74"/>
        <v/>
      </c>
      <c r="M940" s="4">
        <f t="shared" si="75"/>
        <v>0</v>
      </c>
    </row>
    <row r="941" ht="45" spans="1:13">
      <c r="A941" s="4"/>
      <c r="B941" t="str">
        <f t="shared" si="76"/>
        <v>7:18000124</v>
      </c>
      <c r="C941" s="1">
        <v>7</v>
      </c>
      <c r="D941" s="4">
        <v>18000124</v>
      </c>
      <c r="E941" s="3" t="s">
        <v>1895</v>
      </c>
      <c r="F941" s="3"/>
      <c r="G941" s="1">
        <v>6139.8</v>
      </c>
      <c r="H941" s="1">
        <f t="shared" si="72"/>
        <v>6139.8</v>
      </c>
      <c r="I941" s="1" t="str">
        <f t="shared" si="73"/>
        <v/>
      </c>
      <c r="J941" s="1" t="str">
        <f>_xlfn.IFNA(INDEX([1]历练产出!$Z:$Z,MATCH(B941,[1]历练产出!$AB:$AB,0)),"")</f>
        <v/>
      </c>
      <c r="K941" s="1" t="str">
        <f>_xlfn.IFNA(INDEX([1]洞天福地产出!$H:$H,MATCH(B941,[1]洞天福地产出!$K:$K,0)),"")</f>
        <v/>
      </c>
      <c r="L941" s="1" t="str">
        <f t="shared" si="74"/>
        <v/>
      </c>
      <c r="M941" s="4">
        <f t="shared" si="75"/>
        <v>0</v>
      </c>
    </row>
    <row r="942" ht="45" spans="1:13">
      <c r="A942" s="4"/>
      <c r="B942" t="str">
        <f t="shared" si="76"/>
        <v>7:18000125</v>
      </c>
      <c r="C942" s="1">
        <v>7</v>
      </c>
      <c r="D942" s="4">
        <v>18000125</v>
      </c>
      <c r="E942" s="3" t="s">
        <v>1895</v>
      </c>
      <c r="F942" s="3"/>
      <c r="G942" s="1">
        <v>6439.5</v>
      </c>
      <c r="H942" s="1">
        <f t="shared" si="72"/>
        <v>6439.5</v>
      </c>
      <c r="I942" s="1" t="str">
        <f t="shared" si="73"/>
        <v/>
      </c>
      <c r="J942" s="1" t="str">
        <f>_xlfn.IFNA(INDEX([1]历练产出!$Z:$Z,MATCH(B942,[1]历练产出!$AB:$AB,0)),"")</f>
        <v/>
      </c>
      <c r="K942" s="1" t="str">
        <f>_xlfn.IFNA(INDEX([1]洞天福地产出!$H:$H,MATCH(B942,[1]洞天福地产出!$K:$K,0)),"")</f>
        <v/>
      </c>
      <c r="L942" s="1" t="str">
        <f t="shared" si="74"/>
        <v/>
      </c>
      <c r="M942" s="4">
        <f t="shared" si="75"/>
        <v>0</v>
      </c>
    </row>
    <row r="943" ht="45" spans="1:13">
      <c r="A943" s="4"/>
      <c r="B943" t="str">
        <f t="shared" si="76"/>
        <v>7:18000126</v>
      </c>
      <c r="C943" s="1">
        <v>7</v>
      </c>
      <c r="D943" s="4">
        <v>18000126</v>
      </c>
      <c r="E943" s="3" t="s">
        <v>1895</v>
      </c>
      <c r="F943" s="3"/>
      <c r="G943" s="1">
        <v>6751.35</v>
      </c>
      <c r="H943" s="1">
        <f t="shared" si="72"/>
        <v>6751.35</v>
      </c>
      <c r="I943" s="1" t="str">
        <f t="shared" si="73"/>
        <v/>
      </c>
      <c r="J943" s="1" t="str">
        <f>_xlfn.IFNA(INDEX([1]历练产出!$Z:$Z,MATCH(B943,[1]历练产出!$AB:$AB,0)),"")</f>
        <v/>
      </c>
      <c r="K943" s="1" t="str">
        <f>_xlfn.IFNA(INDEX([1]洞天福地产出!$H:$H,MATCH(B943,[1]洞天福地产出!$K:$K,0)),"")</f>
        <v/>
      </c>
      <c r="L943" s="1" t="str">
        <f t="shared" si="74"/>
        <v/>
      </c>
      <c r="M943" s="4">
        <f t="shared" si="75"/>
        <v>0</v>
      </c>
    </row>
    <row r="944" ht="45" spans="1:13">
      <c r="A944" s="4"/>
      <c r="B944" t="str">
        <f t="shared" si="76"/>
        <v>7:18000127</v>
      </c>
      <c r="C944" s="1">
        <v>7</v>
      </c>
      <c r="D944" s="4">
        <v>18000127</v>
      </c>
      <c r="E944" s="3" t="s">
        <v>1895</v>
      </c>
      <c r="F944" s="3"/>
      <c r="G944" s="1">
        <v>7075.35</v>
      </c>
      <c r="H944" s="1">
        <f t="shared" si="72"/>
        <v>7075.35</v>
      </c>
      <c r="I944" s="1" t="str">
        <f t="shared" si="73"/>
        <v/>
      </c>
      <c r="J944" s="1" t="str">
        <f>_xlfn.IFNA(INDEX([1]历练产出!$Z:$Z,MATCH(B944,[1]历练产出!$AB:$AB,0)),"")</f>
        <v/>
      </c>
      <c r="K944" s="1" t="str">
        <f>_xlfn.IFNA(INDEX([1]洞天福地产出!$H:$H,MATCH(B944,[1]洞天福地产出!$K:$K,0)),"")</f>
        <v/>
      </c>
      <c r="L944" s="1" t="str">
        <f t="shared" si="74"/>
        <v/>
      </c>
      <c r="M944" s="4">
        <f t="shared" si="75"/>
        <v>0</v>
      </c>
    </row>
    <row r="945" ht="45" spans="1:13">
      <c r="A945" s="4"/>
      <c r="B945" t="str">
        <f t="shared" si="76"/>
        <v>7:18000128</v>
      </c>
      <c r="C945" s="1">
        <v>7</v>
      </c>
      <c r="D945" s="4">
        <v>18000128</v>
      </c>
      <c r="E945" s="3" t="s">
        <v>1895</v>
      </c>
      <c r="F945" s="3"/>
      <c r="G945" s="1">
        <v>7411.5</v>
      </c>
      <c r="H945" s="1">
        <f t="shared" si="72"/>
        <v>7411.5</v>
      </c>
      <c r="I945" s="1" t="str">
        <f t="shared" si="73"/>
        <v/>
      </c>
      <c r="J945" s="1" t="str">
        <f>_xlfn.IFNA(INDEX([1]历练产出!$Z:$Z,MATCH(B945,[1]历练产出!$AB:$AB,0)),"")</f>
        <v/>
      </c>
      <c r="K945" s="1" t="str">
        <f>_xlfn.IFNA(INDEX([1]洞天福地产出!$H:$H,MATCH(B945,[1]洞天福地产出!$K:$K,0)),"")</f>
        <v/>
      </c>
      <c r="L945" s="1" t="str">
        <f t="shared" si="74"/>
        <v/>
      </c>
      <c r="M945" s="4">
        <f t="shared" si="75"/>
        <v>0</v>
      </c>
    </row>
    <row r="946" ht="45" spans="1:13">
      <c r="A946" s="4"/>
      <c r="B946" t="str">
        <f t="shared" si="76"/>
        <v>7:18000129</v>
      </c>
      <c r="C946" s="1">
        <v>7</v>
      </c>
      <c r="D946" s="4">
        <v>18000129</v>
      </c>
      <c r="E946" s="3" t="s">
        <v>1895</v>
      </c>
      <c r="F946" s="3"/>
      <c r="G946" s="1">
        <v>9703.8</v>
      </c>
      <c r="H946" s="1">
        <f t="shared" si="72"/>
        <v>9703.8</v>
      </c>
      <c r="I946" s="1" t="str">
        <f t="shared" si="73"/>
        <v/>
      </c>
      <c r="J946" s="1" t="str">
        <f>_xlfn.IFNA(INDEX([1]历练产出!$Z:$Z,MATCH(B946,[1]历练产出!$AB:$AB,0)),"")</f>
        <v/>
      </c>
      <c r="K946" s="1" t="str">
        <f>_xlfn.IFNA(INDEX([1]洞天福地产出!$H:$H,MATCH(B946,[1]洞天福地产出!$K:$K,0)),"")</f>
        <v/>
      </c>
      <c r="L946" s="1" t="str">
        <f t="shared" si="74"/>
        <v/>
      </c>
      <c r="M946" s="4">
        <f t="shared" si="75"/>
        <v>0</v>
      </c>
    </row>
    <row r="947" ht="45" spans="1:13">
      <c r="A947" s="4"/>
      <c r="B947" t="str">
        <f t="shared" si="76"/>
        <v>7:18000130</v>
      </c>
      <c r="C947" s="1">
        <v>7</v>
      </c>
      <c r="D947" s="4">
        <v>18000130</v>
      </c>
      <c r="E947" s="3" t="s">
        <v>1895</v>
      </c>
      <c r="F947" s="3"/>
      <c r="G947" s="1">
        <v>10052.1</v>
      </c>
      <c r="H947" s="1">
        <f t="shared" si="72"/>
        <v>10052.1</v>
      </c>
      <c r="I947" s="1" t="str">
        <f t="shared" si="73"/>
        <v/>
      </c>
      <c r="J947" s="1" t="str">
        <f>_xlfn.IFNA(INDEX([1]历练产出!$Z:$Z,MATCH(B947,[1]历练产出!$AB:$AB,0)),"")</f>
        <v/>
      </c>
      <c r="K947" s="1" t="str">
        <f>_xlfn.IFNA(INDEX([1]洞天福地产出!$H:$H,MATCH(B947,[1]洞天福地产出!$K:$K,0)),"")</f>
        <v/>
      </c>
      <c r="L947" s="1" t="str">
        <f t="shared" si="74"/>
        <v/>
      </c>
      <c r="M947" s="4">
        <f t="shared" si="75"/>
        <v>0</v>
      </c>
    </row>
    <row r="948" ht="45" spans="1:13">
      <c r="A948" s="4"/>
      <c r="B948" t="str">
        <f t="shared" si="76"/>
        <v>7:19000101</v>
      </c>
      <c r="C948" s="1">
        <v>7</v>
      </c>
      <c r="D948" s="4">
        <v>19000101</v>
      </c>
      <c r="E948" s="3" t="s">
        <v>461</v>
      </c>
      <c r="F948" s="3"/>
      <c r="G948" s="1">
        <v>656.1</v>
      </c>
      <c r="H948" s="1">
        <f t="shared" si="72"/>
        <v>656.1</v>
      </c>
      <c r="I948" s="1" t="str">
        <f t="shared" si="73"/>
        <v/>
      </c>
      <c r="J948" s="1" t="str">
        <f>_xlfn.IFNA(INDEX([1]历练产出!$Z:$Z,MATCH(B948,[1]历练产出!$AB:$AB,0)),"")</f>
        <v/>
      </c>
      <c r="K948" s="1" t="str">
        <f>_xlfn.IFNA(INDEX([1]洞天福地产出!$H:$H,MATCH(B948,[1]洞天福地产出!$K:$K,0)),"")</f>
        <v/>
      </c>
      <c r="L948" s="1" t="str">
        <f t="shared" si="74"/>
        <v/>
      </c>
      <c r="M948" s="4">
        <f t="shared" si="75"/>
        <v>0</v>
      </c>
    </row>
    <row r="949" ht="45" spans="1:13">
      <c r="A949" s="4"/>
      <c r="B949" t="str">
        <f t="shared" si="76"/>
        <v>7:19000102</v>
      </c>
      <c r="C949" s="1">
        <v>7</v>
      </c>
      <c r="D949" s="4">
        <v>19000102</v>
      </c>
      <c r="E949" s="3" t="s">
        <v>461</v>
      </c>
      <c r="F949" s="3"/>
      <c r="G949" s="1">
        <v>676.35</v>
      </c>
      <c r="H949" s="1">
        <f t="shared" si="72"/>
        <v>676.35</v>
      </c>
      <c r="I949" s="1" t="str">
        <f t="shared" si="73"/>
        <v/>
      </c>
      <c r="J949" s="1" t="str">
        <f>_xlfn.IFNA(INDEX([1]历练产出!$Z:$Z,MATCH(B949,[1]历练产出!$AB:$AB,0)),"")</f>
        <v/>
      </c>
      <c r="K949" s="1" t="str">
        <f>_xlfn.IFNA(INDEX([1]洞天福地产出!$H:$H,MATCH(B949,[1]洞天福地产出!$K:$K,0)),"")</f>
        <v/>
      </c>
      <c r="L949" s="1" t="str">
        <f t="shared" si="74"/>
        <v/>
      </c>
      <c r="M949" s="4">
        <f t="shared" si="75"/>
        <v>0</v>
      </c>
    </row>
    <row r="950" ht="45" spans="1:13">
      <c r="A950" s="4"/>
      <c r="B950" t="str">
        <f t="shared" si="76"/>
        <v>7:19000103</v>
      </c>
      <c r="C950" s="1">
        <v>7</v>
      </c>
      <c r="D950" s="4">
        <v>19000103</v>
      </c>
      <c r="E950" s="3" t="s">
        <v>461</v>
      </c>
      <c r="F950" s="3"/>
      <c r="G950" s="1">
        <v>708.75</v>
      </c>
      <c r="H950" s="1">
        <f t="shared" si="72"/>
        <v>708.75</v>
      </c>
      <c r="I950" s="1" t="str">
        <f t="shared" si="73"/>
        <v/>
      </c>
      <c r="J950" s="1" t="str">
        <f>_xlfn.IFNA(INDEX([1]历练产出!$Z:$Z,MATCH(B950,[1]历练产出!$AB:$AB,0)),"")</f>
        <v/>
      </c>
      <c r="K950" s="1" t="str">
        <f>_xlfn.IFNA(INDEX([1]洞天福地产出!$H:$H,MATCH(B950,[1]洞天福地产出!$K:$K,0)),"")</f>
        <v/>
      </c>
      <c r="L950" s="1" t="str">
        <f t="shared" si="74"/>
        <v/>
      </c>
      <c r="M950" s="4">
        <f t="shared" si="75"/>
        <v>0</v>
      </c>
    </row>
    <row r="951" ht="45" spans="1:13">
      <c r="A951" s="4"/>
      <c r="B951" t="str">
        <f t="shared" si="76"/>
        <v>7:19000104</v>
      </c>
      <c r="C951" s="1">
        <v>7</v>
      </c>
      <c r="D951" s="4">
        <v>19000104</v>
      </c>
      <c r="E951" s="3" t="s">
        <v>461</v>
      </c>
      <c r="F951" s="3"/>
      <c r="G951" s="1">
        <v>753.3</v>
      </c>
      <c r="H951" s="1">
        <f t="shared" si="72"/>
        <v>753.3</v>
      </c>
      <c r="I951" s="1" t="str">
        <f t="shared" si="73"/>
        <v/>
      </c>
      <c r="J951" s="1" t="str">
        <f>_xlfn.IFNA(INDEX([1]历练产出!$Z:$Z,MATCH(B951,[1]历练产出!$AB:$AB,0)),"")</f>
        <v/>
      </c>
      <c r="K951" s="1" t="str">
        <f>_xlfn.IFNA(INDEX([1]洞天福地产出!$H:$H,MATCH(B951,[1]洞天福地产出!$K:$K,0)),"")</f>
        <v/>
      </c>
      <c r="L951" s="1" t="str">
        <f t="shared" si="74"/>
        <v/>
      </c>
      <c r="M951" s="4">
        <f t="shared" si="75"/>
        <v>0</v>
      </c>
    </row>
    <row r="952" ht="45" spans="1:13">
      <c r="A952" s="4"/>
      <c r="B952" t="str">
        <f t="shared" si="76"/>
        <v>7:19000105</v>
      </c>
      <c r="C952" s="1">
        <v>7</v>
      </c>
      <c r="D952" s="4">
        <v>19000105</v>
      </c>
      <c r="E952" s="3" t="s">
        <v>461</v>
      </c>
      <c r="F952" s="3"/>
      <c r="G952" s="1">
        <v>810</v>
      </c>
      <c r="H952" s="1">
        <f t="shared" si="72"/>
        <v>810</v>
      </c>
      <c r="I952" s="1" t="str">
        <f t="shared" si="73"/>
        <v/>
      </c>
      <c r="J952" s="1" t="str">
        <f>_xlfn.IFNA(INDEX([1]历练产出!$Z:$Z,MATCH(B952,[1]历练产出!$AB:$AB,0)),"")</f>
        <v/>
      </c>
      <c r="K952" s="1" t="str">
        <f>_xlfn.IFNA(INDEX([1]洞天福地产出!$H:$H,MATCH(B952,[1]洞天福地产出!$K:$K,0)),"")</f>
        <v/>
      </c>
      <c r="L952" s="1" t="str">
        <f t="shared" si="74"/>
        <v/>
      </c>
      <c r="M952" s="4">
        <f t="shared" si="75"/>
        <v>0</v>
      </c>
    </row>
    <row r="953" ht="45" spans="1:13">
      <c r="A953" s="4"/>
      <c r="B953" t="str">
        <f t="shared" si="76"/>
        <v>7:19000106</v>
      </c>
      <c r="C953" s="1">
        <v>7</v>
      </c>
      <c r="D953" s="4">
        <v>19000106</v>
      </c>
      <c r="E953" s="3" t="s">
        <v>461</v>
      </c>
      <c r="F953" s="3"/>
      <c r="G953" s="1">
        <v>878.85</v>
      </c>
      <c r="H953" s="1">
        <f t="shared" si="72"/>
        <v>878.85</v>
      </c>
      <c r="I953" s="1" t="str">
        <f t="shared" si="73"/>
        <v/>
      </c>
      <c r="J953" s="1" t="str">
        <f>_xlfn.IFNA(INDEX([1]历练产出!$Z:$Z,MATCH(B953,[1]历练产出!$AB:$AB,0)),"")</f>
        <v/>
      </c>
      <c r="K953" s="1" t="str">
        <f>_xlfn.IFNA(INDEX([1]洞天福地产出!$H:$H,MATCH(B953,[1]洞天福地产出!$K:$K,0)),"")</f>
        <v/>
      </c>
      <c r="L953" s="1" t="str">
        <f t="shared" si="74"/>
        <v/>
      </c>
      <c r="M953" s="4">
        <f t="shared" si="75"/>
        <v>0</v>
      </c>
    </row>
    <row r="954" ht="45" spans="1:13">
      <c r="A954" s="4"/>
      <c r="B954" t="str">
        <f t="shared" si="76"/>
        <v>7:19000107</v>
      </c>
      <c r="C954" s="1">
        <v>7</v>
      </c>
      <c r="D954" s="4">
        <v>19000107</v>
      </c>
      <c r="E954" s="3" t="s">
        <v>461</v>
      </c>
      <c r="F954" s="3"/>
      <c r="G954" s="1">
        <v>959.85</v>
      </c>
      <c r="H954" s="1">
        <f t="shared" si="72"/>
        <v>959.85</v>
      </c>
      <c r="I954" s="1" t="str">
        <f t="shared" si="73"/>
        <v/>
      </c>
      <c r="J954" s="1" t="str">
        <f>_xlfn.IFNA(INDEX([1]历练产出!$Z:$Z,MATCH(B954,[1]历练产出!$AB:$AB,0)),"")</f>
        <v/>
      </c>
      <c r="K954" s="1" t="str">
        <f>_xlfn.IFNA(INDEX([1]洞天福地产出!$H:$H,MATCH(B954,[1]洞天福地产出!$K:$K,0)),"")</f>
        <v/>
      </c>
      <c r="L954" s="1" t="str">
        <f t="shared" si="74"/>
        <v/>
      </c>
      <c r="M954" s="4">
        <f t="shared" si="75"/>
        <v>0</v>
      </c>
    </row>
    <row r="955" ht="45" spans="1:13">
      <c r="A955" s="4"/>
      <c r="B955" t="str">
        <f t="shared" si="76"/>
        <v>7:19000108</v>
      </c>
      <c r="C955" s="1">
        <v>7</v>
      </c>
      <c r="D955" s="4">
        <v>19000108</v>
      </c>
      <c r="E955" s="3" t="s">
        <v>461</v>
      </c>
      <c r="F955" s="3"/>
      <c r="G955" s="1">
        <v>1053</v>
      </c>
      <c r="H955" s="1">
        <f t="shared" si="72"/>
        <v>1053</v>
      </c>
      <c r="I955" s="1" t="str">
        <f t="shared" si="73"/>
        <v/>
      </c>
      <c r="J955" s="1" t="str">
        <f>_xlfn.IFNA(INDEX([1]历练产出!$Z:$Z,MATCH(B955,[1]历练产出!$AB:$AB,0)),"")</f>
        <v/>
      </c>
      <c r="K955" s="1" t="str">
        <f>_xlfn.IFNA(INDEX([1]洞天福地产出!$H:$H,MATCH(B955,[1]洞天福地产出!$K:$K,0)),"")</f>
        <v/>
      </c>
      <c r="L955" s="1" t="str">
        <f t="shared" si="74"/>
        <v/>
      </c>
      <c r="M955" s="4">
        <f t="shared" si="75"/>
        <v>0</v>
      </c>
    </row>
    <row r="956" ht="45" spans="1:13">
      <c r="A956" s="4"/>
      <c r="B956" t="str">
        <f t="shared" si="76"/>
        <v>7:19000109</v>
      </c>
      <c r="C956" s="1">
        <v>7</v>
      </c>
      <c r="D956" s="4">
        <v>19000109</v>
      </c>
      <c r="E956" s="3" t="s">
        <v>461</v>
      </c>
      <c r="F956" s="3"/>
      <c r="G956" s="1">
        <v>1806.3</v>
      </c>
      <c r="H956" s="1">
        <f t="shared" si="72"/>
        <v>1806.3</v>
      </c>
      <c r="I956" s="1" t="str">
        <f t="shared" si="73"/>
        <v/>
      </c>
      <c r="J956" s="1" t="str">
        <f>_xlfn.IFNA(INDEX([1]历练产出!$Z:$Z,MATCH(B956,[1]历练产出!$AB:$AB,0)),"")</f>
        <v/>
      </c>
      <c r="K956" s="1" t="str">
        <f>_xlfn.IFNA(INDEX([1]洞天福地产出!$H:$H,MATCH(B956,[1]洞天福地产出!$K:$K,0)),"")</f>
        <v/>
      </c>
      <c r="L956" s="1" t="str">
        <f t="shared" si="74"/>
        <v/>
      </c>
      <c r="M956" s="4">
        <f t="shared" si="75"/>
        <v>0</v>
      </c>
    </row>
    <row r="957" ht="45" spans="1:13">
      <c r="A957" s="4"/>
      <c r="B957" t="str">
        <f t="shared" si="76"/>
        <v>7:19000110</v>
      </c>
      <c r="C957" s="1">
        <v>7</v>
      </c>
      <c r="D957" s="4">
        <v>19000110</v>
      </c>
      <c r="E957" s="3" t="s">
        <v>461</v>
      </c>
      <c r="F957" s="3"/>
      <c r="G957" s="1">
        <v>1923.75</v>
      </c>
      <c r="H957" s="1">
        <f t="shared" si="72"/>
        <v>1923.75</v>
      </c>
      <c r="I957" s="1" t="str">
        <f t="shared" si="73"/>
        <v/>
      </c>
      <c r="J957" s="1" t="str">
        <f>_xlfn.IFNA(INDEX([1]历练产出!$Z:$Z,MATCH(B957,[1]历练产出!$AB:$AB,0)),"")</f>
        <v/>
      </c>
      <c r="K957" s="1" t="str">
        <f>_xlfn.IFNA(INDEX([1]洞天福地产出!$H:$H,MATCH(B957,[1]洞天福地产出!$K:$K,0)),"")</f>
        <v/>
      </c>
      <c r="L957" s="1" t="str">
        <f t="shared" si="74"/>
        <v/>
      </c>
      <c r="M957" s="4">
        <f t="shared" si="75"/>
        <v>0</v>
      </c>
    </row>
    <row r="958" ht="45" spans="1:13">
      <c r="A958" s="4"/>
      <c r="B958" t="str">
        <f t="shared" si="76"/>
        <v>7:19000111</v>
      </c>
      <c r="C958" s="1">
        <v>7</v>
      </c>
      <c r="D958" s="4">
        <v>19000111</v>
      </c>
      <c r="E958" s="3" t="s">
        <v>461</v>
      </c>
      <c r="F958" s="3"/>
      <c r="G958" s="1">
        <v>2053.35</v>
      </c>
      <c r="H958" s="1">
        <f t="shared" si="72"/>
        <v>2053.35</v>
      </c>
      <c r="I958" s="1" t="str">
        <f t="shared" si="73"/>
        <v/>
      </c>
      <c r="J958" s="1" t="str">
        <f>_xlfn.IFNA(INDEX([1]历练产出!$Z:$Z,MATCH(B958,[1]历练产出!$AB:$AB,0)),"")</f>
        <v/>
      </c>
      <c r="K958" s="1" t="str">
        <f>_xlfn.IFNA(INDEX([1]洞天福地产出!$H:$H,MATCH(B958,[1]洞天福地产出!$K:$K,0)),"")</f>
        <v/>
      </c>
      <c r="L958" s="1" t="str">
        <f t="shared" si="74"/>
        <v/>
      </c>
      <c r="M958" s="4">
        <f t="shared" si="75"/>
        <v>0</v>
      </c>
    </row>
    <row r="959" ht="45" spans="1:13">
      <c r="A959" s="4"/>
      <c r="B959" t="str">
        <f t="shared" si="76"/>
        <v>7:19000112</v>
      </c>
      <c r="C959" s="1">
        <v>7</v>
      </c>
      <c r="D959" s="4">
        <v>19000112</v>
      </c>
      <c r="E959" s="3" t="s">
        <v>461</v>
      </c>
      <c r="F959" s="3"/>
      <c r="G959" s="1">
        <v>2195.1</v>
      </c>
      <c r="H959" s="1">
        <f t="shared" si="72"/>
        <v>2195.1</v>
      </c>
      <c r="I959" s="1" t="str">
        <f t="shared" si="73"/>
        <v/>
      </c>
      <c r="J959" s="1" t="str">
        <f>_xlfn.IFNA(INDEX([1]历练产出!$Z:$Z,MATCH(B959,[1]历练产出!$AB:$AB,0)),"")</f>
        <v/>
      </c>
      <c r="K959" s="1" t="str">
        <f>_xlfn.IFNA(INDEX([1]洞天福地产出!$H:$H,MATCH(B959,[1]洞天福地产出!$K:$K,0)),"")</f>
        <v/>
      </c>
      <c r="L959" s="1" t="str">
        <f t="shared" si="74"/>
        <v/>
      </c>
      <c r="M959" s="4">
        <f t="shared" si="75"/>
        <v>0</v>
      </c>
    </row>
    <row r="960" ht="45" spans="1:13">
      <c r="A960" s="4"/>
      <c r="B960" t="str">
        <f t="shared" si="76"/>
        <v>7:19000113</v>
      </c>
      <c r="C960" s="1">
        <v>7</v>
      </c>
      <c r="D960" s="4">
        <v>19000113</v>
      </c>
      <c r="E960" s="3" t="s">
        <v>461</v>
      </c>
      <c r="F960" s="3"/>
      <c r="G960" s="1">
        <v>2349</v>
      </c>
      <c r="H960" s="1">
        <f t="shared" si="72"/>
        <v>2349</v>
      </c>
      <c r="I960" s="1" t="str">
        <f t="shared" si="73"/>
        <v/>
      </c>
      <c r="J960" s="1" t="str">
        <f>_xlfn.IFNA(INDEX([1]历练产出!$Z:$Z,MATCH(B960,[1]历练产出!$AB:$AB,0)),"")</f>
        <v/>
      </c>
      <c r="K960" s="1" t="str">
        <f>_xlfn.IFNA(INDEX([1]洞天福地产出!$H:$H,MATCH(B960,[1]洞天福地产出!$K:$K,0)),"")</f>
        <v/>
      </c>
      <c r="L960" s="1" t="str">
        <f t="shared" si="74"/>
        <v/>
      </c>
      <c r="M960" s="4">
        <f t="shared" si="75"/>
        <v>0</v>
      </c>
    </row>
    <row r="961" ht="45" spans="1:13">
      <c r="A961" s="4"/>
      <c r="B961" t="str">
        <f t="shared" si="76"/>
        <v>7:19000114</v>
      </c>
      <c r="C961" s="1">
        <v>7</v>
      </c>
      <c r="D961" s="4">
        <v>19000114</v>
      </c>
      <c r="E961" s="3" t="s">
        <v>461</v>
      </c>
      <c r="F961" s="3"/>
      <c r="G961" s="1">
        <v>2515.05</v>
      </c>
      <c r="H961" s="1">
        <f t="shared" si="72"/>
        <v>2515.05</v>
      </c>
      <c r="I961" s="1" t="str">
        <f t="shared" si="73"/>
        <v/>
      </c>
      <c r="J961" s="1" t="str">
        <f>_xlfn.IFNA(INDEX([1]历练产出!$Z:$Z,MATCH(B961,[1]历练产出!$AB:$AB,0)),"")</f>
        <v/>
      </c>
      <c r="K961" s="1" t="str">
        <f>_xlfn.IFNA(INDEX([1]洞天福地产出!$H:$H,MATCH(B961,[1]洞天福地产出!$K:$K,0)),"")</f>
        <v/>
      </c>
      <c r="L961" s="1" t="str">
        <f t="shared" si="74"/>
        <v/>
      </c>
      <c r="M961" s="4">
        <f t="shared" si="75"/>
        <v>0</v>
      </c>
    </row>
    <row r="962" ht="45" spans="1:13">
      <c r="A962" s="4"/>
      <c r="B962" t="str">
        <f t="shared" si="76"/>
        <v>7:19000115</v>
      </c>
      <c r="C962" s="1">
        <v>7</v>
      </c>
      <c r="D962" s="4">
        <v>19000115</v>
      </c>
      <c r="E962" s="3" t="s">
        <v>461</v>
      </c>
      <c r="F962" s="3"/>
      <c r="G962" s="1">
        <v>2693.25</v>
      </c>
      <c r="H962" s="1">
        <f t="shared" si="72"/>
        <v>2693.25</v>
      </c>
      <c r="I962" s="1" t="str">
        <f t="shared" si="73"/>
        <v/>
      </c>
      <c r="J962" s="1" t="str">
        <f>_xlfn.IFNA(INDEX([1]历练产出!$Z:$Z,MATCH(B962,[1]历练产出!$AB:$AB,0)),"")</f>
        <v/>
      </c>
      <c r="K962" s="1" t="str">
        <f>_xlfn.IFNA(INDEX([1]洞天福地产出!$H:$H,MATCH(B962,[1]洞天福地产出!$K:$K,0)),"")</f>
        <v/>
      </c>
      <c r="L962" s="1" t="str">
        <f t="shared" si="74"/>
        <v/>
      </c>
      <c r="M962" s="4">
        <f t="shared" si="75"/>
        <v>0</v>
      </c>
    </row>
    <row r="963" ht="45" spans="1:13">
      <c r="A963" s="4"/>
      <c r="B963" t="str">
        <f t="shared" si="76"/>
        <v>7:19000116</v>
      </c>
      <c r="C963" s="1">
        <v>7</v>
      </c>
      <c r="D963" s="4">
        <v>19000116</v>
      </c>
      <c r="E963" s="3" t="s">
        <v>461</v>
      </c>
      <c r="F963" s="3"/>
      <c r="G963" s="1">
        <v>2883.6</v>
      </c>
      <c r="H963" s="1">
        <f t="shared" si="72"/>
        <v>2883.6</v>
      </c>
      <c r="I963" s="1" t="str">
        <f t="shared" si="73"/>
        <v/>
      </c>
      <c r="J963" s="1" t="str">
        <f>_xlfn.IFNA(INDEX([1]历练产出!$Z:$Z,MATCH(B963,[1]历练产出!$AB:$AB,0)),"")</f>
        <v/>
      </c>
      <c r="K963" s="1" t="str">
        <f>_xlfn.IFNA(INDEX([1]洞天福地产出!$H:$H,MATCH(B963,[1]洞天福地产出!$K:$K,0)),"")</f>
        <v/>
      </c>
      <c r="L963" s="1" t="str">
        <f t="shared" si="74"/>
        <v/>
      </c>
      <c r="M963" s="4">
        <f t="shared" si="75"/>
        <v>0</v>
      </c>
    </row>
    <row r="964" ht="45" spans="1:13">
      <c r="A964" s="4"/>
      <c r="B964" t="str">
        <f t="shared" si="76"/>
        <v>7:19000117</v>
      </c>
      <c r="C964" s="1">
        <v>7</v>
      </c>
      <c r="D964" s="4">
        <v>19000117</v>
      </c>
      <c r="E964" s="3" t="s">
        <v>461</v>
      </c>
      <c r="F964" s="3"/>
      <c r="G964" s="1">
        <v>3086.1</v>
      </c>
      <c r="H964" s="1">
        <f t="shared" ref="H964:H1027" si="77">IF(I964="",G964,I964)</f>
        <v>3086.1</v>
      </c>
      <c r="I964" s="1" t="str">
        <f t="shared" ref="I964:I1027" si="78">IFERROR(100/L964,"")</f>
        <v/>
      </c>
      <c r="J964" s="1" t="str">
        <f>_xlfn.IFNA(INDEX([1]历练产出!$Z:$Z,MATCH(B964,[1]历练产出!$AB:$AB,0)),"")</f>
        <v/>
      </c>
      <c r="K964" s="1" t="str">
        <f>_xlfn.IFNA(INDEX([1]洞天福地产出!$H:$H,MATCH(B964,[1]洞天福地产出!$K:$K,0)),"")</f>
        <v/>
      </c>
      <c r="L964" s="1" t="str">
        <f t="shared" ref="L964:L1027" si="79">IFERROR(J964+K964,"")</f>
        <v/>
      </c>
      <c r="M964" s="4">
        <f t="shared" ref="M964:M1027" si="80">IF(I964="",0,1)</f>
        <v>0</v>
      </c>
    </row>
    <row r="965" ht="45" spans="1:13">
      <c r="A965" s="4"/>
      <c r="B965" t="str">
        <f t="shared" si="76"/>
        <v>7:19000118</v>
      </c>
      <c r="C965" s="1">
        <v>7</v>
      </c>
      <c r="D965" s="4">
        <v>19000118</v>
      </c>
      <c r="E965" s="3" t="s">
        <v>461</v>
      </c>
      <c r="F965" s="3"/>
      <c r="G965" s="1">
        <v>3300.75</v>
      </c>
      <c r="H965" s="1">
        <f t="shared" si="77"/>
        <v>3300.75</v>
      </c>
      <c r="I965" s="1" t="str">
        <f t="shared" si="78"/>
        <v/>
      </c>
      <c r="J965" s="1" t="str">
        <f>_xlfn.IFNA(INDEX([1]历练产出!$Z:$Z,MATCH(B965,[1]历练产出!$AB:$AB,0)),"")</f>
        <v/>
      </c>
      <c r="K965" s="1" t="str">
        <f>_xlfn.IFNA(INDEX([1]洞天福地产出!$H:$H,MATCH(B965,[1]洞天福地产出!$K:$K,0)),"")</f>
        <v/>
      </c>
      <c r="L965" s="1" t="str">
        <f t="shared" si="79"/>
        <v/>
      </c>
      <c r="M965" s="4">
        <f t="shared" si="80"/>
        <v>0</v>
      </c>
    </row>
    <row r="966" ht="45" spans="1:13">
      <c r="A966" s="4"/>
      <c r="B966" t="str">
        <f t="shared" si="76"/>
        <v>7:19000119</v>
      </c>
      <c r="C966" s="1">
        <v>7</v>
      </c>
      <c r="D966" s="4">
        <v>19000119</v>
      </c>
      <c r="E966" s="3" t="s">
        <v>461</v>
      </c>
      <c r="F966" s="3"/>
      <c r="G966" s="1">
        <v>4823.55</v>
      </c>
      <c r="H966" s="1">
        <f t="shared" si="77"/>
        <v>4823.55</v>
      </c>
      <c r="I966" s="1" t="str">
        <f t="shared" si="78"/>
        <v/>
      </c>
      <c r="J966" s="1" t="str">
        <f>_xlfn.IFNA(INDEX([1]历练产出!$Z:$Z,MATCH(B966,[1]历练产出!$AB:$AB,0)),"")</f>
        <v/>
      </c>
      <c r="K966" s="1" t="str">
        <f>_xlfn.IFNA(INDEX([1]洞天福地产出!$H:$H,MATCH(B966,[1]洞天福地产出!$K:$K,0)),"")</f>
        <v/>
      </c>
      <c r="L966" s="1" t="str">
        <f t="shared" si="79"/>
        <v/>
      </c>
      <c r="M966" s="4">
        <f t="shared" si="80"/>
        <v>0</v>
      </c>
    </row>
    <row r="967" ht="45" spans="1:13">
      <c r="A967" s="4"/>
      <c r="B967" t="str">
        <f t="shared" si="76"/>
        <v>7:19000120</v>
      </c>
      <c r="C967" s="1">
        <v>7</v>
      </c>
      <c r="D967" s="4">
        <v>19000120</v>
      </c>
      <c r="E967" s="3" t="s">
        <v>461</v>
      </c>
      <c r="F967" s="3"/>
      <c r="G967" s="1">
        <v>5062.5</v>
      </c>
      <c r="H967" s="1">
        <f t="shared" si="77"/>
        <v>5062.5</v>
      </c>
      <c r="I967" s="1" t="str">
        <f t="shared" si="78"/>
        <v/>
      </c>
      <c r="J967" s="1" t="str">
        <f>_xlfn.IFNA(INDEX([1]历练产出!$Z:$Z,MATCH(B967,[1]历练产出!$AB:$AB,0)),"")</f>
        <v/>
      </c>
      <c r="K967" s="1" t="str">
        <f>_xlfn.IFNA(INDEX([1]洞天福地产出!$H:$H,MATCH(B967,[1]洞天福地产出!$K:$K,0)),"")</f>
        <v/>
      </c>
      <c r="L967" s="1" t="str">
        <f t="shared" si="79"/>
        <v/>
      </c>
      <c r="M967" s="4">
        <f t="shared" si="80"/>
        <v>0</v>
      </c>
    </row>
    <row r="968" ht="45" spans="1:13">
      <c r="A968" s="4"/>
      <c r="B968" t="str">
        <f t="shared" si="76"/>
        <v>7:19000121</v>
      </c>
      <c r="C968" s="1">
        <v>7</v>
      </c>
      <c r="D968" s="4">
        <v>19000121</v>
      </c>
      <c r="E968" s="3" t="s">
        <v>461</v>
      </c>
      <c r="F968" s="3"/>
      <c r="G968" s="1">
        <v>5313.6</v>
      </c>
      <c r="H968" s="1">
        <f t="shared" si="77"/>
        <v>5313.6</v>
      </c>
      <c r="I968" s="1" t="str">
        <f t="shared" si="78"/>
        <v/>
      </c>
      <c r="J968" s="1" t="str">
        <f>_xlfn.IFNA(INDEX([1]历练产出!$Z:$Z,MATCH(B968,[1]历练产出!$AB:$AB,0)),"")</f>
        <v/>
      </c>
      <c r="K968" s="1" t="str">
        <f>_xlfn.IFNA(INDEX([1]洞天福地产出!$H:$H,MATCH(B968,[1]洞天福地产出!$K:$K,0)),"")</f>
        <v/>
      </c>
      <c r="L968" s="1" t="str">
        <f t="shared" si="79"/>
        <v/>
      </c>
      <c r="M968" s="4">
        <f t="shared" si="80"/>
        <v>0</v>
      </c>
    </row>
    <row r="969" ht="45" spans="1:13">
      <c r="A969" s="4"/>
      <c r="B969" t="str">
        <f t="shared" si="76"/>
        <v>7:19000122</v>
      </c>
      <c r="C969" s="1">
        <v>7</v>
      </c>
      <c r="D969" s="4">
        <v>19000122</v>
      </c>
      <c r="E969" s="3" t="s">
        <v>461</v>
      </c>
      <c r="F969" s="3"/>
      <c r="G969" s="1">
        <v>5576.85</v>
      </c>
      <c r="H969" s="1">
        <f t="shared" si="77"/>
        <v>5576.85</v>
      </c>
      <c r="I969" s="1" t="str">
        <f t="shared" si="78"/>
        <v/>
      </c>
      <c r="J969" s="1" t="str">
        <f>_xlfn.IFNA(INDEX([1]历练产出!$Z:$Z,MATCH(B969,[1]历练产出!$AB:$AB,0)),"")</f>
        <v/>
      </c>
      <c r="K969" s="1" t="str">
        <f>_xlfn.IFNA(INDEX([1]洞天福地产出!$H:$H,MATCH(B969,[1]洞天福地产出!$K:$K,0)),"")</f>
        <v/>
      </c>
      <c r="L969" s="1" t="str">
        <f t="shared" si="79"/>
        <v/>
      </c>
      <c r="M969" s="4">
        <f t="shared" si="80"/>
        <v>0</v>
      </c>
    </row>
    <row r="970" ht="45" spans="1:13">
      <c r="A970" s="4"/>
      <c r="B970" t="str">
        <f t="shared" si="76"/>
        <v>7:19000123</v>
      </c>
      <c r="C970" s="1">
        <v>7</v>
      </c>
      <c r="D970" s="4">
        <v>19000123</v>
      </c>
      <c r="E970" s="3" t="s">
        <v>461</v>
      </c>
      <c r="F970" s="3"/>
      <c r="G970" s="1">
        <v>5852.25</v>
      </c>
      <c r="H970" s="1">
        <f t="shared" si="77"/>
        <v>5852.25</v>
      </c>
      <c r="I970" s="1" t="str">
        <f t="shared" si="78"/>
        <v/>
      </c>
      <c r="J970" s="1" t="str">
        <f>_xlfn.IFNA(INDEX([1]历练产出!$Z:$Z,MATCH(B970,[1]历练产出!$AB:$AB,0)),"")</f>
        <v/>
      </c>
      <c r="K970" s="1" t="str">
        <f>_xlfn.IFNA(INDEX([1]洞天福地产出!$H:$H,MATCH(B970,[1]洞天福地产出!$K:$K,0)),"")</f>
        <v/>
      </c>
      <c r="L970" s="1" t="str">
        <f t="shared" si="79"/>
        <v/>
      </c>
      <c r="M970" s="4">
        <f t="shared" si="80"/>
        <v>0</v>
      </c>
    </row>
    <row r="971" ht="45" spans="1:13">
      <c r="A971" s="4"/>
      <c r="B971" t="str">
        <f t="shared" si="76"/>
        <v>7:19000124</v>
      </c>
      <c r="C971" s="1">
        <v>7</v>
      </c>
      <c r="D971" s="4">
        <v>19000124</v>
      </c>
      <c r="E971" s="3" t="s">
        <v>461</v>
      </c>
      <c r="F971" s="3"/>
      <c r="G971" s="1">
        <v>6139.8</v>
      </c>
      <c r="H971" s="1">
        <f t="shared" si="77"/>
        <v>6139.8</v>
      </c>
      <c r="I971" s="1" t="str">
        <f t="shared" si="78"/>
        <v/>
      </c>
      <c r="J971" s="1" t="str">
        <f>_xlfn.IFNA(INDEX([1]历练产出!$Z:$Z,MATCH(B971,[1]历练产出!$AB:$AB,0)),"")</f>
        <v/>
      </c>
      <c r="K971" s="1" t="str">
        <f>_xlfn.IFNA(INDEX([1]洞天福地产出!$H:$H,MATCH(B971,[1]洞天福地产出!$K:$K,0)),"")</f>
        <v/>
      </c>
      <c r="L971" s="1" t="str">
        <f t="shared" si="79"/>
        <v/>
      </c>
      <c r="M971" s="4">
        <f t="shared" si="80"/>
        <v>0</v>
      </c>
    </row>
    <row r="972" ht="45" spans="1:13">
      <c r="A972" s="4"/>
      <c r="B972" t="str">
        <f t="shared" si="76"/>
        <v>7:19000125</v>
      </c>
      <c r="C972" s="1">
        <v>7</v>
      </c>
      <c r="D972" s="4">
        <v>19000125</v>
      </c>
      <c r="E972" s="3" t="s">
        <v>461</v>
      </c>
      <c r="F972" s="3"/>
      <c r="G972" s="1">
        <v>6439.5</v>
      </c>
      <c r="H972" s="1">
        <f t="shared" si="77"/>
        <v>6439.5</v>
      </c>
      <c r="I972" s="1" t="str">
        <f t="shared" si="78"/>
        <v/>
      </c>
      <c r="J972" s="1" t="str">
        <f>_xlfn.IFNA(INDEX([1]历练产出!$Z:$Z,MATCH(B972,[1]历练产出!$AB:$AB,0)),"")</f>
        <v/>
      </c>
      <c r="K972" s="1" t="str">
        <f>_xlfn.IFNA(INDEX([1]洞天福地产出!$H:$H,MATCH(B972,[1]洞天福地产出!$K:$K,0)),"")</f>
        <v/>
      </c>
      <c r="L972" s="1" t="str">
        <f t="shared" si="79"/>
        <v/>
      </c>
      <c r="M972" s="4">
        <f t="shared" si="80"/>
        <v>0</v>
      </c>
    </row>
    <row r="973" ht="45" spans="1:13">
      <c r="A973" s="4"/>
      <c r="B973" t="str">
        <f t="shared" si="76"/>
        <v>7:19000126</v>
      </c>
      <c r="C973" s="1">
        <v>7</v>
      </c>
      <c r="D973" s="4">
        <v>19000126</v>
      </c>
      <c r="E973" s="3" t="s">
        <v>461</v>
      </c>
      <c r="F973" s="3"/>
      <c r="G973" s="1">
        <v>6751.35</v>
      </c>
      <c r="H973" s="1">
        <f t="shared" si="77"/>
        <v>6751.35</v>
      </c>
      <c r="I973" s="1" t="str">
        <f t="shared" si="78"/>
        <v/>
      </c>
      <c r="J973" s="1" t="str">
        <f>_xlfn.IFNA(INDEX([1]历练产出!$Z:$Z,MATCH(B973,[1]历练产出!$AB:$AB,0)),"")</f>
        <v/>
      </c>
      <c r="K973" s="1" t="str">
        <f>_xlfn.IFNA(INDEX([1]洞天福地产出!$H:$H,MATCH(B973,[1]洞天福地产出!$K:$K,0)),"")</f>
        <v/>
      </c>
      <c r="L973" s="1" t="str">
        <f t="shared" si="79"/>
        <v/>
      </c>
      <c r="M973" s="4">
        <f t="shared" si="80"/>
        <v>0</v>
      </c>
    </row>
    <row r="974" ht="45" spans="1:13">
      <c r="A974" s="4"/>
      <c r="B974" t="str">
        <f t="shared" si="76"/>
        <v>7:19000127</v>
      </c>
      <c r="C974" s="1">
        <v>7</v>
      </c>
      <c r="D974" s="4">
        <v>19000127</v>
      </c>
      <c r="E974" s="3" t="s">
        <v>461</v>
      </c>
      <c r="F974" s="3"/>
      <c r="G974" s="1">
        <v>7075.35</v>
      </c>
      <c r="H974" s="1">
        <f t="shared" si="77"/>
        <v>7075.35</v>
      </c>
      <c r="I974" s="1" t="str">
        <f t="shared" si="78"/>
        <v/>
      </c>
      <c r="J974" s="1" t="str">
        <f>_xlfn.IFNA(INDEX([1]历练产出!$Z:$Z,MATCH(B974,[1]历练产出!$AB:$AB,0)),"")</f>
        <v/>
      </c>
      <c r="K974" s="1" t="str">
        <f>_xlfn.IFNA(INDEX([1]洞天福地产出!$H:$H,MATCH(B974,[1]洞天福地产出!$K:$K,0)),"")</f>
        <v/>
      </c>
      <c r="L974" s="1" t="str">
        <f t="shared" si="79"/>
        <v/>
      </c>
      <c r="M974" s="4">
        <f t="shared" si="80"/>
        <v>0</v>
      </c>
    </row>
    <row r="975" ht="45" spans="1:13">
      <c r="A975" s="4"/>
      <c r="B975" t="str">
        <f t="shared" si="76"/>
        <v>7:19000128</v>
      </c>
      <c r="C975" s="1">
        <v>7</v>
      </c>
      <c r="D975" s="4">
        <v>19000128</v>
      </c>
      <c r="E975" s="3" t="s">
        <v>461</v>
      </c>
      <c r="F975" s="3"/>
      <c r="G975" s="1">
        <v>7411.5</v>
      </c>
      <c r="H975" s="1">
        <f t="shared" si="77"/>
        <v>7411.5</v>
      </c>
      <c r="I975" s="1" t="str">
        <f t="shared" si="78"/>
        <v/>
      </c>
      <c r="J975" s="1" t="str">
        <f>_xlfn.IFNA(INDEX([1]历练产出!$Z:$Z,MATCH(B975,[1]历练产出!$AB:$AB,0)),"")</f>
        <v/>
      </c>
      <c r="K975" s="1" t="str">
        <f>_xlfn.IFNA(INDEX([1]洞天福地产出!$H:$H,MATCH(B975,[1]洞天福地产出!$K:$K,0)),"")</f>
        <v/>
      </c>
      <c r="L975" s="1" t="str">
        <f t="shared" si="79"/>
        <v/>
      </c>
      <c r="M975" s="4">
        <f t="shared" si="80"/>
        <v>0</v>
      </c>
    </row>
    <row r="976" ht="45" spans="1:13">
      <c r="A976" s="4"/>
      <c r="B976" t="str">
        <f t="shared" si="76"/>
        <v>7:19000129</v>
      </c>
      <c r="C976" s="1">
        <v>7</v>
      </c>
      <c r="D976" s="4">
        <v>19000129</v>
      </c>
      <c r="E976" s="3" t="s">
        <v>461</v>
      </c>
      <c r="F976" s="3"/>
      <c r="G976" s="1">
        <v>9703.8</v>
      </c>
      <c r="H976" s="1">
        <f t="shared" si="77"/>
        <v>9703.8</v>
      </c>
      <c r="I976" s="1" t="str">
        <f t="shared" si="78"/>
        <v/>
      </c>
      <c r="J976" s="1" t="str">
        <f>_xlfn.IFNA(INDEX([1]历练产出!$Z:$Z,MATCH(B976,[1]历练产出!$AB:$AB,0)),"")</f>
        <v/>
      </c>
      <c r="K976" s="1" t="str">
        <f>_xlfn.IFNA(INDEX([1]洞天福地产出!$H:$H,MATCH(B976,[1]洞天福地产出!$K:$K,0)),"")</f>
        <v/>
      </c>
      <c r="L976" s="1" t="str">
        <f t="shared" si="79"/>
        <v/>
      </c>
      <c r="M976" s="4">
        <f t="shared" si="80"/>
        <v>0</v>
      </c>
    </row>
    <row r="977" ht="45" spans="1:13">
      <c r="A977" s="4"/>
      <c r="B977" t="str">
        <f t="shared" si="76"/>
        <v>7:19000130</v>
      </c>
      <c r="C977" s="1">
        <v>7</v>
      </c>
      <c r="D977" s="4">
        <v>19000130</v>
      </c>
      <c r="E977" s="3" t="s">
        <v>461</v>
      </c>
      <c r="F977" s="3"/>
      <c r="G977" s="1">
        <v>10052.1</v>
      </c>
      <c r="H977" s="1">
        <f t="shared" si="77"/>
        <v>10052.1</v>
      </c>
      <c r="I977" s="1" t="str">
        <f t="shared" si="78"/>
        <v/>
      </c>
      <c r="J977" s="1" t="str">
        <f>_xlfn.IFNA(INDEX([1]历练产出!$Z:$Z,MATCH(B977,[1]历练产出!$AB:$AB,0)),"")</f>
        <v/>
      </c>
      <c r="K977" s="1" t="str">
        <f>_xlfn.IFNA(INDEX([1]洞天福地产出!$H:$H,MATCH(B977,[1]洞天福地产出!$K:$K,0)),"")</f>
        <v/>
      </c>
      <c r="L977" s="1" t="str">
        <f t="shared" si="79"/>
        <v/>
      </c>
      <c r="M977" s="4">
        <f t="shared" si="80"/>
        <v>0</v>
      </c>
    </row>
    <row r="978" spans="1:13">
      <c r="A978" s="4"/>
      <c r="B978" t="str">
        <f t="shared" si="76"/>
        <v>7:20000101</v>
      </c>
      <c r="C978" s="1">
        <v>7</v>
      </c>
      <c r="D978" s="4">
        <v>20000101</v>
      </c>
      <c r="E978" s="3" t="s">
        <v>463</v>
      </c>
      <c r="F978" s="3"/>
      <c r="G978" s="1">
        <v>656.1</v>
      </c>
      <c r="H978" s="1">
        <f t="shared" si="77"/>
        <v>656.1</v>
      </c>
      <c r="I978" s="1" t="str">
        <f t="shared" si="78"/>
        <v/>
      </c>
      <c r="J978" s="1" t="str">
        <f>_xlfn.IFNA(INDEX([1]历练产出!$Z:$Z,MATCH(B978,[1]历练产出!$AB:$AB,0)),"")</f>
        <v/>
      </c>
      <c r="K978" s="1" t="str">
        <f>_xlfn.IFNA(INDEX([1]洞天福地产出!$H:$H,MATCH(B978,[1]洞天福地产出!$K:$K,0)),"")</f>
        <v/>
      </c>
      <c r="L978" s="1" t="str">
        <f t="shared" si="79"/>
        <v/>
      </c>
      <c r="M978" s="4">
        <f t="shared" si="80"/>
        <v>0</v>
      </c>
    </row>
    <row r="979" spans="1:13">
      <c r="A979" s="4"/>
      <c r="B979" t="str">
        <f t="shared" si="76"/>
        <v>7:20000102</v>
      </c>
      <c r="C979" s="1">
        <v>7</v>
      </c>
      <c r="D979" s="4">
        <v>20000102</v>
      </c>
      <c r="E979" s="3" t="s">
        <v>463</v>
      </c>
      <c r="F979" s="3"/>
      <c r="G979" s="1">
        <v>676.35</v>
      </c>
      <c r="H979" s="1">
        <f t="shared" si="77"/>
        <v>676.35</v>
      </c>
      <c r="I979" s="1" t="str">
        <f t="shared" si="78"/>
        <v/>
      </c>
      <c r="J979" s="1" t="str">
        <f>_xlfn.IFNA(INDEX([1]历练产出!$Z:$Z,MATCH(B979,[1]历练产出!$AB:$AB,0)),"")</f>
        <v/>
      </c>
      <c r="K979" s="1" t="str">
        <f>_xlfn.IFNA(INDEX([1]洞天福地产出!$H:$H,MATCH(B979,[1]洞天福地产出!$K:$K,0)),"")</f>
        <v/>
      </c>
      <c r="L979" s="1" t="str">
        <f t="shared" si="79"/>
        <v/>
      </c>
      <c r="M979" s="4">
        <f t="shared" si="80"/>
        <v>0</v>
      </c>
    </row>
    <row r="980" spans="1:13">
      <c r="A980" s="4"/>
      <c r="B980" t="str">
        <f t="shared" si="76"/>
        <v>7:20000103</v>
      </c>
      <c r="C980" s="1">
        <v>7</v>
      </c>
      <c r="D980" s="4">
        <v>20000103</v>
      </c>
      <c r="E980" s="3" t="s">
        <v>463</v>
      </c>
      <c r="F980" s="3"/>
      <c r="G980" s="1">
        <v>708.75</v>
      </c>
      <c r="H980" s="1">
        <f t="shared" si="77"/>
        <v>708.75</v>
      </c>
      <c r="I980" s="1" t="str">
        <f t="shared" si="78"/>
        <v/>
      </c>
      <c r="J980" s="1" t="str">
        <f>_xlfn.IFNA(INDEX([1]历练产出!$Z:$Z,MATCH(B980,[1]历练产出!$AB:$AB,0)),"")</f>
        <v/>
      </c>
      <c r="K980" s="1" t="str">
        <f>_xlfn.IFNA(INDEX([1]洞天福地产出!$H:$H,MATCH(B980,[1]洞天福地产出!$K:$K,0)),"")</f>
        <v/>
      </c>
      <c r="L980" s="1" t="str">
        <f t="shared" si="79"/>
        <v/>
      </c>
      <c r="M980" s="4">
        <f t="shared" si="80"/>
        <v>0</v>
      </c>
    </row>
    <row r="981" spans="1:13">
      <c r="A981" s="4"/>
      <c r="B981" t="str">
        <f t="shared" si="76"/>
        <v>7:20000104</v>
      </c>
      <c r="C981" s="1">
        <v>7</v>
      </c>
      <c r="D981" s="4">
        <v>20000104</v>
      </c>
      <c r="E981" s="3" t="s">
        <v>463</v>
      </c>
      <c r="F981" s="3"/>
      <c r="G981" s="1">
        <v>753.3</v>
      </c>
      <c r="H981" s="1">
        <f t="shared" si="77"/>
        <v>753.3</v>
      </c>
      <c r="I981" s="1" t="str">
        <f t="shared" si="78"/>
        <v/>
      </c>
      <c r="J981" s="1" t="str">
        <f>_xlfn.IFNA(INDEX([1]历练产出!$Z:$Z,MATCH(B981,[1]历练产出!$AB:$AB,0)),"")</f>
        <v/>
      </c>
      <c r="K981" s="1" t="str">
        <f>_xlfn.IFNA(INDEX([1]洞天福地产出!$H:$H,MATCH(B981,[1]洞天福地产出!$K:$K,0)),"")</f>
        <v/>
      </c>
      <c r="L981" s="1" t="str">
        <f t="shared" si="79"/>
        <v/>
      </c>
      <c r="M981" s="4">
        <f t="shared" si="80"/>
        <v>0</v>
      </c>
    </row>
    <row r="982" spans="1:13">
      <c r="A982" s="4"/>
      <c r="B982" t="str">
        <f t="shared" si="76"/>
        <v>7:20000105</v>
      </c>
      <c r="C982" s="1">
        <v>7</v>
      </c>
      <c r="D982" s="4">
        <v>20000105</v>
      </c>
      <c r="E982" s="3" t="s">
        <v>463</v>
      </c>
      <c r="F982" s="3"/>
      <c r="G982" s="1">
        <v>810</v>
      </c>
      <c r="H982" s="1">
        <f t="shared" si="77"/>
        <v>810</v>
      </c>
      <c r="I982" s="1" t="str">
        <f t="shared" si="78"/>
        <v/>
      </c>
      <c r="J982" s="1" t="str">
        <f>_xlfn.IFNA(INDEX([1]历练产出!$Z:$Z,MATCH(B982,[1]历练产出!$AB:$AB,0)),"")</f>
        <v/>
      </c>
      <c r="K982" s="1" t="str">
        <f>_xlfn.IFNA(INDEX([1]洞天福地产出!$H:$H,MATCH(B982,[1]洞天福地产出!$K:$K,0)),"")</f>
        <v/>
      </c>
      <c r="L982" s="1" t="str">
        <f t="shared" si="79"/>
        <v/>
      </c>
      <c r="M982" s="4">
        <f t="shared" si="80"/>
        <v>0</v>
      </c>
    </row>
    <row r="983" spans="1:13">
      <c r="A983" s="4"/>
      <c r="B983" t="str">
        <f t="shared" si="76"/>
        <v>7:20000106</v>
      </c>
      <c r="C983" s="1">
        <v>7</v>
      </c>
      <c r="D983" s="4">
        <v>20000106</v>
      </c>
      <c r="E983" s="3" t="s">
        <v>463</v>
      </c>
      <c r="F983" s="3"/>
      <c r="G983" s="1">
        <v>878.85</v>
      </c>
      <c r="H983" s="1">
        <f t="shared" si="77"/>
        <v>878.85</v>
      </c>
      <c r="I983" s="1" t="str">
        <f t="shared" si="78"/>
        <v/>
      </c>
      <c r="J983" s="1" t="str">
        <f>_xlfn.IFNA(INDEX([1]历练产出!$Z:$Z,MATCH(B983,[1]历练产出!$AB:$AB,0)),"")</f>
        <v/>
      </c>
      <c r="K983" s="1" t="str">
        <f>_xlfn.IFNA(INDEX([1]洞天福地产出!$H:$H,MATCH(B983,[1]洞天福地产出!$K:$K,0)),"")</f>
        <v/>
      </c>
      <c r="L983" s="1" t="str">
        <f t="shared" si="79"/>
        <v/>
      </c>
      <c r="M983" s="4">
        <f t="shared" si="80"/>
        <v>0</v>
      </c>
    </row>
    <row r="984" spans="1:13">
      <c r="A984" s="4"/>
      <c r="B984" t="str">
        <f t="shared" si="76"/>
        <v>7:20000107</v>
      </c>
      <c r="C984" s="1">
        <v>7</v>
      </c>
      <c r="D984" s="4">
        <v>20000107</v>
      </c>
      <c r="E984" s="3" t="s">
        <v>463</v>
      </c>
      <c r="F984" s="3"/>
      <c r="G984" s="1">
        <v>959.85</v>
      </c>
      <c r="H984" s="1">
        <f t="shared" si="77"/>
        <v>959.85</v>
      </c>
      <c r="I984" s="1" t="str">
        <f t="shared" si="78"/>
        <v/>
      </c>
      <c r="J984" s="1" t="str">
        <f>_xlfn.IFNA(INDEX([1]历练产出!$Z:$Z,MATCH(B984,[1]历练产出!$AB:$AB,0)),"")</f>
        <v/>
      </c>
      <c r="K984" s="1" t="str">
        <f>_xlfn.IFNA(INDEX([1]洞天福地产出!$H:$H,MATCH(B984,[1]洞天福地产出!$K:$K,0)),"")</f>
        <v/>
      </c>
      <c r="L984" s="1" t="str">
        <f t="shared" si="79"/>
        <v/>
      </c>
      <c r="M984" s="4">
        <f t="shared" si="80"/>
        <v>0</v>
      </c>
    </row>
    <row r="985" spans="1:13">
      <c r="A985" s="4"/>
      <c r="B985" t="str">
        <f t="shared" si="76"/>
        <v>7:20000108</v>
      </c>
      <c r="C985" s="1">
        <v>7</v>
      </c>
      <c r="D985" s="4">
        <v>20000108</v>
      </c>
      <c r="E985" s="3" t="s">
        <v>463</v>
      </c>
      <c r="F985" s="3"/>
      <c r="G985" s="1">
        <v>1053</v>
      </c>
      <c r="H985" s="1">
        <f t="shared" si="77"/>
        <v>1053</v>
      </c>
      <c r="I985" s="1" t="str">
        <f t="shared" si="78"/>
        <v/>
      </c>
      <c r="J985" s="1" t="str">
        <f>_xlfn.IFNA(INDEX([1]历练产出!$Z:$Z,MATCH(B985,[1]历练产出!$AB:$AB,0)),"")</f>
        <v/>
      </c>
      <c r="K985" s="1" t="str">
        <f>_xlfn.IFNA(INDEX([1]洞天福地产出!$H:$H,MATCH(B985,[1]洞天福地产出!$K:$K,0)),"")</f>
        <v/>
      </c>
      <c r="L985" s="1" t="str">
        <f t="shared" si="79"/>
        <v/>
      </c>
      <c r="M985" s="4">
        <f t="shared" si="80"/>
        <v>0</v>
      </c>
    </row>
    <row r="986" spans="1:13">
      <c r="A986" s="4"/>
      <c r="B986" t="str">
        <f t="shared" si="76"/>
        <v>7:20000109</v>
      </c>
      <c r="C986" s="1">
        <v>7</v>
      </c>
      <c r="D986" s="4">
        <v>20000109</v>
      </c>
      <c r="E986" s="3" t="s">
        <v>463</v>
      </c>
      <c r="F986" s="3"/>
      <c r="G986" s="1">
        <v>1806.3</v>
      </c>
      <c r="H986" s="1">
        <f t="shared" si="77"/>
        <v>1806.3</v>
      </c>
      <c r="I986" s="1" t="str">
        <f t="shared" si="78"/>
        <v/>
      </c>
      <c r="J986" s="1" t="str">
        <f>_xlfn.IFNA(INDEX([1]历练产出!$Z:$Z,MATCH(B986,[1]历练产出!$AB:$AB,0)),"")</f>
        <v/>
      </c>
      <c r="K986" s="1" t="str">
        <f>_xlfn.IFNA(INDEX([1]洞天福地产出!$H:$H,MATCH(B986,[1]洞天福地产出!$K:$K,0)),"")</f>
        <v/>
      </c>
      <c r="L986" s="1" t="str">
        <f t="shared" si="79"/>
        <v/>
      </c>
      <c r="M986" s="4">
        <f t="shared" si="80"/>
        <v>0</v>
      </c>
    </row>
    <row r="987" spans="1:13">
      <c r="A987" s="4"/>
      <c r="B987" t="str">
        <f t="shared" si="76"/>
        <v>7:20000110</v>
      </c>
      <c r="C987" s="1">
        <v>7</v>
      </c>
      <c r="D987" s="4">
        <v>20000110</v>
      </c>
      <c r="E987" s="3" t="s">
        <v>463</v>
      </c>
      <c r="F987" s="3"/>
      <c r="G987" s="1">
        <v>1923.75</v>
      </c>
      <c r="H987" s="1">
        <f t="shared" si="77"/>
        <v>1923.75</v>
      </c>
      <c r="I987" s="1" t="str">
        <f t="shared" si="78"/>
        <v/>
      </c>
      <c r="J987" s="1" t="str">
        <f>_xlfn.IFNA(INDEX([1]历练产出!$Z:$Z,MATCH(B987,[1]历练产出!$AB:$AB,0)),"")</f>
        <v/>
      </c>
      <c r="K987" s="1" t="str">
        <f>_xlfn.IFNA(INDEX([1]洞天福地产出!$H:$H,MATCH(B987,[1]洞天福地产出!$K:$K,0)),"")</f>
        <v/>
      </c>
      <c r="L987" s="1" t="str">
        <f t="shared" si="79"/>
        <v/>
      </c>
      <c r="M987" s="4">
        <f t="shared" si="80"/>
        <v>0</v>
      </c>
    </row>
    <row r="988" spans="1:13">
      <c r="A988" s="4"/>
      <c r="B988" t="str">
        <f t="shared" si="76"/>
        <v>7:20000111</v>
      </c>
      <c r="C988" s="1">
        <v>7</v>
      </c>
      <c r="D988" s="4">
        <v>20000111</v>
      </c>
      <c r="E988" s="3" t="s">
        <v>463</v>
      </c>
      <c r="F988" s="3"/>
      <c r="G988" s="1">
        <v>2053.35</v>
      </c>
      <c r="H988" s="1">
        <f t="shared" si="77"/>
        <v>2053.35</v>
      </c>
      <c r="I988" s="1" t="str">
        <f t="shared" si="78"/>
        <v/>
      </c>
      <c r="J988" s="1" t="str">
        <f>_xlfn.IFNA(INDEX([1]历练产出!$Z:$Z,MATCH(B988,[1]历练产出!$AB:$AB,0)),"")</f>
        <v/>
      </c>
      <c r="K988" s="1" t="str">
        <f>_xlfn.IFNA(INDEX([1]洞天福地产出!$H:$H,MATCH(B988,[1]洞天福地产出!$K:$K,0)),"")</f>
        <v/>
      </c>
      <c r="L988" s="1" t="str">
        <f t="shared" si="79"/>
        <v/>
      </c>
      <c r="M988" s="4">
        <f t="shared" si="80"/>
        <v>0</v>
      </c>
    </row>
    <row r="989" spans="1:13">
      <c r="A989" s="4"/>
      <c r="B989" t="str">
        <f t="shared" si="76"/>
        <v>7:20000112</v>
      </c>
      <c r="C989" s="1">
        <v>7</v>
      </c>
      <c r="D989" s="4">
        <v>20000112</v>
      </c>
      <c r="E989" s="3" t="s">
        <v>463</v>
      </c>
      <c r="F989" s="3"/>
      <c r="G989" s="1">
        <v>2195.1</v>
      </c>
      <c r="H989" s="1">
        <f t="shared" si="77"/>
        <v>2195.1</v>
      </c>
      <c r="I989" s="1" t="str">
        <f t="shared" si="78"/>
        <v/>
      </c>
      <c r="J989" s="1" t="str">
        <f>_xlfn.IFNA(INDEX([1]历练产出!$Z:$Z,MATCH(B989,[1]历练产出!$AB:$AB,0)),"")</f>
        <v/>
      </c>
      <c r="K989" s="1" t="str">
        <f>_xlfn.IFNA(INDEX([1]洞天福地产出!$H:$H,MATCH(B989,[1]洞天福地产出!$K:$K,0)),"")</f>
        <v/>
      </c>
      <c r="L989" s="1" t="str">
        <f t="shared" si="79"/>
        <v/>
      </c>
      <c r="M989" s="4">
        <f t="shared" si="80"/>
        <v>0</v>
      </c>
    </row>
    <row r="990" spans="1:13">
      <c r="A990" s="4"/>
      <c r="B990" t="str">
        <f t="shared" si="76"/>
        <v>7:20000113</v>
      </c>
      <c r="C990" s="1">
        <v>7</v>
      </c>
      <c r="D990" s="4">
        <v>20000113</v>
      </c>
      <c r="E990" s="3" t="s">
        <v>463</v>
      </c>
      <c r="F990" s="3"/>
      <c r="G990" s="1">
        <v>2349</v>
      </c>
      <c r="H990" s="1">
        <f t="shared" si="77"/>
        <v>2349</v>
      </c>
      <c r="I990" s="1" t="str">
        <f t="shared" si="78"/>
        <v/>
      </c>
      <c r="J990" s="1" t="str">
        <f>_xlfn.IFNA(INDEX([1]历练产出!$Z:$Z,MATCH(B990,[1]历练产出!$AB:$AB,0)),"")</f>
        <v/>
      </c>
      <c r="K990" s="1" t="str">
        <f>_xlfn.IFNA(INDEX([1]洞天福地产出!$H:$H,MATCH(B990,[1]洞天福地产出!$K:$K,0)),"")</f>
        <v/>
      </c>
      <c r="L990" s="1" t="str">
        <f t="shared" si="79"/>
        <v/>
      </c>
      <c r="M990" s="4">
        <f t="shared" si="80"/>
        <v>0</v>
      </c>
    </row>
    <row r="991" spans="1:13">
      <c r="A991" s="4"/>
      <c r="B991" t="str">
        <f t="shared" si="76"/>
        <v>7:20000114</v>
      </c>
      <c r="C991" s="1">
        <v>7</v>
      </c>
      <c r="D991" s="4">
        <v>20000114</v>
      </c>
      <c r="E991" s="3" t="s">
        <v>463</v>
      </c>
      <c r="F991" s="3"/>
      <c r="G991" s="1">
        <v>2515.05</v>
      </c>
      <c r="H991" s="1">
        <f t="shared" si="77"/>
        <v>2515.05</v>
      </c>
      <c r="I991" s="1" t="str">
        <f t="shared" si="78"/>
        <v/>
      </c>
      <c r="J991" s="1" t="str">
        <f>_xlfn.IFNA(INDEX([1]历练产出!$Z:$Z,MATCH(B991,[1]历练产出!$AB:$AB,0)),"")</f>
        <v/>
      </c>
      <c r="K991" s="1" t="str">
        <f>_xlfn.IFNA(INDEX([1]洞天福地产出!$H:$H,MATCH(B991,[1]洞天福地产出!$K:$K,0)),"")</f>
        <v/>
      </c>
      <c r="L991" s="1" t="str">
        <f t="shared" si="79"/>
        <v/>
      </c>
      <c r="M991" s="4">
        <f t="shared" si="80"/>
        <v>0</v>
      </c>
    </row>
    <row r="992" spans="1:13">
      <c r="A992" s="4"/>
      <c r="B992" t="str">
        <f t="shared" si="76"/>
        <v>7:20000115</v>
      </c>
      <c r="C992" s="1">
        <v>7</v>
      </c>
      <c r="D992" s="4">
        <v>20000115</v>
      </c>
      <c r="E992" s="3" t="s">
        <v>463</v>
      </c>
      <c r="F992" s="3"/>
      <c r="G992" s="1">
        <v>2693.25</v>
      </c>
      <c r="H992" s="1">
        <f t="shared" si="77"/>
        <v>2693.25</v>
      </c>
      <c r="I992" s="1" t="str">
        <f t="shared" si="78"/>
        <v/>
      </c>
      <c r="J992" s="1" t="str">
        <f>_xlfn.IFNA(INDEX([1]历练产出!$Z:$Z,MATCH(B992,[1]历练产出!$AB:$AB,0)),"")</f>
        <v/>
      </c>
      <c r="K992" s="1" t="str">
        <f>_xlfn.IFNA(INDEX([1]洞天福地产出!$H:$H,MATCH(B992,[1]洞天福地产出!$K:$K,0)),"")</f>
        <v/>
      </c>
      <c r="L992" s="1" t="str">
        <f t="shared" si="79"/>
        <v/>
      </c>
      <c r="M992" s="4">
        <f t="shared" si="80"/>
        <v>0</v>
      </c>
    </row>
    <row r="993" spans="1:13">
      <c r="A993" s="4"/>
      <c r="B993" t="str">
        <f t="shared" si="76"/>
        <v>7:20000116</v>
      </c>
      <c r="C993" s="1">
        <v>7</v>
      </c>
      <c r="D993" s="4">
        <v>20000116</v>
      </c>
      <c r="E993" s="3" t="s">
        <v>463</v>
      </c>
      <c r="F993" s="3"/>
      <c r="G993" s="1">
        <v>2883.6</v>
      </c>
      <c r="H993" s="1">
        <f t="shared" si="77"/>
        <v>2883.6</v>
      </c>
      <c r="I993" s="1" t="str">
        <f t="shared" si="78"/>
        <v/>
      </c>
      <c r="J993" s="1" t="str">
        <f>_xlfn.IFNA(INDEX([1]历练产出!$Z:$Z,MATCH(B993,[1]历练产出!$AB:$AB,0)),"")</f>
        <v/>
      </c>
      <c r="K993" s="1" t="str">
        <f>_xlfn.IFNA(INDEX([1]洞天福地产出!$H:$H,MATCH(B993,[1]洞天福地产出!$K:$K,0)),"")</f>
        <v/>
      </c>
      <c r="L993" s="1" t="str">
        <f t="shared" si="79"/>
        <v/>
      </c>
      <c r="M993" s="4">
        <f t="shared" si="80"/>
        <v>0</v>
      </c>
    </row>
    <row r="994" spans="1:13">
      <c r="A994" s="4"/>
      <c r="B994" t="str">
        <f t="shared" si="76"/>
        <v>7:20000117</v>
      </c>
      <c r="C994" s="1">
        <v>7</v>
      </c>
      <c r="D994" s="4">
        <v>20000117</v>
      </c>
      <c r="E994" s="3" t="s">
        <v>463</v>
      </c>
      <c r="F994" s="3"/>
      <c r="G994" s="1">
        <v>3086.1</v>
      </c>
      <c r="H994" s="1">
        <f t="shared" si="77"/>
        <v>3086.1</v>
      </c>
      <c r="I994" s="1" t="str">
        <f t="shared" si="78"/>
        <v/>
      </c>
      <c r="J994" s="1" t="str">
        <f>_xlfn.IFNA(INDEX([1]历练产出!$Z:$Z,MATCH(B994,[1]历练产出!$AB:$AB,0)),"")</f>
        <v/>
      </c>
      <c r="K994" s="1" t="str">
        <f>_xlfn.IFNA(INDEX([1]洞天福地产出!$H:$H,MATCH(B994,[1]洞天福地产出!$K:$K,0)),"")</f>
        <v/>
      </c>
      <c r="L994" s="1" t="str">
        <f t="shared" si="79"/>
        <v/>
      </c>
      <c r="M994" s="4">
        <f t="shared" si="80"/>
        <v>0</v>
      </c>
    </row>
    <row r="995" spans="1:13">
      <c r="A995" s="4"/>
      <c r="B995" t="str">
        <f t="shared" si="76"/>
        <v>7:20000118</v>
      </c>
      <c r="C995" s="1">
        <v>7</v>
      </c>
      <c r="D995" s="4">
        <v>20000118</v>
      </c>
      <c r="E995" s="3" t="s">
        <v>463</v>
      </c>
      <c r="F995" s="3"/>
      <c r="G995" s="1">
        <v>3300.75</v>
      </c>
      <c r="H995" s="1">
        <f t="shared" si="77"/>
        <v>3300.75</v>
      </c>
      <c r="I995" s="1" t="str">
        <f t="shared" si="78"/>
        <v/>
      </c>
      <c r="J995" s="1" t="str">
        <f>_xlfn.IFNA(INDEX([1]历练产出!$Z:$Z,MATCH(B995,[1]历练产出!$AB:$AB,0)),"")</f>
        <v/>
      </c>
      <c r="K995" s="1" t="str">
        <f>_xlfn.IFNA(INDEX([1]洞天福地产出!$H:$H,MATCH(B995,[1]洞天福地产出!$K:$K,0)),"")</f>
        <v/>
      </c>
      <c r="L995" s="1" t="str">
        <f t="shared" si="79"/>
        <v/>
      </c>
      <c r="M995" s="4">
        <f t="shared" si="80"/>
        <v>0</v>
      </c>
    </row>
    <row r="996" spans="1:13">
      <c r="A996" s="4"/>
      <c r="B996" t="str">
        <f t="shared" ref="B996:B1059" si="81">C996&amp;":"&amp;D996</f>
        <v>7:20000119</v>
      </c>
      <c r="C996" s="1">
        <v>7</v>
      </c>
      <c r="D996" s="4">
        <v>20000119</v>
      </c>
      <c r="E996" s="3" t="s">
        <v>463</v>
      </c>
      <c r="F996" s="3"/>
      <c r="G996" s="1">
        <v>4823.55</v>
      </c>
      <c r="H996" s="1">
        <f t="shared" si="77"/>
        <v>4823.55</v>
      </c>
      <c r="I996" s="1" t="str">
        <f t="shared" si="78"/>
        <v/>
      </c>
      <c r="J996" s="1" t="str">
        <f>_xlfn.IFNA(INDEX([1]历练产出!$Z:$Z,MATCH(B996,[1]历练产出!$AB:$AB,0)),"")</f>
        <v/>
      </c>
      <c r="K996" s="1" t="str">
        <f>_xlfn.IFNA(INDEX([1]洞天福地产出!$H:$H,MATCH(B996,[1]洞天福地产出!$K:$K,0)),"")</f>
        <v/>
      </c>
      <c r="L996" s="1" t="str">
        <f t="shared" si="79"/>
        <v/>
      </c>
      <c r="M996" s="4">
        <f t="shared" si="80"/>
        <v>0</v>
      </c>
    </row>
    <row r="997" spans="1:13">
      <c r="A997" s="4"/>
      <c r="B997" t="str">
        <f t="shared" si="81"/>
        <v>7:20000120</v>
      </c>
      <c r="C997" s="1">
        <v>7</v>
      </c>
      <c r="D997" s="4">
        <v>20000120</v>
      </c>
      <c r="E997" s="3" t="s">
        <v>463</v>
      </c>
      <c r="F997" s="3"/>
      <c r="G997" s="1">
        <v>5062.5</v>
      </c>
      <c r="H997" s="1">
        <f t="shared" si="77"/>
        <v>5062.5</v>
      </c>
      <c r="I997" s="1" t="str">
        <f t="shared" si="78"/>
        <v/>
      </c>
      <c r="J997" s="1" t="str">
        <f>_xlfn.IFNA(INDEX([1]历练产出!$Z:$Z,MATCH(B997,[1]历练产出!$AB:$AB,0)),"")</f>
        <v/>
      </c>
      <c r="K997" s="1" t="str">
        <f>_xlfn.IFNA(INDEX([1]洞天福地产出!$H:$H,MATCH(B997,[1]洞天福地产出!$K:$K,0)),"")</f>
        <v/>
      </c>
      <c r="L997" s="1" t="str">
        <f t="shared" si="79"/>
        <v/>
      </c>
      <c r="M997" s="4">
        <f t="shared" si="80"/>
        <v>0</v>
      </c>
    </row>
    <row r="998" spans="1:13">
      <c r="A998" s="4"/>
      <c r="B998" t="str">
        <f t="shared" si="81"/>
        <v>7:20000121</v>
      </c>
      <c r="C998" s="1">
        <v>7</v>
      </c>
      <c r="D998" s="4">
        <v>20000121</v>
      </c>
      <c r="E998" s="3" t="s">
        <v>463</v>
      </c>
      <c r="F998" s="3"/>
      <c r="G998" s="1">
        <v>5313.6</v>
      </c>
      <c r="H998" s="1">
        <f t="shared" si="77"/>
        <v>5313.6</v>
      </c>
      <c r="I998" s="1" t="str">
        <f t="shared" si="78"/>
        <v/>
      </c>
      <c r="J998" s="1" t="str">
        <f>_xlfn.IFNA(INDEX([1]历练产出!$Z:$Z,MATCH(B998,[1]历练产出!$AB:$AB,0)),"")</f>
        <v/>
      </c>
      <c r="K998" s="1" t="str">
        <f>_xlfn.IFNA(INDEX([1]洞天福地产出!$H:$H,MATCH(B998,[1]洞天福地产出!$K:$K,0)),"")</f>
        <v/>
      </c>
      <c r="L998" s="1" t="str">
        <f t="shared" si="79"/>
        <v/>
      </c>
      <c r="M998" s="4">
        <f t="shared" si="80"/>
        <v>0</v>
      </c>
    </row>
    <row r="999" spans="1:13">
      <c r="A999" s="4"/>
      <c r="B999" t="str">
        <f t="shared" si="81"/>
        <v>7:20000122</v>
      </c>
      <c r="C999" s="1">
        <v>7</v>
      </c>
      <c r="D999" s="4">
        <v>20000122</v>
      </c>
      <c r="E999" s="3" t="s">
        <v>463</v>
      </c>
      <c r="F999" s="3"/>
      <c r="G999" s="1">
        <v>5576.85</v>
      </c>
      <c r="H999" s="1">
        <f t="shared" si="77"/>
        <v>5576.85</v>
      </c>
      <c r="I999" s="1" t="str">
        <f t="shared" si="78"/>
        <v/>
      </c>
      <c r="J999" s="1" t="str">
        <f>_xlfn.IFNA(INDEX([1]历练产出!$Z:$Z,MATCH(B999,[1]历练产出!$AB:$AB,0)),"")</f>
        <v/>
      </c>
      <c r="K999" s="1" t="str">
        <f>_xlfn.IFNA(INDEX([1]洞天福地产出!$H:$H,MATCH(B999,[1]洞天福地产出!$K:$K,0)),"")</f>
        <v/>
      </c>
      <c r="L999" s="1" t="str">
        <f t="shared" si="79"/>
        <v/>
      </c>
      <c r="M999" s="4">
        <f t="shared" si="80"/>
        <v>0</v>
      </c>
    </row>
    <row r="1000" spans="1:13">
      <c r="A1000" s="4"/>
      <c r="B1000" t="str">
        <f t="shared" si="81"/>
        <v>7:20000123</v>
      </c>
      <c r="C1000" s="1">
        <v>7</v>
      </c>
      <c r="D1000" s="4">
        <v>20000123</v>
      </c>
      <c r="E1000" s="3" t="s">
        <v>463</v>
      </c>
      <c r="F1000" s="3"/>
      <c r="G1000" s="1">
        <v>5852.25</v>
      </c>
      <c r="H1000" s="1">
        <f t="shared" si="77"/>
        <v>5852.25</v>
      </c>
      <c r="I1000" s="1" t="str">
        <f t="shared" si="78"/>
        <v/>
      </c>
      <c r="J1000" s="1" t="str">
        <f>_xlfn.IFNA(INDEX([1]历练产出!$Z:$Z,MATCH(B1000,[1]历练产出!$AB:$AB,0)),"")</f>
        <v/>
      </c>
      <c r="K1000" s="1" t="str">
        <f>_xlfn.IFNA(INDEX([1]洞天福地产出!$H:$H,MATCH(B1000,[1]洞天福地产出!$K:$K,0)),"")</f>
        <v/>
      </c>
      <c r="L1000" s="1" t="str">
        <f t="shared" si="79"/>
        <v/>
      </c>
      <c r="M1000" s="4">
        <f t="shared" si="80"/>
        <v>0</v>
      </c>
    </row>
    <row r="1001" spans="1:13">
      <c r="A1001" s="4"/>
      <c r="B1001" t="str">
        <f t="shared" si="81"/>
        <v>7:20000124</v>
      </c>
      <c r="C1001" s="1">
        <v>7</v>
      </c>
      <c r="D1001" s="4">
        <v>20000124</v>
      </c>
      <c r="E1001" s="3" t="s">
        <v>463</v>
      </c>
      <c r="F1001" s="3"/>
      <c r="G1001" s="1">
        <v>6139.8</v>
      </c>
      <c r="H1001" s="1">
        <f t="shared" si="77"/>
        <v>6139.8</v>
      </c>
      <c r="I1001" s="1" t="str">
        <f t="shared" si="78"/>
        <v/>
      </c>
      <c r="J1001" s="1" t="str">
        <f>_xlfn.IFNA(INDEX([1]历练产出!$Z:$Z,MATCH(B1001,[1]历练产出!$AB:$AB,0)),"")</f>
        <v/>
      </c>
      <c r="K1001" s="1" t="str">
        <f>_xlfn.IFNA(INDEX([1]洞天福地产出!$H:$H,MATCH(B1001,[1]洞天福地产出!$K:$K,0)),"")</f>
        <v/>
      </c>
      <c r="L1001" s="1" t="str">
        <f t="shared" si="79"/>
        <v/>
      </c>
      <c r="M1001" s="4">
        <f t="shared" si="80"/>
        <v>0</v>
      </c>
    </row>
    <row r="1002" spans="1:13">
      <c r="A1002" s="4"/>
      <c r="B1002" t="str">
        <f t="shared" si="81"/>
        <v>7:20000125</v>
      </c>
      <c r="C1002" s="1">
        <v>7</v>
      </c>
      <c r="D1002" s="4">
        <v>20000125</v>
      </c>
      <c r="E1002" s="3" t="s">
        <v>463</v>
      </c>
      <c r="F1002" s="3"/>
      <c r="G1002" s="1">
        <v>6439.5</v>
      </c>
      <c r="H1002" s="1">
        <f t="shared" si="77"/>
        <v>6439.5</v>
      </c>
      <c r="I1002" s="1" t="str">
        <f t="shared" si="78"/>
        <v/>
      </c>
      <c r="J1002" s="1" t="str">
        <f>_xlfn.IFNA(INDEX([1]历练产出!$Z:$Z,MATCH(B1002,[1]历练产出!$AB:$AB,0)),"")</f>
        <v/>
      </c>
      <c r="K1002" s="1" t="str">
        <f>_xlfn.IFNA(INDEX([1]洞天福地产出!$H:$H,MATCH(B1002,[1]洞天福地产出!$K:$K,0)),"")</f>
        <v/>
      </c>
      <c r="L1002" s="1" t="str">
        <f t="shared" si="79"/>
        <v/>
      </c>
      <c r="M1002" s="4">
        <f t="shared" si="80"/>
        <v>0</v>
      </c>
    </row>
    <row r="1003" spans="1:13">
      <c r="A1003" s="4"/>
      <c r="B1003" t="str">
        <f t="shared" si="81"/>
        <v>7:20000126</v>
      </c>
      <c r="C1003" s="1">
        <v>7</v>
      </c>
      <c r="D1003" s="4">
        <v>20000126</v>
      </c>
      <c r="E1003" s="3" t="s">
        <v>463</v>
      </c>
      <c r="F1003" s="3"/>
      <c r="G1003" s="1">
        <v>6751.35</v>
      </c>
      <c r="H1003" s="1">
        <f t="shared" si="77"/>
        <v>6751.35</v>
      </c>
      <c r="I1003" s="1" t="str">
        <f t="shared" si="78"/>
        <v/>
      </c>
      <c r="J1003" s="1" t="str">
        <f>_xlfn.IFNA(INDEX([1]历练产出!$Z:$Z,MATCH(B1003,[1]历练产出!$AB:$AB,0)),"")</f>
        <v/>
      </c>
      <c r="K1003" s="1" t="str">
        <f>_xlfn.IFNA(INDEX([1]洞天福地产出!$H:$H,MATCH(B1003,[1]洞天福地产出!$K:$K,0)),"")</f>
        <v/>
      </c>
      <c r="L1003" s="1" t="str">
        <f t="shared" si="79"/>
        <v/>
      </c>
      <c r="M1003" s="4">
        <f t="shared" si="80"/>
        <v>0</v>
      </c>
    </row>
    <row r="1004" spans="1:13">
      <c r="A1004" s="4"/>
      <c r="B1004" t="str">
        <f t="shared" si="81"/>
        <v>7:20000127</v>
      </c>
      <c r="C1004" s="1">
        <v>7</v>
      </c>
      <c r="D1004" s="4">
        <v>20000127</v>
      </c>
      <c r="E1004" s="3" t="s">
        <v>463</v>
      </c>
      <c r="F1004" s="3"/>
      <c r="G1004" s="1">
        <v>7075.35</v>
      </c>
      <c r="H1004" s="1">
        <f t="shared" si="77"/>
        <v>7075.35</v>
      </c>
      <c r="I1004" s="1" t="str">
        <f t="shared" si="78"/>
        <v/>
      </c>
      <c r="J1004" s="1" t="str">
        <f>_xlfn.IFNA(INDEX([1]历练产出!$Z:$Z,MATCH(B1004,[1]历练产出!$AB:$AB,0)),"")</f>
        <v/>
      </c>
      <c r="K1004" s="1" t="str">
        <f>_xlfn.IFNA(INDEX([1]洞天福地产出!$H:$H,MATCH(B1004,[1]洞天福地产出!$K:$K,0)),"")</f>
        <v/>
      </c>
      <c r="L1004" s="1" t="str">
        <f t="shared" si="79"/>
        <v/>
      </c>
      <c r="M1004" s="4">
        <f t="shared" si="80"/>
        <v>0</v>
      </c>
    </row>
    <row r="1005" spans="1:13">
      <c r="A1005" s="4"/>
      <c r="B1005" t="str">
        <f t="shared" si="81"/>
        <v>7:20000128</v>
      </c>
      <c r="C1005" s="1">
        <v>7</v>
      </c>
      <c r="D1005" s="4">
        <v>20000128</v>
      </c>
      <c r="E1005" s="3" t="s">
        <v>463</v>
      </c>
      <c r="F1005" s="3"/>
      <c r="G1005" s="1">
        <v>7411.5</v>
      </c>
      <c r="H1005" s="1">
        <f t="shared" si="77"/>
        <v>7411.5</v>
      </c>
      <c r="I1005" s="1" t="str">
        <f t="shared" si="78"/>
        <v/>
      </c>
      <c r="J1005" s="1" t="str">
        <f>_xlfn.IFNA(INDEX([1]历练产出!$Z:$Z,MATCH(B1005,[1]历练产出!$AB:$AB,0)),"")</f>
        <v/>
      </c>
      <c r="K1005" s="1" t="str">
        <f>_xlfn.IFNA(INDEX([1]洞天福地产出!$H:$H,MATCH(B1005,[1]洞天福地产出!$K:$K,0)),"")</f>
        <v/>
      </c>
      <c r="L1005" s="1" t="str">
        <f t="shared" si="79"/>
        <v/>
      </c>
      <c r="M1005" s="4">
        <f t="shared" si="80"/>
        <v>0</v>
      </c>
    </row>
    <row r="1006" spans="1:13">
      <c r="A1006" s="4"/>
      <c r="B1006" t="str">
        <f t="shared" si="81"/>
        <v>7:20000129</v>
      </c>
      <c r="C1006" s="1">
        <v>7</v>
      </c>
      <c r="D1006" s="4">
        <v>20000129</v>
      </c>
      <c r="E1006" s="3" t="s">
        <v>463</v>
      </c>
      <c r="F1006" s="3"/>
      <c r="G1006" s="1">
        <v>9703.8</v>
      </c>
      <c r="H1006" s="1">
        <f t="shared" si="77"/>
        <v>9703.8</v>
      </c>
      <c r="I1006" s="1" t="str">
        <f t="shared" si="78"/>
        <v/>
      </c>
      <c r="J1006" s="1" t="str">
        <f>_xlfn.IFNA(INDEX([1]历练产出!$Z:$Z,MATCH(B1006,[1]历练产出!$AB:$AB,0)),"")</f>
        <v/>
      </c>
      <c r="K1006" s="1" t="str">
        <f>_xlfn.IFNA(INDEX([1]洞天福地产出!$H:$H,MATCH(B1006,[1]洞天福地产出!$K:$K,0)),"")</f>
        <v/>
      </c>
      <c r="L1006" s="1" t="str">
        <f t="shared" si="79"/>
        <v/>
      </c>
      <c r="M1006" s="4">
        <f t="shared" si="80"/>
        <v>0</v>
      </c>
    </row>
    <row r="1007" spans="1:13">
      <c r="A1007" s="4"/>
      <c r="B1007" t="str">
        <f t="shared" si="81"/>
        <v>7:20000130</v>
      </c>
      <c r="C1007" s="1">
        <v>7</v>
      </c>
      <c r="D1007" s="4">
        <v>20000130</v>
      </c>
      <c r="E1007" s="3" t="s">
        <v>463</v>
      </c>
      <c r="F1007" s="3"/>
      <c r="G1007" s="1">
        <v>10052.1</v>
      </c>
      <c r="H1007" s="1">
        <f t="shared" si="77"/>
        <v>10052.1</v>
      </c>
      <c r="I1007" s="1" t="str">
        <f t="shared" si="78"/>
        <v/>
      </c>
      <c r="J1007" s="1" t="str">
        <f>_xlfn.IFNA(INDEX([1]历练产出!$Z:$Z,MATCH(B1007,[1]历练产出!$AB:$AB,0)),"")</f>
        <v/>
      </c>
      <c r="K1007" s="1" t="str">
        <f>_xlfn.IFNA(INDEX([1]洞天福地产出!$H:$H,MATCH(B1007,[1]洞天福地产出!$K:$K,0)),"")</f>
        <v/>
      </c>
      <c r="L1007" s="1" t="str">
        <f t="shared" si="79"/>
        <v/>
      </c>
      <c r="M1007" s="4">
        <f t="shared" si="80"/>
        <v>0</v>
      </c>
    </row>
    <row r="1008" ht="45" spans="1:13">
      <c r="A1008" s="4"/>
      <c r="B1008" t="str">
        <f t="shared" si="81"/>
        <v>7:21000101</v>
      </c>
      <c r="C1008" s="1">
        <v>7</v>
      </c>
      <c r="D1008" s="4">
        <v>21000101</v>
      </c>
      <c r="E1008" s="3" t="s">
        <v>1896</v>
      </c>
      <c r="F1008" s="3"/>
      <c r="G1008" s="1">
        <v>656.1</v>
      </c>
      <c r="H1008" s="1">
        <f t="shared" si="77"/>
        <v>656.1</v>
      </c>
      <c r="I1008" s="1" t="str">
        <f t="shared" si="78"/>
        <v/>
      </c>
      <c r="J1008" s="1" t="str">
        <f>_xlfn.IFNA(INDEX([1]历练产出!$Z:$Z,MATCH(B1008,[1]历练产出!$AB:$AB,0)),"")</f>
        <v/>
      </c>
      <c r="K1008" s="1" t="str">
        <f>_xlfn.IFNA(INDEX([1]洞天福地产出!$H:$H,MATCH(B1008,[1]洞天福地产出!$K:$K,0)),"")</f>
        <v/>
      </c>
      <c r="L1008" s="1" t="str">
        <f t="shared" si="79"/>
        <v/>
      </c>
      <c r="M1008" s="4">
        <f t="shared" si="80"/>
        <v>0</v>
      </c>
    </row>
    <row r="1009" ht="45" spans="1:13">
      <c r="A1009" s="4"/>
      <c r="B1009" t="str">
        <f t="shared" si="81"/>
        <v>7:21000102</v>
      </c>
      <c r="C1009" s="1">
        <v>7</v>
      </c>
      <c r="D1009" s="4">
        <v>21000102</v>
      </c>
      <c r="E1009" s="3" t="s">
        <v>1896</v>
      </c>
      <c r="F1009" s="3"/>
      <c r="G1009" s="1">
        <v>676.35</v>
      </c>
      <c r="H1009" s="1">
        <f t="shared" si="77"/>
        <v>676.35</v>
      </c>
      <c r="I1009" s="1" t="str">
        <f t="shared" si="78"/>
        <v/>
      </c>
      <c r="J1009" s="1" t="str">
        <f>_xlfn.IFNA(INDEX([1]历练产出!$Z:$Z,MATCH(B1009,[1]历练产出!$AB:$AB,0)),"")</f>
        <v/>
      </c>
      <c r="K1009" s="1" t="str">
        <f>_xlfn.IFNA(INDEX([1]洞天福地产出!$H:$H,MATCH(B1009,[1]洞天福地产出!$K:$K,0)),"")</f>
        <v/>
      </c>
      <c r="L1009" s="1" t="str">
        <f t="shared" si="79"/>
        <v/>
      </c>
      <c r="M1009" s="4">
        <f t="shared" si="80"/>
        <v>0</v>
      </c>
    </row>
    <row r="1010" ht="45" spans="1:13">
      <c r="A1010" s="4"/>
      <c r="B1010" t="str">
        <f t="shared" si="81"/>
        <v>7:21000103</v>
      </c>
      <c r="C1010" s="1">
        <v>7</v>
      </c>
      <c r="D1010" s="4">
        <v>21000103</v>
      </c>
      <c r="E1010" s="3" t="s">
        <v>1896</v>
      </c>
      <c r="F1010" s="3"/>
      <c r="G1010" s="1">
        <v>708.75</v>
      </c>
      <c r="H1010" s="1">
        <f t="shared" si="77"/>
        <v>708.75</v>
      </c>
      <c r="I1010" s="1" t="str">
        <f t="shared" si="78"/>
        <v/>
      </c>
      <c r="J1010" s="1" t="str">
        <f>_xlfn.IFNA(INDEX([1]历练产出!$Z:$Z,MATCH(B1010,[1]历练产出!$AB:$AB,0)),"")</f>
        <v/>
      </c>
      <c r="K1010" s="1" t="str">
        <f>_xlfn.IFNA(INDEX([1]洞天福地产出!$H:$H,MATCH(B1010,[1]洞天福地产出!$K:$K,0)),"")</f>
        <v/>
      </c>
      <c r="L1010" s="1" t="str">
        <f t="shared" si="79"/>
        <v/>
      </c>
      <c r="M1010" s="4">
        <f t="shared" si="80"/>
        <v>0</v>
      </c>
    </row>
    <row r="1011" ht="45" spans="1:13">
      <c r="A1011" s="4"/>
      <c r="B1011" t="str">
        <f t="shared" si="81"/>
        <v>7:21000104</v>
      </c>
      <c r="C1011" s="1">
        <v>7</v>
      </c>
      <c r="D1011" s="4">
        <v>21000104</v>
      </c>
      <c r="E1011" s="3" t="s">
        <v>1896</v>
      </c>
      <c r="F1011" s="3"/>
      <c r="G1011" s="1">
        <v>753.3</v>
      </c>
      <c r="H1011" s="1">
        <f t="shared" si="77"/>
        <v>753.3</v>
      </c>
      <c r="I1011" s="1" t="str">
        <f t="shared" si="78"/>
        <v/>
      </c>
      <c r="J1011" s="1" t="str">
        <f>_xlfn.IFNA(INDEX([1]历练产出!$Z:$Z,MATCH(B1011,[1]历练产出!$AB:$AB,0)),"")</f>
        <v/>
      </c>
      <c r="K1011" s="1" t="str">
        <f>_xlfn.IFNA(INDEX([1]洞天福地产出!$H:$H,MATCH(B1011,[1]洞天福地产出!$K:$K,0)),"")</f>
        <v/>
      </c>
      <c r="L1011" s="1" t="str">
        <f t="shared" si="79"/>
        <v/>
      </c>
      <c r="M1011" s="4">
        <f t="shared" si="80"/>
        <v>0</v>
      </c>
    </row>
    <row r="1012" ht="45" spans="1:13">
      <c r="A1012" s="4"/>
      <c r="B1012" t="str">
        <f t="shared" si="81"/>
        <v>7:21000105</v>
      </c>
      <c r="C1012" s="1">
        <v>7</v>
      </c>
      <c r="D1012" s="4">
        <v>21000105</v>
      </c>
      <c r="E1012" s="3" t="s">
        <v>1896</v>
      </c>
      <c r="F1012" s="3"/>
      <c r="G1012" s="1">
        <v>810</v>
      </c>
      <c r="H1012" s="1">
        <f t="shared" si="77"/>
        <v>810</v>
      </c>
      <c r="I1012" s="1" t="str">
        <f t="shared" si="78"/>
        <v/>
      </c>
      <c r="J1012" s="1" t="str">
        <f>_xlfn.IFNA(INDEX([1]历练产出!$Z:$Z,MATCH(B1012,[1]历练产出!$AB:$AB,0)),"")</f>
        <v/>
      </c>
      <c r="K1012" s="1" t="str">
        <f>_xlfn.IFNA(INDEX([1]洞天福地产出!$H:$H,MATCH(B1012,[1]洞天福地产出!$K:$K,0)),"")</f>
        <v/>
      </c>
      <c r="L1012" s="1" t="str">
        <f t="shared" si="79"/>
        <v/>
      </c>
      <c r="M1012" s="4">
        <f t="shared" si="80"/>
        <v>0</v>
      </c>
    </row>
    <row r="1013" ht="45" spans="1:13">
      <c r="A1013" s="4"/>
      <c r="B1013" t="str">
        <f t="shared" si="81"/>
        <v>7:21000106</v>
      </c>
      <c r="C1013" s="1">
        <v>7</v>
      </c>
      <c r="D1013" s="4">
        <v>21000106</v>
      </c>
      <c r="E1013" s="3" t="s">
        <v>1896</v>
      </c>
      <c r="F1013" s="3"/>
      <c r="G1013" s="1">
        <v>878.85</v>
      </c>
      <c r="H1013" s="1">
        <f t="shared" si="77"/>
        <v>878.85</v>
      </c>
      <c r="I1013" s="1" t="str">
        <f t="shared" si="78"/>
        <v/>
      </c>
      <c r="J1013" s="1" t="str">
        <f>_xlfn.IFNA(INDEX([1]历练产出!$Z:$Z,MATCH(B1013,[1]历练产出!$AB:$AB,0)),"")</f>
        <v/>
      </c>
      <c r="K1013" s="1" t="str">
        <f>_xlfn.IFNA(INDEX([1]洞天福地产出!$H:$H,MATCH(B1013,[1]洞天福地产出!$K:$K,0)),"")</f>
        <v/>
      </c>
      <c r="L1013" s="1" t="str">
        <f t="shared" si="79"/>
        <v/>
      </c>
      <c r="M1013" s="4">
        <f t="shared" si="80"/>
        <v>0</v>
      </c>
    </row>
    <row r="1014" ht="45" spans="1:13">
      <c r="A1014" s="4"/>
      <c r="B1014" t="str">
        <f t="shared" si="81"/>
        <v>7:21000107</v>
      </c>
      <c r="C1014" s="1">
        <v>7</v>
      </c>
      <c r="D1014" s="4">
        <v>21000107</v>
      </c>
      <c r="E1014" s="3" t="s">
        <v>1896</v>
      </c>
      <c r="F1014" s="3"/>
      <c r="G1014" s="1">
        <v>959.85</v>
      </c>
      <c r="H1014" s="1">
        <f t="shared" si="77"/>
        <v>959.85</v>
      </c>
      <c r="I1014" s="1" t="str">
        <f t="shared" si="78"/>
        <v/>
      </c>
      <c r="J1014" s="1" t="str">
        <f>_xlfn.IFNA(INDEX([1]历练产出!$Z:$Z,MATCH(B1014,[1]历练产出!$AB:$AB,0)),"")</f>
        <v/>
      </c>
      <c r="K1014" s="1" t="str">
        <f>_xlfn.IFNA(INDEX([1]洞天福地产出!$H:$H,MATCH(B1014,[1]洞天福地产出!$K:$K,0)),"")</f>
        <v/>
      </c>
      <c r="L1014" s="1" t="str">
        <f t="shared" si="79"/>
        <v/>
      </c>
      <c r="M1014" s="4">
        <f t="shared" si="80"/>
        <v>0</v>
      </c>
    </row>
    <row r="1015" ht="45" spans="1:13">
      <c r="A1015" s="4"/>
      <c r="B1015" t="str">
        <f t="shared" si="81"/>
        <v>7:21000108</v>
      </c>
      <c r="C1015" s="1">
        <v>7</v>
      </c>
      <c r="D1015" s="4">
        <v>21000108</v>
      </c>
      <c r="E1015" s="3" t="s">
        <v>1896</v>
      </c>
      <c r="F1015" s="3"/>
      <c r="G1015" s="1">
        <v>1053</v>
      </c>
      <c r="H1015" s="1">
        <f t="shared" si="77"/>
        <v>1053</v>
      </c>
      <c r="I1015" s="1" t="str">
        <f t="shared" si="78"/>
        <v/>
      </c>
      <c r="J1015" s="1" t="str">
        <f>_xlfn.IFNA(INDEX([1]历练产出!$Z:$Z,MATCH(B1015,[1]历练产出!$AB:$AB,0)),"")</f>
        <v/>
      </c>
      <c r="K1015" s="1" t="str">
        <f>_xlfn.IFNA(INDEX([1]洞天福地产出!$H:$H,MATCH(B1015,[1]洞天福地产出!$K:$K,0)),"")</f>
        <v/>
      </c>
      <c r="L1015" s="1" t="str">
        <f t="shared" si="79"/>
        <v/>
      </c>
      <c r="M1015" s="4">
        <f t="shared" si="80"/>
        <v>0</v>
      </c>
    </row>
    <row r="1016" ht="45" spans="1:13">
      <c r="A1016" s="4"/>
      <c r="B1016" t="str">
        <f t="shared" si="81"/>
        <v>7:21000109</v>
      </c>
      <c r="C1016" s="1">
        <v>7</v>
      </c>
      <c r="D1016" s="4">
        <v>21000109</v>
      </c>
      <c r="E1016" s="3" t="s">
        <v>1896</v>
      </c>
      <c r="F1016" s="3"/>
      <c r="G1016" s="1">
        <v>1806.3</v>
      </c>
      <c r="H1016" s="1">
        <f t="shared" si="77"/>
        <v>1806.3</v>
      </c>
      <c r="I1016" s="1" t="str">
        <f t="shared" si="78"/>
        <v/>
      </c>
      <c r="J1016" s="1" t="str">
        <f>_xlfn.IFNA(INDEX([1]历练产出!$Z:$Z,MATCH(B1016,[1]历练产出!$AB:$AB,0)),"")</f>
        <v/>
      </c>
      <c r="K1016" s="1" t="str">
        <f>_xlfn.IFNA(INDEX([1]洞天福地产出!$H:$H,MATCH(B1016,[1]洞天福地产出!$K:$K,0)),"")</f>
        <v/>
      </c>
      <c r="L1016" s="1" t="str">
        <f t="shared" si="79"/>
        <v/>
      </c>
      <c r="M1016" s="4">
        <f t="shared" si="80"/>
        <v>0</v>
      </c>
    </row>
    <row r="1017" ht="45" spans="1:13">
      <c r="A1017" s="4"/>
      <c r="B1017" t="str">
        <f t="shared" si="81"/>
        <v>7:21000110</v>
      </c>
      <c r="C1017" s="1">
        <v>7</v>
      </c>
      <c r="D1017" s="4">
        <v>21000110</v>
      </c>
      <c r="E1017" s="3" t="s">
        <v>1896</v>
      </c>
      <c r="F1017" s="3"/>
      <c r="G1017" s="1">
        <v>1923.75</v>
      </c>
      <c r="H1017" s="1">
        <f t="shared" si="77"/>
        <v>1923.75</v>
      </c>
      <c r="I1017" s="1" t="str">
        <f t="shared" si="78"/>
        <v/>
      </c>
      <c r="J1017" s="1" t="str">
        <f>_xlfn.IFNA(INDEX([1]历练产出!$Z:$Z,MATCH(B1017,[1]历练产出!$AB:$AB,0)),"")</f>
        <v/>
      </c>
      <c r="K1017" s="1" t="str">
        <f>_xlfn.IFNA(INDEX([1]洞天福地产出!$H:$H,MATCH(B1017,[1]洞天福地产出!$K:$K,0)),"")</f>
        <v/>
      </c>
      <c r="L1017" s="1" t="str">
        <f t="shared" si="79"/>
        <v/>
      </c>
      <c r="M1017" s="4">
        <f t="shared" si="80"/>
        <v>0</v>
      </c>
    </row>
    <row r="1018" ht="45" spans="1:13">
      <c r="A1018" s="4"/>
      <c r="B1018" t="str">
        <f t="shared" si="81"/>
        <v>7:21000111</v>
      </c>
      <c r="C1018" s="1">
        <v>7</v>
      </c>
      <c r="D1018" s="4">
        <v>21000111</v>
      </c>
      <c r="E1018" s="3" t="s">
        <v>1896</v>
      </c>
      <c r="F1018" s="3"/>
      <c r="G1018" s="1">
        <v>2053.35</v>
      </c>
      <c r="H1018" s="1">
        <f t="shared" si="77"/>
        <v>2053.35</v>
      </c>
      <c r="I1018" s="1" t="str">
        <f t="shared" si="78"/>
        <v/>
      </c>
      <c r="J1018" s="1" t="str">
        <f>_xlfn.IFNA(INDEX([1]历练产出!$Z:$Z,MATCH(B1018,[1]历练产出!$AB:$AB,0)),"")</f>
        <v/>
      </c>
      <c r="K1018" s="1" t="str">
        <f>_xlfn.IFNA(INDEX([1]洞天福地产出!$H:$H,MATCH(B1018,[1]洞天福地产出!$K:$K,0)),"")</f>
        <v/>
      </c>
      <c r="L1018" s="1" t="str">
        <f t="shared" si="79"/>
        <v/>
      </c>
      <c r="M1018" s="4">
        <f t="shared" si="80"/>
        <v>0</v>
      </c>
    </row>
    <row r="1019" ht="45" spans="1:13">
      <c r="A1019" s="4"/>
      <c r="B1019" t="str">
        <f t="shared" si="81"/>
        <v>7:21000112</v>
      </c>
      <c r="C1019" s="1">
        <v>7</v>
      </c>
      <c r="D1019" s="4">
        <v>21000112</v>
      </c>
      <c r="E1019" s="3" t="s">
        <v>1896</v>
      </c>
      <c r="F1019" s="3"/>
      <c r="G1019" s="1">
        <v>2195.1</v>
      </c>
      <c r="H1019" s="1">
        <f t="shared" si="77"/>
        <v>2195.1</v>
      </c>
      <c r="I1019" s="1" t="str">
        <f t="shared" si="78"/>
        <v/>
      </c>
      <c r="J1019" s="1" t="str">
        <f>_xlfn.IFNA(INDEX([1]历练产出!$Z:$Z,MATCH(B1019,[1]历练产出!$AB:$AB,0)),"")</f>
        <v/>
      </c>
      <c r="K1019" s="1" t="str">
        <f>_xlfn.IFNA(INDEX([1]洞天福地产出!$H:$H,MATCH(B1019,[1]洞天福地产出!$K:$K,0)),"")</f>
        <v/>
      </c>
      <c r="L1019" s="1" t="str">
        <f t="shared" si="79"/>
        <v/>
      </c>
      <c r="M1019" s="4">
        <f t="shared" si="80"/>
        <v>0</v>
      </c>
    </row>
    <row r="1020" ht="45" spans="1:13">
      <c r="A1020" s="4"/>
      <c r="B1020" t="str">
        <f t="shared" si="81"/>
        <v>7:21000113</v>
      </c>
      <c r="C1020" s="1">
        <v>7</v>
      </c>
      <c r="D1020" s="4">
        <v>21000113</v>
      </c>
      <c r="E1020" s="3" t="s">
        <v>1896</v>
      </c>
      <c r="F1020" s="3"/>
      <c r="G1020" s="1">
        <v>2349</v>
      </c>
      <c r="H1020" s="1">
        <f t="shared" si="77"/>
        <v>2349</v>
      </c>
      <c r="I1020" s="1" t="str">
        <f t="shared" si="78"/>
        <v/>
      </c>
      <c r="J1020" s="1" t="str">
        <f>_xlfn.IFNA(INDEX([1]历练产出!$Z:$Z,MATCH(B1020,[1]历练产出!$AB:$AB,0)),"")</f>
        <v/>
      </c>
      <c r="K1020" s="1" t="str">
        <f>_xlfn.IFNA(INDEX([1]洞天福地产出!$H:$H,MATCH(B1020,[1]洞天福地产出!$K:$K,0)),"")</f>
        <v/>
      </c>
      <c r="L1020" s="1" t="str">
        <f t="shared" si="79"/>
        <v/>
      </c>
      <c r="M1020" s="4">
        <f t="shared" si="80"/>
        <v>0</v>
      </c>
    </row>
    <row r="1021" ht="45" spans="1:13">
      <c r="A1021" s="4"/>
      <c r="B1021" t="str">
        <f t="shared" si="81"/>
        <v>7:21000114</v>
      </c>
      <c r="C1021" s="1">
        <v>7</v>
      </c>
      <c r="D1021" s="4">
        <v>21000114</v>
      </c>
      <c r="E1021" s="3" t="s">
        <v>1896</v>
      </c>
      <c r="F1021" s="3"/>
      <c r="G1021" s="1">
        <v>2515.05</v>
      </c>
      <c r="H1021" s="1">
        <f t="shared" si="77"/>
        <v>2515.05</v>
      </c>
      <c r="I1021" s="1" t="str">
        <f t="shared" si="78"/>
        <v/>
      </c>
      <c r="J1021" s="1" t="str">
        <f>_xlfn.IFNA(INDEX([1]历练产出!$Z:$Z,MATCH(B1021,[1]历练产出!$AB:$AB,0)),"")</f>
        <v/>
      </c>
      <c r="K1021" s="1" t="str">
        <f>_xlfn.IFNA(INDEX([1]洞天福地产出!$H:$H,MATCH(B1021,[1]洞天福地产出!$K:$K,0)),"")</f>
        <v/>
      </c>
      <c r="L1021" s="1" t="str">
        <f t="shared" si="79"/>
        <v/>
      </c>
      <c r="M1021" s="4">
        <f t="shared" si="80"/>
        <v>0</v>
      </c>
    </row>
    <row r="1022" ht="45" spans="1:13">
      <c r="A1022" s="4"/>
      <c r="B1022" t="str">
        <f t="shared" si="81"/>
        <v>7:21000115</v>
      </c>
      <c r="C1022" s="1">
        <v>7</v>
      </c>
      <c r="D1022" s="4">
        <v>21000115</v>
      </c>
      <c r="E1022" s="3" t="s">
        <v>1896</v>
      </c>
      <c r="F1022" s="3"/>
      <c r="G1022" s="1">
        <v>2693.25</v>
      </c>
      <c r="H1022" s="1">
        <f t="shared" si="77"/>
        <v>2693.25</v>
      </c>
      <c r="I1022" s="1" t="str">
        <f t="shared" si="78"/>
        <v/>
      </c>
      <c r="J1022" s="1" t="str">
        <f>_xlfn.IFNA(INDEX([1]历练产出!$Z:$Z,MATCH(B1022,[1]历练产出!$AB:$AB,0)),"")</f>
        <v/>
      </c>
      <c r="K1022" s="1" t="str">
        <f>_xlfn.IFNA(INDEX([1]洞天福地产出!$H:$H,MATCH(B1022,[1]洞天福地产出!$K:$K,0)),"")</f>
        <v/>
      </c>
      <c r="L1022" s="1" t="str">
        <f t="shared" si="79"/>
        <v/>
      </c>
      <c r="M1022" s="4">
        <f t="shared" si="80"/>
        <v>0</v>
      </c>
    </row>
    <row r="1023" ht="45" spans="1:13">
      <c r="A1023" s="4"/>
      <c r="B1023" t="str">
        <f t="shared" si="81"/>
        <v>7:21000116</v>
      </c>
      <c r="C1023" s="1">
        <v>7</v>
      </c>
      <c r="D1023" s="4">
        <v>21000116</v>
      </c>
      <c r="E1023" s="3" t="s">
        <v>1896</v>
      </c>
      <c r="F1023" s="3"/>
      <c r="G1023" s="1">
        <v>2883.6</v>
      </c>
      <c r="H1023" s="1">
        <f t="shared" si="77"/>
        <v>2883.6</v>
      </c>
      <c r="I1023" s="1" t="str">
        <f t="shared" si="78"/>
        <v/>
      </c>
      <c r="J1023" s="1" t="str">
        <f>_xlfn.IFNA(INDEX([1]历练产出!$Z:$Z,MATCH(B1023,[1]历练产出!$AB:$AB,0)),"")</f>
        <v/>
      </c>
      <c r="K1023" s="1" t="str">
        <f>_xlfn.IFNA(INDEX([1]洞天福地产出!$H:$H,MATCH(B1023,[1]洞天福地产出!$K:$K,0)),"")</f>
        <v/>
      </c>
      <c r="L1023" s="1" t="str">
        <f t="shared" si="79"/>
        <v/>
      </c>
      <c r="M1023" s="4">
        <f t="shared" si="80"/>
        <v>0</v>
      </c>
    </row>
    <row r="1024" ht="45" spans="1:13">
      <c r="A1024" s="4"/>
      <c r="B1024" t="str">
        <f t="shared" si="81"/>
        <v>7:21000117</v>
      </c>
      <c r="C1024" s="1">
        <v>7</v>
      </c>
      <c r="D1024" s="4">
        <v>21000117</v>
      </c>
      <c r="E1024" s="3" t="s">
        <v>1896</v>
      </c>
      <c r="F1024" s="3"/>
      <c r="G1024" s="1">
        <v>3086.1</v>
      </c>
      <c r="H1024" s="1">
        <f t="shared" si="77"/>
        <v>3086.1</v>
      </c>
      <c r="I1024" s="1" t="str">
        <f t="shared" si="78"/>
        <v/>
      </c>
      <c r="J1024" s="1" t="str">
        <f>_xlfn.IFNA(INDEX([1]历练产出!$Z:$Z,MATCH(B1024,[1]历练产出!$AB:$AB,0)),"")</f>
        <v/>
      </c>
      <c r="K1024" s="1" t="str">
        <f>_xlfn.IFNA(INDEX([1]洞天福地产出!$H:$H,MATCH(B1024,[1]洞天福地产出!$K:$K,0)),"")</f>
        <v/>
      </c>
      <c r="L1024" s="1" t="str">
        <f t="shared" si="79"/>
        <v/>
      </c>
      <c r="M1024" s="4">
        <f t="shared" si="80"/>
        <v>0</v>
      </c>
    </row>
    <row r="1025" ht="45" spans="1:13">
      <c r="A1025" s="4"/>
      <c r="B1025" t="str">
        <f t="shared" si="81"/>
        <v>7:21000118</v>
      </c>
      <c r="C1025" s="1">
        <v>7</v>
      </c>
      <c r="D1025" s="4">
        <v>21000118</v>
      </c>
      <c r="E1025" s="3" t="s">
        <v>1896</v>
      </c>
      <c r="F1025" s="3"/>
      <c r="G1025" s="1">
        <v>3300.75</v>
      </c>
      <c r="H1025" s="1">
        <f t="shared" si="77"/>
        <v>3300.75</v>
      </c>
      <c r="I1025" s="1" t="str">
        <f t="shared" si="78"/>
        <v/>
      </c>
      <c r="J1025" s="1" t="str">
        <f>_xlfn.IFNA(INDEX([1]历练产出!$Z:$Z,MATCH(B1025,[1]历练产出!$AB:$AB,0)),"")</f>
        <v/>
      </c>
      <c r="K1025" s="1" t="str">
        <f>_xlfn.IFNA(INDEX([1]洞天福地产出!$H:$H,MATCH(B1025,[1]洞天福地产出!$K:$K,0)),"")</f>
        <v/>
      </c>
      <c r="L1025" s="1" t="str">
        <f t="shared" si="79"/>
        <v/>
      </c>
      <c r="M1025" s="4">
        <f t="shared" si="80"/>
        <v>0</v>
      </c>
    </row>
    <row r="1026" ht="45" spans="1:13">
      <c r="A1026" s="4"/>
      <c r="B1026" t="str">
        <f t="shared" si="81"/>
        <v>7:21000119</v>
      </c>
      <c r="C1026" s="1">
        <v>7</v>
      </c>
      <c r="D1026" s="4">
        <v>21000119</v>
      </c>
      <c r="E1026" s="3" t="s">
        <v>1896</v>
      </c>
      <c r="F1026" s="3"/>
      <c r="G1026" s="1">
        <v>4823.55</v>
      </c>
      <c r="H1026" s="1">
        <f t="shared" si="77"/>
        <v>4823.55</v>
      </c>
      <c r="I1026" s="1" t="str">
        <f t="shared" si="78"/>
        <v/>
      </c>
      <c r="J1026" s="1" t="str">
        <f>_xlfn.IFNA(INDEX([1]历练产出!$Z:$Z,MATCH(B1026,[1]历练产出!$AB:$AB,0)),"")</f>
        <v/>
      </c>
      <c r="K1026" s="1" t="str">
        <f>_xlfn.IFNA(INDEX([1]洞天福地产出!$H:$H,MATCH(B1026,[1]洞天福地产出!$K:$K,0)),"")</f>
        <v/>
      </c>
      <c r="L1026" s="1" t="str">
        <f t="shared" si="79"/>
        <v/>
      </c>
      <c r="M1026" s="4">
        <f t="shared" si="80"/>
        <v>0</v>
      </c>
    </row>
    <row r="1027" ht="45" spans="1:13">
      <c r="A1027" s="4"/>
      <c r="B1027" t="str">
        <f t="shared" si="81"/>
        <v>7:21000120</v>
      </c>
      <c r="C1027" s="1">
        <v>7</v>
      </c>
      <c r="D1027" s="4">
        <v>21000120</v>
      </c>
      <c r="E1027" s="3" t="s">
        <v>1896</v>
      </c>
      <c r="F1027" s="3"/>
      <c r="G1027" s="1">
        <v>5062.5</v>
      </c>
      <c r="H1027" s="1">
        <f t="shared" si="77"/>
        <v>5062.5</v>
      </c>
      <c r="I1027" s="1" t="str">
        <f t="shared" si="78"/>
        <v/>
      </c>
      <c r="J1027" s="1" t="str">
        <f>_xlfn.IFNA(INDEX([1]历练产出!$Z:$Z,MATCH(B1027,[1]历练产出!$AB:$AB,0)),"")</f>
        <v/>
      </c>
      <c r="K1027" s="1" t="str">
        <f>_xlfn.IFNA(INDEX([1]洞天福地产出!$H:$H,MATCH(B1027,[1]洞天福地产出!$K:$K,0)),"")</f>
        <v/>
      </c>
      <c r="L1027" s="1" t="str">
        <f t="shared" si="79"/>
        <v/>
      </c>
      <c r="M1027" s="4">
        <f t="shared" si="80"/>
        <v>0</v>
      </c>
    </row>
    <row r="1028" ht="45" spans="1:13">
      <c r="A1028" s="4"/>
      <c r="B1028" t="str">
        <f t="shared" si="81"/>
        <v>7:21000121</v>
      </c>
      <c r="C1028" s="1">
        <v>7</v>
      </c>
      <c r="D1028" s="4">
        <v>21000121</v>
      </c>
      <c r="E1028" s="3" t="s">
        <v>1896</v>
      </c>
      <c r="F1028" s="3"/>
      <c r="G1028" s="1">
        <v>5313.6</v>
      </c>
      <c r="H1028" s="1">
        <f t="shared" ref="H1028:H1091" si="82">IF(I1028="",G1028,I1028)</f>
        <v>5313.6</v>
      </c>
      <c r="I1028" s="1" t="str">
        <f t="shared" ref="I1028:I1091" si="83">IFERROR(100/L1028,"")</f>
        <v/>
      </c>
      <c r="J1028" s="1" t="str">
        <f>_xlfn.IFNA(INDEX([1]历练产出!$Z:$Z,MATCH(B1028,[1]历练产出!$AB:$AB,0)),"")</f>
        <v/>
      </c>
      <c r="K1028" s="1" t="str">
        <f>_xlfn.IFNA(INDEX([1]洞天福地产出!$H:$H,MATCH(B1028,[1]洞天福地产出!$K:$K,0)),"")</f>
        <v/>
      </c>
      <c r="L1028" s="1" t="str">
        <f t="shared" ref="L1028:L1091" si="84">IFERROR(J1028+K1028,"")</f>
        <v/>
      </c>
      <c r="M1028" s="4">
        <f t="shared" ref="M1028:M1091" si="85">IF(I1028="",0,1)</f>
        <v>0</v>
      </c>
    </row>
    <row r="1029" ht="45" spans="1:13">
      <c r="A1029" s="4"/>
      <c r="B1029" t="str">
        <f t="shared" si="81"/>
        <v>7:21000122</v>
      </c>
      <c r="C1029" s="1">
        <v>7</v>
      </c>
      <c r="D1029" s="4">
        <v>21000122</v>
      </c>
      <c r="E1029" s="3" t="s">
        <v>1896</v>
      </c>
      <c r="F1029" s="3"/>
      <c r="G1029" s="1">
        <v>5576.85</v>
      </c>
      <c r="H1029" s="1">
        <f t="shared" si="82"/>
        <v>5576.85</v>
      </c>
      <c r="I1029" s="1" t="str">
        <f t="shared" si="83"/>
        <v/>
      </c>
      <c r="J1029" s="1" t="str">
        <f>_xlfn.IFNA(INDEX([1]历练产出!$Z:$Z,MATCH(B1029,[1]历练产出!$AB:$AB,0)),"")</f>
        <v/>
      </c>
      <c r="K1029" s="1" t="str">
        <f>_xlfn.IFNA(INDEX([1]洞天福地产出!$H:$H,MATCH(B1029,[1]洞天福地产出!$K:$K,0)),"")</f>
        <v/>
      </c>
      <c r="L1029" s="1" t="str">
        <f t="shared" si="84"/>
        <v/>
      </c>
      <c r="M1029" s="4">
        <f t="shared" si="85"/>
        <v>0</v>
      </c>
    </row>
    <row r="1030" ht="45" spans="1:13">
      <c r="A1030" s="4"/>
      <c r="B1030" t="str">
        <f t="shared" si="81"/>
        <v>7:21000123</v>
      </c>
      <c r="C1030" s="1">
        <v>7</v>
      </c>
      <c r="D1030" s="4">
        <v>21000123</v>
      </c>
      <c r="E1030" s="3" t="s">
        <v>1896</v>
      </c>
      <c r="F1030" s="3"/>
      <c r="G1030" s="1">
        <v>5852.25</v>
      </c>
      <c r="H1030" s="1">
        <f t="shared" si="82"/>
        <v>5852.25</v>
      </c>
      <c r="I1030" s="1" t="str">
        <f t="shared" si="83"/>
        <v/>
      </c>
      <c r="J1030" s="1" t="str">
        <f>_xlfn.IFNA(INDEX([1]历练产出!$Z:$Z,MATCH(B1030,[1]历练产出!$AB:$AB,0)),"")</f>
        <v/>
      </c>
      <c r="K1030" s="1" t="str">
        <f>_xlfn.IFNA(INDEX([1]洞天福地产出!$H:$H,MATCH(B1030,[1]洞天福地产出!$K:$K,0)),"")</f>
        <v/>
      </c>
      <c r="L1030" s="1" t="str">
        <f t="shared" si="84"/>
        <v/>
      </c>
      <c r="M1030" s="4">
        <f t="shared" si="85"/>
        <v>0</v>
      </c>
    </row>
    <row r="1031" ht="45" spans="1:13">
      <c r="A1031" s="4"/>
      <c r="B1031" t="str">
        <f t="shared" si="81"/>
        <v>7:21000124</v>
      </c>
      <c r="C1031" s="1">
        <v>7</v>
      </c>
      <c r="D1031" s="4">
        <v>21000124</v>
      </c>
      <c r="E1031" s="3" t="s">
        <v>1896</v>
      </c>
      <c r="F1031" s="3"/>
      <c r="G1031" s="1">
        <v>6139.8</v>
      </c>
      <c r="H1031" s="1">
        <f t="shared" si="82"/>
        <v>6139.8</v>
      </c>
      <c r="I1031" s="1" t="str">
        <f t="shared" si="83"/>
        <v/>
      </c>
      <c r="J1031" s="1" t="str">
        <f>_xlfn.IFNA(INDEX([1]历练产出!$Z:$Z,MATCH(B1031,[1]历练产出!$AB:$AB,0)),"")</f>
        <v/>
      </c>
      <c r="K1031" s="1" t="str">
        <f>_xlfn.IFNA(INDEX([1]洞天福地产出!$H:$H,MATCH(B1031,[1]洞天福地产出!$K:$K,0)),"")</f>
        <v/>
      </c>
      <c r="L1031" s="1" t="str">
        <f t="shared" si="84"/>
        <v/>
      </c>
      <c r="M1031" s="4">
        <f t="shared" si="85"/>
        <v>0</v>
      </c>
    </row>
    <row r="1032" ht="45" spans="1:13">
      <c r="A1032" s="4"/>
      <c r="B1032" t="str">
        <f t="shared" si="81"/>
        <v>7:21000125</v>
      </c>
      <c r="C1032" s="1">
        <v>7</v>
      </c>
      <c r="D1032" s="4">
        <v>21000125</v>
      </c>
      <c r="E1032" s="3" t="s">
        <v>1896</v>
      </c>
      <c r="F1032" s="3"/>
      <c r="G1032" s="1">
        <v>6439.5</v>
      </c>
      <c r="H1032" s="1">
        <f t="shared" si="82"/>
        <v>6439.5</v>
      </c>
      <c r="I1032" s="1" t="str">
        <f t="shared" si="83"/>
        <v/>
      </c>
      <c r="J1032" s="1" t="str">
        <f>_xlfn.IFNA(INDEX([1]历练产出!$Z:$Z,MATCH(B1032,[1]历练产出!$AB:$AB,0)),"")</f>
        <v/>
      </c>
      <c r="K1032" s="1" t="str">
        <f>_xlfn.IFNA(INDEX([1]洞天福地产出!$H:$H,MATCH(B1032,[1]洞天福地产出!$K:$K,0)),"")</f>
        <v/>
      </c>
      <c r="L1032" s="1" t="str">
        <f t="shared" si="84"/>
        <v/>
      </c>
      <c r="M1032" s="4">
        <f t="shared" si="85"/>
        <v>0</v>
      </c>
    </row>
    <row r="1033" ht="45" spans="1:13">
      <c r="A1033" s="4"/>
      <c r="B1033" t="str">
        <f t="shared" si="81"/>
        <v>7:21000126</v>
      </c>
      <c r="C1033" s="1">
        <v>7</v>
      </c>
      <c r="D1033" s="4">
        <v>21000126</v>
      </c>
      <c r="E1033" s="3" t="s">
        <v>1896</v>
      </c>
      <c r="F1033" s="3"/>
      <c r="G1033" s="1">
        <v>6751.35</v>
      </c>
      <c r="H1033" s="1">
        <f t="shared" si="82"/>
        <v>6751.35</v>
      </c>
      <c r="I1033" s="1" t="str">
        <f t="shared" si="83"/>
        <v/>
      </c>
      <c r="J1033" s="1" t="str">
        <f>_xlfn.IFNA(INDEX([1]历练产出!$Z:$Z,MATCH(B1033,[1]历练产出!$AB:$AB,0)),"")</f>
        <v/>
      </c>
      <c r="K1033" s="1" t="str">
        <f>_xlfn.IFNA(INDEX([1]洞天福地产出!$H:$H,MATCH(B1033,[1]洞天福地产出!$K:$K,0)),"")</f>
        <v/>
      </c>
      <c r="L1033" s="1" t="str">
        <f t="shared" si="84"/>
        <v/>
      </c>
      <c r="M1033" s="4">
        <f t="shared" si="85"/>
        <v>0</v>
      </c>
    </row>
    <row r="1034" ht="45" spans="1:13">
      <c r="A1034" s="4"/>
      <c r="B1034" t="str">
        <f t="shared" si="81"/>
        <v>7:21000127</v>
      </c>
      <c r="C1034" s="1">
        <v>7</v>
      </c>
      <c r="D1034" s="4">
        <v>21000127</v>
      </c>
      <c r="E1034" s="3" t="s">
        <v>1896</v>
      </c>
      <c r="F1034" s="3"/>
      <c r="G1034" s="1">
        <v>7075.35</v>
      </c>
      <c r="H1034" s="1">
        <f t="shared" si="82"/>
        <v>7075.35</v>
      </c>
      <c r="I1034" s="1" t="str">
        <f t="shared" si="83"/>
        <v/>
      </c>
      <c r="J1034" s="1" t="str">
        <f>_xlfn.IFNA(INDEX([1]历练产出!$Z:$Z,MATCH(B1034,[1]历练产出!$AB:$AB,0)),"")</f>
        <v/>
      </c>
      <c r="K1034" s="1" t="str">
        <f>_xlfn.IFNA(INDEX([1]洞天福地产出!$H:$H,MATCH(B1034,[1]洞天福地产出!$K:$K,0)),"")</f>
        <v/>
      </c>
      <c r="L1034" s="1" t="str">
        <f t="shared" si="84"/>
        <v/>
      </c>
      <c r="M1034" s="4">
        <f t="shared" si="85"/>
        <v>0</v>
      </c>
    </row>
    <row r="1035" ht="45" spans="1:13">
      <c r="A1035" s="4"/>
      <c r="B1035" t="str">
        <f t="shared" si="81"/>
        <v>7:21000128</v>
      </c>
      <c r="C1035" s="1">
        <v>7</v>
      </c>
      <c r="D1035" s="4">
        <v>21000128</v>
      </c>
      <c r="E1035" s="3" t="s">
        <v>1896</v>
      </c>
      <c r="F1035" s="3"/>
      <c r="G1035" s="1">
        <v>7411.5</v>
      </c>
      <c r="H1035" s="1">
        <f t="shared" si="82"/>
        <v>7411.5</v>
      </c>
      <c r="I1035" s="1" t="str">
        <f t="shared" si="83"/>
        <v/>
      </c>
      <c r="J1035" s="1" t="str">
        <f>_xlfn.IFNA(INDEX([1]历练产出!$Z:$Z,MATCH(B1035,[1]历练产出!$AB:$AB,0)),"")</f>
        <v/>
      </c>
      <c r="K1035" s="1" t="str">
        <f>_xlfn.IFNA(INDEX([1]洞天福地产出!$H:$H,MATCH(B1035,[1]洞天福地产出!$K:$K,0)),"")</f>
        <v/>
      </c>
      <c r="L1035" s="1" t="str">
        <f t="shared" si="84"/>
        <v/>
      </c>
      <c r="M1035" s="4">
        <f t="shared" si="85"/>
        <v>0</v>
      </c>
    </row>
    <row r="1036" ht="45" spans="1:13">
      <c r="A1036" s="4"/>
      <c r="B1036" t="str">
        <f t="shared" si="81"/>
        <v>7:21000129</v>
      </c>
      <c r="C1036" s="1">
        <v>7</v>
      </c>
      <c r="D1036" s="4">
        <v>21000129</v>
      </c>
      <c r="E1036" s="3" t="s">
        <v>1896</v>
      </c>
      <c r="F1036" s="3"/>
      <c r="G1036" s="1">
        <v>9703.8</v>
      </c>
      <c r="H1036" s="1">
        <f t="shared" si="82"/>
        <v>9703.8</v>
      </c>
      <c r="I1036" s="1" t="str">
        <f t="shared" si="83"/>
        <v/>
      </c>
      <c r="J1036" s="1" t="str">
        <f>_xlfn.IFNA(INDEX([1]历练产出!$Z:$Z,MATCH(B1036,[1]历练产出!$AB:$AB,0)),"")</f>
        <v/>
      </c>
      <c r="K1036" s="1" t="str">
        <f>_xlfn.IFNA(INDEX([1]洞天福地产出!$H:$H,MATCH(B1036,[1]洞天福地产出!$K:$K,0)),"")</f>
        <v/>
      </c>
      <c r="L1036" s="1" t="str">
        <f t="shared" si="84"/>
        <v/>
      </c>
      <c r="M1036" s="4">
        <f t="shared" si="85"/>
        <v>0</v>
      </c>
    </row>
    <row r="1037" ht="45" spans="1:13">
      <c r="A1037" s="4"/>
      <c r="B1037" t="str">
        <f t="shared" si="81"/>
        <v>7:21000130</v>
      </c>
      <c r="C1037" s="1">
        <v>7</v>
      </c>
      <c r="D1037" s="4">
        <v>21000130</v>
      </c>
      <c r="E1037" s="3" t="s">
        <v>1896</v>
      </c>
      <c r="F1037" s="3"/>
      <c r="G1037" s="1">
        <v>10052.1</v>
      </c>
      <c r="H1037" s="1">
        <f t="shared" si="82"/>
        <v>10052.1</v>
      </c>
      <c r="I1037" s="1" t="str">
        <f t="shared" si="83"/>
        <v/>
      </c>
      <c r="J1037" s="1" t="str">
        <f>_xlfn.IFNA(INDEX([1]历练产出!$Z:$Z,MATCH(B1037,[1]历练产出!$AB:$AB,0)),"")</f>
        <v/>
      </c>
      <c r="K1037" s="1" t="str">
        <f>_xlfn.IFNA(INDEX([1]洞天福地产出!$H:$H,MATCH(B1037,[1]洞天福地产出!$K:$K,0)),"")</f>
        <v/>
      </c>
      <c r="L1037" s="1" t="str">
        <f t="shared" si="84"/>
        <v/>
      </c>
      <c r="M1037" s="4">
        <f t="shared" si="85"/>
        <v>0</v>
      </c>
    </row>
    <row r="1038" ht="30" spans="1:13">
      <c r="A1038" s="4"/>
      <c r="B1038" t="str">
        <f t="shared" si="81"/>
        <v>7:22000101</v>
      </c>
      <c r="C1038" s="1">
        <v>7</v>
      </c>
      <c r="D1038" s="4">
        <v>22000101</v>
      </c>
      <c r="E1038" s="3" t="s">
        <v>1897</v>
      </c>
      <c r="F1038" s="3"/>
      <c r="G1038" s="1">
        <v>656.1</v>
      </c>
      <c r="H1038" s="1">
        <f t="shared" si="82"/>
        <v>656.1</v>
      </c>
      <c r="I1038" s="1" t="str">
        <f t="shared" si="83"/>
        <v/>
      </c>
      <c r="J1038" s="1" t="str">
        <f>_xlfn.IFNA(INDEX([1]历练产出!$Z:$Z,MATCH(B1038,[1]历练产出!$AB:$AB,0)),"")</f>
        <v/>
      </c>
      <c r="K1038" s="1" t="str">
        <f>_xlfn.IFNA(INDEX([1]洞天福地产出!$H:$H,MATCH(B1038,[1]洞天福地产出!$K:$K,0)),"")</f>
        <v/>
      </c>
      <c r="L1038" s="1" t="str">
        <f t="shared" si="84"/>
        <v/>
      </c>
      <c r="M1038" s="4">
        <f t="shared" si="85"/>
        <v>0</v>
      </c>
    </row>
    <row r="1039" ht="30" spans="1:13">
      <c r="A1039" s="4"/>
      <c r="B1039" t="str">
        <f t="shared" si="81"/>
        <v>7:22000102</v>
      </c>
      <c r="C1039" s="1">
        <v>7</v>
      </c>
      <c r="D1039" s="4">
        <v>22000102</v>
      </c>
      <c r="E1039" s="3" t="s">
        <v>1897</v>
      </c>
      <c r="F1039" s="3"/>
      <c r="G1039" s="1">
        <v>676.35</v>
      </c>
      <c r="H1039" s="1">
        <f t="shared" si="82"/>
        <v>676.35</v>
      </c>
      <c r="I1039" s="1" t="str">
        <f t="shared" si="83"/>
        <v/>
      </c>
      <c r="J1039" s="1" t="str">
        <f>_xlfn.IFNA(INDEX([1]历练产出!$Z:$Z,MATCH(B1039,[1]历练产出!$AB:$AB,0)),"")</f>
        <v/>
      </c>
      <c r="K1039" s="1" t="str">
        <f>_xlfn.IFNA(INDEX([1]洞天福地产出!$H:$H,MATCH(B1039,[1]洞天福地产出!$K:$K,0)),"")</f>
        <v/>
      </c>
      <c r="L1039" s="1" t="str">
        <f t="shared" si="84"/>
        <v/>
      </c>
      <c r="M1039" s="4">
        <f t="shared" si="85"/>
        <v>0</v>
      </c>
    </row>
    <row r="1040" ht="30" spans="1:13">
      <c r="A1040" s="4"/>
      <c r="B1040" t="str">
        <f t="shared" si="81"/>
        <v>7:22000103</v>
      </c>
      <c r="C1040" s="1">
        <v>7</v>
      </c>
      <c r="D1040" s="4">
        <v>22000103</v>
      </c>
      <c r="E1040" s="3" t="s">
        <v>1897</v>
      </c>
      <c r="F1040" s="3"/>
      <c r="G1040" s="1">
        <v>708.75</v>
      </c>
      <c r="H1040" s="1">
        <f t="shared" si="82"/>
        <v>708.75</v>
      </c>
      <c r="I1040" s="1" t="str">
        <f t="shared" si="83"/>
        <v/>
      </c>
      <c r="J1040" s="1" t="str">
        <f>_xlfn.IFNA(INDEX([1]历练产出!$Z:$Z,MATCH(B1040,[1]历练产出!$AB:$AB,0)),"")</f>
        <v/>
      </c>
      <c r="K1040" s="1" t="str">
        <f>_xlfn.IFNA(INDEX([1]洞天福地产出!$H:$H,MATCH(B1040,[1]洞天福地产出!$K:$K,0)),"")</f>
        <v/>
      </c>
      <c r="L1040" s="1" t="str">
        <f t="shared" si="84"/>
        <v/>
      </c>
      <c r="M1040" s="4">
        <f t="shared" si="85"/>
        <v>0</v>
      </c>
    </row>
    <row r="1041" ht="30" spans="1:13">
      <c r="A1041" s="4"/>
      <c r="B1041" t="str">
        <f t="shared" si="81"/>
        <v>7:22000104</v>
      </c>
      <c r="C1041" s="1">
        <v>7</v>
      </c>
      <c r="D1041" s="4">
        <v>22000104</v>
      </c>
      <c r="E1041" s="3" t="s">
        <v>1897</v>
      </c>
      <c r="F1041" s="3"/>
      <c r="G1041" s="1">
        <v>753.3</v>
      </c>
      <c r="H1041" s="1">
        <f t="shared" si="82"/>
        <v>753.3</v>
      </c>
      <c r="I1041" s="1" t="str">
        <f t="shared" si="83"/>
        <v/>
      </c>
      <c r="J1041" s="1" t="str">
        <f>_xlfn.IFNA(INDEX([1]历练产出!$Z:$Z,MATCH(B1041,[1]历练产出!$AB:$AB,0)),"")</f>
        <v/>
      </c>
      <c r="K1041" s="1" t="str">
        <f>_xlfn.IFNA(INDEX([1]洞天福地产出!$H:$H,MATCH(B1041,[1]洞天福地产出!$K:$K,0)),"")</f>
        <v/>
      </c>
      <c r="L1041" s="1" t="str">
        <f t="shared" si="84"/>
        <v/>
      </c>
      <c r="M1041" s="4">
        <f t="shared" si="85"/>
        <v>0</v>
      </c>
    </row>
    <row r="1042" ht="30" spans="1:13">
      <c r="A1042" s="4"/>
      <c r="B1042" t="str">
        <f t="shared" si="81"/>
        <v>7:22000105</v>
      </c>
      <c r="C1042" s="1">
        <v>7</v>
      </c>
      <c r="D1042" s="4">
        <v>22000105</v>
      </c>
      <c r="E1042" s="3" t="s">
        <v>1897</v>
      </c>
      <c r="F1042" s="3"/>
      <c r="G1042" s="1">
        <v>810</v>
      </c>
      <c r="H1042" s="1">
        <f t="shared" si="82"/>
        <v>810</v>
      </c>
      <c r="I1042" s="1" t="str">
        <f t="shared" si="83"/>
        <v/>
      </c>
      <c r="J1042" s="1" t="str">
        <f>_xlfn.IFNA(INDEX([1]历练产出!$Z:$Z,MATCH(B1042,[1]历练产出!$AB:$AB,0)),"")</f>
        <v/>
      </c>
      <c r="K1042" s="1" t="str">
        <f>_xlfn.IFNA(INDEX([1]洞天福地产出!$H:$H,MATCH(B1042,[1]洞天福地产出!$K:$K,0)),"")</f>
        <v/>
      </c>
      <c r="L1042" s="1" t="str">
        <f t="shared" si="84"/>
        <v/>
      </c>
      <c r="M1042" s="4">
        <f t="shared" si="85"/>
        <v>0</v>
      </c>
    </row>
    <row r="1043" ht="30" spans="1:13">
      <c r="A1043" s="4"/>
      <c r="B1043" t="str">
        <f t="shared" si="81"/>
        <v>7:22000106</v>
      </c>
      <c r="C1043" s="1">
        <v>7</v>
      </c>
      <c r="D1043" s="4">
        <v>22000106</v>
      </c>
      <c r="E1043" s="3" t="s">
        <v>1897</v>
      </c>
      <c r="F1043" s="3"/>
      <c r="G1043" s="1">
        <v>878.85</v>
      </c>
      <c r="H1043" s="1">
        <f t="shared" si="82"/>
        <v>878.85</v>
      </c>
      <c r="I1043" s="1" t="str">
        <f t="shared" si="83"/>
        <v/>
      </c>
      <c r="J1043" s="1" t="str">
        <f>_xlfn.IFNA(INDEX([1]历练产出!$Z:$Z,MATCH(B1043,[1]历练产出!$AB:$AB,0)),"")</f>
        <v/>
      </c>
      <c r="K1043" s="1" t="str">
        <f>_xlfn.IFNA(INDEX([1]洞天福地产出!$H:$H,MATCH(B1043,[1]洞天福地产出!$K:$K,0)),"")</f>
        <v/>
      </c>
      <c r="L1043" s="1" t="str">
        <f t="shared" si="84"/>
        <v/>
      </c>
      <c r="M1043" s="4">
        <f t="shared" si="85"/>
        <v>0</v>
      </c>
    </row>
    <row r="1044" ht="30" spans="1:13">
      <c r="A1044" s="4"/>
      <c r="B1044" t="str">
        <f t="shared" si="81"/>
        <v>7:22000107</v>
      </c>
      <c r="C1044" s="1">
        <v>7</v>
      </c>
      <c r="D1044" s="4">
        <v>22000107</v>
      </c>
      <c r="E1044" s="3" t="s">
        <v>1897</v>
      </c>
      <c r="F1044" s="3"/>
      <c r="G1044" s="1">
        <v>959.85</v>
      </c>
      <c r="H1044" s="1">
        <f t="shared" si="82"/>
        <v>959.85</v>
      </c>
      <c r="I1044" s="1" t="str">
        <f t="shared" si="83"/>
        <v/>
      </c>
      <c r="J1044" s="1" t="str">
        <f>_xlfn.IFNA(INDEX([1]历练产出!$Z:$Z,MATCH(B1044,[1]历练产出!$AB:$AB,0)),"")</f>
        <v/>
      </c>
      <c r="K1044" s="1" t="str">
        <f>_xlfn.IFNA(INDEX([1]洞天福地产出!$H:$H,MATCH(B1044,[1]洞天福地产出!$K:$K,0)),"")</f>
        <v/>
      </c>
      <c r="L1044" s="1" t="str">
        <f t="shared" si="84"/>
        <v/>
      </c>
      <c r="M1044" s="4">
        <f t="shared" si="85"/>
        <v>0</v>
      </c>
    </row>
    <row r="1045" ht="30" spans="1:13">
      <c r="A1045" s="4"/>
      <c r="B1045" t="str">
        <f t="shared" si="81"/>
        <v>7:22000108</v>
      </c>
      <c r="C1045" s="1">
        <v>7</v>
      </c>
      <c r="D1045" s="4">
        <v>22000108</v>
      </c>
      <c r="E1045" s="3" t="s">
        <v>1897</v>
      </c>
      <c r="F1045" s="3"/>
      <c r="G1045" s="1">
        <v>1053</v>
      </c>
      <c r="H1045" s="1">
        <f t="shared" si="82"/>
        <v>1053</v>
      </c>
      <c r="I1045" s="1" t="str">
        <f t="shared" si="83"/>
        <v/>
      </c>
      <c r="J1045" s="1" t="str">
        <f>_xlfn.IFNA(INDEX([1]历练产出!$Z:$Z,MATCH(B1045,[1]历练产出!$AB:$AB,0)),"")</f>
        <v/>
      </c>
      <c r="K1045" s="1" t="str">
        <f>_xlfn.IFNA(INDEX([1]洞天福地产出!$H:$H,MATCH(B1045,[1]洞天福地产出!$K:$K,0)),"")</f>
        <v/>
      </c>
      <c r="L1045" s="1" t="str">
        <f t="shared" si="84"/>
        <v/>
      </c>
      <c r="M1045" s="4">
        <f t="shared" si="85"/>
        <v>0</v>
      </c>
    </row>
    <row r="1046" ht="30" spans="1:13">
      <c r="A1046" s="4"/>
      <c r="B1046" t="str">
        <f t="shared" si="81"/>
        <v>7:22000109</v>
      </c>
      <c r="C1046" s="1">
        <v>7</v>
      </c>
      <c r="D1046" s="4">
        <v>22000109</v>
      </c>
      <c r="E1046" s="3" t="s">
        <v>1897</v>
      </c>
      <c r="F1046" s="3"/>
      <c r="G1046" s="1">
        <v>1806.3</v>
      </c>
      <c r="H1046" s="1">
        <f t="shared" si="82"/>
        <v>1806.3</v>
      </c>
      <c r="I1046" s="1" t="str">
        <f t="shared" si="83"/>
        <v/>
      </c>
      <c r="J1046" s="1" t="str">
        <f>_xlfn.IFNA(INDEX([1]历练产出!$Z:$Z,MATCH(B1046,[1]历练产出!$AB:$AB,0)),"")</f>
        <v/>
      </c>
      <c r="K1046" s="1" t="str">
        <f>_xlfn.IFNA(INDEX([1]洞天福地产出!$H:$H,MATCH(B1046,[1]洞天福地产出!$K:$K,0)),"")</f>
        <v/>
      </c>
      <c r="L1046" s="1" t="str">
        <f t="shared" si="84"/>
        <v/>
      </c>
      <c r="M1046" s="4">
        <f t="shared" si="85"/>
        <v>0</v>
      </c>
    </row>
    <row r="1047" ht="30" spans="1:13">
      <c r="A1047" s="4"/>
      <c r="B1047" t="str">
        <f t="shared" si="81"/>
        <v>7:22000110</v>
      </c>
      <c r="C1047" s="1">
        <v>7</v>
      </c>
      <c r="D1047" s="4">
        <v>22000110</v>
      </c>
      <c r="E1047" s="3" t="s">
        <v>1897</v>
      </c>
      <c r="F1047" s="3"/>
      <c r="G1047" s="1">
        <v>1923.75</v>
      </c>
      <c r="H1047" s="1">
        <f t="shared" si="82"/>
        <v>1923.75</v>
      </c>
      <c r="I1047" s="1" t="str">
        <f t="shared" si="83"/>
        <v/>
      </c>
      <c r="J1047" s="1" t="str">
        <f>_xlfn.IFNA(INDEX([1]历练产出!$Z:$Z,MATCH(B1047,[1]历练产出!$AB:$AB,0)),"")</f>
        <v/>
      </c>
      <c r="K1047" s="1" t="str">
        <f>_xlfn.IFNA(INDEX([1]洞天福地产出!$H:$H,MATCH(B1047,[1]洞天福地产出!$K:$K,0)),"")</f>
        <v/>
      </c>
      <c r="L1047" s="1" t="str">
        <f t="shared" si="84"/>
        <v/>
      </c>
      <c r="M1047" s="4">
        <f t="shared" si="85"/>
        <v>0</v>
      </c>
    </row>
    <row r="1048" ht="30" spans="1:13">
      <c r="A1048" s="4"/>
      <c r="B1048" t="str">
        <f t="shared" si="81"/>
        <v>7:22000111</v>
      </c>
      <c r="C1048" s="1">
        <v>7</v>
      </c>
      <c r="D1048" s="4">
        <v>22000111</v>
      </c>
      <c r="E1048" s="3" t="s">
        <v>1897</v>
      </c>
      <c r="F1048" s="3"/>
      <c r="G1048" s="1">
        <v>2053.35</v>
      </c>
      <c r="H1048" s="1">
        <f t="shared" si="82"/>
        <v>2053.35</v>
      </c>
      <c r="I1048" s="1" t="str">
        <f t="shared" si="83"/>
        <v/>
      </c>
      <c r="J1048" s="1" t="str">
        <f>_xlfn.IFNA(INDEX([1]历练产出!$Z:$Z,MATCH(B1048,[1]历练产出!$AB:$AB,0)),"")</f>
        <v/>
      </c>
      <c r="K1048" s="1" t="str">
        <f>_xlfn.IFNA(INDEX([1]洞天福地产出!$H:$H,MATCH(B1048,[1]洞天福地产出!$K:$K,0)),"")</f>
        <v/>
      </c>
      <c r="L1048" s="1" t="str">
        <f t="shared" si="84"/>
        <v/>
      </c>
      <c r="M1048" s="4">
        <f t="shared" si="85"/>
        <v>0</v>
      </c>
    </row>
    <row r="1049" ht="30" spans="1:13">
      <c r="A1049" s="4"/>
      <c r="B1049" t="str">
        <f t="shared" si="81"/>
        <v>7:22000112</v>
      </c>
      <c r="C1049" s="1">
        <v>7</v>
      </c>
      <c r="D1049" s="4">
        <v>22000112</v>
      </c>
      <c r="E1049" s="3" t="s">
        <v>1897</v>
      </c>
      <c r="F1049" s="3"/>
      <c r="G1049" s="1">
        <v>2195.1</v>
      </c>
      <c r="H1049" s="1">
        <f t="shared" si="82"/>
        <v>2195.1</v>
      </c>
      <c r="I1049" s="1" t="str">
        <f t="shared" si="83"/>
        <v/>
      </c>
      <c r="J1049" s="1" t="str">
        <f>_xlfn.IFNA(INDEX([1]历练产出!$Z:$Z,MATCH(B1049,[1]历练产出!$AB:$AB,0)),"")</f>
        <v/>
      </c>
      <c r="K1049" s="1" t="str">
        <f>_xlfn.IFNA(INDEX([1]洞天福地产出!$H:$H,MATCH(B1049,[1]洞天福地产出!$K:$K,0)),"")</f>
        <v/>
      </c>
      <c r="L1049" s="1" t="str">
        <f t="shared" si="84"/>
        <v/>
      </c>
      <c r="M1049" s="4">
        <f t="shared" si="85"/>
        <v>0</v>
      </c>
    </row>
    <row r="1050" ht="30" spans="1:13">
      <c r="A1050" s="4"/>
      <c r="B1050" t="str">
        <f t="shared" si="81"/>
        <v>7:22000113</v>
      </c>
      <c r="C1050" s="1">
        <v>7</v>
      </c>
      <c r="D1050" s="4">
        <v>22000113</v>
      </c>
      <c r="E1050" s="3" t="s">
        <v>1897</v>
      </c>
      <c r="F1050" s="3"/>
      <c r="G1050" s="1">
        <v>2349</v>
      </c>
      <c r="H1050" s="1">
        <f t="shared" si="82"/>
        <v>2349</v>
      </c>
      <c r="I1050" s="1" t="str">
        <f t="shared" si="83"/>
        <v/>
      </c>
      <c r="J1050" s="1" t="str">
        <f>_xlfn.IFNA(INDEX([1]历练产出!$Z:$Z,MATCH(B1050,[1]历练产出!$AB:$AB,0)),"")</f>
        <v/>
      </c>
      <c r="K1050" s="1" t="str">
        <f>_xlfn.IFNA(INDEX([1]洞天福地产出!$H:$H,MATCH(B1050,[1]洞天福地产出!$K:$K,0)),"")</f>
        <v/>
      </c>
      <c r="L1050" s="1" t="str">
        <f t="shared" si="84"/>
        <v/>
      </c>
      <c r="M1050" s="4">
        <f t="shared" si="85"/>
        <v>0</v>
      </c>
    </row>
    <row r="1051" ht="30" spans="1:13">
      <c r="A1051" s="4"/>
      <c r="B1051" t="str">
        <f t="shared" si="81"/>
        <v>7:22000114</v>
      </c>
      <c r="C1051" s="1">
        <v>7</v>
      </c>
      <c r="D1051" s="4">
        <v>22000114</v>
      </c>
      <c r="E1051" s="3" t="s">
        <v>1897</v>
      </c>
      <c r="F1051" s="3"/>
      <c r="G1051" s="1">
        <v>2515.05</v>
      </c>
      <c r="H1051" s="1">
        <f t="shared" si="82"/>
        <v>2515.05</v>
      </c>
      <c r="I1051" s="1" t="str">
        <f t="shared" si="83"/>
        <v/>
      </c>
      <c r="J1051" s="1" t="str">
        <f>_xlfn.IFNA(INDEX([1]历练产出!$Z:$Z,MATCH(B1051,[1]历练产出!$AB:$AB,0)),"")</f>
        <v/>
      </c>
      <c r="K1051" s="1" t="str">
        <f>_xlfn.IFNA(INDEX([1]洞天福地产出!$H:$H,MATCH(B1051,[1]洞天福地产出!$K:$K,0)),"")</f>
        <v/>
      </c>
      <c r="L1051" s="1" t="str">
        <f t="shared" si="84"/>
        <v/>
      </c>
      <c r="M1051" s="4">
        <f t="shared" si="85"/>
        <v>0</v>
      </c>
    </row>
    <row r="1052" ht="30" spans="1:13">
      <c r="A1052" s="4"/>
      <c r="B1052" t="str">
        <f t="shared" si="81"/>
        <v>7:22000115</v>
      </c>
      <c r="C1052" s="1">
        <v>7</v>
      </c>
      <c r="D1052" s="4">
        <v>22000115</v>
      </c>
      <c r="E1052" s="3" t="s">
        <v>1897</v>
      </c>
      <c r="F1052" s="3"/>
      <c r="G1052" s="1">
        <v>2693.25</v>
      </c>
      <c r="H1052" s="1">
        <f t="shared" si="82"/>
        <v>2693.25</v>
      </c>
      <c r="I1052" s="1" t="str">
        <f t="shared" si="83"/>
        <v/>
      </c>
      <c r="J1052" s="1" t="str">
        <f>_xlfn.IFNA(INDEX([1]历练产出!$Z:$Z,MATCH(B1052,[1]历练产出!$AB:$AB,0)),"")</f>
        <v/>
      </c>
      <c r="K1052" s="1" t="str">
        <f>_xlfn.IFNA(INDEX([1]洞天福地产出!$H:$H,MATCH(B1052,[1]洞天福地产出!$K:$K,0)),"")</f>
        <v/>
      </c>
      <c r="L1052" s="1" t="str">
        <f t="shared" si="84"/>
        <v/>
      </c>
      <c r="M1052" s="4">
        <f t="shared" si="85"/>
        <v>0</v>
      </c>
    </row>
    <row r="1053" ht="30" spans="1:13">
      <c r="A1053" s="4"/>
      <c r="B1053" t="str">
        <f t="shared" si="81"/>
        <v>7:22000116</v>
      </c>
      <c r="C1053" s="1">
        <v>7</v>
      </c>
      <c r="D1053" s="4">
        <v>22000116</v>
      </c>
      <c r="E1053" s="3" t="s">
        <v>1897</v>
      </c>
      <c r="F1053" s="3"/>
      <c r="G1053" s="1">
        <v>2883.6</v>
      </c>
      <c r="H1053" s="1">
        <f t="shared" si="82"/>
        <v>2883.6</v>
      </c>
      <c r="I1053" s="1" t="str">
        <f t="shared" si="83"/>
        <v/>
      </c>
      <c r="J1053" s="1" t="str">
        <f>_xlfn.IFNA(INDEX([1]历练产出!$Z:$Z,MATCH(B1053,[1]历练产出!$AB:$AB,0)),"")</f>
        <v/>
      </c>
      <c r="K1053" s="1" t="str">
        <f>_xlfn.IFNA(INDEX([1]洞天福地产出!$H:$H,MATCH(B1053,[1]洞天福地产出!$K:$K,0)),"")</f>
        <v/>
      </c>
      <c r="L1053" s="1" t="str">
        <f t="shared" si="84"/>
        <v/>
      </c>
      <c r="M1053" s="4">
        <f t="shared" si="85"/>
        <v>0</v>
      </c>
    </row>
    <row r="1054" ht="30" spans="1:13">
      <c r="A1054" s="4"/>
      <c r="B1054" t="str">
        <f t="shared" si="81"/>
        <v>7:22000117</v>
      </c>
      <c r="C1054" s="1">
        <v>7</v>
      </c>
      <c r="D1054" s="4">
        <v>22000117</v>
      </c>
      <c r="E1054" s="3" t="s">
        <v>1897</v>
      </c>
      <c r="F1054" s="3"/>
      <c r="G1054" s="1">
        <v>3086.1</v>
      </c>
      <c r="H1054" s="1">
        <f t="shared" si="82"/>
        <v>3086.1</v>
      </c>
      <c r="I1054" s="1" t="str">
        <f t="shared" si="83"/>
        <v/>
      </c>
      <c r="J1054" s="1" t="str">
        <f>_xlfn.IFNA(INDEX([1]历练产出!$Z:$Z,MATCH(B1054,[1]历练产出!$AB:$AB,0)),"")</f>
        <v/>
      </c>
      <c r="K1054" s="1" t="str">
        <f>_xlfn.IFNA(INDEX([1]洞天福地产出!$H:$H,MATCH(B1054,[1]洞天福地产出!$K:$K,0)),"")</f>
        <v/>
      </c>
      <c r="L1054" s="1" t="str">
        <f t="shared" si="84"/>
        <v/>
      </c>
      <c r="M1054" s="4">
        <f t="shared" si="85"/>
        <v>0</v>
      </c>
    </row>
    <row r="1055" ht="30" spans="1:13">
      <c r="A1055" s="4"/>
      <c r="B1055" t="str">
        <f t="shared" si="81"/>
        <v>7:22000118</v>
      </c>
      <c r="C1055" s="1">
        <v>7</v>
      </c>
      <c r="D1055" s="4">
        <v>22000118</v>
      </c>
      <c r="E1055" s="3" t="s">
        <v>1897</v>
      </c>
      <c r="F1055" s="3"/>
      <c r="G1055" s="1">
        <v>3300.75</v>
      </c>
      <c r="H1055" s="1">
        <f t="shared" si="82"/>
        <v>3300.75</v>
      </c>
      <c r="I1055" s="1" t="str">
        <f t="shared" si="83"/>
        <v/>
      </c>
      <c r="J1055" s="1" t="str">
        <f>_xlfn.IFNA(INDEX([1]历练产出!$Z:$Z,MATCH(B1055,[1]历练产出!$AB:$AB,0)),"")</f>
        <v/>
      </c>
      <c r="K1055" s="1" t="str">
        <f>_xlfn.IFNA(INDEX([1]洞天福地产出!$H:$H,MATCH(B1055,[1]洞天福地产出!$K:$K,0)),"")</f>
        <v/>
      </c>
      <c r="L1055" s="1" t="str">
        <f t="shared" si="84"/>
        <v/>
      </c>
      <c r="M1055" s="4">
        <f t="shared" si="85"/>
        <v>0</v>
      </c>
    </row>
    <row r="1056" ht="30" spans="1:13">
      <c r="A1056" s="4"/>
      <c r="B1056" t="str">
        <f t="shared" si="81"/>
        <v>7:22000119</v>
      </c>
      <c r="C1056" s="1">
        <v>7</v>
      </c>
      <c r="D1056" s="4">
        <v>22000119</v>
      </c>
      <c r="E1056" s="3" t="s">
        <v>1897</v>
      </c>
      <c r="F1056" s="3"/>
      <c r="G1056" s="1">
        <v>4823.55</v>
      </c>
      <c r="H1056" s="1">
        <f t="shared" si="82"/>
        <v>4823.55</v>
      </c>
      <c r="I1056" s="1" t="str">
        <f t="shared" si="83"/>
        <v/>
      </c>
      <c r="J1056" s="1" t="str">
        <f>_xlfn.IFNA(INDEX([1]历练产出!$Z:$Z,MATCH(B1056,[1]历练产出!$AB:$AB,0)),"")</f>
        <v/>
      </c>
      <c r="K1056" s="1" t="str">
        <f>_xlfn.IFNA(INDEX([1]洞天福地产出!$H:$H,MATCH(B1056,[1]洞天福地产出!$K:$K,0)),"")</f>
        <v/>
      </c>
      <c r="L1056" s="1" t="str">
        <f t="shared" si="84"/>
        <v/>
      </c>
      <c r="M1056" s="4">
        <f t="shared" si="85"/>
        <v>0</v>
      </c>
    </row>
    <row r="1057" ht="30" spans="1:13">
      <c r="A1057" s="4"/>
      <c r="B1057" t="str">
        <f t="shared" si="81"/>
        <v>7:22000120</v>
      </c>
      <c r="C1057" s="1">
        <v>7</v>
      </c>
      <c r="D1057" s="4">
        <v>22000120</v>
      </c>
      <c r="E1057" s="3" t="s">
        <v>1897</v>
      </c>
      <c r="F1057" s="3"/>
      <c r="G1057" s="1">
        <v>5062.5</v>
      </c>
      <c r="H1057" s="1">
        <f t="shared" si="82"/>
        <v>5062.5</v>
      </c>
      <c r="I1057" s="1" t="str">
        <f t="shared" si="83"/>
        <v/>
      </c>
      <c r="J1057" s="1" t="str">
        <f>_xlfn.IFNA(INDEX([1]历练产出!$Z:$Z,MATCH(B1057,[1]历练产出!$AB:$AB,0)),"")</f>
        <v/>
      </c>
      <c r="K1057" s="1" t="str">
        <f>_xlfn.IFNA(INDEX([1]洞天福地产出!$H:$H,MATCH(B1057,[1]洞天福地产出!$K:$K,0)),"")</f>
        <v/>
      </c>
      <c r="L1057" s="1" t="str">
        <f t="shared" si="84"/>
        <v/>
      </c>
      <c r="M1057" s="4">
        <f t="shared" si="85"/>
        <v>0</v>
      </c>
    </row>
    <row r="1058" ht="30" spans="1:13">
      <c r="A1058" s="4"/>
      <c r="B1058" t="str">
        <f t="shared" si="81"/>
        <v>7:22000121</v>
      </c>
      <c r="C1058" s="1">
        <v>7</v>
      </c>
      <c r="D1058" s="4">
        <v>22000121</v>
      </c>
      <c r="E1058" s="3" t="s">
        <v>1897</v>
      </c>
      <c r="F1058" s="3"/>
      <c r="G1058" s="1">
        <v>5313.6</v>
      </c>
      <c r="H1058" s="1">
        <f t="shared" si="82"/>
        <v>5313.6</v>
      </c>
      <c r="I1058" s="1" t="str">
        <f t="shared" si="83"/>
        <v/>
      </c>
      <c r="J1058" s="1" t="str">
        <f>_xlfn.IFNA(INDEX([1]历练产出!$Z:$Z,MATCH(B1058,[1]历练产出!$AB:$AB,0)),"")</f>
        <v/>
      </c>
      <c r="K1058" s="1" t="str">
        <f>_xlfn.IFNA(INDEX([1]洞天福地产出!$H:$H,MATCH(B1058,[1]洞天福地产出!$K:$K,0)),"")</f>
        <v/>
      </c>
      <c r="L1058" s="1" t="str">
        <f t="shared" si="84"/>
        <v/>
      </c>
      <c r="M1058" s="4">
        <f t="shared" si="85"/>
        <v>0</v>
      </c>
    </row>
    <row r="1059" ht="30" spans="1:13">
      <c r="A1059" s="4"/>
      <c r="B1059" t="str">
        <f t="shared" si="81"/>
        <v>7:22000122</v>
      </c>
      <c r="C1059" s="1">
        <v>7</v>
      </c>
      <c r="D1059" s="4">
        <v>22000122</v>
      </c>
      <c r="E1059" s="3" t="s">
        <v>1897</v>
      </c>
      <c r="F1059" s="3"/>
      <c r="G1059" s="1">
        <v>5576.85</v>
      </c>
      <c r="H1059" s="1">
        <f t="shared" si="82"/>
        <v>5576.85</v>
      </c>
      <c r="I1059" s="1" t="str">
        <f t="shared" si="83"/>
        <v/>
      </c>
      <c r="J1059" s="1" t="str">
        <f>_xlfn.IFNA(INDEX([1]历练产出!$Z:$Z,MATCH(B1059,[1]历练产出!$AB:$AB,0)),"")</f>
        <v/>
      </c>
      <c r="K1059" s="1" t="str">
        <f>_xlfn.IFNA(INDEX([1]洞天福地产出!$H:$H,MATCH(B1059,[1]洞天福地产出!$K:$K,0)),"")</f>
        <v/>
      </c>
      <c r="L1059" s="1" t="str">
        <f t="shared" si="84"/>
        <v/>
      </c>
      <c r="M1059" s="4">
        <f t="shared" si="85"/>
        <v>0</v>
      </c>
    </row>
    <row r="1060" ht="30" spans="1:13">
      <c r="A1060" s="4"/>
      <c r="B1060" t="str">
        <f t="shared" ref="B1060:B1123" si="86">C1060&amp;":"&amp;D1060</f>
        <v>7:22000123</v>
      </c>
      <c r="C1060" s="1">
        <v>7</v>
      </c>
      <c r="D1060" s="4">
        <v>22000123</v>
      </c>
      <c r="E1060" s="3" t="s">
        <v>1897</v>
      </c>
      <c r="F1060" s="3"/>
      <c r="G1060" s="1">
        <v>5852.25</v>
      </c>
      <c r="H1060" s="1">
        <f t="shared" si="82"/>
        <v>5852.25</v>
      </c>
      <c r="I1060" s="1" t="str">
        <f t="shared" si="83"/>
        <v/>
      </c>
      <c r="J1060" s="1" t="str">
        <f>_xlfn.IFNA(INDEX([1]历练产出!$Z:$Z,MATCH(B1060,[1]历练产出!$AB:$AB,0)),"")</f>
        <v/>
      </c>
      <c r="K1060" s="1" t="str">
        <f>_xlfn.IFNA(INDEX([1]洞天福地产出!$H:$H,MATCH(B1060,[1]洞天福地产出!$K:$K,0)),"")</f>
        <v/>
      </c>
      <c r="L1060" s="1" t="str">
        <f t="shared" si="84"/>
        <v/>
      </c>
      <c r="M1060" s="4">
        <f t="shared" si="85"/>
        <v>0</v>
      </c>
    </row>
    <row r="1061" ht="30" spans="1:13">
      <c r="A1061" s="4"/>
      <c r="B1061" t="str">
        <f t="shared" si="86"/>
        <v>7:22000124</v>
      </c>
      <c r="C1061" s="1">
        <v>7</v>
      </c>
      <c r="D1061" s="4">
        <v>22000124</v>
      </c>
      <c r="E1061" s="3" t="s">
        <v>1897</v>
      </c>
      <c r="F1061" s="3"/>
      <c r="G1061" s="1">
        <v>6139.8</v>
      </c>
      <c r="H1061" s="1">
        <f t="shared" si="82"/>
        <v>6139.8</v>
      </c>
      <c r="I1061" s="1" t="str">
        <f t="shared" si="83"/>
        <v/>
      </c>
      <c r="J1061" s="1" t="str">
        <f>_xlfn.IFNA(INDEX([1]历练产出!$Z:$Z,MATCH(B1061,[1]历练产出!$AB:$AB,0)),"")</f>
        <v/>
      </c>
      <c r="K1061" s="1" t="str">
        <f>_xlfn.IFNA(INDEX([1]洞天福地产出!$H:$H,MATCH(B1061,[1]洞天福地产出!$K:$K,0)),"")</f>
        <v/>
      </c>
      <c r="L1061" s="1" t="str">
        <f t="shared" si="84"/>
        <v/>
      </c>
      <c r="M1061" s="4">
        <f t="shared" si="85"/>
        <v>0</v>
      </c>
    </row>
    <row r="1062" ht="30" spans="1:13">
      <c r="A1062" s="4"/>
      <c r="B1062" t="str">
        <f t="shared" si="86"/>
        <v>7:22000125</v>
      </c>
      <c r="C1062" s="1">
        <v>7</v>
      </c>
      <c r="D1062" s="4">
        <v>22000125</v>
      </c>
      <c r="E1062" s="3" t="s">
        <v>1897</v>
      </c>
      <c r="F1062" s="3"/>
      <c r="G1062" s="1">
        <v>6439.5</v>
      </c>
      <c r="H1062" s="1">
        <f t="shared" si="82"/>
        <v>6439.5</v>
      </c>
      <c r="I1062" s="1" t="str">
        <f t="shared" si="83"/>
        <v/>
      </c>
      <c r="J1062" s="1" t="str">
        <f>_xlfn.IFNA(INDEX([1]历练产出!$Z:$Z,MATCH(B1062,[1]历练产出!$AB:$AB,0)),"")</f>
        <v/>
      </c>
      <c r="K1062" s="1" t="str">
        <f>_xlfn.IFNA(INDEX([1]洞天福地产出!$H:$H,MATCH(B1062,[1]洞天福地产出!$K:$K,0)),"")</f>
        <v/>
      </c>
      <c r="L1062" s="1" t="str">
        <f t="shared" si="84"/>
        <v/>
      </c>
      <c r="M1062" s="4">
        <f t="shared" si="85"/>
        <v>0</v>
      </c>
    </row>
    <row r="1063" ht="30" spans="1:13">
      <c r="A1063" s="4"/>
      <c r="B1063" t="str">
        <f t="shared" si="86"/>
        <v>7:22000126</v>
      </c>
      <c r="C1063" s="1">
        <v>7</v>
      </c>
      <c r="D1063" s="4">
        <v>22000126</v>
      </c>
      <c r="E1063" s="3" t="s">
        <v>1897</v>
      </c>
      <c r="F1063" s="3"/>
      <c r="G1063" s="1">
        <v>6751.35</v>
      </c>
      <c r="H1063" s="1">
        <f t="shared" si="82"/>
        <v>6751.35</v>
      </c>
      <c r="I1063" s="1" t="str">
        <f t="shared" si="83"/>
        <v/>
      </c>
      <c r="J1063" s="1" t="str">
        <f>_xlfn.IFNA(INDEX([1]历练产出!$Z:$Z,MATCH(B1063,[1]历练产出!$AB:$AB,0)),"")</f>
        <v/>
      </c>
      <c r="K1063" s="1" t="str">
        <f>_xlfn.IFNA(INDEX([1]洞天福地产出!$H:$H,MATCH(B1063,[1]洞天福地产出!$K:$K,0)),"")</f>
        <v/>
      </c>
      <c r="L1063" s="1" t="str">
        <f t="shared" si="84"/>
        <v/>
      </c>
      <c r="M1063" s="4">
        <f t="shared" si="85"/>
        <v>0</v>
      </c>
    </row>
    <row r="1064" ht="30" spans="1:13">
      <c r="A1064" s="4"/>
      <c r="B1064" t="str">
        <f t="shared" si="86"/>
        <v>7:22000127</v>
      </c>
      <c r="C1064" s="1">
        <v>7</v>
      </c>
      <c r="D1064" s="4">
        <v>22000127</v>
      </c>
      <c r="E1064" s="3" t="s">
        <v>1897</v>
      </c>
      <c r="F1064" s="3"/>
      <c r="G1064" s="1">
        <v>7075.35</v>
      </c>
      <c r="H1064" s="1">
        <f t="shared" si="82"/>
        <v>7075.35</v>
      </c>
      <c r="I1064" s="1" t="str">
        <f t="shared" si="83"/>
        <v/>
      </c>
      <c r="J1064" s="1" t="str">
        <f>_xlfn.IFNA(INDEX([1]历练产出!$Z:$Z,MATCH(B1064,[1]历练产出!$AB:$AB,0)),"")</f>
        <v/>
      </c>
      <c r="K1064" s="1" t="str">
        <f>_xlfn.IFNA(INDEX([1]洞天福地产出!$H:$H,MATCH(B1064,[1]洞天福地产出!$K:$K,0)),"")</f>
        <v/>
      </c>
      <c r="L1064" s="1" t="str">
        <f t="shared" si="84"/>
        <v/>
      </c>
      <c r="M1064" s="4">
        <f t="shared" si="85"/>
        <v>0</v>
      </c>
    </row>
    <row r="1065" ht="30" spans="1:13">
      <c r="A1065" s="4"/>
      <c r="B1065" t="str">
        <f t="shared" si="86"/>
        <v>7:22000128</v>
      </c>
      <c r="C1065" s="1">
        <v>7</v>
      </c>
      <c r="D1065" s="4">
        <v>22000128</v>
      </c>
      <c r="E1065" s="3" t="s">
        <v>1897</v>
      </c>
      <c r="F1065" s="3"/>
      <c r="G1065" s="1">
        <v>7411.5</v>
      </c>
      <c r="H1065" s="1">
        <f t="shared" si="82"/>
        <v>7411.5</v>
      </c>
      <c r="I1065" s="1" t="str">
        <f t="shared" si="83"/>
        <v/>
      </c>
      <c r="J1065" s="1" t="str">
        <f>_xlfn.IFNA(INDEX([1]历练产出!$Z:$Z,MATCH(B1065,[1]历练产出!$AB:$AB,0)),"")</f>
        <v/>
      </c>
      <c r="K1065" s="1" t="str">
        <f>_xlfn.IFNA(INDEX([1]洞天福地产出!$H:$H,MATCH(B1065,[1]洞天福地产出!$K:$K,0)),"")</f>
        <v/>
      </c>
      <c r="L1065" s="1" t="str">
        <f t="shared" si="84"/>
        <v/>
      </c>
      <c r="M1065" s="4">
        <f t="shared" si="85"/>
        <v>0</v>
      </c>
    </row>
    <row r="1066" ht="30" spans="1:13">
      <c r="A1066" s="4"/>
      <c r="B1066" t="str">
        <f t="shared" si="86"/>
        <v>7:22000129</v>
      </c>
      <c r="C1066" s="1">
        <v>7</v>
      </c>
      <c r="D1066" s="4">
        <v>22000129</v>
      </c>
      <c r="E1066" s="3" t="s">
        <v>1897</v>
      </c>
      <c r="F1066" s="3"/>
      <c r="G1066" s="1">
        <v>9703.8</v>
      </c>
      <c r="H1066" s="1">
        <f t="shared" si="82"/>
        <v>9703.8</v>
      </c>
      <c r="I1066" s="1" t="str">
        <f t="shared" si="83"/>
        <v/>
      </c>
      <c r="J1066" s="1" t="str">
        <f>_xlfn.IFNA(INDEX([1]历练产出!$Z:$Z,MATCH(B1066,[1]历练产出!$AB:$AB,0)),"")</f>
        <v/>
      </c>
      <c r="K1066" s="1" t="str">
        <f>_xlfn.IFNA(INDEX([1]洞天福地产出!$H:$H,MATCH(B1066,[1]洞天福地产出!$K:$K,0)),"")</f>
        <v/>
      </c>
      <c r="L1066" s="1" t="str">
        <f t="shared" si="84"/>
        <v/>
      </c>
      <c r="M1066" s="4">
        <f t="shared" si="85"/>
        <v>0</v>
      </c>
    </row>
    <row r="1067" ht="30" spans="1:13">
      <c r="A1067" s="4"/>
      <c r="B1067" t="str">
        <f t="shared" si="86"/>
        <v>7:22000130</v>
      </c>
      <c r="C1067" s="1">
        <v>7</v>
      </c>
      <c r="D1067" s="4">
        <v>22000130</v>
      </c>
      <c r="E1067" s="3" t="s">
        <v>1897</v>
      </c>
      <c r="F1067" s="3"/>
      <c r="G1067" s="1">
        <v>10052.1</v>
      </c>
      <c r="H1067" s="1">
        <f t="shared" si="82"/>
        <v>10052.1</v>
      </c>
      <c r="I1067" s="1" t="str">
        <f t="shared" si="83"/>
        <v/>
      </c>
      <c r="J1067" s="1" t="str">
        <f>_xlfn.IFNA(INDEX([1]历练产出!$Z:$Z,MATCH(B1067,[1]历练产出!$AB:$AB,0)),"")</f>
        <v/>
      </c>
      <c r="K1067" s="1" t="str">
        <f>_xlfn.IFNA(INDEX([1]洞天福地产出!$H:$H,MATCH(B1067,[1]洞天福地产出!$K:$K,0)),"")</f>
        <v/>
      </c>
      <c r="L1067" s="1" t="str">
        <f t="shared" si="84"/>
        <v/>
      </c>
      <c r="M1067" s="4">
        <f t="shared" si="85"/>
        <v>0</v>
      </c>
    </row>
    <row r="1068" spans="1:13">
      <c r="A1068" s="4"/>
      <c r="B1068" t="str">
        <f t="shared" si="86"/>
        <v>7:23000101</v>
      </c>
      <c r="C1068" s="1">
        <v>7</v>
      </c>
      <c r="D1068" s="4">
        <v>23000101</v>
      </c>
      <c r="E1068" s="3" t="s">
        <v>1898</v>
      </c>
      <c r="F1068" s="3"/>
      <c r="G1068" s="1">
        <v>656.1</v>
      </c>
      <c r="H1068" s="1">
        <f t="shared" si="82"/>
        <v>656.1</v>
      </c>
      <c r="I1068" s="1" t="str">
        <f t="shared" si="83"/>
        <v/>
      </c>
      <c r="J1068" s="1" t="str">
        <f>_xlfn.IFNA(INDEX([1]历练产出!$Z:$Z,MATCH(B1068,[1]历练产出!$AB:$AB,0)),"")</f>
        <v/>
      </c>
      <c r="K1068" s="1" t="str">
        <f>_xlfn.IFNA(INDEX([1]洞天福地产出!$H:$H,MATCH(B1068,[1]洞天福地产出!$K:$K,0)),"")</f>
        <v/>
      </c>
      <c r="L1068" s="1" t="str">
        <f t="shared" si="84"/>
        <v/>
      </c>
      <c r="M1068" s="4">
        <f t="shared" si="85"/>
        <v>0</v>
      </c>
    </row>
    <row r="1069" spans="1:13">
      <c r="A1069" s="4"/>
      <c r="B1069" t="str">
        <f t="shared" si="86"/>
        <v>7:23000102</v>
      </c>
      <c r="C1069" s="1">
        <v>7</v>
      </c>
      <c r="D1069" s="4">
        <v>23000102</v>
      </c>
      <c r="E1069" s="3" t="s">
        <v>1898</v>
      </c>
      <c r="F1069" s="3"/>
      <c r="G1069" s="1">
        <v>676.35</v>
      </c>
      <c r="H1069" s="1">
        <f t="shared" si="82"/>
        <v>676.35</v>
      </c>
      <c r="I1069" s="1" t="str">
        <f t="shared" si="83"/>
        <v/>
      </c>
      <c r="J1069" s="1" t="str">
        <f>_xlfn.IFNA(INDEX([1]历练产出!$Z:$Z,MATCH(B1069,[1]历练产出!$AB:$AB,0)),"")</f>
        <v/>
      </c>
      <c r="K1069" s="1" t="str">
        <f>_xlfn.IFNA(INDEX([1]洞天福地产出!$H:$H,MATCH(B1069,[1]洞天福地产出!$K:$K,0)),"")</f>
        <v/>
      </c>
      <c r="L1069" s="1" t="str">
        <f t="shared" si="84"/>
        <v/>
      </c>
      <c r="M1069" s="4">
        <f t="shared" si="85"/>
        <v>0</v>
      </c>
    </row>
    <row r="1070" spans="1:13">
      <c r="A1070" s="4"/>
      <c r="B1070" t="str">
        <f t="shared" si="86"/>
        <v>7:23000103</v>
      </c>
      <c r="C1070" s="1">
        <v>7</v>
      </c>
      <c r="D1070" s="4">
        <v>23000103</v>
      </c>
      <c r="E1070" s="3" t="s">
        <v>1898</v>
      </c>
      <c r="F1070" s="3"/>
      <c r="G1070" s="1">
        <v>708.75</v>
      </c>
      <c r="H1070" s="1">
        <f t="shared" si="82"/>
        <v>708.75</v>
      </c>
      <c r="I1070" s="1" t="str">
        <f t="shared" si="83"/>
        <v/>
      </c>
      <c r="J1070" s="1" t="str">
        <f>_xlfn.IFNA(INDEX([1]历练产出!$Z:$Z,MATCH(B1070,[1]历练产出!$AB:$AB,0)),"")</f>
        <v/>
      </c>
      <c r="K1070" s="1" t="str">
        <f>_xlfn.IFNA(INDEX([1]洞天福地产出!$H:$H,MATCH(B1070,[1]洞天福地产出!$K:$K,0)),"")</f>
        <v/>
      </c>
      <c r="L1070" s="1" t="str">
        <f t="shared" si="84"/>
        <v/>
      </c>
      <c r="M1070" s="4">
        <f t="shared" si="85"/>
        <v>0</v>
      </c>
    </row>
    <row r="1071" spans="1:13">
      <c r="A1071" s="4"/>
      <c r="B1071" t="str">
        <f t="shared" si="86"/>
        <v>7:23000104</v>
      </c>
      <c r="C1071" s="1">
        <v>7</v>
      </c>
      <c r="D1071" s="4">
        <v>23000104</v>
      </c>
      <c r="E1071" s="3" t="s">
        <v>1898</v>
      </c>
      <c r="F1071" s="3"/>
      <c r="G1071" s="1">
        <v>753.3</v>
      </c>
      <c r="H1071" s="1">
        <f t="shared" si="82"/>
        <v>753.3</v>
      </c>
      <c r="I1071" s="1" t="str">
        <f t="shared" si="83"/>
        <v/>
      </c>
      <c r="J1071" s="1" t="str">
        <f>_xlfn.IFNA(INDEX([1]历练产出!$Z:$Z,MATCH(B1071,[1]历练产出!$AB:$AB,0)),"")</f>
        <v/>
      </c>
      <c r="K1071" s="1" t="str">
        <f>_xlfn.IFNA(INDEX([1]洞天福地产出!$H:$H,MATCH(B1071,[1]洞天福地产出!$K:$K,0)),"")</f>
        <v/>
      </c>
      <c r="L1071" s="1" t="str">
        <f t="shared" si="84"/>
        <v/>
      </c>
      <c r="M1071" s="4">
        <f t="shared" si="85"/>
        <v>0</v>
      </c>
    </row>
    <row r="1072" spans="1:13">
      <c r="A1072" s="4"/>
      <c r="B1072" t="str">
        <f t="shared" si="86"/>
        <v>7:23000105</v>
      </c>
      <c r="C1072" s="1">
        <v>7</v>
      </c>
      <c r="D1072" s="4">
        <v>23000105</v>
      </c>
      <c r="E1072" s="3" t="s">
        <v>1898</v>
      </c>
      <c r="F1072" s="3"/>
      <c r="G1072" s="1">
        <v>810</v>
      </c>
      <c r="H1072" s="1">
        <f t="shared" si="82"/>
        <v>810</v>
      </c>
      <c r="I1072" s="1" t="str">
        <f t="shared" si="83"/>
        <v/>
      </c>
      <c r="J1072" s="1" t="str">
        <f>_xlfn.IFNA(INDEX([1]历练产出!$Z:$Z,MATCH(B1072,[1]历练产出!$AB:$AB,0)),"")</f>
        <v/>
      </c>
      <c r="K1072" s="1" t="str">
        <f>_xlfn.IFNA(INDEX([1]洞天福地产出!$H:$H,MATCH(B1072,[1]洞天福地产出!$K:$K,0)),"")</f>
        <v/>
      </c>
      <c r="L1072" s="1" t="str">
        <f t="shared" si="84"/>
        <v/>
      </c>
      <c r="M1072" s="4">
        <f t="shared" si="85"/>
        <v>0</v>
      </c>
    </row>
    <row r="1073" spans="1:13">
      <c r="A1073" s="4"/>
      <c r="B1073" t="str">
        <f t="shared" si="86"/>
        <v>7:23000106</v>
      </c>
      <c r="C1073" s="1">
        <v>7</v>
      </c>
      <c r="D1073" s="4">
        <v>23000106</v>
      </c>
      <c r="E1073" s="3" t="s">
        <v>1898</v>
      </c>
      <c r="F1073" s="3"/>
      <c r="G1073" s="1">
        <v>878.85</v>
      </c>
      <c r="H1073" s="1">
        <f t="shared" si="82"/>
        <v>878.85</v>
      </c>
      <c r="I1073" s="1" t="str">
        <f t="shared" si="83"/>
        <v/>
      </c>
      <c r="J1073" s="1" t="str">
        <f>_xlfn.IFNA(INDEX([1]历练产出!$Z:$Z,MATCH(B1073,[1]历练产出!$AB:$AB,0)),"")</f>
        <v/>
      </c>
      <c r="K1073" s="1" t="str">
        <f>_xlfn.IFNA(INDEX([1]洞天福地产出!$H:$H,MATCH(B1073,[1]洞天福地产出!$K:$K,0)),"")</f>
        <v/>
      </c>
      <c r="L1073" s="1" t="str">
        <f t="shared" si="84"/>
        <v/>
      </c>
      <c r="M1073" s="4">
        <f t="shared" si="85"/>
        <v>0</v>
      </c>
    </row>
    <row r="1074" spans="1:13">
      <c r="A1074" s="4"/>
      <c r="B1074" t="str">
        <f t="shared" si="86"/>
        <v>7:23000107</v>
      </c>
      <c r="C1074" s="1">
        <v>7</v>
      </c>
      <c r="D1074" s="4">
        <v>23000107</v>
      </c>
      <c r="E1074" s="3" t="s">
        <v>1898</v>
      </c>
      <c r="F1074" s="3"/>
      <c r="G1074" s="1">
        <v>959.85</v>
      </c>
      <c r="H1074" s="1">
        <f t="shared" si="82"/>
        <v>959.85</v>
      </c>
      <c r="I1074" s="1" t="str">
        <f t="shared" si="83"/>
        <v/>
      </c>
      <c r="J1074" s="1" t="str">
        <f>_xlfn.IFNA(INDEX([1]历练产出!$Z:$Z,MATCH(B1074,[1]历练产出!$AB:$AB,0)),"")</f>
        <v/>
      </c>
      <c r="K1074" s="1" t="str">
        <f>_xlfn.IFNA(INDEX([1]洞天福地产出!$H:$H,MATCH(B1074,[1]洞天福地产出!$K:$K,0)),"")</f>
        <v/>
      </c>
      <c r="L1074" s="1" t="str">
        <f t="shared" si="84"/>
        <v/>
      </c>
      <c r="M1074" s="4">
        <f t="shared" si="85"/>
        <v>0</v>
      </c>
    </row>
    <row r="1075" spans="1:13">
      <c r="A1075" s="4"/>
      <c r="B1075" t="str">
        <f t="shared" si="86"/>
        <v>7:23000108</v>
      </c>
      <c r="C1075" s="1">
        <v>7</v>
      </c>
      <c r="D1075" s="4">
        <v>23000108</v>
      </c>
      <c r="E1075" s="3" t="s">
        <v>1898</v>
      </c>
      <c r="F1075" s="3"/>
      <c r="G1075" s="1">
        <v>1053</v>
      </c>
      <c r="H1075" s="1">
        <f t="shared" si="82"/>
        <v>1053</v>
      </c>
      <c r="I1075" s="1" t="str">
        <f t="shared" si="83"/>
        <v/>
      </c>
      <c r="J1075" s="1" t="str">
        <f>_xlfn.IFNA(INDEX([1]历练产出!$Z:$Z,MATCH(B1075,[1]历练产出!$AB:$AB,0)),"")</f>
        <v/>
      </c>
      <c r="K1075" s="1" t="str">
        <f>_xlfn.IFNA(INDEX([1]洞天福地产出!$H:$H,MATCH(B1075,[1]洞天福地产出!$K:$K,0)),"")</f>
        <v/>
      </c>
      <c r="L1075" s="1" t="str">
        <f t="shared" si="84"/>
        <v/>
      </c>
      <c r="M1075" s="4">
        <f t="shared" si="85"/>
        <v>0</v>
      </c>
    </row>
    <row r="1076" spans="1:13">
      <c r="A1076" s="4"/>
      <c r="B1076" t="str">
        <f t="shared" si="86"/>
        <v>7:23000109</v>
      </c>
      <c r="C1076" s="1">
        <v>7</v>
      </c>
      <c r="D1076" s="4">
        <v>23000109</v>
      </c>
      <c r="E1076" s="3" t="s">
        <v>1898</v>
      </c>
      <c r="F1076" s="3"/>
      <c r="G1076" s="1">
        <v>1806.3</v>
      </c>
      <c r="H1076" s="1">
        <f t="shared" si="82"/>
        <v>1806.3</v>
      </c>
      <c r="I1076" s="1" t="str">
        <f t="shared" si="83"/>
        <v/>
      </c>
      <c r="J1076" s="1" t="str">
        <f>_xlfn.IFNA(INDEX([1]历练产出!$Z:$Z,MATCH(B1076,[1]历练产出!$AB:$AB,0)),"")</f>
        <v/>
      </c>
      <c r="K1076" s="1" t="str">
        <f>_xlfn.IFNA(INDEX([1]洞天福地产出!$H:$H,MATCH(B1076,[1]洞天福地产出!$K:$K,0)),"")</f>
        <v/>
      </c>
      <c r="L1076" s="1" t="str">
        <f t="shared" si="84"/>
        <v/>
      </c>
      <c r="M1076" s="4">
        <f t="shared" si="85"/>
        <v>0</v>
      </c>
    </row>
    <row r="1077" spans="1:13">
      <c r="A1077" s="4"/>
      <c r="B1077" t="str">
        <f t="shared" si="86"/>
        <v>7:23000110</v>
      </c>
      <c r="C1077" s="1">
        <v>7</v>
      </c>
      <c r="D1077" s="4">
        <v>23000110</v>
      </c>
      <c r="E1077" s="3" t="s">
        <v>1898</v>
      </c>
      <c r="F1077" s="3"/>
      <c r="G1077" s="1">
        <v>1923.75</v>
      </c>
      <c r="H1077" s="1">
        <f t="shared" si="82"/>
        <v>1923.75</v>
      </c>
      <c r="I1077" s="1" t="str">
        <f t="shared" si="83"/>
        <v/>
      </c>
      <c r="J1077" s="1" t="str">
        <f>_xlfn.IFNA(INDEX([1]历练产出!$Z:$Z,MATCH(B1077,[1]历练产出!$AB:$AB,0)),"")</f>
        <v/>
      </c>
      <c r="K1077" s="1" t="str">
        <f>_xlfn.IFNA(INDEX([1]洞天福地产出!$H:$H,MATCH(B1077,[1]洞天福地产出!$K:$K,0)),"")</f>
        <v/>
      </c>
      <c r="L1077" s="1" t="str">
        <f t="shared" si="84"/>
        <v/>
      </c>
      <c r="M1077" s="4">
        <f t="shared" si="85"/>
        <v>0</v>
      </c>
    </row>
    <row r="1078" spans="1:13">
      <c r="A1078" s="4"/>
      <c r="B1078" t="str">
        <f t="shared" si="86"/>
        <v>7:23000111</v>
      </c>
      <c r="C1078" s="1">
        <v>7</v>
      </c>
      <c r="D1078" s="4">
        <v>23000111</v>
      </c>
      <c r="E1078" s="3" t="s">
        <v>1898</v>
      </c>
      <c r="F1078" s="3"/>
      <c r="G1078" s="1">
        <v>2053.35</v>
      </c>
      <c r="H1078" s="1">
        <f t="shared" si="82"/>
        <v>2053.35</v>
      </c>
      <c r="I1078" s="1" t="str">
        <f t="shared" si="83"/>
        <v/>
      </c>
      <c r="J1078" s="1" t="str">
        <f>_xlfn.IFNA(INDEX([1]历练产出!$Z:$Z,MATCH(B1078,[1]历练产出!$AB:$AB,0)),"")</f>
        <v/>
      </c>
      <c r="K1078" s="1" t="str">
        <f>_xlfn.IFNA(INDEX([1]洞天福地产出!$H:$H,MATCH(B1078,[1]洞天福地产出!$K:$K,0)),"")</f>
        <v/>
      </c>
      <c r="L1078" s="1" t="str">
        <f t="shared" si="84"/>
        <v/>
      </c>
      <c r="M1078" s="4">
        <f t="shared" si="85"/>
        <v>0</v>
      </c>
    </row>
    <row r="1079" spans="1:13">
      <c r="A1079" s="4"/>
      <c r="B1079" t="str">
        <f t="shared" si="86"/>
        <v>7:23000112</v>
      </c>
      <c r="C1079" s="1">
        <v>7</v>
      </c>
      <c r="D1079" s="4">
        <v>23000112</v>
      </c>
      <c r="E1079" s="3" t="s">
        <v>1898</v>
      </c>
      <c r="F1079" s="3"/>
      <c r="G1079" s="1">
        <v>2195.1</v>
      </c>
      <c r="H1079" s="1">
        <f t="shared" si="82"/>
        <v>2195.1</v>
      </c>
      <c r="I1079" s="1" t="str">
        <f t="shared" si="83"/>
        <v/>
      </c>
      <c r="J1079" s="1" t="str">
        <f>_xlfn.IFNA(INDEX([1]历练产出!$Z:$Z,MATCH(B1079,[1]历练产出!$AB:$AB,0)),"")</f>
        <v/>
      </c>
      <c r="K1079" s="1" t="str">
        <f>_xlfn.IFNA(INDEX([1]洞天福地产出!$H:$H,MATCH(B1079,[1]洞天福地产出!$K:$K,0)),"")</f>
        <v/>
      </c>
      <c r="L1079" s="1" t="str">
        <f t="shared" si="84"/>
        <v/>
      </c>
      <c r="M1079" s="4">
        <f t="shared" si="85"/>
        <v>0</v>
      </c>
    </row>
    <row r="1080" spans="1:13">
      <c r="A1080" s="4"/>
      <c r="B1080" t="str">
        <f t="shared" si="86"/>
        <v>7:23000113</v>
      </c>
      <c r="C1080" s="1">
        <v>7</v>
      </c>
      <c r="D1080" s="4">
        <v>23000113</v>
      </c>
      <c r="E1080" s="3" t="s">
        <v>1898</v>
      </c>
      <c r="F1080" s="3"/>
      <c r="G1080" s="1">
        <v>2349</v>
      </c>
      <c r="H1080" s="1">
        <f t="shared" si="82"/>
        <v>2349</v>
      </c>
      <c r="I1080" s="1" t="str">
        <f t="shared" si="83"/>
        <v/>
      </c>
      <c r="J1080" s="1" t="str">
        <f>_xlfn.IFNA(INDEX([1]历练产出!$Z:$Z,MATCH(B1080,[1]历练产出!$AB:$AB,0)),"")</f>
        <v/>
      </c>
      <c r="K1080" s="1" t="str">
        <f>_xlfn.IFNA(INDEX([1]洞天福地产出!$H:$H,MATCH(B1080,[1]洞天福地产出!$K:$K,0)),"")</f>
        <v/>
      </c>
      <c r="L1080" s="1" t="str">
        <f t="shared" si="84"/>
        <v/>
      </c>
      <c r="M1080" s="4">
        <f t="shared" si="85"/>
        <v>0</v>
      </c>
    </row>
    <row r="1081" spans="1:13">
      <c r="A1081" s="4"/>
      <c r="B1081" t="str">
        <f t="shared" si="86"/>
        <v>7:23000114</v>
      </c>
      <c r="C1081" s="1">
        <v>7</v>
      </c>
      <c r="D1081" s="4">
        <v>23000114</v>
      </c>
      <c r="E1081" s="3" t="s">
        <v>1898</v>
      </c>
      <c r="F1081" s="3"/>
      <c r="G1081" s="1">
        <v>2515.05</v>
      </c>
      <c r="H1081" s="1">
        <f t="shared" si="82"/>
        <v>2515.05</v>
      </c>
      <c r="I1081" s="1" t="str">
        <f t="shared" si="83"/>
        <v/>
      </c>
      <c r="J1081" s="1" t="str">
        <f>_xlfn.IFNA(INDEX([1]历练产出!$Z:$Z,MATCH(B1081,[1]历练产出!$AB:$AB,0)),"")</f>
        <v/>
      </c>
      <c r="K1081" s="1" t="str">
        <f>_xlfn.IFNA(INDEX([1]洞天福地产出!$H:$H,MATCH(B1081,[1]洞天福地产出!$K:$K,0)),"")</f>
        <v/>
      </c>
      <c r="L1081" s="1" t="str">
        <f t="shared" si="84"/>
        <v/>
      </c>
      <c r="M1081" s="4">
        <f t="shared" si="85"/>
        <v>0</v>
      </c>
    </row>
    <row r="1082" spans="1:13">
      <c r="A1082" s="4"/>
      <c r="B1082" t="str">
        <f t="shared" si="86"/>
        <v>7:23000115</v>
      </c>
      <c r="C1082" s="1">
        <v>7</v>
      </c>
      <c r="D1082" s="4">
        <v>23000115</v>
      </c>
      <c r="E1082" s="3" t="s">
        <v>1898</v>
      </c>
      <c r="F1082" s="3"/>
      <c r="G1082" s="1">
        <v>2693.25</v>
      </c>
      <c r="H1082" s="1">
        <f t="shared" si="82"/>
        <v>2693.25</v>
      </c>
      <c r="I1082" s="1" t="str">
        <f t="shared" si="83"/>
        <v/>
      </c>
      <c r="J1082" s="1" t="str">
        <f>_xlfn.IFNA(INDEX([1]历练产出!$Z:$Z,MATCH(B1082,[1]历练产出!$AB:$AB,0)),"")</f>
        <v/>
      </c>
      <c r="K1082" s="1" t="str">
        <f>_xlfn.IFNA(INDEX([1]洞天福地产出!$H:$H,MATCH(B1082,[1]洞天福地产出!$K:$K,0)),"")</f>
        <v/>
      </c>
      <c r="L1082" s="1" t="str">
        <f t="shared" si="84"/>
        <v/>
      </c>
      <c r="M1082" s="4">
        <f t="shared" si="85"/>
        <v>0</v>
      </c>
    </row>
    <row r="1083" spans="1:13">
      <c r="A1083" s="4"/>
      <c r="B1083" t="str">
        <f t="shared" si="86"/>
        <v>7:23000116</v>
      </c>
      <c r="C1083" s="1">
        <v>7</v>
      </c>
      <c r="D1083" s="4">
        <v>23000116</v>
      </c>
      <c r="E1083" s="3" t="s">
        <v>1898</v>
      </c>
      <c r="F1083" s="3"/>
      <c r="G1083" s="1">
        <v>2883.6</v>
      </c>
      <c r="H1083" s="1">
        <f t="shared" si="82"/>
        <v>2883.6</v>
      </c>
      <c r="I1083" s="1" t="str">
        <f t="shared" si="83"/>
        <v/>
      </c>
      <c r="J1083" s="1" t="str">
        <f>_xlfn.IFNA(INDEX([1]历练产出!$Z:$Z,MATCH(B1083,[1]历练产出!$AB:$AB,0)),"")</f>
        <v/>
      </c>
      <c r="K1083" s="1" t="str">
        <f>_xlfn.IFNA(INDEX([1]洞天福地产出!$H:$H,MATCH(B1083,[1]洞天福地产出!$K:$K,0)),"")</f>
        <v/>
      </c>
      <c r="L1083" s="1" t="str">
        <f t="shared" si="84"/>
        <v/>
      </c>
      <c r="M1083" s="4">
        <f t="shared" si="85"/>
        <v>0</v>
      </c>
    </row>
    <row r="1084" spans="1:13">
      <c r="A1084" s="4"/>
      <c r="B1084" t="str">
        <f t="shared" si="86"/>
        <v>7:23000117</v>
      </c>
      <c r="C1084" s="1">
        <v>7</v>
      </c>
      <c r="D1084" s="4">
        <v>23000117</v>
      </c>
      <c r="E1084" s="3" t="s">
        <v>1898</v>
      </c>
      <c r="F1084" s="3"/>
      <c r="G1084" s="1">
        <v>3086.1</v>
      </c>
      <c r="H1084" s="1">
        <f t="shared" si="82"/>
        <v>3086.1</v>
      </c>
      <c r="I1084" s="1" t="str">
        <f t="shared" si="83"/>
        <v/>
      </c>
      <c r="J1084" s="1" t="str">
        <f>_xlfn.IFNA(INDEX([1]历练产出!$Z:$Z,MATCH(B1084,[1]历练产出!$AB:$AB,0)),"")</f>
        <v/>
      </c>
      <c r="K1084" s="1" t="str">
        <f>_xlfn.IFNA(INDEX([1]洞天福地产出!$H:$H,MATCH(B1084,[1]洞天福地产出!$K:$K,0)),"")</f>
        <v/>
      </c>
      <c r="L1084" s="1" t="str">
        <f t="shared" si="84"/>
        <v/>
      </c>
      <c r="M1084" s="4">
        <f t="shared" si="85"/>
        <v>0</v>
      </c>
    </row>
    <row r="1085" spans="1:13">
      <c r="A1085" s="4"/>
      <c r="B1085" t="str">
        <f t="shared" si="86"/>
        <v>7:23000118</v>
      </c>
      <c r="C1085" s="1">
        <v>7</v>
      </c>
      <c r="D1085" s="4">
        <v>23000118</v>
      </c>
      <c r="E1085" s="3" t="s">
        <v>1898</v>
      </c>
      <c r="F1085" s="3"/>
      <c r="G1085" s="1">
        <v>3300.75</v>
      </c>
      <c r="H1085" s="1">
        <f t="shared" si="82"/>
        <v>3300.75</v>
      </c>
      <c r="I1085" s="1" t="str">
        <f t="shared" si="83"/>
        <v/>
      </c>
      <c r="J1085" s="1" t="str">
        <f>_xlfn.IFNA(INDEX([1]历练产出!$Z:$Z,MATCH(B1085,[1]历练产出!$AB:$AB,0)),"")</f>
        <v/>
      </c>
      <c r="K1085" s="1" t="str">
        <f>_xlfn.IFNA(INDEX([1]洞天福地产出!$H:$H,MATCH(B1085,[1]洞天福地产出!$K:$K,0)),"")</f>
        <v/>
      </c>
      <c r="L1085" s="1" t="str">
        <f t="shared" si="84"/>
        <v/>
      </c>
      <c r="M1085" s="4">
        <f t="shared" si="85"/>
        <v>0</v>
      </c>
    </row>
    <row r="1086" spans="1:13">
      <c r="A1086" s="4"/>
      <c r="B1086" t="str">
        <f t="shared" si="86"/>
        <v>7:23000119</v>
      </c>
      <c r="C1086" s="1">
        <v>7</v>
      </c>
      <c r="D1086" s="4">
        <v>23000119</v>
      </c>
      <c r="E1086" s="3" t="s">
        <v>1898</v>
      </c>
      <c r="F1086" s="3"/>
      <c r="G1086" s="1">
        <v>4823.55</v>
      </c>
      <c r="H1086" s="1">
        <f t="shared" si="82"/>
        <v>4823.55</v>
      </c>
      <c r="I1086" s="1" t="str">
        <f t="shared" si="83"/>
        <v/>
      </c>
      <c r="J1086" s="1" t="str">
        <f>_xlfn.IFNA(INDEX([1]历练产出!$Z:$Z,MATCH(B1086,[1]历练产出!$AB:$AB,0)),"")</f>
        <v/>
      </c>
      <c r="K1086" s="1" t="str">
        <f>_xlfn.IFNA(INDEX([1]洞天福地产出!$H:$H,MATCH(B1086,[1]洞天福地产出!$K:$K,0)),"")</f>
        <v/>
      </c>
      <c r="L1086" s="1" t="str">
        <f t="shared" si="84"/>
        <v/>
      </c>
      <c r="M1086" s="4">
        <f t="shared" si="85"/>
        <v>0</v>
      </c>
    </row>
    <row r="1087" spans="1:13">
      <c r="A1087" s="4"/>
      <c r="B1087" t="str">
        <f t="shared" si="86"/>
        <v>7:23000120</v>
      </c>
      <c r="C1087" s="1">
        <v>7</v>
      </c>
      <c r="D1087" s="4">
        <v>23000120</v>
      </c>
      <c r="E1087" s="3" t="s">
        <v>1898</v>
      </c>
      <c r="F1087" s="3"/>
      <c r="G1087" s="1">
        <v>5062.5</v>
      </c>
      <c r="H1087" s="1">
        <f t="shared" si="82"/>
        <v>5062.5</v>
      </c>
      <c r="I1087" s="1" t="str">
        <f t="shared" si="83"/>
        <v/>
      </c>
      <c r="J1087" s="1" t="str">
        <f>_xlfn.IFNA(INDEX([1]历练产出!$Z:$Z,MATCH(B1087,[1]历练产出!$AB:$AB,0)),"")</f>
        <v/>
      </c>
      <c r="K1087" s="1" t="str">
        <f>_xlfn.IFNA(INDEX([1]洞天福地产出!$H:$H,MATCH(B1087,[1]洞天福地产出!$K:$K,0)),"")</f>
        <v/>
      </c>
      <c r="L1087" s="1" t="str">
        <f t="shared" si="84"/>
        <v/>
      </c>
      <c r="M1087" s="4">
        <f t="shared" si="85"/>
        <v>0</v>
      </c>
    </row>
    <row r="1088" spans="1:13">
      <c r="A1088" s="4"/>
      <c r="B1088" t="str">
        <f t="shared" si="86"/>
        <v>7:23000121</v>
      </c>
      <c r="C1088" s="1">
        <v>7</v>
      </c>
      <c r="D1088" s="4">
        <v>23000121</v>
      </c>
      <c r="E1088" s="3" t="s">
        <v>1898</v>
      </c>
      <c r="F1088" s="3"/>
      <c r="G1088" s="1">
        <v>5313.6</v>
      </c>
      <c r="H1088" s="1">
        <f t="shared" si="82"/>
        <v>5313.6</v>
      </c>
      <c r="I1088" s="1" t="str">
        <f t="shared" si="83"/>
        <v/>
      </c>
      <c r="J1088" s="1" t="str">
        <f>_xlfn.IFNA(INDEX([1]历练产出!$Z:$Z,MATCH(B1088,[1]历练产出!$AB:$AB,0)),"")</f>
        <v/>
      </c>
      <c r="K1088" s="1" t="str">
        <f>_xlfn.IFNA(INDEX([1]洞天福地产出!$H:$H,MATCH(B1088,[1]洞天福地产出!$K:$K,0)),"")</f>
        <v/>
      </c>
      <c r="L1088" s="1" t="str">
        <f t="shared" si="84"/>
        <v/>
      </c>
      <c r="M1088" s="4">
        <f t="shared" si="85"/>
        <v>0</v>
      </c>
    </row>
    <row r="1089" spans="1:13">
      <c r="A1089" s="4"/>
      <c r="B1089" t="str">
        <f t="shared" si="86"/>
        <v>7:23000122</v>
      </c>
      <c r="C1089" s="1">
        <v>7</v>
      </c>
      <c r="D1089" s="4">
        <v>23000122</v>
      </c>
      <c r="E1089" s="3" t="s">
        <v>1898</v>
      </c>
      <c r="F1089" s="3"/>
      <c r="G1089" s="1">
        <v>5576.85</v>
      </c>
      <c r="H1089" s="1">
        <f t="shared" si="82"/>
        <v>5576.85</v>
      </c>
      <c r="I1089" s="1" t="str">
        <f t="shared" si="83"/>
        <v/>
      </c>
      <c r="J1089" s="1" t="str">
        <f>_xlfn.IFNA(INDEX([1]历练产出!$Z:$Z,MATCH(B1089,[1]历练产出!$AB:$AB,0)),"")</f>
        <v/>
      </c>
      <c r="K1089" s="1" t="str">
        <f>_xlfn.IFNA(INDEX([1]洞天福地产出!$H:$H,MATCH(B1089,[1]洞天福地产出!$K:$K,0)),"")</f>
        <v/>
      </c>
      <c r="L1089" s="1" t="str">
        <f t="shared" si="84"/>
        <v/>
      </c>
      <c r="M1089" s="4">
        <f t="shared" si="85"/>
        <v>0</v>
      </c>
    </row>
    <row r="1090" spans="1:13">
      <c r="A1090" s="4"/>
      <c r="B1090" t="str">
        <f t="shared" si="86"/>
        <v>7:23000123</v>
      </c>
      <c r="C1090" s="1">
        <v>7</v>
      </c>
      <c r="D1090" s="4">
        <v>23000123</v>
      </c>
      <c r="E1090" s="3" t="s">
        <v>1898</v>
      </c>
      <c r="F1090" s="3"/>
      <c r="G1090" s="1">
        <v>5852.25</v>
      </c>
      <c r="H1090" s="1">
        <f t="shared" si="82"/>
        <v>5852.25</v>
      </c>
      <c r="I1090" s="1" t="str">
        <f t="shared" si="83"/>
        <v/>
      </c>
      <c r="J1090" s="1" t="str">
        <f>_xlfn.IFNA(INDEX([1]历练产出!$Z:$Z,MATCH(B1090,[1]历练产出!$AB:$AB,0)),"")</f>
        <v/>
      </c>
      <c r="K1090" s="1" t="str">
        <f>_xlfn.IFNA(INDEX([1]洞天福地产出!$H:$H,MATCH(B1090,[1]洞天福地产出!$K:$K,0)),"")</f>
        <v/>
      </c>
      <c r="L1090" s="1" t="str">
        <f t="shared" si="84"/>
        <v/>
      </c>
      <c r="M1090" s="4">
        <f t="shared" si="85"/>
        <v>0</v>
      </c>
    </row>
    <row r="1091" spans="1:13">
      <c r="A1091" s="4"/>
      <c r="B1091" t="str">
        <f t="shared" si="86"/>
        <v>7:23000124</v>
      </c>
      <c r="C1091" s="1">
        <v>7</v>
      </c>
      <c r="D1091" s="4">
        <v>23000124</v>
      </c>
      <c r="E1091" s="3" t="s">
        <v>1898</v>
      </c>
      <c r="F1091" s="3"/>
      <c r="G1091" s="1">
        <v>6139.8</v>
      </c>
      <c r="H1091" s="1">
        <f t="shared" si="82"/>
        <v>6139.8</v>
      </c>
      <c r="I1091" s="1" t="str">
        <f t="shared" si="83"/>
        <v/>
      </c>
      <c r="J1091" s="1" t="str">
        <f>_xlfn.IFNA(INDEX([1]历练产出!$Z:$Z,MATCH(B1091,[1]历练产出!$AB:$AB,0)),"")</f>
        <v/>
      </c>
      <c r="K1091" s="1" t="str">
        <f>_xlfn.IFNA(INDEX([1]洞天福地产出!$H:$H,MATCH(B1091,[1]洞天福地产出!$K:$K,0)),"")</f>
        <v/>
      </c>
      <c r="L1091" s="1" t="str">
        <f t="shared" si="84"/>
        <v/>
      </c>
      <c r="M1091" s="4">
        <f t="shared" si="85"/>
        <v>0</v>
      </c>
    </row>
    <row r="1092" spans="1:13">
      <c r="A1092" s="4"/>
      <c r="B1092" t="str">
        <f t="shared" si="86"/>
        <v>7:23000125</v>
      </c>
      <c r="C1092" s="1">
        <v>7</v>
      </c>
      <c r="D1092" s="4">
        <v>23000125</v>
      </c>
      <c r="E1092" s="3" t="s">
        <v>1898</v>
      </c>
      <c r="F1092" s="3"/>
      <c r="G1092" s="1">
        <v>6439.5</v>
      </c>
      <c r="H1092" s="1">
        <f t="shared" ref="H1092:H1155" si="87">IF(I1092="",G1092,I1092)</f>
        <v>6439.5</v>
      </c>
      <c r="I1092" s="1" t="str">
        <f t="shared" ref="I1092:I1155" si="88">IFERROR(100/L1092,"")</f>
        <v/>
      </c>
      <c r="J1092" s="1" t="str">
        <f>_xlfn.IFNA(INDEX([1]历练产出!$Z:$Z,MATCH(B1092,[1]历练产出!$AB:$AB,0)),"")</f>
        <v/>
      </c>
      <c r="K1092" s="1" t="str">
        <f>_xlfn.IFNA(INDEX([1]洞天福地产出!$H:$H,MATCH(B1092,[1]洞天福地产出!$K:$K,0)),"")</f>
        <v/>
      </c>
      <c r="L1092" s="1" t="str">
        <f t="shared" ref="L1092:L1155" si="89">IFERROR(J1092+K1092,"")</f>
        <v/>
      </c>
      <c r="M1092" s="4">
        <f t="shared" ref="M1092:M1155" si="90">IF(I1092="",0,1)</f>
        <v>0</v>
      </c>
    </row>
    <row r="1093" spans="1:13">
      <c r="A1093" s="4"/>
      <c r="B1093" t="str">
        <f t="shared" si="86"/>
        <v>7:23000126</v>
      </c>
      <c r="C1093" s="1">
        <v>7</v>
      </c>
      <c r="D1093" s="4">
        <v>23000126</v>
      </c>
      <c r="E1093" s="3" t="s">
        <v>1898</v>
      </c>
      <c r="F1093" s="3"/>
      <c r="G1093" s="1">
        <v>6751.35</v>
      </c>
      <c r="H1093" s="1">
        <f t="shared" si="87"/>
        <v>6751.35</v>
      </c>
      <c r="I1093" s="1" t="str">
        <f t="shared" si="88"/>
        <v/>
      </c>
      <c r="J1093" s="1" t="str">
        <f>_xlfn.IFNA(INDEX([1]历练产出!$Z:$Z,MATCH(B1093,[1]历练产出!$AB:$AB,0)),"")</f>
        <v/>
      </c>
      <c r="K1093" s="1" t="str">
        <f>_xlfn.IFNA(INDEX([1]洞天福地产出!$H:$H,MATCH(B1093,[1]洞天福地产出!$K:$K,0)),"")</f>
        <v/>
      </c>
      <c r="L1093" s="1" t="str">
        <f t="shared" si="89"/>
        <v/>
      </c>
      <c r="M1093" s="4">
        <f t="shared" si="90"/>
        <v>0</v>
      </c>
    </row>
    <row r="1094" spans="1:13">
      <c r="A1094" s="4"/>
      <c r="B1094" t="str">
        <f t="shared" si="86"/>
        <v>7:23000127</v>
      </c>
      <c r="C1094" s="1">
        <v>7</v>
      </c>
      <c r="D1094" s="4">
        <v>23000127</v>
      </c>
      <c r="E1094" s="3" t="s">
        <v>1898</v>
      </c>
      <c r="F1094" s="3"/>
      <c r="G1094" s="1">
        <v>7075.35</v>
      </c>
      <c r="H1094" s="1">
        <f t="shared" si="87"/>
        <v>7075.35</v>
      </c>
      <c r="I1094" s="1" t="str">
        <f t="shared" si="88"/>
        <v/>
      </c>
      <c r="J1094" s="1" t="str">
        <f>_xlfn.IFNA(INDEX([1]历练产出!$Z:$Z,MATCH(B1094,[1]历练产出!$AB:$AB,0)),"")</f>
        <v/>
      </c>
      <c r="K1094" s="1" t="str">
        <f>_xlfn.IFNA(INDEX([1]洞天福地产出!$H:$H,MATCH(B1094,[1]洞天福地产出!$K:$K,0)),"")</f>
        <v/>
      </c>
      <c r="L1094" s="1" t="str">
        <f t="shared" si="89"/>
        <v/>
      </c>
      <c r="M1094" s="4">
        <f t="shared" si="90"/>
        <v>0</v>
      </c>
    </row>
    <row r="1095" spans="1:13">
      <c r="A1095" s="4"/>
      <c r="B1095" t="str">
        <f t="shared" si="86"/>
        <v>7:23000128</v>
      </c>
      <c r="C1095" s="1">
        <v>7</v>
      </c>
      <c r="D1095" s="4">
        <v>23000128</v>
      </c>
      <c r="E1095" s="3" t="s">
        <v>1898</v>
      </c>
      <c r="F1095" s="3"/>
      <c r="G1095" s="1">
        <v>7411.5</v>
      </c>
      <c r="H1095" s="1">
        <f t="shared" si="87"/>
        <v>7411.5</v>
      </c>
      <c r="I1095" s="1" t="str">
        <f t="shared" si="88"/>
        <v/>
      </c>
      <c r="J1095" s="1" t="str">
        <f>_xlfn.IFNA(INDEX([1]历练产出!$Z:$Z,MATCH(B1095,[1]历练产出!$AB:$AB,0)),"")</f>
        <v/>
      </c>
      <c r="K1095" s="1" t="str">
        <f>_xlfn.IFNA(INDEX([1]洞天福地产出!$H:$H,MATCH(B1095,[1]洞天福地产出!$K:$K,0)),"")</f>
        <v/>
      </c>
      <c r="L1095" s="1" t="str">
        <f t="shared" si="89"/>
        <v/>
      </c>
      <c r="M1095" s="4">
        <f t="shared" si="90"/>
        <v>0</v>
      </c>
    </row>
    <row r="1096" spans="1:13">
      <c r="A1096" s="4"/>
      <c r="B1096" t="str">
        <f t="shared" si="86"/>
        <v>7:23000129</v>
      </c>
      <c r="C1096" s="1">
        <v>7</v>
      </c>
      <c r="D1096" s="4">
        <v>23000129</v>
      </c>
      <c r="E1096" s="3" t="s">
        <v>1898</v>
      </c>
      <c r="F1096" s="3"/>
      <c r="G1096" s="1">
        <v>9703.8</v>
      </c>
      <c r="H1096" s="1">
        <f t="shared" si="87"/>
        <v>9703.8</v>
      </c>
      <c r="I1096" s="1" t="str">
        <f t="shared" si="88"/>
        <v/>
      </c>
      <c r="J1096" s="1" t="str">
        <f>_xlfn.IFNA(INDEX([1]历练产出!$Z:$Z,MATCH(B1096,[1]历练产出!$AB:$AB,0)),"")</f>
        <v/>
      </c>
      <c r="K1096" s="1" t="str">
        <f>_xlfn.IFNA(INDEX([1]洞天福地产出!$H:$H,MATCH(B1096,[1]洞天福地产出!$K:$K,0)),"")</f>
        <v/>
      </c>
      <c r="L1096" s="1" t="str">
        <f t="shared" si="89"/>
        <v/>
      </c>
      <c r="M1096" s="4">
        <f t="shared" si="90"/>
        <v>0</v>
      </c>
    </row>
    <row r="1097" spans="1:13">
      <c r="A1097" s="4"/>
      <c r="B1097" t="str">
        <f t="shared" si="86"/>
        <v>7:23000130</v>
      </c>
      <c r="C1097" s="1">
        <v>7</v>
      </c>
      <c r="D1097" s="4">
        <v>23000130</v>
      </c>
      <c r="E1097" s="3" t="s">
        <v>1898</v>
      </c>
      <c r="F1097" s="3"/>
      <c r="G1097" s="1">
        <v>10052.1</v>
      </c>
      <c r="H1097" s="1">
        <f t="shared" si="87"/>
        <v>10052.1</v>
      </c>
      <c r="I1097" s="1" t="str">
        <f t="shared" si="88"/>
        <v/>
      </c>
      <c r="J1097" s="1" t="str">
        <f>_xlfn.IFNA(INDEX([1]历练产出!$Z:$Z,MATCH(B1097,[1]历练产出!$AB:$AB,0)),"")</f>
        <v/>
      </c>
      <c r="K1097" s="1" t="str">
        <f>_xlfn.IFNA(INDEX([1]洞天福地产出!$H:$H,MATCH(B1097,[1]洞天福地产出!$K:$K,0)),"")</f>
        <v/>
      </c>
      <c r="L1097" s="1" t="str">
        <f t="shared" si="89"/>
        <v/>
      </c>
      <c r="M1097" s="4">
        <f t="shared" si="90"/>
        <v>0</v>
      </c>
    </row>
    <row r="1098" ht="30" spans="1:13">
      <c r="A1098" s="4"/>
      <c r="B1098" t="str">
        <f t="shared" si="86"/>
        <v>7:24000101</v>
      </c>
      <c r="C1098" s="1">
        <v>7</v>
      </c>
      <c r="D1098" s="4">
        <v>24000101</v>
      </c>
      <c r="E1098" s="3" t="s">
        <v>1899</v>
      </c>
      <c r="F1098" s="3"/>
      <c r="G1098" s="1">
        <v>656.1</v>
      </c>
      <c r="H1098" s="1">
        <f t="shared" si="87"/>
        <v>656.1</v>
      </c>
      <c r="I1098" s="1" t="str">
        <f t="shared" si="88"/>
        <v/>
      </c>
      <c r="J1098" s="1" t="str">
        <f>_xlfn.IFNA(INDEX([1]历练产出!$Z:$Z,MATCH(B1098,[1]历练产出!$AB:$AB,0)),"")</f>
        <v/>
      </c>
      <c r="K1098" s="1" t="str">
        <f>_xlfn.IFNA(INDEX([1]洞天福地产出!$H:$H,MATCH(B1098,[1]洞天福地产出!$K:$K,0)),"")</f>
        <v/>
      </c>
      <c r="L1098" s="1" t="str">
        <f t="shared" si="89"/>
        <v/>
      </c>
      <c r="M1098" s="4">
        <f t="shared" si="90"/>
        <v>0</v>
      </c>
    </row>
    <row r="1099" ht="30" spans="1:13">
      <c r="A1099" s="4"/>
      <c r="B1099" t="str">
        <f t="shared" si="86"/>
        <v>7:24000102</v>
      </c>
      <c r="C1099" s="1">
        <v>7</v>
      </c>
      <c r="D1099" s="4">
        <v>24000102</v>
      </c>
      <c r="E1099" s="3" t="s">
        <v>1899</v>
      </c>
      <c r="F1099" s="3"/>
      <c r="G1099" s="1">
        <v>676.35</v>
      </c>
      <c r="H1099" s="1">
        <f t="shared" si="87"/>
        <v>676.35</v>
      </c>
      <c r="I1099" s="1" t="str">
        <f t="shared" si="88"/>
        <v/>
      </c>
      <c r="J1099" s="1" t="str">
        <f>_xlfn.IFNA(INDEX([1]历练产出!$Z:$Z,MATCH(B1099,[1]历练产出!$AB:$AB,0)),"")</f>
        <v/>
      </c>
      <c r="K1099" s="1" t="str">
        <f>_xlfn.IFNA(INDEX([1]洞天福地产出!$H:$H,MATCH(B1099,[1]洞天福地产出!$K:$K,0)),"")</f>
        <v/>
      </c>
      <c r="L1099" s="1" t="str">
        <f t="shared" si="89"/>
        <v/>
      </c>
      <c r="M1099" s="4">
        <f t="shared" si="90"/>
        <v>0</v>
      </c>
    </row>
    <row r="1100" ht="30" spans="1:13">
      <c r="A1100" s="4"/>
      <c r="B1100" t="str">
        <f t="shared" si="86"/>
        <v>7:24000103</v>
      </c>
      <c r="C1100" s="1">
        <v>7</v>
      </c>
      <c r="D1100" s="4">
        <v>24000103</v>
      </c>
      <c r="E1100" s="3" t="s">
        <v>1899</v>
      </c>
      <c r="F1100" s="3"/>
      <c r="G1100" s="1">
        <v>708.75</v>
      </c>
      <c r="H1100" s="1">
        <f t="shared" si="87"/>
        <v>708.75</v>
      </c>
      <c r="I1100" s="1" t="str">
        <f t="shared" si="88"/>
        <v/>
      </c>
      <c r="J1100" s="1" t="str">
        <f>_xlfn.IFNA(INDEX([1]历练产出!$Z:$Z,MATCH(B1100,[1]历练产出!$AB:$AB,0)),"")</f>
        <v/>
      </c>
      <c r="K1100" s="1" t="str">
        <f>_xlfn.IFNA(INDEX([1]洞天福地产出!$H:$H,MATCH(B1100,[1]洞天福地产出!$K:$K,0)),"")</f>
        <v/>
      </c>
      <c r="L1100" s="1" t="str">
        <f t="shared" si="89"/>
        <v/>
      </c>
      <c r="M1100" s="4">
        <f t="shared" si="90"/>
        <v>0</v>
      </c>
    </row>
    <row r="1101" ht="30" spans="1:13">
      <c r="A1101" s="4"/>
      <c r="B1101" t="str">
        <f t="shared" si="86"/>
        <v>7:24000104</v>
      </c>
      <c r="C1101" s="1">
        <v>7</v>
      </c>
      <c r="D1101" s="4">
        <v>24000104</v>
      </c>
      <c r="E1101" s="3" t="s">
        <v>1899</v>
      </c>
      <c r="F1101" s="3"/>
      <c r="G1101" s="1">
        <v>753.3</v>
      </c>
      <c r="H1101" s="1">
        <f t="shared" si="87"/>
        <v>753.3</v>
      </c>
      <c r="I1101" s="1" t="str">
        <f t="shared" si="88"/>
        <v/>
      </c>
      <c r="J1101" s="1" t="str">
        <f>_xlfn.IFNA(INDEX([1]历练产出!$Z:$Z,MATCH(B1101,[1]历练产出!$AB:$AB,0)),"")</f>
        <v/>
      </c>
      <c r="K1101" s="1" t="str">
        <f>_xlfn.IFNA(INDEX([1]洞天福地产出!$H:$H,MATCH(B1101,[1]洞天福地产出!$K:$K,0)),"")</f>
        <v/>
      </c>
      <c r="L1101" s="1" t="str">
        <f t="shared" si="89"/>
        <v/>
      </c>
      <c r="M1101" s="4">
        <f t="shared" si="90"/>
        <v>0</v>
      </c>
    </row>
    <row r="1102" ht="30" spans="1:13">
      <c r="A1102" s="4"/>
      <c r="B1102" t="str">
        <f t="shared" si="86"/>
        <v>7:24000105</v>
      </c>
      <c r="C1102" s="1">
        <v>7</v>
      </c>
      <c r="D1102" s="4">
        <v>24000105</v>
      </c>
      <c r="E1102" s="3" t="s">
        <v>1899</v>
      </c>
      <c r="F1102" s="3"/>
      <c r="G1102" s="1">
        <v>810</v>
      </c>
      <c r="H1102" s="1">
        <f t="shared" si="87"/>
        <v>810</v>
      </c>
      <c r="I1102" s="1" t="str">
        <f t="shared" si="88"/>
        <v/>
      </c>
      <c r="J1102" s="1" t="str">
        <f>_xlfn.IFNA(INDEX([1]历练产出!$Z:$Z,MATCH(B1102,[1]历练产出!$AB:$AB,0)),"")</f>
        <v/>
      </c>
      <c r="K1102" s="1" t="str">
        <f>_xlfn.IFNA(INDEX([1]洞天福地产出!$H:$H,MATCH(B1102,[1]洞天福地产出!$K:$K,0)),"")</f>
        <v/>
      </c>
      <c r="L1102" s="1" t="str">
        <f t="shared" si="89"/>
        <v/>
      </c>
      <c r="M1102" s="4">
        <f t="shared" si="90"/>
        <v>0</v>
      </c>
    </row>
    <row r="1103" ht="30" spans="1:13">
      <c r="A1103" s="4"/>
      <c r="B1103" t="str">
        <f t="shared" si="86"/>
        <v>7:24000106</v>
      </c>
      <c r="C1103" s="1">
        <v>7</v>
      </c>
      <c r="D1103" s="4">
        <v>24000106</v>
      </c>
      <c r="E1103" s="3" t="s">
        <v>1899</v>
      </c>
      <c r="F1103" s="3"/>
      <c r="G1103" s="1">
        <v>878.85</v>
      </c>
      <c r="H1103" s="1">
        <f t="shared" si="87"/>
        <v>878.85</v>
      </c>
      <c r="I1103" s="1" t="str">
        <f t="shared" si="88"/>
        <v/>
      </c>
      <c r="J1103" s="1" t="str">
        <f>_xlfn.IFNA(INDEX([1]历练产出!$Z:$Z,MATCH(B1103,[1]历练产出!$AB:$AB,0)),"")</f>
        <v/>
      </c>
      <c r="K1103" s="1" t="str">
        <f>_xlfn.IFNA(INDEX([1]洞天福地产出!$H:$H,MATCH(B1103,[1]洞天福地产出!$K:$K,0)),"")</f>
        <v/>
      </c>
      <c r="L1103" s="1" t="str">
        <f t="shared" si="89"/>
        <v/>
      </c>
      <c r="M1103" s="4">
        <f t="shared" si="90"/>
        <v>0</v>
      </c>
    </row>
    <row r="1104" ht="30" spans="1:13">
      <c r="A1104" s="4"/>
      <c r="B1104" t="str">
        <f t="shared" si="86"/>
        <v>7:24000107</v>
      </c>
      <c r="C1104" s="1">
        <v>7</v>
      </c>
      <c r="D1104" s="4">
        <v>24000107</v>
      </c>
      <c r="E1104" s="3" t="s">
        <v>1899</v>
      </c>
      <c r="F1104" s="3"/>
      <c r="G1104" s="1">
        <v>959.85</v>
      </c>
      <c r="H1104" s="1">
        <f t="shared" si="87"/>
        <v>959.85</v>
      </c>
      <c r="I1104" s="1" t="str">
        <f t="shared" si="88"/>
        <v/>
      </c>
      <c r="J1104" s="1" t="str">
        <f>_xlfn.IFNA(INDEX([1]历练产出!$Z:$Z,MATCH(B1104,[1]历练产出!$AB:$AB,0)),"")</f>
        <v/>
      </c>
      <c r="K1104" s="1" t="str">
        <f>_xlfn.IFNA(INDEX([1]洞天福地产出!$H:$H,MATCH(B1104,[1]洞天福地产出!$K:$K,0)),"")</f>
        <v/>
      </c>
      <c r="L1104" s="1" t="str">
        <f t="shared" si="89"/>
        <v/>
      </c>
      <c r="M1104" s="4">
        <f t="shared" si="90"/>
        <v>0</v>
      </c>
    </row>
    <row r="1105" ht="30" spans="1:13">
      <c r="A1105" s="4"/>
      <c r="B1105" t="str">
        <f t="shared" si="86"/>
        <v>7:24000108</v>
      </c>
      <c r="C1105" s="1">
        <v>7</v>
      </c>
      <c r="D1105" s="4">
        <v>24000108</v>
      </c>
      <c r="E1105" s="3" t="s">
        <v>1899</v>
      </c>
      <c r="F1105" s="3"/>
      <c r="G1105" s="1">
        <v>1053</v>
      </c>
      <c r="H1105" s="1">
        <f t="shared" si="87"/>
        <v>1053</v>
      </c>
      <c r="I1105" s="1" t="str">
        <f t="shared" si="88"/>
        <v/>
      </c>
      <c r="J1105" s="1" t="str">
        <f>_xlfn.IFNA(INDEX([1]历练产出!$Z:$Z,MATCH(B1105,[1]历练产出!$AB:$AB,0)),"")</f>
        <v/>
      </c>
      <c r="K1105" s="1" t="str">
        <f>_xlfn.IFNA(INDEX([1]洞天福地产出!$H:$H,MATCH(B1105,[1]洞天福地产出!$K:$K,0)),"")</f>
        <v/>
      </c>
      <c r="L1105" s="1" t="str">
        <f t="shared" si="89"/>
        <v/>
      </c>
      <c r="M1105" s="4">
        <f t="shared" si="90"/>
        <v>0</v>
      </c>
    </row>
    <row r="1106" ht="30" spans="1:13">
      <c r="A1106" s="4"/>
      <c r="B1106" t="str">
        <f t="shared" si="86"/>
        <v>7:24000109</v>
      </c>
      <c r="C1106" s="1">
        <v>7</v>
      </c>
      <c r="D1106" s="4">
        <v>24000109</v>
      </c>
      <c r="E1106" s="3" t="s">
        <v>1899</v>
      </c>
      <c r="F1106" s="3"/>
      <c r="G1106" s="1">
        <v>1806.3</v>
      </c>
      <c r="H1106" s="1">
        <f t="shared" si="87"/>
        <v>1806.3</v>
      </c>
      <c r="I1106" s="1" t="str">
        <f t="shared" si="88"/>
        <v/>
      </c>
      <c r="J1106" s="1" t="str">
        <f>_xlfn.IFNA(INDEX([1]历练产出!$Z:$Z,MATCH(B1106,[1]历练产出!$AB:$AB,0)),"")</f>
        <v/>
      </c>
      <c r="K1106" s="1" t="str">
        <f>_xlfn.IFNA(INDEX([1]洞天福地产出!$H:$H,MATCH(B1106,[1]洞天福地产出!$K:$K,0)),"")</f>
        <v/>
      </c>
      <c r="L1106" s="1" t="str">
        <f t="shared" si="89"/>
        <v/>
      </c>
      <c r="M1106" s="4">
        <f t="shared" si="90"/>
        <v>0</v>
      </c>
    </row>
    <row r="1107" ht="30" spans="1:13">
      <c r="A1107" s="4"/>
      <c r="B1107" t="str">
        <f t="shared" si="86"/>
        <v>7:24000110</v>
      </c>
      <c r="C1107" s="1">
        <v>7</v>
      </c>
      <c r="D1107" s="4">
        <v>24000110</v>
      </c>
      <c r="E1107" s="3" t="s">
        <v>1899</v>
      </c>
      <c r="F1107" s="3"/>
      <c r="G1107" s="1">
        <v>1923.75</v>
      </c>
      <c r="H1107" s="1">
        <f t="shared" si="87"/>
        <v>1923.75</v>
      </c>
      <c r="I1107" s="1" t="str">
        <f t="shared" si="88"/>
        <v/>
      </c>
      <c r="J1107" s="1" t="str">
        <f>_xlfn.IFNA(INDEX([1]历练产出!$Z:$Z,MATCH(B1107,[1]历练产出!$AB:$AB,0)),"")</f>
        <v/>
      </c>
      <c r="K1107" s="1" t="str">
        <f>_xlfn.IFNA(INDEX([1]洞天福地产出!$H:$H,MATCH(B1107,[1]洞天福地产出!$K:$K,0)),"")</f>
        <v/>
      </c>
      <c r="L1107" s="1" t="str">
        <f t="shared" si="89"/>
        <v/>
      </c>
      <c r="M1107" s="4">
        <f t="shared" si="90"/>
        <v>0</v>
      </c>
    </row>
    <row r="1108" ht="30" spans="1:13">
      <c r="A1108" s="4"/>
      <c r="B1108" t="str">
        <f t="shared" si="86"/>
        <v>7:24000111</v>
      </c>
      <c r="C1108" s="1">
        <v>7</v>
      </c>
      <c r="D1108" s="4">
        <v>24000111</v>
      </c>
      <c r="E1108" s="3" t="s">
        <v>1899</v>
      </c>
      <c r="F1108" s="3"/>
      <c r="G1108" s="1">
        <v>2053.35</v>
      </c>
      <c r="H1108" s="1">
        <f t="shared" si="87"/>
        <v>2053.35</v>
      </c>
      <c r="I1108" s="1" t="str">
        <f t="shared" si="88"/>
        <v/>
      </c>
      <c r="J1108" s="1" t="str">
        <f>_xlfn.IFNA(INDEX([1]历练产出!$Z:$Z,MATCH(B1108,[1]历练产出!$AB:$AB,0)),"")</f>
        <v/>
      </c>
      <c r="K1108" s="1" t="str">
        <f>_xlfn.IFNA(INDEX([1]洞天福地产出!$H:$H,MATCH(B1108,[1]洞天福地产出!$K:$K,0)),"")</f>
        <v/>
      </c>
      <c r="L1108" s="1" t="str">
        <f t="shared" si="89"/>
        <v/>
      </c>
      <c r="M1108" s="4">
        <f t="shared" si="90"/>
        <v>0</v>
      </c>
    </row>
    <row r="1109" ht="30" spans="1:13">
      <c r="A1109" s="4"/>
      <c r="B1109" t="str">
        <f t="shared" si="86"/>
        <v>7:24000112</v>
      </c>
      <c r="C1109" s="1">
        <v>7</v>
      </c>
      <c r="D1109" s="4">
        <v>24000112</v>
      </c>
      <c r="E1109" s="3" t="s">
        <v>1899</v>
      </c>
      <c r="F1109" s="3"/>
      <c r="G1109" s="1">
        <v>2195.1</v>
      </c>
      <c r="H1109" s="1">
        <f t="shared" si="87"/>
        <v>2195.1</v>
      </c>
      <c r="I1109" s="1" t="str">
        <f t="shared" si="88"/>
        <v/>
      </c>
      <c r="J1109" s="1" t="str">
        <f>_xlfn.IFNA(INDEX([1]历练产出!$Z:$Z,MATCH(B1109,[1]历练产出!$AB:$AB,0)),"")</f>
        <v/>
      </c>
      <c r="K1109" s="1" t="str">
        <f>_xlfn.IFNA(INDEX([1]洞天福地产出!$H:$H,MATCH(B1109,[1]洞天福地产出!$K:$K,0)),"")</f>
        <v/>
      </c>
      <c r="L1109" s="1" t="str">
        <f t="shared" si="89"/>
        <v/>
      </c>
      <c r="M1109" s="4">
        <f t="shared" si="90"/>
        <v>0</v>
      </c>
    </row>
    <row r="1110" ht="30" spans="1:13">
      <c r="A1110" s="4"/>
      <c r="B1110" t="str">
        <f t="shared" si="86"/>
        <v>7:24000113</v>
      </c>
      <c r="C1110" s="1">
        <v>7</v>
      </c>
      <c r="D1110" s="4">
        <v>24000113</v>
      </c>
      <c r="E1110" s="3" t="s">
        <v>1899</v>
      </c>
      <c r="F1110" s="3"/>
      <c r="G1110" s="1">
        <v>2349</v>
      </c>
      <c r="H1110" s="1">
        <f t="shared" si="87"/>
        <v>2349</v>
      </c>
      <c r="I1110" s="1" t="str">
        <f t="shared" si="88"/>
        <v/>
      </c>
      <c r="J1110" s="1" t="str">
        <f>_xlfn.IFNA(INDEX([1]历练产出!$Z:$Z,MATCH(B1110,[1]历练产出!$AB:$AB,0)),"")</f>
        <v/>
      </c>
      <c r="K1110" s="1" t="str">
        <f>_xlfn.IFNA(INDEX([1]洞天福地产出!$H:$H,MATCH(B1110,[1]洞天福地产出!$K:$K,0)),"")</f>
        <v/>
      </c>
      <c r="L1110" s="1" t="str">
        <f t="shared" si="89"/>
        <v/>
      </c>
      <c r="M1110" s="4">
        <f t="shared" si="90"/>
        <v>0</v>
      </c>
    </row>
    <row r="1111" ht="30" spans="1:13">
      <c r="A1111" s="4"/>
      <c r="B1111" t="str">
        <f t="shared" si="86"/>
        <v>7:24000114</v>
      </c>
      <c r="C1111" s="1">
        <v>7</v>
      </c>
      <c r="D1111" s="4">
        <v>24000114</v>
      </c>
      <c r="E1111" s="3" t="s">
        <v>1899</v>
      </c>
      <c r="F1111" s="3"/>
      <c r="G1111" s="1">
        <v>2515.05</v>
      </c>
      <c r="H1111" s="1">
        <f t="shared" si="87"/>
        <v>2515.05</v>
      </c>
      <c r="I1111" s="1" t="str">
        <f t="shared" si="88"/>
        <v/>
      </c>
      <c r="J1111" s="1" t="str">
        <f>_xlfn.IFNA(INDEX([1]历练产出!$Z:$Z,MATCH(B1111,[1]历练产出!$AB:$AB,0)),"")</f>
        <v/>
      </c>
      <c r="K1111" s="1" t="str">
        <f>_xlfn.IFNA(INDEX([1]洞天福地产出!$H:$H,MATCH(B1111,[1]洞天福地产出!$K:$K,0)),"")</f>
        <v/>
      </c>
      <c r="L1111" s="1" t="str">
        <f t="shared" si="89"/>
        <v/>
      </c>
      <c r="M1111" s="4">
        <f t="shared" si="90"/>
        <v>0</v>
      </c>
    </row>
    <row r="1112" ht="30" spans="1:13">
      <c r="A1112" s="4"/>
      <c r="B1112" t="str">
        <f t="shared" si="86"/>
        <v>7:24000115</v>
      </c>
      <c r="C1112" s="1">
        <v>7</v>
      </c>
      <c r="D1112" s="4">
        <v>24000115</v>
      </c>
      <c r="E1112" s="3" t="s">
        <v>1899</v>
      </c>
      <c r="F1112" s="3"/>
      <c r="G1112" s="1">
        <v>2693.25</v>
      </c>
      <c r="H1112" s="1">
        <f t="shared" si="87"/>
        <v>2693.25</v>
      </c>
      <c r="I1112" s="1" t="str">
        <f t="shared" si="88"/>
        <v/>
      </c>
      <c r="J1112" s="1" t="str">
        <f>_xlfn.IFNA(INDEX([1]历练产出!$Z:$Z,MATCH(B1112,[1]历练产出!$AB:$AB,0)),"")</f>
        <v/>
      </c>
      <c r="K1112" s="1" t="str">
        <f>_xlfn.IFNA(INDEX([1]洞天福地产出!$H:$H,MATCH(B1112,[1]洞天福地产出!$K:$K,0)),"")</f>
        <v/>
      </c>
      <c r="L1112" s="1" t="str">
        <f t="shared" si="89"/>
        <v/>
      </c>
      <c r="M1112" s="4">
        <f t="shared" si="90"/>
        <v>0</v>
      </c>
    </row>
    <row r="1113" ht="30" spans="1:13">
      <c r="A1113" s="4"/>
      <c r="B1113" t="str">
        <f t="shared" si="86"/>
        <v>7:24000116</v>
      </c>
      <c r="C1113" s="1">
        <v>7</v>
      </c>
      <c r="D1113" s="4">
        <v>24000116</v>
      </c>
      <c r="E1113" s="3" t="s">
        <v>1899</v>
      </c>
      <c r="F1113" s="3"/>
      <c r="G1113" s="1">
        <v>2883.6</v>
      </c>
      <c r="H1113" s="1">
        <f t="shared" si="87"/>
        <v>2883.6</v>
      </c>
      <c r="I1113" s="1" t="str">
        <f t="shared" si="88"/>
        <v/>
      </c>
      <c r="J1113" s="1" t="str">
        <f>_xlfn.IFNA(INDEX([1]历练产出!$Z:$Z,MATCH(B1113,[1]历练产出!$AB:$AB,0)),"")</f>
        <v/>
      </c>
      <c r="K1113" s="1" t="str">
        <f>_xlfn.IFNA(INDEX([1]洞天福地产出!$H:$H,MATCH(B1113,[1]洞天福地产出!$K:$K,0)),"")</f>
        <v/>
      </c>
      <c r="L1113" s="1" t="str">
        <f t="shared" si="89"/>
        <v/>
      </c>
      <c r="M1113" s="4">
        <f t="shared" si="90"/>
        <v>0</v>
      </c>
    </row>
    <row r="1114" ht="30" spans="1:13">
      <c r="A1114" s="4"/>
      <c r="B1114" t="str">
        <f t="shared" si="86"/>
        <v>7:24000117</v>
      </c>
      <c r="C1114" s="1">
        <v>7</v>
      </c>
      <c r="D1114" s="4">
        <v>24000117</v>
      </c>
      <c r="E1114" s="3" t="s">
        <v>1899</v>
      </c>
      <c r="F1114" s="3"/>
      <c r="G1114" s="1">
        <v>3086.1</v>
      </c>
      <c r="H1114" s="1">
        <f t="shared" si="87"/>
        <v>3086.1</v>
      </c>
      <c r="I1114" s="1" t="str">
        <f t="shared" si="88"/>
        <v/>
      </c>
      <c r="J1114" s="1" t="str">
        <f>_xlfn.IFNA(INDEX([1]历练产出!$Z:$Z,MATCH(B1114,[1]历练产出!$AB:$AB,0)),"")</f>
        <v/>
      </c>
      <c r="K1114" s="1" t="str">
        <f>_xlfn.IFNA(INDEX([1]洞天福地产出!$H:$H,MATCH(B1114,[1]洞天福地产出!$K:$K,0)),"")</f>
        <v/>
      </c>
      <c r="L1114" s="1" t="str">
        <f t="shared" si="89"/>
        <v/>
      </c>
      <c r="M1114" s="4">
        <f t="shared" si="90"/>
        <v>0</v>
      </c>
    </row>
    <row r="1115" ht="30" spans="1:13">
      <c r="A1115" s="4"/>
      <c r="B1115" t="str">
        <f t="shared" si="86"/>
        <v>7:24000118</v>
      </c>
      <c r="C1115" s="1">
        <v>7</v>
      </c>
      <c r="D1115" s="4">
        <v>24000118</v>
      </c>
      <c r="E1115" s="3" t="s">
        <v>1899</v>
      </c>
      <c r="F1115" s="3"/>
      <c r="G1115" s="1">
        <v>3300.75</v>
      </c>
      <c r="H1115" s="1">
        <f t="shared" si="87"/>
        <v>3300.75</v>
      </c>
      <c r="I1115" s="1" t="str">
        <f t="shared" si="88"/>
        <v/>
      </c>
      <c r="J1115" s="1" t="str">
        <f>_xlfn.IFNA(INDEX([1]历练产出!$Z:$Z,MATCH(B1115,[1]历练产出!$AB:$AB,0)),"")</f>
        <v/>
      </c>
      <c r="K1115" s="1" t="str">
        <f>_xlfn.IFNA(INDEX([1]洞天福地产出!$H:$H,MATCH(B1115,[1]洞天福地产出!$K:$K,0)),"")</f>
        <v/>
      </c>
      <c r="L1115" s="1" t="str">
        <f t="shared" si="89"/>
        <v/>
      </c>
      <c r="M1115" s="4">
        <f t="shared" si="90"/>
        <v>0</v>
      </c>
    </row>
    <row r="1116" ht="30" spans="1:13">
      <c r="A1116" s="4"/>
      <c r="B1116" t="str">
        <f t="shared" si="86"/>
        <v>7:24000119</v>
      </c>
      <c r="C1116" s="1">
        <v>7</v>
      </c>
      <c r="D1116" s="4">
        <v>24000119</v>
      </c>
      <c r="E1116" s="3" t="s">
        <v>1899</v>
      </c>
      <c r="F1116" s="3"/>
      <c r="G1116" s="1">
        <v>4823.55</v>
      </c>
      <c r="H1116" s="1">
        <f t="shared" si="87"/>
        <v>4823.55</v>
      </c>
      <c r="I1116" s="1" t="str">
        <f t="shared" si="88"/>
        <v/>
      </c>
      <c r="J1116" s="1" t="str">
        <f>_xlfn.IFNA(INDEX([1]历练产出!$Z:$Z,MATCH(B1116,[1]历练产出!$AB:$AB,0)),"")</f>
        <v/>
      </c>
      <c r="K1116" s="1" t="str">
        <f>_xlfn.IFNA(INDEX([1]洞天福地产出!$H:$H,MATCH(B1116,[1]洞天福地产出!$K:$K,0)),"")</f>
        <v/>
      </c>
      <c r="L1116" s="1" t="str">
        <f t="shared" si="89"/>
        <v/>
      </c>
      <c r="M1116" s="4">
        <f t="shared" si="90"/>
        <v>0</v>
      </c>
    </row>
    <row r="1117" ht="30" spans="1:13">
      <c r="A1117" s="4"/>
      <c r="B1117" t="str">
        <f t="shared" si="86"/>
        <v>7:24000120</v>
      </c>
      <c r="C1117" s="1">
        <v>7</v>
      </c>
      <c r="D1117" s="4">
        <v>24000120</v>
      </c>
      <c r="E1117" s="3" t="s">
        <v>1899</v>
      </c>
      <c r="F1117" s="3"/>
      <c r="G1117" s="1">
        <v>5062.5</v>
      </c>
      <c r="H1117" s="1">
        <f t="shared" si="87"/>
        <v>5062.5</v>
      </c>
      <c r="I1117" s="1" t="str">
        <f t="shared" si="88"/>
        <v/>
      </c>
      <c r="J1117" s="1" t="str">
        <f>_xlfn.IFNA(INDEX([1]历练产出!$Z:$Z,MATCH(B1117,[1]历练产出!$AB:$AB,0)),"")</f>
        <v/>
      </c>
      <c r="K1117" s="1" t="str">
        <f>_xlfn.IFNA(INDEX([1]洞天福地产出!$H:$H,MATCH(B1117,[1]洞天福地产出!$K:$K,0)),"")</f>
        <v/>
      </c>
      <c r="L1117" s="1" t="str">
        <f t="shared" si="89"/>
        <v/>
      </c>
      <c r="M1117" s="4">
        <f t="shared" si="90"/>
        <v>0</v>
      </c>
    </row>
    <row r="1118" ht="30" spans="1:13">
      <c r="A1118" s="4"/>
      <c r="B1118" t="str">
        <f t="shared" si="86"/>
        <v>7:24000121</v>
      </c>
      <c r="C1118" s="1">
        <v>7</v>
      </c>
      <c r="D1118" s="4">
        <v>24000121</v>
      </c>
      <c r="E1118" s="3" t="s">
        <v>1899</v>
      </c>
      <c r="F1118" s="3"/>
      <c r="G1118" s="1">
        <v>5313.6</v>
      </c>
      <c r="H1118" s="1">
        <f t="shared" si="87"/>
        <v>5313.6</v>
      </c>
      <c r="I1118" s="1" t="str">
        <f t="shared" si="88"/>
        <v/>
      </c>
      <c r="J1118" s="1" t="str">
        <f>_xlfn.IFNA(INDEX([1]历练产出!$Z:$Z,MATCH(B1118,[1]历练产出!$AB:$AB,0)),"")</f>
        <v/>
      </c>
      <c r="K1118" s="1" t="str">
        <f>_xlfn.IFNA(INDEX([1]洞天福地产出!$H:$H,MATCH(B1118,[1]洞天福地产出!$K:$K,0)),"")</f>
        <v/>
      </c>
      <c r="L1118" s="1" t="str">
        <f t="shared" si="89"/>
        <v/>
      </c>
      <c r="M1118" s="4">
        <f t="shared" si="90"/>
        <v>0</v>
      </c>
    </row>
    <row r="1119" ht="30" spans="1:13">
      <c r="A1119" s="4"/>
      <c r="B1119" t="str">
        <f t="shared" si="86"/>
        <v>7:24000122</v>
      </c>
      <c r="C1119" s="1">
        <v>7</v>
      </c>
      <c r="D1119" s="4">
        <v>24000122</v>
      </c>
      <c r="E1119" s="3" t="s">
        <v>1899</v>
      </c>
      <c r="F1119" s="3"/>
      <c r="G1119" s="1">
        <v>5576.85</v>
      </c>
      <c r="H1119" s="1">
        <f t="shared" si="87"/>
        <v>5576.85</v>
      </c>
      <c r="I1119" s="1" t="str">
        <f t="shared" si="88"/>
        <v/>
      </c>
      <c r="J1119" s="1" t="str">
        <f>_xlfn.IFNA(INDEX([1]历练产出!$Z:$Z,MATCH(B1119,[1]历练产出!$AB:$AB,0)),"")</f>
        <v/>
      </c>
      <c r="K1119" s="1" t="str">
        <f>_xlfn.IFNA(INDEX([1]洞天福地产出!$H:$H,MATCH(B1119,[1]洞天福地产出!$K:$K,0)),"")</f>
        <v/>
      </c>
      <c r="L1119" s="1" t="str">
        <f t="shared" si="89"/>
        <v/>
      </c>
      <c r="M1119" s="4">
        <f t="shared" si="90"/>
        <v>0</v>
      </c>
    </row>
    <row r="1120" ht="30" spans="1:13">
      <c r="A1120" s="4"/>
      <c r="B1120" t="str">
        <f t="shared" si="86"/>
        <v>7:24000123</v>
      </c>
      <c r="C1120" s="1">
        <v>7</v>
      </c>
      <c r="D1120" s="4">
        <v>24000123</v>
      </c>
      <c r="E1120" s="3" t="s">
        <v>1899</v>
      </c>
      <c r="F1120" s="3"/>
      <c r="G1120" s="1">
        <v>5852.25</v>
      </c>
      <c r="H1120" s="1">
        <f t="shared" si="87"/>
        <v>5852.25</v>
      </c>
      <c r="I1120" s="1" t="str">
        <f t="shared" si="88"/>
        <v/>
      </c>
      <c r="J1120" s="1" t="str">
        <f>_xlfn.IFNA(INDEX([1]历练产出!$Z:$Z,MATCH(B1120,[1]历练产出!$AB:$AB,0)),"")</f>
        <v/>
      </c>
      <c r="K1120" s="1" t="str">
        <f>_xlfn.IFNA(INDEX([1]洞天福地产出!$H:$H,MATCH(B1120,[1]洞天福地产出!$K:$K,0)),"")</f>
        <v/>
      </c>
      <c r="L1120" s="1" t="str">
        <f t="shared" si="89"/>
        <v/>
      </c>
      <c r="M1120" s="4">
        <f t="shared" si="90"/>
        <v>0</v>
      </c>
    </row>
    <row r="1121" ht="30" spans="1:13">
      <c r="A1121" s="4"/>
      <c r="B1121" t="str">
        <f t="shared" si="86"/>
        <v>7:24000124</v>
      </c>
      <c r="C1121" s="1">
        <v>7</v>
      </c>
      <c r="D1121" s="4">
        <v>24000124</v>
      </c>
      <c r="E1121" s="3" t="s">
        <v>1899</v>
      </c>
      <c r="F1121" s="3"/>
      <c r="G1121" s="1">
        <v>6139.8</v>
      </c>
      <c r="H1121" s="1">
        <f t="shared" si="87"/>
        <v>6139.8</v>
      </c>
      <c r="I1121" s="1" t="str">
        <f t="shared" si="88"/>
        <v/>
      </c>
      <c r="J1121" s="1" t="str">
        <f>_xlfn.IFNA(INDEX([1]历练产出!$Z:$Z,MATCH(B1121,[1]历练产出!$AB:$AB,0)),"")</f>
        <v/>
      </c>
      <c r="K1121" s="1" t="str">
        <f>_xlfn.IFNA(INDEX([1]洞天福地产出!$H:$H,MATCH(B1121,[1]洞天福地产出!$K:$K,0)),"")</f>
        <v/>
      </c>
      <c r="L1121" s="1" t="str">
        <f t="shared" si="89"/>
        <v/>
      </c>
      <c r="M1121" s="4">
        <f t="shared" si="90"/>
        <v>0</v>
      </c>
    </row>
    <row r="1122" ht="30" spans="1:13">
      <c r="A1122" s="4"/>
      <c r="B1122" t="str">
        <f t="shared" si="86"/>
        <v>7:24000125</v>
      </c>
      <c r="C1122" s="1">
        <v>7</v>
      </c>
      <c r="D1122" s="4">
        <v>24000125</v>
      </c>
      <c r="E1122" s="3" t="s">
        <v>1899</v>
      </c>
      <c r="F1122" s="3"/>
      <c r="G1122" s="1">
        <v>6439.5</v>
      </c>
      <c r="H1122" s="1">
        <f t="shared" si="87"/>
        <v>6439.5</v>
      </c>
      <c r="I1122" s="1" t="str">
        <f t="shared" si="88"/>
        <v/>
      </c>
      <c r="J1122" s="1" t="str">
        <f>_xlfn.IFNA(INDEX([1]历练产出!$Z:$Z,MATCH(B1122,[1]历练产出!$AB:$AB,0)),"")</f>
        <v/>
      </c>
      <c r="K1122" s="1" t="str">
        <f>_xlfn.IFNA(INDEX([1]洞天福地产出!$H:$H,MATCH(B1122,[1]洞天福地产出!$K:$K,0)),"")</f>
        <v/>
      </c>
      <c r="L1122" s="1" t="str">
        <f t="shared" si="89"/>
        <v/>
      </c>
      <c r="M1122" s="4">
        <f t="shared" si="90"/>
        <v>0</v>
      </c>
    </row>
    <row r="1123" ht="30" spans="1:13">
      <c r="A1123" s="4"/>
      <c r="B1123" t="str">
        <f t="shared" si="86"/>
        <v>7:24000126</v>
      </c>
      <c r="C1123" s="1">
        <v>7</v>
      </c>
      <c r="D1123" s="4">
        <v>24000126</v>
      </c>
      <c r="E1123" s="3" t="s">
        <v>1899</v>
      </c>
      <c r="F1123" s="3"/>
      <c r="G1123" s="1">
        <v>6751.35</v>
      </c>
      <c r="H1123" s="1">
        <f t="shared" si="87"/>
        <v>6751.35</v>
      </c>
      <c r="I1123" s="1" t="str">
        <f t="shared" si="88"/>
        <v/>
      </c>
      <c r="J1123" s="1" t="str">
        <f>_xlfn.IFNA(INDEX([1]历练产出!$Z:$Z,MATCH(B1123,[1]历练产出!$AB:$AB,0)),"")</f>
        <v/>
      </c>
      <c r="K1123" s="1" t="str">
        <f>_xlfn.IFNA(INDEX([1]洞天福地产出!$H:$H,MATCH(B1123,[1]洞天福地产出!$K:$K,0)),"")</f>
        <v/>
      </c>
      <c r="L1123" s="1" t="str">
        <f t="shared" si="89"/>
        <v/>
      </c>
      <c r="M1123" s="4">
        <f t="shared" si="90"/>
        <v>0</v>
      </c>
    </row>
    <row r="1124" ht="30" spans="1:13">
      <c r="A1124" s="4"/>
      <c r="B1124" t="str">
        <f t="shared" ref="B1124:B1187" si="91">C1124&amp;":"&amp;D1124</f>
        <v>7:24000127</v>
      </c>
      <c r="C1124" s="1">
        <v>7</v>
      </c>
      <c r="D1124" s="4">
        <v>24000127</v>
      </c>
      <c r="E1124" s="3" t="s">
        <v>1899</v>
      </c>
      <c r="F1124" s="3"/>
      <c r="G1124" s="1">
        <v>7075.35</v>
      </c>
      <c r="H1124" s="1">
        <f t="shared" si="87"/>
        <v>7075.35</v>
      </c>
      <c r="I1124" s="1" t="str">
        <f t="shared" si="88"/>
        <v/>
      </c>
      <c r="J1124" s="1" t="str">
        <f>_xlfn.IFNA(INDEX([1]历练产出!$Z:$Z,MATCH(B1124,[1]历练产出!$AB:$AB,0)),"")</f>
        <v/>
      </c>
      <c r="K1124" s="1" t="str">
        <f>_xlfn.IFNA(INDEX([1]洞天福地产出!$H:$H,MATCH(B1124,[1]洞天福地产出!$K:$K,0)),"")</f>
        <v/>
      </c>
      <c r="L1124" s="1" t="str">
        <f t="shared" si="89"/>
        <v/>
      </c>
      <c r="M1124" s="4">
        <f t="shared" si="90"/>
        <v>0</v>
      </c>
    </row>
    <row r="1125" ht="30" spans="1:13">
      <c r="A1125" s="4"/>
      <c r="B1125" t="str">
        <f t="shared" si="91"/>
        <v>7:24000128</v>
      </c>
      <c r="C1125" s="1">
        <v>7</v>
      </c>
      <c r="D1125" s="4">
        <v>24000128</v>
      </c>
      <c r="E1125" s="3" t="s">
        <v>1899</v>
      </c>
      <c r="F1125" s="3"/>
      <c r="G1125" s="1">
        <v>7411.5</v>
      </c>
      <c r="H1125" s="1">
        <f t="shared" si="87"/>
        <v>7411.5</v>
      </c>
      <c r="I1125" s="1" t="str">
        <f t="shared" si="88"/>
        <v/>
      </c>
      <c r="J1125" s="1" t="str">
        <f>_xlfn.IFNA(INDEX([1]历练产出!$Z:$Z,MATCH(B1125,[1]历练产出!$AB:$AB,0)),"")</f>
        <v/>
      </c>
      <c r="K1125" s="1" t="str">
        <f>_xlfn.IFNA(INDEX([1]洞天福地产出!$H:$H,MATCH(B1125,[1]洞天福地产出!$K:$K,0)),"")</f>
        <v/>
      </c>
      <c r="L1125" s="1" t="str">
        <f t="shared" si="89"/>
        <v/>
      </c>
      <c r="M1125" s="4">
        <f t="shared" si="90"/>
        <v>0</v>
      </c>
    </row>
    <row r="1126" ht="30" spans="1:13">
      <c r="A1126" s="4"/>
      <c r="B1126" t="str">
        <f t="shared" si="91"/>
        <v>7:24000129</v>
      </c>
      <c r="C1126" s="1">
        <v>7</v>
      </c>
      <c r="D1126" s="4">
        <v>24000129</v>
      </c>
      <c r="E1126" s="3" t="s">
        <v>1899</v>
      </c>
      <c r="F1126" s="3"/>
      <c r="G1126" s="1">
        <v>9703.8</v>
      </c>
      <c r="H1126" s="1">
        <f t="shared" si="87"/>
        <v>9703.8</v>
      </c>
      <c r="I1126" s="1" t="str">
        <f t="shared" si="88"/>
        <v/>
      </c>
      <c r="J1126" s="1" t="str">
        <f>_xlfn.IFNA(INDEX([1]历练产出!$Z:$Z,MATCH(B1126,[1]历练产出!$AB:$AB,0)),"")</f>
        <v/>
      </c>
      <c r="K1126" s="1" t="str">
        <f>_xlfn.IFNA(INDEX([1]洞天福地产出!$H:$H,MATCH(B1126,[1]洞天福地产出!$K:$K,0)),"")</f>
        <v/>
      </c>
      <c r="L1126" s="1" t="str">
        <f t="shared" si="89"/>
        <v/>
      </c>
      <c r="M1126" s="4">
        <f t="shared" si="90"/>
        <v>0</v>
      </c>
    </row>
    <row r="1127" ht="30" spans="1:13">
      <c r="A1127" s="4"/>
      <c r="B1127" t="str">
        <f t="shared" si="91"/>
        <v>7:24000130</v>
      </c>
      <c r="C1127" s="1">
        <v>7</v>
      </c>
      <c r="D1127" s="4">
        <v>24000130</v>
      </c>
      <c r="E1127" s="3" t="s">
        <v>1899</v>
      </c>
      <c r="F1127" s="3"/>
      <c r="G1127" s="1">
        <v>10052.1</v>
      </c>
      <c r="H1127" s="1">
        <f t="shared" si="87"/>
        <v>10052.1</v>
      </c>
      <c r="I1127" s="1" t="str">
        <f t="shared" si="88"/>
        <v/>
      </c>
      <c r="J1127" s="1" t="str">
        <f>_xlfn.IFNA(INDEX([1]历练产出!$Z:$Z,MATCH(B1127,[1]历练产出!$AB:$AB,0)),"")</f>
        <v/>
      </c>
      <c r="K1127" s="1" t="str">
        <f>_xlfn.IFNA(INDEX([1]洞天福地产出!$H:$H,MATCH(B1127,[1]洞天福地产出!$K:$K,0)),"")</f>
        <v/>
      </c>
      <c r="L1127" s="1" t="str">
        <f t="shared" si="89"/>
        <v/>
      </c>
      <c r="M1127" s="4">
        <f t="shared" si="90"/>
        <v>0</v>
      </c>
    </row>
    <row r="1128" ht="45" spans="1:13">
      <c r="A1128" s="4"/>
      <c r="B1128" t="str">
        <f t="shared" si="91"/>
        <v>7:25000101</v>
      </c>
      <c r="C1128" s="1">
        <v>7</v>
      </c>
      <c r="D1128" s="4">
        <v>25000101</v>
      </c>
      <c r="E1128" s="3" t="s">
        <v>1900</v>
      </c>
      <c r="F1128" s="3"/>
      <c r="G1128" s="1">
        <v>656.1</v>
      </c>
      <c r="H1128" s="1">
        <f t="shared" si="87"/>
        <v>656.1</v>
      </c>
      <c r="I1128" s="1" t="str">
        <f t="shared" si="88"/>
        <v/>
      </c>
      <c r="J1128" s="1" t="str">
        <f>_xlfn.IFNA(INDEX([1]历练产出!$Z:$Z,MATCH(B1128,[1]历练产出!$AB:$AB,0)),"")</f>
        <v/>
      </c>
      <c r="K1128" s="1" t="str">
        <f>_xlfn.IFNA(INDEX([1]洞天福地产出!$H:$H,MATCH(B1128,[1]洞天福地产出!$K:$K,0)),"")</f>
        <v/>
      </c>
      <c r="L1128" s="1" t="str">
        <f t="shared" si="89"/>
        <v/>
      </c>
      <c r="M1128" s="4">
        <f t="shared" si="90"/>
        <v>0</v>
      </c>
    </row>
    <row r="1129" ht="45" spans="1:13">
      <c r="A1129" s="4"/>
      <c r="B1129" t="str">
        <f t="shared" si="91"/>
        <v>7:25000102</v>
      </c>
      <c r="C1129" s="1">
        <v>7</v>
      </c>
      <c r="D1129" s="4">
        <v>25000102</v>
      </c>
      <c r="E1129" s="3" t="s">
        <v>1900</v>
      </c>
      <c r="F1129" s="3"/>
      <c r="G1129" s="1">
        <v>676.35</v>
      </c>
      <c r="H1129" s="1">
        <f t="shared" si="87"/>
        <v>676.35</v>
      </c>
      <c r="I1129" s="1" t="str">
        <f t="shared" si="88"/>
        <v/>
      </c>
      <c r="J1129" s="1" t="str">
        <f>_xlfn.IFNA(INDEX([1]历练产出!$Z:$Z,MATCH(B1129,[1]历练产出!$AB:$AB,0)),"")</f>
        <v/>
      </c>
      <c r="K1129" s="1" t="str">
        <f>_xlfn.IFNA(INDEX([1]洞天福地产出!$H:$H,MATCH(B1129,[1]洞天福地产出!$K:$K,0)),"")</f>
        <v/>
      </c>
      <c r="L1129" s="1" t="str">
        <f t="shared" si="89"/>
        <v/>
      </c>
      <c r="M1129" s="4">
        <f t="shared" si="90"/>
        <v>0</v>
      </c>
    </row>
    <row r="1130" ht="45" spans="1:13">
      <c r="A1130" s="4"/>
      <c r="B1130" t="str">
        <f t="shared" si="91"/>
        <v>7:25000103</v>
      </c>
      <c r="C1130" s="1">
        <v>7</v>
      </c>
      <c r="D1130" s="4">
        <v>25000103</v>
      </c>
      <c r="E1130" s="3" t="s">
        <v>1900</v>
      </c>
      <c r="F1130" s="3"/>
      <c r="G1130" s="1">
        <v>708.75</v>
      </c>
      <c r="H1130" s="1">
        <f t="shared" si="87"/>
        <v>708.75</v>
      </c>
      <c r="I1130" s="1" t="str">
        <f t="shared" si="88"/>
        <v/>
      </c>
      <c r="J1130" s="1" t="str">
        <f>_xlfn.IFNA(INDEX([1]历练产出!$Z:$Z,MATCH(B1130,[1]历练产出!$AB:$AB,0)),"")</f>
        <v/>
      </c>
      <c r="K1130" s="1" t="str">
        <f>_xlfn.IFNA(INDEX([1]洞天福地产出!$H:$H,MATCH(B1130,[1]洞天福地产出!$K:$K,0)),"")</f>
        <v/>
      </c>
      <c r="L1130" s="1" t="str">
        <f t="shared" si="89"/>
        <v/>
      </c>
      <c r="M1130" s="4">
        <f t="shared" si="90"/>
        <v>0</v>
      </c>
    </row>
    <row r="1131" ht="45" spans="1:13">
      <c r="A1131" s="4"/>
      <c r="B1131" t="str">
        <f t="shared" si="91"/>
        <v>7:25000104</v>
      </c>
      <c r="C1131" s="1">
        <v>7</v>
      </c>
      <c r="D1131" s="4">
        <v>25000104</v>
      </c>
      <c r="E1131" s="3" t="s">
        <v>1900</v>
      </c>
      <c r="F1131" s="3"/>
      <c r="G1131" s="1">
        <v>753.3</v>
      </c>
      <c r="H1131" s="1">
        <f t="shared" si="87"/>
        <v>753.3</v>
      </c>
      <c r="I1131" s="1" t="str">
        <f t="shared" si="88"/>
        <v/>
      </c>
      <c r="J1131" s="1" t="str">
        <f>_xlfn.IFNA(INDEX([1]历练产出!$Z:$Z,MATCH(B1131,[1]历练产出!$AB:$AB,0)),"")</f>
        <v/>
      </c>
      <c r="K1131" s="1" t="str">
        <f>_xlfn.IFNA(INDEX([1]洞天福地产出!$H:$H,MATCH(B1131,[1]洞天福地产出!$K:$K,0)),"")</f>
        <v/>
      </c>
      <c r="L1131" s="1" t="str">
        <f t="shared" si="89"/>
        <v/>
      </c>
      <c r="M1131" s="4">
        <f t="shared" si="90"/>
        <v>0</v>
      </c>
    </row>
    <row r="1132" ht="45" spans="1:13">
      <c r="A1132" s="4"/>
      <c r="B1132" t="str">
        <f t="shared" si="91"/>
        <v>7:25000105</v>
      </c>
      <c r="C1132" s="1">
        <v>7</v>
      </c>
      <c r="D1132" s="4">
        <v>25000105</v>
      </c>
      <c r="E1132" s="3" t="s">
        <v>1900</v>
      </c>
      <c r="F1132" s="3"/>
      <c r="G1132" s="1">
        <v>810</v>
      </c>
      <c r="H1132" s="1">
        <f t="shared" si="87"/>
        <v>810</v>
      </c>
      <c r="I1132" s="1" t="str">
        <f t="shared" si="88"/>
        <v/>
      </c>
      <c r="J1132" s="1" t="str">
        <f>_xlfn.IFNA(INDEX([1]历练产出!$Z:$Z,MATCH(B1132,[1]历练产出!$AB:$AB,0)),"")</f>
        <v/>
      </c>
      <c r="K1132" s="1" t="str">
        <f>_xlfn.IFNA(INDEX([1]洞天福地产出!$H:$H,MATCH(B1132,[1]洞天福地产出!$K:$K,0)),"")</f>
        <v/>
      </c>
      <c r="L1132" s="1" t="str">
        <f t="shared" si="89"/>
        <v/>
      </c>
      <c r="M1132" s="4">
        <f t="shared" si="90"/>
        <v>0</v>
      </c>
    </row>
    <row r="1133" ht="45" spans="1:13">
      <c r="A1133" s="4"/>
      <c r="B1133" t="str">
        <f t="shared" si="91"/>
        <v>7:25000106</v>
      </c>
      <c r="C1133" s="1">
        <v>7</v>
      </c>
      <c r="D1133" s="4">
        <v>25000106</v>
      </c>
      <c r="E1133" s="3" t="s">
        <v>1900</v>
      </c>
      <c r="F1133" s="3"/>
      <c r="G1133" s="1">
        <v>878.85</v>
      </c>
      <c r="H1133" s="1">
        <f t="shared" si="87"/>
        <v>878.85</v>
      </c>
      <c r="I1133" s="1" t="str">
        <f t="shared" si="88"/>
        <v/>
      </c>
      <c r="J1133" s="1" t="str">
        <f>_xlfn.IFNA(INDEX([1]历练产出!$Z:$Z,MATCH(B1133,[1]历练产出!$AB:$AB,0)),"")</f>
        <v/>
      </c>
      <c r="K1133" s="1" t="str">
        <f>_xlfn.IFNA(INDEX([1]洞天福地产出!$H:$H,MATCH(B1133,[1]洞天福地产出!$K:$K,0)),"")</f>
        <v/>
      </c>
      <c r="L1133" s="1" t="str">
        <f t="shared" si="89"/>
        <v/>
      </c>
      <c r="M1133" s="4">
        <f t="shared" si="90"/>
        <v>0</v>
      </c>
    </row>
    <row r="1134" ht="45" spans="1:13">
      <c r="A1134" s="4"/>
      <c r="B1134" t="str">
        <f t="shared" si="91"/>
        <v>7:25000107</v>
      </c>
      <c r="C1134" s="1">
        <v>7</v>
      </c>
      <c r="D1134" s="4">
        <v>25000107</v>
      </c>
      <c r="E1134" s="3" t="s">
        <v>1900</v>
      </c>
      <c r="F1134" s="3"/>
      <c r="G1134" s="1">
        <v>959.85</v>
      </c>
      <c r="H1134" s="1">
        <f t="shared" si="87"/>
        <v>959.85</v>
      </c>
      <c r="I1134" s="1" t="str">
        <f t="shared" si="88"/>
        <v/>
      </c>
      <c r="J1134" s="1" t="str">
        <f>_xlfn.IFNA(INDEX([1]历练产出!$Z:$Z,MATCH(B1134,[1]历练产出!$AB:$AB,0)),"")</f>
        <v/>
      </c>
      <c r="K1134" s="1" t="str">
        <f>_xlfn.IFNA(INDEX([1]洞天福地产出!$H:$H,MATCH(B1134,[1]洞天福地产出!$K:$K,0)),"")</f>
        <v/>
      </c>
      <c r="L1134" s="1" t="str">
        <f t="shared" si="89"/>
        <v/>
      </c>
      <c r="M1134" s="4">
        <f t="shared" si="90"/>
        <v>0</v>
      </c>
    </row>
    <row r="1135" ht="45" spans="1:13">
      <c r="A1135" s="4"/>
      <c r="B1135" t="str">
        <f t="shared" si="91"/>
        <v>7:25000108</v>
      </c>
      <c r="C1135" s="1">
        <v>7</v>
      </c>
      <c r="D1135" s="4">
        <v>25000108</v>
      </c>
      <c r="E1135" s="3" t="s">
        <v>1900</v>
      </c>
      <c r="F1135" s="3"/>
      <c r="G1135" s="1">
        <v>1053</v>
      </c>
      <c r="H1135" s="1">
        <f t="shared" si="87"/>
        <v>1053</v>
      </c>
      <c r="I1135" s="1" t="str">
        <f t="shared" si="88"/>
        <v/>
      </c>
      <c r="J1135" s="1" t="str">
        <f>_xlfn.IFNA(INDEX([1]历练产出!$Z:$Z,MATCH(B1135,[1]历练产出!$AB:$AB,0)),"")</f>
        <v/>
      </c>
      <c r="K1135" s="1" t="str">
        <f>_xlfn.IFNA(INDEX([1]洞天福地产出!$H:$H,MATCH(B1135,[1]洞天福地产出!$K:$K,0)),"")</f>
        <v/>
      </c>
      <c r="L1135" s="1" t="str">
        <f t="shared" si="89"/>
        <v/>
      </c>
      <c r="M1135" s="4">
        <f t="shared" si="90"/>
        <v>0</v>
      </c>
    </row>
    <row r="1136" ht="45" spans="1:13">
      <c r="A1136" s="4"/>
      <c r="B1136" t="str">
        <f t="shared" si="91"/>
        <v>7:25000109</v>
      </c>
      <c r="C1136" s="1">
        <v>7</v>
      </c>
      <c r="D1136" s="4">
        <v>25000109</v>
      </c>
      <c r="E1136" s="3" t="s">
        <v>1900</v>
      </c>
      <c r="F1136" s="3"/>
      <c r="G1136" s="1">
        <v>1806.3</v>
      </c>
      <c r="H1136" s="1">
        <f t="shared" si="87"/>
        <v>1806.3</v>
      </c>
      <c r="I1136" s="1" t="str">
        <f t="shared" si="88"/>
        <v/>
      </c>
      <c r="J1136" s="1" t="str">
        <f>_xlfn.IFNA(INDEX([1]历练产出!$Z:$Z,MATCH(B1136,[1]历练产出!$AB:$AB,0)),"")</f>
        <v/>
      </c>
      <c r="K1136" s="1" t="str">
        <f>_xlfn.IFNA(INDEX([1]洞天福地产出!$H:$H,MATCH(B1136,[1]洞天福地产出!$K:$K,0)),"")</f>
        <v/>
      </c>
      <c r="L1136" s="1" t="str">
        <f t="shared" si="89"/>
        <v/>
      </c>
      <c r="M1136" s="4">
        <f t="shared" si="90"/>
        <v>0</v>
      </c>
    </row>
    <row r="1137" ht="45" spans="1:13">
      <c r="A1137" s="4"/>
      <c r="B1137" t="str">
        <f t="shared" si="91"/>
        <v>7:25000110</v>
      </c>
      <c r="C1137" s="1">
        <v>7</v>
      </c>
      <c r="D1137" s="4">
        <v>25000110</v>
      </c>
      <c r="E1137" s="3" t="s">
        <v>1900</v>
      </c>
      <c r="F1137" s="3"/>
      <c r="G1137" s="1">
        <v>1923.75</v>
      </c>
      <c r="H1137" s="1">
        <f t="shared" si="87"/>
        <v>1923.75</v>
      </c>
      <c r="I1137" s="1" t="str">
        <f t="shared" si="88"/>
        <v/>
      </c>
      <c r="J1137" s="1" t="str">
        <f>_xlfn.IFNA(INDEX([1]历练产出!$Z:$Z,MATCH(B1137,[1]历练产出!$AB:$AB,0)),"")</f>
        <v/>
      </c>
      <c r="K1137" s="1" t="str">
        <f>_xlfn.IFNA(INDEX([1]洞天福地产出!$H:$H,MATCH(B1137,[1]洞天福地产出!$K:$K,0)),"")</f>
        <v/>
      </c>
      <c r="L1137" s="1" t="str">
        <f t="shared" si="89"/>
        <v/>
      </c>
      <c r="M1137" s="4">
        <f t="shared" si="90"/>
        <v>0</v>
      </c>
    </row>
    <row r="1138" ht="45" spans="1:13">
      <c r="A1138" s="4"/>
      <c r="B1138" t="str">
        <f t="shared" si="91"/>
        <v>7:25000111</v>
      </c>
      <c r="C1138" s="1">
        <v>7</v>
      </c>
      <c r="D1138" s="4">
        <v>25000111</v>
      </c>
      <c r="E1138" s="3" t="s">
        <v>1900</v>
      </c>
      <c r="F1138" s="3"/>
      <c r="G1138" s="1">
        <v>2053.35</v>
      </c>
      <c r="H1138" s="1">
        <f t="shared" si="87"/>
        <v>2053.35</v>
      </c>
      <c r="I1138" s="1" t="str">
        <f t="shared" si="88"/>
        <v/>
      </c>
      <c r="J1138" s="1" t="str">
        <f>_xlfn.IFNA(INDEX([1]历练产出!$Z:$Z,MATCH(B1138,[1]历练产出!$AB:$AB,0)),"")</f>
        <v/>
      </c>
      <c r="K1138" s="1" t="str">
        <f>_xlfn.IFNA(INDEX([1]洞天福地产出!$H:$H,MATCH(B1138,[1]洞天福地产出!$K:$K,0)),"")</f>
        <v/>
      </c>
      <c r="L1138" s="1" t="str">
        <f t="shared" si="89"/>
        <v/>
      </c>
      <c r="M1138" s="4">
        <f t="shared" si="90"/>
        <v>0</v>
      </c>
    </row>
    <row r="1139" ht="45" spans="1:13">
      <c r="A1139" s="4"/>
      <c r="B1139" t="str">
        <f t="shared" si="91"/>
        <v>7:25000112</v>
      </c>
      <c r="C1139" s="1">
        <v>7</v>
      </c>
      <c r="D1139" s="4">
        <v>25000112</v>
      </c>
      <c r="E1139" s="3" t="s">
        <v>1900</v>
      </c>
      <c r="F1139" s="3"/>
      <c r="G1139" s="1">
        <v>2195.1</v>
      </c>
      <c r="H1139" s="1">
        <f t="shared" si="87"/>
        <v>2195.1</v>
      </c>
      <c r="I1139" s="1" t="str">
        <f t="shared" si="88"/>
        <v/>
      </c>
      <c r="J1139" s="1" t="str">
        <f>_xlfn.IFNA(INDEX([1]历练产出!$Z:$Z,MATCH(B1139,[1]历练产出!$AB:$AB,0)),"")</f>
        <v/>
      </c>
      <c r="K1139" s="1" t="str">
        <f>_xlfn.IFNA(INDEX([1]洞天福地产出!$H:$H,MATCH(B1139,[1]洞天福地产出!$K:$K,0)),"")</f>
        <v/>
      </c>
      <c r="L1139" s="1" t="str">
        <f t="shared" si="89"/>
        <v/>
      </c>
      <c r="M1139" s="4">
        <f t="shared" si="90"/>
        <v>0</v>
      </c>
    </row>
    <row r="1140" ht="45" spans="1:13">
      <c r="A1140" s="4"/>
      <c r="B1140" t="str">
        <f t="shared" si="91"/>
        <v>7:25000113</v>
      </c>
      <c r="C1140" s="1">
        <v>7</v>
      </c>
      <c r="D1140" s="4">
        <v>25000113</v>
      </c>
      <c r="E1140" s="3" t="s">
        <v>1900</v>
      </c>
      <c r="F1140" s="3"/>
      <c r="G1140" s="1">
        <v>2349</v>
      </c>
      <c r="H1140" s="1">
        <f t="shared" si="87"/>
        <v>2349</v>
      </c>
      <c r="I1140" s="1" t="str">
        <f t="shared" si="88"/>
        <v/>
      </c>
      <c r="J1140" s="1" t="str">
        <f>_xlfn.IFNA(INDEX([1]历练产出!$Z:$Z,MATCH(B1140,[1]历练产出!$AB:$AB,0)),"")</f>
        <v/>
      </c>
      <c r="K1140" s="1" t="str">
        <f>_xlfn.IFNA(INDEX([1]洞天福地产出!$H:$H,MATCH(B1140,[1]洞天福地产出!$K:$K,0)),"")</f>
        <v/>
      </c>
      <c r="L1140" s="1" t="str">
        <f t="shared" si="89"/>
        <v/>
      </c>
      <c r="M1140" s="4">
        <f t="shared" si="90"/>
        <v>0</v>
      </c>
    </row>
    <row r="1141" ht="45" spans="1:13">
      <c r="A1141" s="4"/>
      <c r="B1141" t="str">
        <f t="shared" si="91"/>
        <v>7:25000114</v>
      </c>
      <c r="C1141" s="1">
        <v>7</v>
      </c>
      <c r="D1141" s="4">
        <v>25000114</v>
      </c>
      <c r="E1141" s="3" t="s">
        <v>1900</v>
      </c>
      <c r="F1141" s="3"/>
      <c r="G1141" s="1">
        <v>2515.05</v>
      </c>
      <c r="H1141" s="1">
        <f t="shared" si="87"/>
        <v>2515.05</v>
      </c>
      <c r="I1141" s="1" t="str">
        <f t="shared" si="88"/>
        <v/>
      </c>
      <c r="J1141" s="1" t="str">
        <f>_xlfn.IFNA(INDEX([1]历练产出!$Z:$Z,MATCH(B1141,[1]历练产出!$AB:$AB,0)),"")</f>
        <v/>
      </c>
      <c r="K1141" s="1" t="str">
        <f>_xlfn.IFNA(INDEX([1]洞天福地产出!$H:$H,MATCH(B1141,[1]洞天福地产出!$K:$K,0)),"")</f>
        <v/>
      </c>
      <c r="L1141" s="1" t="str">
        <f t="shared" si="89"/>
        <v/>
      </c>
      <c r="M1141" s="4">
        <f t="shared" si="90"/>
        <v>0</v>
      </c>
    </row>
    <row r="1142" ht="45" spans="1:13">
      <c r="A1142" s="4"/>
      <c r="B1142" t="str">
        <f t="shared" si="91"/>
        <v>7:25000115</v>
      </c>
      <c r="C1142" s="1">
        <v>7</v>
      </c>
      <c r="D1142" s="4">
        <v>25000115</v>
      </c>
      <c r="E1142" s="3" t="s">
        <v>1900</v>
      </c>
      <c r="F1142" s="3"/>
      <c r="G1142" s="1">
        <v>2693.25</v>
      </c>
      <c r="H1142" s="1">
        <f t="shared" si="87"/>
        <v>2693.25</v>
      </c>
      <c r="I1142" s="1" t="str">
        <f t="shared" si="88"/>
        <v/>
      </c>
      <c r="J1142" s="1" t="str">
        <f>_xlfn.IFNA(INDEX([1]历练产出!$Z:$Z,MATCH(B1142,[1]历练产出!$AB:$AB,0)),"")</f>
        <v/>
      </c>
      <c r="K1142" s="1" t="str">
        <f>_xlfn.IFNA(INDEX([1]洞天福地产出!$H:$H,MATCH(B1142,[1]洞天福地产出!$K:$K,0)),"")</f>
        <v/>
      </c>
      <c r="L1142" s="1" t="str">
        <f t="shared" si="89"/>
        <v/>
      </c>
      <c r="M1142" s="4">
        <f t="shared" si="90"/>
        <v>0</v>
      </c>
    </row>
    <row r="1143" ht="45" spans="1:13">
      <c r="A1143" s="4"/>
      <c r="B1143" t="str">
        <f t="shared" si="91"/>
        <v>7:25000116</v>
      </c>
      <c r="C1143" s="1">
        <v>7</v>
      </c>
      <c r="D1143" s="4">
        <v>25000116</v>
      </c>
      <c r="E1143" s="3" t="s">
        <v>1900</v>
      </c>
      <c r="F1143" s="3"/>
      <c r="G1143" s="1">
        <v>2883.6</v>
      </c>
      <c r="H1143" s="1">
        <f t="shared" si="87"/>
        <v>2883.6</v>
      </c>
      <c r="I1143" s="1" t="str">
        <f t="shared" si="88"/>
        <v/>
      </c>
      <c r="J1143" s="1" t="str">
        <f>_xlfn.IFNA(INDEX([1]历练产出!$Z:$Z,MATCH(B1143,[1]历练产出!$AB:$AB,0)),"")</f>
        <v/>
      </c>
      <c r="K1143" s="1" t="str">
        <f>_xlfn.IFNA(INDEX([1]洞天福地产出!$H:$H,MATCH(B1143,[1]洞天福地产出!$K:$K,0)),"")</f>
        <v/>
      </c>
      <c r="L1143" s="1" t="str">
        <f t="shared" si="89"/>
        <v/>
      </c>
      <c r="M1143" s="4">
        <f t="shared" si="90"/>
        <v>0</v>
      </c>
    </row>
    <row r="1144" ht="45" spans="1:13">
      <c r="A1144" s="4"/>
      <c r="B1144" t="str">
        <f t="shared" si="91"/>
        <v>7:25000117</v>
      </c>
      <c r="C1144" s="1">
        <v>7</v>
      </c>
      <c r="D1144" s="4">
        <v>25000117</v>
      </c>
      <c r="E1144" s="3" t="s">
        <v>1900</v>
      </c>
      <c r="F1144" s="3"/>
      <c r="G1144" s="1">
        <v>3086.1</v>
      </c>
      <c r="H1144" s="1">
        <f t="shared" si="87"/>
        <v>3086.1</v>
      </c>
      <c r="I1144" s="1" t="str">
        <f t="shared" si="88"/>
        <v/>
      </c>
      <c r="J1144" s="1" t="str">
        <f>_xlfn.IFNA(INDEX([1]历练产出!$Z:$Z,MATCH(B1144,[1]历练产出!$AB:$AB,0)),"")</f>
        <v/>
      </c>
      <c r="K1144" s="1" t="str">
        <f>_xlfn.IFNA(INDEX([1]洞天福地产出!$H:$H,MATCH(B1144,[1]洞天福地产出!$K:$K,0)),"")</f>
        <v/>
      </c>
      <c r="L1144" s="1" t="str">
        <f t="shared" si="89"/>
        <v/>
      </c>
      <c r="M1144" s="4">
        <f t="shared" si="90"/>
        <v>0</v>
      </c>
    </row>
    <row r="1145" ht="45" spans="1:13">
      <c r="A1145" s="4"/>
      <c r="B1145" t="str">
        <f t="shared" si="91"/>
        <v>7:25000118</v>
      </c>
      <c r="C1145" s="1">
        <v>7</v>
      </c>
      <c r="D1145" s="4">
        <v>25000118</v>
      </c>
      <c r="E1145" s="3" t="s">
        <v>1900</v>
      </c>
      <c r="F1145" s="3"/>
      <c r="G1145" s="1">
        <v>3300.75</v>
      </c>
      <c r="H1145" s="1">
        <f t="shared" si="87"/>
        <v>3300.75</v>
      </c>
      <c r="I1145" s="1" t="str">
        <f t="shared" si="88"/>
        <v/>
      </c>
      <c r="J1145" s="1" t="str">
        <f>_xlfn.IFNA(INDEX([1]历练产出!$Z:$Z,MATCH(B1145,[1]历练产出!$AB:$AB,0)),"")</f>
        <v/>
      </c>
      <c r="K1145" s="1" t="str">
        <f>_xlfn.IFNA(INDEX([1]洞天福地产出!$H:$H,MATCH(B1145,[1]洞天福地产出!$K:$K,0)),"")</f>
        <v/>
      </c>
      <c r="L1145" s="1" t="str">
        <f t="shared" si="89"/>
        <v/>
      </c>
      <c r="M1145" s="4">
        <f t="shared" si="90"/>
        <v>0</v>
      </c>
    </row>
    <row r="1146" ht="45" spans="1:13">
      <c r="A1146" s="4"/>
      <c r="B1146" t="str">
        <f t="shared" si="91"/>
        <v>7:25000119</v>
      </c>
      <c r="C1146" s="1">
        <v>7</v>
      </c>
      <c r="D1146" s="4">
        <v>25000119</v>
      </c>
      <c r="E1146" s="3" t="s">
        <v>1900</v>
      </c>
      <c r="F1146" s="3"/>
      <c r="G1146" s="1">
        <v>4823.55</v>
      </c>
      <c r="H1146" s="1">
        <f t="shared" si="87"/>
        <v>4823.55</v>
      </c>
      <c r="I1146" s="1" t="str">
        <f t="shared" si="88"/>
        <v/>
      </c>
      <c r="J1146" s="1" t="str">
        <f>_xlfn.IFNA(INDEX([1]历练产出!$Z:$Z,MATCH(B1146,[1]历练产出!$AB:$AB,0)),"")</f>
        <v/>
      </c>
      <c r="K1146" s="1" t="str">
        <f>_xlfn.IFNA(INDEX([1]洞天福地产出!$H:$H,MATCH(B1146,[1]洞天福地产出!$K:$K,0)),"")</f>
        <v/>
      </c>
      <c r="L1146" s="1" t="str">
        <f t="shared" si="89"/>
        <v/>
      </c>
      <c r="M1146" s="4">
        <f t="shared" si="90"/>
        <v>0</v>
      </c>
    </row>
    <row r="1147" ht="45" spans="1:13">
      <c r="A1147" s="4"/>
      <c r="B1147" t="str">
        <f t="shared" si="91"/>
        <v>7:25000120</v>
      </c>
      <c r="C1147" s="1">
        <v>7</v>
      </c>
      <c r="D1147" s="4">
        <v>25000120</v>
      </c>
      <c r="E1147" s="3" t="s">
        <v>1900</v>
      </c>
      <c r="F1147" s="3"/>
      <c r="G1147" s="1">
        <v>5062.5</v>
      </c>
      <c r="H1147" s="1">
        <f t="shared" si="87"/>
        <v>5062.5</v>
      </c>
      <c r="I1147" s="1" t="str">
        <f t="shared" si="88"/>
        <v/>
      </c>
      <c r="J1147" s="1" t="str">
        <f>_xlfn.IFNA(INDEX([1]历练产出!$Z:$Z,MATCH(B1147,[1]历练产出!$AB:$AB,0)),"")</f>
        <v/>
      </c>
      <c r="K1147" s="1" t="str">
        <f>_xlfn.IFNA(INDEX([1]洞天福地产出!$H:$H,MATCH(B1147,[1]洞天福地产出!$K:$K,0)),"")</f>
        <v/>
      </c>
      <c r="L1147" s="1" t="str">
        <f t="shared" si="89"/>
        <v/>
      </c>
      <c r="M1147" s="4">
        <f t="shared" si="90"/>
        <v>0</v>
      </c>
    </row>
    <row r="1148" ht="45" spans="1:13">
      <c r="A1148" s="4"/>
      <c r="B1148" t="str">
        <f t="shared" si="91"/>
        <v>7:25000121</v>
      </c>
      <c r="C1148" s="1">
        <v>7</v>
      </c>
      <c r="D1148" s="4">
        <v>25000121</v>
      </c>
      <c r="E1148" s="3" t="s">
        <v>1900</v>
      </c>
      <c r="F1148" s="3"/>
      <c r="G1148" s="1">
        <v>5313.6</v>
      </c>
      <c r="H1148" s="1">
        <f t="shared" si="87"/>
        <v>5313.6</v>
      </c>
      <c r="I1148" s="1" t="str">
        <f t="shared" si="88"/>
        <v/>
      </c>
      <c r="J1148" s="1" t="str">
        <f>_xlfn.IFNA(INDEX([1]历练产出!$Z:$Z,MATCH(B1148,[1]历练产出!$AB:$AB,0)),"")</f>
        <v/>
      </c>
      <c r="K1148" s="1" t="str">
        <f>_xlfn.IFNA(INDEX([1]洞天福地产出!$H:$H,MATCH(B1148,[1]洞天福地产出!$K:$K,0)),"")</f>
        <v/>
      </c>
      <c r="L1148" s="1" t="str">
        <f t="shared" si="89"/>
        <v/>
      </c>
      <c r="M1148" s="4">
        <f t="shared" si="90"/>
        <v>0</v>
      </c>
    </row>
    <row r="1149" ht="45" spans="1:13">
      <c r="A1149" s="4"/>
      <c r="B1149" t="str">
        <f t="shared" si="91"/>
        <v>7:25000122</v>
      </c>
      <c r="C1149" s="1">
        <v>7</v>
      </c>
      <c r="D1149" s="4">
        <v>25000122</v>
      </c>
      <c r="E1149" s="3" t="s">
        <v>1900</v>
      </c>
      <c r="F1149" s="3"/>
      <c r="G1149" s="1">
        <v>5576.85</v>
      </c>
      <c r="H1149" s="1">
        <f t="shared" si="87"/>
        <v>5576.85</v>
      </c>
      <c r="I1149" s="1" t="str">
        <f t="shared" si="88"/>
        <v/>
      </c>
      <c r="J1149" s="1" t="str">
        <f>_xlfn.IFNA(INDEX([1]历练产出!$Z:$Z,MATCH(B1149,[1]历练产出!$AB:$AB,0)),"")</f>
        <v/>
      </c>
      <c r="K1149" s="1" t="str">
        <f>_xlfn.IFNA(INDEX([1]洞天福地产出!$H:$H,MATCH(B1149,[1]洞天福地产出!$K:$K,0)),"")</f>
        <v/>
      </c>
      <c r="L1149" s="1" t="str">
        <f t="shared" si="89"/>
        <v/>
      </c>
      <c r="M1149" s="4">
        <f t="shared" si="90"/>
        <v>0</v>
      </c>
    </row>
    <row r="1150" ht="45" spans="1:13">
      <c r="A1150" s="4"/>
      <c r="B1150" t="str">
        <f t="shared" si="91"/>
        <v>7:25000123</v>
      </c>
      <c r="C1150" s="1">
        <v>7</v>
      </c>
      <c r="D1150" s="4">
        <v>25000123</v>
      </c>
      <c r="E1150" s="3" t="s">
        <v>1900</v>
      </c>
      <c r="F1150" s="3"/>
      <c r="G1150" s="1">
        <v>5852.25</v>
      </c>
      <c r="H1150" s="1">
        <f t="shared" si="87"/>
        <v>5852.25</v>
      </c>
      <c r="I1150" s="1" t="str">
        <f t="shared" si="88"/>
        <v/>
      </c>
      <c r="J1150" s="1" t="str">
        <f>_xlfn.IFNA(INDEX([1]历练产出!$Z:$Z,MATCH(B1150,[1]历练产出!$AB:$AB,0)),"")</f>
        <v/>
      </c>
      <c r="K1150" s="1" t="str">
        <f>_xlfn.IFNA(INDEX([1]洞天福地产出!$H:$H,MATCH(B1150,[1]洞天福地产出!$K:$K,0)),"")</f>
        <v/>
      </c>
      <c r="L1150" s="1" t="str">
        <f t="shared" si="89"/>
        <v/>
      </c>
      <c r="M1150" s="4">
        <f t="shared" si="90"/>
        <v>0</v>
      </c>
    </row>
    <row r="1151" ht="45" spans="1:13">
      <c r="A1151" s="4"/>
      <c r="B1151" t="str">
        <f t="shared" si="91"/>
        <v>7:25000124</v>
      </c>
      <c r="C1151" s="1">
        <v>7</v>
      </c>
      <c r="D1151" s="4">
        <v>25000124</v>
      </c>
      <c r="E1151" s="3" t="s">
        <v>1900</v>
      </c>
      <c r="F1151" s="3"/>
      <c r="G1151" s="1">
        <v>6139.8</v>
      </c>
      <c r="H1151" s="1">
        <f t="shared" si="87"/>
        <v>6139.8</v>
      </c>
      <c r="I1151" s="1" t="str">
        <f t="shared" si="88"/>
        <v/>
      </c>
      <c r="J1151" s="1" t="str">
        <f>_xlfn.IFNA(INDEX([1]历练产出!$Z:$Z,MATCH(B1151,[1]历练产出!$AB:$AB,0)),"")</f>
        <v/>
      </c>
      <c r="K1151" s="1" t="str">
        <f>_xlfn.IFNA(INDEX([1]洞天福地产出!$H:$H,MATCH(B1151,[1]洞天福地产出!$K:$K,0)),"")</f>
        <v/>
      </c>
      <c r="L1151" s="1" t="str">
        <f t="shared" si="89"/>
        <v/>
      </c>
      <c r="M1151" s="4">
        <f t="shared" si="90"/>
        <v>0</v>
      </c>
    </row>
    <row r="1152" ht="45" spans="1:13">
      <c r="A1152" s="4"/>
      <c r="B1152" t="str">
        <f t="shared" si="91"/>
        <v>7:25000125</v>
      </c>
      <c r="C1152" s="1">
        <v>7</v>
      </c>
      <c r="D1152" s="4">
        <v>25000125</v>
      </c>
      <c r="E1152" s="3" t="s">
        <v>1900</v>
      </c>
      <c r="F1152" s="3"/>
      <c r="G1152" s="1">
        <v>6439.5</v>
      </c>
      <c r="H1152" s="1">
        <f t="shared" si="87"/>
        <v>6439.5</v>
      </c>
      <c r="I1152" s="1" t="str">
        <f t="shared" si="88"/>
        <v/>
      </c>
      <c r="J1152" s="1" t="str">
        <f>_xlfn.IFNA(INDEX([1]历练产出!$Z:$Z,MATCH(B1152,[1]历练产出!$AB:$AB,0)),"")</f>
        <v/>
      </c>
      <c r="K1152" s="1" t="str">
        <f>_xlfn.IFNA(INDEX([1]洞天福地产出!$H:$H,MATCH(B1152,[1]洞天福地产出!$K:$K,0)),"")</f>
        <v/>
      </c>
      <c r="L1152" s="1" t="str">
        <f t="shared" si="89"/>
        <v/>
      </c>
      <c r="M1152" s="4">
        <f t="shared" si="90"/>
        <v>0</v>
      </c>
    </row>
    <row r="1153" ht="45" spans="1:13">
      <c r="A1153" s="4"/>
      <c r="B1153" t="str">
        <f t="shared" si="91"/>
        <v>7:25000126</v>
      </c>
      <c r="C1153" s="1">
        <v>7</v>
      </c>
      <c r="D1153" s="4">
        <v>25000126</v>
      </c>
      <c r="E1153" s="3" t="s">
        <v>1900</v>
      </c>
      <c r="F1153" s="3"/>
      <c r="G1153" s="1">
        <v>6751.35</v>
      </c>
      <c r="H1153" s="1">
        <f t="shared" si="87"/>
        <v>6751.35</v>
      </c>
      <c r="I1153" s="1" t="str">
        <f t="shared" si="88"/>
        <v/>
      </c>
      <c r="J1153" s="1" t="str">
        <f>_xlfn.IFNA(INDEX([1]历练产出!$Z:$Z,MATCH(B1153,[1]历练产出!$AB:$AB,0)),"")</f>
        <v/>
      </c>
      <c r="K1153" s="1" t="str">
        <f>_xlfn.IFNA(INDEX([1]洞天福地产出!$H:$H,MATCH(B1153,[1]洞天福地产出!$K:$K,0)),"")</f>
        <v/>
      </c>
      <c r="L1153" s="1" t="str">
        <f t="shared" si="89"/>
        <v/>
      </c>
      <c r="M1153" s="4">
        <f t="shared" si="90"/>
        <v>0</v>
      </c>
    </row>
    <row r="1154" ht="45" spans="1:13">
      <c r="A1154" s="4"/>
      <c r="B1154" t="str">
        <f t="shared" si="91"/>
        <v>7:25000127</v>
      </c>
      <c r="C1154" s="1">
        <v>7</v>
      </c>
      <c r="D1154" s="4">
        <v>25000127</v>
      </c>
      <c r="E1154" s="3" t="s">
        <v>1900</v>
      </c>
      <c r="F1154" s="3"/>
      <c r="G1154" s="1">
        <v>7075.35</v>
      </c>
      <c r="H1154" s="1">
        <f t="shared" si="87"/>
        <v>7075.35</v>
      </c>
      <c r="I1154" s="1" t="str">
        <f t="shared" si="88"/>
        <v/>
      </c>
      <c r="J1154" s="1" t="str">
        <f>_xlfn.IFNA(INDEX([1]历练产出!$Z:$Z,MATCH(B1154,[1]历练产出!$AB:$AB,0)),"")</f>
        <v/>
      </c>
      <c r="K1154" s="1" t="str">
        <f>_xlfn.IFNA(INDEX([1]洞天福地产出!$H:$H,MATCH(B1154,[1]洞天福地产出!$K:$K,0)),"")</f>
        <v/>
      </c>
      <c r="L1154" s="1" t="str">
        <f t="shared" si="89"/>
        <v/>
      </c>
      <c r="M1154" s="4">
        <f t="shared" si="90"/>
        <v>0</v>
      </c>
    </row>
    <row r="1155" ht="45" spans="1:13">
      <c r="A1155" s="4"/>
      <c r="B1155" t="str">
        <f t="shared" si="91"/>
        <v>7:25000128</v>
      </c>
      <c r="C1155" s="1">
        <v>7</v>
      </c>
      <c r="D1155" s="4">
        <v>25000128</v>
      </c>
      <c r="E1155" s="3" t="s">
        <v>1900</v>
      </c>
      <c r="F1155" s="3"/>
      <c r="G1155" s="1">
        <v>7411.5</v>
      </c>
      <c r="H1155" s="1">
        <f t="shared" si="87"/>
        <v>7411.5</v>
      </c>
      <c r="I1155" s="1" t="str">
        <f t="shared" si="88"/>
        <v/>
      </c>
      <c r="J1155" s="1" t="str">
        <f>_xlfn.IFNA(INDEX([1]历练产出!$Z:$Z,MATCH(B1155,[1]历练产出!$AB:$AB,0)),"")</f>
        <v/>
      </c>
      <c r="K1155" s="1" t="str">
        <f>_xlfn.IFNA(INDEX([1]洞天福地产出!$H:$H,MATCH(B1155,[1]洞天福地产出!$K:$K,0)),"")</f>
        <v/>
      </c>
      <c r="L1155" s="1" t="str">
        <f t="shared" si="89"/>
        <v/>
      </c>
      <c r="M1155" s="4">
        <f t="shared" si="90"/>
        <v>0</v>
      </c>
    </row>
    <row r="1156" ht="45" spans="1:13">
      <c r="A1156" s="4"/>
      <c r="B1156" t="str">
        <f t="shared" si="91"/>
        <v>7:25000129</v>
      </c>
      <c r="C1156" s="1">
        <v>7</v>
      </c>
      <c r="D1156" s="4">
        <v>25000129</v>
      </c>
      <c r="E1156" s="3" t="s">
        <v>1900</v>
      </c>
      <c r="F1156" s="3"/>
      <c r="G1156" s="1">
        <v>9703.8</v>
      </c>
      <c r="H1156" s="1">
        <f t="shared" ref="H1156:H1219" si="92">IF(I1156="",G1156,I1156)</f>
        <v>9703.8</v>
      </c>
      <c r="I1156" s="1" t="str">
        <f t="shared" ref="I1156:I1219" si="93">IFERROR(100/L1156,"")</f>
        <v/>
      </c>
      <c r="J1156" s="1" t="str">
        <f>_xlfn.IFNA(INDEX([1]历练产出!$Z:$Z,MATCH(B1156,[1]历练产出!$AB:$AB,0)),"")</f>
        <v/>
      </c>
      <c r="K1156" s="1" t="str">
        <f>_xlfn.IFNA(INDEX([1]洞天福地产出!$H:$H,MATCH(B1156,[1]洞天福地产出!$K:$K,0)),"")</f>
        <v/>
      </c>
      <c r="L1156" s="1" t="str">
        <f t="shared" ref="L1156:L1219" si="94">IFERROR(J1156+K1156,"")</f>
        <v/>
      </c>
      <c r="M1156" s="4">
        <f t="shared" ref="M1156:M1219" si="95">IF(I1156="",0,1)</f>
        <v>0</v>
      </c>
    </row>
    <row r="1157" ht="45" spans="1:13">
      <c r="A1157" s="4"/>
      <c r="B1157" t="str">
        <f t="shared" si="91"/>
        <v>7:25000130</v>
      </c>
      <c r="C1157" s="1">
        <v>7</v>
      </c>
      <c r="D1157" s="4">
        <v>25000130</v>
      </c>
      <c r="E1157" s="3" t="s">
        <v>1900</v>
      </c>
      <c r="F1157" s="3"/>
      <c r="G1157" s="1">
        <v>10052.1</v>
      </c>
      <c r="H1157" s="1">
        <f t="shared" si="92"/>
        <v>10052.1</v>
      </c>
      <c r="I1157" s="1" t="str">
        <f t="shared" si="93"/>
        <v/>
      </c>
      <c r="J1157" s="1" t="str">
        <f>_xlfn.IFNA(INDEX([1]历练产出!$Z:$Z,MATCH(B1157,[1]历练产出!$AB:$AB,0)),"")</f>
        <v/>
      </c>
      <c r="K1157" s="1" t="str">
        <f>_xlfn.IFNA(INDEX([1]洞天福地产出!$H:$H,MATCH(B1157,[1]洞天福地产出!$K:$K,0)),"")</f>
        <v/>
      </c>
      <c r="L1157" s="1" t="str">
        <f t="shared" si="94"/>
        <v/>
      </c>
      <c r="M1157" s="4">
        <f t="shared" si="95"/>
        <v>0</v>
      </c>
    </row>
    <row r="1158" ht="45" spans="1:13">
      <c r="A1158" s="4"/>
      <c r="B1158" t="str">
        <f t="shared" si="91"/>
        <v>7:26000101</v>
      </c>
      <c r="C1158" s="1">
        <v>7</v>
      </c>
      <c r="D1158" s="4">
        <v>26000101</v>
      </c>
      <c r="E1158" s="3" t="s">
        <v>475</v>
      </c>
      <c r="F1158" s="3"/>
      <c r="G1158" s="1">
        <v>656.1</v>
      </c>
      <c r="H1158" s="1">
        <f t="shared" si="92"/>
        <v>656.1</v>
      </c>
      <c r="I1158" s="1" t="str">
        <f t="shared" si="93"/>
        <v/>
      </c>
      <c r="J1158" s="1" t="str">
        <f>_xlfn.IFNA(INDEX([1]历练产出!$Z:$Z,MATCH(B1158,[1]历练产出!$AB:$AB,0)),"")</f>
        <v/>
      </c>
      <c r="K1158" s="1" t="str">
        <f>_xlfn.IFNA(INDEX([1]洞天福地产出!$H:$H,MATCH(B1158,[1]洞天福地产出!$K:$K,0)),"")</f>
        <v/>
      </c>
      <c r="L1158" s="1" t="str">
        <f t="shared" si="94"/>
        <v/>
      </c>
      <c r="M1158" s="4">
        <f t="shared" si="95"/>
        <v>0</v>
      </c>
    </row>
    <row r="1159" ht="45" spans="1:13">
      <c r="A1159" s="4"/>
      <c r="B1159" t="str">
        <f t="shared" si="91"/>
        <v>7:26000102</v>
      </c>
      <c r="C1159" s="1">
        <v>7</v>
      </c>
      <c r="D1159" s="4">
        <v>26000102</v>
      </c>
      <c r="E1159" s="3" t="s">
        <v>475</v>
      </c>
      <c r="F1159" s="3"/>
      <c r="G1159" s="1">
        <v>676.35</v>
      </c>
      <c r="H1159" s="1">
        <f t="shared" si="92"/>
        <v>676.35</v>
      </c>
      <c r="I1159" s="1" t="str">
        <f t="shared" si="93"/>
        <v/>
      </c>
      <c r="J1159" s="1" t="str">
        <f>_xlfn.IFNA(INDEX([1]历练产出!$Z:$Z,MATCH(B1159,[1]历练产出!$AB:$AB,0)),"")</f>
        <v/>
      </c>
      <c r="K1159" s="1" t="str">
        <f>_xlfn.IFNA(INDEX([1]洞天福地产出!$H:$H,MATCH(B1159,[1]洞天福地产出!$K:$K,0)),"")</f>
        <v/>
      </c>
      <c r="L1159" s="1" t="str">
        <f t="shared" si="94"/>
        <v/>
      </c>
      <c r="M1159" s="4">
        <f t="shared" si="95"/>
        <v>0</v>
      </c>
    </row>
    <row r="1160" ht="45" spans="1:13">
      <c r="A1160" s="4"/>
      <c r="B1160" t="str">
        <f t="shared" si="91"/>
        <v>7:26000103</v>
      </c>
      <c r="C1160" s="1">
        <v>7</v>
      </c>
      <c r="D1160" s="4">
        <v>26000103</v>
      </c>
      <c r="E1160" s="3" t="s">
        <v>475</v>
      </c>
      <c r="F1160" s="3"/>
      <c r="G1160" s="1">
        <v>708.75</v>
      </c>
      <c r="H1160" s="1">
        <f t="shared" si="92"/>
        <v>708.75</v>
      </c>
      <c r="I1160" s="1" t="str">
        <f t="shared" si="93"/>
        <v/>
      </c>
      <c r="J1160" s="1" t="str">
        <f>_xlfn.IFNA(INDEX([1]历练产出!$Z:$Z,MATCH(B1160,[1]历练产出!$AB:$AB,0)),"")</f>
        <v/>
      </c>
      <c r="K1160" s="1" t="str">
        <f>_xlfn.IFNA(INDEX([1]洞天福地产出!$H:$H,MATCH(B1160,[1]洞天福地产出!$K:$K,0)),"")</f>
        <v/>
      </c>
      <c r="L1160" s="1" t="str">
        <f t="shared" si="94"/>
        <v/>
      </c>
      <c r="M1160" s="4">
        <f t="shared" si="95"/>
        <v>0</v>
      </c>
    </row>
    <row r="1161" ht="45" spans="1:13">
      <c r="A1161" s="4"/>
      <c r="B1161" t="str">
        <f t="shared" si="91"/>
        <v>7:26000104</v>
      </c>
      <c r="C1161" s="1">
        <v>7</v>
      </c>
      <c r="D1161" s="4">
        <v>26000104</v>
      </c>
      <c r="E1161" s="3" t="s">
        <v>475</v>
      </c>
      <c r="F1161" s="3"/>
      <c r="G1161" s="1">
        <v>753.3</v>
      </c>
      <c r="H1161" s="1">
        <f t="shared" si="92"/>
        <v>753.3</v>
      </c>
      <c r="I1161" s="1" t="str">
        <f t="shared" si="93"/>
        <v/>
      </c>
      <c r="J1161" s="1" t="str">
        <f>_xlfn.IFNA(INDEX([1]历练产出!$Z:$Z,MATCH(B1161,[1]历练产出!$AB:$AB,0)),"")</f>
        <v/>
      </c>
      <c r="K1161" s="1" t="str">
        <f>_xlfn.IFNA(INDEX([1]洞天福地产出!$H:$H,MATCH(B1161,[1]洞天福地产出!$K:$K,0)),"")</f>
        <v/>
      </c>
      <c r="L1161" s="1" t="str">
        <f t="shared" si="94"/>
        <v/>
      </c>
      <c r="M1161" s="4">
        <f t="shared" si="95"/>
        <v>0</v>
      </c>
    </row>
    <row r="1162" ht="45" spans="1:13">
      <c r="A1162" s="4"/>
      <c r="B1162" t="str">
        <f t="shared" si="91"/>
        <v>7:26000105</v>
      </c>
      <c r="C1162" s="1">
        <v>7</v>
      </c>
      <c r="D1162" s="4">
        <v>26000105</v>
      </c>
      <c r="E1162" s="3" t="s">
        <v>475</v>
      </c>
      <c r="F1162" s="3"/>
      <c r="G1162" s="1">
        <v>810</v>
      </c>
      <c r="H1162" s="1">
        <f t="shared" si="92"/>
        <v>810</v>
      </c>
      <c r="I1162" s="1" t="str">
        <f t="shared" si="93"/>
        <v/>
      </c>
      <c r="J1162" s="1" t="str">
        <f>_xlfn.IFNA(INDEX([1]历练产出!$Z:$Z,MATCH(B1162,[1]历练产出!$AB:$AB,0)),"")</f>
        <v/>
      </c>
      <c r="K1162" s="1" t="str">
        <f>_xlfn.IFNA(INDEX([1]洞天福地产出!$H:$H,MATCH(B1162,[1]洞天福地产出!$K:$K,0)),"")</f>
        <v/>
      </c>
      <c r="L1162" s="1" t="str">
        <f t="shared" si="94"/>
        <v/>
      </c>
      <c r="M1162" s="4">
        <f t="shared" si="95"/>
        <v>0</v>
      </c>
    </row>
    <row r="1163" ht="45" spans="1:13">
      <c r="A1163" s="4"/>
      <c r="B1163" t="str">
        <f t="shared" si="91"/>
        <v>7:26000106</v>
      </c>
      <c r="C1163" s="1">
        <v>7</v>
      </c>
      <c r="D1163" s="4">
        <v>26000106</v>
      </c>
      <c r="E1163" s="3" t="s">
        <v>475</v>
      </c>
      <c r="F1163" s="3"/>
      <c r="G1163" s="1">
        <v>878.85</v>
      </c>
      <c r="H1163" s="1">
        <f t="shared" si="92"/>
        <v>878.85</v>
      </c>
      <c r="I1163" s="1" t="str">
        <f t="shared" si="93"/>
        <v/>
      </c>
      <c r="J1163" s="1" t="str">
        <f>_xlfn.IFNA(INDEX([1]历练产出!$Z:$Z,MATCH(B1163,[1]历练产出!$AB:$AB,0)),"")</f>
        <v/>
      </c>
      <c r="K1163" s="1" t="str">
        <f>_xlfn.IFNA(INDEX([1]洞天福地产出!$H:$H,MATCH(B1163,[1]洞天福地产出!$K:$K,0)),"")</f>
        <v/>
      </c>
      <c r="L1163" s="1" t="str">
        <f t="shared" si="94"/>
        <v/>
      </c>
      <c r="M1163" s="4">
        <f t="shared" si="95"/>
        <v>0</v>
      </c>
    </row>
    <row r="1164" ht="45" spans="1:13">
      <c r="A1164" s="4"/>
      <c r="B1164" t="str">
        <f t="shared" si="91"/>
        <v>7:26000107</v>
      </c>
      <c r="C1164" s="1">
        <v>7</v>
      </c>
      <c r="D1164" s="4">
        <v>26000107</v>
      </c>
      <c r="E1164" s="3" t="s">
        <v>475</v>
      </c>
      <c r="F1164" s="3"/>
      <c r="G1164" s="1">
        <v>959.85</v>
      </c>
      <c r="H1164" s="1">
        <f t="shared" si="92"/>
        <v>959.85</v>
      </c>
      <c r="I1164" s="1" t="str">
        <f t="shared" si="93"/>
        <v/>
      </c>
      <c r="J1164" s="1" t="str">
        <f>_xlfn.IFNA(INDEX([1]历练产出!$Z:$Z,MATCH(B1164,[1]历练产出!$AB:$AB,0)),"")</f>
        <v/>
      </c>
      <c r="K1164" s="1" t="str">
        <f>_xlfn.IFNA(INDEX([1]洞天福地产出!$H:$H,MATCH(B1164,[1]洞天福地产出!$K:$K,0)),"")</f>
        <v/>
      </c>
      <c r="L1164" s="1" t="str">
        <f t="shared" si="94"/>
        <v/>
      </c>
      <c r="M1164" s="4">
        <f t="shared" si="95"/>
        <v>0</v>
      </c>
    </row>
    <row r="1165" ht="45" spans="1:13">
      <c r="A1165" s="4"/>
      <c r="B1165" t="str">
        <f t="shared" si="91"/>
        <v>7:26000108</v>
      </c>
      <c r="C1165" s="1">
        <v>7</v>
      </c>
      <c r="D1165" s="4">
        <v>26000108</v>
      </c>
      <c r="E1165" s="3" t="s">
        <v>475</v>
      </c>
      <c r="F1165" s="3"/>
      <c r="G1165" s="1">
        <v>1053</v>
      </c>
      <c r="H1165" s="1">
        <f t="shared" si="92"/>
        <v>1053</v>
      </c>
      <c r="I1165" s="1" t="str">
        <f t="shared" si="93"/>
        <v/>
      </c>
      <c r="J1165" s="1" t="str">
        <f>_xlfn.IFNA(INDEX([1]历练产出!$Z:$Z,MATCH(B1165,[1]历练产出!$AB:$AB,0)),"")</f>
        <v/>
      </c>
      <c r="K1165" s="1" t="str">
        <f>_xlfn.IFNA(INDEX([1]洞天福地产出!$H:$H,MATCH(B1165,[1]洞天福地产出!$K:$K,0)),"")</f>
        <v/>
      </c>
      <c r="L1165" s="1" t="str">
        <f t="shared" si="94"/>
        <v/>
      </c>
      <c r="M1165" s="4">
        <f t="shared" si="95"/>
        <v>0</v>
      </c>
    </row>
    <row r="1166" ht="45" spans="1:13">
      <c r="A1166" s="4"/>
      <c r="B1166" t="str">
        <f t="shared" si="91"/>
        <v>7:26000109</v>
      </c>
      <c r="C1166" s="1">
        <v>7</v>
      </c>
      <c r="D1166" s="4">
        <v>26000109</v>
      </c>
      <c r="E1166" s="3" t="s">
        <v>475</v>
      </c>
      <c r="F1166" s="3"/>
      <c r="G1166" s="1">
        <v>1806.3</v>
      </c>
      <c r="H1166" s="1">
        <f t="shared" si="92"/>
        <v>1806.3</v>
      </c>
      <c r="I1166" s="1" t="str">
        <f t="shared" si="93"/>
        <v/>
      </c>
      <c r="J1166" s="1" t="str">
        <f>_xlfn.IFNA(INDEX([1]历练产出!$Z:$Z,MATCH(B1166,[1]历练产出!$AB:$AB,0)),"")</f>
        <v/>
      </c>
      <c r="K1166" s="1" t="str">
        <f>_xlfn.IFNA(INDEX([1]洞天福地产出!$H:$H,MATCH(B1166,[1]洞天福地产出!$K:$K,0)),"")</f>
        <v/>
      </c>
      <c r="L1166" s="1" t="str">
        <f t="shared" si="94"/>
        <v/>
      </c>
      <c r="M1166" s="4">
        <f t="shared" si="95"/>
        <v>0</v>
      </c>
    </row>
    <row r="1167" ht="45" spans="1:13">
      <c r="A1167" s="4"/>
      <c r="B1167" t="str">
        <f t="shared" si="91"/>
        <v>7:26000110</v>
      </c>
      <c r="C1167" s="1">
        <v>7</v>
      </c>
      <c r="D1167" s="4">
        <v>26000110</v>
      </c>
      <c r="E1167" s="3" t="s">
        <v>475</v>
      </c>
      <c r="F1167" s="3"/>
      <c r="G1167" s="1">
        <v>1923.75</v>
      </c>
      <c r="H1167" s="1">
        <f t="shared" si="92"/>
        <v>1923.75</v>
      </c>
      <c r="I1167" s="1" t="str">
        <f t="shared" si="93"/>
        <v/>
      </c>
      <c r="J1167" s="1" t="str">
        <f>_xlfn.IFNA(INDEX([1]历练产出!$Z:$Z,MATCH(B1167,[1]历练产出!$AB:$AB,0)),"")</f>
        <v/>
      </c>
      <c r="K1167" s="1" t="str">
        <f>_xlfn.IFNA(INDEX([1]洞天福地产出!$H:$H,MATCH(B1167,[1]洞天福地产出!$K:$K,0)),"")</f>
        <v/>
      </c>
      <c r="L1167" s="1" t="str">
        <f t="shared" si="94"/>
        <v/>
      </c>
      <c r="M1167" s="4">
        <f t="shared" si="95"/>
        <v>0</v>
      </c>
    </row>
    <row r="1168" ht="45" spans="1:13">
      <c r="A1168" s="4"/>
      <c r="B1168" t="str">
        <f t="shared" si="91"/>
        <v>7:26000111</v>
      </c>
      <c r="C1168" s="1">
        <v>7</v>
      </c>
      <c r="D1168" s="4">
        <v>26000111</v>
      </c>
      <c r="E1168" s="3" t="s">
        <v>475</v>
      </c>
      <c r="F1168" s="3"/>
      <c r="G1168" s="1">
        <v>2053.35</v>
      </c>
      <c r="H1168" s="1">
        <f t="shared" si="92"/>
        <v>2053.35</v>
      </c>
      <c r="I1168" s="1" t="str">
        <f t="shared" si="93"/>
        <v/>
      </c>
      <c r="J1168" s="1" t="str">
        <f>_xlfn.IFNA(INDEX([1]历练产出!$Z:$Z,MATCH(B1168,[1]历练产出!$AB:$AB,0)),"")</f>
        <v/>
      </c>
      <c r="K1168" s="1" t="str">
        <f>_xlfn.IFNA(INDEX([1]洞天福地产出!$H:$H,MATCH(B1168,[1]洞天福地产出!$K:$K,0)),"")</f>
        <v/>
      </c>
      <c r="L1168" s="1" t="str">
        <f t="shared" si="94"/>
        <v/>
      </c>
      <c r="M1168" s="4">
        <f t="shared" si="95"/>
        <v>0</v>
      </c>
    </row>
    <row r="1169" ht="45" spans="1:13">
      <c r="A1169" s="4"/>
      <c r="B1169" t="str">
        <f t="shared" si="91"/>
        <v>7:26000112</v>
      </c>
      <c r="C1169" s="1">
        <v>7</v>
      </c>
      <c r="D1169" s="4">
        <v>26000112</v>
      </c>
      <c r="E1169" s="3" t="s">
        <v>475</v>
      </c>
      <c r="F1169" s="3"/>
      <c r="G1169" s="1">
        <v>2195.1</v>
      </c>
      <c r="H1169" s="1">
        <f t="shared" si="92"/>
        <v>2195.1</v>
      </c>
      <c r="I1169" s="1" t="str">
        <f t="shared" si="93"/>
        <v/>
      </c>
      <c r="J1169" s="1" t="str">
        <f>_xlfn.IFNA(INDEX([1]历练产出!$Z:$Z,MATCH(B1169,[1]历练产出!$AB:$AB,0)),"")</f>
        <v/>
      </c>
      <c r="K1169" s="1" t="str">
        <f>_xlfn.IFNA(INDEX([1]洞天福地产出!$H:$H,MATCH(B1169,[1]洞天福地产出!$K:$K,0)),"")</f>
        <v/>
      </c>
      <c r="L1169" s="1" t="str">
        <f t="shared" si="94"/>
        <v/>
      </c>
      <c r="M1169" s="4">
        <f t="shared" si="95"/>
        <v>0</v>
      </c>
    </row>
    <row r="1170" ht="45" spans="1:13">
      <c r="A1170" s="4"/>
      <c r="B1170" t="str">
        <f t="shared" si="91"/>
        <v>7:26000113</v>
      </c>
      <c r="C1170" s="1">
        <v>7</v>
      </c>
      <c r="D1170" s="4">
        <v>26000113</v>
      </c>
      <c r="E1170" s="3" t="s">
        <v>475</v>
      </c>
      <c r="F1170" s="3"/>
      <c r="G1170" s="1">
        <v>2349</v>
      </c>
      <c r="H1170" s="1">
        <f t="shared" si="92"/>
        <v>2349</v>
      </c>
      <c r="I1170" s="1" t="str">
        <f t="shared" si="93"/>
        <v/>
      </c>
      <c r="J1170" s="1" t="str">
        <f>_xlfn.IFNA(INDEX([1]历练产出!$Z:$Z,MATCH(B1170,[1]历练产出!$AB:$AB,0)),"")</f>
        <v/>
      </c>
      <c r="K1170" s="1" t="str">
        <f>_xlfn.IFNA(INDEX([1]洞天福地产出!$H:$H,MATCH(B1170,[1]洞天福地产出!$K:$K,0)),"")</f>
        <v/>
      </c>
      <c r="L1170" s="1" t="str">
        <f t="shared" si="94"/>
        <v/>
      </c>
      <c r="M1170" s="4">
        <f t="shared" si="95"/>
        <v>0</v>
      </c>
    </row>
    <row r="1171" ht="45" spans="1:13">
      <c r="A1171" s="4"/>
      <c r="B1171" t="str">
        <f t="shared" si="91"/>
        <v>7:26000114</v>
      </c>
      <c r="C1171" s="1">
        <v>7</v>
      </c>
      <c r="D1171" s="4">
        <v>26000114</v>
      </c>
      <c r="E1171" s="3" t="s">
        <v>475</v>
      </c>
      <c r="F1171" s="3"/>
      <c r="G1171" s="1">
        <v>2515.05</v>
      </c>
      <c r="H1171" s="1">
        <f t="shared" si="92"/>
        <v>2515.05</v>
      </c>
      <c r="I1171" s="1" t="str">
        <f t="shared" si="93"/>
        <v/>
      </c>
      <c r="J1171" s="1" t="str">
        <f>_xlfn.IFNA(INDEX([1]历练产出!$Z:$Z,MATCH(B1171,[1]历练产出!$AB:$AB,0)),"")</f>
        <v/>
      </c>
      <c r="K1171" s="1" t="str">
        <f>_xlfn.IFNA(INDEX([1]洞天福地产出!$H:$H,MATCH(B1171,[1]洞天福地产出!$K:$K,0)),"")</f>
        <v/>
      </c>
      <c r="L1171" s="1" t="str">
        <f t="shared" si="94"/>
        <v/>
      </c>
      <c r="M1171" s="4">
        <f t="shared" si="95"/>
        <v>0</v>
      </c>
    </row>
    <row r="1172" ht="45" spans="1:13">
      <c r="A1172" s="4"/>
      <c r="B1172" t="str">
        <f t="shared" si="91"/>
        <v>7:26000115</v>
      </c>
      <c r="C1172" s="1">
        <v>7</v>
      </c>
      <c r="D1172" s="4">
        <v>26000115</v>
      </c>
      <c r="E1172" s="3" t="s">
        <v>475</v>
      </c>
      <c r="F1172" s="3"/>
      <c r="G1172" s="1">
        <v>2693.25</v>
      </c>
      <c r="H1172" s="1">
        <f t="shared" si="92"/>
        <v>2693.25</v>
      </c>
      <c r="I1172" s="1" t="str">
        <f t="shared" si="93"/>
        <v/>
      </c>
      <c r="J1172" s="1" t="str">
        <f>_xlfn.IFNA(INDEX([1]历练产出!$Z:$Z,MATCH(B1172,[1]历练产出!$AB:$AB,0)),"")</f>
        <v/>
      </c>
      <c r="K1172" s="1" t="str">
        <f>_xlfn.IFNA(INDEX([1]洞天福地产出!$H:$H,MATCH(B1172,[1]洞天福地产出!$K:$K,0)),"")</f>
        <v/>
      </c>
      <c r="L1172" s="1" t="str">
        <f t="shared" si="94"/>
        <v/>
      </c>
      <c r="M1172" s="4">
        <f t="shared" si="95"/>
        <v>0</v>
      </c>
    </row>
    <row r="1173" ht="45" spans="1:13">
      <c r="A1173" s="4"/>
      <c r="B1173" t="str">
        <f t="shared" si="91"/>
        <v>7:26000116</v>
      </c>
      <c r="C1173" s="1">
        <v>7</v>
      </c>
      <c r="D1173" s="4">
        <v>26000116</v>
      </c>
      <c r="E1173" s="3" t="s">
        <v>475</v>
      </c>
      <c r="F1173" s="3"/>
      <c r="G1173" s="1">
        <v>2883.6</v>
      </c>
      <c r="H1173" s="1">
        <f t="shared" si="92"/>
        <v>2883.6</v>
      </c>
      <c r="I1173" s="1" t="str">
        <f t="shared" si="93"/>
        <v/>
      </c>
      <c r="J1173" s="1" t="str">
        <f>_xlfn.IFNA(INDEX([1]历练产出!$Z:$Z,MATCH(B1173,[1]历练产出!$AB:$AB,0)),"")</f>
        <v/>
      </c>
      <c r="K1173" s="1" t="str">
        <f>_xlfn.IFNA(INDEX([1]洞天福地产出!$H:$H,MATCH(B1173,[1]洞天福地产出!$K:$K,0)),"")</f>
        <v/>
      </c>
      <c r="L1173" s="1" t="str">
        <f t="shared" si="94"/>
        <v/>
      </c>
      <c r="M1173" s="4">
        <f t="shared" si="95"/>
        <v>0</v>
      </c>
    </row>
    <row r="1174" ht="45" spans="1:13">
      <c r="A1174" s="4"/>
      <c r="B1174" t="str">
        <f t="shared" si="91"/>
        <v>7:26000117</v>
      </c>
      <c r="C1174" s="1">
        <v>7</v>
      </c>
      <c r="D1174" s="4">
        <v>26000117</v>
      </c>
      <c r="E1174" s="3" t="s">
        <v>475</v>
      </c>
      <c r="F1174" s="3"/>
      <c r="G1174" s="1">
        <v>3086.1</v>
      </c>
      <c r="H1174" s="1">
        <f t="shared" si="92"/>
        <v>3086.1</v>
      </c>
      <c r="I1174" s="1" t="str">
        <f t="shared" si="93"/>
        <v/>
      </c>
      <c r="J1174" s="1" t="str">
        <f>_xlfn.IFNA(INDEX([1]历练产出!$Z:$Z,MATCH(B1174,[1]历练产出!$AB:$AB,0)),"")</f>
        <v/>
      </c>
      <c r="K1174" s="1" t="str">
        <f>_xlfn.IFNA(INDEX([1]洞天福地产出!$H:$H,MATCH(B1174,[1]洞天福地产出!$K:$K,0)),"")</f>
        <v/>
      </c>
      <c r="L1174" s="1" t="str">
        <f t="shared" si="94"/>
        <v/>
      </c>
      <c r="M1174" s="4">
        <f t="shared" si="95"/>
        <v>0</v>
      </c>
    </row>
    <row r="1175" ht="45" spans="1:13">
      <c r="A1175" s="4"/>
      <c r="B1175" t="str">
        <f t="shared" si="91"/>
        <v>7:26000118</v>
      </c>
      <c r="C1175" s="1">
        <v>7</v>
      </c>
      <c r="D1175" s="4">
        <v>26000118</v>
      </c>
      <c r="E1175" s="3" t="s">
        <v>475</v>
      </c>
      <c r="F1175" s="3"/>
      <c r="G1175" s="1">
        <v>3300.75</v>
      </c>
      <c r="H1175" s="1">
        <f t="shared" si="92"/>
        <v>3300.75</v>
      </c>
      <c r="I1175" s="1" t="str">
        <f t="shared" si="93"/>
        <v/>
      </c>
      <c r="J1175" s="1" t="str">
        <f>_xlfn.IFNA(INDEX([1]历练产出!$Z:$Z,MATCH(B1175,[1]历练产出!$AB:$AB,0)),"")</f>
        <v/>
      </c>
      <c r="K1175" s="1" t="str">
        <f>_xlfn.IFNA(INDEX([1]洞天福地产出!$H:$H,MATCH(B1175,[1]洞天福地产出!$K:$K,0)),"")</f>
        <v/>
      </c>
      <c r="L1175" s="1" t="str">
        <f t="shared" si="94"/>
        <v/>
      </c>
      <c r="M1175" s="4">
        <f t="shared" si="95"/>
        <v>0</v>
      </c>
    </row>
    <row r="1176" ht="45" spans="1:13">
      <c r="A1176" s="4"/>
      <c r="B1176" t="str">
        <f t="shared" si="91"/>
        <v>7:26000119</v>
      </c>
      <c r="C1176" s="1">
        <v>7</v>
      </c>
      <c r="D1176" s="4">
        <v>26000119</v>
      </c>
      <c r="E1176" s="3" t="s">
        <v>475</v>
      </c>
      <c r="F1176" s="3"/>
      <c r="G1176" s="1">
        <v>4823.55</v>
      </c>
      <c r="H1176" s="1">
        <f t="shared" si="92"/>
        <v>4823.55</v>
      </c>
      <c r="I1176" s="1" t="str">
        <f t="shared" si="93"/>
        <v/>
      </c>
      <c r="J1176" s="1" t="str">
        <f>_xlfn.IFNA(INDEX([1]历练产出!$Z:$Z,MATCH(B1176,[1]历练产出!$AB:$AB,0)),"")</f>
        <v/>
      </c>
      <c r="K1176" s="1" t="str">
        <f>_xlfn.IFNA(INDEX([1]洞天福地产出!$H:$H,MATCH(B1176,[1]洞天福地产出!$K:$K,0)),"")</f>
        <v/>
      </c>
      <c r="L1176" s="1" t="str">
        <f t="shared" si="94"/>
        <v/>
      </c>
      <c r="M1176" s="4">
        <f t="shared" si="95"/>
        <v>0</v>
      </c>
    </row>
    <row r="1177" ht="45" spans="1:13">
      <c r="A1177" s="4"/>
      <c r="B1177" t="str">
        <f t="shared" si="91"/>
        <v>7:26000120</v>
      </c>
      <c r="C1177" s="1">
        <v>7</v>
      </c>
      <c r="D1177" s="4">
        <v>26000120</v>
      </c>
      <c r="E1177" s="3" t="s">
        <v>475</v>
      </c>
      <c r="F1177" s="3"/>
      <c r="G1177" s="1">
        <v>5062.5</v>
      </c>
      <c r="H1177" s="1">
        <f t="shared" si="92"/>
        <v>5062.5</v>
      </c>
      <c r="I1177" s="1" t="str">
        <f t="shared" si="93"/>
        <v/>
      </c>
      <c r="J1177" s="1" t="str">
        <f>_xlfn.IFNA(INDEX([1]历练产出!$Z:$Z,MATCH(B1177,[1]历练产出!$AB:$AB,0)),"")</f>
        <v/>
      </c>
      <c r="K1177" s="1" t="str">
        <f>_xlfn.IFNA(INDEX([1]洞天福地产出!$H:$H,MATCH(B1177,[1]洞天福地产出!$K:$K,0)),"")</f>
        <v/>
      </c>
      <c r="L1177" s="1" t="str">
        <f t="shared" si="94"/>
        <v/>
      </c>
      <c r="M1177" s="4">
        <f t="shared" si="95"/>
        <v>0</v>
      </c>
    </row>
    <row r="1178" ht="45" spans="1:13">
      <c r="A1178" s="4"/>
      <c r="B1178" t="str">
        <f t="shared" si="91"/>
        <v>7:26000121</v>
      </c>
      <c r="C1178" s="1">
        <v>7</v>
      </c>
      <c r="D1178" s="4">
        <v>26000121</v>
      </c>
      <c r="E1178" s="3" t="s">
        <v>475</v>
      </c>
      <c r="F1178" s="3"/>
      <c r="G1178" s="1">
        <v>5313.6</v>
      </c>
      <c r="H1178" s="1">
        <f t="shared" si="92"/>
        <v>5313.6</v>
      </c>
      <c r="I1178" s="1" t="str">
        <f t="shared" si="93"/>
        <v/>
      </c>
      <c r="J1178" s="1" t="str">
        <f>_xlfn.IFNA(INDEX([1]历练产出!$Z:$Z,MATCH(B1178,[1]历练产出!$AB:$AB,0)),"")</f>
        <v/>
      </c>
      <c r="K1178" s="1" t="str">
        <f>_xlfn.IFNA(INDEX([1]洞天福地产出!$H:$H,MATCH(B1178,[1]洞天福地产出!$K:$K,0)),"")</f>
        <v/>
      </c>
      <c r="L1178" s="1" t="str">
        <f t="shared" si="94"/>
        <v/>
      </c>
      <c r="M1178" s="4">
        <f t="shared" si="95"/>
        <v>0</v>
      </c>
    </row>
    <row r="1179" ht="45" spans="1:13">
      <c r="A1179" s="4"/>
      <c r="B1179" t="str">
        <f t="shared" si="91"/>
        <v>7:26000122</v>
      </c>
      <c r="C1179" s="1">
        <v>7</v>
      </c>
      <c r="D1179" s="4">
        <v>26000122</v>
      </c>
      <c r="E1179" s="3" t="s">
        <v>475</v>
      </c>
      <c r="F1179" s="3"/>
      <c r="G1179" s="1">
        <v>5576.85</v>
      </c>
      <c r="H1179" s="1">
        <f t="shared" si="92"/>
        <v>5576.85</v>
      </c>
      <c r="I1179" s="1" t="str">
        <f t="shared" si="93"/>
        <v/>
      </c>
      <c r="J1179" s="1" t="str">
        <f>_xlfn.IFNA(INDEX([1]历练产出!$Z:$Z,MATCH(B1179,[1]历练产出!$AB:$AB,0)),"")</f>
        <v/>
      </c>
      <c r="K1179" s="1" t="str">
        <f>_xlfn.IFNA(INDEX([1]洞天福地产出!$H:$H,MATCH(B1179,[1]洞天福地产出!$K:$K,0)),"")</f>
        <v/>
      </c>
      <c r="L1179" s="1" t="str">
        <f t="shared" si="94"/>
        <v/>
      </c>
      <c r="M1179" s="4">
        <f t="shared" si="95"/>
        <v>0</v>
      </c>
    </row>
    <row r="1180" ht="45" spans="1:13">
      <c r="A1180" s="4"/>
      <c r="B1180" t="str">
        <f t="shared" si="91"/>
        <v>7:26000123</v>
      </c>
      <c r="C1180" s="1">
        <v>7</v>
      </c>
      <c r="D1180" s="4">
        <v>26000123</v>
      </c>
      <c r="E1180" s="3" t="s">
        <v>475</v>
      </c>
      <c r="F1180" s="3"/>
      <c r="G1180" s="1">
        <v>5852.25</v>
      </c>
      <c r="H1180" s="1">
        <f t="shared" si="92"/>
        <v>5852.25</v>
      </c>
      <c r="I1180" s="1" t="str">
        <f t="shared" si="93"/>
        <v/>
      </c>
      <c r="J1180" s="1" t="str">
        <f>_xlfn.IFNA(INDEX([1]历练产出!$Z:$Z,MATCH(B1180,[1]历练产出!$AB:$AB,0)),"")</f>
        <v/>
      </c>
      <c r="K1180" s="1" t="str">
        <f>_xlfn.IFNA(INDEX([1]洞天福地产出!$H:$H,MATCH(B1180,[1]洞天福地产出!$K:$K,0)),"")</f>
        <v/>
      </c>
      <c r="L1180" s="1" t="str">
        <f t="shared" si="94"/>
        <v/>
      </c>
      <c r="M1180" s="4">
        <f t="shared" si="95"/>
        <v>0</v>
      </c>
    </row>
    <row r="1181" ht="45" spans="1:13">
      <c r="A1181" s="4"/>
      <c r="B1181" t="str">
        <f t="shared" si="91"/>
        <v>7:26000124</v>
      </c>
      <c r="C1181" s="1">
        <v>7</v>
      </c>
      <c r="D1181" s="4">
        <v>26000124</v>
      </c>
      <c r="E1181" s="3" t="s">
        <v>475</v>
      </c>
      <c r="F1181" s="3"/>
      <c r="G1181" s="1">
        <v>6139.8</v>
      </c>
      <c r="H1181" s="1">
        <f t="shared" si="92"/>
        <v>6139.8</v>
      </c>
      <c r="I1181" s="1" t="str">
        <f t="shared" si="93"/>
        <v/>
      </c>
      <c r="J1181" s="1" t="str">
        <f>_xlfn.IFNA(INDEX([1]历练产出!$Z:$Z,MATCH(B1181,[1]历练产出!$AB:$AB,0)),"")</f>
        <v/>
      </c>
      <c r="K1181" s="1" t="str">
        <f>_xlfn.IFNA(INDEX([1]洞天福地产出!$H:$H,MATCH(B1181,[1]洞天福地产出!$K:$K,0)),"")</f>
        <v/>
      </c>
      <c r="L1181" s="1" t="str">
        <f t="shared" si="94"/>
        <v/>
      </c>
      <c r="M1181" s="4">
        <f t="shared" si="95"/>
        <v>0</v>
      </c>
    </row>
    <row r="1182" ht="45" spans="1:13">
      <c r="A1182" s="4"/>
      <c r="B1182" t="str">
        <f t="shared" si="91"/>
        <v>7:26000125</v>
      </c>
      <c r="C1182" s="1">
        <v>7</v>
      </c>
      <c r="D1182" s="4">
        <v>26000125</v>
      </c>
      <c r="E1182" s="3" t="s">
        <v>475</v>
      </c>
      <c r="F1182" s="3"/>
      <c r="G1182" s="1">
        <v>6439.5</v>
      </c>
      <c r="H1182" s="1">
        <f t="shared" si="92"/>
        <v>6439.5</v>
      </c>
      <c r="I1182" s="1" t="str">
        <f t="shared" si="93"/>
        <v/>
      </c>
      <c r="J1182" s="1" t="str">
        <f>_xlfn.IFNA(INDEX([1]历练产出!$Z:$Z,MATCH(B1182,[1]历练产出!$AB:$AB,0)),"")</f>
        <v/>
      </c>
      <c r="K1182" s="1" t="str">
        <f>_xlfn.IFNA(INDEX([1]洞天福地产出!$H:$H,MATCH(B1182,[1]洞天福地产出!$K:$K,0)),"")</f>
        <v/>
      </c>
      <c r="L1182" s="1" t="str">
        <f t="shared" si="94"/>
        <v/>
      </c>
      <c r="M1182" s="4">
        <f t="shared" si="95"/>
        <v>0</v>
      </c>
    </row>
    <row r="1183" ht="45" spans="1:13">
      <c r="A1183" s="4"/>
      <c r="B1183" t="str">
        <f t="shared" si="91"/>
        <v>7:26000126</v>
      </c>
      <c r="C1183" s="1">
        <v>7</v>
      </c>
      <c r="D1183" s="4">
        <v>26000126</v>
      </c>
      <c r="E1183" s="3" t="s">
        <v>475</v>
      </c>
      <c r="F1183" s="3"/>
      <c r="G1183" s="1">
        <v>6751.35</v>
      </c>
      <c r="H1183" s="1">
        <f t="shared" si="92"/>
        <v>6751.35</v>
      </c>
      <c r="I1183" s="1" t="str">
        <f t="shared" si="93"/>
        <v/>
      </c>
      <c r="J1183" s="1" t="str">
        <f>_xlfn.IFNA(INDEX([1]历练产出!$Z:$Z,MATCH(B1183,[1]历练产出!$AB:$AB,0)),"")</f>
        <v/>
      </c>
      <c r="K1183" s="1" t="str">
        <f>_xlfn.IFNA(INDEX([1]洞天福地产出!$H:$H,MATCH(B1183,[1]洞天福地产出!$K:$K,0)),"")</f>
        <v/>
      </c>
      <c r="L1183" s="1" t="str">
        <f t="shared" si="94"/>
        <v/>
      </c>
      <c r="M1183" s="4">
        <f t="shared" si="95"/>
        <v>0</v>
      </c>
    </row>
    <row r="1184" ht="45" spans="1:13">
      <c r="A1184" s="4"/>
      <c r="B1184" t="str">
        <f t="shared" si="91"/>
        <v>7:26000127</v>
      </c>
      <c r="C1184" s="1">
        <v>7</v>
      </c>
      <c r="D1184" s="4">
        <v>26000127</v>
      </c>
      <c r="E1184" s="3" t="s">
        <v>475</v>
      </c>
      <c r="F1184" s="3"/>
      <c r="G1184" s="1">
        <v>7075.35</v>
      </c>
      <c r="H1184" s="1">
        <f t="shared" si="92"/>
        <v>7075.35</v>
      </c>
      <c r="I1184" s="1" t="str">
        <f t="shared" si="93"/>
        <v/>
      </c>
      <c r="J1184" s="1" t="str">
        <f>_xlfn.IFNA(INDEX([1]历练产出!$Z:$Z,MATCH(B1184,[1]历练产出!$AB:$AB,0)),"")</f>
        <v/>
      </c>
      <c r="K1184" s="1" t="str">
        <f>_xlfn.IFNA(INDEX([1]洞天福地产出!$H:$H,MATCH(B1184,[1]洞天福地产出!$K:$K,0)),"")</f>
        <v/>
      </c>
      <c r="L1184" s="1" t="str">
        <f t="shared" si="94"/>
        <v/>
      </c>
      <c r="M1184" s="4">
        <f t="shared" si="95"/>
        <v>0</v>
      </c>
    </row>
    <row r="1185" ht="45" spans="1:13">
      <c r="A1185" s="4"/>
      <c r="B1185" t="str">
        <f t="shared" si="91"/>
        <v>7:26000128</v>
      </c>
      <c r="C1185" s="1">
        <v>7</v>
      </c>
      <c r="D1185" s="4">
        <v>26000128</v>
      </c>
      <c r="E1185" s="3" t="s">
        <v>475</v>
      </c>
      <c r="F1185" s="3"/>
      <c r="G1185" s="1">
        <v>7411.5</v>
      </c>
      <c r="H1185" s="1">
        <f t="shared" si="92"/>
        <v>7411.5</v>
      </c>
      <c r="I1185" s="1" t="str">
        <f t="shared" si="93"/>
        <v/>
      </c>
      <c r="J1185" s="1" t="str">
        <f>_xlfn.IFNA(INDEX([1]历练产出!$Z:$Z,MATCH(B1185,[1]历练产出!$AB:$AB,0)),"")</f>
        <v/>
      </c>
      <c r="K1185" s="1" t="str">
        <f>_xlfn.IFNA(INDEX([1]洞天福地产出!$H:$H,MATCH(B1185,[1]洞天福地产出!$K:$K,0)),"")</f>
        <v/>
      </c>
      <c r="L1185" s="1" t="str">
        <f t="shared" si="94"/>
        <v/>
      </c>
      <c r="M1185" s="4">
        <f t="shared" si="95"/>
        <v>0</v>
      </c>
    </row>
    <row r="1186" ht="45" spans="1:13">
      <c r="A1186" s="4"/>
      <c r="B1186" t="str">
        <f t="shared" si="91"/>
        <v>7:26000129</v>
      </c>
      <c r="C1186" s="1">
        <v>7</v>
      </c>
      <c r="D1186" s="4">
        <v>26000129</v>
      </c>
      <c r="E1186" s="3" t="s">
        <v>475</v>
      </c>
      <c r="F1186" s="3"/>
      <c r="G1186" s="1">
        <v>9703.8</v>
      </c>
      <c r="H1186" s="1">
        <f t="shared" si="92"/>
        <v>9703.8</v>
      </c>
      <c r="I1186" s="1" t="str">
        <f t="shared" si="93"/>
        <v/>
      </c>
      <c r="J1186" s="1" t="str">
        <f>_xlfn.IFNA(INDEX([1]历练产出!$Z:$Z,MATCH(B1186,[1]历练产出!$AB:$AB,0)),"")</f>
        <v/>
      </c>
      <c r="K1186" s="1" t="str">
        <f>_xlfn.IFNA(INDEX([1]洞天福地产出!$H:$H,MATCH(B1186,[1]洞天福地产出!$K:$K,0)),"")</f>
        <v/>
      </c>
      <c r="L1186" s="1" t="str">
        <f t="shared" si="94"/>
        <v/>
      </c>
      <c r="M1186" s="4">
        <f t="shared" si="95"/>
        <v>0</v>
      </c>
    </row>
    <row r="1187" ht="45" spans="1:13">
      <c r="A1187" s="4"/>
      <c r="B1187" t="str">
        <f t="shared" si="91"/>
        <v>7:26000130</v>
      </c>
      <c r="C1187" s="1">
        <v>7</v>
      </c>
      <c r="D1187" s="4">
        <v>26000130</v>
      </c>
      <c r="E1187" s="3" t="s">
        <v>475</v>
      </c>
      <c r="F1187" s="3"/>
      <c r="G1187" s="1">
        <v>10052.1</v>
      </c>
      <c r="H1187" s="1">
        <f t="shared" si="92"/>
        <v>10052.1</v>
      </c>
      <c r="I1187" s="1" t="str">
        <f t="shared" si="93"/>
        <v/>
      </c>
      <c r="J1187" s="1" t="str">
        <f>_xlfn.IFNA(INDEX([1]历练产出!$Z:$Z,MATCH(B1187,[1]历练产出!$AB:$AB,0)),"")</f>
        <v/>
      </c>
      <c r="K1187" s="1" t="str">
        <f>_xlfn.IFNA(INDEX([1]洞天福地产出!$H:$H,MATCH(B1187,[1]洞天福地产出!$K:$K,0)),"")</f>
        <v/>
      </c>
      <c r="L1187" s="1" t="str">
        <f t="shared" si="94"/>
        <v/>
      </c>
      <c r="M1187" s="4">
        <f t="shared" si="95"/>
        <v>0</v>
      </c>
    </row>
    <row r="1188" spans="1:13">
      <c r="A1188" s="4"/>
      <c r="B1188" t="str">
        <f t="shared" ref="B1188:B1251" si="96">C1188&amp;":"&amp;D1188</f>
        <v>7:27000101</v>
      </c>
      <c r="C1188" s="1">
        <v>7</v>
      </c>
      <c r="D1188" s="4">
        <v>27000101</v>
      </c>
      <c r="E1188" s="3" t="s">
        <v>1901</v>
      </c>
      <c r="F1188" s="3"/>
      <c r="G1188" s="1">
        <v>656.1</v>
      </c>
      <c r="H1188" s="1">
        <f t="shared" si="92"/>
        <v>656.1</v>
      </c>
      <c r="I1188" s="1" t="str">
        <f t="shared" si="93"/>
        <v/>
      </c>
      <c r="J1188" s="1" t="str">
        <f>_xlfn.IFNA(INDEX([1]历练产出!$Z:$Z,MATCH(B1188,[1]历练产出!$AB:$AB,0)),"")</f>
        <v/>
      </c>
      <c r="K1188" s="1" t="str">
        <f>_xlfn.IFNA(INDEX([1]洞天福地产出!$H:$H,MATCH(B1188,[1]洞天福地产出!$K:$K,0)),"")</f>
        <v/>
      </c>
      <c r="L1188" s="1" t="str">
        <f t="shared" si="94"/>
        <v/>
      </c>
      <c r="M1188" s="4">
        <f t="shared" si="95"/>
        <v>0</v>
      </c>
    </row>
    <row r="1189" spans="1:13">
      <c r="A1189" s="4"/>
      <c r="B1189" t="str">
        <f t="shared" si="96"/>
        <v>7:27000102</v>
      </c>
      <c r="C1189" s="1">
        <v>7</v>
      </c>
      <c r="D1189" s="4">
        <v>27000102</v>
      </c>
      <c r="E1189" s="3" t="s">
        <v>1901</v>
      </c>
      <c r="F1189" s="3"/>
      <c r="G1189" s="1">
        <v>676.35</v>
      </c>
      <c r="H1189" s="1">
        <f t="shared" si="92"/>
        <v>676.35</v>
      </c>
      <c r="I1189" s="1" t="str">
        <f t="shared" si="93"/>
        <v/>
      </c>
      <c r="J1189" s="1" t="str">
        <f>_xlfn.IFNA(INDEX([1]历练产出!$Z:$Z,MATCH(B1189,[1]历练产出!$AB:$AB,0)),"")</f>
        <v/>
      </c>
      <c r="K1189" s="1" t="str">
        <f>_xlfn.IFNA(INDEX([1]洞天福地产出!$H:$H,MATCH(B1189,[1]洞天福地产出!$K:$K,0)),"")</f>
        <v/>
      </c>
      <c r="L1189" s="1" t="str">
        <f t="shared" si="94"/>
        <v/>
      </c>
      <c r="M1189" s="4">
        <f t="shared" si="95"/>
        <v>0</v>
      </c>
    </row>
    <row r="1190" spans="1:13">
      <c r="A1190" s="4"/>
      <c r="B1190" t="str">
        <f t="shared" si="96"/>
        <v>7:27000103</v>
      </c>
      <c r="C1190" s="1">
        <v>7</v>
      </c>
      <c r="D1190" s="4">
        <v>27000103</v>
      </c>
      <c r="E1190" s="3" t="s">
        <v>1901</v>
      </c>
      <c r="F1190" s="3"/>
      <c r="G1190" s="1">
        <v>708.75</v>
      </c>
      <c r="H1190" s="1">
        <f t="shared" si="92"/>
        <v>708.75</v>
      </c>
      <c r="I1190" s="1" t="str">
        <f t="shared" si="93"/>
        <v/>
      </c>
      <c r="J1190" s="1" t="str">
        <f>_xlfn.IFNA(INDEX([1]历练产出!$Z:$Z,MATCH(B1190,[1]历练产出!$AB:$AB,0)),"")</f>
        <v/>
      </c>
      <c r="K1190" s="1" t="str">
        <f>_xlfn.IFNA(INDEX([1]洞天福地产出!$H:$H,MATCH(B1190,[1]洞天福地产出!$K:$K,0)),"")</f>
        <v/>
      </c>
      <c r="L1190" s="1" t="str">
        <f t="shared" si="94"/>
        <v/>
      </c>
      <c r="M1190" s="4">
        <f t="shared" si="95"/>
        <v>0</v>
      </c>
    </row>
    <row r="1191" spans="1:13">
      <c r="A1191" s="4"/>
      <c r="B1191" t="str">
        <f t="shared" si="96"/>
        <v>7:27000104</v>
      </c>
      <c r="C1191" s="1">
        <v>7</v>
      </c>
      <c r="D1191" s="4">
        <v>27000104</v>
      </c>
      <c r="E1191" s="3" t="s">
        <v>1901</v>
      </c>
      <c r="F1191" s="3"/>
      <c r="G1191" s="1">
        <v>753.3</v>
      </c>
      <c r="H1191" s="1">
        <f t="shared" si="92"/>
        <v>753.3</v>
      </c>
      <c r="I1191" s="1" t="str">
        <f t="shared" si="93"/>
        <v/>
      </c>
      <c r="J1191" s="1" t="str">
        <f>_xlfn.IFNA(INDEX([1]历练产出!$Z:$Z,MATCH(B1191,[1]历练产出!$AB:$AB,0)),"")</f>
        <v/>
      </c>
      <c r="K1191" s="1" t="str">
        <f>_xlfn.IFNA(INDEX([1]洞天福地产出!$H:$H,MATCH(B1191,[1]洞天福地产出!$K:$K,0)),"")</f>
        <v/>
      </c>
      <c r="L1191" s="1" t="str">
        <f t="shared" si="94"/>
        <v/>
      </c>
      <c r="M1191" s="4">
        <f t="shared" si="95"/>
        <v>0</v>
      </c>
    </row>
    <row r="1192" spans="1:13">
      <c r="A1192" s="4"/>
      <c r="B1192" t="str">
        <f t="shared" si="96"/>
        <v>7:27000105</v>
      </c>
      <c r="C1192" s="1">
        <v>7</v>
      </c>
      <c r="D1192" s="4">
        <v>27000105</v>
      </c>
      <c r="E1192" s="3" t="s">
        <v>1901</v>
      </c>
      <c r="F1192" s="3"/>
      <c r="G1192" s="1">
        <v>810</v>
      </c>
      <c r="H1192" s="1">
        <f t="shared" si="92"/>
        <v>810</v>
      </c>
      <c r="I1192" s="1" t="str">
        <f t="shared" si="93"/>
        <v/>
      </c>
      <c r="J1192" s="1" t="str">
        <f>_xlfn.IFNA(INDEX([1]历练产出!$Z:$Z,MATCH(B1192,[1]历练产出!$AB:$AB,0)),"")</f>
        <v/>
      </c>
      <c r="K1192" s="1" t="str">
        <f>_xlfn.IFNA(INDEX([1]洞天福地产出!$H:$H,MATCH(B1192,[1]洞天福地产出!$K:$K,0)),"")</f>
        <v/>
      </c>
      <c r="L1192" s="1" t="str">
        <f t="shared" si="94"/>
        <v/>
      </c>
      <c r="M1192" s="4">
        <f t="shared" si="95"/>
        <v>0</v>
      </c>
    </row>
    <row r="1193" spans="1:13">
      <c r="A1193" s="4"/>
      <c r="B1193" t="str">
        <f t="shared" si="96"/>
        <v>7:27000106</v>
      </c>
      <c r="C1193" s="1">
        <v>7</v>
      </c>
      <c r="D1193" s="4">
        <v>27000106</v>
      </c>
      <c r="E1193" s="3" t="s">
        <v>1901</v>
      </c>
      <c r="F1193" s="3"/>
      <c r="G1193" s="1">
        <v>878.85</v>
      </c>
      <c r="H1193" s="1">
        <f t="shared" si="92"/>
        <v>878.85</v>
      </c>
      <c r="I1193" s="1" t="str">
        <f t="shared" si="93"/>
        <v/>
      </c>
      <c r="J1193" s="1" t="str">
        <f>_xlfn.IFNA(INDEX([1]历练产出!$Z:$Z,MATCH(B1193,[1]历练产出!$AB:$AB,0)),"")</f>
        <v/>
      </c>
      <c r="K1193" s="1" t="str">
        <f>_xlfn.IFNA(INDEX([1]洞天福地产出!$H:$H,MATCH(B1193,[1]洞天福地产出!$K:$K,0)),"")</f>
        <v/>
      </c>
      <c r="L1193" s="1" t="str">
        <f t="shared" si="94"/>
        <v/>
      </c>
      <c r="M1193" s="4">
        <f t="shared" si="95"/>
        <v>0</v>
      </c>
    </row>
    <row r="1194" spans="1:13">
      <c r="A1194" s="4"/>
      <c r="B1194" t="str">
        <f t="shared" si="96"/>
        <v>7:27000107</v>
      </c>
      <c r="C1194" s="1">
        <v>7</v>
      </c>
      <c r="D1194" s="4">
        <v>27000107</v>
      </c>
      <c r="E1194" s="3" t="s">
        <v>1901</v>
      </c>
      <c r="F1194" s="3"/>
      <c r="G1194" s="1">
        <v>959.85</v>
      </c>
      <c r="H1194" s="1">
        <f t="shared" si="92"/>
        <v>959.85</v>
      </c>
      <c r="I1194" s="1" t="str">
        <f t="shared" si="93"/>
        <v/>
      </c>
      <c r="J1194" s="1" t="str">
        <f>_xlfn.IFNA(INDEX([1]历练产出!$Z:$Z,MATCH(B1194,[1]历练产出!$AB:$AB,0)),"")</f>
        <v/>
      </c>
      <c r="K1194" s="1" t="str">
        <f>_xlfn.IFNA(INDEX([1]洞天福地产出!$H:$H,MATCH(B1194,[1]洞天福地产出!$K:$K,0)),"")</f>
        <v/>
      </c>
      <c r="L1194" s="1" t="str">
        <f t="shared" si="94"/>
        <v/>
      </c>
      <c r="M1194" s="4">
        <f t="shared" si="95"/>
        <v>0</v>
      </c>
    </row>
    <row r="1195" spans="1:13">
      <c r="A1195" s="4"/>
      <c r="B1195" t="str">
        <f t="shared" si="96"/>
        <v>7:27000108</v>
      </c>
      <c r="C1195" s="1">
        <v>7</v>
      </c>
      <c r="D1195" s="4">
        <v>27000108</v>
      </c>
      <c r="E1195" s="3" t="s">
        <v>1901</v>
      </c>
      <c r="F1195" s="3"/>
      <c r="G1195" s="1">
        <v>1053</v>
      </c>
      <c r="H1195" s="1">
        <f t="shared" si="92"/>
        <v>1053</v>
      </c>
      <c r="I1195" s="1" t="str">
        <f t="shared" si="93"/>
        <v/>
      </c>
      <c r="J1195" s="1" t="str">
        <f>_xlfn.IFNA(INDEX([1]历练产出!$Z:$Z,MATCH(B1195,[1]历练产出!$AB:$AB,0)),"")</f>
        <v/>
      </c>
      <c r="K1195" s="1" t="str">
        <f>_xlfn.IFNA(INDEX([1]洞天福地产出!$H:$H,MATCH(B1195,[1]洞天福地产出!$K:$K,0)),"")</f>
        <v/>
      </c>
      <c r="L1195" s="1" t="str">
        <f t="shared" si="94"/>
        <v/>
      </c>
      <c r="M1195" s="4">
        <f t="shared" si="95"/>
        <v>0</v>
      </c>
    </row>
    <row r="1196" spans="1:13">
      <c r="A1196" s="4"/>
      <c r="B1196" t="str">
        <f t="shared" si="96"/>
        <v>7:27000109</v>
      </c>
      <c r="C1196" s="1">
        <v>7</v>
      </c>
      <c r="D1196" s="4">
        <v>27000109</v>
      </c>
      <c r="E1196" s="3" t="s">
        <v>1901</v>
      </c>
      <c r="F1196" s="3"/>
      <c r="G1196" s="1">
        <v>1806.3</v>
      </c>
      <c r="H1196" s="1">
        <f t="shared" si="92"/>
        <v>1806.3</v>
      </c>
      <c r="I1196" s="1" t="str">
        <f t="shared" si="93"/>
        <v/>
      </c>
      <c r="J1196" s="1" t="str">
        <f>_xlfn.IFNA(INDEX([1]历练产出!$Z:$Z,MATCH(B1196,[1]历练产出!$AB:$AB,0)),"")</f>
        <v/>
      </c>
      <c r="K1196" s="1" t="str">
        <f>_xlfn.IFNA(INDEX([1]洞天福地产出!$H:$H,MATCH(B1196,[1]洞天福地产出!$K:$K,0)),"")</f>
        <v/>
      </c>
      <c r="L1196" s="1" t="str">
        <f t="shared" si="94"/>
        <v/>
      </c>
      <c r="M1196" s="4">
        <f t="shared" si="95"/>
        <v>0</v>
      </c>
    </row>
    <row r="1197" spans="1:13">
      <c r="A1197" s="4"/>
      <c r="B1197" t="str">
        <f t="shared" si="96"/>
        <v>7:27000110</v>
      </c>
      <c r="C1197" s="1">
        <v>7</v>
      </c>
      <c r="D1197" s="4">
        <v>27000110</v>
      </c>
      <c r="E1197" s="3" t="s">
        <v>1901</v>
      </c>
      <c r="F1197" s="3"/>
      <c r="G1197" s="1">
        <v>1923.75</v>
      </c>
      <c r="H1197" s="1">
        <f t="shared" si="92"/>
        <v>1923.75</v>
      </c>
      <c r="I1197" s="1" t="str">
        <f t="shared" si="93"/>
        <v/>
      </c>
      <c r="J1197" s="1" t="str">
        <f>_xlfn.IFNA(INDEX([1]历练产出!$Z:$Z,MATCH(B1197,[1]历练产出!$AB:$AB,0)),"")</f>
        <v/>
      </c>
      <c r="K1197" s="1" t="str">
        <f>_xlfn.IFNA(INDEX([1]洞天福地产出!$H:$H,MATCH(B1197,[1]洞天福地产出!$K:$K,0)),"")</f>
        <v/>
      </c>
      <c r="L1197" s="1" t="str">
        <f t="shared" si="94"/>
        <v/>
      </c>
      <c r="M1197" s="4">
        <f t="shared" si="95"/>
        <v>0</v>
      </c>
    </row>
    <row r="1198" spans="1:13">
      <c r="A1198" s="4"/>
      <c r="B1198" t="str">
        <f t="shared" si="96"/>
        <v>7:27000111</v>
      </c>
      <c r="C1198" s="1">
        <v>7</v>
      </c>
      <c r="D1198" s="4">
        <v>27000111</v>
      </c>
      <c r="E1198" s="3" t="s">
        <v>1901</v>
      </c>
      <c r="F1198" s="3"/>
      <c r="G1198" s="1">
        <v>2053.35</v>
      </c>
      <c r="H1198" s="1">
        <f t="shared" si="92"/>
        <v>2053.35</v>
      </c>
      <c r="I1198" s="1" t="str">
        <f t="shared" si="93"/>
        <v/>
      </c>
      <c r="J1198" s="1" t="str">
        <f>_xlfn.IFNA(INDEX([1]历练产出!$Z:$Z,MATCH(B1198,[1]历练产出!$AB:$AB,0)),"")</f>
        <v/>
      </c>
      <c r="K1198" s="1" t="str">
        <f>_xlfn.IFNA(INDEX([1]洞天福地产出!$H:$H,MATCH(B1198,[1]洞天福地产出!$K:$K,0)),"")</f>
        <v/>
      </c>
      <c r="L1198" s="1" t="str">
        <f t="shared" si="94"/>
        <v/>
      </c>
      <c r="M1198" s="4">
        <f t="shared" si="95"/>
        <v>0</v>
      </c>
    </row>
    <row r="1199" spans="1:13">
      <c r="A1199" s="4"/>
      <c r="B1199" t="str">
        <f t="shared" si="96"/>
        <v>7:27000112</v>
      </c>
      <c r="C1199" s="1">
        <v>7</v>
      </c>
      <c r="D1199" s="4">
        <v>27000112</v>
      </c>
      <c r="E1199" s="3" t="s">
        <v>1901</v>
      </c>
      <c r="F1199" s="3"/>
      <c r="G1199" s="1">
        <v>2195.1</v>
      </c>
      <c r="H1199" s="1">
        <f t="shared" si="92"/>
        <v>2195.1</v>
      </c>
      <c r="I1199" s="1" t="str">
        <f t="shared" si="93"/>
        <v/>
      </c>
      <c r="J1199" s="1" t="str">
        <f>_xlfn.IFNA(INDEX([1]历练产出!$Z:$Z,MATCH(B1199,[1]历练产出!$AB:$AB,0)),"")</f>
        <v/>
      </c>
      <c r="K1199" s="1" t="str">
        <f>_xlfn.IFNA(INDEX([1]洞天福地产出!$H:$H,MATCH(B1199,[1]洞天福地产出!$K:$K,0)),"")</f>
        <v/>
      </c>
      <c r="L1199" s="1" t="str">
        <f t="shared" si="94"/>
        <v/>
      </c>
      <c r="M1199" s="4">
        <f t="shared" si="95"/>
        <v>0</v>
      </c>
    </row>
    <row r="1200" spans="1:13">
      <c r="A1200" s="4"/>
      <c r="B1200" t="str">
        <f t="shared" si="96"/>
        <v>7:27000113</v>
      </c>
      <c r="C1200" s="1">
        <v>7</v>
      </c>
      <c r="D1200" s="4">
        <v>27000113</v>
      </c>
      <c r="E1200" s="3" t="s">
        <v>1901</v>
      </c>
      <c r="F1200" s="3"/>
      <c r="G1200" s="1">
        <v>2349</v>
      </c>
      <c r="H1200" s="1">
        <f t="shared" si="92"/>
        <v>2349</v>
      </c>
      <c r="I1200" s="1" t="str">
        <f t="shared" si="93"/>
        <v/>
      </c>
      <c r="J1200" s="1" t="str">
        <f>_xlfn.IFNA(INDEX([1]历练产出!$Z:$Z,MATCH(B1200,[1]历练产出!$AB:$AB,0)),"")</f>
        <v/>
      </c>
      <c r="K1200" s="1" t="str">
        <f>_xlfn.IFNA(INDEX([1]洞天福地产出!$H:$H,MATCH(B1200,[1]洞天福地产出!$K:$K,0)),"")</f>
        <v/>
      </c>
      <c r="L1200" s="1" t="str">
        <f t="shared" si="94"/>
        <v/>
      </c>
      <c r="M1200" s="4">
        <f t="shared" si="95"/>
        <v>0</v>
      </c>
    </row>
    <row r="1201" spans="1:13">
      <c r="A1201" s="4"/>
      <c r="B1201" t="str">
        <f t="shared" si="96"/>
        <v>7:27000114</v>
      </c>
      <c r="C1201" s="1">
        <v>7</v>
      </c>
      <c r="D1201" s="4">
        <v>27000114</v>
      </c>
      <c r="E1201" s="3" t="s">
        <v>1901</v>
      </c>
      <c r="F1201" s="3"/>
      <c r="G1201" s="1">
        <v>2515.05</v>
      </c>
      <c r="H1201" s="1">
        <f t="shared" si="92"/>
        <v>2515.05</v>
      </c>
      <c r="I1201" s="1" t="str">
        <f t="shared" si="93"/>
        <v/>
      </c>
      <c r="J1201" s="1" t="str">
        <f>_xlfn.IFNA(INDEX([1]历练产出!$Z:$Z,MATCH(B1201,[1]历练产出!$AB:$AB,0)),"")</f>
        <v/>
      </c>
      <c r="K1201" s="1" t="str">
        <f>_xlfn.IFNA(INDEX([1]洞天福地产出!$H:$H,MATCH(B1201,[1]洞天福地产出!$K:$K,0)),"")</f>
        <v/>
      </c>
      <c r="L1201" s="1" t="str">
        <f t="shared" si="94"/>
        <v/>
      </c>
      <c r="M1201" s="4">
        <f t="shared" si="95"/>
        <v>0</v>
      </c>
    </row>
    <row r="1202" spans="1:13">
      <c r="A1202" s="4"/>
      <c r="B1202" t="str">
        <f t="shared" si="96"/>
        <v>7:27000115</v>
      </c>
      <c r="C1202" s="1">
        <v>7</v>
      </c>
      <c r="D1202" s="4">
        <v>27000115</v>
      </c>
      <c r="E1202" s="3" t="s">
        <v>1901</v>
      </c>
      <c r="F1202" s="3"/>
      <c r="G1202" s="1">
        <v>2693.25</v>
      </c>
      <c r="H1202" s="1">
        <f t="shared" si="92"/>
        <v>2693.25</v>
      </c>
      <c r="I1202" s="1" t="str">
        <f t="shared" si="93"/>
        <v/>
      </c>
      <c r="J1202" s="1" t="str">
        <f>_xlfn.IFNA(INDEX([1]历练产出!$Z:$Z,MATCH(B1202,[1]历练产出!$AB:$AB,0)),"")</f>
        <v/>
      </c>
      <c r="K1202" s="1" t="str">
        <f>_xlfn.IFNA(INDEX([1]洞天福地产出!$H:$H,MATCH(B1202,[1]洞天福地产出!$K:$K,0)),"")</f>
        <v/>
      </c>
      <c r="L1202" s="1" t="str">
        <f t="shared" si="94"/>
        <v/>
      </c>
      <c r="M1202" s="4">
        <f t="shared" si="95"/>
        <v>0</v>
      </c>
    </row>
    <row r="1203" spans="1:13">
      <c r="A1203" s="4"/>
      <c r="B1203" t="str">
        <f t="shared" si="96"/>
        <v>7:27000116</v>
      </c>
      <c r="C1203" s="1">
        <v>7</v>
      </c>
      <c r="D1203" s="4">
        <v>27000116</v>
      </c>
      <c r="E1203" s="3" t="s">
        <v>1901</v>
      </c>
      <c r="F1203" s="3"/>
      <c r="G1203" s="1">
        <v>2883.6</v>
      </c>
      <c r="H1203" s="1">
        <f t="shared" si="92"/>
        <v>2883.6</v>
      </c>
      <c r="I1203" s="1" t="str">
        <f t="shared" si="93"/>
        <v/>
      </c>
      <c r="J1203" s="1" t="str">
        <f>_xlfn.IFNA(INDEX([1]历练产出!$Z:$Z,MATCH(B1203,[1]历练产出!$AB:$AB,0)),"")</f>
        <v/>
      </c>
      <c r="K1203" s="1" t="str">
        <f>_xlfn.IFNA(INDEX([1]洞天福地产出!$H:$H,MATCH(B1203,[1]洞天福地产出!$K:$K,0)),"")</f>
        <v/>
      </c>
      <c r="L1203" s="1" t="str">
        <f t="shared" si="94"/>
        <v/>
      </c>
      <c r="M1203" s="4">
        <f t="shared" si="95"/>
        <v>0</v>
      </c>
    </row>
    <row r="1204" spans="1:13">
      <c r="A1204" s="4"/>
      <c r="B1204" t="str">
        <f t="shared" si="96"/>
        <v>7:27000117</v>
      </c>
      <c r="C1204" s="1">
        <v>7</v>
      </c>
      <c r="D1204" s="4">
        <v>27000117</v>
      </c>
      <c r="E1204" s="3" t="s">
        <v>1901</v>
      </c>
      <c r="F1204" s="3"/>
      <c r="G1204" s="1">
        <v>3086.1</v>
      </c>
      <c r="H1204" s="1">
        <f t="shared" si="92"/>
        <v>3086.1</v>
      </c>
      <c r="I1204" s="1" t="str">
        <f t="shared" si="93"/>
        <v/>
      </c>
      <c r="J1204" s="1" t="str">
        <f>_xlfn.IFNA(INDEX([1]历练产出!$Z:$Z,MATCH(B1204,[1]历练产出!$AB:$AB,0)),"")</f>
        <v/>
      </c>
      <c r="K1204" s="1" t="str">
        <f>_xlfn.IFNA(INDEX([1]洞天福地产出!$H:$H,MATCH(B1204,[1]洞天福地产出!$K:$K,0)),"")</f>
        <v/>
      </c>
      <c r="L1204" s="1" t="str">
        <f t="shared" si="94"/>
        <v/>
      </c>
      <c r="M1204" s="4">
        <f t="shared" si="95"/>
        <v>0</v>
      </c>
    </row>
    <row r="1205" spans="1:13">
      <c r="A1205" s="4"/>
      <c r="B1205" t="str">
        <f t="shared" si="96"/>
        <v>7:27000118</v>
      </c>
      <c r="C1205" s="1">
        <v>7</v>
      </c>
      <c r="D1205" s="4">
        <v>27000118</v>
      </c>
      <c r="E1205" s="3" t="s">
        <v>1901</v>
      </c>
      <c r="F1205" s="3"/>
      <c r="G1205" s="1">
        <v>3300.75</v>
      </c>
      <c r="H1205" s="1">
        <f t="shared" si="92"/>
        <v>3300.75</v>
      </c>
      <c r="I1205" s="1" t="str">
        <f t="shared" si="93"/>
        <v/>
      </c>
      <c r="J1205" s="1" t="str">
        <f>_xlfn.IFNA(INDEX([1]历练产出!$Z:$Z,MATCH(B1205,[1]历练产出!$AB:$AB,0)),"")</f>
        <v/>
      </c>
      <c r="K1205" s="1" t="str">
        <f>_xlfn.IFNA(INDEX([1]洞天福地产出!$H:$H,MATCH(B1205,[1]洞天福地产出!$K:$K,0)),"")</f>
        <v/>
      </c>
      <c r="L1205" s="1" t="str">
        <f t="shared" si="94"/>
        <v/>
      </c>
      <c r="M1205" s="4">
        <f t="shared" si="95"/>
        <v>0</v>
      </c>
    </row>
    <row r="1206" spans="1:13">
      <c r="A1206" s="4"/>
      <c r="B1206" t="str">
        <f t="shared" si="96"/>
        <v>7:27000119</v>
      </c>
      <c r="C1206" s="1">
        <v>7</v>
      </c>
      <c r="D1206" s="4">
        <v>27000119</v>
      </c>
      <c r="E1206" s="3" t="s">
        <v>1901</v>
      </c>
      <c r="F1206" s="3"/>
      <c r="G1206" s="1">
        <v>4823.55</v>
      </c>
      <c r="H1206" s="1">
        <f t="shared" si="92"/>
        <v>4823.55</v>
      </c>
      <c r="I1206" s="1" t="str">
        <f t="shared" si="93"/>
        <v/>
      </c>
      <c r="J1206" s="1" t="str">
        <f>_xlfn.IFNA(INDEX([1]历练产出!$Z:$Z,MATCH(B1206,[1]历练产出!$AB:$AB,0)),"")</f>
        <v/>
      </c>
      <c r="K1206" s="1" t="str">
        <f>_xlfn.IFNA(INDEX([1]洞天福地产出!$H:$H,MATCH(B1206,[1]洞天福地产出!$K:$K,0)),"")</f>
        <v/>
      </c>
      <c r="L1206" s="1" t="str">
        <f t="shared" si="94"/>
        <v/>
      </c>
      <c r="M1206" s="4">
        <f t="shared" si="95"/>
        <v>0</v>
      </c>
    </row>
    <row r="1207" spans="1:13">
      <c r="A1207" s="4"/>
      <c r="B1207" t="str">
        <f t="shared" si="96"/>
        <v>7:27000120</v>
      </c>
      <c r="C1207" s="1">
        <v>7</v>
      </c>
      <c r="D1207" s="4">
        <v>27000120</v>
      </c>
      <c r="E1207" s="3" t="s">
        <v>1901</v>
      </c>
      <c r="F1207" s="3"/>
      <c r="G1207" s="1">
        <v>5062.5</v>
      </c>
      <c r="H1207" s="1">
        <f t="shared" si="92"/>
        <v>5062.5</v>
      </c>
      <c r="I1207" s="1" t="str">
        <f t="shared" si="93"/>
        <v/>
      </c>
      <c r="J1207" s="1" t="str">
        <f>_xlfn.IFNA(INDEX([1]历练产出!$Z:$Z,MATCH(B1207,[1]历练产出!$AB:$AB,0)),"")</f>
        <v/>
      </c>
      <c r="K1207" s="1" t="str">
        <f>_xlfn.IFNA(INDEX([1]洞天福地产出!$H:$H,MATCH(B1207,[1]洞天福地产出!$K:$K,0)),"")</f>
        <v/>
      </c>
      <c r="L1207" s="1" t="str">
        <f t="shared" si="94"/>
        <v/>
      </c>
      <c r="M1207" s="4">
        <f t="shared" si="95"/>
        <v>0</v>
      </c>
    </row>
    <row r="1208" spans="1:13">
      <c r="A1208" s="4"/>
      <c r="B1208" t="str">
        <f t="shared" si="96"/>
        <v>7:27000121</v>
      </c>
      <c r="C1208" s="1">
        <v>7</v>
      </c>
      <c r="D1208" s="4">
        <v>27000121</v>
      </c>
      <c r="E1208" s="3" t="s">
        <v>1901</v>
      </c>
      <c r="F1208" s="3"/>
      <c r="G1208" s="1">
        <v>5313.6</v>
      </c>
      <c r="H1208" s="1">
        <f t="shared" si="92"/>
        <v>5313.6</v>
      </c>
      <c r="I1208" s="1" t="str">
        <f t="shared" si="93"/>
        <v/>
      </c>
      <c r="J1208" s="1" t="str">
        <f>_xlfn.IFNA(INDEX([1]历练产出!$Z:$Z,MATCH(B1208,[1]历练产出!$AB:$AB,0)),"")</f>
        <v/>
      </c>
      <c r="K1208" s="1" t="str">
        <f>_xlfn.IFNA(INDEX([1]洞天福地产出!$H:$H,MATCH(B1208,[1]洞天福地产出!$K:$K,0)),"")</f>
        <v/>
      </c>
      <c r="L1208" s="1" t="str">
        <f t="shared" si="94"/>
        <v/>
      </c>
      <c r="M1208" s="4">
        <f t="shared" si="95"/>
        <v>0</v>
      </c>
    </row>
    <row r="1209" spans="1:13">
      <c r="A1209" s="4"/>
      <c r="B1209" t="str">
        <f t="shared" si="96"/>
        <v>7:27000122</v>
      </c>
      <c r="C1209" s="1">
        <v>7</v>
      </c>
      <c r="D1209" s="4">
        <v>27000122</v>
      </c>
      <c r="E1209" s="3" t="s">
        <v>1901</v>
      </c>
      <c r="F1209" s="3"/>
      <c r="G1209" s="1">
        <v>5576.85</v>
      </c>
      <c r="H1209" s="1">
        <f t="shared" si="92"/>
        <v>5576.85</v>
      </c>
      <c r="I1209" s="1" t="str">
        <f t="shared" si="93"/>
        <v/>
      </c>
      <c r="J1209" s="1" t="str">
        <f>_xlfn.IFNA(INDEX([1]历练产出!$Z:$Z,MATCH(B1209,[1]历练产出!$AB:$AB,0)),"")</f>
        <v/>
      </c>
      <c r="K1209" s="1" t="str">
        <f>_xlfn.IFNA(INDEX([1]洞天福地产出!$H:$H,MATCH(B1209,[1]洞天福地产出!$K:$K,0)),"")</f>
        <v/>
      </c>
      <c r="L1209" s="1" t="str">
        <f t="shared" si="94"/>
        <v/>
      </c>
      <c r="M1209" s="4">
        <f t="shared" si="95"/>
        <v>0</v>
      </c>
    </row>
    <row r="1210" spans="1:13">
      <c r="A1210" s="4"/>
      <c r="B1210" t="str">
        <f t="shared" si="96"/>
        <v>7:27000123</v>
      </c>
      <c r="C1210" s="1">
        <v>7</v>
      </c>
      <c r="D1210" s="4">
        <v>27000123</v>
      </c>
      <c r="E1210" s="3" t="s">
        <v>1901</v>
      </c>
      <c r="F1210" s="3"/>
      <c r="G1210" s="1">
        <v>5852.25</v>
      </c>
      <c r="H1210" s="1">
        <f t="shared" si="92"/>
        <v>5852.25</v>
      </c>
      <c r="I1210" s="1" t="str">
        <f t="shared" si="93"/>
        <v/>
      </c>
      <c r="J1210" s="1" t="str">
        <f>_xlfn.IFNA(INDEX([1]历练产出!$Z:$Z,MATCH(B1210,[1]历练产出!$AB:$AB,0)),"")</f>
        <v/>
      </c>
      <c r="K1210" s="1" t="str">
        <f>_xlfn.IFNA(INDEX([1]洞天福地产出!$H:$H,MATCH(B1210,[1]洞天福地产出!$K:$K,0)),"")</f>
        <v/>
      </c>
      <c r="L1210" s="1" t="str">
        <f t="shared" si="94"/>
        <v/>
      </c>
      <c r="M1210" s="4">
        <f t="shared" si="95"/>
        <v>0</v>
      </c>
    </row>
    <row r="1211" spans="1:13">
      <c r="A1211" s="4"/>
      <c r="B1211" t="str">
        <f t="shared" si="96"/>
        <v>7:27000124</v>
      </c>
      <c r="C1211" s="1">
        <v>7</v>
      </c>
      <c r="D1211" s="4">
        <v>27000124</v>
      </c>
      <c r="E1211" s="3" t="s">
        <v>1901</v>
      </c>
      <c r="F1211" s="3"/>
      <c r="G1211" s="1">
        <v>6139.8</v>
      </c>
      <c r="H1211" s="1">
        <f t="shared" si="92"/>
        <v>6139.8</v>
      </c>
      <c r="I1211" s="1" t="str">
        <f t="shared" si="93"/>
        <v/>
      </c>
      <c r="J1211" s="1" t="str">
        <f>_xlfn.IFNA(INDEX([1]历练产出!$Z:$Z,MATCH(B1211,[1]历练产出!$AB:$AB,0)),"")</f>
        <v/>
      </c>
      <c r="K1211" s="1" t="str">
        <f>_xlfn.IFNA(INDEX([1]洞天福地产出!$H:$H,MATCH(B1211,[1]洞天福地产出!$K:$K,0)),"")</f>
        <v/>
      </c>
      <c r="L1211" s="1" t="str">
        <f t="shared" si="94"/>
        <v/>
      </c>
      <c r="M1211" s="4">
        <f t="shared" si="95"/>
        <v>0</v>
      </c>
    </row>
    <row r="1212" spans="1:13">
      <c r="A1212" s="4"/>
      <c r="B1212" t="str">
        <f t="shared" si="96"/>
        <v>7:27000125</v>
      </c>
      <c r="C1212" s="1">
        <v>7</v>
      </c>
      <c r="D1212" s="4">
        <v>27000125</v>
      </c>
      <c r="E1212" s="3" t="s">
        <v>1901</v>
      </c>
      <c r="F1212" s="3"/>
      <c r="G1212" s="1">
        <v>6439.5</v>
      </c>
      <c r="H1212" s="1">
        <f t="shared" si="92"/>
        <v>6439.5</v>
      </c>
      <c r="I1212" s="1" t="str">
        <f t="shared" si="93"/>
        <v/>
      </c>
      <c r="J1212" s="1" t="str">
        <f>_xlfn.IFNA(INDEX([1]历练产出!$Z:$Z,MATCH(B1212,[1]历练产出!$AB:$AB,0)),"")</f>
        <v/>
      </c>
      <c r="K1212" s="1" t="str">
        <f>_xlfn.IFNA(INDEX([1]洞天福地产出!$H:$H,MATCH(B1212,[1]洞天福地产出!$K:$K,0)),"")</f>
        <v/>
      </c>
      <c r="L1212" s="1" t="str">
        <f t="shared" si="94"/>
        <v/>
      </c>
      <c r="M1212" s="4">
        <f t="shared" si="95"/>
        <v>0</v>
      </c>
    </row>
    <row r="1213" spans="1:13">
      <c r="A1213" s="4"/>
      <c r="B1213" t="str">
        <f t="shared" si="96"/>
        <v>7:27000126</v>
      </c>
      <c r="C1213" s="1">
        <v>7</v>
      </c>
      <c r="D1213" s="4">
        <v>27000126</v>
      </c>
      <c r="E1213" s="3" t="s">
        <v>1901</v>
      </c>
      <c r="F1213" s="3"/>
      <c r="G1213" s="1">
        <v>6751.35</v>
      </c>
      <c r="H1213" s="1">
        <f t="shared" si="92"/>
        <v>6751.35</v>
      </c>
      <c r="I1213" s="1" t="str">
        <f t="shared" si="93"/>
        <v/>
      </c>
      <c r="J1213" s="1" t="str">
        <f>_xlfn.IFNA(INDEX([1]历练产出!$Z:$Z,MATCH(B1213,[1]历练产出!$AB:$AB,0)),"")</f>
        <v/>
      </c>
      <c r="K1213" s="1" t="str">
        <f>_xlfn.IFNA(INDEX([1]洞天福地产出!$H:$H,MATCH(B1213,[1]洞天福地产出!$K:$K,0)),"")</f>
        <v/>
      </c>
      <c r="L1213" s="1" t="str">
        <f t="shared" si="94"/>
        <v/>
      </c>
      <c r="M1213" s="4">
        <f t="shared" si="95"/>
        <v>0</v>
      </c>
    </row>
    <row r="1214" spans="1:13">
      <c r="A1214" s="4"/>
      <c r="B1214" t="str">
        <f t="shared" si="96"/>
        <v>7:27000127</v>
      </c>
      <c r="C1214" s="1">
        <v>7</v>
      </c>
      <c r="D1214" s="4">
        <v>27000127</v>
      </c>
      <c r="E1214" s="3" t="s">
        <v>1901</v>
      </c>
      <c r="F1214" s="3"/>
      <c r="G1214" s="1">
        <v>7075.35</v>
      </c>
      <c r="H1214" s="1">
        <f t="shared" si="92"/>
        <v>7075.35</v>
      </c>
      <c r="I1214" s="1" t="str">
        <f t="shared" si="93"/>
        <v/>
      </c>
      <c r="J1214" s="1" t="str">
        <f>_xlfn.IFNA(INDEX([1]历练产出!$Z:$Z,MATCH(B1214,[1]历练产出!$AB:$AB,0)),"")</f>
        <v/>
      </c>
      <c r="K1214" s="1" t="str">
        <f>_xlfn.IFNA(INDEX([1]洞天福地产出!$H:$H,MATCH(B1214,[1]洞天福地产出!$K:$K,0)),"")</f>
        <v/>
      </c>
      <c r="L1214" s="1" t="str">
        <f t="shared" si="94"/>
        <v/>
      </c>
      <c r="M1214" s="4">
        <f t="shared" si="95"/>
        <v>0</v>
      </c>
    </row>
    <row r="1215" spans="1:13">
      <c r="A1215" s="4"/>
      <c r="B1215" t="str">
        <f t="shared" si="96"/>
        <v>7:27000128</v>
      </c>
      <c r="C1215" s="1">
        <v>7</v>
      </c>
      <c r="D1215" s="4">
        <v>27000128</v>
      </c>
      <c r="E1215" s="3" t="s">
        <v>1901</v>
      </c>
      <c r="F1215" s="3"/>
      <c r="G1215" s="1">
        <v>7411.5</v>
      </c>
      <c r="H1215" s="1">
        <f t="shared" si="92"/>
        <v>7411.5</v>
      </c>
      <c r="I1215" s="1" t="str">
        <f t="shared" si="93"/>
        <v/>
      </c>
      <c r="J1215" s="1" t="str">
        <f>_xlfn.IFNA(INDEX([1]历练产出!$Z:$Z,MATCH(B1215,[1]历练产出!$AB:$AB,0)),"")</f>
        <v/>
      </c>
      <c r="K1215" s="1" t="str">
        <f>_xlfn.IFNA(INDEX([1]洞天福地产出!$H:$H,MATCH(B1215,[1]洞天福地产出!$K:$K,0)),"")</f>
        <v/>
      </c>
      <c r="L1215" s="1" t="str">
        <f t="shared" si="94"/>
        <v/>
      </c>
      <c r="M1215" s="4">
        <f t="shared" si="95"/>
        <v>0</v>
      </c>
    </row>
    <row r="1216" spans="1:13">
      <c r="A1216" s="4"/>
      <c r="B1216" t="str">
        <f t="shared" si="96"/>
        <v>7:27000129</v>
      </c>
      <c r="C1216" s="1">
        <v>7</v>
      </c>
      <c r="D1216" s="4">
        <v>27000129</v>
      </c>
      <c r="E1216" s="3" t="s">
        <v>1901</v>
      </c>
      <c r="F1216" s="3"/>
      <c r="G1216" s="1">
        <v>9703.8</v>
      </c>
      <c r="H1216" s="1">
        <f t="shared" si="92"/>
        <v>9703.8</v>
      </c>
      <c r="I1216" s="1" t="str">
        <f t="shared" si="93"/>
        <v/>
      </c>
      <c r="J1216" s="1" t="str">
        <f>_xlfn.IFNA(INDEX([1]历练产出!$Z:$Z,MATCH(B1216,[1]历练产出!$AB:$AB,0)),"")</f>
        <v/>
      </c>
      <c r="K1216" s="1" t="str">
        <f>_xlfn.IFNA(INDEX([1]洞天福地产出!$H:$H,MATCH(B1216,[1]洞天福地产出!$K:$K,0)),"")</f>
        <v/>
      </c>
      <c r="L1216" s="1" t="str">
        <f t="shared" si="94"/>
        <v/>
      </c>
      <c r="M1216" s="4">
        <f t="shared" si="95"/>
        <v>0</v>
      </c>
    </row>
    <row r="1217" spans="1:13">
      <c r="A1217" s="4"/>
      <c r="B1217" t="str">
        <f t="shared" si="96"/>
        <v>7:27000130</v>
      </c>
      <c r="C1217" s="1">
        <v>7</v>
      </c>
      <c r="D1217" s="4">
        <v>27000130</v>
      </c>
      <c r="E1217" s="3" t="s">
        <v>1901</v>
      </c>
      <c r="F1217" s="3"/>
      <c r="G1217" s="1">
        <v>10052.1</v>
      </c>
      <c r="H1217" s="1">
        <f t="shared" si="92"/>
        <v>10052.1</v>
      </c>
      <c r="I1217" s="1" t="str">
        <f t="shared" si="93"/>
        <v/>
      </c>
      <c r="J1217" s="1" t="str">
        <f>_xlfn.IFNA(INDEX([1]历练产出!$Z:$Z,MATCH(B1217,[1]历练产出!$AB:$AB,0)),"")</f>
        <v/>
      </c>
      <c r="K1217" s="1" t="str">
        <f>_xlfn.IFNA(INDEX([1]洞天福地产出!$H:$H,MATCH(B1217,[1]洞天福地产出!$K:$K,0)),"")</f>
        <v/>
      </c>
      <c r="L1217" s="1" t="str">
        <f t="shared" si="94"/>
        <v/>
      </c>
      <c r="M1217" s="4">
        <f t="shared" si="95"/>
        <v>0</v>
      </c>
    </row>
    <row r="1218" ht="30" spans="1:13">
      <c r="A1218" s="4"/>
      <c r="B1218" t="str">
        <f t="shared" si="96"/>
        <v>7:28000101</v>
      </c>
      <c r="C1218" s="1">
        <v>7</v>
      </c>
      <c r="D1218" s="4">
        <v>28000101</v>
      </c>
      <c r="E1218" s="3" t="s">
        <v>1902</v>
      </c>
      <c r="F1218" s="3"/>
      <c r="G1218" s="1">
        <v>656.1</v>
      </c>
      <c r="H1218" s="1">
        <f t="shared" si="92"/>
        <v>656.1</v>
      </c>
      <c r="I1218" s="1" t="str">
        <f t="shared" si="93"/>
        <v/>
      </c>
      <c r="J1218" s="1" t="str">
        <f>_xlfn.IFNA(INDEX([1]历练产出!$Z:$Z,MATCH(B1218,[1]历练产出!$AB:$AB,0)),"")</f>
        <v/>
      </c>
      <c r="K1218" s="1" t="str">
        <f>_xlfn.IFNA(INDEX([1]洞天福地产出!$H:$H,MATCH(B1218,[1]洞天福地产出!$K:$K,0)),"")</f>
        <v/>
      </c>
      <c r="L1218" s="1" t="str">
        <f t="shared" si="94"/>
        <v/>
      </c>
      <c r="M1218" s="4">
        <f t="shared" si="95"/>
        <v>0</v>
      </c>
    </row>
    <row r="1219" ht="30" spans="1:13">
      <c r="A1219" s="4"/>
      <c r="B1219" t="str">
        <f t="shared" si="96"/>
        <v>7:28000102</v>
      </c>
      <c r="C1219" s="1">
        <v>7</v>
      </c>
      <c r="D1219" s="4">
        <v>28000102</v>
      </c>
      <c r="E1219" s="3" t="s">
        <v>1902</v>
      </c>
      <c r="F1219" s="3"/>
      <c r="G1219" s="1">
        <v>676.35</v>
      </c>
      <c r="H1219" s="1">
        <f t="shared" si="92"/>
        <v>676.35</v>
      </c>
      <c r="I1219" s="1" t="str">
        <f t="shared" si="93"/>
        <v/>
      </c>
      <c r="J1219" s="1" t="str">
        <f>_xlfn.IFNA(INDEX([1]历练产出!$Z:$Z,MATCH(B1219,[1]历练产出!$AB:$AB,0)),"")</f>
        <v/>
      </c>
      <c r="K1219" s="1" t="str">
        <f>_xlfn.IFNA(INDEX([1]洞天福地产出!$H:$H,MATCH(B1219,[1]洞天福地产出!$K:$K,0)),"")</f>
        <v/>
      </c>
      <c r="L1219" s="1" t="str">
        <f t="shared" si="94"/>
        <v/>
      </c>
      <c r="M1219" s="4">
        <f t="shared" si="95"/>
        <v>0</v>
      </c>
    </row>
    <row r="1220" ht="30" spans="1:13">
      <c r="A1220" s="4"/>
      <c r="B1220" t="str">
        <f t="shared" si="96"/>
        <v>7:28000103</v>
      </c>
      <c r="C1220" s="1">
        <v>7</v>
      </c>
      <c r="D1220" s="4">
        <v>28000103</v>
      </c>
      <c r="E1220" s="3" t="s">
        <v>1902</v>
      </c>
      <c r="F1220" s="3"/>
      <c r="G1220" s="1">
        <v>708.75</v>
      </c>
      <c r="H1220" s="1">
        <f t="shared" ref="H1220:H1283" si="97">IF(I1220="",G1220,I1220)</f>
        <v>708.75</v>
      </c>
      <c r="I1220" s="1" t="str">
        <f t="shared" ref="I1220:I1283" si="98">IFERROR(100/L1220,"")</f>
        <v/>
      </c>
      <c r="J1220" s="1" t="str">
        <f>_xlfn.IFNA(INDEX([1]历练产出!$Z:$Z,MATCH(B1220,[1]历练产出!$AB:$AB,0)),"")</f>
        <v/>
      </c>
      <c r="K1220" s="1" t="str">
        <f>_xlfn.IFNA(INDEX([1]洞天福地产出!$H:$H,MATCH(B1220,[1]洞天福地产出!$K:$K,0)),"")</f>
        <v/>
      </c>
      <c r="L1220" s="1" t="str">
        <f t="shared" ref="L1220:L1283" si="99">IFERROR(J1220+K1220,"")</f>
        <v/>
      </c>
      <c r="M1220" s="4">
        <f t="shared" ref="M1220:M1283" si="100">IF(I1220="",0,1)</f>
        <v>0</v>
      </c>
    </row>
    <row r="1221" ht="30" spans="1:13">
      <c r="A1221" s="4"/>
      <c r="B1221" t="str">
        <f t="shared" si="96"/>
        <v>7:28000104</v>
      </c>
      <c r="C1221" s="1">
        <v>7</v>
      </c>
      <c r="D1221" s="4">
        <v>28000104</v>
      </c>
      <c r="E1221" s="3" t="s">
        <v>1902</v>
      </c>
      <c r="F1221" s="3"/>
      <c r="G1221" s="1">
        <v>753.3</v>
      </c>
      <c r="H1221" s="1">
        <f t="shared" si="97"/>
        <v>753.3</v>
      </c>
      <c r="I1221" s="1" t="str">
        <f t="shared" si="98"/>
        <v/>
      </c>
      <c r="J1221" s="1" t="str">
        <f>_xlfn.IFNA(INDEX([1]历练产出!$Z:$Z,MATCH(B1221,[1]历练产出!$AB:$AB,0)),"")</f>
        <v/>
      </c>
      <c r="K1221" s="1" t="str">
        <f>_xlfn.IFNA(INDEX([1]洞天福地产出!$H:$H,MATCH(B1221,[1]洞天福地产出!$K:$K,0)),"")</f>
        <v/>
      </c>
      <c r="L1221" s="1" t="str">
        <f t="shared" si="99"/>
        <v/>
      </c>
      <c r="M1221" s="4">
        <f t="shared" si="100"/>
        <v>0</v>
      </c>
    </row>
    <row r="1222" ht="30" spans="1:13">
      <c r="A1222" s="4"/>
      <c r="B1222" t="str">
        <f t="shared" si="96"/>
        <v>7:28000105</v>
      </c>
      <c r="C1222" s="1">
        <v>7</v>
      </c>
      <c r="D1222" s="4">
        <v>28000105</v>
      </c>
      <c r="E1222" s="3" t="s">
        <v>1902</v>
      </c>
      <c r="F1222" s="3"/>
      <c r="G1222" s="1">
        <v>810</v>
      </c>
      <c r="H1222" s="1">
        <f t="shared" si="97"/>
        <v>810</v>
      </c>
      <c r="I1222" s="1" t="str">
        <f t="shared" si="98"/>
        <v/>
      </c>
      <c r="J1222" s="1" t="str">
        <f>_xlfn.IFNA(INDEX([1]历练产出!$Z:$Z,MATCH(B1222,[1]历练产出!$AB:$AB,0)),"")</f>
        <v/>
      </c>
      <c r="K1222" s="1" t="str">
        <f>_xlfn.IFNA(INDEX([1]洞天福地产出!$H:$H,MATCH(B1222,[1]洞天福地产出!$K:$K,0)),"")</f>
        <v/>
      </c>
      <c r="L1222" s="1" t="str">
        <f t="shared" si="99"/>
        <v/>
      </c>
      <c r="M1222" s="4">
        <f t="shared" si="100"/>
        <v>0</v>
      </c>
    </row>
    <row r="1223" ht="30" spans="1:13">
      <c r="A1223" s="4"/>
      <c r="B1223" t="str">
        <f t="shared" si="96"/>
        <v>7:28000106</v>
      </c>
      <c r="C1223" s="1">
        <v>7</v>
      </c>
      <c r="D1223" s="4">
        <v>28000106</v>
      </c>
      <c r="E1223" s="3" t="s">
        <v>1902</v>
      </c>
      <c r="F1223" s="3"/>
      <c r="G1223" s="1">
        <v>878.85</v>
      </c>
      <c r="H1223" s="1">
        <f t="shared" si="97"/>
        <v>878.85</v>
      </c>
      <c r="I1223" s="1" t="str">
        <f t="shared" si="98"/>
        <v/>
      </c>
      <c r="J1223" s="1" t="str">
        <f>_xlfn.IFNA(INDEX([1]历练产出!$Z:$Z,MATCH(B1223,[1]历练产出!$AB:$AB,0)),"")</f>
        <v/>
      </c>
      <c r="K1223" s="1" t="str">
        <f>_xlfn.IFNA(INDEX([1]洞天福地产出!$H:$H,MATCH(B1223,[1]洞天福地产出!$K:$K,0)),"")</f>
        <v/>
      </c>
      <c r="L1223" s="1" t="str">
        <f t="shared" si="99"/>
        <v/>
      </c>
      <c r="M1223" s="4">
        <f t="shared" si="100"/>
        <v>0</v>
      </c>
    </row>
    <row r="1224" ht="30" spans="1:13">
      <c r="A1224" s="4"/>
      <c r="B1224" t="str">
        <f t="shared" si="96"/>
        <v>7:28000107</v>
      </c>
      <c r="C1224" s="1">
        <v>7</v>
      </c>
      <c r="D1224" s="4">
        <v>28000107</v>
      </c>
      <c r="E1224" s="3" t="s">
        <v>1902</v>
      </c>
      <c r="F1224" s="3"/>
      <c r="G1224" s="1">
        <v>959.85</v>
      </c>
      <c r="H1224" s="1">
        <f t="shared" si="97"/>
        <v>959.85</v>
      </c>
      <c r="I1224" s="1" t="str">
        <f t="shared" si="98"/>
        <v/>
      </c>
      <c r="J1224" s="1" t="str">
        <f>_xlfn.IFNA(INDEX([1]历练产出!$Z:$Z,MATCH(B1224,[1]历练产出!$AB:$AB,0)),"")</f>
        <v/>
      </c>
      <c r="K1224" s="1" t="str">
        <f>_xlfn.IFNA(INDEX([1]洞天福地产出!$H:$H,MATCH(B1224,[1]洞天福地产出!$K:$K,0)),"")</f>
        <v/>
      </c>
      <c r="L1224" s="1" t="str">
        <f t="shared" si="99"/>
        <v/>
      </c>
      <c r="M1224" s="4">
        <f t="shared" si="100"/>
        <v>0</v>
      </c>
    </row>
    <row r="1225" ht="30" spans="1:13">
      <c r="A1225" s="4"/>
      <c r="B1225" t="str">
        <f t="shared" si="96"/>
        <v>7:28000108</v>
      </c>
      <c r="C1225" s="1">
        <v>7</v>
      </c>
      <c r="D1225" s="4">
        <v>28000108</v>
      </c>
      <c r="E1225" s="3" t="s">
        <v>1902</v>
      </c>
      <c r="F1225" s="3"/>
      <c r="G1225" s="1">
        <v>1053</v>
      </c>
      <c r="H1225" s="1">
        <f t="shared" si="97"/>
        <v>1053</v>
      </c>
      <c r="I1225" s="1" t="str">
        <f t="shared" si="98"/>
        <v/>
      </c>
      <c r="J1225" s="1" t="str">
        <f>_xlfn.IFNA(INDEX([1]历练产出!$Z:$Z,MATCH(B1225,[1]历练产出!$AB:$AB,0)),"")</f>
        <v/>
      </c>
      <c r="K1225" s="1" t="str">
        <f>_xlfn.IFNA(INDEX([1]洞天福地产出!$H:$H,MATCH(B1225,[1]洞天福地产出!$K:$K,0)),"")</f>
        <v/>
      </c>
      <c r="L1225" s="1" t="str">
        <f t="shared" si="99"/>
        <v/>
      </c>
      <c r="M1225" s="4">
        <f t="shared" si="100"/>
        <v>0</v>
      </c>
    </row>
    <row r="1226" ht="30" spans="1:13">
      <c r="A1226" s="4"/>
      <c r="B1226" t="str">
        <f t="shared" si="96"/>
        <v>7:28000109</v>
      </c>
      <c r="C1226" s="1">
        <v>7</v>
      </c>
      <c r="D1226" s="4">
        <v>28000109</v>
      </c>
      <c r="E1226" s="3" t="s">
        <v>1902</v>
      </c>
      <c r="F1226" s="3"/>
      <c r="G1226" s="1">
        <v>1806.3</v>
      </c>
      <c r="H1226" s="1">
        <f t="shared" si="97"/>
        <v>1806.3</v>
      </c>
      <c r="I1226" s="1" t="str">
        <f t="shared" si="98"/>
        <v/>
      </c>
      <c r="J1226" s="1" t="str">
        <f>_xlfn.IFNA(INDEX([1]历练产出!$Z:$Z,MATCH(B1226,[1]历练产出!$AB:$AB,0)),"")</f>
        <v/>
      </c>
      <c r="K1226" s="1" t="str">
        <f>_xlfn.IFNA(INDEX([1]洞天福地产出!$H:$H,MATCH(B1226,[1]洞天福地产出!$K:$K,0)),"")</f>
        <v/>
      </c>
      <c r="L1226" s="1" t="str">
        <f t="shared" si="99"/>
        <v/>
      </c>
      <c r="M1226" s="4">
        <f t="shared" si="100"/>
        <v>0</v>
      </c>
    </row>
    <row r="1227" ht="30" spans="1:13">
      <c r="A1227" s="4"/>
      <c r="B1227" t="str">
        <f t="shared" si="96"/>
        <v>7:28000110</v>
      </c>
      <c r="C1227" s="1">
        <v>7</v>
      </c>
      <c r="D1227" s="4">
        <v>28000110</v>
      </c>
      <c r="E1227" s="3" t="s">
        <v>1902</v>
      </c>
      <c r="F1227" s="3"/>
      <c r="G1227" s="1">
        <v>1923.75</v>
      </c>
      <c r="H1227" s="1">
        <f t="shared" si="97"/>
        <v>1923.75</v>
      </c>
      <c r="I1227" s="1" t="str">
        <f t="shared" si="98"/>
        <v/>
      </c>
      <c r="J1227" s="1" t="str">
        <f>_xlfn.IFNA(INDEX([1]历练产出!$Z:$Z,MATCH(B1227,[1]历练产出!$AB:$AB,0)),"")</f>
        <v/>
      </c>
      <c r="K1227" s="1" t="str">
        <f>_xlfn.IFNA(INDEX([1]洞天福地产出!$H:$H,MATCH(B1227,[1]洞天福地产出!$K:$K,0)),"")</f>
        <v/>
      </c>
      <c r="L1227" s="1" t="str">
        <f t="shared" si="99"/>
        <v/>
      </c>
      <c r="M1227" s="4">
        <f t="shared" si="100"/>
        <v>0</v>
      </c>
    </row>
    <row r="1228" ht="30" spans="1:13">
      <c r="A1228" s="4"/>
      <c r="B1228" t="str">
        <f t="shared" si="96"/>
        <v>7:28000111</v>
      </c>
      <c r="C1228" s="1">
        <v>7</v>
      </c>
      <c r="D1228" s="4">
        <v>28000111</v>
      </c>
      <c r="E1228" s="3" t="s">
        <v>1902</v>
      </c>
      <c r="F1228" s="3"/>
      <c r="G1228" s="1">
        <v>2053.35</v>
      </c>
      <c r="H1228" s="1">
        <f t="shared" si="97"/>
        <v>2053.35</v>
      </c>
      <c r="I1228" s="1" t="str">
        <f t="shared" si="98"/>
        <v/>
      </c>
      <c r="J1228" s="1" t="str">
        <f>_xlfn.IFNA(INDEX([1]历练产出!$Z:$Z,MATCH(B1228,[1]历练产出!$AB:$AB,0)),"")</f>
        <v/>
      </c>
      <c r="K1228" s="1" t="str">
        <f>_xlfn.IFNA(INDEX([1]洞天福地产出!$H:$H,MATCH(B1228,[1]洞天福地产出!$K:$K,0)),"")</f>
        <v/>
      </c>
      <c r="L1228" s="1" t="str">
        <f t="shared" si="99"/>
        <v/>
      </c>
      <c r="M1228" s="4">
        <f t="shared" si="100"/>
        <v>0</v>
      </c>
    </row>
    <row r="1229" ht="30" spans="1:13">
      <c r="A1229" s="4"/>
      <c r="B1229" t="str">
        <f t="shared" si="96"/>
        <v>7:28000112</v>
      </c>
      <c r="C1229" s="1">
        <v>7</v>
      </c>
      <c r="D1229" s="4">
        <v>28000112</v>
      </c>
      <c r="E1229" s="3" t="s">
        <v>1902</v>
      </c>
      <c r="F1229" s="3"/>
      <c r="G1229" s="1">
        <v>2195.1</v>
      </c>
      <c r="H1229" s="1">
        <f t="shared" si="97"/>
        <v>2195.1</v>
      </c>
      <c r="I1229" s="1" t="str">
        <f t="shared" si="98"/>
        <v/>
      </c>
      <c r="J1229" s="1" t="str">
        <f>_xlfn.IFNA(INDEX([1]历练产出!$Z:$Z,MATCH(B1229,[1]历练产出!$AB:$AB,0)),"")</f>
        <v/>
      </c>
      <c r="K1229" s="1" t="str">
        <f>_xlfn.IFNA(INDEX([1]洞天福地产出!$H:$H,MATCH(B1229,[1]洞天福地产出!$K:$K,0)),"")</f>
        <v/>
      </c>
      <c r="L1229" s="1" t="str">
        <f t="shared" si="99"/>
        <v/>
      </c>
      <c r="M1229" s="4">
        <f t="shared" si="100"/>
        <v>0</v>
      </c>
    </row>
    <row r="1230" ht="30" spans="1:13">
      <c r="A1230" s="4"/>
      <c r="B1230" t="str">
        <f t="shared" si="96"/>
        <v>7:28000113</v>
      </c>
      <c r="C1230" s="1">
        <v>7</v>
      </c>
      <c r="D1230" s="4">
        <v>28000113</v>
      </c>
      <c r="E1230" s="3" t="s">
        <v>1902</v>
      </c>
      <c r="F1230" s="3"/>
      <c r="G1230" s="1">
        <v>2349</v>
      </c>
      <c r="H1230" s="1">
        <f t="shared" si="97"/>
        <v>2349</v>
      </c>
      <c r="I1230" s="1" t="str">
        <f t="shared" si="98"/>
        <v/>
      </c>
      <c r="J1230" s="1" t="str">
        <f>_xlfn.IFNA(INDEX([1]历练产出!$Z:$Z,MATCH(B1230,[1]历练产出!$AB:$AB,0)),"")</f>
        <v/>
      </c>
      <c r="K1230" s="1" t="str">
        <f>_xlfn.IFNA(INDEX([1]洞天福地产出!$H:$H,MATCH(B1230,[1]洞天福地产出!$K:$K,0)),"")</f>
        <v/>
      </c>
      <c r="L1230" s="1" t="str">
        <f t="shared" si="99"/>
        <v/>
      </c>
      <c r="M1230" s="4">
        <f t="shared" si="100"/>
        <v>0</v>
      </c>
    </row>
    <row r="1231" ht="30" spans="1:13">
      <c r="A1231" s="4"/>
      <c r="B1231" t="str">
        <f t="shared" si="96"/>
        <v>7:28000114</v>
      </c>
      <c r="C1231" s="1">
        <v>7</v>
      </c>
      <c r="D1231" s="4">
        <v>28000114</v>
      </c>
      <c r="E1231" s="3" t="s">
        <v>1902</v>
      </c>
      <c r="F1231" s="3"/>
      <c r="G1231" s="1">
        <v>2515.05</v>
      </c>
      <c r="H1231" s="1">
        <f t="shared" si="97"/>
        <v>2515.05</v>
      </c>
      <c r="I1231" s="1" t="str">
        <f t="shared" si="98"/>
        <v/>
      </c>
      <c r="J1231" s="1" t="str">
        <f>_xlfn.IFNA(INDEX([1]历练产出!$Z:$Z,MATCH(B1231,[1]历练产出!$AB:$AB,0)),"")</f>
        <v/>
      </c>
      <c r="K1231" s="1" t="str">
        <f>_xlfn.IFNA(INDEX([1]洞天福地产出!$H:$H,MATCH(B1231,[1]洞天福地产出!$K:$K,0)),"")</f>
        <v/>
      </c>
      <c r="L1231" s="1" t="str">
        <f t="shared" si="99"/>
        <v/>
      </c>
      <c r="M1231" s="4">
        <f t="shared" si="100"/>
        <v>0</v>
      </c>
    </row>
    <row r="1232" ht="30" spans="1:13">
      <c r="A1232" s="4"/>
      <c r="B1232" t="str">
        <f t="shared" si="96"/>
        <v>7:28000115</v>
      </c>
      <c r="C1232" s="1">
        <v>7</v>
      </c>
      <c r="D1232" s="4">
        <v>28000115</v>
      </c>
      <c r="E1232" s="3" t="s">
        <v>1902</v>
      </c>
      <c r="F1232" s="3"/>
      <c r="G1232" s="1">
        <v>2693.25</v>
      </c>
      <c r="H1232" s="1">
        <f t="shared" si="97"/>
        <v>2693.25</v>
      </c>
      <c r="I1232" s="1" t="str">
        <f t="shared" si="98"/>
        <v/>
      </c>
      <c r="J1232" s="1" t="str">
        <f>_xlfn.IFNA(INDEX([1]历练产出!$Z:$Z,MATCH(B1232,[1]历练产出!$AB:$AB,0)),"")</f>
        <v/>
      </c>
      <c r="K1232" s="1" t="str">
        <f>_xlfn.IFNA(INDEX([1]洞天福地产出!$H:$H,MATCH(B1232,[1]洞天福地产出!$K:$K,0)),"")</f>
        <v/>
      </c>
      <c r="L1232" s="1" t="str">
        <f t="shared" si="99"/>
        <v/>
      </c>
      <c r="M1232" s="4">
        <f t="shared" si="100"/>
        <v>0</v>
      </c>
    </row>
    <row r="1233" ht="30" spans="1:13">
      <c r="A1233" s="4"/>
      <c r="B1233" t="str">
        <f t="shared" si="96"/>
        <v>7:28000116</v>
      </c>
      <c r="C1233" s="1">
        <v>7</v>
      </c>
      <c r="D1233" s="4">
        <v>28000116</v>
      </c>
      <c r="E1233" s="3" t="s">
        <v>1902</v>
      </c>
      <c r="F1233" s="3"/>
      <c r="G1233" s="1">
        <v>2883.6</v>
      </c>
      <c r="H1233" s="1">
        <f t="shared" si="97"/>
        <v>2883.6</v>
      </c>
      <c r="I1233" s="1" t="str">
        <f t="shared" si="98"/>
        <v/>
      </c>
      <c r="J1233" s="1" t="str">
        <f>_xlfn.IFNA(INDEX([1]历练产出!$Z:$Z,MATCH(B1233,[1]历练产出!$AB:$AB,0)),"")</f>
        <v/>
      </c>
      <c r="K1233" s="1" t="str">
        <f>_xlfn.IFNA(INDEX([1]洞天福地产出!$H:$H,MATCH(B1233,[1]洞天福地产出!$K:$K,0)),"")</f>
        <v/>
      </c>
      <c r="L1233" s="1" t="str">
        <f t="shared" si="99"/>
        <v/>
      </c>
      <c r="M1233" s="4">
        <f t="shared" si="100"/>
        <v>0</v>
      </c>
    </row>
    <row r="1234" ht="30" spans="1:13">
      <c r="A1234" s="4"/>
      <c r="B1234" t="str">
        <f t="shared" si="96"/>
        <v>7:28000117</v>
      </c>
      <c r="C1234" s="1">
        <v>7</v>
      </c>
      <c r="D1234" s="4">
        <v>28000117</v>
      </c>
      <c r="E1234" s="3" t="s">
        <v>1902</v>
      </c>
      <c r="F1234" s="3"/>
      <c r="G1234" s="1">
        <v>3086.1</v>
      </c>
      <c r="H1234" s="1">
        <f t="shared" si="97"/>
        <v>3086.1</v>
      </c>
      <c r="I1234" s="1" t="str">
        <f t="shared" si="98"/>
        <v/>
      </c>
      <c r="J1234" s="1" t="str">
        <f>_xlfn.IFNA(INDEX([1]历练产出!$Z:$Z,MATCH(B1234,[1]历练产出!$AB:$AB,0)),"")</f>
        <v/>
      </c>
      <c r="K1234" s="1" t="str">
        <f>_xlfn.IFNA(INDEX([1]洞天福地产出!$H:$H,MATCH(B1234,[1]洞天福地产出!$K:$K,0)),"")</f>
        <v/>
      </c>
      <c r="L1234" s="1" t="str">
        <f t="shared" si="99"/>
        <v/>
      </c>
      <c r="M1234" s="4">
        <f t="shared" si="100"/>
        <v>0</v>
      </c>
    </row>
    <row r="1235" ht="30" spans="1:13">
      <c r="A1235" s="4"/>
      <c r="B1235" t="str">
        <f t="shared" si="96"/>
        <v>7:28000118</v>
      </c>
      <c r="C1235" s="1">
        <v>7</v>
      </c>
      <c r="D1235" s="4">
        <v>28000118</v>
      </c>
      <c r="E1235" s="3" t="s">
        <v>1902</v>
      </c>
      <c r="F1235" s="3"/>
      <c r="G1235" s="1">
        <v>3300.75</v>
      </c>
      <c r="H1235" s="1">
        <f t="shared" si="97"/>
        <v>3300.75</v>
      </c>
      <c r="I1235" s="1" t="str">
        <f t="shared" si="98"/>
        <v/>
      </c>
      <c r="J1235" s="1" t="str">
        <f>_xlfn.IFNA(INDEX([1]历练产出!$Z:$Z,MATCH(B1235,[1]历练产出!$AB:$AB,0)),"")</f>
        <v/>
      </c>
      <c r="K1235" s="1" t="str">
        <f>_xlfn.IFNA(INDEX([1]洞天福地产出!$H:$H,MATCH(B1235,[1]洞天福地产出!$K:$K,0)),"")</f>
        <v/>
      </c>
      <c r="L1235" s="1" t="str">
        <f t="shared" si="99"/>
        <v/>
      </c>
      <c r="M1235" s="4">
        <f t="shared" si="100"/>
        <v>0</v>
      </c>
    </row>
    <row r="1236" ht="30" spans="1:13">
      <c r="A1236" s="4"/>
      <c r="B1236" t="str">
        <f t="shared" si="96"/>
        <v>7:28000119</v>
      </c>
      <c r="C1236" s="1">
        <v>7</v>
      </c>
      <c r="D1236" s="4">
        <v>28000119</v>
      </c>
      <c r="E1236" s="3" t="s">
        <v>1902</v>
      </c>
      <c r="F1236" s="3"/>
      <c r="G1236" s="1">
        <v>4823.55</v>
      </c>
      <c r="H1236" s="1">
        <f t="shared" si="97"/>
        <v>4823.55</v>
      </c>
      <c r="I1236" s="1" t="str">
        <f t="shared" si="98"/>
        <v/>
      </c>
      <c r="J1236" s="1" t="str">
        <f>_xlfn.IFNA(INDEX([1]历练产出!$Z:$Z,MATCH(B1236,[1]历练产出!$AB:$AB,0)),"")</f>
        <v/>
      </c>
      <c r="K1236" s="1" t="str">
        <f>_xlfn.IFNA(INDEX([1]洞天福地产出!$H:$H,MATCH(B1236,[1]洞天福地产出!$K:$K,0)),"")</f>
        <v/>
      </c>
      <c r="L1236" s="1" t="str">
        <f t="shared" si="99"/>
        <v/>
      </c>
      <c r="M1236" s="4">
        <f t="shared" si="100"/>
        <v>0</v>
      </c>
    </row>
    <row r="1237" ht="30" spans="1:13">
      <c r="A1237" s="4"/>
      <c r="B1237" t="str">
        <f t="shared" si="96"/>
        <v>7:28000120</v>
      </c>
      <c r="C1237" s="1">
        <v>7</v>
      </c>
      <c r="D1237" s="4">
        <v>28000120</v>
      </c>
      <c r="E1237" s="3" t="s">
        <v>1902</v>
      </c>
      <c r="F1237" s="3"/>
      <c r="G1237" s="1">
        <v>5062.5</v>
      </c>
      <c r="H1237" s="1">
        <f t="shared" si="97"/>
        <v>5062.5</v>
      </c>
      <c r="I1237" s="1" t="str">
        <f t="shared" si="98"/>
        <v/>
      </c>
      <c r="J1237" s="1" t="str">
        <f>_xlfn.IFNA(INDEX([1]历练产出!$Z:$Z,MATCH(B1237,[1]历练产出!$AB:$AB,0)),"")</f>
        <v/>
      </c>
      <c r="K1237" s="1" t="str">
        <f>_xlfn.IFNA(INDEX([1]洞天福地产出!$H:$H,MATCH(B1237,[1]洞天福地产出!$K:$K,0)),"")</f>
        <v/>
      </c>
      <c r="L1237" s="1" t="str">
        <f t="shared" si="99"/>
        <v/>
      </c>
      <c r="M1237" s="4">
        <f t="shared" si="100"/>
        <v>0</v>
      </c>
    </row>
    <row r="1238" ht="30" spans="1:13">
      <c r="A1238" s="4"/>
      <c r="B1238" t="str">
        <f t="shared" si="96"/>
        <v>7:28000121</v>
      </c>
      <c r="C1238" s="1">
        <v>7</v>
      </c>
      <c r="D1238" s="4">
        <v>28000121</v>
      </c>
      <c r="E1238" s="3" t="s">
        <v>1902</v>
      </c>
      <c r="F1238" s="3"/>
      <c r="G1238" s="1">
        <v>5313.6</v>
      </c>
      <c r="H1238" s="1">
        <f t="shared" si="97"/>
        <v>5313.6</v>
      </c>
      <c r="I1238" s="1" t="str">
        <f t="shared" si="98"/>
        <v/>
      </c>
      <c r="J1238" s="1" t="str">
        <f>_xlfn.IFNA(INDEX([1]历练产出!$Z:$Z,MATCH(B1238,[1]历练产出!$AB:$AB,0)),"")</f>
        <v/>
      </c>
      <c r="K1238" s="1" t="str">
        <f>_xlfn.IFNA(INDEX([1]洞天福地产出!$H:$H,MATCH(B1238,[1]洞天福地产出!$K:$K,0)),"")</f>
        <v/>
      </c>
      <c r="L1238" s="1" t="str">
        <f t="shared" si="99"/>
        <v/>
      </c>
      <c r="M1238" s="4">
        <f t="shared" si="100"/>
        <v>0</v>
      </c>
    </row>
    <row r="1239" ht="30" spans="1:13">
      <c r="A1239" s="4"/>
      <c r="B1239" t="str">
        <f t="shared" si="96"/>
        <v>7:28000122</v>
      </c>
      <c r="C1239" s="1">
        <v>7</v>
      </c>
      <c r="D1239" s="4">
        <v>28000122</v>
      </c>
      <c r="E1239" s="3" t="s">
        <v>1902</v>
      </c>
      <c r="F1239" s="3"/>
      <c r="G1239" s="1">
        <v>5576.85</v>
      </c>
      <c r="H1239" s="1">
        <f t="shared" si="97"/>
        <v>5576.85</v>
      </c>
      <c r="I1239" s="1" t="str">
        <f t="shared" si="98"/>
        <v/>
      </c>
      <c r="J1239" s="1" t="str">
        <f>_xlfn.IFNA(INDEX([1]历练产出!$Z:$Z,MATCH(B1239,[1]历练产出!$AB:$AB,0)),"")</f>
        <v/>
      </c>
      <c r="K1239" s="1" t="str">
        <f>_xlfn.IFNA(INDEX([1]洞天福地产出!$H:$H,MATCH(B1239,[1]洞天福地产出!$K:$K,0)),"")</f>
        <v/>
      </c>
      <c r="L1239" s="1" t="str">
        <f t="shared" si="99"/>
        <v/>
      </c>
      <c r="M1239" s="4">
        <f t="shared" si="100"/>
        <v>0</v>
      </c>
    </row>
    <row r="1240" ht="30" spans="1:13">
      <c r="A1240" s="4"/>
      <c r="B1240" t="str">
        <f t="shared" si="96"/>
        <v>7:28000123</v>
      </c>
      <c r="C1240" s="1">
        <v>7</v>
      </c>
      <c r="D1240" s="4">
        <v>28000123</v>
      </c>
      <c r="E1240" s="3" t="s">
        <v>1902</v>
      </c>
      <c r="F1240" s="3"/>
      <c r="G1240" s="1">
        <v>5852.25</v>
      </c>
      <c r="H1240" s="1">
        <f t="shared" si="97"/>
        <v>5852.25</v>
      </c>
      <c r="I1240" s="1" t="str">
        <f t="shared" si="98"/>
        <v/>
      </c>
      <c r="J1240" s="1" t="str">
        <f>_xlfn.IFNA(INDEX([1]历练产出!$Z:$Z,MATCH(B1240,[1]历练产出!$AB:$AB,0)),"")</f>
        <v/>
      </c>
      <c r="K1240" s="1" t="str">
        <f>_xlfn.IFNA(INDEX([1]洞天福地产出!$H:$H,MATCH(B1240,[1]洞天福地产出!$K:$K,0)),"")</f>
        <v/>
      </c>
      <c r="L1240" s="1" t="str">
        <f t="shared" si="99"/>
        <v/>
      </c>
      <c r="M1240" s="4">
        <f t="shared" si="100"/>
        <v>0</v>
      </c>
    </row>
    <row r="1241" ht="30" spans="1:13">
      <c r="A1241" s="4"/>
      <c r="B1241" t="str">
        <f t="shared" si="96"/>
        <v>7:28000124</v>
      </c>
      <c r="C1241" s="1">
        <v>7</v>
      </c>
      <c r="D1241" s="4">
        <v>28000124</v>
      </c>
      <c r="E1241" s="3" t="s">
        <v>1902</v>
      </c>
      <c r="F1241" s="3"/>
      <c r="G1241" s="1">
        <v>6139.8</v>
      </c>
      <c r="H1241" s="1">
        <f t="shared" si="97"/>
        <v>6139.8</v>
      </c>
      <c r="I1241" s="1" t="str">
        <f t="shared" si="98"/>
        <v/>
      </c>
      <c r="J1241" s="1" t="str">
        <f>_xlfn.IFNA(INDEX([1]历练产出!$Z:$Z,MATCH(B1241,[1]历练产出!$AB:$AB,0)),"")</f>
        <v/>
      </c>
      <c r="K1241" s="1" t="str">
        <f>_xlfn.IFNA(INDEX([1]洞天福地产出!$H:$H,MATCH(B1241,[1]洞天福地产出!$K:$K,0)),"")</f>
        <v/>
      </c>
      <c r="L1241" s="1" t="str">
        <f t="shared" si="99"/>
        <v/>
      </c>
      <c r="M1241" s="4">
        <f t="shared" si="100"/>
        <v>0</v>
      </c>
    </row>
    <row r="1242" ht="30" spans="1:13">
      <c r="A1242" s="4"/>
      <c r="B1242" t="str">
        <f t="shared" si="96"/>
        <v>7:28000125</v>
      </c>
      <c r="C1242" s="1">
        <v>7</v>
      </c>
      <c r="D1242" s="4">
        <v>28000125</v>
      </c>
      <c r="E1242" s="3" t="s">
        <v>1902</v>
      </c>
      <c r="F1242" s="3"/>
      <c r="G1242" s="1">
        <v>6439.5</v>
      </c>
      <c r="H1242" s="1">
        <f t="shared" si="97"/>
        <v>6439.5</v>
      </c>
      <c r="I1242" s="1" t="str">
        <f t="shared" si="98"/>
        <v/>
      </c>
      <c r="J1242" s="1" t="str">
        <f>_xlfn.IFNA(INDEX([1]历练产出!$Z:$Z,MATCH(B1242,[1]历练产出!$AB:$AB,0)),"")</f>
        <v/>
      </c>
      <c r="K1242" s="1" t="str">
        <f>_xlfn.IFNA(INDEX([1]洞天福地产出!$H:$H,MATCH(B1242,[1]洞天福地产出!$K:$K,0)),"")</f>
        <v/>
      </c>
      <c r="L1242" s="1" t="str">
        <f t="shared" si="99"/>
        <v/>
      </c>
      <c r="M1242" s="4">
        <f t="shared" si="100"/>
        <v>0</v>
      </c>
    </row>
    <row r="1243" ht="30" spans="1:13">
      <c r="A1243" s="4"/>
      <c r="B1243" t="str">
        <f t="shared" si="96"/>
        <v>7:28000126</v>
      </c>
      <c r="C1243" s="1">
        <v>7</v>
      </c>
      <c r="D1243" s="4">
        <v>28000126</v>
      </c>
      <c r="E1243" s="3" t="s">
        <v>1902</v>
      </c>
      <c r="F1243" s="3"/>
      <c r="G1243" s="1">
        <v>6751.35</v>
      </c>
      <c r="H1243" s="1">
        <f t="shared" si="97"/>
        <v>6751.35</v>
      </c>
      <c r="I1243" s="1" t="str">
        <f t="shared" si="98"/>
        <v/>
      </c>
      <c r="J1243" s="1" t="str">
        <f>_xlfn.IFNA(INDEX([1]历练产出!$Z:$Z,MATCH(B1243,[1]历练产出!$AB:$AB,0)),"")</f>
        <v/>
      </c>
      <c r="K1243" s="1" t="str">
        <f>_xlfn.IFNA(INDEX([1]洞天福地产出!$H:$H,MATCH(B1243,[1]洞天福地产出!$K:$K,0)),"")</f>
        <v/>
      </c>
      <c r="L1243" s="1" t="str">
        <f t="shared" si="99"/>
        <v/>
      </c>
      <c r="M1243" s="4">
        <f t="shared" si="100"/>
        <v>0</v>
      </c>
    </row>
    <row r="1244" ht="30" spans="1:13">
      <c r="A1244" s="4"/>
      <c r="B1244" t="str">
        <f t="shared" si="96"/>
        <v>7:28000127</v>
      </c>
      <c r="C1244" s="1">
        <v>7</v>
      </c>
      <c r="D1244" s="4">
        <v>28000127</v>
      </c>
      <c r="E1244" s="3" t="s">
        <v>1902</v>
      </c>
      <c r="F1244" s="3"/>
      <c r="G1244" s="1">
        <v>7075.35</v>
      </c>
      <c r="H1244" s="1">
        <f t="shared" si="97"/>
        <v>7075.35</v>
      </c>
      <c r="I1244" s="1" t="str">
        <f t="shared" si="98"/>
        <v/>
      </c>
      <c r="J1244" s="1" t="str">
        <f>_xlfn.IFNA(INDEX([1]历练产出!$Z:$Z,MATCH(B1244,[1]历练产出!$AB:$AB,0)),"")</f>
        <v/>
      </c>
      <c r="K1244" s="1" t="str">
        <f>_xlfn.IFNA(INDEX([1]洞天福地产出!$H:$H,MATCH(B1244,[1]洞天福地产出!$K:$K,0)),"")</f>
        <v/>
      </c>
      <c r="L1244" s="1" t="str">
        <f t="shared" si="99"/>
        <v/>
      </c>
      <c r="M1244" s="4">
        <f t="shared" si="100"/>
        <v>0</v>
      </c>
    </row>
    <row r="1245" ht="30" spans="1:13">
      <c r="A1245" s="4"/>
      <c r="B1245" t="str">
        <f t="shared" si="96"/>
        <v>7:28000128</v>
      </c>
      <c r="C1245" s="1">
        <v>7</v>
      </c>
      <c r="D1245" s="4">
        <v>28000128</v>
      </c>
      <c r="E1245" s="3" t="s">
        <v>1902</v>
      </c>
      <c r="F1245" s="3"/>
      <c r="G1245" s="1">
        <v>7411.5</v>
      </c>
      <c r="H1245" s="1">
        <f t="shared" si="97"/>
        <v>7411.5</v>
      </c>
      <c r="I1245" s="1" t="str">
        <f t="shared" si="98"/>
        <v/>
      </c>
      <c r="J1245" s="1" t="str">
        <f>_xlfn.IFNA(INDEX([1]历练产出!$Z:$Z,MATCH(B1245,[1]历练产出!$AB:$AB,0)),"")</f>
        <v/>
      </c>
      <c r="K1245" s="1" t="str">
        <f>_xlfn.IFNA(INDEX([1]洞天福地产出!$H:$H,MATCH(B1245,[1]洞天福地产出!$K:$K,0)),"")</f>
        <v/>
      </c>
      <c r="L1245" s="1" t="str">
        <f t="shared" si="99"/>
        <v/>
      </c>
      <c r="M1245" s="4">
        <f t="shared" si="100"/>
        <v>0</v>
      </c>
    </row>
    <row r="1246" ht="30" spans="1:13">
      <c r="A1246" s="4"/>
      <c r="B1246" t="str">
        <f t="shared" si="96"/>
        <v>7:28000129</v>
      </c>
      <c r="C1246" s="1">
        <v>7</v>
      </c>
      <c r="D1246" s="4">
        <v>28000129</v>
      </c>
      <c r="E1246" s="3" t="s">
        <v>1902</v>
      </c>
      <c r="F1246" s="3"/>
      <c r="G1246" s="1">
        <v>9703.8</v>
      </c>
      <c r="H1246" s="1">
        <f t="shared" si="97"/>
        <v>9703.8</v>
      </c>
      <c r="I1246" s="1" t="str">
        <f t="shared" si="98"/>
        <v/>
      </c>
      <c r="J1246" s="1" t="str">
        <f>_xlfn.IFNA(INDEX([1]历练产出!$Z:$Z,MATCH(B1246,[1]历练产出!$AB:$AB,0)),"")</f>
        <v/>
      </c>
      <c r="K1246" s="1" t="str">
        <f>_xlfn.IFNA(INDEX([1]洞天福地产出!$H:$H,MATCH(B1246,[1]洞天福地产出!$K:$K,0)),"")</f>
        <v/>
      </c>
      <c r="L1246" s="1" t="str">
        <f t="shared" si="99"/>
        <v/>
      </c>
      <c r="M1246" s="4">
        <f t="shared" si="100"/>
        <v>0</v>
      </c>
    </row>
    <row r="1247" ht="30" spans="1:13">
      <c r="A1247" s="4"/>
      <c r="B1247" t="str">
        <f t="shared" si="96"/>
        <v>7:28000130</v>
      </c>
      <c r="C1247" s="1">
        <v>7</v>
      </c>
      <c r="D1247" s="4">
        <v>28000130</v>
      </c>
      <c r="E1247" s="3" t="s">
        <v>1902</v>
      </c>
      <c r="F1247" s="3"/>
      <c r="G1247" s="1">
        <v>10052.1</v>
      </c>
      <c r="H1247" s="1">
        <f t="shared" si="97"/>
        <v>10052.1</v>
      </c>
      <c r="I1247" s="1" t="str">
        <f t="shared" si="98"/>
        <v/>
      </c>
      <c r="J1247" s="1" t="str">
        <f>_xlfn.IFNA(INDEX([1]历练产出!$Z:$Z,MATCH(B1247,[1]历练产出!$AB:$AB,0)),"")</f>
        <v/>
      </c>
      <c r="K1247" s="1" t="str">
        <f>_xlfn.IFNA(INDEX([1]洞天福地产出!$H:$H,MATCH(B1247,[1]洞天福地产出!$K:$K,0)),"")</f>
        <v/>
      </c>
      <c r="L1247" s="1" t="str">
        <f t="shared" si="99"/>
        <v/>
      </c>
      <c r="M1247" s="4">
        <f t="shared" si="100"/>
        <v>0</v>
      </c>
    </row>
    <row r="1248" ht="45" spans="1:13">
      <c r="A1248" s="4"/>
      <c r="B1248" t="str">
        <f t="shared" si="96"/>
        <v>7:29000101</v>
      </c>
      <c r="C1248" s="1">
        <v>7</v>
      </c>
      <c r="D1248" s="4">
        <v>29000101</v>
      </c>
      <c r="E1248" s="3" t="s">
        <v>1903</v>
      </c>
      <c r="F1248" s="3"/>
      <c r="G1248" s="1">
        <v>656.1</v>
      </c>
      <c r="H1248" s="1">
        <f t="shared" si="97"/>
        <v>656.1</v>
      </c>
      <c r="I1248" s="1" t="str">
        <f t="shared" si="98"/>
        <v/>
      </c>
      <c r="J1248" s="1" t="str">
        <f>_xlfn.IFNA(INDEX([1]历练产出!$Z:$Z,MATCH(B1248,[1]历练产出!$AB:$AB,0)),"")</f>
        <v/>
      </c>
      <c r="K1248" s="1" t="str">
        <f>_xlfn.IFNA(INDEX([1]洞天福地产出!$H:$H,MATCH(B1248,[1]洞天福地产出!$K:$K,0)),"")</f>
        <v/>
      </c>
      <c r="L1248" s="1" t="str">
        <f t="shared" si="99"/>
        <v/>
      </c>
      <c r="M1248" s="4">
        <f t="shared" si="100"/>
        <v>0</v>
      </c>
    </row>
    <row r="1249" ht="45" spans="1:13">
      <c r="A1249" s="4"/>
      <c r="B1249" t="str">
        <f t="shared" si="96"/>
        <v>7:29000102</v>
      </c>
      <c r="C1249" s="1">
        <v>7</v>
      </c>
      <c r="D1249" s="4">
        <v>29000102</v>
      </c>
      <c r="E1249" s="3" t="s">
        <v>1903</v>
      </c>
      <c r="F1249" s="3"/>
      <c r="G1249" s="1">
        <v>676.35</v>
      </c>
      <c r="H1249" s="1">
        <f t="shared" si="97"/>
        <v>676.35</v>
      </c>
      <c r="I1249" s="1" t="str">
        <f t="shared" si="98"/>
        <v/>
      </c>
      <c r="J1249" s="1" t="str">
        <f>_xlfn.IFNA(INDEX([1]历练产出!$Z:$Z,MATCH(B1249,[1]历练产出!$AB:$AB,0)),"")</f>
        <v/>
      </c>
      <c r="K1249" s="1" t="str">
        <f>_xlfn.IFNA(INDEX([1]洞天福地产出!$H:$H,MATCH(B1249,[1]洞天福地产出!$K:$K,0)),"")</f>
        <v/>
      </c>
      <c r="L1249" s="1" t="str">
        <f t="shared" si="99"/>
        <v/>
      </c>
      <c r="M1249" s="4">
        <f t="shared" si="100"/>
        <v>0</v>
      </c>
    </row>
    <row r="1250" ht="45" spans="1:13">
      <c r="A1250" s="4"/>
      <c r="B1250" t="str">
        <f t="shared" si="96"/>
        <v>7:29000103</v>
      </c>
      <c r="C1250" s="1">
        <v>7</v>
      </c>
      <c r="D1250" s="4">
        <v>29000103</v>
      </c>
      <c r="E1250" s="3" t="s">
        <v>1903</v>
      </c>
      <c r="F1250" s="3"/>
      <c r="G1250" s="1">
        <v>708.75</v>
      </c>
      <c r="H1250" s="1">
        <f t="shared" si="97"/>
        <v>708.75</v>
      </c>
      <c r="I1250" s="1" t="str">
        <f t="shared" si="98"/>
        <v/>
      </c>
      <c r="J1250" s="1" t="str">
        <f>_xlfn.IFNA(INDEX([1]历练产出!$Z:$Z,MATCH(B1250,[1]历练产出!$AB:$AB,0)),"")</f>
        <v/>
      </c>
      <c r="K1250" s="1" t="str">
        <f>_xlfn.IFNA(INDEX([1]洞天福地产出!$H:$H,MATCH(B1250,[1]洞天福地产出!$K:$K,0)),"")</f>
        <v/>
      </c>
      <c r="L1250" s="1" t="str">
        <f t="shared" si="99"/>
        <v/>
      </c>
      <c r="M1250" s="4">
        <f t="shared" si="100"/>
        <v>0</v>
      </c>
    </row>
    <row r="1251" ht="45" spans="1:13">
      <c r="A1251" s="4"/>
      <c r="B1251" t="str">
        <f t="shared" si="96"/>
        <v>7:29000104</v>
      </c>
      <c r="C1251" s="1">
        <v>7</v>
      </c>
      <c r="D1251" s="4">
        <v>29000104</v>
      </c>
      <c r="E1251" s="3" t="s">
        <v>1903</v>
      </c>
      <c r="F1251" s="3"/>
      <c r="G1251" s="1">
        <v>753.3</v>
      </c>
      <c r="H1251" s="1">
        <f t="shared" si="97"/>
        <v>753.3</v>
      </c>
      <c r="I1251" s="1" t="str">
        <f t="shared" si="98"/>
        <v/>
      </c>
      <c r="J1251" s="1" t="str">
        <f>_xlfn.IFNA(INDEX([1]历练产出!$Z:$Z,MATCH(B1251,[1]历练产出!$AB:$AB,0)),"")</f>
        <v/>
      </c>
      <c r="K1251" s="1" t="str">
        <f>_xlfn.IFNA(INDEX([1]洞天福地产出!$H:$H,MATCH(B1251,[1]洞天福地产出!$K:$K,0)),"")</f>
        <v/>
      </c>
      <c r="L1251" s="1" t="str">
        <f t="shared" si="99"/>
        <v/>
      </c>
      <c r="M1251" s="4">
        <f t="shared" si="100"/>
        <v>0</v>
      </c>
    </row>
    <row r="1252" ht="45" spans="1:13">
      <c r="A1252" s="4"/>
      <c r="B1252" t="str">
        <f t="shared" ref="B1252:B1315" si="101">C1252&amp;":"&amp;D1252</f>
        <v>7:29000105</v>
      </c>
      <c r="C1252" s="1">
        <v>7</v>
      </c>
      <c r="D1252" s="4">
        <v>29000105</v>
      </c>
      <c r="E1252" s="3" t="s">
        <v>1903</v>
      </c>
      <c r="F1252" s="3"/>
      <c r="G1252" s="1">
        <v>810</v>
      </c>
      <c r="H1252" s="1">
        <f t="shared" si="97"/>
        <v>810</v>
      </c>
      <c r="I1252" s="1" t="str">
        <f t="shared" si="98"/>
        <v/>
      </c>
      <c r="J1252" s="1" t="str">
        <f>_xlfn.IFNA(INDEX([1]历练产出!$Z:$Z,MATCH(B1252,[1]历练产出!$AB:$AB,0)),"")</f>
        <v/>
      </c>
      <c r="K1252" s="1" t="str">
        <f>_xlfn.IFNA(INDEX([1]洞天福地产出!$H:$H,MATCH(B1252,[1]洞天福地产出!$K:$K,0)),"")</f>
        <v/>
      </c>
      <c r="L1252" s="1" t="str">
        <f t="shared" si="99"/>
        <v/>
      </c>
      <c r="M1252" s="4">
        <f t="shared" si="100"/>
        <v>0</v>
      </c>
    </row>
    <row r="1253" ht="45" spans="1:13">
      <c r="A1253" s="4"/>
      <c r="B1253" t="str">
        <f t="shared" si="101"/>
        <v>7:29000106</v>
      </c>
      <c r="C1253" s="1">
        <v>7</v>
      </c>
      <c r="D1253" s="4">
        <v>29000106</v>
      </c>
      <c r="E1253" s="3" t="s">
        <v>1903</v>
      </c>
      <c r="F1253" s="3"/>
      <c r="G1253" s="1">
        <v>878.85</v>
      </c>
      <c r="H1253" s="1">
        <f t="shared" si="97"/>
        <v>878.85</v>
      </c>
      <c r="I1253" s="1" t="str">
        <f t="shared" si="98"/>
        <v/>
      </c>
      <c r="J1253" s="1" t="str">
        <f>_xlfn.IFNA(INDEX([1]历练产出!$Z:$Z,MATCH(B1253,[1]历练产出!$AB:$AB,0)),"")</f>
        <v/>
      </c>
      <c r="K1253" s="1" t="str">
        <f>_xlfn.IFNA(INDEX([1]洞天福地产出!$H:$H,MATCH(B1253,[1]洞天福地产出!$K:$K,0)),"")</f>
        <v/>
      </c>
      <c r="L1253" s="1" t="str">
        <f t="shared" si="99"/>
        <v/>
      </c>
      <c r="M1253" s="4">
        <f t="shared" si="100"/>
        <v>0</v>
      </c>
    </row>
    <row r="1254" ht="45" spans="1:13">
      <c r="A1254" s="4"/>
      <c r="B1254" t="str">
        <f t="shared" si="101"/>
        <v>7:29000107</v>
      </c>
      <c r="C1254" s="1">
        <v>7</v>
      </c>
      <c r="D1254" s="4">
        <v>29000107</v>
      </c>
      <c r="E1254" s="3" t="s">
        <v>1903</v>
      </c>
      <c r="F1254" s="3"/>
      <c r="G1254" s="1">
        <v>959.85</v>
      </c>
      <c r="H1254" s="1">
        <f t="shared" si="97"/>
        <v>959.85</v>
      </c>
      <c r="I1254" s="1" t="str">
        <f t="shared" si="98"/>
        <v/>
      </c>
      <c r="J1254" s="1" t="str">
        <f>_xlfn.IFNA(INDEX([1]历练产出!$Z:$Z,MATCH(B1254,[1]历练产出!$AB:$AB,0)),"")</f>
        <v/>
      </c>
      <c r="K1254" s="1" t="str">
        <f>_xlfn.IFNA(INDEX([1]洞天福地产出!$H:$H,MATCH(B1254,[1]洞天福地产出!$K:$K,0)),"")</f>
        <v/>
      </c>
      <c r="L1254" s="1" t="str">
        <f t="shared" si="99"/>
        <v/>
      </c>
      <c r="M1254" s="4">
        <f t="shared" si="100"/>
        <v>0</v>
      </c>
    </row>
    <row r="1255" ht="45" spans="1:13">
      <c r="A1255" s="4"/>
      <c r="B1255" t="str">
        <f t="shared" si="101"/>
        <v>7:29000108</v>
      </c>
      <c r="C1255" s="1">
        <v>7</v>
      </c>
      <c r="D1255" s="4">
        <v>29000108</v>
      </c>
      <c r="E1255" s="3" t="s">
        <v>1903</v>
      </c>
      <c r="F1255" s="3"/>
      <c r="G1255" s="1">
        <v>1053</v>
      </c>
      <c r="H1255" s="1">
        <f t="shared" si="97"/>
        <v>1053</v>
      </c>
      <c r="I1255" s="1" t="str">
        <f t="shared" si="98"/>
        <v/>
      </c>
      <c r="J1255" s="1" t="str">
        <f>_xlfn.IFNA(INDEX([1]历练产出!$Z:$Z,MATCH(B1255,[1]历练产出!$AB:$AB,0)),"")</f>
        <v/>
      </c>
      <c r="K1255" s="1" t="str">
        <f>_xlfn.IFNA(INDEX([1]洞天福地产出!$H:$H,MATCH(B1255,[1]洞天福地产出!$K:$K,0)),"")</f>
        <v/>
      </c>
      <c r="L1255" s="1" t="str">
        <f t="shared" si="99"/>
        <v/>
      </c>
      <c r="M1255" s="4">
        <f t="shared" si="100"/>
        <v>0</v>
      </c>
    </row>
    <row r="1256" ht="45" spans="1:13">
      <c r="A1256" s="4"/>
      <c r="B1256" t="str">
        <f t="shared" si="101"/>
        <v>7:29000109</v>
      </c>
      <c r="C1256" s="1">
        <v>7</v>
      </c>
      <c r="D1256" s="4">
        <v>29000109</v>
      </c>
      <c r="E1256" s="3" t="s">
        <v>1903</v>
      </c>
      <c r="F1256" s="3"/>
      <c r="G1256" s="1">
        <v>1806.3</v>
      </c>
      <c r="H1256" s="1">
        <f t="shared" si="97"/>
        <v>1806.3</v>
      </c>
      <c r="I1256" s="1" t="str">
        <f t="shared" si="98"/>
        <v/>
      </c>
      <c r="J1256" s="1" t="str">
        <f>_xlfn.IFNA(INDEX([1]历练产出!$Z:$Z,MATCH(B1256,[1]历练产出!$AB:$AB,0)),"")</f>
        <v/>
      </c>
      <c r="K1256" s="1" t="str">
        <f>_xlfn.IFNA(INDEX([1]洞天福地产出!$H:$H,MATCH(B1256,[1]洞天福地产出!$K:$K,0)),"")</f>
        <v/>
      </c>
      <c r="L1256" s="1" t="str">
        <f t="shared" si="99"/>
        <v/>
      </c>
      <c r="M1256" s="4">
        <f t="shared" si="100"/>
        <v>0</v>
      </c>
    </row>
    <row r="1257" ht="45" spans="1:13">
      <c r="A1257" s="4"/>
      <c r="B1257" t="str">
        <f t="shared" si="101"/>
        <v>7:29000110</v>
      </c>
      <c r="C1257" s="1">
        <v>7</v>
      </c>
      <c r="D1257" s="4">
        <v>29000110</v>
      </c>
      <c r="E1257" s="3" t="s">
        <v>1903</v>
      </c>
      <c r="F1257" s="3"/>
      <c r="G1257" s="1">
        <v>1923.75</v>
      </c>
      <c r="H1257" s="1">
        <f t="shared" si="97"/>
        <v>1923.75</v>
      </c>
      <c r="I1257" s="1" t="str">
        <f t="shared" si="98"/>
        <v/>
      </c>
      <c r="J1257" s="1" t="str">
        <f>_xlfn.IFNA(INDEX([1]历练产出!$Z:$Z,MATCH(B1257,[1]历练产出!$AB:$AB,0)),"")</f>
        <v/>
      </c>
      <c r="K1257" s="1" t="str">
        <f>_xlfn.IFNA(INDEX([1]洞天福地产出!$H:$H,MATCH(B1257,[1]洞天福地产出!$K:$K,0)),"")</f>
        <v/>
      </c>
      <c r="L1257" s="1" t="str">
        <f t="shared" si="99"/>
        <v/>
      </c>
      <c r="M1257" s="4">
        <f t="shared" si="100"/>
        <v>0</v>
      </c>
    </row>
    <row r="1258" ht="45" spans="1:13">
      <c r="A1258" s="4"/>
      <c r="B1258" t="str">
        <f t="shared" si="101"/>
        <v>7:29000111</v>
      </c>
      <c r="C1258" s="1">
        <v>7</v>
      </c>
      <c r="D1258" s="4">
        <v>29000111</v>
      </c>
      <c r="E1258" s="3" t="s">
        <v>1903</v>
      </c>
      <c r="F1258" s="3"/>
      <c r="G1258" s="1">
        <v>2053.35</v>
      </c>
      <c r="H1258" s="1">
        <f t="shared" si="97"/>
        <v>2053.35</v>
      </c>
      <c r="I1258" s="1" t="str">
        <f t="shared" si="98"/>
        <v/>
      </c>
      <c r="J1258" s="1" t="str">
        <f>_xlfn.IFNA(INDEX([1]历练产出!$Z:$Z,MATCH(B1258,[1]历练产出!$AB:$AB,0)),"")</f>
        <v/>
      </c>
      <c r="K1258" s="1" t="str">
        <f>_xlfn.IFNA(INDEX([1]洞天福地产出!$H:$H,MATCH(B1258,[1]洞天福地产出!$K:$K,0)),"")</f>
        <v/>
      </c>
      <c r="L1258" s="1" t="str">
        <f t="shared" si="99"/>
        <v/>
      </c>
      <c r="M1258" s="4">
        <f t="shared" si="100"/>
        <v>0</v>
      </c>
    </row>
    <row r="1259" ht="45" spans="1:13">
      <c r="A1259" s="4"/>
      <c r="B1259" t="str">
        <f t="shared" si="101"/>
        <v>7:29000112</v>
      </c>
      <c r="C1259" s="1">
        <v>7</v>
      </c>
      <c r="D1259" s="4">
        <v>29000112</v>
      </c>
      <c r="E1259" s="3" t="s">
        <v>1903</v>
      </c>
      <c r="F1259" s="3"/>
      <c r="G1259" s="1">
        <v>2195.1</v>
      </c>
      <c r="H1259" s="1">
        <f t="shared" si="97"/>
        <v>2195.1</v>
      </c>
      <c r="I1259" s="1" t="str">
        <f t="shared" si="98"/>
        <v/>
      </c>
      <c r="J1259" s="1" t="str">
        <f>_xlfn.IFNA(INDEX([1]历练产出!$Z:$Z,MATCH(B1259,[1]历练产出!$AB:$AB,0)),"")</f>
        <v/>
      </c>
      <c r="K1259" s="1" t="str">
        <f>_xlfn.IFNA(INDEX([1]洞天福地产出!$H:$H,MATCH(B1259,[1]洞天福地产出!$K:$K,0)),"")</f>
        <v/>
      </c>
      <c r="L1259" s="1" t="str">
        <f t="shared" si="99"/>
        <v/>
      </c>
      <c r="M1259" s="4">
        <f t="shared" si="100"/>
        <v>0</v>
      </c>
    </row>
    <row r="1260" ht="45" spans="1:13">
      <c r="A1260" s="4"/>
      <c r="B1260" t="str">
        <f t="shared" si="101"/>
        <v>7:29000113</v>
      </c>
      <c r="C1260" s="1">
        <v>7</v>
      </c>
      <c r="D1260" s="4">
        <v>29000113</v>
      </c>
      <c r="E1260" s="3" t="s">
        <v>1903</v>
      </c>
      <c r="F1260" s="3"/>
      <c r="G1260" s="1">
        <v>2349</v>
      </c>
      <c r="H1260" s="1">
        <f t="shared" si="97"/>
        <v>2349</v>
      </c>
      <c r="I1260" s="1" t="str">
        <f t="shared" si="98"/>
        <v/>
      </c>
      <c r="J1260" s="1" t="str">
        <f>_xlfn.IFNA(INDEX([1]历练产出!$Z:$Z,MATCH(B1260,[1]历练产出!$AB:$AB,0)),"")</f>
        <v/>
      </c>
      <c r="K1260" s="1" t="str">
        <f>_xlfn.IFNA(INDEX([1]洞天福地产出!$H:$H,MATCH(B1260,[1]洞天福地产出!$K:$K,0)),"")</f>
        <v/>
      </c>
      <c r="L1260" s="1" t="str">
        <f t="shared" si="99"/>
        <v/>
      </c>
      <c r="M1260" s="4">
        <f t="shared" si="100"/>
        <v>0</v>
      </c>
    </row>
    <row r="1261" ht="45" spans="1:13">
      <c r="A1261" s="4"/>
      <c r="B1261" t="str">
        <f t="shared" si="101"/>
        <v>7:29000114</v>
      </c>
      <c r="C1261" s="1">
        <v>7</v>
      </c>
      <c r="D1261" s="4">
        <v>29000114</v>
      </c>
      <c r="E1261" s="3" t="s">
        <v>1903</v>
      </c>
      <c r="F1261" s="3"/>
      <c r="G1261" s="1">
        <v>2515.05</v>
      </c>
      <c r="H1261" s="1">
        <f t="shared" si="97"/>
        <v>2515.05</v>
      </c>
      <c r="I1261" s="1" t="str">
        <f t="shared" si="98"/>
        <v/>
      </c>
      <c r="J1261" s="1" t="str">
        <f>_xlfn.IFNA(INDEX([1]历练产出!$Z:$Z,MATCH(B1261,[1]历练产出!$AB:$AB,0)),"")</f>
        <v/>
      </c>
      <c r="K1261" s="1" t="str">
        <f>_xlfn.IFNA(INDEX([1]洞天福地产出!$H:$H,MATCH(B1261,[1]洞天福地产出!$K:$K,0)),"")</f>
        <v/>
      </c>
      <c r="L1261" s="1" t="str">
        <f t="shared" si="99"/>
        <v/>
      </c>
      <c r="M1261" s="4">
        <f t="shared" si="100"/>
        <v>0</v>
      </c>
    </row>
    <row r="1262" ht="45" spans="1:13">
      <c r="A1262" s="4"/>
      <c r="B1262" t="str">
        <f t="shared" si="101"/>
        <v>7:29000115</v>
      </c>
      <c r="C1262" s="1">
        <v>7</v>
      </c>
      <c r="D1262" s="4">
        <v>29000115</v>
      </c>
      <c r="E1262" s="3" t="s">
        <v>1903</v>
      </c>
      <c r="F1262" s="3"/>
      <c r="G1262" s="1">
        <v>2693.25</v>
      </c>
      <c r="H1262" s="1">
        <f t="shared" si="97"/>
        <v>2693.25</v>
      </c>
      <c r="I1262" s="1" t="str">
        <f t="shared" si="98"/>
        <v/>
      </c>
      <c r="J1262" s="1" t="str">
        <f>_xlfn.IFNA(INDEX([1]历练产出!$Z:$Z,MATCH(B1262,[1]历练产出!$AB:$AB,0)),"")</f>
        <v/>
      </c>
      <c r="K1262" s="1" t="str">
        <f>_xlfn.IFNA(INDEX([1]洞天福地产出!$H:$H,MATCH(B1262,[1]洞天福地产出!$K:$K,0)),"")</f>
        <v/>
      </c>
      <c r="L1262" s="1" t="str">
        <f t="shared" si="99"/>
        <v/>
      </c>
      <c r="M1262" s="4">
        <f t="shared" si="100"/>
        <v>0</v>
      </c>
    </row>
    <row r="1263" ht="45" spans="1:13">
      <c r="A1263" s="4"/>
      <c r="B1263" t="str">
        <f t="shared" si="101"/>
        <v>7:29000116</v>
      </c>
      <c r="C1263" s="1">
        <v>7</v>
      </c>
      <c r="D1263" s="4">
        <v>29000116</v>
      </c>
      <c r="E1263" s="3" t="s">
        <v>1903</v>
      </c>
      <c r="F1263" s="3"/>
      <c r="G1263" s="1">
        <v>2883.6</v>
      </c>
      <c r="H1263" s="1">
        <f t="shared" si="97"/>
        <v>2883.6</v>
      </c>
      <c r="I1263" s="1" t="str">
        <f t="shared" si="98"/>
        <v/>
      </c>
      <c r="J1263" s="1" t="str">
        <f>_xlfn.IFNA(INDEX([1]历练产出!$Z:$Z,MATCH(B1263,[1]历练产出!$AB:$AB,0)),"")</f>
        <v/>
      </c>
      <c r="K1263" s="1" t="str">
        <f>_xlfn.IFNA(INDEX([1]洞天福地产出!$H:$H,MATCH(B1263,[1]洞天福地产出!$K:$K,0)),"")</f>
        <v/>
      </c>
      <c r="L1263" s="1" t="str">
        <f t="shared" si="99"/>
        <v/>
      </c>
      <c r="M1263" s="4">
        <f t="shared" si="100"/>
        <v>0</v>
      </c>
    </row>
    <row r="1264" ht="45" spans="1:13">
      <c r="A1264" s="4"/>
      <c r="B1264" t="str">
        <f t="shared" si="101"/>
        <v>7:29000117</v>
      </c>
      <c r="C1264" s="1">
        <v>7</v>
      </c>
      <c r="D1264" s="4">
        <v>29000117</v>
      </c>
      <c r="E1264" s="3" t="s">
        <v>1903</v>
      </c>
      <c r="F1264" s="3"/>
      <c r="G1264" s="1">
        <v>3086.1</v>
      </c>
      <c r="H1264" s="1">
        <f t="shared" si="97"/>
        <v>3086.1</v>
      </c>
      <c r="I1264" s="1" t="str">
        <f t="shared" si="98"/>
        <v/>
      </c>
      <c r="J1264" s="1" t="str">
        <f>_xlfn.IFNA(INDEX([1]历练产出!$Z:$Z,MATCH(B1264,[1]历练产出!$AB:$AB,0)),"")</f>
        <v/>
      </c>
      <c r="K1264" s="1" t="str">
        <f>_xlfn.IFNA(INDEX([1]洞天福地产出!$H:$H,MATCH(B1264,[1]洞天福地产出!$K:$K,0)),"")</f>
        <v/>
      </c>
      <c r="L1264" s="1" t="str">
        <f t="shared" si="99"/>
        <v/>
      </c>
      <c r="M1264" s="4">
        <f t="shared" si="100"/>
        <v>0</v>
      </c>
    </row>
    <row r="1265" ht="45" spans="1:13">
      <c r="A1265" s="4"/>
      <c r="B1265" t="str">
        <f t="shared" si="101"/>
        <v>7:29000118</v>
      </c>
      <c r="C1265" s="1">
        <v>7</v>
      </c>
      <c r="D1265" s="4">
        <v>29000118</v>
      </c>
      <c r="E1265" s="3" t="s">
        <v>1903</v>
      </c>
      <c r="F1265" s="3"/>
      <c r="G1265" s="1">
        <v>3300.75</v>
      </c>
      <c r="H1265" s="1">
        <f t="shared" si="97"/>
        <v>3300.75</v>
      </c>
      <c r="I1265" s="1" t="str">
        <f t="shared" si="98"/>
        <v/>
      </c>
      <c r="J1265" s="1" t="str">
        <f>_xlfn.IFNA(INDEX([1]历练产出!$Z:$Z,MATCH(B1265,[1]历练产出!$AB:$AB,0)),"")</f>
        <v/>
      </c>
      <c r="K1265" s="1" t="str">
        <f>_xlfn.IFNA(INDEX([1]洞天福地产出!$H:$H,MATCH(B1265,[1]洞天福地产出!$K:$K,0)),"")</f>
        <v/>
      </c>
      <c r="L1265" s="1" t="str">
        <f t="shared" si="99"/>
        <v/>
      </c>
      <c r="M1265" s="4">
        <f t="shared" si="100"/>
        <v>0</v>
      </c>
    </row>
    <row r="1266" ht="45" spans="1:13">
      <c r="A1266" s="4"/>
      <c r="B1266" t="str">
        <f t="shared" si="101"/>
        <v>7:29000119</v>
      </c>
      <c r="C1266" s="1">
        <v>7</v>
      </c>
      <c r="D1266" s="4">
        <v>29000119</v>
      </c>
      <c r="E1266" s="3" t="s">
        <v>1903</v>
      </c>
      <c r="F1266" s="3"/>
      <c r="G1266" s="1">
        <v>4823.55</v>
      </c>
      <c r="H1266" s="1">
        <f t="shared" si="97"/>
        <v>4823.55</v>
      </c>
      <c r="I1266" s="1" t="str">
        <f t="shared" si="98"/>
        <v/>
      </c>
      <c r="J1266" s="1" t="str">
        <f>_xlfn.IFNA(INDEX([1]历练产出!$Z:$Z,MATCH(B1266,[1]历练产出!$AB:$AB,0)),"")</f>
        <v/>
      </c>
      <c r="K1266" s="1" t="str">
        <f>_xlfn.IFNA(INDEX([1]洞天福地产出!$H:$H,MATCH(B1266,[1]洞天福地产出!$K:$K,0)),"")</f>
        <v/>
      </c>
      <c r="L1266" s="1" t="str">
        <f t="shared" si="99"/>
        <v/>
      </c>
      <c r="M1266" s="4">
        <f t="shared" si="100"/>
        <v>0</v>
      </c>
    </row>
    <row r="1267" ht="45" spans="1:13">
      <c r="A1267" s="4"/>
      <c r="B1267" t="str">
        <f t="shared" si="101"/>
        <v>7:29000120</v>
      </c>
      <c r="C1267" s="1">
        <v>7</v>
      </c>
      <c r="D1267" s="4">
        <v>29000120</v>
      </c>
      <c r="E1267" s="3" t="s">
        <v>1903</v>
      </c>
      <c r="F1267" s="3"/>
      <c r="G1267" s="1">
        <v>5062.5</v>
      </c>
      <c r="H1267" s="1">
        <f t="shared" si="97"/>
        <v>5062.5</v>
      </c>
      <c r="I1267" s="1" t="str">
        <f t="shared" si="98"/>
        <v/>
      </c>
      <c r="J1267" s="1" t="str">
        <f>_xlfn.IFNA(INDEX([1]历练产出!$Z:$Z,MATCH(B1267,[1]历练产出!$AB:$AB,0)),"")</f>
        <v/>
      </c>
      <c r="K1267" s="1" t="str">
        <f>_xlfn.IFNA(INDEX([1]洞天福地产出!$H:$H,MATCH(B1267,[1]洞天福地产出!$K:$K,0)),"")</f>
        <v/>
      </c>
      <c r="L1267" s="1" t="str">
        <f t="shared" si="99"/>
        <v/>
      </c>
      <c r="M1267" s="4">
        <f t="shared" si="100"/>
        <v>0</v>
      </c>
    </row>
    <row r="1268" ht="45" spans="1:13">
      <c r="A1268" s="4"/>
      <c r="B1268" t="str">
        <f t="shared" si="101"/>
        <v>7:29000121</v>
      </c>
      <c r="C1268" s="1">
        <v>7</v>
      </c>
      <c r="D1268" s="4">
        <v>29000121</v>
      </c>
      <c r="E1268" s="3" t="s">
        <v>1903</v>
      </c>
      <c r="F1268" s="3"/>
      <c r="G1268" s="1">
        <v>5313.6</v>
      </c>
      <c r="H1268" s="1">
        <f t="shared" si="97"/>
        <v>5313.6</v>
      </c>
      <c r="I1268" s="1" t="str">
        <f t="shared" si="98"/>
        <v/>
      </c>
      <c r="J1268" s="1" t="str">
        <f>_xlfn.IFNA(INDEX([1]历练产出!$Z:$Z,MATCH(B1268,[1]历练产出!$AB:$AB,0)),"")</f>
        <v/>
      </c>
      <c r="K1268" s="1" t="str">
        <f>_xlfn.IFNA(INDEX([1]洞天福地产出!$H:$H,MATCH(B1268,[1]洞天福地产出!$K:$K,0)),"")</f>
        <v/>
      </c>
      <c r="L1268" s="1" t="str">
        <f t="shared" si="99"/>
        <v/>
      </c>
      <c r="M1268" s="4">
        <f t="shared" si="100"/>
        <v>0</v>
      </c>
    </row>
    <row r="1269" ht="45" spans="1:13">
      <c r="A1269" s="4"/>
      <c r="B1269" t="str">
        <f t="shared" si="101"/>
        <v>7:29000122</v>
      </c>
      <c r="C1269" s="1">
        <v>7</v>
      </c>
      <c r="D1269" s="4">
        <v>29000122</v>
      </c>
      <c r="E1269" s="3" t="s">
        <v>1903</v>
      </c>
      <c r="F1269" s="3"/>
      <c r="G1269" s="1">
        <v>5576.85</v>
      </c>
      <c r="H1269" s="1">
        <f t="shared" si="97"/>
        <v>5576.85</v>
      </c>
      <c r="I1269" s="1" t="str">
        <f t="shared" si="98"/>
        <v/>
      </c>
      <c r="J1269" s="1" t="str">
        <f>_xlfn.IFNA(INDEX([1]历练产出!$Z:$Z,MATCH(B1269,[1]历练产出!$AB:$AB,0)),"")</f>
        <v/>
      </c>
      <c r="K1269" s="1" t="str">
        <f>_xlfn.IFNA(INDEX([1]洞天福地产出!$H:$H,MATCH(B1269,[1]洞天福地产出!$K:$K,0)),"")</f>
        <v/>
      </c>
      <c r="L1269" s="1" t="str">
        <f t="shared" si="99"/>
        <v/>
      </c>
      <c r="M1269" s="4">
        <f t="shared" si="100"/>
        <v>0</v>
      </c>
    </row>
    <row r="1270" ht="45" spans="1:13">
      <c r="A1270" s="4"/>
      <c r="B1270" t="str">
        <f t="shared" si="101"/>
        <v>7:29000123</v>
      </c>
      <c r="C1270" s="1">
        <v>7</v>
      </c>
      <c r="D1270" s="4">
        <v>29000123</v>
      </c>
      <c r="E1270" s="3" t="s">
        <v>1903</v>
      </c>
      <c r="F1270" s="3"/>
      <c r="G1270" s="1">
        <v>5852.25</v>
      </c>
      <c r="H1270" s="1">
        <f t="shared" si="97"/>
        <v>5852.25</v>
      </c>
      <c r="I1270" s="1" t="str">
        <f t="shared" si="98"/>
        <v/>
      </c>
      <c r="J1270" s="1" t="str">
        <f>_xlfn.IFNA(INDEX([1]历练产出!$Z:$Z,MATCH(B1270,[1]历练产出!$AB:$AB,0)),"")</f>
        <v/>
      </c>
      <c r="K1270" s="1" t="str">
        <f>_xlfn.IFNA(INDEX([1]洞天福地产出!$H:$H,MATCH(B1270,[1]洞天福地产出!$K:$K,0)),"")</f>
        <v/>
      </c>
      <c r="L1270" s="1" t="str">
        <f t="shared" si="99"/>
        <v/>
      </c>
      <c r="M1270" s="4">
        <f t="shared" si="100"/>
        <v>0</v>
      </c>
    </row>
    <row r="1271" ht="45" spans="1:13">
      <c r="A1271" s="4"/>
      <c r="B1271" t="str">
        <f t="shared" si="101"/>
        <v>7:29000124</v>
      </c>
      <c r="C1271" s="1">
        <v>7</v>
      </c>
      <c r="D1271" s="4">
        <v>29000124</v>
      </c>
      <c r="E1271" s="3" t="s">
        <v>1903</v>
      </c>
      <c r="F1271" s="3"/>
      <c r="G1271" s="1">
        <v>6139.8</v>
      </c>
      <c r="H1271" s="1">
        <f t="shared" si="97"/>
        <v>6139.8</v>
      </c>
      <c r="I1271" s="1" t="str">
        <f t="shared" si="98"/>
        <v/>
      </c>
      <c r="J1271" s="1" t="str">
        <f>_xlfn.IFNA(INDEX([1]历练产出!$Z:$Z,MATCH(B1271,[1]历练产出!$AB:$AB,0)),"")</f>
        <v/>
      </c>
      <c r="K1271" s="1" t="str">
        <f>_xlfn.IFNA(INDEX([1]洞天福地产出!$H:$H,MATCH(B1271,[1]洞天福地产出!$K:$K,0)),"")</f>
        <v/>
      </c>
      <c r="L1271" s="1" t="str">
        <f t="shared" si="99"/>
        <v/>
      </c>
      <c r="M1271" s="4">
        <f t="shared" si="100"/>
        <v>0</v>
      </c>
    </row>
    <row r="1272" ht="45" spans="1:13">
      <c r="A1272" s="4"/>
      <c r="B1272" t="str">
        <f t="shared" si="101"/>
        <v>7:29000125</v>
      </c>
      <c r="C1272" s="1">
        <v>7</v>
      </c>
      <c r="D1272" s="4">
        <v>29000125</v>
      </c>
      <c r="E1272" s="3" t="s">
        <v>1903</v>
      </c>
      <c r="F1272" s="3"/>
      <c r="G1272" s="1">
        <v>6439.5</v>
      </c>
      <c r="H1272" s="1">
        <f t="shared" si="97"/>
        <v>6439.5</v>
      </c>
      <c r="I1272" s="1" t="str">
        <f t="shared" si="98"/>
        <v/>
      </c>
      <c r="J1272" s="1" t="str">
        <f>_xlfn.IFNA(INDEX([1]历练产出!$Z:$Z,MATCH(B1272,[1]历练产出!$AB:$AB,0)),"")</f>
        <v/>
      </c>
      <c r="K1272" s="1" t="str">
        <f>_xlfn.IFNA(INDEX([1]洞天福地产出!$H:$H,MATCH(B1272,[1]洞天福地产出!$K:$K,0)),"")</f>
        <v/>
      </c>
      <c r="L1272" s="1" t="str">
        <f t="shared" si="99"/>
        <v/>
      </c>
      <c r="M1272" s="4">
        <f t="shared" si="100"/>
        <v>0</v>
      </c>
    </row>
    <row r="1273" ht="45" spans="1:13">
      <c r="A1273" s="4"/>
      <c r="B1273" t="str">
        <f t="shared" si="101"/>
        <v>7:29000126</v>
      </c>
      <c r="C1273" s="1">
        <v>7</v>
      </c>
      <c r="D1273" s="4">
        <v>29000126</v>
      </c>
      <c r="E1273" s="3" t="s">
        <v>1903</v>
      </c>
      <c r="F1273" s="3"/>
      <c r="G1273" s="1">
        <v>6751.35</v>
      </c>
      <c r="H1273" s="1">
        <f t="shared" si="97"/>
        <v>6751.35</v>
      </c>
      <c r="I1273" s="1" t="str">
        <f t="shared" si="98"/>
        <v/>
      </c>
      <c r="J1273" s="1" t="str">
        <f>_xlfn.IFNA(INDEX([1]历练产出!$Z:$Z,MATCH(B1273,[1]历练产出!$AB:$AB,0)),"")</f>
        <v/>
      </c>
      <c r="K1273" s="1" t="str">
        <f>_xlfn.IFNA(INDEX([1]洞天福地产出!$H:$H,MATCH(B1273,[1]洞天福地产出!$K:$K,0)),"")</f>
        <v/>
      </c>
      <c r="L1273" s="1" t="str">
        <f t="shared" si="99"/>
        <v/>
      </c>
      <c r="M1273" s="4">
        <f t="shared" si="100"/>
        <v>0</v>
      </c>
    </row>
    <row r="1274" ht="45" spans="1:13">
      <c r="A1274" s="4"/>
      <c r="B1274" t="str">
        <f t="shared" si="101"/>
        <v>7:29000127</v>
      </c>
      <c r="C1274" s="1">
        <v>7</v>
      </c>
      <c r="D1274" s="4">
        <v>29000127</v>
      </c>
      <c r="E1274" s="3" t="s">
        <v>1903</v>
      </c>
      <c r="F1274" s="3"/>
      <c r="G1274" s="1">
        <v>7075.35</v>
      </c>
      <c r="H1274" s="1">
        <f t="shared" si="97"/>
        <v>7075.35</v>
      </c>
      <c r="I1274" s="1" t="str">
        <f t="shared" si="98"/>
        <v/>
      </c>
      <c r="J1274" s="1" t="str">
        <f>_xlfn.IFNA(INDEX([1]历练产出!$Z:$Z,MATCH(B1274,[1]历练产出!$AB:$AB,0)),"")</f>
        <v/>
      </c>
      <c r="K1274" s="1" t="str">
        <f>_xlfn.IFNA(INDEX([1]洞天福地产出!$H:$H,MATCH(B1274,[1]洞天福地产出!$K:$K,0)),"")</f>
        <v/>
      </c>
      <c r="L1274" s="1" t="str">
        <f t="shared" si="99"/>
        <v/>
      </c>
      <c r="M1274" s="4">
        <f t="shared" si="100"/>
        <v>0</v>
      </c>
    </row>
    <row r="1275" ht="45" spans="1:13">
      <c r="A1275" s="4"/>
      <c r="B1275" t="str">
        <f t="shared" si="101"/>
        <v>7:29000128</v>
      </c>
      <c r="C1275" s="1">
        <v>7</v>
      </c>
      <c r="D1275" s="4">
        <v>29000128</v>
      </c>
      <c r="E1275" s="3" t="s">
        <v>1903</v>
      </c>
      <c r="F1275" s="3"/>
      <c r="G1275" s="1">
        <v>7411.5</v>
      </c>
      <c r="H1275" s="1">
        <f t="shared" si="97"/>
        <v>7411.5</v>
      </c>
      <c r="I1275" s="1" t="str">
        <f t="shared" si="98"/>
        <v/>
      </c>
      <c r="J1275" s="1" t="str">
        <f>_xlfn.IFNA(INDEX([1]历练产出!$Z:$Z,MATCH(B1275,[1]历练产出!$AB:$AB,0)),"")</f>
        <v/>
      </c>
      <c r="K1275" s="1" t="str">
        <f>_xlfn.IFNA(INDEX([1]洞天福地产出!$H:$H,MATCH(B1275,[1]洞天福地产出!$K:$K,0)),"")</f>
        <v/>
      </c>
      <c r="L1275" s="1" t="str">
        <f t="shared" si="99"/>
        <v/>
      </c>
      <c r="M1275" s="4">
        <f t="shared" si="100"/>
        <v>0</v>
      </c>
    </row>
    <row r="1276" ht="45" spans="1:13">
      <c r="A1276" s="4"/>
      <c r="B1276" t="str">
        <f t="shared" si="101"/>
        <v>7:29000129</v>
      </c>
      <c r="C1276" s="1">
        <v>7</v>
      </c>
      <c r="D1276" s="4">
        <v>29000129</v>
      </c>
      <c r="E1276" s="3" t="s">
        <v>1903</v>
      </c>
      <c r="F1276" s="3"/>
      <c r="G1276" s="1">
        <v>9703.8</v>
      </c>
      <c r="H1276" s="1">
        <f t="shared" si="97"/>
        <v>9703.8</v>
      </c>
      <c r="I1276" s="1" t="str">
        <f t="shared" si="98"/>
        <v/>
      </c>
      <c r="J1276" s="1" t="str">
        <f>_xlfn.IFNA(INDEX([1]历练产出!$Z:$Z,MATCH(B1276,[1]历练产出!$AB:$AB,0)),"")</f>
        <v/>
      </c>
      <c r="K1276" s="1" t="str">
        <f>_xlfn.IFNA(INDEX([1]洞天福地产出!$H:$H,MATCH(B1276,[1]洞天福地产出!$K:$K,0)),"")</f>
        <v/>
      </c>
      <c r="L1276" s="1" t="str">
        <f t="shared" si="99"/>
        <v/>
      </c>
      <c r="M1276" s="4">
        <f t="shared" si="100"/>
        <v>0</v>
      </c>
    </row>
    <row r="1277" ht="45" spans="1:13">
      <c r="A1277" s="4"/>
      <c r="B1277" t="str">
        <f t="shared" si="101"/>
        <v>7:29000130</v>
      </c>
      <c r="C1277" s="1">
        <v>7</v>
      </c>
      <c r="D1277" s="4">
        <v>29000130</v>
      </c>
      <c r="E1277" s="3" t="s">
        <v>1903</v>
      </c>
      <c r="F1277" s="3"/>
      <c r="G1277" s="1">
        <v>10052.1</v>
      </c>
      <c r="H1277" s="1">
        <f t="shared" si="97"/>
        <v>10052.1</v>
      </c>
      <c r="I1277" s="1" t="str">
        <f t="shared" si="98"/>
        <v/>
      </c>
      <c r="J1277" s="1" t="str">
        <f>_xlfn.IFNA(INDEX([1]历练产出!$Z:$Z,MATCH(B1277,[1]历练产出!$AB:$AB,0)),"")</f>
        <v/>
      </c>
      <c r="K1277" s="1" t="str">
        <f>_xlfn.IFNA(INDEX([1]洞天福地产出!$H:$H,MATCH(B1277,[1]洞天福地产出!$K:$K,0)),"")</f>
        <v/>
      </c>
      <c r="L1277" s="1" t="str">
        <f t="shared" si="99"/>
        <v/>
      </c>
      <c r="M1277" s="4">
        <f t="shared" si="100"/>
        <v>0</v>
      </c>
    </row>
    <row r="1278" ht="45" spans="1:13">
      <c r="A1278" s="4"/>
      <c r="B1278" t="str">
        <f t="shared" si="101"/>
        <v>7:30000101</v>
      </c>
      <c r="C1278" s="1">
        <v>7</v>
      </c>
      <c r="D1278" s="4">
        <v>30000101</v>
      </c>
      <c r="E1278" s="3" t="s">
        <v>1904</v>
      </c>
      <c r="F1278" s="3"/>
      <c r="G1278" s="1">
        <v>656.1</v>
      </c>
      <c r="H1278" s="1">
        <f t="shared" si="97"/>
        <v>656.1</v>
      </c>
      <c r="I1278" s="1" t="str">
        <f t="shared" si="98"/>
        <v/>
      </c>
      <c r="J1278" s="1" t="str">
        <f>_xlfn.IFNA(INDEX([1]历练产出!$Z:$Z,MATCH(B1278,[1]历练产出!$AB:$AB,0)),"")</f>
        <v/>
      </c>
      <c r="K1278" s="1" t="str">
        <f>_xlfn.IFNA(INDEX([1]洞天福地产出!$H:$H,MATCH(B1278,[1]洞天福地产出!$K:$K,0)),"")</f>
        <v/>
      </c>
      <c r="L1278" s="1" t="str">
        <f t="shared" si="99"/>
        <v/>
      </c>
      <c r="M1278" s="4">
        <f t="shared" si="100"/>
        <v>0</v>
      </c>
    </row>
    <row r="1279" ht="45" spans="1:13">
      <c r="A1279" s="4"/>
      <c r="B1279" t="str">
        <f t="shared" si="101"/>
        <v>7:30000102</v>
      </c>
      <c r="C1279" s="1">
        <v>7</v>
      </c>
      <c r="D1279" s="4">
        <v>30000102</v>
      </c>
      <c r="E1279" s="3" t="s">
        <v>1904</v>
      </c>
      <c r="F1279" s="3"/>
      <c r="G1279" s="1">
        <v>676.35</v>
      </c>
      <c r="H1279" s="1">
        <f t="shared" si="97"/>
        <v>676.35</v>
      </c>
      <c r="I1279" s="1" t="str">
        <f t="shared" si="98"/>
        <v/>
      </c>
      <c r="J1279" s="1" t="str">
        <f>_xlfn.IFNA(INDEX([1]历练产出!$Z:$Z,MATCH(B1279,[1]历练产出!$AB:$AB,0)),"")</f>
        <v/>
      </c>
      <c r="K1279" s="1" t="str">
        <f>_xlfn.IFNA(INDEX([1]洞天福地产出!$H:$H,MATCH(B1279,[1]洞天福地产出!$K:$K,0)),"")</f>
        <v/>
      </c>
      <c r="L1279" s="1" t="str">
        <f t="shared" si="99"/>
        <v/>
      </c>
      <c r="M1279" s="4">
        <f t="shared" si="100"/>
        <v>0</v>
      </c>
    </row>
    <row r="1280" ht="45" spans="1:13">
      <c r="A1280" s="4"/>
      <c r="B1280" t="str">
        <f t="shared" si="101"/>
        <v>7:30000103</v>
      </c>
      <c r="C1280" s="1">
        <v>7</v>
      </c>
      <c r="D1280" s="4">
        <v>30000103</v>
      </c>
      <c r="E1280" s="3" t="s">
        <v>1904</v>
      </c>
      <c r="F1280" s="3"/>
      <c r="G1280" s="1">
        <v>708.75</v>
      </c>
      <c r="H1280" s="1">
        <f t="shared" si="97"/>
        <v>708.75</v>
      </c>
      <c r="I1280" s="1" t="str">
        <f t="shared" si="98"/>
        <v/>
      </c>
      <c r="J1280" s="1" t="str">
        <f>_xlfn.IFNA(INDEX([1]历练产出!$Z:$Z,MATCH(B1280,[1]历练产出!$AB:$AB,0)),"")</f>
        <v/>
      </c>
      <c r="K1280" s="1" t="str">
        <f>_xlfn.IFNA(INDEX([1]洞天福地产出!$H:$H,MATCH(B1280,[1]洞天福地产出!$K:$K,0)),"")</f>
        <v/>
      </c>
      <c r="L1280" s="1" t="str">
        <f t="shared" si="99"/>
        <v/>
      </c>
      <c r="M1280" s="4">
        <f t="shared" si="100"/>
        <v>0</v>
      </c>
    </row>
    <row r="1281" ht="45" spans="1:13">
      <c r="A1281" s="4"/>
      <c r="B1281" t="str">
        <f t="shared" si="101"/>
        <v>7:30000104</v>
      </c>
      <c r="C1281" s="1">
        <v>7</v>
      </c>
      <c r="D1281" s="4">
        <v>30000104</v>
      </c>
      <c r="E1281" s="3" t="s">
        <v>1904</v>
      </c>
      <c r="F1281" s="3"/>
      <c r="G1281" s="1">
        <v>753.3</v>
      </c>
      <c r="H1281" s="1">
        <f t="shared" si="97"/>
        <v>753.3</v>
      </c>
      <c r="I1281" s="1" t="str">
        <f t="shared" si="98"/>
        <v/>
      </c>
      <c r="J1281" s="1" t="str">
        <f>_xlfn.IFNA(INDEX([1]历练产出!$Z:$Z,MATCH(B1281,[1]历练产出!$AB:$AB,0)),"")</f>
        <v/>
      </c>
      <c r="K1281" s="1" t="str">
        <f>_xlfn.IFNA(INDEX([1]洞天福地产出!$H:$H,MATCH(B1281,[1]洞天福地产出!$K:$K,0)),"")</f>
        <v/>
      </c>
      <c r="L1281" s="1" t="str">
        <f t="shared" si="99"/>
        <v/>
      </c>
      <c r="M1281" s="4">
        <f t="shared" si="100"/>
        <v>0</v>
      </c>
    </row>
    <row r="1282" ht="45" spans="1:13">
      <c r="A1282" s="4"/>
      <c r="B1282" t="str">
        <f t="shared" si="101"/>
        <v>7:30000105</v>
      </c>
      <c r="C1282" s="1">
        <v>7</v>
      </c>
      <c r="D1282" s="4">
        <v>30000105</v>
      </c>
      <c r="E1282" s="3" t="s">
        <v>1904</v>
      </c>
      <c r="F1282" s="3"/>
      <c r="G1282" s="1">
        <v>810</v>
      </c>
      <c r="H1282" s="1">
        <f t="shared" si="97"/>
        <v>810</v>
      </c>
      <c r="I1282" s="1" t="str">
        <f t="shared" si="98"/>
        <v/>
      </c>
      <c r="J1282" s="1" t="str">
        <f>_xlfn.IFNA(INDEX([1]历练产出!$Z:$Z,MATCH(B1282,[1]历练产出!$AB:$AB,0)),"")</f>
        <v/>
      </c>
      <c r="K1282" s="1" t="str">
        <f>_xlfn.IFNA(INDEX([1]洞天福地产出!$H:$H,MATCH(B1282,[1]洞天福地产出!$K:$K,0)),"")</f>
        <v/>
      </c>
      <c r="L1282" s="1" t="str">
        <f t="shared" si="99"/>
        <v/>
      </c>
      <c r="M1282" s="4">
        <f t="shared" si="100"/>
        <v>0</v>
      </c>
    </row>
    <row r="1283" ht="45" spans="1:13">
      <c r="A1283" s="4"/>
      <c r="B1283" t="str">
        <f t="shared" si="101"/>
        <v>7:30000106</v>
      </c>
      <c r="C1283" s="1">
        <v>7</v>
      </c>
      <c r="D1283" s="4">
        <v>30000106</v>
      </c>
      <c r="E1283" s="3" t="s">
        <v>1904</v>
      </c>
      <c r="F1283" s="3"/>
      <c r="G1283" s="1">
        <v>878.85</v>
      </c>
      <c r="H1283" s="1">
        <f t="shared" si="97"/>
        <v>878.85</v>
      </c>
      <c r="I1283" s="1" t="str">
        <f t="shared" si="98"/>
        <v/>
      </c>
      <c r="J1283" s="1" t="str">
        <f>_xlfn.IFNA(INDEX([1]历练产出!$Z:$Z,MATCH(B1283,[1]历练产出!$AB:$AB,0)),"")</f>
        <v/>
      </c>
      <c r="K1283" s="1" t="str">
        <f>_xlfn.IFNA(INDEX([1]洞天福地产出!$H:$H,MATCH(B1283,[1]洞天福地产出!$K:$K,0)),"")</f>
        <v/>
      </c>
      <c r="L1283" s="1" t="str">
        <f t="shared" si="99"/>
        <v/>
      </c>
      <c r="M1283" s="4">
        <f t="shared" si="100"/>
        <v>0</v>
      </c>
    </row>
    <row r="1284" ht="45" spans="1:13">
      <c r="A1284" s="4"/>
      <c r="B1284" t="str">
        <f t="shared" si="101"/>
        <v>7:30000107</v>
      </c>
      <c r="C1284" s="1">
        <v>7</v>
      </c>
      <c r="D1284" s="4">
        <v>30000107</v>
      </c>
      <c r="E1284" s="3" t="s">
        <v>1904</v>
      </c>
      <c r="F1284" s="3"/>
      <c r="G1284" s="1">
        <v>959.85</v>
      </c>
      <c r="H1284" s="1">
        <f t="shared" ref="H1284:H1347" si="102">IF(I1284="",G1284,I1284)</f>
        <v>959.85</v>
      </c>
      <c r="I1284" s="1" t="str">
        <f t="shared" ref="I1284:I1347" si="103">IFERROR(100/L1284,"")</f>
        <v/>
      </c>
      <c r="J1284" s="1" t="str">
        <f>_xlfn.IFNA(INDEX([1]历练产出!$Z:$Z,MATCH(B1284,[1]历练产出!$AB:$AB,0)),"")</f>
        <v/>
      </c>
      <c r="K1284" s="1" t="str">
        <f>_xlfn.IFNA(INDEX([1]洞天福地产出!$H:$H,MATCH(B1284,[1]洞天福地产出!$K:$K,0)),"")</f>
        <v/>
      </c>
      <c r="L1284" s="1" t="str">
        <f t="shared" ref="L1284:L1347" si="104">IFERROR(J1284+K1284,"")</f>
        <v/>
      </c>
      <c r="M1284" s="4">
        <f t="shared" ref="M1284:M1347" si="105">IF(I1284="",0,1)</f>
        <v>0</v>
      </c>
    </row>
    <row r="1285" ht="45" spans="1:13">
      <c r="A1285" s="4"/>
      <c r="B1285" t="str">
        <f t="shared" si="101"/>
        <v>7:30000108</v>
      </c>
      <c r="C1285" s="1">
        <v>7</v>
      </c>
      <c r="D1285" s="4">
        <v>30000108</v>
      </c>
      <c r="E1285" s="3" t="s">
        <v>1904</v>
      </c>
      <c r="F1285" s="3"/>
      <c r="G1285" s="1">
        <v>1053</v>
      </c>
      <c r="H1285" s="1">
        <f t="shared" si="102"/>
        <v>1053</v>
      </c>
      <c r="I1285" s="1" t="str">
        <f t="shared" si="103"/>
        <v/>
      </c>
      <c r="J1285" s="1" t="str">
        <f>_xlfn.IFNA(INDEX([1]历练产出!$Z:$Z,MATCH(B1285,[1]历练产出!$AB:$AB,0)),"")</f>
        <v/>
      </c>
      <c r="K1285" s="1" t="str">
        <f>_xlfn.IFNA(INDEX([1]洞天福地产出!$H:$H,MATCH(B1285,[1]洞天福地产出!$K:$K,0)),"")</f>
        <v/>
      </c>
      <c r="L1285" s="1" t="str">
        <f t="shared" si="104"/>
        <v/>
      </c>
      <c r="M1285" s="4">
        <f t="shared" si="105"/>
        <v>0</v>
      </c>
    </row>
    <row r="1286" ht="45" spans="1:13">
      <c r="A1286" s="4"/>
      <c r="B1286" t="str">
        <f t="shared" si="101"/>
        <v>7:30000109</v>
      </c>
      <c r="C1286" s="1">
        <v>7</v>
      </c>
      <c r="D1286" s="4">
        <v>30000109</v>
      </c>
      <c r="E1286" s="3" t="s">
        <v>1904</v>
      </c>
      <c r="F1286" s="3"/>
      <c r="G1286" s="1">
        <v>1806.3</v>
      </c>
      <c r="H1286" s="1">
        <f t="shared" si="102"/>
        <v>1806.3</v>
      </c>
      <c r="I1286" s="1" t="str">
        <f t="shared" si="103"/>
        <v/>
      </c>
      <c r="J1286" s="1" t="str">
        <f>_xlfn.IFNA(INDEX([1]历练产出!$Z:$Z,MATCH(B1286,[1]历练产出!$AB:$AB,0)),"")</f>
        <v/>
      </c>
      <c r="K1286" s="1" t="str">
        <f>_xlfn.IFNA(INDEX([1]洞天福地产出!$H:$H,MATCH(B1286,[1]洞天福地产出!$K:$K,0)),"")</f>
        <v/>
      </c>
      <c r="L1286" s="1" t="str">
        <f t="shared" si="104"/>
        <v/>
      </c>
      <c r="M1286" s="4">
        <f t="shared" si="105"/>
        <v>0</v>
      </c>
    </row>
    <row r="1287" ht="45" spans="1:13">
      <c r="A1287" s="4"/>
      <c r="B1287" t="str">
        <f t="shared" si="101"/>
        <v>7:30000110</v>
      </c>
      <c r="C1287" s="1">
        <v>7</v>
      </c>
      <c r="D1287" s="4">
        <v>30000110</v>
      </c>
      <c r="E1287" s="3" t="s">
        <v>1904</v>
      </c>
      <c r="F1287" s="3"/>
      <c r="G1287" s="1">
        <v>1923.75</v>
      </c>
      <c r="H1287" s="1">
        <f t="shared" si="102"/>
        <v>1923.75</v>
      </c>
      <c r="I1287" s="1" t="str">
        <f t="shared" si="103"/>
        <v/>
      </c>
      <c r="J1287" s="1" t="str">
        <f>_xlfn.IFNA(INDEX([1]历练产出!$Z:$Z,MATCH(B1287,[1]历练产出!$AB:$AB,0)),"")</f>
        <v/>
      </c>
      <c r="K1287" s="1" t="str">
        <f>_xlfn.IFNA(INDEX([1]洞天福地产出!$H:$H,MATCH(B1287,[1]洞天福地产出!$K:$K,0)),"")</f>
        <v/>
      </c>
      <c r="L1287" s="1" t="str">
        <f t="shared" si="104"/>
        <v/>
      </c>
      <c r="M1287" s="4">
        <f t="shared" si="105"/>
        <v>0</v>
      </c>
    </row>
    <row r="1288" ht="45" spans="1:13">
      <c r="A1288" s="4"/>
      <c r="B1288" t="str">
        <f t="shared" si="101"/>
        <v>7:30000111</v>
      </c>
      <c r="C1288" s="1">
        <v>7</v>
      </c>
      <c r="D1288" s="4">
        <v>30000111</v>
      </c>
      <c r="E1288" s="3" t="s">
        <v>1904</v>
      </c>
      <c r="F1288" s="3"/>
      <c r="G1288" s="1">
        <v>2053.35</v>
      </c>
      <c r="H1288" s="1">
        <f t="shared" si="102"/>
        <v>2053.35</v>
      </c>
      <c r="I1288" s="1" t="str">
        <f t="shared" si="103"/>
        <v/>
      </c>
      <c r="J1288" s="1" t="str">
        <f>_xlfn.IFNA(INDEX([1]历练产出!$Z:$Z,MATCH(B1288,[1]历练产出!$AB:$AB,0)),"")</f>
        <v/>
      </c>
      <c r="K1288" s="1" t="str">
        <f>_xlfn.IFNA(INDEX([1]洞天福地产出!$H:$H,MATCH(B1288,[1]洞天福地产出!$K:$K,0)),"")</f>
        <v/>
      </c>
      <c r="L1288" s="1" t="str">
        <f t="shared" si="104"/>
        <v/>
      </c>
      <c r="M1288" s="4">
        <f t="shared" si="105"/>
        <v>0</v>
      </c>
    </row>
    <row r="1289" ht="45" spans="1:13">
      <c r="A1289" s="4"/>
      <c r="B1289" t="str">
        <f t="shared" si="101"/>
        <v>7:30000112</v>
      </c>
      <c r="C1289" s="1">
        <v>7</v>
      </c>
      <c r="D1289" s="4">
        <v>30000112</v>
      </c>
      <c r="E1289" s="3" t="s">
        <v>1904</v>
      </c>
      <c r="F1289" s="3"/>
      <c r="G1289" s="1">
        <v>2195.1</v>
      </c>
      <c r="H1289" s="1">
        <f t="shared" si="102"/>
        <v>2195.1</v>
      </c>
      <c r="I1289" s="1" t="str">
        <f t="shared" si="103"/>
        <v/>
      </c>
      <c r="J1289" s="1" t="str">
        <f>_xlfn.IFNA(INDEX([1]历练产出!$Z:$Z,MATCH(B1289,[1]历练产出!$AB:$AB,0)),"")</f>
        <v/>
      </c>
      <c r="K1289" s="1" t="str">
        <f>_xlfn.IFNA(INDEX([1]洞天福地产出!$H:$H,MATCH(B1289,[1]洞天福地产出!$K:$K,0)),"")</f>
        <v/>
      </c>
      <c r="L1289" s="1" t="str">
        <f t="shared" si="104"/>
        <v/>
      </c>
      <c r="M1289" s="4">
        <f t="shared" si="105"/>
        <v>0</v>
      </c>
    </row>
    <row r="1290" ht="45" spans="1:13">
      <c r="A1290" s="4"/>
      <c r="B1290" t="str">
        <f t="shared" si="101"/>
        <v>7:30000113</v>
      </c>
      <c r="C1290" s="1">
        <v>7</v>
      </c>
      <c r="D1290" s="4">
        <v>30000113</v>
      </c>
      <c r="E1290" s="3" t="s">
        <v>1904</v>
      </c>
      <c r="F1290" s="3"/>
      <c r="G1290" s="1">
        <v>2349</v>
      </c>
      <c r="H1290" s="1">
        <f t="shared" si="102"/>
        <v>2349</v>
      </c>
      <c r="I1290" s="1" t="str">
        <f t="shared" si="103"/>
        <v/>
      </c>
      <c r="J1290" s="1" t="str">
        <f>_xlfn.IFNA(INDEX([1]历练产出!$Z:$Z,MATCH(B1290,[1]历练产出!$AB:$AB,0)),"")</f>
        <v/>
      </c>
      <c r="K1290" s="1" t="str">
        <f>_xlfn.IFNA(INDEX([1]洞天福地产出!$H:$H,MATCH(B1290,[1]洞天福地产出!$K:$K,0)),"")</f>
        <v/>
      </c>
      <c r="L1290" s="1" t="str">
        <f t="shared" si="104"/>
        <v/>
      </c>
      <c r="M1290" s="4">
        <f t="shared" si="105"/>
        <v>0</v>
      </c>
    </row>
    <row r="1291" ht="45" spans="1:13">
      <c r="A1291" s="4"/>
      <c r="B1291" t="str">
        <f t="shared" si="101"/>
        <v>7:30000114</v>
      </c>
      <c r="C1291" s="1">
        <v>7</v>
      </c>
      <c r="D1291" s="4">
        <v>30000114</v>
      </c>
      <c r="E1291" s="3" t="s">
        <v>1904</v>
      </c>
      <c r="F1291" s="3"/>
      <c r="G1291" s="1">
        <v>2515.05</v>
      </c>
      <c r="H1291" s="1">
        <f t="shared" si="102"/>
        <v>2515.05</v>
      </c>
      <c r="I1291" s="1" t="str">
        <f t="shared" si="103"/>
        <v/>
      </c>
      <c r="J1291" s="1" t="str">
        <f>_xlfn.IFNA(INDEX([1]历练产出!$Z:$Z,MATCH(B1291,[1]历练产出!$AB:$AB,0)),"")</f>
        <v/>
      </c>
      <c r="K1291" s="1" t="str">
        <f>_xlfn.IFNA(INDEX([1]洞天福地产出!$H:$H,MATCH(B1291,[1]洞天福地产出!$K:$K,0)),"")</f>
        <v/>
      </c>
      <c r="L1291" s="1" t="str">
        <f t="shared" si="104"/>
        <v/>
      </c>
      <c r="M1291" s="4">
        <f t="shared" si="105"/>
        <v>0</v>
      </c>
    </row>
    <row r="1292" ht="45" spans="1:13">
      <c r="A1292" s="4"/>
      <c r="B1292" t="str">
        <f t="shared" si="101"/>
        <v>7:30000115</v>
      </c>
      <c r="C1292" s="1">
        <v>7</v>
      </c>
      <c r="D1292" s="4">
        <v>30000115</v>
      </c>
      <c r="E1292" s="3" t="s">
        <v>1904</v>
      </c>
      <c r="F1292" s="3"/>
      <c r="G1292" s="1">
        <v>2693.25</v>
      </c>
      <c r="H1292" s="1">
        <f t="shared" si="102"/>
        <v>2693.25</v>
      </c>
      <c r="I1292" s="1" t="str">
        <f t="shared" si="103"/>
        <v/>
      </c>
      <c r="J1292" s="1" t="str">
        <f>_xlfn.IFNA(INDEX([1]历练产出!$Z:$Z,MATCH(B1292,[1]历练产出!$AB:$AB,0)),"")</f>
        <v/>
      </c>
      <c r="K1292" s="1" t="str">
        <f>_xlfn.IFNA(INDEX([1]洞天福地产出!$H:$H,MATCH(B1292,[1]洞天福地产出!$K:$K,0)),"")</f>
        <v/>
      </c>
      <c r="L1292" s="1" t="str">
        <f t="shared" si="104"/>
        <v/>
      </c>
      <c r="M1292" s="4">
        <f t="shared" si="105"/>
        <v>0</v>
      </c>
    </row>
    <row r="1293" ht="45" spans="1:13">
      <c r="A1293" s="4"/>
      <c r="B1293" t="str">
        <f t="shared" si="101"/>
        <v>7:30000116</v>
      </c>
      <c r="C1293" s="1">
        <v>7</v>
      </c>
      <c r="D1293" s="4">
        <v>30000116</v>
      </c>
      <c r="E1293" s="3" t="s">
        <v>1904</v>
      </c>
      <c r="F1293" s="3"/>
      <c r="G1293" s="1">
        <v>2883.6</v>
      </c>
      <c r="H1293" s="1">
        <f t="shared" si="102"/>
        <v>2883.6</v>
      </c>
      <c r="I1293" s="1" t="str">
        <f t="shared" si="103"/>
        <v/>
      </c>
      <c r="J1293" s="1" t="str">
        <f>_xlfn.IFNA(INDEX([1]历练产出!$Z:$Z,MATCH(B1293,[1]历练产出!$AB:$AB,0)),"")</f>
        <v/>
      </c>
      <c r="K1293" s="1" t="str">
        <f>_xlfn.IFNA(INDEX([1]洞天福地产出!$H:$H,MATCH(B1293,[1]洞天福地产出!$K:$K,0)),"")</f>
        <v/>
      </c>
      <c r="L1293" s="1" t="str">
        <f t="shared" si="104"/>
        <v/>
      </c>
      <c r="M1293" s="4">
        <f t="shared" si="105"/>
        <v>0</v>
      </c>
    </row>
    <row r="1294" ht="45" spans="1:13">
      <c r="A1294" s="4"/>
      <c r="B1294" t="str">
        <f t="shared" si="101"/>
        <v>7:30000117</v>
      </c>
      <c r="C1294" s="1">
        <v>7</v>
      </c>
      <c r="D1294" s="4">
        <v>30000117</v>
      </c>
      <c r="E1294" s="3" t="s">
        <v>1904</v>
      </c>
      <c r="F1294" s="3"/>
      <c r="G1294" s="1">
        <v>3086.1</v>
      </c>
      <c r="H1294" s="1">
        <f t="shared" si="102"/>
        <v>3086.1</v>
      </c>
      <c r="I1294" s="1" t="str">
        <f t="shared" si="103"/>
        <v/>
      </c>
      <c r="J1294" s="1" t="str">
        <f>_xlfn.IFNA(INDEX([1]历练产出!$Z:$Z,MATCH(B1294,[1]历练产出!$AB:$AB,0)),"")</f>
        <v/>
      </c>
      <c r="K1294" s="1" t="str">
        <f>_xlfn.IFNA(INDEX([1]洞天福地产出!$H:$H,MATCH(B1294,[1]洞天福地产出!$K:$K,0)),"")</f>
        <v/>
      </c>
      <c r="L1294" s="1" t="str">
        <f t="shared" si="104"/>
        <v/>
      </c>
      <c r="M1294" s="4">
        <f t="shared" si="105"/>
        <v>0</v>
      </c>
    </row>
    <row r="1295" ht="45" spans="1:13">
      <c r="A1295" s="4"/>
      <c r="B1295" t="str">
        <f t="shared" si="101"/>
        <v>7:30000118</v>
      </c>
      <c r="C1295" s="1">
        <v>7</v>
      </c>
      <c r="D1295" s="4">
        <v>30000118</v>
      </c>
      <c r="E1295" s="3" t="s">
        <v>1904</v>
      </c>
      <c r="F1295" s="3"/>
      <c r="G1295" s="1">
        <v>3300.75</v>
      </c>
      <c r="H1295" s="1">
        <f t="shared" si="102"/>
        <v>3300.75</v>
      </c>
      <c r="I1295" s="1" t="str">
        <f t="shared" si="103"/>
        <v/>
      </c>
      <c r="J1295" s="1" t="str">
        <f>_xlfn.IFNA(INDEX([1]历练产出!$Z:$Z,MATCH(B1295,[1]历练产出!$AB:$AB,0)),"")</f>
        <v/>
      </c>
      <c r="K1295" s="1" t="str">
        <f>_xlfn.IFNA(INDEX([1]洞天福地产出!$H:$H,MATCH(B1295,[1]洞天福地产出!$K:$K,0)),"")</f>
        <v/>
      </c>
      <c r="L1295" s="1" t="str">
        <f t="shared" si="104"/>
        <v/>
      </c>
      <c r="M1295" s="4">
        <f t="shared" si="105"/>
        <v>0</v>
      </c>
    </row>
    <row r="1296" ht="45" spans="1:13">
      <c r="A1296" s="4"/>
      <c r="B1296" t="str">
        <f t="shared" si="101"/>
        <v>7:30000119</v>
      </c>
      <c r="C1296" s="1">
        <v>7</v>
      </c>
      <c r="D1296" s="4">
        <v>30000119</v>
      </c>
      <c r="E1296" s="3" t="s">
        <v>1904</v>
      </c>
      <c r="F1296" s="3"/>
      <c r="G1296" s="1">
        <v>4823.55</v>
      </c>
      <c r="H1296" s="1">
        <f t="shared" si="102"/>
        <v>4823.55</v>
      </c>
      <c r="I1296" s="1" t="str">
        <f t="shared" si="103"/>
        <v/>
      </c>
      <c r="J1296" s="1" t="str">
        <f>_xlfn.IFNA(INDEX([1]历练产出!$Z:$Z,MATCH(B1296,[1]历练产出!$AB:$AB,0)),"")</f>
        <v/>
      </c>
      <c r="K1296" s="1" t="str">
        <f>_xlfn.IFNA(INDEX([1]洞天福地产出!$H:$H,MATCH(B1296,[1]洞天福地产出!$K:$K,0)),"")</f>
        <v/>
      </c>
      <c r="L1296" s="1" t="str">
        <f t="shared" si="104"/>
        <v/>
      </c>
      <c r="M1296" s="4">
        <f t="shared" si="105"/>
        <v>0</v>
      </c>
    </row>
    <row r="1297" ht="45" spans="1:13">
      <c r="A1297" s="4"/>
      <c r="B1297" t="str">
        <f t="shared" si="101"/>
        <v>7:30000120</v>
      </c>
      <c r="C1297" s="1">
        <v>7</v>
      </c>
      <c r="D1297" s="4">
        <v>30000120</v>
      </c>
      <c r="E1297" s="3" t="s">
        <v>1904</v>
      </c>
      <c r="F1297" s="3"/>
      <c r="G1297" s="1">
        <v>5062.5</v>
      </c>
      <c r="H1297" s="1">
        <f t="shared" si="102"/>
        <v>5062.5</v>
      </c>
      <c r="I1297" s="1" t="str">
        <f t="shared" si="103"/>
        <v/>
      </c>
      <c r="J1297" s="1" t="str">
        <f>_xlfn.IFNA(INDEX([1]历练产出!$Z:$Z,MATCH(B1297,[1]历练产出!$AB:$AB,0)),"")</f>
        <v/>
      </c>
      <c r="K1297" s="1" t="str">
        <f>_xlfn.IFNA(INDEX([1]洞天福地产出!$H:$H,MATCH(B1297,[1]洞天福地产出!$K:$K,0)),"")</f>
        <v/>
      </c>
      <c r="L1297" s="1" t="str">
        <f t="shared" si="104"/>
        <v/>
      </c>
      <c r="M1297" s="4">
        <f t="shared" si="105"/>
        <v>0</v>
      </c>
    </row>
    <row r="1298" ht="45" spans="1:13">
      <c r="A1298" s="4"/>
      <c r="B1298" t="str">
        <f t="shared" si="101"/>
        <v>7:30000121</v>
      </c>
      <c r="C1298" s="1">
        <v>7</v>
      </c>
      <c r="D1298" s="4">
        <v>30000121</v>
      </c>
      <c r="E1298" s="3" t="s">
        <v>1904</v>
      </c>
      <c r="F1298" s="3"/>
      <c r="G1298" s="1">
        <v>5313.6</v>
      </c>
      <c r="H1298" s="1">
        <f t="shared" si="102"/>
        <v>5313.6</v>
      </c>
      <c r="I1298" s="1" t="str">
        <f t="shared" si="103"/>
        <v/>
      </c>
      <c r="J1298" s="1" t="str">
        <f>_xlfn.IFNA(INDEX([1]历练产出!$Z:$Z,MATCH(B1298,[1]历练产出!$AB:$AB,0)),"")</f>
        <v/>
      </c>
      <c r="K1298" s="1" t="str">
        <f>_xlfn.IFNA(INDEX([1]洞天福地产出!$H:$H,MATCH(B1298,[1]洞天福地产出!$K:$K,0)),"")</f>
        <v/>
      </c>
      <c r="L1298" s="1" t="str">
        <f t="shared" si="104"/>
        <v/>
      </c>
      <c r="M1298" s="4">
        <f t="shared" si="105"/>
        <v>0</v>
      </c>
    </row>
    <row r="1299" ht="45" spans="1:13">
      <c r="A1299" s="4"/>
      <c r="B1299" t="str">
        <f t="shared" si="101"/>
        <v>7:30000122</v>
      </c>
      <c r="C1299" s="1">
        <v>7</v>
      </c>
      <c r="D1299" s="4">
        <v>30000122</v>
      </c>
      <c r="E1299" s="3" t="s">
        <v>1904</v>
      </c>
      <c r="F1299" s="3"/>
      <c r="G1299" s="1">
        <v>5576.85</v>
      </c>
      <c r="H1299" s="1">
        <f t="shared" si="102"/>
        <v>5576.85</v>
      </c>
      <c r="I1299" s="1" t="str">
        <f t="shared" si="103"/>
        <v/>
      </c>
      <c r="J1299" s="1" t="str">
        <f>_xlfn.IFNA(INDEX([1]历练产出!$Z:$Z,MATCH(B1299,[1]历练产出!$AB:$AB,0)),"")</f>
        <v/>
      </c>
      <c r="K1299" s="1" t="str">
        <f>_xlfn.IFNA(INDEX([1]洞天福地产出!$H:$H,MATCH(B1299,[1]洞天福地产出!$K:$K,0)),"")</f>
        <v/>
      </c>
      <c r="L1299" s="1" t="str">
        <f t="shared" si="104"/>
        <v/>
      </c>
      <c r="M1299" s="4">
        <f t="shared" si="105"/>
        <v>0</v>
      </c>
    </row>
    <row r="1300" ht="45" spans="1:13">
      <c r="A1300" s="4"/>
      <c r="B1300" t="str">
        <f t="shared" si="101"/>
        <v>7:30000123</v>
      </c>
      <c r="C1300" s="1">
        <v>7</v>
      </c>
      <c r="D1300" s="4">
        <v>30000123</v>
      </c>
      <c r="E1300" s="3" t="s">
        <v>1904</v>
      </c>
      <c r="F1300" s="3"/>
      <c r="G1300" s="1">
        <v>5852.25</v>
      </c>
      <c r="H1300" s="1">
        <f t="shared" si="102"/>
        <v>5852.25</v>
      </c>
      <c r="I1300" s="1" t="str">
        <f t="shared" si="103"/>
        <v/>
      </c>
      <c r="J1300" s="1" t="str">
        <f>_xlfn.IFNA(INDEX([1]历练产出!$Z:$Z,MATCH(B1300,[1]历练产出!$AB:$AB,0)),"")</f>
        <v/>
      </c>
      <c r="K1300" s="1" t="str">
        <f>_xlfn.IFNA(INDEX([1]洞天福地产出!$H:$H,MATCH(B1300,[1]洞天福地产出!$K:$K,0)),"")</f>
        <v/>
      </c>
      <c r="L1300" s="1" t="str">
        <f t="shared" si="104"/>
        <v/>
      </c>
      <c r="M1300" s="4">
        <f t="shared" si="105"/>
        <v>0</v>
      </c>
    </row>
    <row r="1301" ht="45" spans="1:13">
      <c r="A1301" s="4"/>
      <c r="B1301" t="str">
        <f t="shared" si="101"/>
        <v>7:30000124</v>
      </c>
      <c r="C1301" s="1">
        <v>7</v>
      </c>
      <c r="D1301" s="4">
        <v>30000124</v>
      </c>
      <c r="E1301" s="3" t="s">
        <v>1904</v>
      </c>
      <c r="F1301" s="3"/>
      <c r="G1301" s="1">
        <v>6139.8</v>
      </c>
      <c r="H1301" s="1">
        <f t="shared" si="102"/>
        <v>6139.8</v>
      </c>
      <c r="I1301" s="1" t="str">
        <f t="shared" si="103"/>
        <v/>
      </c>
      <c r="J1301" s="1" t="str">
        <f>_xlfn.IFNA(INDEX([1]历练产出!$Z:$Z,MATCH(B1301,[1]历练产出!$AB:$AB,0)),"")</f>
        <v/>
      </c>
      <c r="K1301" s="1" t="str">
        <f>_xlfn.IFNA(INDEX([1]洞天福地产出!$H:$H,MATCH(B1301,[1]洞天福地产出!$K:$K,0)),"")</f>
        <v/>
      </c>
      <c r="L1301" s="1" t="str">
        <f t="shared" si="104"/>
        <v/>
      </c>
      <c r="M1301" s="4">
        <f t="shared" si="105"/>
        <v>0</v>
      </c>
    </row>
    <row r="1302" ht="45" spans="1:13">
      <c r="A1302" s="4"/>
      <c r="B1302" t="str">
        <f t="shared" si="101"/>
        <v>7:30000125</v>
      </c>
      <c r="C1302" s="1">
        <v>7</v>
      </c>
      <c r="D1302" s="4">
        <v>30000125</v>
      </c>
      <c r="E1302" s="3" t="s">
        <v>1904</v>
      </c>
      <c r="F1302" s="3"/>
      <c r="G1302" s="1">
        <v>6439.5</v>
      </c>
      <c r="H1302" s="1">
        <f t="shared" si="102"/>
        <v>6439.5</v>
      </c>
      <c r="I1302" s="1" t="str">
        <f t="shared" si="103"/>
        <v/>
      </c>
      <c r="J1302" s="1" t="str">
        <f>_xlfn.IFNA(INDEX([1]历练产出!$Z:$Z,MATCH(B1302,[1]历练产出!$AB:$AB,0)),"")</f>
        <v/>
      </c>
      <c r="K1302" s="1" t="str">
        <f>_xlfn.IFNA(INDEX([1]洞天福地产出!$H:$H,MATCH(B1302,[1]洞天福地产出!$K:$K,0)),"")</f>
        <v/>
      </c>
      <c r="L1302" s="1" t="str">
        <f t="shared" si="104"/>
        <v/>
      </c>
      <c r="M1302" s="4">
        <f t="shared" si="105"/>
        <v>0</v>
      </c>
    </row>
    <row r="1303" ht="45" spans="1:13">
      <c r="A1303" s="4"/>
      <c r="B1303" t="str">
        <f t="shared" si="101"/>
        <v>7:30000126</v>
      </c>
      <c r="C1303" s="1">
        <v>7</v>
      </c>
      <c r="D1303" s="4">
        <v>30000126</v>
      </c>
      <c r="E1303" s="3" t="s">
        <v>1904</v>
      </c>
      <c r="F1303" s="3"/>
      <c r="G1303" s="1">
        <v>6751.35</v>
      </c>
      <c r="H1303" s="1">
        <f t="shared" si="102"/>
        <v>6751.35</v>
      </c>
      <c r="I1303" s="1" t="str">
        <f t="shared" si="103"/>
        <v/>
      </c>
      <c r="J1303" s="1" t="str">
        <f>_xlfn.IFNA(INDEX([1]历练产出!$Z:$Z,MATCH(B1303,[1]历练产出!$AB:$AB,0)),"")</f>
        <v/>
      </c>
      <c r="K1303" s="1" t="str">
        <f>_xlfn.IFNA(INDEX([1]洞天福地产出!$H:$H,MATCH(B1303,[1]洞天福地产出!$K:$K,0)),"")</f>
        <v/>
      </c>
      <c r="L1303" s="1" t="str">
        <f t="shared" si="104"/>
        <v/>
      </c>
      <c r="M1303" s="4">
        <f t="shared" si="105"/>
        <v>0</v>
      </c>
    </row>
    <row r="1304" ht="45" spans="1:13">
      <c r="A1304" s="4"/>
      <c r="B1304" t="str">
        <f t="shared" si="101"/>
        <v>7:30000127</v>
      </c>
      <c r="C1304" s="1">
        <v>7</v>
      </c>
      <c r="D1304" s="4">
        <v>30000127</v>
      </c>
      <c r="E1304" s="3" t="s">
        <v>1904</v>
      </c>
      <c r="F1304" s="3"/>
      <c r="G1304" s="1">
        <v>7075.35</v>
      </c>
      <c r="H1304" s="1">
        <f t="shared" si="102"/>
        <v>7075.35</v>
      </c>
      <c r="I1304" s="1" t="str">
        <f t="shared" si="103"/>
        <v/>
      </c>
      <c r="J1304" s="1" t="str">
        <f>_xlfn.IFNA(INDEX([1]历练产出!$Z:$Z,MATCH(B1304,[1]历练产出!$AB:$AB,0)),"")</f>
        <v/>
      </c>
      <c r="K1304" s="1" t="str">
        <f>_xlfn.IFNA(INDEX([1]洞天福地产出!$H:$H,MATCH(B1304,[1]洞天福地产出!$K:$K,0)),"")</f>
        <v/>
      </c>
      <c r="L1304" s="1" t="str">
        <f t="shared" si="104"/>
        <v/>
      </c>
      <c r="M1304" s="4">
        <f t="shared" si="105"/>
        <v>0</v>
      </c>
    </row>
    <row r="1305" ht="45" spans="1:13">
      <c r="A1305" s="4"/>
      <c r="B1305" t="str">
        <f t="shared" si="101"/>
        <v>7:30000128</v>
      </c>
      <c r="C1305" s="1">
        <v>7</v>
      </c>
      <c r="D1305" s="4">
        <v>30000128</v>
      </c>
      <c r="E1305" s="3" t="s">
        <v>1904</v>
      </c>
      <c r="F1305" s="3"/>
      <c r="G1305" s="1">
        <v>7411.5</v>
      </c>
      <c r="H1305" s="1">
        <f t="shared" si="102"/>
        <v>7411.5</v>
      </c>
      <c r="I1305" s="1" t="str">
        <f t="shared" si="103"/>
        <v/>
      </c>
      <c r="J1305" s="1" t="str">
        <f>_xlfn.IFNA(INDEX([1]历练产出!$Z:$Z,MATCH(B1305,[1]历练产出!$AB:$AB,0)),"")</f>
        <v/>
      </c>
      <c r="K1305" s="1" t="str">
        <f>_xlfn.IFNA(INDEX([1]洞天福地产出!$H:$H,MATCH(B1305,[1]洞天福地产出!$K:$K,0)),"")</f>
        <v/>
      </c>
      <c r="L1305" s="1" t="str">
        <f t="shared" si="104"/>
        <v/>
      </c>
      <c r="M1305" s="4">
        <f t="shared" si="105"/>
        <v>0</v>
      </c>
    </row>
    <row r="1306" ht="45" spans="1:13">
      <c r="A1306" s="4"/>
      <c r="B1306" t="str">
        <f t="shared" si="101"/>
        <v>7:30000129</v>
      </c>
      <c r="C1306" s="1">
        <v>7</v>
      </c>
      <c r="D1306" s="4">
        <v>30000129</v>
      </c>
      <c r="E1306" s="3" t="s">
        <v>1904</v>
      </c>
      <c r="F1306" s="3"/>
      <c r="G1306" s="1">
        <v>9703.8</v>
      </c>
      <c r="H1306" s="1">
        <f t="shared" si="102"/>
        <v>9703.8</v>
      </c>
      <c r="I1306" s="1" t="str">
        <f t="shared" si="103"/>
        <v/>
      </c>
      <c r="J1306" s="1" t="str">
        <f>_xlfn.IFNA(INDEX([1]历练产出!$Z:$Z,MATCH(B1306,[1]历练产出!$AB:$AB,0)),"")</f>
        <v/>
      </c>
      <c r="K1306" s="1" t="str">
        <f>_xlfn.IFNA(INDEX([1]洞天福地产出!$H:$H,MATCH(B1306,[1]洞天福地产出!$K:$K,0)),"")</f>
        <v/>
      </c>
      <c r="L1306" s="1" t="str">
        <f t="shared" si="104"/>
        <v/>
      </c>
      <c r="M1306" s="4">
        <f t="shared" si="105"/>
        <v>0</v>
      </c>
    </row>
    <row r="1307" ht="45" spans="1:13">
      <c r="A1307" s="4"/>
      <c r="B1307" t="str">
        <f t="shared" si="101"/>
        <v>7:30000130</v>
      </c>
      <c r="C1307" s="1">
        <v>7</v>
      </c>
      <c r="D1307" s="4">
        <v>30000130</v>
      </c>
      <c r="E1307" s="3" t="s">
        <v>1904</v>
      </c>
      <c r="F1307" s="3"/>
      <c r="G1307" s="1">
        <v>10052.1</v>
      </c>
      <c r="H1307" s="1">
        <f t="shared" si="102"/>
        <v>10052.1</v>
      </c>
      <c r="I1307" s="1" t="str">
        <f t="shared" si="103"/>
        <v/>
      </c>
      <c r="J1307" s="1" t="str">
        <f>_xlfn.IFNA(INDEX([1]历练产出!$Z:$Z,MATCH(B1307,[1]历练产出!$AB:$AB,0)),"")</f>
        <v/>
      </c>
      <c r="K1307" s="1" t="str">
        <f>_xlfn.IFNA(INDEX([1]洞天福地产出!$H:$H,MATCH(B1307,[1]洞天福地产出!$K:$K,0)),"")</f>
        <v/>
      </c>
      <c r="L1307" s="1" t="str">
        <f t="shared" si="104"/>
        <v/>
      </c>
      <c r="M1307" s="4">
        <f t="shared" si="105"/>
        <v>0</v>
      </c>
    </row>
    <row r="1308" spans="1:13">
      <c r="A1308" s="4"/>
      <c r="B1308" t="str">
        <f t="shared" si="101"/>
        <v>7:31000101</v>
      </c>
      <c r="C1308" s="1">
        <v>7</v>
      </c>
      <c r="D1308" s="4">
        <v>31000101</v>
      </c>
      <c r="E1308" s="3" t="s">
        <v>1905</v>
      </c>
      <c r="F1308" s="3"/>
      <c r="G1308" s="1">
        <v>656.1</v>
      </c>
      <c r="H1308" s="1">
        <f t="shared" si="102"/>
        <v>656.1</v>
      </c>
      <c r="I1308" s="1" t="str">
        <f t="shared" si="103"/>
        <v/>
      </c>
      <c r="J1308" s="1" t="str">
        <f>_xlfn.IFNA(INDEX([1]历练产出!$Z:$Z,MATCH(B1308,[1]历练产出!$AB:$AB,0)),"")</f>
        <v/>
      </c>
      <c r="K1308" s="1" t="str">
        <f>_xlfn.IFNA(INDEX([1]洞天福地产出!$H:$H,MATCH(B1308,[1]洞天福地产出!$K:$K,0)),"")</f>
        <v/>
      </c>
      <c r="L1308" s="1" t="str">
        <f t="shared" si="104"/>
        <v/>
      </c>
      <c r="M1308" s="4">
        <f t="shared" si="105"/>
        <v>0</v>
      </c>
    </row>
    <row r="1309" spans="1:13">
      <c r="A1309" s="4"/>
      <c r="B1309" t="str">
        <f t="shared" si="101"/>
        <v>7:31000102</v>
      </c>
      <c r="C1309" s="1">
        <v>7</v>
      </c>
      <c r="D1309" s="4">
        <v>31000102</v>
      </c>
      <c r="E1309" s="3" t="s">
        <v>1905</v>
      </c>
      <c r="F1309" s="3"/>
      <c r="G1309" s="1">
        <v>676.35</v>
      </c>
      <c r="H1309" s="1">
        <f t="shared" si="102"/>
        <v>676.35</v>
      </c>
      <c r="I1309" s="1" t="str">
        <f t="shared" si="103"/>
        <v/>
      </c>
      <c r="J1309" s="1" t="str">
        <f>_xlfn.IFNA(INDEX([1]历练产出!$Z:$Z,MATCH(B1309,[1]历练产出!$AB:$AB,0)),"")</f>
        <v/>
      </c>
      <c r="K1309" s="1" t="str">
        <f>_xlfn.IFNA(INDEX([1]洞天福地产出!$H:$H,MATCH(B1309,[1]洞天福地产出!$K:$K,0)),"")</f>
        <v/>
      </c>
      <c r="L1309" s="1" t="str">
        <f t="shared" si="104"/>
        <v/>
      </c>
      <c r="M1309" s="4">
        <f t="shared" si="105"/>
        <v>0</v>
      </c>
    </row>
    <row r="1310" spans="1:13">
      <c r="A1310" s="4"/>
      <c r="B1310" t="str">
        <f t="shared" si="101"/>
        <v>7:31000103</v>
      </c>
      <c r="C1310" s="1">
        <v>7</v>
      </c>
      <c r="D1310" s="4">
        <v>31000103</v>
      </c>
      <c r="E1310" s="3" t="s">
        <v>1905</v>
      </c>
      <c r="F1310" s="3"/>
      <c r="G1310" s="1">
        <v>708.75</v>
      </c>
      <c r="H1310" s="1">
        <f t="shared" si="102"/>
        <v>708.75</v>
      </c>
      <c r="I1310" s="1" t="str">
        <f t="shared" si="103"/>
        <v/>
      </c>
      <c r="J1310" s="1" t="str">
        <f>_xlfn.IFNA(INDEX([1]历练产出!$Z:$Z,MATCH(B1310,[1]历练产出!$AB:$AB,0)),"")</f>
        <v/>
      </c>
      <c r="K1310" s="1" t="str">
        <f>_xlfn.IFNA(INDEX([1]洞天福地产出!$H:$H,MATCH(B1310,[1]洞天福地产出!$K:$K,0)),"")</f>
        <v/>
      </c>
      <c r="L1310" s="1" t="str">
        <f t="shared" si="104"/>
        <v/>
      </c>
      <c r="M1310" s="4">
        <f t="shared" si="105"/>
        <v>0</v>
      </c>
    </row>
    <row r="1311" spans="1:13">
      <c r="A1311" s="4"/>
      <c r="B1311" t="str">
        <f t="shared" si="101"/>
        <v>7:31000104</v>
      </c>
      <c r="C1311" s="1">
        <v>7</v>
      </c>
      <c r="D1311" s="4">
        <v>31000104</v>
      </c>
      <c r="E1311" s="3" t="s">
        <v>1905</v>
      </c>
      <c r="F1311" s="3"/>
      <c r="G1311" s="1">
        <v>753.3</v>
      </c>
      <c r="H1311" s="1">
        <f t="shared" si="102"/>
        <v>753.3</v>
      </c>
      <c r="I1311" s="1" t="str">
        <f t="shared" si="103"/>
        <v/>
      </c>
      <c r="J1311" s="1" t="str">
        <f>_xlfn.IFNA(INDEX([1]历练产出!$Z:$Z,MATCH(B1311,[1]历练产出!$AB:$AB,0)),"")</f>
        <v/>
      </c>
      <c r="K1311" s="1" t="str">
        <f>_xlfn.IFNA(INDEX([1]洞天福地产出!$H:$H,MATCH(B1311,[1]洞天福地产出!$K:$K,0)),"")</f>
        <v/>
      </c>
      <c r="L1311" s="1" t="str">
        <f t="shared" si="104"/>
        <v/>
      </c>
      <c r="M1311" s="4">
        <f t="shared" si="105"/>
        <v>0</v>
      </c>
    </row>
    <row r="1312" spans="1:13">
      <c r="A1312" s="4"/>
      <c r="B1312" t="str">
        <f t="shared" si="101"/>
        <v>7:31000105</v>
      </c>
      <c r="C1312" s="1">
        <v>7</v>
      </c>
      <c r="D1312" s="4">
        <v>31000105</v>
      </c>
      <c r="E1312" s="3" t="s">
        <v>1905</v>
      </c>
      <c r="F1312" s="3"/>
      <c r="G1312" s="1">
        <v>810</v>
      </c>
      <c r="H1312" s="1">
        <f t="shared" si="102"/>
        <v>810</v>
      </c>
      <c r="I1312" s="1" t="str">
        <f t="shared" si="103"/>
        <v/>
      </c>
      <c r="J1312" s="1" t="str">
        <f>_xlfn.IFNA(INDEX([1]历练产出!$Z:$Z,MATCH(B1312,[1]历练产出!$AB:$AB,0)),"")</f>
        <v/>
      </c>
      <c r="K1312" s="1" t="str">
        <f>_xlfn.IFNA(INDEX([1]洞天福地产出!$H:$H,MATCH(B1312,[1]洞天福地产出!$K:$K,0)),"")</f>
        <v/>
      </c>
      <c r="L1312" s="1" t="str">
        <f t="shared" si="104"/>
        <v/>
      </c>
      <c r="M1312" s="4">
        <f t="shared" si="105"/>
        <v>0</v>
      </c>
    </row>
    <row r="1313" spans="1:13">
      <c r="A1313" s="4"/>
      <c r="B1313" t="str">
        <f t="shared" si="101"/>
        <v>7:31000106</v>
      </c>
      <c r="C1313" s="1">
        <v>7</v>
      </c>
      <c r="D1313" s="4">
        <v>31000106</v>
      </c>
      <c r="E1313" s="3" t="s">
        <v>1905</v>
      </c>
      <c r="F1313" s="3"/>
      <c r="G1313" s="1">
        <v>878.85</v>
      </c>
      <c r="H1313" s="1">
        <f t="shared" si="102"/>
        <v>878.85</v>
      </c>
      <c r="I1313" s="1" t="str">
        <f t="shared" si="103"/>
        <v/>
      </c>
      <c r="J1313" s="1" t="str">
        <f>_xlfn.IFNA(INDEX([1]历练产出!$Z:$Z,MATCH(B1313,[1]历练产出!$AB:$AB,0)),"")</f>
        <v/>
      </c>
      <c r="K1313" s="1" t="str">
        <f>_xlfn.IFNA(INDEX([1]洞天福地产出!$H:$H,MATCH(B1313,[1]洞天福地产出!$K:$K,0)),"")</f>
        <v/>
      </c>
      <c r="L1313" s="1" t="str">
        <f t="shared" si="104"/>
        <v/>
      </c>
      <c r="M1313" s="4">
        <f t="shared" si="105"/>
        <v>0</v>
      </c>
    </row>
    <row r="1314" spans="1:13">
      <c r="A1314" s="4"/>
      <c r="B1314" t="str">
        <f t="shared" si="101"/>
        <v>7:31000107</v>
      </c>
      <c r="C1314" s="1">
        <v>7</v>
      </c>
      <c r="D1314" s="4">
        <v>31000107</v>
      </c>
      <c r="E1314" s="3" t="s">
        <v>1905</v>
      </c>
      <c r="F1314" s="3"/>
      <c r="G1314" s="1">
        <v>959.85</v>
      </c>
      <c r="H1314" s="1">
        <f t="shared" si="102"/>
        <v>959.85</v>
      </c>
      <c r="I1314" s="1" t="str">
        <f t="shared" si="103"/>
        <v/>
      </c>
      <c r="J1314" s="1" t="str">
        <f>_xlfn.IFNA(INDEX([1]历练产出!$Z:$Z,MATCH(B1314,[1]历练产出!$AB:$AB,0)),"")</f>
        <v/>
      </c>
      <c r="K1314" s="1" t="str">
        <f>_xlfn.IFNA(INDEX([1]洞天福地产出!$H:$H,MATCH(B1314,[1]洞天福地产出!$K:$K,0)),"")</f>
        <v/>
      </c>
      <c r="L1314" s="1" t="str">
        <f t="shared" si="104"/>
        <v/>
      </c>
      <c r="M1314" s="4">
        <f t="shared" si="105"/>
        <v>0</v>
      </c>
    </row>
    <row r="1315" spans="1:13">
      <c r="A1315" s="4"/>
      <c r="B1315" t="str">
        <f t="shared" si="101"/>
        <v>7:31000108</v>
      </c>
      <c r="C1315" s="1">
        <v>7</v>
      </c>
      <c r="D1315" s="4">
        <v>31000108</v>
      </c>
      <c r="E1315" s="3" t="s">
        <v>1905</v>
      </c>
      <c r="F1315" s="3"/>
      <c r="G1315" s="1">
        <v>1053</v>
      </c>
      <c r="H1315" s="1">
        <f t="shared" si="102"/>
        <v>1053</v>
      </c>
      <c r="I1315" s="1" t="str">
        <f t="shared" si="103"/>
        <v/>
      </c>
      <c r="J1315" s="1" t="str">
        <f>_xlfn.IFNA(INDEX([1]历练产出!$Z:$Z,MATCH(B1315,[1]历练产出!$AB:$AB,0)),"")</f>
        <v/>
      </c>
      <c r="K1315" s="1" t="str">
        <f>_xlfn.IFNA(INDEX([1]洞天福地产出!$H:$H,MATCH(B1315,[1]洞天福地产出!$K:$K,0)),"")</f>
        <v/>
      </c>
      <c r="L1315" s="1" t="str">
        <f t="shared" si="104"/>
        <v/>
      </c>
      <c r="M1315" s="4">
        <f t="shared" si="105"/>
        <v>0</v>
      </c>
    </row>
    <row r="1316" spans="1:13">
      <c r="A1316" s="4"/>
      <c r="B1316" t="str">
        <f t="shared" ref="B1316:B1379" si="106">C1316&amp;":"&amp;D1316</f>
        <v>7:31000109</v>
      </c>
      <c r="C1316" s="1">
        <v>7</v>
      </c>
      <c r="D1316" s="4">
        <v>31000109</v>
      </c>
      <c r="E1316" s="3" t="s">
        <v>1905</v>
      </c>
      <c r="F1316" s="3"/>
      <c r="G1316" s="1">
        <v>1806.3</v>
      </c>
      <c r="H1316" s="1">
        <f t="shared" si="102"/>
        <v>1806.3</v>
      </c>
      <c r="I1316" s="1" t="str">
        <f t="shared" si="103"/>
        <v/>
      </c>
      <c r="J1316" s="1" t="str">
        <f>_xlfn.IFNA(INDEX([1]历练产出!$Z:$Z,MATCH(B1316,[1]历练产出!$AB:$AB,0)),"")</f>
        <v/>
      </c>
      <c r="K1316" s="1" t="str">
        <f>_xlfn.IFNA(INDEX([1]洞天福地产出!$H:$H,MATCH(B1316,[1]洞天福地产出!$K:$K,0)),"")</f>
        <v/>
      </c>
      <c r="L1316" s="1" t="str">
        <f t="shared" si="104"/>
        <v/>
      </c>
      <c r="M1316" s="4">
        <f t="shared" si="105"/>
        <v>0</v>
      </c>
    </row>
    <row r="1317" spans="1:13">
      <c r="A1317" s="4"/>
      <c r="B1317" t="str">
        <f t="shared" si="106"/>
        <v>7:31000110</v>
      </c>
      <c r="C1317" s="1">
        <v>7</v>
      </c>
      <c r="D1317" s="4">
        <v>31000110</v>
      </c>
      <c r="E1317" s="3" t="s">
        <v>1905</v>
      </c>
      <c r="F1317" s="3"/>
      <c r="G1317" s="1">
        <v>1923.75</v>
      </c>
      <c r="H1317" s="1">
        <f t="shared" si="102"/>
        <v>1923.75</v>
      </c>
      <c r="I1317" s="1" t="str">
        <f t="shared" si="103"/>
        <v/>
      </c>
      <c r="J1317" s="1" t="str">
        <f>_xlfn.IFNA(INDEX([1]历练产出!$Z:$Z,MATCH(B1317,[1]历练产出!$AB:$AB,0)),"")</f>
        <v/>
      </c>
      <c r="K1317" s="1" t="str">
        <f>_xlfn.IFNA(INDEX([1]洞天福地产出!$H:$H,MATCH(B1317,[1]洞天福地产出!$K:$K,0)),"")</f>
        <v/>
      </c>
      <c r="L1317" s="1" t="str">
        <f t="shared" si="104"/>
        <v/>
      </c>
      <c r="M1317" s="4">
        <f t="shared" si="105"/>
        <v>0</v>
      </c>
    </row>
    <row r="1318" spans="1:13">
      <c r="A1318" s="4"/>
      <c r="B1318" t="str">
        <f t="shared" si="106"/>
        <v>7:31000111</v>
      </c>
      <c r="C1318" s="1">
        <v>7</v>
      </c>
      <c r="D1318" s="4">
        <v>31000111</v>
      </c>
      <c r="E1318" s="3" t="s">
        <v>1905</v>
      </c>
      <c r="F1318" s="3"/>
      <c r="G1318" s="1">
        <v>2053.35</v>
      </c>
      <c r="H1318" s="1">
        <f t="shared" si="102"/>
        <v>2053.35</v>
      </c>
      <c r="I1318" s="1" t="str">
        <f t="shared" si="103"/>
        <v/>
      </c>
      <c r="J1318" s="1" t="str">
        <f>_xlfn.IFNA(INDEX([1]历练产出!$Z:$Z,MATCH(B1318,[1]历练产出!$AB:$AB,0)),"")</f>
        <v/>
      </c>
      <c r="K1318" s="1" t="str">
        <f>_xlfn.IFNA(INDEX([1]洞天福地产出!$H:$H,MATCH(B1318,[1]洞天福地产出!$K:$K,0)),"")</f>
        <v/>
      </c>
      <c r="L1318" s="1" t="str">
        <f t="shared" si="104"/>
        <v/>
      </c>
      <c r="M1318" s="4">
        <f t="shared" si="105"/>
        <v>0</v>
      </c>
    </row>
    <row r="1319" spans="1:13">
      <c r="A1319" s="4"/>
      <c r="B1319" t="str">
        <f t="shared" si="106"/>
        <v>7:31000112</v>
      </c>
      <c r="C1319" s="1">
        <v>7</v>
      </c>
      <c r="D1319" s="4">
        <v>31000112</v>
      </c>
      <c r="E1319" s="3" t="s">
        <v>1905</v>
      </c>
      <c r="F1319" s="3"/>
      <c r="G1319" s="1">
        <v>2195.1</v>
      </c>
      <c r="H1319" s="1">
        <f t="shared" si="102"/>
        <v>2195.1</v>
      </c>
      <c r="I1319" s="1" t="str">
        <f t="shared" si="103"/>
        <v/>
      </c>
      <c r="J1319" s="1" t="str">
        <f>_xlfn.IFNA(INDEX([1]历练产出!$Z:$Z,MATCH(B1319,[1]历练产出!$AB:$AB,0)),"")</f>
        <v/>
      </c>
      <c r="K1319" s="1" t="str">
        <f>_xlfn.IFNA(INDEX([1]洞天福地产出!$H:$H,MATCH(B1319,[1]洞天福地产出!$K:$K,0)),"")</f>
        <v/>
      </c>
      <c r="L1319" s="1" t="str">
        <f t="shared" si="104"/>
        <v/>
      </c>
      <c r="M1319" s="4">
        <f t="shared" si="105"/>
        <v>0</v>
      </c>
    </row>
    <row r="1320" spans="1:13">
      <c r="A1320" s="4"/>
      <c r="B1320" t="str">
        <f t="shared" si="106"/>
        <v>7:31000113</v>
      </c>
      <c r="C1320" s="1">
        <v>7</v>
      </c>
      <c r="D1320" s="4">
        <v>31000113</v>
      </c>
      <c r="E1320" s="3" t="s">
        <v>1905</v>
      </c>
      <c r="F1320" s="3"/>
      <c r="G1320" s="1">
        <v>2349</v>
      </c>
      <c r="H1320" s="1">
        <f t="shared" si="102"/>
        <v>2349</v>
      </c>
      <c r="I1320" s="1" t="str">
        <f t="shared" si="103"/>
        <v/>
      </c>
      <c r="J1320" s="1" t="str">
        <f>_xlfn.IFNA(INDEX([1]历练产出!$Z:$Z,MATCH(B1320,[1]历练产出!$AB:$AB,0)),"")</f>
        <v/>
      </c>
      <c r="K1320" s="1" t="str">
        <f>_xlfn.IFNA(INDEX([1]洞天福地产出!$H:$H,MATCH(B1320,[1]洞天福地产出!$K:$K,0)),"")</f>
        <v/>
      </c>
      <c r="L1320" s="1" t="str">
        <f t="shared" si="104"/>
        <v/>
      </c>
      <c r="M1320" s="4">
        <f t="shared" si="105"/>
        <v>0</v>
      </c>
    </row>
    <row r="1321" spans="1:13">
      <c r="A1321" s="4"/>
      <c r="B1321" t="str">
        <f t="shared" si="106"/>
        <v>7:31000114</v>
      </c>
      <c r="C1321" s="1">
        <v>7</v>
      </c>
      <c r="D1321" s="4">
        <v>31000114</v>
      </c>
      <c r="E1321" s="3" t="s">
        <v>1905</v>
      </c>
      <c r="F1321" s="3"/>
      <c r="G1321" s="1">
        <v>2515.05</v>
      </c>
      <c r="H1321" s="1">
        <f t="shared" si="102"/>
        <v>2515.05</v>
      </c>
      <c r="I1321" s="1" t="str">
        <f t="shared" si="103"/>
        <v/>
      </c>
      <c r="J1321" s="1" t="str">
        <f>_xlfn.IFNA(INDEX([1]历练产出!$Z:$Z,MATCH(B1321,[1]历练产出!$AB:$AB,0)),"")</f>
        <v/>
      </c>
      <c r="K1321" s="1" t="str">
        <f>_xlfn.IFNA(INDEX([1]洞天福地产出!$H:$H,MATCH(B1321,[1]洞天福地产出!$K:$K,0)),"")</f>
        <v/>
      </c>
      <c r="L1321" s="1" t="str">
        <f t="shared" si="104"/>
        <v/>
      </c>
      <c r="M1321" s="4">
        <f t="shared" si="105"/>
        <v>0</v>
      </c>
    </row>
    <row r="1322" spans="1:13">
      <c r="A1322" s="4"/>
      <c r="B1322" t="str">
        <f t="shared" si="106"/>
        <v>7:31000115</v>
      </c>
      <c r="C1322" s="1">
        <v>7</v>
      </c>
      <c r="D1322" s="4">
        <v>31000115</v>
      </c>
      <c r="E1322" s="3" t="s">
        <v>1905</v>
      </c>
      <c r="F1322" s="3"/>
      <c r="G1322" s="1">
        <v>2693.25</v>
      </c>
      <c r="H1322" s="1">
        <f t="shared" si="102"/>
        <v>2693.25</v>
      </c>
      <c r="I1322" s="1" t="str">
        <f t="shared" si="103"/>
        <v/>
      </c>
      <c r="J1322" s="1" t="str">
        <f>_xlfn.IFNA(INDEX([1]历练产出!$Z:$Z,MATCH(B1322,[1]历练产出!$AB:$AB,0)),"")</f>
        <v/>
      </c>
      <c r="K1322" s="1" t="str">
        <f>_xlfn.IFNA(INDEX([1]洞天福地产出!$H:$H,MATCH(B1322,[1]洞天福地产出!$K:$K,0)),"")</f>
        <v/>
      </c>
      <c r="L1322" s="1" t="str">
        <f t="shared" si="104"/>
        <v/>
      </c>
      <c r="M1322" s="4">
        <f t="shared" si="105"/>
        <v>0</v>
      </c>
    </row>
    <row r="1323" spans="1:13">
      <c r="A1323" s="4"/>
      <c r="B1323" t="str">
        <f t="shared" si="106"/>
        <v>7:31000116</v>
      </c>
      <c r="C1323" s="1">
        <v>7</v>
      </c>
      <c r="D1323" s="4">
        <v>31000116</v>
      </c>
      <c r="E1323" s="3" t="s">
        <v>1905</v>
      </c>
      <c r="F1323" s="3"/>
      <c r="G1323" s="1">
        <v>2883.6</v>
      </c>
      <c r="H1323" s="1">
        <f t="shared" si="102"/>
        <v>2883.6</v>
      </c>
      <c r="I1323" s="1" t="str">
        <f t="shared" si="103"/>
        <v/>
      </c>
      <c r="J1323" s="1" t="str">
        <f>_xlfn.IFNA(INDEX([1]历练产出!$Z:$Z,MATCH(B1323,[1]历练产出!$AB:$AB,0)),"")</f>
        <v/>
      </c>
      <c r="K1323" s="1" t="str">
        <f>_xlfn.IFNA(INDEX([1]洞天福地产出!$H:$H,MATCH(B1323,[1]洞天福地产出!$K:$K,0)),"")</f>
        <v/>
      </c>
      <c r="L1323" s="1" t="str">
        <f t="shared" si="104"/>
        <v/>
      </c>
      <c r="M1323" s="4">
        <f t="shared" si="105"/>
        <v>0</v>
      </c>
    </row>
    <row r="1324" spans="1:13">
      <c r="A1324" s="4"/>
      <c r="B1324" t="str">
        <f t="shared" si="106"/>
        <v>7:31000117</v>
      </c>
      <c r="C1324" s="1">
        <v>7</v>
      </c>
      <c r="D1324" s="4">
        <v>31000117</v>
      </c>
      <c r="E1324" s="3" t="s">
        <v>1905</v>
      </c>
      <c r="F1324" s="3"/>
      <c r="G1324" s="1">
        <v>3086.1</v>
      </c>
      <c r="H1324" s="1">
        <f t="shared" si="102"/>
        <v>3086.1</v>
      </c>
      <c r="I1324" s="1" t="str">
        <f t="shared" si="103"/>
        <v/>
      </c>
      <c r="J1324" s="1" t="str">
        <f>_xlfn.IFNA(INDEX([1]历练产出!$Z:$Z,MATCH(B1324,[1]历练产出!$AB:$AB,0)),"")</f>
        <v/>
      </c>
      <c r="K1324" s="1" t="str">
        <f>_xlfn.IFNA(INDEX([1]洞天福地产出!$H:$H,MATCH(B1324,[1]洞天福地产出!$K:$K,0)),"")</f>
        <v/>
      </c>
      <c r="L1324" s="1" t="str">
        <f t="shared" si="104"/>
        <v/>
      </c>
      <c r="M1324" s="4">
        <f t="shared" si="105"/>
        <v>0</v>
      </c>
    </row>
    <row r="1325" spans="1:13">
      <c r="A1325" s="4"/>
      <c r="B1325" t="str">
        <f t="shared" si="106"/>
        <v>7:31000118</v>
      </c>
      <c r="C1325" s="1">
        <v>7</v>
      </c>
      <c r="D1325" s="4">
        <v>31000118</v>
      </c>
      <c r="E1325" s="3" t="s">
        <v>1905</v>
      </c>
      <c r="F1325" s="3"/>
      <c r="G1325" s="1">
        <v>3300.75</v>
      </c>
      <c r="H1325" s="1">
        <f t="shared" si="102"/>
        <v>3300.75</v>
      </c>
      <c r="I1325" s="1" t="str">
        <f t="shared" si="103"/>
        <v/>
      </c>
      <c r="J1325" s="1" t="str">
        <f>_xlfn.IFNA(INDEX([1]历练产出!$Z:$Z,MATCH(B1325,[1]历练产出!$AB:$AB,0)),"")</f>
        <v/>
      </c>
      <c r="K1325" s="1" t="str">
        <f>_xlfn.IFNA(INDEX([1]洞天福地产出!$H:$H,MATCH(B1325,[1]洞天福地产出!$K:$K,0)),"")</f>
        <v/>
      </c>
      <c r="L1325" s="1" t="str">
        <f t="shared" si="104"/>
        <v/>
      </c>
      <c r="M1325" s="4">
        <f t="shared" si="105"/>
        <v>0</v>
      </c>
    </row>
    <row r="1326" spans="1:13">
      <c r="A1326" s="4"/>
      <c r="B1326" t="str">
        <f t="shared" si="106"/>
        <v>7:31000119</v>
      </c>
      <c r="C1326" s="1">
        <v>7</v>
      </c>
      <c r="D1326" s="4">
        <v>31000119</v>
      </c>
      <c r="E1326" s="3" t="s">
        <v>1905</v>
      </c>
      <c r="F1326" s="3"/>
      <c r="G1326" s="1">
        <v>4823.55</v>
      </c>
      <c r="H1326" s="1">
        <f t="shared" si="102"/>
        <v>4823.55</v>
      </c>
      <c r="I1326" s="1" t="str">
        <f t="shared" si="103"/>
        <v/>
      </c>
      <c r="J1326" s="1" t="str">
        <f>_xlfn.IFNA(INDEX([1]历练产出!$Z:$Z,MATCH(B1326,[1]历练产出!$AB:$AB,0)),"")</f>
        <v/>
      </c>
      <c r="K1326" s="1" t="str">
        <f>_xlfn.IFNA(INDEX([1]洞天福地产出!$H:$H,MATCH(B1326,[1]洞天福地产出!$K:$K,0)),"")</f>
        <v/>
      </c>
      <c r="L1326" s="1" t="str">
        <f t="shared" si="104"/>
        <v/>
      </c>
      <c r="M1326" s="4">
        <f t="shared" si="105"/>
        <v>0</v>
      </c>
    </row>
    <row r="1327" spans="1:13">
      <c r="A1327" s="4"/>
      <c r="B1327" t="str">
        <f t="shared" si="106"/>
        <v>7:31000120</v>
      </c>
      <c r="C1327" s="1">
        <v>7</v>
      </c>
      <c r="D1327" s="4">
        <v>31000120</v>
      </c>
      <c r="E1327" s="3" t="s">
        <v>1905</v>
      </c>
      <c r="F1327" s="3"/>
      <c r="G1327" s="1">
        <v>5062.5</v>
      </c>
      <c r="H1327" s="1">
        <f t="shared" si="102"/>
        <v>5062.5</v>
      </c>
      <c r="I1327" s="1" t="str">
        <f t="shared" si="103"/>
        <v/>
      </c>
      <c r="J1327" s="1" t="str">
        <f>_xlfn.IFNA(INDEX([1]历练产出!$Z:$Z,MATCH(B1327,[1]历练产出!$AB:$AB,0)),"")</f>
        <v/>
      </c>
      <c r="K1327" s="1" t="str">
        <f>_xlfn.IFNA(INDEX([1]洞天福地产出!$H:$H,MATCH(B1327,[1]洞天福地产出!$K:$K,0)),"")</f>
        <v/>
      </c>
      <c r="L1327" s="1" t="str">
        <f t="shared" si="104"/>
        <v/>
      </c>
      <c r="M1327" s="4">
        <f t="shared" si="105"/>
        <v>0</v>
      </c>
    </row>
    <row r="1328" spans="1:13">
      <c r="A1328" s="4"/>
      <c r="B1328" t="str">
        <f t="shared" si="106"/>
        <v>7:31000121</v>
      </c>
      <c r="C1328" s="1">
        <v>7</v>
      </c>
      <c r="D1328" s="4">
        <v>31000121</v>
      </c>
      <c r="E1328" s="3" t="s">
        <v>1905</v>
      </c>
      <c r="F1328" s="3"/>
      <c r="G1328" s="1">
        <v>5313.6</v>
      </c>
      <c r="H1328" s="1">
        <f t="shared" si="102"/>
        <v>5313.6</v>
      </c>
      <c r="I1328" s="1" t="str">
        <f t="shared" si="103"/>
        <v/>
      </c>
      <c r="J1328" s="1" t="str">
        <f>_xlfn.IFNA(INDEX([1]历练产出!$Z:$Z,MATCH(B1328,[1]历练产出!$AB:$AB,0)),"")</f>
        <v/>
      </c>
      <c r="K1328" s="1" t="str">
        <f>_xlfn.IFNA(INDEX([1]洞天福地产出!$H:$H,MATCH(B1328,[1]洞天福地产出!$K:$K,0)),"")</f>
        <v/>
      </c>
      <c r="L1328" s="1" t="str">
        <f t="shared" si="104"/>
        <v/>
      </c>
      <c r="M1328" s="4">
        <f t="shared" si="105"/>
        <v>0</v>
      </c>
    </row>
    <row r="1329" spans="1:13">
      <c r="A1329" s="4"/>
      <c r="B1329" t="str">
        <f t="shared" si="106"/>
        <v>7:31000122</v>
      </c>
      <c r="C1329" s="1">
        <v>7</v>
      </c>
      <c r="D1329" s="4">
        <v>31000122</v>
      </c>
      <c r="E1329" s="3" t="s">
        <v>1905</v>
      </c>
      <c r="F1329" s="3"/>
      <c r="G1329" s="1">
        <v>5576.85</v>
      </c>
      <c r="H1329" s="1">
        <f t="shared" si="102"/>
        <v>5576.85</v>
      </c>
      <c r="I1329" s="1" t="str">
        <f t="shared" si="103"/>
        <v/>
      </c>
      <c r="J1329" s="1" t="str">
        <f>_xlfn.IFNA(INDEX([1]历练产出!$Z:$Z,MATCH(B1329,[1]历练产出!$AB:$AB,0)),"")</f>
        <v/>
      </c>
      <c r="K1329" s="1" t="str">
        <f>_xlfn.IFNA(INDEX([1]洞天福地产出!$H:$H,MATCH(B1329,[1]洞天福地产出!$K:$K,0)),"")</f>
        <v/>
      </c>
      <c r="L1329" s="1" t="str">
        <f t="shared" si="104"/>
        <v/>
      </c>
      <c r="M1329" s="4">
        <f t="shared" si="105"/>
        <v>0</v>
      </c>
    </row>
    <row r="1330" spans="1:13">
      <c r="A1330" s="4"/>
      <c r="B1330" t="str">
        <f t="shared" si="106"/>
        <v>7:31000123</v>
      </c>
      <c r="C1330" s="1">
        <v>7</v>
      </c>
      <c r="D1330" s="4">
        <v>31000123</v>
      </c>
      <c r="E1330" s="3" t="s">
        <v>1905</v>
      </c>
      <c r="F1330" s="3"/>
      <c r="G1330" s="1">
        <v>5852.25</v>
      </c>
      <c r="H1330" s="1">
        <f t="shared" si="102"/>
        <v>5852.25</v>
      </c>
      <c r="I1330" s="1" t="str">
        <f t="shared" si="103"/>
        <v/>
      </c>
      <c r="J1330" s="1" t="str">
        <f>_xlfn.IFNA(INDEX([1]历练产出!$Z:$Z,MATCH(B1330,[1]历练产出!$AB:$AB,0)),"")</f>
        <v/>
      </c>
      <c r="K1330" s="1" t="str">
        <f>_xlfn.IFNA(INDEX([1]洞天福地产出!$H:$H,MATCH(B1330,[1]洞天福地产出!$K:$K,0)),"")</f>
        <v/>
      </c>
      <c r="L1330" s="1" t="str">
        <f t="shared" si="104"/>
        <v/>
      </c>
      <c r="M1330" s="4">
        <f t="shared" si="105"/>
        <v>0</v>
      </c>
    </row>
    <row r="1331" spans="1:13">
      <c r="A1331" s="4"/>
      <c r="B1331" t="str">
        <f t="shared" si="106"/>
        <v>7:31000124</v>
      </c>
      <c r="C1331" s="1">
        <v>7</v>
      </c>
      <c r="D1331" s="4">
        <v>31000124</v>
      </c>
      <c r="E1331" s="3" t="s">
        <v>1905</v>
      </c>
      <c r="F1331" s="3"/>
      <c r="G1331" s="1">
        <v>6139.8</v>
      </c>
      <c r="H1331" s="1">
        <f t="shared" si="102"/>
        <v>6139.8</v>
      </c>
      <c r="I1331" s="1" t="str">
        <f t="shared" si="103"/>
        <v/>
      </c>
      <c r="J1331" s="1" t="str">
        <f>_xlfn.IFNA(INDEX([1]历练产出!$Z:$Z,MATCH(B1331,[1]历练产出!$AB:$AB,0)),"")</f>
        <v/>
      </c>
      <c r="K1331" s="1" t="str">
        <f>_xlfn.IFNA(INDEX([1]洞天福地产出!$H:$H,MATCH(B1331,[1]洞天福地产出!$K:$K,0)),"")</f>
        <v/>
      </c>
      <c r="L1331" s="1" t="str">
        <f t="shared" si="104"/>
        <v/>
      </c>
      <c r="M1331" s="4">
        <f t="shared" si="105"/>
        <v>0</v>
      </c>
    </row>
    <row r="1332" spans="1:13">
      <c r="A1332" s="4"/>
      <c r="B1332" t="str">
        <f t="shared" si="106"/>
        <v>7:31000125</v>
      </c>
      <c r="C1332" s="1">
        <v>7</v>
      </c>
      <c r="D1332" s="4">
        <v>31000125</v>
      </c>
      <c r="E1332" s="3" t="s">
        <v>1905</v>
      </c>
      <c r="F1332" s="3"/>
      <c r="G1332" s="1">
        <v>6439.5</v>
      </c>
      <c r="H1332" s="1">
        <f t="shared" si="102"/>
        <v>6439.5</v>
      </c>
      <c r="I1332" s="1" t="str">
        <f t="shared" si="103"/>
        <v/>
      </c>
      <c r="J1332" s="1" t="str">
        <f>_xlfn.IFNA(INDEX([1]历练产出!$Z:$Z,MATCH(B1332,[1]历练产出!$AB:$AB,0)),"")</f>
        <v/>
      </c>
      <c r="K1332" s="1" t="str">
        <f>_xlfn.IFNA(INDEX([1]洞天福地产出!$H:$H,MATCH(B1332,[1]洞天福地产出!$K:$K,0)),"")</f>
        <v/>
      </c>
      <c r="L1332" s="1" t="str">
        <f t="shared" si="104"/>
        <v/>
      </c>
      <c r="M1332" s="4">
        <f t="shared" si="105"/>
        <v>0</v>
      </c>
    </row>
    <row r="1333" spans="1:13">
      <c r="A1333" s="4"/>
      <c r="B1333" t="str">
        <f t="shared" si="106"/>
        <v>7:31000126</v>
      </c>
      <c r="C1333" s="1">
        <v>7</v>
      </c>
      <c r="D1333" s="4">
        <v>31000126</v>
      </c>
      <c r="E1333" s="3" t="s">
        <v>1905</v>
      </c>
      <c r="F1333" s="3"/>
      <c r="G1333" s="1">
        <v>6751.35</v>
      </c>
      <c r="H1333" s="1">
        <f t="shared" si="102"/>
        <v>6751.35</v>
      </c>
      <c r="I1333" s="1" t="str">
        <f t="shared" si="103"/>
        <v/>
      </c>
      <c r="J1333" s="1" t="str">
        <f>_xlfn.IFNA(INDEX([1]历练产出!$Z:$Z,MATCH(B1333,[1]历练产出!$AB:$AB,0)),"")</f>
        <v/>
      </c>
      <c r="K1333" s="1" t="str">
        <f>_xlfn.IFNA(INDEX([1]洞天福地产出!$H:$H,MATCH(B1333,[1]洞天福地产出!$K:$K,0)),"")</f>
        <v/>
      </c>
      <c r="L1333" s="1" t="str">
        <f t="shared" si="104"/>
        <v/>
      </c>
      <c r="M1333" s="4">
        <f t="shared" si="105"/>
        <v>0</v>
      </c>
    </row>
    <row r="1334" spans="1:13">
      <c r="A1334" s="4"/>
      <c r="B1334" t="str">
        <f t="shared" si="106"/>
        <v>7:31000127</v>
      </c>
      <c r="C1334" s="1">
        <v>7</v>
      </c>
      <c r="D1334" s="4">
        <v>31000127</v>
      </c>
      <c r="E1334" s="3" t="s">
        <v>1905</v>
      </c>
      <c r="F1334" s="3"/>
      <c r="G1334" s="1">
        <v>7075.35</v>
      </c>
      <c r="H1334" s="1">
        <f t="shared" si="102"/>
        <v>7075.35</v>
      </c>
      <c r="I1334" s="1" t="str">
        <f t="shared" si="103"/>
        <v/>
      </c>
      <c r="J1334" s="1" t="str">
        <f>_xlfn.IFNA(INDEX([1]历练产出!$Z:$Z,MATCH(B1334,[1]历练产出!$AB:$AB,0)),"")</f>
        <v/>
      </c>
      <c r="K1334" s="1" t="str">
        <f>_xlfn.IFNA(INDEX([1]洞天福地产出!$H:$H,MATCH(B1334,[1]洞天福地产出!$K:$K,0)),"")</f>
        <v/>
      </c>
      <c r="L1334" s="1" t="str">
        <f t="shared" si="104"/>
        <v/>
      </c>
      <c r="M1334" s="4">
        <f t="shared" si="105"/>
        <v>0</v>
      </c>
    </row>
    <row r="1335" spans="1:13">
      <c r="A1335" s="4"/>
      <c r="B1335" t="str">
        <f t="shared" si="106"/>
        <v>7:31000128</v>
      </c>
      <c r="C1335" s="1">
        <v>7</v>
      </c>
      <c r="D1335" s="4">
        <v>31000128</v>
      </c>
      <c r="E1335" s="3" t="s">
        <v>1905</v>
      </c>
      <c r="F1335" s="3"/>
      <c r="G1335" s="1">
        <v>7411.5</v>
      </c>
      <c r="H1335" s="1">
        <f t="shared" si="102"/>
        <v>7411.5</v>
      </c>
      <c r="I1335" s="1" t="str">
        <f t="shared" si="103"/>
        <v/>
      </c>
      <c r="J1335" s="1" t="str">
        <f>_xlfn.IFNA(INDEX([1]历练产出!$Z:$Z,MATCH(B1335,[1]历练产出!$AB:$AB,0)),"")</f>
        <v/>
      </c>
      <c r="K1335" s="1" t="str">
        <f>_xlfn.IFNA(INDEX([1]洞天福地产出!$H:$H,MATCH(B1335,[1]洞天福地产出!$K:$K,0)),"")</f>
        <v/>
      </c>
      <c r="L1335" s="1" t="str">
        <f t="shared" si="104"/>
        <v/>
      </c>
      <c r="M1335" s="4">
        <f t="shared" si="105"/>
        <v>0</v>
      </c>
    </row>
    <row r="1336" spans="1:13">
      <c r="A1336" s="4"/>
      <c r="B1336" t="str">
        <f t="shared" si="106"/>
        <v>7:31000129</v>
      </c>
      <c r="C1336" s="1">
        <v>7</v>
      </c>
      <c r="D1336" s="4">
        <v>31000129</v>
      </c>
      <c r="E1336" s="3" t="s">
        <v>1905</v>
      </c>
      <c r="F1336" s="3"/>
      <c r="G1336" s="1">
        <v>9703.8</v>
      </c>
      <c r="H1336" s="1">
        <f t="shared" si="102"/>
        <v>9703.8</v>
      </c>
      <c r="I1336" s="1" t="str">
        <f t="shared" si="103"/>
        <v/>
      </c>
      <c r="J1336" s="1" t="str">
        <f>_xlfn.IFNA(INDEX([1]历练产出!$Z:$Z,MATCH(B1336,[1]历练产出!$AB:$AB,0)),"")</f>
        <v/>
      </c>
      <c r="K1336" s="1" t="str">
        <f>_xlfn.IFNA(INDEX([1]洞天福地产出!$H:$H,MATCH(B1336,[1]洞天福地产出!$K:$K,0)),"")</f>
        <v/>
      </c>
      <c r="L1336" s="1" t="str">
        <f t="shared" si="104"/>
        <v/>
      </c>
      <c r="M1336" s="4">
        <f t="shared" si="105"/>
        <v>0</v>
      </c>
    </row>
    <row r="1337" spans="1:13">
      <c r="A1337" s="4"/>
      <c r="B1337" t="str">
        <f t="shared" si="106"/>
        <v>7:31000130</v>
      </c>
      <c r="C1337" s="1">
        <v>7</v>
      </c>
      <c r="D1337" s="4">
        <v>31000130</v>
      </c>
      <c r="E1337" s="3" t="s">
        <v>1905</v>
      </c>
      <c r="F1337" s="3"/>
      <c r="G1337" s="1">
        <v>10052.1</v>
      </c>
      <c r="H1337" s="1">
        <f t="shared" si="102"/>
        <v>10052.1</v>
      </c>
      <c r="I1337" s="1" t="str">
        <f t="shared" si="103"/>
        <v/>
      </c>
      <c r="J1337" s="1" t="str">
        <f>_xlfn.IFNA(INDEX([1]历练产出!$Z:$Z,MATCH(B1337,[1]历练产出!$AB:$AB,0)),"")</f>
        <v/>
      </c>
      <c r="K1337" s="1" t="str">
        <f>_xlfn.IFNA(INDEX([1]洞天福地产出!$H:$H,MATCH(B1337,[1]洞天福地产出!$K:$K,0)),"")</f>
        <v/>
      </c>
      <c r="L1337" s="1" t="str">
        <f t="shared" si="104"/>
        <v/>
      </c>
      <c r="M1337" s="4">
        <f t="shared" si="105"/>
        <v>0</v>
      </c>
    </row>
    <row r="1338" spans="1:13">
      <c r="A1338" s="4"/>
      <c r="B1338" t="str">
        <f t="shared" si="106"/>
        <v>7:32000101</v>
      </c>
      <c r="C1338" s="1">
        <v>7</v>
      </c>
      <c r="D1338" s="4">
        <v>32000101</v>
      </c>
      <c r="E1338" s="3" t="s">
        <v>1906</v>
      </c>
      <c r="F1338" s="3"/>
      <c r="G1338" s="1">
        <v>656.1</v>
      </c>
      <c r="H1338" s="1">
        <f t="shared" si="102"/>
        <v>656.1</v>
      </c>
      <c r="I1338" s="1" t="str">
        <f t="shared" si="103"/>
        <v/>
      </c>
      <c r="J1338" s="1" t="str">
        <f>_xlfn.IFNA(INDEX([1]历练产出!$Z:$Z,MATCH(B1338,[1]历练产出!$AB:$AB,0)),"")</f>
        <v/>
      </c>
      <c r="K1338" s="1" t="str">
        <f>_xlfn.IFNA(INDEX([1]洞天福地产出!$H:$H,MATCH(B1338,[1]洞天福地产出!$K:$K,0)),"")</f>
        <v/>
      </c>
      <c r="L1338" s="1" t="str">
        <f t="shared" si="104"/>
        <v/>
      </c>
      <c r="M1338" s="4">
        <f t="shared" si="105"/>
        <v>0</v>
      </c>
    </row>
    <row r="1339" spans="1:13">
      <c r="A1339" s="4"/>
      <c r="B1339" t="str">
        <f t="shared" si="106"/>
        <v>7:32000102</v>
      </c>
      <c r="C1339" s="1">
        <v>7</v>
      </c>
      <c r="D1339" s="4">
        <v>32000102</v>
      </c>
      <c r="E1339" s="3" t="s">
        <v>1906</v>
      </c>
      <c r="F1339" s="3"/>
      <c r="G1339" s="1">
        <v>676.35</v>
      </c>
      <c r="H1339" s="1">
        <f t="shared" si="102"/>
        <v>676.35</v>
      </c>
      <c r="I1339" s="1" t="str">
        <f t="shared" si="103"/>
        <v/>
      </c>
      <c r="J1339" s="1" t="str">
        <f>_xlfn.IFNA(INDEX([1]历练产出!$Z:$Z,MATCH(B1339,[1]历练产出!$AB:$AB,0)),"")</f>
        <v/>
      </c>
      <c r="K1339" s="1" t="str">
        <f>_xlfn.IFNA(INDEX([1]洞天福地产出!$H:$H,MATCH(B1339,[1]洞天福地产出!$K:$K,0)),"")</f>
        <v/>
      </c>
      <c r="L1339" s="1" t="str">
        <f t="shared" si="104"/>
        <v/>
      </c>
      <c r="M1339" s="4">
        <f t="shared" si="105"/>
        <v>0</v>
      </c>
    </row>
    <row r="1340" spans="1:13">
      <c r="A1340" s="4"/>
      <c r="B1340" t="str">
        <f t="shared" si="106"/>
        <v>7:32000103</v>
      </c>
      <c r="C1340" s="1">
        <v>7</v>
      </c>
      <c r="D1340" s="4">
        <v>32000103</v>
      </c>
      <c r="E1340" s="3" t="s">
        <v>1906</v>
      </c>
      <c r="F1340" s="3"/>
      <c r="G1340" s="1">
        <v>708.75</v>
      </c>
      <c r="H1340" s="1">
        <f t="shared" si="102"/>
        <v>708.75</v>
      </c>
      <c r="I1340" s="1" t="str">
        <f t="shared" si="103"/>
        <v/>
      </c>
      <c r="J1340" s="1" t="str">
        <f>_xlfn.IFNA(INDEX([1]历练产出!$Z:$Z,MATCH(B1340,[1]历练产出!$AB:$AB,0)),"")</f>
        <v/>
      </c>
      <c r="K1340" s="1" t="str">
        <f>_xlfn.IFNA(INDEX([1]洞天福地产出!$H:$H,MATCH(B1340,[1]洞天福地产出!$K:$K,0)),"")</f>
        <v/>
      </c>
      <c r="L1340" s="1" t="str">
        <f t="shared" si="104"/>
        <v/>
      </c>
      <c r="M1340" s="4">
        <f t="shared" si="105"/>
        <v>0</v>
      </c>
    </row>
    <row r="1341" spans="1:13">
      <c r="A1341" s="4"/>
      <c r="B1341" t="str">
        <f t="shared" si="106"/>
        <v>7:32000104</v>
      </c>
      <c r="C1341" s="1">
        <v>7</v>
      </c>
      <c r="D1341" s="4">
        <v>32000104</v>
      </c>
      <c r="E1341" s="3" t="s">
        <v>1906</v>
      </c>
      <c r="F1341" s="3"/>
      <c r="G1341" s="1">
        <v>753.3</v>
      </c>
      <c r="H1341" s="1">
        <f t="shared" si="102"/>
        <v>753.3</v>
      </c>
      <c r="I1341" s="1" t="str">
        <f t="shared" si="103"/>
        <v/>
      </c>
      <c r="J1341" s="1" t="str">
        <f>_xlfn.IFNA(INDEX([1]历练产出!$Z:$Z,MATCH(B1341,[1]历练产出!$AB:$AB,0)),"")</f>
        <v/>
      </c>
      <c r="K1341" s="1" t="str">
        <f>_xlfn.IFNA(INDEX([1]洞天福地产出!$H:$H,MATCH(B1341,[1]洞天福地产出!$K:$K,0)),"")</f>
        <v/>
      </c>
      <c r="L1341" s="1" t="str">
        <f t="shared" si="104"/>
        <v/>
      </c>
      <c r="M1341" s="4">
        <f t="shared" si="105"/>
        <v>0</v>
      </c>
    </row>
    <row r="1342" spans="1:13">
      <c r="A1342" s="4"/>
      <c r="B1342" t="str">
        <f t="shared" si="106"/>
        <v>7:32000105</v>
      </c>
      <c r="C1342" s="1">
        <v>7</v>
      </c>
      <c r="D1342" s="4">
        <v>32000105</v>
      </c>
      <c r="E1342" s="3" t="s">
        <v>1906</v>
      </c>
      <c r="F1342" s="3"/>
      <c r="G1342" s="1">
        <v>810</v>
      </c>
      <c r="H1342" s="1">
        <f t="shared" si="102"/>
        <v>810</v>
      </c>
      <c r="I1342" s="1" t="str">
        <f t="shared" si="103"/>
        <v/>
      </c>
      <c r="J1342" s="1" t="str">
        <f>_xlfn.IFNA(INDEX([1]历练产出!$Z:$Z,MATCH(B1342,[1]历练产出!$AB:$AB,0)),"")</f>
        <v/>
      </c>
      <c r="K1342" s="1" t="str">
        <f>_xlfn.IFNA(INDEX([1]洞天福地产出!$H:$H,MATCH(B1342,[1]洞天福地产出!$K:$K,0)),"")</f>
        <v/>
      </c>
      <c r="L1342" s="1" t="str">
        <f t="shared" si="104"/>
        <v/>
      </c>
      <c r="M1342" s="4">
        <f t="shared" si="105"/>
        <v>0</v>
      </c>
    </row>
    <row r="1343" spans="1:13">
      <c r="A1343" s="4"/>
      <c r="B1343" t="str">
        <f t="shared" si="106"/>
        <v>7:32000106</v>
      </c>
      <c r="C1343" s="1">
        <v>7</v>
      </c>
      <c r="D1343" s="4">
        <v>32000106</v>
      </c>
      <c r="E1343" s="3" t="s">
        <v>1906</v>
      </c>
      <c r="F1343" s="3"/>
      <c r="G1343" s="1">
        <v>878.85</v>
      </c>
      <c r="H1343" s="1">
        <f t="shared" si="102"/>
        <v>878.85</v>
      </c>
      <c r="I1343" s="1" t="str">
        <f t="shared" si="103"/>
        <v/>
      </c>
      <c r="J1343" s="1" t="str">
        <f>_xlfn.IFNA(INDEX([1]历练产出!$Z:$Z,MATCH(B1343,[1]历练产出!$AB:$AB,0)),"")</f>
        <v/>
      </c>
      <c r="K1343" s="1" t="str">
        <f>_xlfn.IFNA(INDEX([1]洞天福地产出!$H:$H,MATCH(B1343,[1]洞天福地产出!$K:$K,0)),"")</f>
        <v/>
      </c>
      <c r="L1343" s="1" t="str">
        <f t="shared" si="104"/>
        <v/>
      </c>
      <c r="M1343" s="4">
        <f t="shared" si="105"/>
        <v>0</v>
      </c>
    </row>
    <row r="1344" spans="1:13">
      <c r="A1344" s="4"/>
      <c r="B1344" t="str">
        <f t="shared" si="106"/>
        <v>7:32000107</v>
      </c>
      <c r="C1344" s="1">
        <v>7</v>
      </c>
      <c r="D1344" s="4">
        <v>32000107</v>
      </c>
      <c r="E1344" s="3" t="s">
        <v>1906</v>
      </c>
      <c r="F1344" s="3"/>
      <c r="G1344" s="1">
        <v>959.85</v>
      </c>
      <c r="H1344" s="1">
        <f t="shared" si="102"/>
        <v>959.85</v>
      </c>
      <c r="I1344" s="1" t="str">
        <f t="shared" si="103"/>
        <v/>
      </c>
      <c r="J1344" s="1" t="str">
        <f>_xlfn.IFNA(INDEX([1]历练产出!$Z:$Z,MATCH(B1344,[1]历练产出!$AB:$AB,0)),"")</f>
        <v/>
      </c>
      <c r="K1344" s="1" t="str">
        <f>_xlfn.IFNA(INDEX([1]洞天福地产出!$H:$H,MATCH(B1344,[1]洞天福地产出!$K:$K,0)),"")</f>
        <v/>
      </c>
      <c r="L1344" s="1" t="str">
        <f t="shared" si="104"/>
        <v/>
      </c>
      <c r="M1344" s="4">
        <f t="shared" si="105"/>
        <v>0</v>
      </c>
    </row>
    <row r="1345" spans="1:13">
      <c r="A1345" s="4"/>
      <c r="B1345" t="str">
        <f t="shared" si="106"/>
        <v>7:32000108</v>
      </c>
      <c r="C1345" s="1">
        <v>7</v>
      </c>
      <c r="D1345" s="4">
        <v>32000108</v>
      </c>
      <c r="E1345" s="3" t="s">
        <v>1906</v>
      </c>
      <c r="F1345" s="3"/>
      <c r="G1345" s="1">
        <v>1053</v>
      </c>
      <c r="H1345" s="1">
        <f t="shared" si="102"/>
        <v>1053</v>
      </c>
      <c r="I1345" s="1" t="str">
        <f t="shared" si="103"/>
        <v/>
      </c>
      <c r="J1345" s="1" t="str">
        <f>_xlfn.IFNA(INDEX([1]历练产出!$Z:$Z,MATCH(B1345,[1]历练产出!$AB:$AB,0)),"")</f>
        <v/>
      </c>
      <c r="K1345" s="1" t="str">
        <f>_xlfn.IFNA(INDEX([1]洞天福地产出!$H:$H,MATCH(B1345,[1]洞天福地产出!$K:$K,0)),"")</f>
        <v/>
      </c>
      <c r="L1345" s="1" t="str">
        <f t="shared" si="104"/>
        <v/>
      </c>
      <c r="M1345" s="4">
        <f t="shared" si="105"/>
        <v>0</v>
      </c>
    </row>
    <row r="1346" spans="1:13">
      <c r="A1346" s="4"/>
      <c r="B1346" t="str">
        <f t="shared" si="106"/>
        <v>7:32000109</v>
      </c>
      <c r="C1346" s="1">
        <v>7</v>
      </c>
      <c r="D1346" s="4">
        <v>32000109</v>
      </c>
      <c r="E1346" s="3" t="s">
        <v>1906</v>
      </c>
      <c r="F1346" s="3"/>
      <c r="G1346" s="1">
        <v>1806.3</v>
      </c>
      <c r="H1346" s="1">
        <f t="shared" si="102"/>
        <v>1806.3</v>
      </c>
      <c r="I1346" s="1" t="str">
        <f t="shared" si="103"/>
        <v/>
      </c>
      <c r="J1346" s="1" t="str">
        <f>_xlfn.IFNA(INDEX([1]历练产出!$Z:$Z,MATCH(B1346,[1]历练产出!$AB:$AB,0)),"")</f>
        <v/>
      </c>
      <c r="K1346" s="1" t="str">
        <f>_xlfn.IFNA(INDEX([1]洞天福地产出!$H:$H,MATCH(B1346,[1]洞天福地产出!$K:$K,0)),"")</f>
        <v/>
      </c>
      <c r="L1346" s="1" t="str">
        <f t="shared" si="104"/>
        <v/>
      </c>
      <c r="M1346" s="4">
        <f t="shared" si="105"/>
        <v>0</v>
      </c>
    </row>
    <row r="1347" spans="1:13">
      <c r="A1347" s="4"/>
      <c r="B1347" t="str">
        <f t="shared" si="106"/>
        <v>7:32000110</v>
      </c>
      <c r="C1347" s="1">
        <v>7</v>
      </c>
      <c r="D1347" s="4">
        <v>32000110</v>
      </c>
      <c r="E1347" s="3" t="s">
        <v>1906</v>
      </c>
      <c r="F1347" s="3"/>
      <c r="G1347" s="1">
        <v>1923.75</v>
      </c>
      <c r="H1347" s="1">
        <f t="shared" si="102"/>
        <v>1923.75</v>
      </c>
      <c r="I1347" s="1" t="str">
        <f t="shared" si="103"/>
        <v/>
      </c>
      <c r="J1347" s="1" t="str">
        <f>_xlfn.IFNA(INDEX([1]历练产出!$Z:$Z,MATCH(B1347,[1]历练产出!$AB:$AB,0)),"")</f>
        <v/>
      </c>
      <c r="K1347" s="1" t="str">
        <f>_xlfn.IFNA(INDEX([1]洞天福地产出!$H:$H,MATCH(B1347,[1]洞天福地产出!$K:$K,0)),"")</f>
        <v/>
      </c>
      <c r="L1347" s="1" t="str">
        <f t="shared" si="104"/>
        <v/>
      </c>
      <c r="M1347" s="4">
        <f t="shared" si="105"/>
        <v>0</v>
      </c>
    </row>
    <row r="1348" spans="1:13">
      <c r="A1348" s="4"/>
      <c r="B1348" t="str">
        <f t="shared" si="106"/>
        <v>7:32000111</v>
      </c>
      <c r="C1348" s="1">
        <v>7</v>
      </c>
      <c r="D1348" s="4">
        <v>32000111</v>
      </c>
      <c r="E1348" s="3" t="s">
        <v>1906</v>
      </c>
      <c r="F1348" s="3"/>
      <c r="G1348" s="1">
        <v>2053.35</v>
      </c>
      <c r="H1348" s="1">
        <f t="shared" ref="H1348:H1411" si="107">IF(I1348="",G1348,I1348)</f>
        <v>2053.35</v>
      </c>
      <c r="I1348" s="1" t="str">
        <f t="shared" ref="I1348:I1411" si="108">IFERROR(100/L1348,"")</f>
        <v/>
      </c>
      <c r="J1348" s="1" t="str">
        <f>_xlfn.IFNA(INDEX([1]历练产出!$Z:$Z,MATCH(B1348,[1]历练产出!$AB:$AB,0)),"")</f>
        <v/>
      </c>
      <c r="K1348" s="1" t="str">
        <f>_xlfn.IFNA(INDEX([1]洞天福地产出!$H:$H,MATCH(B1348,[1]洞天福地产出!$K:$K,0)),"")</f>
        <v/>
      </c>
      <c r="L1348" s="1" t="str">
        <f t="shared" ref="L1348:L1411" si="109">IFERROR(J1348+K1348,"")</f>
        <v/>
      </c>
      <c r="M1348" s="4">
        <f t="shared" ref="M1348:M1411" si="110">IF(I1348="",0,1)</f>
        <v>0</v>
      </c>
    </row>
    <row r="1349" spans="1:13">
      <c r="A1349" s="4"/>
      <c r="B1349" t="str">
        <f t="shared" si="106"/>
        <v>7:32000112</v>
      </c>
      <c r="C1349" s="1">
        <v>7</v>
      </c>
      <c r="D1349" s="4">
        <v>32000112</v>
      </c>
      <c r="E1349" s="3" t="s">
        <v>1906</v>
      </c>
      <c r="F1349" s="3"/>
      <c r="G1349" s="1">
        <v>2195.1</v>
      </c>
      <c r="H1349" s="1">
        <f t="shared" si="107"/>
        <v>2195.1</v>
      </c>
      <c r="I1349" s="1" t="str">
        <f t="shared" si="108"/>
        <v/>
      </c>
      <c r="J1349" s="1" t="str">
        <f>_xlfn.IFNA(INDEX([1]历练产出!$Z:$Z,MATCH(B1349,[1]历练产出!$AB:$AB,0)),"")</f>
        <v/>
      </c>
      <c r="K1349" s="1" t="str">
        <f>_xlfn.IFNA(INDEX([1]洞天福地产出!$H:$H,MATCH(B1349,[1]洞天福地产出!$K:$K,0)),"")</f>
        <v/>
      </c>
      <c r="L1349" s="1" t="str">
        <f t="shared" si="109"/>
        <v/>
      </c>
      <c r="M1349" s="4">
        <f t="shared" si="110"/>
        <v>0</v>
      </c>
    </row>
    <row r="1350" spans="1:13">
      <c r="A1350" s="4"/>
      <c r="B1350" t="str">
        <f t="shared" si="106"/>
        <v>7:32000113</v>
      </c>
      <c r="C1350" s="1">
        <v>7</v>
      </c>
      <c r="D1350" s="4">
        <v>32000113</v>
      </c>
      <c r="E1350" s="3" t="s">
        <v>1906</v>
      </c>
      <c r="F1350" s="3"/>
      <c r="G1350" s="1">
        <v>2349</v>
      </c>
      <c r="H1350" s="1">
        <f t="shared" si="107"/>
        <v>2349</v>
      </c>
      <c r="I1350" s="1" t="str">
        <f t="shared" si="108"/>
        <v/>
      </c>
      <c r="J1350" s="1" t="str">
        <f>_xlfn.IFNA(INDEX([1]历练产出!$Z:$Z,MATCH(B1350,[1]历练产出!$AB:$AB,0)),"")</f>
        <v/>
      </c>
      <c r="K1350" s="1" t="str">
        <f>_xlfn.IFNA(INDEX([1]洞天福地产出!$H:$H,MATCH(B1350,[1]洞天福地产出!$K:$K,0)),"")</f>
        <v/>
      </c>
      <c r="L1350" s="1" t="str">
        <f t="shared" si="109"/>
        <v/>
      </c>
      <c r="M1350" s="4">
        <f t="shared" si="110"/>
        <v>0</v>
      </c>
    </row>
    <row r="1351" spans="1:13">
      <c r="A1351" s="4"/>
      <c r="B1351" t="str">
        <f t="shared" si="106"/>
        <v>7:32000114</v>
      </c>
      <c r="C1351" s="1">
        <v>7</v>
      </c>
      <c r="D1351" s="4">
        <v>32000114</v>
      </c>
      <c r="E1351" s="3" t="s">
        <v>1906</v>
      </c>
      <c r="F1351" s="3"/>
      <c r="G1351" s="1">
        <v>2515.05</v>
      </c>
      <c r="H1351" s="1">
        <f t="shared" si="107"/>
        <v>2515.05</v>
      </c>
      <c r="I1351" s="1" t="str">
        <f t="shared" si="108"/>
        <v/>
      </c>
      <c r="J1351" s="1" t="str">
        <f>_xlfn.IFNA(INDEX([1]历练产出!$Z:$Z,MATCH(B1351,[1]历练产出!$AB:$AB,0)),"")</f>
        <v/>
      </c>
      <c r="K1351" s="1" t="str">
        <f>_xlfn.IFNA(INDEX([1]洞天福地产出!$H:$H,MATCH(B1351,[1]洞天福地产出!$K:$K,0)),"")</f>
        <v/>
      </c>
      <c r="L1351" s="1" t="str">
        <f t="shared" si="109"/>
        <v/>
      </c>
      <c r="M1351" s="4">
        <f t="shared" si="110"/>
        <v>0</v>
      </c>
    </row>
    <row r="1352" spans="1:13">
      <c r="A1352" s="4"/>
      <c r="B1352" t="str">
        <f t="shared" si="106"/>
        <v>7:32000115</v>
      </c>
      <c r="C1352" s="1">
        <v>7</v>
      </c>
      <c r="D1352" s="4">
        <v>32000115</v>
      </c>
      <c r="E1352" s="3" t="s">
        <v>1906</v>
      </c>
      <c r="F1352" s="3"/>
      <c r="G1352" s="1">
        <v>2693.25</v>
      </c>
      <c r="H1352" s="1">
        <f t="shared" si="107"/>
        <v>2693.25</v>
      </c>
      <c r="I1352" s="1" t="str">
        <f t="shared" si="108"/>
        <v/>
      </c>
      <c r="J1352" s="1" t="str">
        <f>_xlfn.IFNA(INDEX([1]历练产出!$Z:$Z,MATCH(B1352,[1]历练产出!$AB:$AB,0)),"")</f>
        <v/>
      </c>
      <c r="K1352" s="1" t="str">
        <f>_xlfn.IFNA(INDEX([1]洞天福地产出!$H:$H,MATCH(B1352,[1]洞天福地产出!$K:$K,0)),"")</f>
        <v/>
      </c>
      <c r="L1352" s="1" t="str">
        <f t="shared" si="109"/>
        <v/>
      </c>
      <c r="M1352" s="4">
        <f t="shared" si="110"/>
        <v>0</v>
      </c>
    </row>
    <row r="1353" spans="1:13">
      <c r="A1353" s="4"/>
      <c r="B1353" t="str">
        <f t="shared" si="106"/>
        <v>7:32000116</v>
      </c>
      <c r="C1353" s="1">
        <v>7</v>
      </c>
      <c r="D1353" s="4">
        <v>32000116</v>
      </c>
      <c r="E1353" s="3" t="s">
        <v>1906</v>
      </c>
      <c r="F1353" s="3"/>
      <c r="G1353" s="1">
        <v>2883.6</v>
      </c>
      <c r="H1353" s="1">
        <f t="shared" si="107"/>
        <v>2883.6</v>
      </c>
      <c r="I1353" s="1" t="str">
        <f t="shared" si="108"/>
        <v/>
      </c>
      <c r="J1353" s="1" t="str">
        <f>_xlfn.IFNA(INDEX([1]历练产出!$Z:$Z,MATCH(B1353,[1]历练产出!$AB:$AB,0)),"")</f>
        <v/>
      </c>
      <c r="K1353" s="1" t="str">
        <f>_xlfn.IFNA(INDEX([1]洞天福地产出!$H:$H,MATCH(B1353,[1]洞天福地产出!$K:$K,0)),"")</f>
        <v/>
      </c>
      <c r="L1353" s="1" t="str">
        <f t="shared" si="109"/>
        <v/>
      </c>
      <c r="M1353" s="4">
        <f t="shared" si="110"/>
        <v>0</v>
      </c>
    </row>
    <row r="1354" spans="1:13">
      <c r="A1354" s="4"/>
      <c r="B1354" t="str">
        <f t="shared" si="106"/>
        <v>7:32000117</v>
      </c>
      <c r="C1354" s="1">
        <v>7</v>
      </c>
      <c r="D1354" s="4">
        <v>32000117</v>
      </c>
      <c r="E1354" s="3" t="s">
        <v>1906</v>
      </c>
      <c r="F1354" s="3"/>
      <c r="G1354" s="1">
        <v>3086.1</v>
      </c>
      <c r="H1354" s="1">
        <f t="shared" si="107"/>
        <v>3086.1</v>
      </c>
      <c r="I1354" s="1" t="str">
        <f t="shared" si="108"/>
        <v/>
      </c>
      <c r="J1354" s="1" t="str">
        <f>_xlfn.IFNA(INDEX([1]历练产出!$Z:$Z,MATCH(B1354,[1]历练产出!$AB:$AB,0)),"")</f>
        <v/>
      </c>
      <c r="K1354" s="1" t="str">
        <f>_xlfn.IFNA(INDEX([1]洞天福地产出!$H:$H,MATCH(B1354,[1]洞天福地产出!$K:$K,0)),"")</f>
        <v/>
      </c>
      <c r="L1354" s="1" t="str">
        <f t="shared" si="109"/>
        <v/>
      </c>
      <c r="M1354" s="4">
        <f t="shared" si="110"/>
        <v>0</v>
      </c>
    </row>
    <row r="1355" spans="1:13">
      <c r="A1355" s="4"/>
      <c r="B1355" t="str">
        <f t="shared" si="106"/>
        <v>7:32000118</v>
      </c>
      <c r="C1355" s="1">
        <v>7</v>
      </c>
      <c r="D1355" s="4">
        <v>32000118</v>
      </c>
      <c r="E1355" s="3" t="s">
        <v>1906</v>
      </c>
      <c r="F1355" s="3"/>
      <c r="G1355" s="1">
        <v>3300.75</v>
      </c>
      <c r="H1355" s="1">
        <f t="shared" si="107"/>
        <v>3300.75</v>
      </c>
      <c r="I1355" s="1" t="str">
        <f t="shared" si="108"/>
        <v/>
      </c>
      <c r="J1355" s="1" t="str">
        <f>_xlfn.IFNA(INDEX([1]历练产出!$Z:$Z,MATCH(B1355,[1]历练产出!$AB:$AB,0)),"")</f>
        <v/>
      </c>
      <c r="K1355" s="1" t="str">
        <f>_xlfn.IFNA(INDEX([1]洞天福地产出!$H:$H,MATCH(B1355,[1]洞天福地产出!$K:$K,0)),"")</f>
        <v/>
      </c>
      <c r="L1355" s="1" t="str">
        <f t="shared" si="109"/>
        <v/>
      </c>
      <c r="M1355" s="4">
        <f t="shared" si="110"/>
        <v>0</v>
      </c>
    </row>
    <row r="1356" spans="1:13">
      <c r="A1356" s="4"/>
      <c r="B1356" t="str">
        <f t="shared" si="106"/>
        <v>7:32000119</v>
      </c>
      <c r="C1356" s="1">
        <v>7</v>
      </c>
      <c r="D1356" s="4">
        <v>32000119</v>
      </c>
      <c r="E1356" s="3" t="s">
        <v>1906</v>
      </c>
      <c r="F1356" s="3"/>
      <c r="G1356" s="1">
        <v>4823.55</v>
      </c>
      <c r="H1356" s="1">
        <f t="shared" si="107"/>
        <v>4823.55</v>
      </c>
      <c r="I1356" s="1" t="str">
        <f t="shared" si="108"/>
        <v/>
      </c>
      <c r="J1356" s="1" t="str">
        <f>_xlfn.IFNA(INDEX([1]历练产出!$Z:$Z,MATCH(B1356,[1]历练产出!$AB:$AB,0)),"")</f>
        <v/>
      </c>
      <c r="K1356" s="1" t="str">
        <f>_xlfn.IFNA(INDEX([1]洞天福地产出!$H:$H,MATCH(B1356,[1]洞天福地产出!$K:$K,0)),"")</f>
        <v/>
      </c>
      <c r="L1356" s="1" t="str">
        <f t="shared" si="109"/>
        <v/>
      </c>
      <c r="M1356" s="4">
        <f t="shared" si="110"/>
        <v>0</v>
      </c>
    </row>
    <row r="1357" spans="1:13">
      <c r="A1357" s="4"/>
      <c r="B1357" t="str">
        <f t="shared" si="106"/>
        <v>7:32000120</v>
      </c>
      <c r="C1357" s="1">
        <v>7</v>
      </c>
      <c r="D1357" s="4">
        <v>32000120</v>
      </c>
      <c r="E1357" s="3" t="s">
        <v>1906</v>
      </c>
      <c r="F1357" s="3"/>
      <c r="G1357" s="1">
        <v>5062.5</v>
      </c>
      <c r="H1357" s="1">
        <f t="shared" si="107"/>
        <v>5062.5</v>
      </c>
      <c r="I1357" s="1" t="str">
        <f t="shared" si="108"/>
        <v/>
      </c>
      <c r="J1357" s="1" t="str">
        <f>_xlfn.IFNA(INDEX([1]历练产出!$Z:$Z,MATCH(B1357,[1]历练产出!$AB:$AB,0)),"")</f>
        <v/>
      </c>
      <c r="K1357" s="1" t="str">
        <f>_xlfn.IFNA(INDEX([1]洞天福地产出!$H:$H,MATCH(B1357,[1]洞天福地产出!$K:$K,0)),"")</f>
        <v/>
      </c>
      <c r="L1357" s="1" t="str">
        <f t="shared" si="109"/>
        <v/>
      </c>
      <c r="M1357" s="4">
        <f t="shared" si="110"/>
        <v>0</v>
      </c>
    </row>
    <row r="1358" spans="1:13">
      <c r="A1358" s="4"/>
      <c r="B1358" t="str">
        <f t="shared" si="106"/>
        <v>7:32000121</v>
      </c>
      <c r="C1358" s="1">
        <v>7</v>
      </c>
      <c r="D1358" s="4">
        <v>32000121</v>
      </c>
      <c r="E1358" s="3" t="s">
        <v>1906</v>
      </c>
      <c r="F1358" s="3"/>
      <c r="G1358" s="1">
        <v>5313.6</v>
      </c>
      <c r="H1358" s="1">
        <f t="shared" si="107"/>
        <v>5313.6</v>
      </c>
      <c r="I1358" s="1" t="str">
        <f t="shared" si="108"/>
        <v/>
      </c>
      <c r="J1358" s="1" t="str">
        <f>_xlfn.IFNA(INDEX([1]历练产出!$Z:$Z,MATCH(B1358,[1]历练产出!$AB:$AB,0)),"")</f>
        <v/>
      </c>
      <c r="K1358" s="1" t="str">
        <f>_xlfn.IFNA(INDEX([1]洞天福地产出!$H:$H,MATCH(B1358,[1]洞天福地产出!$K:$K,0)),"")</f>
        <v/>
      </c>
      <c r="L1358" s="1" t="str">
        <f t="shared" si="109"/>
        <v/>
      </c>
      <c r="M1358" s="4">
        <f t="shared" si="110"/>
        <v>0</v>
      </c>
    </row>
    <row r="1359" spans="1:13">
      <c r="A1359" s="4"/>
      <c r="B1359" t="str">
        <f t="shared" si="106"/>
        <v>7:32000122</v>
      </c>
      <c r="C1359" s="1">
        <v>7</v>
      </c>
      <c r="D1359" s="4">
        <v>32000122</v>
      </c>
      <c r="E1359" s="3" t="s">
        <v>1906</v>
      </c>
      <c r="F1359" s="3"/>
      <c r="G1359" s="1">
        <v>5576.85</v>
      </c>
      <c r="H1359" s="1">
        <f t="shared" si="107"/>
        <v>5576.85</v>
      </c>
      <c r="I1359" s="1" t="str">
        <f t="shared" si="108"/>
        <v/>
      </c>
      <c r="J1359" s="1" t="str">
        <f>_xlfn.IFNA(INDEX([1]历练产出!$Z:$Z,MATCH(B1359,[1]历练产出!$AB:$AB,0)),"")</f>
        <v/>
      </c>
      <c r="K1359" s="1" t="str">
        <f>_xlfn.IFNA(INDEX([1]洞天福地产出!$H:$H,MATCH(B1359,[1]洞天福地产出!$K:$K,0)),"")</f>
        <v/>
      </c>
      <c r="L1359" s="1" t="str">
        <f t="shared" si="109"/>
        <v/>
      </c>
      <c r="M1359" s="4">
        <f t="shared" si="110"/>
        <v>0</v>
      </c>
    </row>
    <row r="1360" spans="1:13">
      <c r="A1360" s="4"/>
      <c r="B1360" t="str">
        <f t="shared" si="106"/>
        <v>7:32000123</v>
      </c>
      <c r="C1360" s="1">
        <v>7</v>
      </c>
      <c r="D1360" s="4">
        <v>32000123</v>
      </c>
      <c r="E1360" s="3" t="s">
        <v>1906</v>
      </c>
      <c r="F1360" s="3"/>
      <c r="G1360" s="1">
        <v>5852.25</v>
      </c>
      <c r="H1360" s="1">
        <f t="shared" si="107"/>
        <v>5852.25</v>
      </c>
      <c r="I1360" s="1" t="str">
        <f t="shared" si="108"/>
        <v/>
      </c>
      <c r="J1360" s="1" t="str">
        <f>_xlfn.IFNA(INDEX([1]历练产出!$Z:$Z,MATCH(B1360,[1]历练产出!$AB:$AB,0)),"")</f>
        <v/>
      </c>
      <c r="K1360" s="1" t="str">
        <f>_xlfn.IFNA(INDEX([1]洞天福地产出!$H:$H,MATCH(B1360,[1]洞天福地产出!$K:$K,0)),"")</f>
        <v/>
      </c>
      <c r="L1360" s="1" t="str">
        <f t="shared" si="109"/>
        <v/>
      </c>
      <c r="M1360" s="4">
        <f t="shared" si="110"/>
        <v>0</v>
      </c>
    </row>
    <row r="1361" spans="1:13">
      <c r="A1361" s="4"/>
      <c r="B1361" t="str">
        <f t="shared" si="106"/>
        <v>7:32000124</v>
      </c>
      <c r="C1361" s="1">
        <v>7</v>
      </c>
      <c r="D1361" s="4">
        <v>32000124</v>
      </c>
      <c r="E1361" s="3" t="s">
        <v>1906</v>
      </c>
      <c r="F1361" s="3"/>
      <c r="G1361" s="1">
        <v>6139.8</v>
      </c>
      <c r="H1361" s="1">
        <f t="shared" si="107"/>
        <v>6139.8</v>
      </c>
      <c r="I1361" s="1" t="str">
        <f t="shared" si="108"/>
        <v/>
      </c>
      <c r="J1361" s="1" t="str">
        <f>_xlfn.IFNA(INDEX([1]历练产出!$Z:$Z,MATCH(B1361,[1]历练产出!$AB:$AB,0)),"")</f>
        <v/>
      </c>
      <c r="K1361" s="1" t="str">
        <f>_xlfn.IFNA(INDEX([1]洞天福地产出!$H:$H,MATCH(B1361,[1]洞天福地产出!$K:$K,0)),"")</f>
        <v/>
      </c>
      <c r="L1361" s="1" t="str">
        <f t="shared" si="109"/>
        <v/>
      </c>
      <c r="M1361" s="4">
        <f t="shared" si="110"/>
        <v>0</v>
      </c>
    </row>
    <row r="1362" spans="1:13">
      <c r="A1362" s="4"/>
      <c r="B1362" t="str">
        <f t="shared" si="106"/>
        <v>7:32000125</v>
      </c>
      <c r="C1362" s="1">
        <v>7</v>
      </c>
      <c r="D1362" s="4">
        <v>32000125</v>
      </c>
      <c r="E1362" s="3" t="s">
        <v>1906</v>
      </c>
      <c r="F1362" s="3"/>
      <c r="G1362" s="1">
        <v>6439.5</v>
      </c>
      <c r="H1362" s="1">
        <f t="shared" si="107"/>
        <v>6439.5</v>
      </c>
      <c r="I1362" s="1" t="str">
        <f t="shared" si="108"/>
        <v/>
      </c>
      <c r="J1362" s="1" t="str">
        <f>_xlfn.IFNA(INDEX([1]历练产出!$Z:$Z,MATCH(B1362,[1]历练产出!$AB:$AB,0)),"")</f>
        <v/>
      </c>
      <c r="K1362" s="1" t="str">
        <f>_xlfn.IFNA(INDEX([1]洞天福地产出!$H:$H,MATCH(B1362,[1]洞天福地产出!$K:$K,0)),"")</f>
        <v/>
      </c>
      <c r="L1362" s="1" t="str">
        <f t="shared" si="109"/>
        <v/>
      </c>
      <c r="M1362" s="4">
        <f t="shared" si="110"/>
        <v>0</v>
      </c>
    </row>
    <row r="1363" spans="1:13">
      <c r="A1363" s="4"/>
      <c r="B1363" t="str">
        <f t="shared" si="106"/>
        <v>7:32000126</v>
      </c>
      <c r="C1363" s="1">
        <v>7</v>
      </c>
      <c r="D1363" s="4">
        <v>32000126</v>
      </c>
      <c r="E1363" s="3" t="s">
        <v>1906</v>
      </c>
      <c r="F1363" s="3"/>
      <c r="G1363" s="1">
        <v>6751.35</v>
      </c>
      <c r="H1363" s="1">
        <f t="shared" si="107"/>
        <v>6751.35</v>
      </c>
      <c r="I1363" s="1" t="str">
        <f t="shared" si="108"/>
        <v/>
      </c>
      <c r="J1363" s="1" t="str">
        <f>_xlfn.IFNA(INDEX([1]历练产出!$Z:$Z,MATCH(B1363,[1]历练产出!$AB:$AB,0)),"")</f>
        <v/>
      </c>
      <c r="K1363" s="1" t="str">
        <f>_xlfn.IFNA(INDEX([1]洞天福地产出!$H:$H,MATCH(B1363,[1]洞天福地产出!$K:$K,0)),"")</f>
        <v/>
      </c>
      <c r="L1363" s="1" t="str">
        <f t="shared" si="109"/>
        <v/>
      </c>
      <c r="M1363" s="4">
        <f t="shared" si="110"/>
        <v>0</v>
      </c>
    </row>
    <row r="1364" spans="1:13">
      <c r="A1364" s="4"/>
      <c r="B1364" t="str">
        <f t="shared" si="106"/>
        <v>7:32000127</v>
      </c>
      <c r="C1364" s="1">
        <v>7</v>
      </c>
      <c r="D1364" s="4">
        <v>32000127</v>
      </c>
      <c r="E1364" s="3" t="s">
        <v>1906</v>
      </c>
      <c r="F1364" s="3"/>
      <c r="G1364" s="1">
        <v>7075.35</v>
      </c>
      <c r="H1364" s="1">
        <f t="shared" si="107"/>
        <v>7075.35</v>
      </c>
      <c r="I1364" s="1" t="str">
        <f t="shared" si="108"/>
        <v/>
      </c>
      <c r="J1364" s="1" t="str">
        <f>_xlfn.IFNA(INDEX([1]历练产出!$Z:$Z,MATCH(B1364,[1]历练产出!$AB:$AB,0)),"")</f>
        <v/>
      </c>
      <c r="K1364" s="1" t="str">
        <f>_xlfn.IFNA(INDEX([1]洞天福地产出!$H:$H,MATCH(B1364,[1]洞天福地产出!$K:$K,0)),"")</f>
        <v/>
      </c>
      <c r="L1364" s="1" t="str">
        <f t="shared" si="109"/>
        <v/>
      </c>
      <c r="M1364" s="4">
        <f t="shared" si="110"/>
        <v>0</v>
      </c>
    </row>
    <row r="1365" spans="1:13">
      <c r="A1365" s="4"/>
      <c r="B1365" t="str">
        <f t="shared" si="106"/>
        <v>7:32000128</v>
      </c>
      <c r="C1365" s="1">
        <v>7</v>
      </c>
      <c r="D1365" s="4">
        <v>32000128</v>
      </c>
      <c r="E1365" s="3" t="s">
        <v>1906</v>
      </c>
      <c r="F1365" s="3"/>
      <c r="G1365" s="1">
        <v>7411.5</v>
      </c>
      <c r="H1365" s="1">
        <f t="shared" si="107"/>
        <v>7411.5</v>
      </c>
      <c r="I1365" s="1" t="str">
        <f t="shared" si="108"/>
        <v/>
      </c>
      <c r="J1365" s="1" t="str">
        <f>_xlfn.IFNA(INDEX([1]历练产出!$Z:$Z,MATCH(B1365,[1]历练产出!$AB:$AB,0)),"")</f>
        <v/>
      </c>
      <c r="K1365" s="1" t="str">
        <f>_xlfn.IFNA(INDEX([1]洞天福地产出!$H:$H,MATCH(B1365,[1]洞天福地产出!$K:$K,0)),"")</f>
        <v/>
      </c>
      <c r="L1365" s="1" t="str">
        <f t="shared" si="109"/>
        <v/>
      </c>
      <c r="M1365" s="4">
        <f t="shared" si="110"/>
        <v>0</v>
      </c>
    </row>
    <row r="1366" spans="1:13">
      <c r="A1366" s="4"/>
      <c r="B1366" t="str">
        <f t="shared" si="106"/>
        <v>7:32000129</v>
      </c>
      <c r="C1366" s="1">
        <v>7</v>
      </c>
      <c r="D1366" s="4">
        <v>32000129</v>
      </c>
      <c r="E1366" s="3" t="s">
        <v>1906</v>
      </c>
      <c r="F1366" s="3"/>
      <c r="G1366" s="1">
        <v>9703.8</v>
      </c>
      <c r="H1366" s="1">
        <f t="shared" si="107"/>
        <v>9703.8</v>
      </c>
      <c r="I1366" s="1" t="str">
        <f t="shared" si="108"/>
        <v/>
      </c>
      <c r="J1366" s="1" t="str">
        <f>_xlfn.IFNA(INDEX([1]历练产出!$Z:$Z,MATCH(B1366,[1]历练产出!$AB:$AB,0)),"")</f>
        <v/>
      </c>
      <c r="K1366" s="1" t="str">
        <f>_xlfn.IFNA(INDEX([1]洞天福地产出!$H:$H,MATCH(B1366,[1]洞天福地产出!$K:$K,0)),"")</f>
        <v/>
      </c>
      <c r="L1366" s="1" t="str">
        <f t="shared" si="109"/>
        <v/>
      </c>
      <c r="M1366" s="4">
        <f t="shared" si="110"/>
        <v>0</v>
      </c>
    </row>
    <row r="1367" spans="1:13">
      <c r="A1367" s="4"/>
      <c r="B1367" t="str">
        <f t="shared" si="106"/>
        <v>7:32000130</v>
      </c>
      <c r="C1367" s="1">
        <v>7</v>
      </c>
      <c r="D1367" s="4">
        <v>32000130</v>
      </c>
      <c r="E1367" s="3" t="s">
        <v>1906</v>
      </c>
      <c r="F1367" s="3"/>
      <c r="G1367" s="1">
        <v>10052.1</v>
      </c>
      <c r="H1367" s="1">
        <f t="shared" si="107"/>
        <v>10052.1</v>
      </c>
      <c r="I1367" s="1" t="str">
        <f t="shared" si="108"/>
        <v/>
      </c>
      <c r="J1367" s="1" t="str">
        <f>_xlfn.IFNA(INDEX([1]历练产出!$Z:$Z,MATCH(B1367,[1]历练产出!$AB:$AB,0)),"")</f>
        <v/>
      </c>
      <c r="K1367" s="1" t="str">
        <f>_xlfn.IFNA(INDEX([1]洞天福地产出!$H:$H,MATCH(B1367,[1]洞天福地产出!$K:$K,0)),"")</f>
        <v/>
      </c>
      <c r="L1367" s="1" t="str">
        <f t="shared" si="109"/>
        <v/>
      </c>
      <c r="M1367" s="4">
        <f t="shared" si="110"/>
        <v>0</v>
      </c>
    </row>
    <row r="1368" ht="30" spans="1:13">
      <c r="A1368" s="4"/>
      <c r="B1368" t="str">
        <f t="shared" si="106"/>
        <v>7:33000101</v>
      </c>
      <c r="C1368" s="1">
        <v>7</v>
      </c>
      <c r="D1368" s="4">
        <v>33000101</v>
      </c>
      <c r="E1368" s="3" t="s">
        <v>489</v>
      </c>
      <c r="F1368" s="3"/>
      <c r="G1368" s="1">
        <v>656.1</v>
      </c>
      <c r="H1368" s="1">
        <f t="shared" si="107"/>
        <v>656.1</v>
      </c>
      <c r="I1368" s="1" t="str">
        <f t="shared" si="108"/>
        <v/>
      </c>
      <c r="J1368" s="1" t="str">
        <f>_xlfn.IFNA(INDEX([1]历练产出!$Z:$Z,MATCH(B1368,[1]历练产出!$AB:$AB,0)),"")</f>
        <v/>
      </c>
      <c r="K1368" s="1" t="str">
        <f>_xlfn.IFNA(INDEX([1]洞天福地产出!$H:$H,MATCH(B1368,[1]洞天福地产出!$K:$K,0)),"")</f>
        <v/>
      </c>
      <c r="L1368" s="1" t="str">
        <f t="shared" si="109"/>
        <v/>
      </c>
      <c r="M1368" s="4">
        <f t="shared" si="110"/>
        <v>0</v>
      </c>
    </row>
    <row r="1369" ht="30" spans="1:13">
      <c r="A1369" s="4"/>
      <c r="B1369" t="str">
        <f t="shared" si="106"/>
        <v>7:33000102</v>
      </c>
      <c r="C1369" s="1">
        <v>7</v>
      </c>
      <c r="D1369" s="4">
        <v>33000102</v>
      </c>
      <c r="E1369" s="3" t="s">
        <v>489</v>
      </c>
      <c r="F1369" s="3"/>
      <c r="G1369" s="1">
        <v>676.35</v>
      </c>
      <c r="H1369" s="1">
        <f t="shared" si="107"/>
        <v>676.35</v>
      </c>
      <c r="I1369" s="1" t="str">
        <f t="shared" si="108"/>
        <v/>
      </c>
      <c r="J1369" s="1" t="str">
        <f>_xlfn.IFNA(INDEX([1]历练产出!$Z:$Z,MATCH(B1369,[1]历练产出!$AB:$AB,0)),"")</f>
        <v/>
      </c>
      <c r="K1369" s="1" t="str">
        <f>_xlfn.IFNA(INDEX([1]洞天福地产出!$H:$H,MATCH(B1369,[1]洞天福地产出!$K:$K,0)),"")</f>
        <v/>
      </c>
      <c r="L1369" s="1" t="str">
        <f t="shared" si="109"/>
        <v/>
      </c>
      <c r="M1369" s="4">
        <f t="shared" si="110"/>
        <v>0</v>
      </c>
    </row>
    <row r="1370" ht="30" spans="1:13">
      <c r="A1370" s="4"/>
      <c r="B1370" t="str">
        <f t="shared" si="106"/>
        <v>7:33000103</v>
      </c>
      <c r="C1370" s="1">
        <v>7</v>
      </c>
      <c r="D1370" s="4">
        <v>33000103</v>
      </c>
      <c r="E1370" s="3" t="s">
        <v>489</v>
      </c>
      <c r="F1370" s="3"/>
      <c r="G1370" s="1">
        <v>708.75</v>
      </c>
      <c r="H1370" s="1">
        <f t="shared" si="107"/>
        <v>708.75</v>
      </c>
      <c r="I1370" s="1" t="str">
        <f t="shared" si="108"/>
        <v/>
      </c>
      <c r="J1370" s="1" t="str">
        <f>_xlfn.IFNA(INDEX([1]历练产出!$Z:$Z,MATCH(B1370,[1]历练产出!$AB:$AB,0)),"")</f>
        <v/>
      </c>
      <c r="K1370" s="1" t="str">
        <f>_xlfn.IFNA(INDEX([1]洞天福地产出!$H:$H,MATCH(B1370,[1]洞天福地产出!$K:$K,0)),"")</f>
        <v/>
      </c>
      <c r="L1370" s="1" t="str">
        <f t="shared" si="109"/>
        <v/>
      </c>
      <c r="M1370" s="4">
        <f t="shared" si="110"/>
        <v>0</v>
      </c>
    </row>
    <row r="1371" ht="30" spans="1:13">
      <c r="A1371" s="4"/>
      <c r="B1371" t="str">
        <f t="shared" si="106"/>
        <v>7:33000104</v>
      </c>
      <c r="C1371" s="1">
        <v>7</v>
      </c>
      <c r="D1371" s="4">
        <v>33000104</v>
      </c>
      <c r="E1371" s="3" t="s">
        <v>489</v>
      </c>
      <c r="F1371" s="3"/>
      <c r="G1371" s="1">
        <v>753.3</v>
      </c>
      <c r="H1371" s="1">
        <f t="shared" si="107"/>
        <v>753.3</v>
      </c>
      <c r="I1371" s="1" t="str">
        <f t="shared" si="108"/>
        <v/>
      </c>
      <c r="J1371" s="1" t="str">
        <f>_xlfn.IFNA(INDEX([1]历练产出!$Z:$Z,MATCH(B1371,[1]历练产出!$AB:$AB,0)),"")</f>
        <v/>
      </c>
      <c r="K1371" s="1" t="str">
        <f>_xlfn.IFNA(INDEX([1]洞天福地产出!$H:$H,MATCH(B1371,[1]洞天福地产出!$K:$K,0)),"")</f>
        <v/>
      </c>
      <c r="L1371" s="1" t="str">
        <f t="shared" si="109"/>
        <v/>
      </c>
      <c r="M1371" s="4">
        <f t="shared" si="110"/>
        <v>0</v>
      </c>
    </row>
    <row r="1372" ht="30" spans="1:13">
      <c r="A1372" s="4"/>
      <c r="B1372" t="str">
        <f t="shared" si="106"/>
        <v>7:33000105</v>
      </c>
      <c r="C1372" s="1">
        <v>7</v>
      </c>
      <c r="D1372" s="4">
        <v>33000105</v>
      </c>
      <c r="E1372" s="3" t="s">
        <v>489</v>
      </c>
      <c r="F1372" s="3"/>
      <c r="G1372" s="1">
        <v>810</v>
      </c>
      <c r="H1372" s="1">
        <f t="shared" si="107"/>
        <v>810</v>
      </c>
      <c r="I1372" s="1" t="str">
        <f t="shared" si="108"/>
        <v/>
      </c>
      <c r="J1372" s="1" t="str">
        <f>_xlfn.IFNA(INDEX([1]历练产出!$Z:$Z,MATCH(B1372,[1]历练产出!$AB:$AB,0)),"")</f>
        <v/>
      </c>
      <c r="K1372" s="1" t="str">
        <f>_xlfn.IFNA(INDEX([1]洞天福地产出!$H:$H,MATCH(B1372,[1]洞天福地产出!$K:$K,0)),"")</f>
        <v/>
      </c>
      <c r="L1372" s="1" t="str">
        <f t="shared" si="109"/>
        <v/>
      </c>
      <c r="M1372" s="4">
        <f t="shared" si="110"/>
        <v>0</v>
      </c>
    </row>
    <row r="1373" ht="30" spans="1:13">
      <c r="A1373" s="4"/>
      <c r="B1373" t="str">
        <f t="shared" si="106"/>
        <v>7:33000106</v>
      </c>
      <c r="C1373" s="1">
        <v>7</v>
      </c>
      <c r="D1373" s="4">
        <v>33000106</v>
      </c>
      <c r="E1373" s="3" t="s">
        <v>489</v>
      </c>
      <c r="F1373" s="3"/>
      <c r="G1373" s="1">
        <v>878.85</v>
      </c>
      <c r="H1373" s="1">
        <f t="shared" si="107"/>
        <v>878.85</v>
      </c>
      <c r="I1373" s="1" t="str">
        <f t="shared" si="108"/>
        <v/>
      </c>
      <c r="J1373" s="1" t="str">
        <f>_xlfn.IFNA(INDEX([1]历练产出!$Z:$Z,MATCH(B1373,[1]历练产出!$AB:$AB,0)),"")</f>
        <v/>
      </c>
      <c r="K1373" s="1" t="str">
        <f>_xlfn.IFNA(INDEX([1]洞天福地产出!$H:$H,MATCH(B1373,[1]洞天福地产出!$K:$K,0)),"")</f>
        <v/>
      </c>
      <c r="L1373" s="1" t="str">
        <f t="shared" si="109"/>
        <v/>
      </c>
      <c r="M1373" s="4">
        <f t="shared" si="110"/>
        <v>0</v>
      </c>
    </row>
    <row r="1374" ht="30" spans="1:13">
      <c r="A1374" s="4"/>
      <c r="B1374" t="str">
        <f t="shared" si="106"/>
        <v>7:33000107</v>
      </c>
      <c r="C1374" s="1">
        <v>7</v>
      </c>
      <c r="D1374" s="4">
        <v>33000107</v>
      </c>
      <c r="E1374" s="3" t="s">
        <v>489</v>
      </c>
      <c r="F1374" s="3"/>
      <c r="G1374" s="1">
        <v>959.85</v>
      </c>
      <c r="H1374" s="1">
        <f t="shared" si="107"/>
        <v>959.85</v>
      </c>
      <c r="I1374" s="1" t="str">
        <f t="shared" si="108"/>
        <v/>
      </c>
      <c r="J1374" s="1" t="str">
        <f>_xlfn.IFNA(INDEX([1]历练产出!$Z:$Z,MATCH(B1374,[1]历练产出!$AB:$AB,0)),"")</f>
        <v/>
      </c>
      <c r="K1374" s="1" t="str">
        <f>_xlfn.IFNA(INDEX([1]洞天福地产出!$H:$H,MATCH(B1374,[1]洞天福地产出!$K:$K,0)),"")</f>
        <v/>
      </c>
      <c r="L1374" s="1" t="str">
        <f t="shared" si="109"/>
        <v/>
      </c>
      <c r="M1374" s="4">
        <f t="shared" si="110"/>
        <v>0</v>
      </c>
    </row>
    <row r="1375" ht="30" spans="1:13">
      <c r="A1375" s="4"/>
      <c r="B1375" t="str">
        <f t="shared" si="106"/>
        <v>7:33000108</v>
      </c>
      <c r="C1375" s="1">
        <v>7</v>
      </c>
      <c r="D1375" s="4">
        <v>33000108</v>
      </c>
      <c r="E1375" s="3" t="s">
        <v>489</v>
      </c>
      <c r="F1375" s="3"/>
      <c r="G1375" s="1">
        <v>1053</v>
      </c>
      <c r="H1375" s="1">
        <f t="shared" si="107"/>
        <v>1053</v>
      </c>
      <c r="I1375" s="1" t="str">
        <f t="shared" si="108"/>
        <v/>
      </c>
      <c r="J1375" s="1" t="str">
        <f>_xlfn.IFNA(INDEX([1]历练产出!$Z:$Z,MATCH(B1375,[1]历练产出!$AB:$AB,0)),"")</f>
        <v/>
      </c>
      <c r="K1375" s="1" t="str">
        <f>_xlfn.IFNA(INDEX([1]洞天福地产出!$H:$H,MATCH(B1375,[1]洞天福地产出!$K:$K,0)),"")</f>
        <v/>
      </c>
      <c r="L1375" s="1" t="str">
        <f t="shared" si="109"/>
        <v/>
      </c>
      <c r="M1375" s="4">
        <f t="shared" si="110"/>
        <v>0</v>
      </c>
    </row>
    <row r="1376" ht="30" spans="1:13">
      <c r="A1376" s="4"/>
      <c r="B1376" t="str">
        <f t="shared" si="106"/>
        <v>7:33000109</v>
      </c>
      <c r="C1376" s="1">
        <v>7</v>
      </c>
      <c r="D1376" s="4">
        <v>33000109</v>
      </c>
      <c r="E1376" s="3" t="s">
        <v>489</v>
      </c>
      <c r="F1376" s="3"/>
      <c r="G1376" s="1">
        <v>1806.3</v>
      </c>
      <c r="H1376" s="1">
        <f t="shared" si="107"/>
        <v>1806.3</v>
      </c>
      <c r="I1376" s="1" t="str">
        <f t="shared" si="108"/>
        <v/>
      </c>
      <c r="J1376" s="1" t="str">
        <f>_xlfn.IFNA(INDEX([1]历练产出!$Z:$Z,MATCH(B1376,[1]历练产出!$AB:$AB,0)),"")</f>
        <v/>
      </c>
      <c r="K1376" s="1" t="str">
        <f>_xlfn.IFNA(INDEX([1]洞天福地产出!$H:$H,MATCH(B1376,[1]洞天福地产出!$K:$K,0)),"")</f>
        <v/>
      </c>
      <c r="L1376" s="1" t="str">
        <f t="shared" si="109"/>
        <v/>
      </c>
      <c r="M1376" s="4">
        <f t="shared" si="110"/>
        <v>0</v>
      </c>
    </row>
    <row r="1377" ht="30" spans="1:13">
      <c r="A1377" s="4"/>
      <c r="B1377" t="str">
        <f t="shared" si="106"/>
        <v>7:33000110</v>
      </c>
      <c r="C1377" s="1">
        <v>7</v>
      </c>
      <c r="D1377" s="4">
        <v>33000110</v>
      </c>
      <c r="E1377" s="3" t="s">
        <v>489</v>
      </c>
      <c r="F1377" s="3"/>
      <c r="G1377" s="1">
        <v>1923.75</v>
      </c>
      <c r="H1377" s="1">
        <f t="shared" si="107"/>
        <v>1923.75</v>
      </c>
      <c r="I1377" s="1" t="str">
        <f t="shared" si="108"/>
        <v/>
      </c>
      <c r="J1377" s="1" t="str">
        <f>_xlfn.IFNA(INDEX([1]历练产出!$Z:$Z,MATCH(B1377,[1]历练产出!$AB:$AB,0)),"")</f>
        <v/>
      </c>
      <c r="K1377" s="1" t="str">
        <f>_xlfn.IFNA(INDEX([1]洞天福地产出!$H:$H,MATCH(B1377,[1]洞天福地产出!$K:$K,0)),"")</f>
        <v/>
      </c>
      <c r="L1377" s="1" t="str">
        <f t="shared" si="109"/>
        <v/>
      </c>
      <c r="M1377" s="4">
        <f t="shared" si="110"/>
        <v>0</v>
      </c>
    </row>
    <row r="1378" ht="30" spans="1:13">
      <c r="A1378" s="4"/>
      <c r="B1378" t="str">
        <f t="shared" si="106"/>
        <v>7:33000111</v>
      </c>
      <c r="C1378" s="1">
        <v>7</v>
      </c>
      <c r="D1378" s="4">
        <v>33000111</v>
      </c>
      <c r="E1378" s="3" t="s">
        <v>489</v>
      </c>
      <c r="F1378" s="3"/>
      <c r="G1378" s="1">
        <v>2053.35</v>
      </c>
      <c r="H1378" s="1">
        <f t="shared" si="107"/>
        <v>2053.35</v>
      </c>
      <c r="I1378" s="1" t="str">
        <f t="shared" si="108"/>
        <v/>
      </c>
      <c r="J1378" s="1" t="str">
        <f>_xlfn.IFNA(INDEX([1]历练产出!$Z:$Z,MATCH(B1378,[1]历练产出!$AB:$AB,0)),"")</f>
        <v/>
      </c>
      <c r="K1378" s="1" t="str">
        <f>_xlfn.IFNA(INDEX([1]洞天福地产出!$H:$H,MATCH(B1378,[1]洞天福地产出!$K:$K,0)),"")</f>
        <v/>
      </c>
      <c r="L1378" s="1" t="str">
        <f t="shared" si="109"/>
        <v/>
      </c>
      <c r="M1378" s="4">
        <f t="shared" si="110"/>
        <v>0</v>
      </c>
    </row>
    <row r="1379" ht="30" spans="1:13">
      <c r="A1379" s="4"/>
      <c r="B1379" t="str">
        <f t="shared" si="106"/>
        <v>7:33000112</v>
      </c>
      <c r="C1379" s="1">
        <v>7</v>
      </c>
      <c r="D1379" s="4">
        <v>33000112</v>
      </c>
      <c r="E1379" s="3" t="s">
        <v>489</v>
      </c>
      <c r="F1379" s="3"/>
      <c r="G1379" s="1">
        <v>2195.1</v>
      </c>
      <c r="H1379" s="1">
        <f t="shared" si="107"/>
        <v>2195.1</v>
      </c>
      <c r="I1379" s="1" t="str">
        <f t="shared" si="108"/>
        <v/>
      </c>
      <c r="J1379" s="1" t="str">
        <f>_xlfn.IFNA(INDEX([1]历练产出!$Z:$Z,MATCH(B1379,[1]历练产出!$AB:$AB,0)),"")</f>
        <v/>
      </c>
      <c r="K1379" s="1" t="str">
        <f>_xlfn.IFNA(INDEX([1]洞天福地产出!$H:$H,MATCH(B1379,[1]洞天福地产出!$K:$K,0)),"")</f>
        <v/>
      </c>
      <c r="L1379" s="1" t="str">
        <f t="shared" si="109"/>
        <v/>
      </c>
      <c r="M1379" s="4">
        <f t="shared" si="110"/>
        <v>0</v>
      </c>
    </row>
    <row r="1380" ht="30" spans="1:13">
      <c r="A1380" s="4"/>
      <c r="B1380" t="str">
        <f t="shared" ref="B1380:B1443" si="111">C1380&amp;":"&amp;D1380</f>
        <v>7:33000113</v>
      </c>
      <c r="C1380" s="1">
        <v>7</v>
      </c>
      <c r="D1380" s="4">
        <v>33000113</v>
      </c>
      <c r="E1380" s="3" t="s">
        <v>489</v>
      </c>
      <c r="F1380" s="3"/>
      <c r="G1380" s="1">
        <v>2349</v>
      </c>
      <c r="H1380" s="1">
        <f t="shared" si="107"/>
        <v>2349</v>
      </c>
      <c r="I1380" s="1" t="str">
        <f t="shared" si="108"/>
        <v/>
      </c>
      <c r="J1380" s="1" t="str">
        <f>_xlfn.IFNA(INDEX([1]历练产出!$Z:$Z,MATCH(B1380,[1]历练产出!$AB:$AB,0)),"")</f>
        <v/>
      </c>
      <c r="K1380" s="1" t="str">
        <f>_xlfn.IFNA(INDEX([1]洞天福地产出!$H:$H,MATCH(B1380,[1]洞天福地产出!$K:$K,0)),"")</f>
        <v/>
      </c>
      <c r="L1380" s="1" t="str">
        <f t="shared" si="109"/>
        <v/>
      </c>
      <c r="M1380" s="4">
        <f t="shared" si="110"/>
        <v>0</v>
      </c>
    </row>
    <row r="1381" ht="30" spans="1:13">
      <c r="A1381" s="4"/>
      <c r="B1381" t="str">
        <f t="shared" si="111"/>
        <v>7:33000114</v>
      </c>
      <c r="C1381" s="1">
        <v>7</v>
      </c>
      <c r="D1381" s="4">
        <v>33000114</v>
      </c>
      <c r="E1381" s="3" t="s">
        <v>489</v>
      </c>
      <c r="F1381" s="3"/>
      <c r="G1381" s="1">
        <v>2515.05</v>
      </c>
      <c r="H1381" s="1">
        <f t="shared" si="107"/>
        <v>2515.05</v>
      </c>
      <c r="I1381" s="1" t="str">
        <f t="shared" si="108"/>
        <v/>
      </c>
      <c r="J1381" s="1" t="str">
        <f>_xlfn.IFNA(INDEX([1]历练产出!$Z:$Z,MATCH(B1381,[1]历练产出!$AB:$AB,0)),"")</f>
        <v/>
      </c>
      <c r="K1381" s="1" t="str">
        <f>_xlfn.IFNA(INDEX([1]洞天福地产出!$H:$H,MATCH(B1381,[1]洞天福地产出!$K:$K,0)),"")</f>
        <v/>
      </c>
      <c r="L1381" s="1" t="str">
        <f t="shared" si="109"/>
        <v/>
      </c>
      <c r="M1381" s="4">
        <f t="shared" si="110"/>
        <v>0</v>
      </c>
    </row>
    <row r="1382" ht="30" spans="1:13">
      <c r="A1382" s="4"/>
      <c r="B1382" t="str">
        <f t="shared" si="111"/>
        <v>7:33000115</v>
      </c>
      <c r="C1382" s="1">
        <v>7</v>
      </c>
      <c r="D1382" s="4">
        <v>33000115</v>
      </c>
      <c r="E1382" s="3" t="s">
        <v>489</v>
      </c>
      <c r="F1382" s="3"/>
      <c r="G1382" s="1">
        <v>2693.25</v>
      </c>
      <c r="H1382" s="1">
        <f t="shared" si="107"/>
        <v>2693.25</v>
      </c>
      <c r="I1382" s="1" t="str">
        <f t="shared" si="108"/>
        <v/>
      </c>
      <c r="J1382" s="1" t="str">
        <f>_xlfn.IFNA(INDEX([1]历练产出!$Z:$Z,MATCH(B1382,[1]历练产出!$AB:$AB,0)),"")</f>
        <v/>
      </c>
      <c r="K1382" s="1" t="str">
        <f>_xlfn.IFNA(INDEX([1]洞天福地产出!$H:$H,MATCH(B1382,[1]洞天福地产出!$K:$K,0)),"")</f>
        <v/>
      </c>
      <c r="L1382" s="1" t="str">
        <f t="shared" si="109"/>
        <v/>
      </c>
      <c r="M1382" s="4">
        <f t="shared" si="110"/>
        <v>0</v>
      </c>
    </row>
    <row r="1383" ht="30" spans="1:13">
      <c r="A1383" s="4"/>
      <c r="B1383" t="str">
        <f t="shared" si="111"/>
        <v>7:33000116</v>
      </c>
      <c r="C1383" s="1">
        <v>7</v>
      </c>
      <c r="D1383" s="4">
        <v>33000116</v>
      </c>
      <c r="E1383" s="3" t="s">
        <v>489</v>
      </c>
      <c r="F1383" s="3"/>
      <c r="G1383" s="1">
        <v>2883.6</v>
      </c>
      <c r="H1383" s="1">
        <f t="shared" si="107"/>
        <v>2883.6</v>
      </c>
      <c r="I1383" s="1" t="str">
        <f t="shared" si="108"/>
        <v/>
      </c>
      <c r="J1383" s="1" t="str">
        <f>_xlfn.IFNA(INDEX([1]历练产出!$Z:$Z,MATCH(B1383,[1]历练产出!$AB:$AB,0)),"")</f>
        <v/>
      </c>
      <c r="K1383" s="1" t="str">
        <f>_xlfn.IFNA(INDEX([1]洞天福地产出!$H:$H,MATCH(B1383,[1]洞天福地产出!$K:$K,0)),"")</f>
        <v/>
      </c>
      <c r="L1383" s="1" t="str">
        <f t="shared" si="109"/>
        <v/>
      </c>
      <c r="M1383" s="4">
        <f t="shared" si="110"/>
        <v>0</v>
      </c>
    </row>
    <row r="1384" ht="30" spans="1:13">
      <c r="A1384" s="4"/>
      <c r="B1384" t="str">
        <f t="shared" si="111"/>
        <v>7:33000117</v>
      </c>
      <c r="C1384" s="1">
        <v>7</v>
      </c>
      <c r="D1384" s="4">
        <v>33000117</v>
      </c>
      <c r="E1384" s="3" t="s">
        <v>489</v>
      </c>
      <c r="F1384" s="3"/>
      <c r="G1384" s="1">
        <v>3086.1</v>
      </c>
      <c r="H1384" s="1">
        <f t="shared" si="107"/>
        <v>3086.1</v>
      </c>
      <c r="I1384" s="1" t="str">
        <f t="shared" si="108"/>
        <v/>
      </c>
      <c r="J1384" s="1" t="str">
        <f>_xlfn.IFNA(INDEX([1]历练产出!$Z:$Z,MATCH(B1384,[1]历练产出!$AB:$AB,0)),"")</f>
        <v/>
      </c>
      <c r="K1384" s="1" t="str">
        <f>_xlfn.IFNA(INDEX([1]洞天福地产出!$H:$H,MATCH(B1384,[1]洞天福地产出!$K:$K,0)),"")</f>
        <v/>
      </c>
      <c r="L1384" s="1" t="str">
        <f t="shared" si="109"/>
        <v/>
      </c>
      <c r="M1384" s="4">
        <f t="shared" si="110"/>
        <v>0</v>
      </c>
    </row>
    <row r="1385" ht="30" spans="1:13">
      <c r="A1385" s="4"/>
      <c r="B1385" t="str">
        <f t="shared" si="111"/>
        <v>7:33000118</v>
      </c>
      <c r="C1385" s="1">
        <v>7</v>
      </c>
      <c r="D1385" s="4">
        <v>33000118</v>
      </c>
      <c r="E1385" s="3" t="s">
        <v>489</v>
      </c>
      <c r="F1385" s="3"/>
      <c r="G1385" s="1">
        <v>3300.75</v>
      </c>
      <c r="H1385" s="1">
        <f t="shared" si="107"/>
        <v>3300.75</v>
      </c>
      <c r="I1385" s="1" t="str">
        <f t="shared" si="108"/>
        <v/>
      </c>
      <c r="J1385" s="1" t="str">
        <f>_xlfn.IFNA(INDEX([1]历练产出!$Z:$Z,MATCH(B1385,[1]历练产出!$AB:$AB,0)),"")</f>
        <v/>
      </c>
      <c r="K1385" s="1" t="str">
        <f>_xlfn.IFNA(INDEX([1]洞天福地产出!$H:$H,MATCH(B1385,[1]洞天福地产出!$K:$K,0)),"")</f>
        <v/>
      </c>
      <c r="L1385" s="1" t="str">
        <f t="shared" si="109"/>
        <v/>
      </c>
      <c r="M1385" s="4">
        <f t="shared" si="110"/>
        <v>0</v>
      </c>
    </row>
    <row r="1386" ht="30" spans="1:13">
      <c r="A1386" s="4"/>
      <c r="B1386" t="str">
        <f t="shared" si="111"/>
        <v>7:33000119</v>
      </c>
      <c r="C1386" s="1">
        <v>7</v>
      </c>
      <c r="D1386" s="4">
        <v>33000119</v>
      </c>
      <c r="E1386" s="3" t="s">
        <v>489</v>
      </c>
      <c r="F1386" s="3"/>
      <c r="G1386" s="1">
        <v>4823.55</v>
      </c>
      <c r="H1386" s="1">
        <f t="shared" si="107"/>
        <v>4823.55</v>
      </c>
      <c r="I1386" s="1" t="str">
        <f t="shared" si="108"/>
        <v/>
      </c>
      <c r="J1386" s="1" t="str">
        <f>_xlfn.IFNA(INDEX([1]历练产出!$Z:$Z,MATCH(B1386,[1]历练产出!$AB:$AB,0)),"")</f>
        <v/>
      </c>
      <c r="K1386" s="1" t="str">
        <f>_xlfn.IFNA(INDEX([1]洞天福地产出!$H:$H,MATCH(B1386,[1]洞天福地产出!$K:$K,0)),"")</f>
        <v/>
      </c>
      <c r="L1386" s="1" t="str">
        <f t="shared" si="109"/>
        <v/>
      </c>
      <c r="M1386" s="4">
        <f t="shared" si="110"/>
        <v>0</v>
      </c>
    </row>
    <row r="1387" ht="30" spans="1:13">
      <c r="A1387" s="4"/>
      <c r="B1387" t="str">
        <f t="shared" si="111"/>
        <v>7:33000120</v>
      </c>
      <c r="C1387" s="1">
        <v>7</v>
      </c>
      <c r="D1387" s="4">
        <v>33000120</v>
      </c>
      <c r="E1387" s="3" t="s">
        <v>489</v>
      </c>
      <c r="F1387" s="3"/>
      <c r="G1387" s="1">
        <v>5062.5</v>
      </c>
      <c r="H1387" s="1">
        <f t="shared" si="107"/>
        <v>5062.5</v>
      </c>
      <c r="I1387" s="1" t="str">
        <f t="shared" si="108"/>
        <v/>
      </c>
      <c r="J1387" s="1" t="str">
        <f>_xlfn.IFNA(INDEX([1]历练产出!$Z:$Z,MATCH(B1387,[1]历练产出!$AB:$AB,0)),"")</f>
        <v/>
      </c>
      <c r="K1387" s="1" t="str">
        <f>_xlfn.IFNA(INDEX([1]洞天福地产出!$H:$H,MATCH(B1387,[1]洞天福地产出!$K:$K,0)),"")</f>
        <v/>
      </c>
      <c r="L1387" s="1" t="str">
        <f t="shared" si="109"/>
        <v/>
      </c>
      <c r="M1387" s="4">
        <f t="shared" si="110"/>
        <v>0</v>
      </c>
    </row>
    <row r="1388" ht="30" spans="1:13">
      <c r="A1388" s="4"/>
      <c r="B1388" t="str">
        <f t="shared" si="111"/>
        <v>7:33000121</v>
      </c>
      <c r="C1388" s="1">
        <v>7</v>
      </c>
      <c r="D1388" s="4">
        <v>33000121</v>
      </c>
      <c r="E1388" s="3" t="s">
        <v>489</v>
      </c>
      <c r="F1388" s="3"/>
      <c r="G1388" s="1">
        <v>5313.6</v>
      </c>
      <c r="H1388" s="1">
        <f t="shared" si="107"/>
        <v>5313.6</v>
      </c>
      <c r="I1388" s="1" t="str">
        <f t="shared" si="108"/>
        <v/>
      </c>
      <c r="J1388" s="1" t="str">
        <f>_xlfn.IFNA(INDEX([1]历练产出!$Z:$Z,MATCH(B1388,[1]历练产出!$AB:$AB,0)),"")</f>
        <v/>
      </c>
      <c r="K1388" s="1" t="str">
        <f>_xlfn.IFNA(INDEX([1]洞天福地产出!$H:$H,MATCH(B1388,[1]洞天福地产出!$K:$K,0)),"")</f>
        <v/>
      </c>
      <c r="L1388" s="1" t="str">
        <f t="shared" si="109"/>
        <v/>
      </c>
      <c r="M1388" s="4">
        <f t="shared" si="110"/>
        <v>0</v>
      </c>
    </row>
    <row r="1389" ht="30" spans="1:13">
      <c r="A1389" s="4"/>
      <c r="B1389" t="str">
        <f t="shared" si="111"/>
        <v>7:33000122</v>
      </c>
      <c r="C1389" s="1">
        <v>7</v>
      </c>
      <c r="D1389" s="4">
        <v>33000122</v>
      </c>
      <c r="E1389" s="3" t="s">
        <v>489</v>
      </c>
      <c r="F1389" s="3"/>
      <c r="G1389" s="1">
        <v>5576.85</v>
      </c>
      <c r="H1389" s="1">
        <f t="shared" si="107"/>
        <v>5576.85</v>
      </c>
      <c r="I1389" s="1" t="str">
        <f t="shared" si="108"/>
        <v/>
      </c>
      <c r="J1389" s="1" t="str">
        <f>_xlfn.IFNA(INDEX([1]历练产出!$Z:$Z,MATCH(B1389,[1]历练产出!$AB:$AB,0)),"")</f>
        <v/>
      </c>
      <c r="K1389" s="1" t="str">
        <f>_xlfn.IFNA(INDEX([1]洞天福地产出!$H:$H,MATCH(B1389,[1]洞天福地产出!$K:$K,0)),"")</f>
        <v/>
      </c>
      <c r="L1389" s="1" t="str">
        <f t="shared" si="109"/>
        <v/>
      </c>
      <c r="M1389" s="4">
        <f t="shared" si="110"/>
        <v>0</v>
      </c>
    </row>
    <row r="1390" ht="30" spans="1:13">
      <c r="A1390" s="4"/>
      <c r="B1390" t="str">
        <f t="shared" si="111"/>
        <v>7:33000123</v>
      </c>
      <c r="C1390" s="1">
        <v>7</v>
      </c>
      <c r="D1390" s="4">
        <v>33000123</v>
      </c>
      <c r="E1390" s="3" t="s">
        <v>489</v>
      </c>
      <c r="F1390" s="3"/>
      <c r="G1390" s="1">
        <v>5852.25</v>
      </c>
      <c r="H1390" s="1">
        <f t="shared" si="107"/>
        <v>5852.25</v>
      </c>
      <c r="I1390" s="1" t="str">
        <f t="shared" si="108"/>
        <v/>
      </c>
      <c r="J1390" s="1" t="str">
        <f>_xlfn.IFNA(INDEX([1]历练产出!$Z:$Z,MATCH(B1390,[1]历练产出!$AB:$AB,0)),"")</f>
        <v/>
      </c>
      <c r="K1390" s="1" t="str">
        <f>_xlfn.IFNA(INDEX([1]洞天福地产出!$H:$H,MATCH(B1390,[1]洞天福地产出!$K:$K,0)),"")</f>
        <v/>
      </c>
      <c r="L1390" s="1" t="str">
        <f t="shared" si="109"/>
        <v/>
      </c>
      <c r="M1390" s="4">
        <f t="shared" si="110"/>
        <v>0</v>
      </c>
    </row>
    <row r="1391" ht="30" spans="1:13">
      <c r="A1391" s="4"/>
      <c r="B1391" t="str">
        <f t="shared" si="111"/>
        <v>7:33000124</v>
      </c>
      <c r="C1391" s="1">
        <v>7</v>
      </c>
      <c r="D1391" s="4">
        <v>33000124</v>
      </c>
      <c r="E1391" s="3" t="s">
        <v>489</v>
      </c>
      <c r="F1391" s="3"/>
      <c r="G1391" s="1">
        <v>6139.8</v>
      </c>
      <c r="H1391" s="1">
        <f t="shared" si="107"/>
        <v>6139.8</v>
      </c>
      <c r="I1391" s="1" t="str">
        <f t="shared" si="108"/>
        <v/>
      </c>
      <c r="J1391" s="1" t="str">
        <f>_xlfn.IFNA(INDEX([1]历练产出!$Z:$Z,MATCH(B1391,[1]历练产出!$AB:$AB,0)),"")</f>
        <v/>
      </c>
      <c r="K1391" s="1" t="str">
        <f>_xlfn.IFNA(INDEX([1]洞天福地产出!$H:$H,MATCH(B1391,[1]洞天福地产出!$K:$K,0)),"")</f>
        <v/>
      </c>
      <c r="L1391" s="1" t="str">
        <f t="shared" si="109"/>
        <v/>
      </c>
      <c r="M1391" s="4">
        <f t="shared" si="110"/>
        <v>0</v>
      </c>
    </row>
    <row r="1392" ht="30" spans="1:13">
      <c r="A1392" s="4"/>
      <c r="B1392" t="str">
        <f t="shared" si="111"/>
        <v>7:33000125</v>
      </c>
      <c r="C1392" s="1">
        <v>7</v>
      </c>
      <c r="D1392" s="4">
        <v>33000125</v>
      </c>
      <c r="E1392" s="3" t="s">
        <v>489</v>
      </c>
      <c r="F1392" s="3"/>
      <c r="G1392" s="1">
        <v>6439.5</v>
      </c>
      <c r="H1392" s="1">
        <f t="shared" si="107"/>
        <v>6439.5</v>
      </c>
      <c r="I1392" s="1" t="str">
        <f t="shared" si="108"/>
        <v/>
      </c>
      <c r="J1392" s="1" t="str">
        <f>_xlfn.IFNA(INDEX([1]历练产出!$Z:$Z,MATCH(B1392,[1]历练产出!$AB:$AB,0)),"")</f>
        <v/>
      </c>
      <c r="K1392" s="1" t="str">
        <f>_xlfn.IFNA(INDEX([1]洞天福地产出!$H:$H,MATCH(B1392,[1]洞天福地产出!$K:$K,0)),"")</f>
        <v/>
      </c>
      <c r="L1392" s="1" t="str">
        <f t="shared" si="109"/>
        <v/>
      </c>
      <c r="M1392" s="4">
        <f t="shared" si="110"/>
        <v>0</v>
      </c>
    </row>
    <row r="1393" ht="30" spans="1:13">
      <c r="A1393" s="4"/>
      <c r="B1393" t="str">
        <f t="shared" si="111"/>
        <v>7:33000126</v>
      </c>
      <c r="C1393" s="1">
        <v>7</v>
      </c>
      <c r="D1393" s="4">
        <v>33000126</v>
      </c>
      <c r="E1393" s="3" t="s">
        <v>489</v>
      </c>
      <c r="F1393" s="3"/>
      <c r="G1393" s="1">
        <v>6751.35</v>
      </c>
      <c r="H1393" s="1">
        <f t="shared" si="107"/>
        <v>6751.35</v>
      </c>
      <c r="I1393" s="1" t="str">
        <f t="shared" si="108"/>
        <v/>
      </c>
      <c r="J1393" s="1" t="str">
        <f>_xlfn.IFNA(INDEX([1]历练产出!$Z:$Z,MATCH(B1393,[1]历练产出!$AB:$AB,0)),"")</f>
        <v/>
      </c>
      <c r="K1393" s="1" t="str">
        <f>_xlfn.IFNA(INDEX([1]洞天福地产出!$H:$H,MATCH(B1393,[1]洞天福地产出!$K:$K,0)),"")</f>
        <v/>
      </c>
      <c r="L1393" s="1" t="str">
        <f t="shared" si="109"/>
        <v/>
      </c>
      <c r="M1393" s="4">
        <f t="shared" si="110"/>
        <v>0</v>
      </c>
    </row>
    <row r="1394" ht="30" spans="1:13">
      <c r="A1394" s="4"/>
      <c r="B1394" t="str">
        <f t="shared" si="111"/>
        <v>7:33000127</v>
      </c>
      <c r="C1394" s="1">
        <v>7</v>
      </c>
      <c r="D1394" s="4">
        <v>33000127</v>
      </c>
      <c r="E1394" s="3" t="s">
        <v>489</v>
      </c>
      <c r="F1394" s="3"/>
      <c r="G1394" s="1">
        <v>7075.35</v>
      </c>
      <c r="H1394" s="1">
        <f t="shared" si="107"/>
        <v>7075.35</v>
      </c>
      <c r="I1394" s="1" t="str">
        <f t="shared" si="108"/>
        <v/>
      </c>
      <c r="J1394" s="1" t="str">
        <f>_xlfn.IFNA(INDEX([1]历练产出!$Z:$Z,MATCH(B1394,[1]历练产出!$AB:$AB,0)),"")</f>
        <v/>
      </c>
      <c r="K1394" s="1" t="str">
        <f>_xlfn.IFNA(INDEX([1]洞天福地产出!$H:$H,MATCH(B1394,[1]洞天福地产出!$K:$K,0)),"")</f>
        <v/>
      </c>
      <c r="L1394" s="1" t="str">
        <f t="shared" si="109"/>
        <v/>
      </c>
      <c r="M1394" s="4">
        <f t="shared" si="110"/>
        <v>0</v>
      </c>
    </row>
    <row r="1395" ht="30" spans="1:13">
      <c r="A1395" s="4"/>
      <c r="B1395" t="str">
        <f t="shared" si="111"/>
        <v>7:33000128</v>
      </c>
      <c r="C1395" s="1">
        <v>7</v>
      </c>
      <c r="D1395" s="4">
        <v>33000128</v>
      </c>
      <c r="E1395" s="3" t="s">
        <v>489</v>
      </c>
      <c r="F1395" s="3"/>
      <c r="G1395" s="1">
        <v>7411.5</v>
      </c>
      <c r="H1395" s="1">
        <f t="shared" si="107"/>
        <v>7411.5</v>
      </c>
      <c r="I1395" s="1" t="str">
        <f t="shared" si="108"/>
        <v/>
      </c>
      <c r="J1395" s="1" t="str">
        <f>_xlfn.IFNA(INDEX([1]历练产出!$Z:$Z,MATCH(B1395,[1]历练产出!$AB:$AB,0)),"")</f>
        <v/>
      </c>
      <c r="K1395" s="1" t="str">
        <f>_xlfn.IFNA(INDEX([1]洞天福地产出!$H:$H,MATCH(B1395,[1]洞天福地产出!$K:$K,0)),"")</f>
        <v/>
      </c>
      <c r="L1395" s="1" t="str">
        <f t="shared" si="109"/>
        <v/>
      </c>
      <c r="M1395" s="4">
        <f t="shared" si="110"/>
        <v>0</v>
      </c>
    </row>
    <row r="1396" ht="30" spans="1:13">
      <c r="A1396" s="4"/>
      <c r="B1396" t="str">
        <f t="shared" si="111"/>
        <v>7:33000129</v>
      </c>
      <c r="C1396" s="1">
        <v>7</v>
      </c>
      <c r="D1396" s="4">
        <v>33000129</v>
      </c>
      <c r="E1396" s="3" t="s">
        <v>489</v>
      </c>
      <c r="F1396" s="3"/>
      <c r="G1396" s="1">
        <v>9703.8</v>
      </c>
      <c r="H1396" s="1">
        <f t="shared" si="107"/>
        <v>9703.8</v>
      </c>
      <c r="I1396" s="1" t="str">
        <f t="shared" si="108"/>
        <v/>
      </c>
      <c r="J1396" s="1" t="str">
        <f>_xlfn.IFNA(INDEX([1]历练产出!$Z:$Z,MATCH(B1396,[1]历练产出!$AB:$AB,0)),"")</f>
        <v/>
      </c>
      <c r="K1396" s="1" t="str">
        <f>_xlfn.IFNA(INDEX([1]洞天福地产出!$H:$H,MATCH(B1396,[1]洞天福地产出!$K:$K,0)),"")</f>
        <v/>
      </c>
      <c r="L1396" s="1" t="str">
        <f t="shared" si="109"/>
        <v/>
      </c>
      <c r="M1396" s="4">
        <f t="shared" si="110"/>
        <v>0</v>
      </c>
    </row>
    <row r="1397" ht="30" spans="1:13">
      <c r="A1397" s="4"/>
      <c r="B1397" t="str">
        <f t="shared" si="111"/>
        <v>7:33000130</v>
      </c>
      <c r="C1397" s="1">
        <v>7</v>
      </c>
      <c r="D1397" s="4">
        <v>33000130</v>
      </c>
      <c r="E1397" s="3" t="s">
        <v>489</v>
      </c>
      <c r="F1397" s="3"/>
      <c r="G1397" s="1">
        <v>10052.1</v>
      </c>
      <c r="H1397" s="1">
        <f t="shared" si="107"/>
        <v>10052.1</v>
      </c>
      <c r="I1397" s="1" t="str">
        <f t="shared" si="108"/>
        <v/>
      </c>
      <c r="J1397" s="1" t="str">
        <f>_xlfn.IFNA(INDEX([1]历练产出!$Z:$Z,MATCH(B1397,[1]历练产出!$AB:$AB,0)),"")</f>
        <v/>
      </c>
      <c r="K1397" s="1" t="str">
        <f>_xlfn.IFNA(INDEX([1]洞天福地产出!$H:$H,MATCH(B1397,[1]洞天福地产出!$K:$K,0)),"")</f>
        <v/>
      </c>
      <c r="L1397" s="1" t="str">
        <f t="shared" si="109"/>
        <v/>
      </c>
      <c r="M1397" s="4">
        <f t="shared" si="110"/>
        <v>0</v>
      </c>
    </row>
    <row r="1398" ht="30" spans="1:13">
      <c r="A1398" s="4"/>
      <c r="B1398" t="str">
        <f t="shared" si="111"/>
        <v>7:34000101</v>
      </c>
      <c r="C1398" s="1">
        <v>7</v>
      </c>
      <c r="D1398" s="4">
        <v>34000101</v>
      </c>
      <c r="E1398" s="3" t="s">
        <v>1907</v>
      </c>
      <c r="F1398" s="3"/>
      <c r="G1398" s="1">
        <v>656.1</v>
      </c>
      <c r="H1398" s="1">
        <f t="shared" si="107"/>
        <v>656.1</v>
      </c>
      <c r="I1398" s="1" t="str">
        <f t="shared" si="108"/>
        <v/>
      </c>
      <c r="J1398" s="1" t="str">
        <f>_xlfn.IFNA(INDEX([1]历练产出!$Z:$Z,MATCH(B1398,[1]历练产出!$AB:$AB,0)),"")</f>
        <v/>
      </c>
      <c r="K1398" s="1" t="str">
        <f>_xlfn.IFNA(INDEX([1]洞天福地产出!$H:$H,MATCH(B1398,[1]洞天福地产出!$K:$K,0)),"")</f>
        <v/>
      </c>
      <c r="L1398" s="1" t="str">
        <f t="shared" si="109"/>
        <v/>
      </c>
      <c r="M1398" s="4">
        <f t="shared" si="110"/>
        <v>0</v>
      </c>
    </row>
    <row r="1399" ht="30" spans="1:13">
      <c r="A1399" s="4"/>
      <c r="B1399" t="str">
        <f t="shared" si="111"/>
        <v>7:34000102</v>
      </c>
      <c r="C1399" s="1">
        <v>7</v>
      </c>
      <c r="D1399" s="4">
        <v>34000102</v>
      </c>
      <c r="E1399" s="3" t="s">
        <v>1907</v>
      </c>
      <c r="F1399" s="3"/>
      <c r="G1399" s="1">
        <v>676.35</v>
      </c>
      <c r="H1399" s="1">
        <f t="shared" si="107"/>
        <v>676.35</v>
      </c>
      <c r="I1399" s="1" t="str">
        <f t="shared" si="108"/>
        <v/>
      </c>
      <c r="J1399" s="1" t="str">
        <f>_xlfn.IFNA(INDEX([1]历练产出!$Z:$Z,MATCH(B1399,[1]历练产出!$AB:$AB,0)),"")</f>
        <v/>
      </c>
      <c r="K1399" s="1" t="str">
        <f>_xlfn.IFNA(INDEX([1]洞天福地产出!$H:$H,MATCH(B1399,[1]洞天福地产出!$K:$K,0)),"")</f>
        <v/>
      </c>
      <c r="L1399" s="1" t="str">
        <f t="shared" si="109"/>
        <v/>
      </c>
      <c r="M1399" s="4">
        <f t="shared" si="110"/>
        <v>0</v>
      </c>
    </row>
    <row r="1400" ht="30" spans="1:13">
      <c r="A1400" s="4"/>
      <c r="B1400" t="str">
        <f t="shared" si="111"/>
        <v>7:34000103</v>
      </c>
      <c r="C1400" s="1">
        <v>7</v>
      </c>
      <c r="D1400" s="4">
        <v>34000103</v>
      </c>
      <c r="E1400" s="3" t="s">
        <v>1907</v>
      </c>
      <c r="F1400" s="3"/>
      <c r="G1400" s="1">
        <v>708.75</v>
      </c>
      <c r="H1400" s="1">
        <f t="shared" si="107"/>
        <v>708.75</v>
      </c>
      <c r="I1400" s="1" t="str">
        <f t="shared" si="108"/>
        <v/>
      </c>
      <c r="J1400" s="1" t="str">
        <f>_xlfn.IFNA(INDEX([1]历练产出!$Z:$Z,MATCH(B1400,[1]历练产出!$AB:$AB,0)),"")</f>
        <v/>
      </c>
      <c r="K1400" s="1" t="str">
        <f>_xlfn.IFNA(INDEX([1]洞天福地产出!$H:$H,MATCH(B1400,[1]洞天福地产出!$K:$K,0)),"")</f>
        <v/>
      </c>
      <c r="L1400" s="1" t="str">
        <f t="shared" si="109"/>
        <v/>
      </c>
      <c r="M1400" s="4">
        <f t="shared" si="110"/>
        <v>0</v>
      </c>
    </row>
    <row r="1401" ht="30" spans="1:13">
      <c r="A1401" s="4"/>
      <c r="B1401" t="str">
        <f t="shared" si="111"/>
        <v>7:34000104</v>
      </c>
      <c r="C1401" s="1">
        <v>7</v>
      </c>
      <c r="D1401" s="4">
        <v>34000104</v>
      </c>
      <c r="E1401" s="3" t="s">
        <v>1907</v>
      </c>
      <c r="F1401" s="3"/>
      <c r="G1401" s="1">
        <v>753.3</v>
      </c>
      <c r="H1401" s="1">
        <f t="shared" si="107"/>
        <v>753.3</v>
      </c>
      <c r="I1401" s="1" t="str">
        <f t="shared" si="108"/>
        <v/>
      </c>
      <c r="J1401" s="1" t="str">
        <f>_xlfn.IFNA(INDEX([1]历练产出!$Z:$Z,MATCH(B1401,[1]历练产出!$AB:$AB,0)),"")</f>
        <v/>
      </c>
      <c r="K1401" s="1" t="str">
        <f>_xlfn.IFNA(INDEX([1]洞天福地产出!$H:$H,MATCH(B1401,[1]洞天福地产出!$K:$K,0)),"")</f>
        <v/>
      </c>
      <c r="L1401" s="1" t="str">
        <f t="shared" si="109"/>
        <v/>
      </c>
      <c r="M1401" s="4">
        <f t="shared" si="110"/>
        <v>0</v>
      </c>
    </row>
    <row r="1402" ht="30" spans="1:13">
      <c r="A1402" s="4"/>
      <c r="B1402" t="str">
        <f t="shared" si="111"/>
        <v>7:34000105</v>
      </c>
      <c r="C1402" s="1">
        <v>7</v>
      </c>
      <c r="D1402" s="4">
        <v>34000105</v>
      </c>
      <c r="E1402" s="3" t="s">
        <v>1907</v>
      </c>
      <c r="F1402" s="3"/>
      <c r="G1402" s="1">
        <v>810</v>
      </c>
      <c r="H1402" s="1">
        <f t="shared" si="107"/>
        <v>810</v>
      </c>
      <c r="I1402" s="1" t="str">
        <f t="shared" si="108"/>
        <v/>
      </c>
      <c r="J1402" s="1" t="str">
        <f>_xlfn.IFNA(INDEX([1]历练产出!$Z:$Z,MATCH(B1402,[1]历练产出!$AB:$AB,0)),"")</f>
        <v/>
      </c>
      <c r="K1402" s="1" t="str">
        <f>_xlfn.IFNA(INDEX([1]洞天福地产出!$H:$H,MATCH(B1402,[1]洞天福地产出!$K:$K,0)),"")</f>
        <v/>
      </c>
      <c r="L1402" s="1" t="str">
        <f t="shared" si="109"/>
        <v/>
      </c>
      <c r="M1402" s="4">
        <f t="shared" si="110"/>
        <v>0</v>
      </c>
    </row>
    <row r="1403" ht="30" spans="1:13">
      <c r="A1403" s="4"/>
      <c r="B1403" t="str">
        <f t="shared" si="111"/>
        <v>7:34000106</v>
      </c>
      <c r="C1403" s="1">
        <v>7</v>
      </c>
      <c r="D1403" s="4">
        <v>34000106</v>
      </c>
      <c r="E1403" s="3" t="s">
        <v>1907</v>
      </c>
      <c r="F1403" s="3"/>
      <c r="G1403" s="1">
        <v>878.85</v>
      </c>
      <c r="H1403" s="1">
        <f t="shared" si="107"/>
        <v>878.85</v>
      </c>
      <c r="I1403" s="1" t="str">
        <f t="shared" si="108"/>
        <v/>
      </c>
      <c r="J1403" s="1" t="str">
        <f>_xlfn.IFNA(INDEX([1]历练产出!$Z:$Z,MATCH(B1403,[1]历练产出!$AB:$AB,0)),"")</f>
        <v/>
      </c>
      <c r="K1403" s="1" t="str">
        <f>_xlfn.IFNA(INDEX([1]洞天福地产出!$H:$H,MATCH(B1403,[1]洞天福地产出!$K:$K,0)),"")</f>
        <v/>
      </c>
      <c r="L1403" s="1" t="str">
        <f t="shared" si="109"/>
        <v/>
      </c>
      <c r="M1403" s="4">
        <f t="shared" si="110"/>
        <v>0</v>
      </c>
    </row>
    <row r="1404" ht="30" spans="1:13">
      <c r="A1404" s="4"/>
      <c r="B1404" t="str">
        <f t="shared" si="111"/>
        <v>7:34000107</v>
      </c>
      <c r="C1404" s="1">
        <v>7</v>
      </c>
      <c r="D1404" s="4">
        <v>34000107</v>
      </c>
      <c r="E1404" s="3" t="s">
        <v>1907</v>
      </c>
      <c r="F1404" s="3"/>
      <c r="G1404" s="1">
        <v>959.85</v>
      </c>
      <c r="H1404" s="1">
        <f t="shared" si="107"/>
        <v>959.85</v>
      </c>
      <c r="I1404" s="1" t="str">
        <f t="shared" si="108"/>
        <v/>
      </c>
      <c r="J1404" s="1" t="str">
        <f>_xlfn.IFNA(INDEX([1]历练产出!$Z:$Z,MATCH(B1404,[1]历练产出!$AB:$AB,0)),"")</f>
        <v/>
      </c>
      <c r="K1404" s="1" t="str">
        <f>_xlfn.IFNA(INDEX([1]洞天福地产出!$H:$H,MATCH(B1404,[1]洞天福地产出!$K:$K,0)),"")</f>
        <v/>
      </c>
      <c r="L1404" s="1" t="str">
        <f t="shared" si="109"/>
        <v/>
      </c>
      <c r="M1404" s="4">
        <f t="shared" si="110"/>
        <v>0</v>
      </c>
    </row>
    <row r="1405" ht="30" spans="1:13">
      <c r="A1405" s="4"/>
      <c r="B1405" t="str">
        <f t="shared" si="111"/>
        <v>7:34000108</v>
      </c>
      <c r="C1405" s="1">
        <v>7</v>
      </c>
      <c r="D1405" s="4">
        <v>34000108</v>
      </c>
      <c r="E1405" s="3" t="s">
        <v>1907</v>
      </c>
      <c r="F1405" s="3"/>
      <c r="G1405" s="1">
        <v>1053</v>
      </c>
      <c r="H1405" s="1">
        <f t="shared" si="107"/>
        <v>1053</v>
      </c>
      <c r="I1405" s="1" t="str">
        <f t="shared" si="108"/>
        <v/>
      </c>
      <c r="J1405" s="1" t="str">
        <f>_xlfn.IFNA(INDEX([1]历练产出!$Z:$Z,MATCH(B1405,[1]历练产出!$AB:$AB,0)),"")</f>
        <v/>
      </c>
      <c r="K1405" s="1" t="str">
        <f>_xlfn.IFNA(INDEX([1]洞天福地产出!$H:$H,MATCH(B1405,[1]洞天福地产出!$K:$K,0)),"")</f>
        <v/>
      </c>
      <c r="L1405" s="1" t="str">
        <f t="shared" si="109"/>
        <v/>
      </c>
      <c r="M1405" s="4">
        <f t="shared" si="110"/>
        <v>0</v>
      </c>
    </row>
    <row r="1406" ht="30" spans="1:13">
      <c r="A1406" s="4"/>
      <c r="B1406" t="str">
        <f t="shared" si="111"/>
        <v>7:34000109</v>
      </c>
      <c r="C1406" s="1">
        <v>7</v>
      </c>
      <c r="D1406" s="4">
        <v>34000109</v>
      </c>
      <c r="E1406" s="3" t="s">
        <v>1907</v>
      </c>
      <c r="F1406" s="3"/>
      <c r="G1406" s="1">
        <v>1806.3</v>
      </c>
      <c r="H1406" s="1">
        <f t="shared" si="107"/>
        <v>1806.3</v>
      </c>
      <c r="I1406" s="1" t="str">
        <f t="shared" si="108"/>
        <v/>
      </c>
      <c r="J1406" s="1" t="str">
        <f>_xlfn.IFNA(INDEX([1]历练产出!$Z:$Z,MATCH(B1406,[1]历练产出!$AB:$AB,0)),"")</f>
        <v/>
      </c>
      <c r="K1406" s="1" t="str">
        <f>_xlfn.IFNA(INDEX([1]洞天福地产出!$H:$H,MATCH(B1406,[1]洞天福地产出!$K:$K,0)),"")</f>
        <v/>
      </c>
      <c r="L1406" s="1" t="str">
        <f t="shared" si="109"/>
        <v/>
      </c>
      <c r="M1406" s="4">
        <f t="shared" si="110"/>
        <v>0</v>
      </c>
    </row>
    <row r="1407" ht="30" spans="1:13">
      <c r="A1407" s="4"/>
      <c r="B1407" t="str">
        <f t="shared" si="111"/>
        <v>7:34000110</v>
      </c>
      <c r="C1407" s="1">
        <v>7</v>
      </c>
      <c r="D1407" s="4">
        <v>34000110</v>
      </c>
      <c r="E1407" s="3" t="s">
        <v>1907</v>
      </c>
      <c r="F1407" s="3"/>
      <c r="G1407" s="1">
        <v>1923.75</v>
      </c>
      <c r="H1407" s="1">
        <f t="shared" si="107"/>
        <v>1923.75</v>
      </c>
      <c r="I1407" s="1" t="str">
        <f t="shared" si="108"/>
        <v/>
      </c>
      <c r="J1407" s="1" t="str">
        <f>_xlfn.IFNA(INDEX([1]历练产出!$Z:$Z,MATCH(B1407,[1]历练产出!$AB:$AB,0)),"")</f>
        <v/>
      </c>
      <c r="K1407" s="1" t="str">
        <f>_xlfn.IFNA(INDEX([1]洞天福地产出!$H:$H,MATCH(B1407,[1]洞天福地产出!$K:$K,0)),"")</f>
        <v/>
      </c>
      <c r="L1407" s="1" t="str">
        <f t="shared" si="109"/>
        <v/>
      </c>
      <c r="M1407" s="4">
        <f t="shared" si="110"/>
        <v>0</v>
      </c>
    </row>
    <row r="1408" ht="30" spans="1:13">
      <c r="A1408" s="4"/>
      <c r="B1408" t="str">
        <f t="shared" si="111"/>
        <v>7:34000111</v>
      </c>
      <c r="C1408" s="1">
        <v>7</v>
      </c>
      <c r="D1408" s="4">
        <v>34000111</v>
      </c>
      <c r="E1408" s="3" t="s">
        <v>1907</v>
      </c>
      <c r="F1408" s="3"/>
      <c r="G1408" s="1">
        <v>2053.35</v>
      </c>
      <c r="H1408" s="1">
        <f t="shared" si="107"/>
        <v>2053.35</v>
      </c>
      <c r="I1408" s="1" t="str">
        <f t="shared" si="108"/>
        <v/>
      </c>
      <c r="J1408" s="1" t="str">
        <f>_xlfn.IFNA(INDEX([1]历练产出!$Z:$Z,MATCH(B1408,[1]历练产出!$AB:$AB,0)),"")</f>
        <v/>
      </c>
      <c r="K1408" s="1" t="str">
        <f>_xlfn.IFNA(INDEX([1]洞天福地产出!$H:$H,MATCH(B1408,[1]洞天福地产出!$K:$K,0)),"")</f>
        <v/>
      </c>
      <c r="L1408" s="1" t="str">
        <f t="shared" si="109"/>
        <v/>
      </c>
      <c r="M1408" s="4">
        <f t="shared" si="110"/>
        <v>0</v>
      </c>
    </row>
    <row r="1409" ht="30" spans="1:13">
      <c r="A1409" s="4"/>
      <c r="B1409" t="str">
        <f t="shared" si="111"/>
        <v>7:34000112</v>
      </c>
      <c r="C1409" s="1">
        <v>7</v>
      </c>
      <c r="D1409" s="4">
        <v>34000112</v>
      </c>
      <c r="E1409" s="3" t="s">
        <v>1907</v>
      </c>
      <c r="F1409" s="3"/>
      <c r="G1409" s="1">
        <v>2195.1</v>
      </c>
      <c r="H1409" s="1">
        <f t="shared" si="107"/>
        <v>2195.1</v>
      </c>
      <c r="I1409" s="1" t="str">
        <f t="shared" si="108"/>
        <v/>
      </c>
      <c r="J1409" s="1" t="str">
        <f>_xlfn.IFNA(INDEX([1]历练产出!$Z:$Z,MATCH(B1409,[1]历练产出!$AB:$AB,0)),"")</f>
        <v/>
      </c>
      <c r="K1409" s="1" t="str">
        <f>_xlfn.IFNA(INDEX([1]洞天福地产出!$H:$H,MATCH(B1409,[1]洞天福地产出!$K:$K,0)),"")</f>
        <v/>
      </c>
      <c r="L1409" s="1" t="str">
        <f t="shared" si="109"/>
        <v/>
      </c>
      <c r="M1409" s="4">
        <f t="shared" si="110"/>
        <v>0</v>
      </c>
    </row>
    <row r="1410" ht="30" spans="1:13">
      <c r="A1410" s="4"/>
      <c r="B1410" t="str">
        <f t="shared" si="111"/>
        <v>7:34000113</v>
      </c>
      <c r="C1410" s="1">
        <v>7</v>
      </c>
      <c r="D1410" s="4">
        <v>34000113</v>
      </c>
      <c r="E1410" s="3" t="s">
        <v>1907</v>
      </c>
      <c r="F1410" s="3"/>
      <c r="G1410" s="1">
        <v>2349</v>
      </c>
      <c r="H1410" s="1">
        <f t="shared" si="107"/>
        <v>2349</v>
      </c>
      <c r="I1410" s="1" t="str">
        <f t="shared" si="108"/>
        <v/>
      </c>
      <c r="J1410" s="1" t="str">
        <f>_xlfn.IFNA(INDEX([1]历练产出!$Z:$Z,MATCH(B1410,[1]历练产出!$AB:$AB,0)),"")</f>
        <v/>
      </c>
      <c r="K1410" s="1" t="str">
        <f>_xlfn.IFNA(INDEX([1]洞天福地产出!$H:$H,MATCH(B1410,[1]洞天福地产出!$K:$K,0)),"")</f>
        <v/>
      </c>
      <c r="L1410" s="1" t="str">
        <f t="shared" si="109"/>
        <v/>
      </c>
      <c r="M1410" s="4">
        <f t="shared" si="110"/>
        <v>0</v>
      </c>
    </row>
    <row r="1411" ht="30" spans="1:13">
      <c r="A1411" s="4"/>
      <c r="B1411" t="str">
        <f t="shared" si="111"/>
        <v>7:34000114</v>
      </c>
      <c r="C1411" s="1">
        <v>7</v>
      </c>
      <c r="D1411" s="4">
        <v>34000114</v>
      </c>
      <c r="E1411" s="3" t="s">
        <v>1907</v>
      </c>
      <c r="F1411" s="3"/>
      <c r="G1411" s="1">
        <v>2515.05</v>
      </c>
      <c r="H1411" s="1">
        <f t="shared" si="107"/>
        <v>2515.05</v>
      </c>
      <c r="I1411" s="1" t="str">
        <f t="shared" si="108"/>
        <v/>
      </c>
      <c r="J1411" s="1" t="str">
        <f>_xlfn.IFNA(INDEX([1]历练产出!$Z:$Z,MATCH(B1411,[1]历练产出!$AB:$AB,0)),"")</f>
        <v/>
      </c>
      <c r="K1411" s="1" t="str">
        <f>_xlfn.IFNA(INDEX([1]洞天福地产出!$H:$H,MATCH(B1411,[1]洞天福地产出!$K:$K,0)),"")</f>
        <v/>
      </c>
      <c r="L1411" s="1" t="str">
        <f t="shared" si="109"/>
        <v/>
      </c>
      <c r="M1411" s="4">
        <f t="shared" si="110"/>
        <v>0</v>
      </c>
    </row>
    <row r="1412" ht="30" spans="1:13">
      <c r="A1412" s="4"/>
      <c r="B1412" t="str">
        <f t="shared" si="111"/>
        <v>7:34000115</v>
      </c>
      <c r="C1412" s="1">
        <v>7</v>
      </c>
      <c r="D1412" s="4">
        <v>34000115</v>
      </c>
      <c r="E1412" s="3" t="s">
        <v>1907</v>
      </c>
      <c r="F1412" s="3"/>
      <c r="G1412" s="1">
        <v>2693.25</v>
      </c>
      <c r="H1412" s="1">
        <f t="shared" ref="H1412:H1475" si="112">IF(I1412="",G1412,I1412)</f>
        <v>2693.25</v>
      </c>
      <c r="I1412" s="1" t="str">
        <f t="shared" ref="I1412:I1475" si="113">IFERROR(100/L1412,"")</f>
        <v/>
      </c>
      <c r="J1412" s="1" t="str">
        <f>_xlfn.IFNA(INDEX([1]历练产出!$Z:$Z,MATCH(B1412,[1]历练产出!$AB:$AB,0)),"")</f>
        <v/>
      </c>
      <c r="K1412" s="1" t="str">
        <f>_xlfn.IFNA(INDEX([1]洞天福地产出!$H:$H,MATCH(B1412,[1]洞天福地产出!$K:$K,0)),"")</f>
        <v/>
      </c>
      <c r="L1412" s="1" t="str">
        <f t="shared" ref="L1412:L1475" si="114">IFERROR(J1412+K1412,"")</f>
        <v/>
      </c>
      <c r="M1412" s="4">
        <f t="shared" ref="M1412:M1475" si="115">IF(I1412="",0,1)</f>
        <v>0</v>
      </c>
    </row>
    <row r="1413" ht="30" spans="1:13">
      <c r="A1413" s="4"/>
      <c r="B1413" t="str">
        <f t="shared" si="111"/>
        <v>7:34000116</v>
      </c>
      <c r="C1413" s="1">
        <v>7</v>
      </c>
      <c r="D1413" s="4">
        <v>34000116</v>
      </c>
      <c r="E1413" s="3" t="s">
        <v>1907</v>
      </c>
      <c r="F1413" s="3"/>
      <c r="G1413" s="1">
        <v>2883.6</v>
      </c>
      <c r="H1413" s="1">
        <f t="shared" si="112"/>
        <v>2883.6</v>
      </c>
      <c r="I1413" s="1" t="str">
        <f t="shared" si="113"/>
        <v/>
      </c>
      <c r="J1413" s="1" t="str">
        <f>_xlfn.IFNA(INDEX([1]历练产出!$Z:$Z,MATCH(B1413,[1]历练产出!$AB:$AB,0)),"")</f>
        <v/>
      </c>
      <c r="K1413" s="1" t="str">
        <f>_xlfn.IFNA(INDEX([1]洞天福地产出!$H:$H,MATCH(B1413,[1]洞天福地产出!$K:$K,0)),"")</f>
        <v/>
      </c>
      <c r="L1413" s="1" t="str">
        <f t="shared" si="114"/>
        <v/>
      </c>
      <c r="M1413" s="4">
        <f t="shared" si="115"/>
        <v>0</v>
      </c>
    </row>
    <row r="1414" ht="30" spans="1:13">
      <c r="A1414" s="4"/>
      <c r="B1414" t="str">
        <f t="shared" si="111"/>
        <v>7:34000117</v>
      </c>
      <c r="C1414" s="1">
        <v>7</v>
      </c>
      <c r="D1414" s="4">
        <v>34000117</v>
      </c>
      <c r="E1414" s="3" t="s">
        <v>1907</v>
      </c>
      <c r="F1414" s="3"/>
      <c r="G1414" s="1">
        <v>3086.1</v>
      </c>
      <c r="H1414" s="1">
        <f t="shared" si="112"/>
        <v>3086.1</v>
      </c>
      <c r="I1414" s="1" t="str">
        <f t="shared" si="113"/>
        <v/>
      </c>
      <c r="J1414" s="1" t="str">
        <f>_xlfn.IFNA(INDEX([1]历练产出!$Z:$Z,MATCH(B1414,[1]历练产出!$AB:$AB,0)),"")</f>
        <v/>
      </c>
      <c r="K1414" s="1" t="str">
        <f>_xlfn.IFNA(INDEX([1]洞天福地产出!$H:$H,MATCH(B1414,[1]洞天福地产出!$K:$K,0)),"")</f>
        <v/>
      </c>
      <c r="L1414" s="1" t="str">
        <f t="shared" si="114"/>
        <v/>
      </c>
      <c r="M1414" s="4">
        <f t="shared" si="115"/>
        <v>0</v>
      </c>
    </row>
    <row r="1415" ht="30" spans="1:13">
      <c r="A1415" s="4"/>
      <c r="B1415" t="str">
        <f t="shared" si="111"/>
        <v>7:34000118</v>
      </c>
      <c r="C1415" s="1">
        <v>7</v>
      </c>
      <c r="D1415" s="4">
        <v>34000118</v>
      </c>
      <c r="E1415" s="3" t="s">
        <v>1907</v>
      </c>
      <c r="F1415" s="3"/>
      <c r="G1415" s="1">
        <v>3300.75</v>
      </c>
      <c r="H1415" s="1">
        <f t="shared" si="112"/>
        <v>3300.75</v>
      </c>
      <c r="I1415" s="1" t="str">
        <f t="shared" si="113"/>
        <v/>
      </c>
      <c r="J1415" s="1" t="str">
        <f>_xlfn.IFNA(INDEX([1]历练产出!$Z:$Z,MATCH(B1415,[1]历练产出!$AB:$AB,0)),"")</f>
        <v/>
      </c>
      <c r="K1415" s="1" t="str">
        <f>_xlfn.IFNA(INDEX([1]洞天福地产出!$H:$H,MATCH(B1415,[1]洞天福地产出!$K:$K,0)),"")</f>
        <v/>
      </c>
      <c r="L1415" s="1" t="str">
        <f t="shared" si="114"/>
        <v/>
      </c>
      <c r="M1415" s="4">
        <f t="shared" si="115"/>
        <v>0</v>
      </c>
    </row>
    <row r="1416" ht="30" spans="1:13">
      <c r="A1416" s="4"/>
      <c r="B1416" t="str">
        <f t="shared" si="111"/>
        <v>7:34000119</v>
      </c>
      <c r="C1416" s="1">
        <v>7</v>
      </c>
      <c r="D1416" s="4">
        <v>34000119</v>
      </c>
      <c r="E1416" s="3" t="s">
        <v>1907</v>
      </c>
      <c r="F1416" s="3"/>
      <c r="G1416" s="1">
        <v>4823.55</v>
      </c>
      <c r="H1416" s="1">
        <f t="shared" si="112"/>
        <v>4823.55</v>
      </c>
      <c r="I1416" s="1" t="str">
        <f t="shared" si="113"/>
        <v/>
      </c>
      <c r="J1416" s="1" t="str">
        <f>_xlfn.IFNA(INDEX([1]历练产出!$Z:$Z,MATCH(B1416,[1]历练产出!$AB:$AB,0)),"")</f>
        <v/>
      </c>
      <c r="K1416" s="1" t="str">
        <f>_xlfn.IFNA(INDEX([1]洞天福地产出!$H:$H,MATCH(B1416,[1]洞天福地产出!$K:$K,0)),"")</f>
        <v/>
      </c>
      <c r="L1416" s="1" t="str">
        <f t="shared" si="114"/>
        <v/>
      </c>
      <c r="M1416" s="4">
        <f t="shared" si="115"/>
        <v>0</v>
      </c>
    </row>
    <row r="1417" ht="30" spans="1:13">
      <c r="A1417" s="4"/>
      <c r="B1417" t="str">
        <f t="shared" si="111"/>
        <v>7:34000120</v>
      </c>
      <c r="C1417" s="1">
        <v>7</v>
      </c>
      <c r="D1417" s="4">
        <v>34000120</v>
      </c>
      <c r="E1417" s="3" t="s">
        <v>1907</v>
      </c>
      <c r="F1417" s="3"/>
      <c r="G1417" s="1">
        <v>5062.5</v>
      </c>
      <c r="H1417" s="1">
        <f t="shared" si="112"/>
        <v>5062.5</v>
      </c>
      <c r="I1417" s="1" t="str">
        <f t="shared" si="113"/>
        <v/>
      </c>
      <c r="J1417" s="1" t="str">
        <f>_xlfn.IFNA(INDEX([1]历练产出!$Z:$Z,MATCH(B1417,[1]历练产出!$AB:$AB,0)),"")</f>
        <v/>
      </c>
      <c r="K1417" s="1" t="str">
        <f>_xlfn.IFNA(INDEX([1]洞天福地产出!$H:$H,MATCH(B1417,[1]洞天福地产出!$K:$K,0)),"")</f>
        <v/>
      </c>
      <c r="L1417" s="1" t="str">
        <f t="shared" si="114"/>
        <v/>
      </c>
      <c r="M1417" s="4">
        <f t="shared" si="115"/>
        <v>0</v>
      </c>
    </row>
    <row r="1418" ht="30" spans="1:13">
      <c r="A1418" s="4"/>
      <c r="B1418" t="str">
        <f t="shared" si="111"/>
        <v>7:34000121</v>
      </c>
      <c r="C1418" s="1">
        <v>7</v>
      </c>
      <c r="D1418" s="4">
        <v>34000121</v>
      </c>
      <c r="E1418" s="3" t="s">
        <v>1907</v>
      </c>
      <c r="F1418" s="3"/>
      <c r="G1418" s="1">
        <v>5313.6</v>
      </c>
      <c r="H1418" s="1">
        <f t="shared" si="112"/>
        <v>5313.6</v>
      </c>
      <c r="I1418" s="1" t="str">
        <f t="shared" si="113"/>
        <v/>
      </c>
      <c r="J1418" s="1" t="str">
        <f>_xlfn.IFNA(INDEX([1]历练产出!$Z:$Z,MATCH(B1418,[1]历练产出!$AB:$AB,0)),"")</f>
        <v/>
      </c>
      <c r="K1418" s="1" t="str">
        <f>_xlfn.IFNA(INDEX([1]洞天福地产出!$H:$H,MATCH(B1418,[1]洞天福地产出!$K:$K,0)),"")</f>
        <v/>
      </c>
      <c r="L1418" s="1" t="str">
        <f t="shared" si="114"/>
        <v/>
      </c>
      <c r="M1418" s="4">
        <f t="shared" si="115"/>
        <v>0</v>
      </c>
    </row>
    <row r="1419" ht="30" spans="1:13">
      <c r="A1419" s="4"/>
      <c r="B1419" t="str">
        <f t="shared" si="111"/>
        <v>7:34000122</v>
      </c>
      <c r="C1419" s="1">
        <v>7</v>
      </c>
      <c r="D1419" s="4">
        <v>34000122</v>
      </c>
      <c r="E1419" s="3" t="s">
        <v>1907</v>
      </c>
      <c r="F1419" s="3"/>
      <c r="G1419" s="1">
        <v>5576.85</v>
      </c>
      <c r="H1419" s="1">
        <f t="shared" si="112"/>
        <v>5576.85</v>
      </c>
      <c r="I1419" s="1" t="str">
        <f t="shared" si="113"/>
        <v/>
      </c>
      <c r="J1419" s="1" t="str">
        <f>_xlfn.IFNA(INDEX([1]历练产出!$Z:$Z,MATCH(B1419,[1]历练产出!$AB:$AB,0)),"")</f>
        <v/>
      </c>
      <c r="K1419" s="1" t="str">
        <f>_xlfn.IFNA(INDEX([1]洞天福地产出!$H:$H,MATCH(B1419,[1]洞天福地产出!$K:$K,0)),"")</f>
        <v/>
      </c>
      <c r="L1419" s="1" t="str">
        <f t="shared" si="114"/>
        <v/>
      </c>
      <c r="M1419" s="4">
        <f t="shared" si="115"/>
        <v>0</v>
      </c>
    </row>
    <row r="1420" ht="30" spans="1:13">
      <c r="A1420" s="4"/>
      <c r="B1420" t="str">
        <f t="shared" si="111"/>
        <v>7:34000123</v>
      </c>
      <c r="C1420" s="1">
        <v>7</v>
      </c>
      <c r="D1420" s="4">
        <v>34000123</v>
      </c>
      <c r="E1420" s="3" t="s">
        <v>1907</v>
      </c>
      <c r="F1420" s="3"/>
      <c r="G1420" s="1">
        <v>5852.25</v>
      </c>
      <c r="H1420" s="1">
        <f t="shared" si="112"/>
        <v>5852.25</v>
      </c>
      <c r="I1420" s="1" t="str">
        <f t="shared" si="113"/>
        <v/>
      </c>
      <c r="J1420" s="1" t="str">
        <f>_xlfn.IFNA(INDEX([1]历练产出!$Z:$Z,MATCH(B1420,[1]历练产出!$AB:$AB,0)),"")</f>
        <v/>
      </c>
      <c r="K1420" s="1" t="str">
        <f>_xlfn.IFNA(INDEX([1]洞天福地产出!$H:$H,MATCH(B1420,[1]洞天福地产出!$K:$K,0)),"")</f>
        <v/>
      </c>
      <c r="L1420" s="1" t="str">
        <f t="shared" si="114"/>
        <v/>
      </c>
      <c r="M1420" s="4">
        <f t="shared" si="115"/>
        <v>0</v>
      </c>
    </row>
    <row r="1421" ht="30" spans="1:13">
      <c r="A1421" s="4"/>
      <c r="B1421" t="str">
        <f t="shared" si="111"/>
        <v>7:34000124</v>
      </c>
      <c r="C1421" s="1">
        <v>7</v>
      </c>
      <c r="D1421" s="4">
        <v>34000124</v>
      </c>
      <c r="E1421" s="3" t="s">
        <v>1907</v>
      </c>
      <c r="F1421" s="3"/>
      <c r="G1421" s="1">
        <v>6139.8</v>
      </c>
      <c r="H1421" s="1">
        <f t="shared" si="112"/>
        <v>6139.8</v>
      </c>
      <c r="I1421" s="1" t="str">
        <f t="shared" si="113"/>
        <v/>
      </c>
      <c r="J1421" s="1" t="str">
        <f>_xlfn.IFNA(INDEX([1]历练产出!$Z:$Z,MATCH(B1421,[1]历练产出!$AB:$AB,0)),"")</f>
        <v/>
      </c>
      <c r="K1421" s="1" t="str">
        <f>_xlfn.IFNA(INDEX([1]洞天福地产出!$H:$H,MATCH(B1421,[1]洞天福地产出!$K:$K,0)),"")</f>
        <v/>
      </c>
      <c r="L1421" s="1" t="str">
        <f t="shared" si="114"/>
        <v/>
      </c>
      <c r="M1421" s="4">
        <f t="shared" si="115"/>
        <v>0</v>
      </c>
    </row>
    <row r="1422" ht="30" spans="1:13">
      <c r="A1422" s="4"/>
      <c r="B1422" t="str">
        <f t="shared" si="111"/>
        <v>7:34000125</v>
      </c>
      <c r="C1422" s="1">
        <v>7</v>
      </c>
      <c r="D1422" s="4">
        <v>34000125</v>
      </c>
      <c r="E1422" s="3" t="s">
        <v>1907</v>
      </c>
      <c r="F1422" s="3"/>
      <c r="G1422" s="1">
        <v>6439.5</v>
      </c>
      <c r="H1422" s="1">
        <f t="shared" si="112"/>
        <v>6439.5</v>
      </c>
      <c r="I1422" s="1" t="str">
        <f t="shared" si="113"/>
        <v/>
      </c>
      <c r="J1422" s="1" t="str">
        <f>_xlfn.IFNA(INDEX([1]历练产出!$Z:$Z,MATCH(B1422,[1]历练产出!$AB:$AB,0)),"")</f>
        <v/>
      </c>
      <c r="K1422" s="1" t="str">
        <f>_xlfn.IFNA(INDEX([1]洞天福地产出!$H:$H,MATCH(B1422,[1]洞天福地产出!$K:$K,0)),"")</f>
        <v/>
      </c>
      <c r="L1422" s="1" t="str">
        <f t="shared" si="114"/>
        <v/>
      </c>
      <c r="M1422" s="4">
        <f t="shared" si="115"/>
        <v>0</v>
      </c>
    </row>
    <row r="1423" ht="30" spans="1:13">
      <c r="A1423" s="4"/>
      <c r="B1423" t="str">
        <f t="shared" si="111"/>
        <v>7:34000126</v>
      </c>
      <c r="C1423" s="1">
        <v>7</v>
      </c>
      <c r="D1423" s="4">
        <v>34000126</v>
      </c>
      <c r="E1423" s="3" t="s">
        <v>1907</v>
      </c>
      <c r="F1423" s="3"/>
      <c r="G1423" s="1">
        <v>6751.35</v>
      </c>
      <c r="H1423" s="1">
        <f t="shared" si="112"/>
        <v>6751.35</v>
      </c>
      <c r="I1423" s="1" t="str">
        <f t="shared" si="113"/>
        <v/>
      </c>
      <c r="J1423" s="1" t="str">
        <f>_xlfn.IFNA(INDEX([1]历练产出!$Z:$Z,MATCH(B1423,[1]历练产出!$AB:$AB,0)),"")</f>
        <v/>
      </c>
      <c r="K1423" s="1" t="str">
        <f>_xlfn.IFNA(INDEX([1]洞天福地产出!$H:$H,MATCH(B1423,[1]洞天福地产出!$K:$K,0)),"")</f>
        <v/>
      </c>
      <c r="L1423" s="1" t="str">
        <f t="shared" si="114"/>
        <v/>
      </c>
      <c r="M1423" s="4">
        <f t="shared" si="115"/>
        <v>0</v>
      </c>
    </row>
    <row r="1424" ht="30" spans="1:13">
      <c r="A1424" s="4"/>
      <c r="B1424" t="str">
        <f t="shared" si="111"/>
        <v>7:34000127</v>
      </c>
      <c r="C1424" s="1">
        <v>7</v>
      </c>
      <c r="D1424" s="4">
        <v>34000127</v>
      </c>
      <c r="E1424" s="3" t="s">
        <v>1907</v>
      </c>
      <c r="F1424" s="3"/>
      <c r="G1424" s="1">
        <v>7075.35</v>
      </c>
      <c r="H1424" s="1">
        <f t="shared" si="112"/>
        <v>7075.35</v>
      </c>
      <c r="I1424" s="1" t="str">
        <f t="shared" si="113"/>
        <v/>
      </c>
      <c r="J1424" s="1" t="str">
        <f>_xlfn.IFNA(INDEX([1]历练产出!$Z:$Z,MATCH(B1424,[1]历练产出!$AB:$AB,0)),"")</f>
        <v/>
      </c>
      <c r="K1424" s="1" t="str">
        <f>_xlfn.IFNA(INDEX([1]洞天福地产出!$H:$H,MATCH(B1424,[1]洞天福地产出!$K:$K,0)),"")</f>
        <v/>
      </c>
      <c r="L1424" s="1" t="str">
        <f t="shared" si="114"/>
        <v/>
      </c>
      <c r="M1424" s="4">
        <f t="shared" si="115"/>
        <v>0</v>
      </c>
    </row>
    <row r="1425" ht="30" spans="1:13">
      <c r="A1425" s="4"/>
      <c r="B1425" t="str">
        <f t="shared" si="111"/>
        <v>7:34000128</v>
      </c>
      <c r="C1425" s="1">
        <v>7</v>
      </c>
      <c r="D1425" s="4">
        <v>34000128</v>
      </c>
      <c r="E1425" s="3" t="s">
        <v>1907</v>
      </c>
      <c r="F1425" s="3"/>
      <c r="G1425" s="1">
        <v>7411.5</v>
      </c>
      <c r="H1425" s="1">
        <f t="shared" si="112"/>
        <v>7411.5</v>
      </c>
      <c r="I1425" s="1" t="str">
        <f t="shared" si="113"/>
        <v/>
      </c>
      <c r="J1425" s="1" t="str">
        <f>_xlfn.IFNA(INDEX([1]历练产出!$Z:$Z,MATCH(B1425,[1]历练产出!$AB:$AB,0)),"")</f>
        <v/>
      </c>
      <c r="K1425" s="1" t="str">
        <f>_xlfn.IFNA(INDEX([1]洞天福地产出!$H:$H,MATCH(B1425,[1]洞天福地产出!$K:$K,0)),"")</f>
        <v/>
      </c>
      <c r="L1425" s="1" t="str">
        <f t="shared" si="114"/>
        <v/>
      </c>
      <c r="M1425" s="4">
        <f t="shared" si="115"/>
        <v>0</v>
      </c>
    </row>
    <row r="1426" ht="30" spans="1:13">
      <c r="A1426" s="4"/>
      <c r="B1426" t="str">
        <f t="shared" si="111"/>
        <v>7:34000129</v>
      </c>
      <c r="C1426" s="1">
        <v>7</v>
      </c>
      <c r="D1426" s="4">
        <v>34000129</v>
      </c>
      <c r="E1426" s="3" t="s">
        <v>1907</v>
      </c>
      <c r="F1426" s="3"/>
      <c r="G1426" s="1">
        <v>9703.8</v>
      </c>
      <c r="H1426" s="1">
        <f t="shared" si="112"/>
        <v>9703.8</v>
      </c>
      <c r="I1426" s="1" t="str">
        <f t="shared" si="113"/>
        <v/>
      </c>
      <c r="J1426" s="1" t="str">
        <f>_xlfn.IFNA(INDEX([1]历练产出!$Z:$Z,MATCH(B1426,[1]历练产出!$AB:$AB,0)),"")</f>
        <v/>
      </c>
      <c r="K1426" s="1" t="str">
        <f>_xlfn.IFNA(INDEX([1]洞天福地产出!$H:$H,MATCH(B1426,[1]洞天福地产出!$K:$K,0)),"")</f>
        <v/>
      </c>
      <c r="L1426" s="1" t="str">
        <f t="shared" si="114"/>
        <v/>
      </c>
      <c r="M1426" s="4">
        <f t="shared" si="115"/>
        <v>0</v>
      </c>
    </row>
    <row r="1427" ht="30" spans="1:13">
      <c r="A1427" s="4"/>
      <c r="B1427" t="str">
        <f t="shared" si="111"/>
        <v>7:34000130</v>
      </c>
      <c r="C1427" s="1">
        <v>7</v>
      </c>
      <c r="D1427" s="4">
        <v>34000130</v>
      </c>
      <c r="E1427" s="3" t="s">
        <v>1907</v>
      </c>
      <c r="F1427" s="3"/>
      <c r="G1427" s="1">
        <v>10052.1</v>
      </c>
      <c r="H1427" s="1">
        <f t="shared" si="112"/>
        <v>10052.1</v>
      </c>
      <c r="I1427" s="1" t="str">
        <f t="shared" si="113"/>
        <v/>
      </c>
      <c r="J1427" s="1" t="str">
        <f>_xlfn.IFNA(INDEX([1]历练产出!$Z:$Z,MATCH(B1427,[1]历练产出!$AB:$AB,0)),"")</f>
        <v/>
      </c>
      <c r="K1427" s="1" t="str">
        <f>_xlfn.IFNA(INDEX([1]洞天福地产出!$H:$H,MATCH(B1427,[1]洞天福地产出!$K:$K,0)),"")</f>
        <v/>
      </c>
      <c r="L1427" s="1" t="str">
        <f t="shared" si="114"/>
        <v/>
      </c>
      <c r="M1427" s="4">
        <f t="shared" si="115"/>
        <v>0</v>
      </c>
    </row>
    <row r="1428" spans="1:13">
      <c r="A1428" s="4"/>
      <c r="B1428" t="str">
        <f t="shared" si="111"/>
        <v>7:35000101</v>
      </c>
      <c r="C1428" s="1">
        <v>7</v>
      </c>
      <c r="D1428" s="4">
        <v>35000101</v>
      </c>
      <c r="E1428" s="3" t="s">
        <v>1908</v>
      </c>
      <c r="F1428" s="3"/>
      <c r="G1428" s="1">
        <v>656.1</v>
      </c>
      <c r="H1428" s="1">
        <f t="shared" si="112"/>
        <v>656.1</v>
      </c>
      <c r="I1428" s="1" t="str">
        <f t="shared" si="113"/>
        <v/>
      </c>
      <c r="J1428" s="1" t="str">
        <f>_xlfn.IFNA(INDEX([1]历练产出!$Z:$Z,MATCH(B1428,[1]历练产出!$AB:$AB,0)),"")</f>
        <v/>
      </c>
      <c r="K1428" s="1" t="str">
        <f>_xlfn.IFNA(INDEX([1]洞天福地产出!$H:$H,MATCH(B1428,[1]洞天福地产出!$K:$K,0)),"")</f>
        <v/>
      </c>
      <c r="L1428" s="1" t="str">
        <f t="shared" si="114"/>
        <v/>
      </c>
      <c r="M1428" s="4">
        <f t="shared" si="115"/>
        <v>0</v>
      </c>
    </row>
    <row r="1429" spans="1:13">
      <c r="A1429" s="4"/>
      <c r="B1429" t="str">
        <f t="shared" si="111"/>
        <v>7:35000102</v>
      </c>
      <c r="C1429" s="1">
        <v>7</v>
      </c>
      <c r="D1429" s="4">
        <v>35000102</v>
      </c>
      <c r="E1429" s="3" t="s">
        <v>1908</v>
      </c>
      <c r="F1429" s="3"/>
      <c r="G1429" s="1">
        <v>676.35</v>
      </c>
      <c r="H1429" s="1">
        <f t="shared" si="112"/>
        <v>676.35</v>
      </c>
      <c r="I1429" s="1" t="str">
        <f t="shared" si="113"/>
        <v/>
      </c>
      <c r="J1429" s="1" t="str">
        <f>_xlfn.IFNA(INDEX([1]历练产出!$Z:$Z,MATCH(B1429,[1]历练产出!$AB:$AB,0)),"")</f>
        <v/>
      </c>
      <c r="K1429" s="1" t="str">
        <f>_xlfn.IFNA(INDEX([1]洞天福地产出!$H:$H,MATCH(B1429,[1]洞天福地产出!$K:$K,0)),"")</f>
        <v/>
      </c>
      <c r="L1429" s="1" t="str">
        <f t="shared" si="114"/>
        <v/>
      </c>
      <c r="M1429" s="4">
        <f t="shared" si="115"/>
        <v>0</v>
      </c>
    </row>
    <row r="1430" spans="1:13">
      <c r="A1430" s="4"/>
      <c r="B1430" t="str">
        <f t="shared" si="111"/>
        <v>7:35000103</v>
      </c>
      <c r="C1430" s="1">
        <v>7</v>
      </c>
      <c r="D1430" s="4">
        <v>35000103</v>
      </c>
      <c r="E1430" s="3" t="s">
        <v>1908</v>
      </c>
      <c r="F1430" s="3"/>
      <c r="G1430" s="1">
        <v>708.75</v>
      </c>
      <c r="H1430" s="1">
        <f t="shared" si="112"/>
        <v>708.75</v>
      </c>
      <c r="I1430" s="1" t="str">
        <f t="shared" si="113"/>
        <v/>
      </c>
      <c r="J1430" s="1" t="str">
        <f>_xlfn.IFNA(INDEX([1]历练产出!$Z:$Z,MATCH(B1430,[1]历练产出!$AB:$AB,0)),"")</f>
        <v/>
      </c>
      <c r="K1430" s="1" t="str">
        <f>_xlfn.IFNA(INDEX([1]洞天福地产出!$H:$H,MATCH(B1430,[1]洞天福地产出!$K:$K,0)),"")</f>
        <v/>
      </c>
      <c r="L1430" s="1" t="str">
        <f t="shared" si="114"/>
        <v/>
      </c>
      <c r="M1430" s="4">
        <f t="shared" si="115"/>
        <v>0</v>
      </c>
    </row>
    <row r="1431" spans="1:13">
      <c r="A1431" s="4"/>
      <c r="B1431" t="str">
        <f t="shared" si="111"/>
        <v>7:35000104</v>
      </c>
      <c r="C1431" s="1">
        <v>7</v>
      </c>
      <c r="D1431" s="4">
        <v>35000104</v>
      </c>
      <c r="E1431" s="3" t="s">
        <v>1908</v>
      </c>
      <c r="F1431" s="3"/>
      <c r="G1431" s="1">
        <v>753.3</v>
      </c>
      <c r="H1431" s="1">
        <f t="shared" si="112"/>
        <v>753.3</v>
      </c>
      <c r="I1431" s="1" t="str">
        <f t="shared" si="113"/>
        <v/>
      </c>
      <c r="J1431" s="1" t="str">
        <f>_xlfn.IFNA(INDEX([1]历练产出!$Z:$Z,MATCH(B1431,[1]历练产出!$AB:$AB,0)),"")</f>
        <v/>
      </c>
      <c r="K1431" s="1" t="str">
        <f>_xlfn.IFNA(INDEX([1]洞天福地产出!$H:$H,MATCH(B1431,[1]洞天福地产出!$K:$K,0)),"")</f>
        <v/>
      </c>
      <c r="L1431" s="1" t="str">
        <f t="shared" si="114"/>
        <v/>
      </c>
      <c r="M1431" s="4">
        <f t="shared" si="115"/>
        <v>0</v>
      </c>
    </row>
    <row r="1432" spans="1:13">
      <c r="A1432" s="4"/>
      <c r="B1432" t="str">
        <f t="shared" si="111"/>
        <v>7:35000105</v>
      </c>
      <c r="C1432" s="1">
        <v>7</v>
      </c>
      <c r="D1432" s="4">
        <v>35000105</v>
      </c>
      <c r="E1432" s="3" t="s">
        <v>1908</v>
      </c>
      <c r="F1432" s="3"/>
      <c r="G1432" s="1">
        <v>810</v>
      </c>
      <c r="H1432" s="1">
        <f t="shared" si="112"/>
        <v>810</v>
      </c>
      <c r="I1432" s="1" t="str">
        <f t="shared" si="113"/>
        <v/>
      </c>
      <c r="J1432" s="1" t="str">
        <f>_xlfn.IFNA(INDEX([1]历练产出!$Z:$Z,MATCH(B1432,[1]历练产出!$AB:$AB,0)),"")</f>
        <v/>
      </c>
      <c r="K1432" s="1" t="str">
        <f>_xlfn.IFNA(INDEX([1]洞天福地产出!$H:$H,MATCH(B1432,[1]洞天福地产出!$K:$K,0)),"")</f>
        <v/>
      </c>
      <c r="L1432" s="1" t="str">
        <f t="shared" si="114"/>
        <v/>
      </c>
      <c r="M1432" s="4">
        <f t="shared" si="115"/>
        <v>0</v>
      </c>
    </row>
    <row r="1433" spans="1:13">
      <c r="A1433" s="4"/>
      <c r="B1433" t="str">
        <f t="shared" si="111"/>
        <v>7:35000106</v>
      </c>
      <c r="C1433" s="1">
        <v>7</v>
      </c>
      <c r="D1433" s="4">
        <v>35000106</v>
      </c>
      <c r="E1433" s="3" t="s">
        <v>1908</v>
      </c>
      <c r="F1433" s="3"/>
      <c r="G1433" s="1">
        <v>878.85</v>
      </c>
      <c r="H1433" s="1">
        <f t="shared" si="112"/>
        <v>878.85</v>
      </c>
      <c r="I1433" s="1" t="str">
        <f t="shared" si="113"/>
        <v/>
      </c>
      <c r="J1433" s="1" t="str">
        <f>_xlfn.IFNA(INDEX([1]历练产出!$Z:$Z,MATCH(B1433,[1]历练产出!$AB:$AB,0)),"")</f>
        <v/>
      </c>
      <c r="K1433" s="1" t="str">
        <f>_xlfn.IFNA(INDEX([1]洞天福地产出!$H:$H,MATCH(B1433,[1]洞天福地产出!$K:$K,0)),"")</f>
        <v/>
      </c>
      <c r="L1433" s="1" t="str">
        <f t="shared" si="114"/>
        <v/>
      </c>
      <c r="M1433" s="4">
        <f t="shared" si="115"/>
        <v>0</v>
      </c>
    </row>
    <row r="1434" spans="1:13">
      <c r="A1434" s="4"/>
      <c r="B1434" t="str">
        <f t="shared" si="111"/>
        <v>7:35000107</v>
      </c>
      <c r="C1434" s="1">
        <v>7</v>
      </c>
      <c r="D1434" s="4">
        <v>35000107</v>
      </c>
      <c r="E1434" s="3" t="s">
        <v>1908</v>
      </c>
      <c r="F1434" s="3"/>
      <c r="G1434" s="1">
        <v>959.85</v>
      </c>
      <c r="H1434" s="1">
        <f t="shared" si="112"/>
        <v>959.85</v>
      </c>
      <c r="I1434" s="1" t="str">
        <f t="shared" si="113"/>
        <v/>
      </c>
      <c r="J1434" s="1" t="str">
        <f>_xlfn.IFNA(INDEX([1]历练产出!$Z:$Z,MATCH(B1434,[1]历练产出!$AB:$AB,0)),"")</f>
        <v/>
      </c>
      <c r="K1434" s="1" t="str">
        <f>_xlfn.IFNA(INDEX([1]洞天福地产出!$H:$H,MATCH(B1434,[1]洞天福地产出!$K:$K,0)),"")</f>
        <v/>
      </c>
      <c r="L1434" s="1" t="str">
        <f t="shared" si="114"/>
        <v/>
      </c>
      <c r="M1434" s="4">
        <f t="shared" si="115"/>
        <v>0</v>
      </c>
    </row>
    <row r="1435" spans="1:13">
      <c r="A1435" s="4"/>
      <c r="B1435" t="str">
        <f t="shared" si="111"/>
        <v>7:35000108</v>
      </c>
      <c r="C1435" s="1">
        <v>7</v>
      </c>
      <c r="D1435" s="4">
        <v>35000108</v>
      </c>
      <c r="E1435" s="3" t="s">
        <v>1908</v>
      </c>
      <c r="F1435" s="3"/>
      <c r="G1435" s="1">
        <v>1053</v>
      </c>
      <c r="H1435" s="1">
        <f t="shared" si="112"/>
        <v>1053</v>
      </c>
      <c r="I1435" s="1" t="str">
        <f t="shared" si="113"/>
        <v/>
      </c>
      <c r="J1435" s="1" t="str">
        <f>_xlfn.IFNA(INDEX([1]历练产出!$Z:$Z,MATCH(B1435,[1]历练产出!$AB:$AB,0)),"")</f>
        <v/>
      </c>
      <c r="K1435" s="1" t="str">
        <f>_xlfn.IFNA(INDEX([1]洞天福地产出!$H:$H,MATCH(B1435,[1]洞天福地产出!$K:$K,0)),"")</f>
        <v/>
      </c>
      <c r="L1435" s="1" t="str">
        <f t="shared" si="114"/>
        <v/>
      </c>
      <c r="M1435" s="4">
        <f t="shared" si="115"/>
        <v>0</v>
      </c>
    </row>
    <row r="1436" spans="1:13">
      <c r="A1436" s="4"/>
      <c r="B1436" t="str">
        <f t="shared" si="111"/>
        <v>7:35000109</v>
      </c>
      <c r="C1436" s="1">
        <v>7</v>
      </c>
      <c r="D1436" s="4">
        <v>35000109</v>
      </c>
      <c r="E1436" s="3" t="s">
        <v>1908</v>
      </c>
      <c r="F1436" s="3"/>
      <c r="G1436" s="1">
        <v>1806.3</v>
      </c>
      <c r="H1436" s="1">
        <f t="shared" si="112"/>
        <v>1806.3</v>
      </c>
      <c r="I1436" s="1" t="str">
        <f t="shared" si="113"/>
        <v/>
      </c>
      <c r="J1436" s="1" t="str">
        <f>_xlfn.IFNA(INDEX([1]历练产出!$Z:$Z,MATCH(B1436,[1]历练产出!$AB:$AB,0)),"")</f>
        <v/>
      </c>
      <c r="K1436" s="1" t="str">
        <f>_xlfn.IFNA(INDEX([1]洞天福地产出!$H:$H,MATCH(B1436,[1]洞天福地产出!$K:$K,0)),"")</f>
        <v/>
      </c>
      <c r="L1436" s="1" t="str">
        <f t="shared" si="114"/>
        <v/>
      </c>
      <c r="M1436" s="4">
        <f t="shared" si="115"/>
        <v>0</v>
      </c>
    </row>
    <row r="1437" spans="1:13">
      <c r="A1437" s="4"/>
      <c r="B1437" t="str">
        <f t="shared" si="111"/>
        <v>7:35000110</v>
      </c>
      <c r="C1437" s="1">
        <v>7</v>
      </c>
      <c r="D1437" s="4">
        <v>35000110</v>
      </c>
      <c r="E1437" s="3" t="s">
        <v>1908</v>
      </c>
      <c r="F1437" s="3"/>
      <c r="G1437" s="1">
        <v>1923.75</v>
      </c>
      <c r="H1437" s="1">
        <f t="shared" si="112"/>
        <v>1923.75</v>
      </c>
      <c r="I1437" s="1" t="str">
        <f t="shared" si="113"/>
        <v/>
      </c>
      <c r="J1437" s="1" t="str">
        <f>_xlfn.IFNA(INDEX([1]历练产出!$Z:$Z,MATCH(B1437,[1]历练产出!$AB:$AB,0)),"")</f>
        <v/>
      </c>
      <c r="K1437" s="1" t="str">
        <f>_xlfn.IFNA(INDEX([1]洞天福地产出!$H:$H,MATCH(B1437,[1]洞天福地产出!$K:$K,0)),"")</f>
        <v/>
      </c>
      <c r="L1437" s="1" t="str">
        <f t="shared" si="114"/>
        <v/>
      </c>
      <c r="M1437" s="4">
        <f t="shared" si="115"/>
        <v>0</v>
      </c>
    </row>
    <row r="1438" spans="1:13">
      <c r="A1438" s="4"/>
      <c r="B1438" t="str">
        <f t="shared" si="111"/>
        <v>7:35000111</v>
      </c>
      <c r="C1438" s="1">
        <v>7</v>
      </c>
      <c r="D1438" s="4">
        <v>35000111</v>
      </c>
      <c r="E1438" s="3" t="s">
        <v>1908</v>
      </c>
      <c r="F1438" s="3"/>
      <c r="G1438" s="1">
        <v>2053.35</v>
      </c>
      <c r="H1438" s="1">
        <f t="shared" si="112"/>
        <v>2053.35</v>
      </c>
      <c r="I1438" s="1" t="str">
        <f t="shared" si="113"/>
        <v/>
      </c>
      <c r="J1438" s="1" t="str">
        <f>_xlfn.IFNA(INDEX([1]历练产出!$Z:$Z,MATCH(B1438,[1]历练产出!$AB:$AB,0)),"")</f>
        <v/>
      </c>
      <c r="K1438" s="1" t="str">
        <f>_xlfn.IFNA(INDEX([1]洞天福地产出!$H:$H,MATCH(B1438,[1]洞天福地产出!$K:$K,0)),"")</f>
        <v/>
      </c>
      <c r="L1438" s="1" t="str">
        <f t="shared" si="114"/>
        <v/>
      </c>
      <c r="M1438" s="4">
        <f t="shared" si="115"/>
        <v>0</v>
      </c>
    </row>
    <row r="1439" spans="1:13">
      <c r="A1439" s="4"/>
      <c r="B1439" t="str">
        <f t="shared" si="111"/>
        <v>7:35000112</v>
      </c>
      <c r="C1439" s="1">
        <v>7</v>
      </c>
      <c r="D1439" s="4">
        <v>35000112</v>
      </c>
      <c r="E1439" s="3" t="s">
        <v>1908</v>
      </c>
      <c r="F1439" s="3"/>
      <c r="G1439" s="1">
        <v>2195.1</v>
      </c>
      <c r="H1439" s="1">
        <f t="shared" si="112"/>
        <v>2195.1</v>
      </c>
      <c r="I1439" s="1" t="str">
        <f t="shared" si="113"/>
        <v/>
      </c>
      <c r="J1439" s="1" t="str">
        <f>_xlfn.IFNA(INDEX([1]历练产出!$Z:$Z,MATCH(B1439,[1]历练产出!$AB:$AB,0)),"")</f>
        <v/>
      </c>
      <c r="K1439" s="1" t="str">
        <f>_xlfn.IFNA(INDEX([1]洞天福地产出!$H:$H,MATCH(B1439,[1]洞天福地产出!$K:$K,0)),"")</f>
        <v/>
      </c>
      <c r="L1439" s="1" t="str">
        <f t="shared" si="114"/>
        <v/>
      </c>
      <c r="M1439" s="4">
        <f t="shared" si="115"/>
        <v>0</v>
      </c>
    </row>
    <row r="1440" spans="1:13">
      <c r="A1440" s="4"/>
      <c r="B1440" t="str">
        <f t="shared" si="111"/>
        <v>7:35000113</v>
      </c>
      <c r="C1440" s="1">
        <v>7</v>
      </c>
      <c r="D1440" s="4">
        <v>35000113</v>
      </c>
      <c r="E1440" s="3" t="s">
        <v>1908</v>
      </c>
      <c r="F1440" s="3"/>
      <c r="G1440" s="1">
        <v>2349</v>
      </c>
      <c r="H1440" s="1">
        <f t="shared" si="112"/>
        <v>2349</v>
      </c>
      <c r="I1440" s="1" t="str">
        <f t="shared" si="113"/>
        <v/>
      </c>
      <c r="J1440" s="1" t="str">
        <f>_xlfn.IFNA(INDEX([1]历练产出!$Z:$Z,MATCH(B1440,[1]历练产出!$AB:$AB,0)),"")</f>
        <v/>
      </c>
      <c r="K1440" s="1" t="str">
        <f>_xlfn.IFNA(INDEX([1]洞天福地产出!$H:$H,MATCH(B1440,[1]洞天福地产出!$K:$K,0)),"")</f>
        <v/>
      </c>
      <c r="L1440" s="1" t="str">
        <f t="shared" si="114"/>
        <v/>
      </c>
      <c r="M1440" s="4">
        <f t="shared" si="115"/>
        <v>0</v>
      </c>
    </row>
    <row r="1441" spans="1:13">
      <c r="A1441" s="4"/>
      <c r="B1441" t="str">
        <f t="shared" si="111"/>
        <v>7:35000114</v>
      </c>
      <c r="C1441" s="1">
        <v>7</v>
      </c>
      <c r="D1441" s="4">
        <v>35000114</v>
      </c>
      <c r="E1441" s="3" t="s">
        <v>1908</v>
      </c>
      <c r="F1441" s="3"/>
      <c r="G1441" s="1">
        <v>2515.05</v>
      </c>
      <c r="H1441" s="1">
        <f t="shared" si="112"/>
        <v>2515.05</v>
      </c>
      <c r="I1441" s="1" t="str">
        <f t="shared" si="113"/>
        <v/>
      </c>
      <c r="J1441" s="1" t="str">
        <f>_xlfn.IFNA(INDEX([1]历练产出!$Z:$Z,MATCH(B1441,[1]历练产出!$AB:$AB,0)),"")</f>
        <v/>
      </c>
      <c r="K1441" s="1" t="str">
        <f>_xlfn.IFNA(INDEX([1]洞天福地产出!$H:$H,MATCH(B1441,[1]洞天福地产出!$K:$K,0)),"")</f>
        <v/>
      </c>
      <c r="L1441" s="1" t="str">
        <f t="shared" si="114"/>
        <v/>
      </c>
      <c r="M1441" s="4">
        <f t="shared" si="115"/>
        <v>0</v>
      </c>
    </row>
    <row r="1442" spans="1:13">
      <c r="A1442" s="4"/>
      <c r="B1442" t="str">
        <f t="shared" si="111"/>
        <v>7:35000115</v>
      </c>
      <c r="C1442" s="1">
        <v>7</v>
      </c>
      <c r="D1442" s="4">
        <v>35000115</v>
      </c>
      <c r="E1442" s="3" t="s">
        <v>1908</v>
      </c>
      <c r="F1442" s="3"/>
      <c r="G1442" s="1">
        <v>2693.25</v>
      </c>
      <c r="H1442" s="1">
        <f t="shared" si="112"/>
        <v>2693.25</v>
      </c>
      <c r="I1442" s="1" t="str">
        <f t="shared" si="113"/>
        <v/>
      </c>
      <c r="J1442" s="1" t="str">
        <f>_xlfn.IFNA(INDEX([1]历练产出!$Z:$Z,MATCH(B1442,[1]历练产出!$AB:$AB,0)),"")</f>
        <v/>
      </c>
      <c r="K1442" s="1" t="str">
        <f>_xlfn.IFNA(INDEX([1]洞天福地产出!$H:$H,MATCH(B1442,[1]洞天福地产出!$K:$K,0)),"")</f>
        <v/>
      </c>
      <c r="L1442" s="1" t="str">
        <f t="shared" si="114"/>
        <v/>
      </c>
      <c r="M1442" s="4">
        <f t="shared" si="115"/>
        <v>0</v>
      </c>
    </row>
    <row r="1443" spans="1:13">
      <c r="A1443" s="4"/>
      <c r="B1443" t="str">
        <f t="shared" si="111"/>
        <v>7:35000116</v>
      </c>
      <c r="C1443" s="1">
        <v>7</v>
      </c>
      <c r="D1443" s="4">
        <v>35000116</v>
      </c>
      <c r="E1443" s="3" t="s">
        <v>1908</v>
      </c>
      <c r="F1443" s="3"/>
      <c r="G1443" s="1">
        <v>2883.6</v>
      </c>
      <c r="H1443" s="1">
        <f t="shared" si="112"/>
        <v>2883.6</v>
      </c>
      <c r="I1443" s="1" t="str">
        <f t="shared" si="113"/>
        <v/>
      </c>
      <c r="J1443" s="1" t="str">
        <f>_xlfn.IFNA(INDEX([1]历练产出!$Z:$Z,MATCH(B1443,[1]历练产出!$AB:$AB,0)),"")</f>
        <v/>
      </c>
      <c r="K1443" s="1" t="str">
        <f>_xlfn.IFNA(INDEX([1]洞天福地产出!$H:$H,MATCH(B1443,[1]洞天福地产出!$K:$K,0)),"")</f>
        <v/>
      </c>
      <c r="L1443" s="1" t="str">
        <f t="shared" si="114"/>
        <v/>
      </c>
      <c r="M1443" s="4">
        <f t="shared" si="115"/>
        <v>0</v>
      </c>
    </row>
    <row r="1444" spans="1:13">
      <c r="A1444" s="4"/>
      <c r="B1444" t="str">
        <f t="shared" ref="B1444:B1507" si="116">C1444&amp;":"&amp;D1444</f>
        <v>7:35000117</v>
      </c>
      <c r="C1444" s="1">
        <v>7</v>
      </c>
      <c r="D1444" s="4">
        <v>35000117</v>
      </c>
      <c r="E1444" s="3" t="s">
        <v>1908</v>
      </c>
      <c r="F1444" s="3"/>
      <c r="G1444" s="1">
        <v>3086.1</v>
      </c>
      <c r="H1444" s="1">
        <f t="shared" si="112"/>
        <v>3086.1</v>
      </c>
      <c r="I1444" s="1" t="str">
        <f t="shared" si="113"/>
        <v/>
      </c>
      <c r="J1444" s="1" t="str">
        <f>_xlfn.IFNA(INDEX([1]历练产出!$Z:$Z,MATCH(B1444,[1]历练产出!$AB:$AB,0)),"")</f>
        <v/>
      </c>
      <c r="K1444" s="1" t="str">
        <f>_xlfn.IFNA(INDEX([1]洞天福地产出!$H:$H,MATCH(B1444,[1]洞天福地产出!$K:$K,0)),"")</f>
        <v/>
      </c>
      <c r="L1444" s="1" t="str">
        <f t="shared" si="114"/>
        <v/>
      </c>
      <c r="M1444" s="4">
        <f t="shared" si="115"/>
        <v>0</v>
      </c>
    </row>
    <row r="1445" spans="1:13">
      <c r="A1445" s="4"/>
      <c r="B1445" t="str">
        <f t="shared" si="116"/>
        <v>7:35000118</v>
      </c>
      <c r="C1445" s="1">
        <v>7</v>
      </c>
      <c r="D1445" s="4">
        <v>35000118</v>
      </c>
      <c r="E1445" s="3" t="s">
        <v>1908</v>
      </c>
      <c r="F1445" s="3"/>
      <c r="G1445" s="1">
        <v>3300.75</v>
      </c>
      <c r="H1445" s="1">
        <f t="shared" si="112"/>
        <v>3300.75</v>
      </c>
      <c r="I1445" s="1" t="str">
        <f t="shared" si="113"/>
        <v/>
      </c>
      <c r="J1445" s="1" t="str">
        <f>_xlfn.IFNA(INDEX([1]历练产出!$Z:$Z,MATCH(B1445,[1]历练产出!$AB:$AB,0)),"")</f>
        <v/>
      </c>
      <c r="K1445" s="1" t="str">
        <f>_xlfn.IFNA(INDEX([1]洞天福地产出!$H:$H,MATCH(B1445,[1]洞天福地产出!$K:$K,0)),"")</f>
        <v/>
      </c>
      <c r="L1445" s="1" t="str">
        <f t="shared" si="114"/>
        <v/>
      </c>
      <c r="M1445" s="4">
        <f t="shared" si="115"/>
        <v>0</v>
      </c>
    </row>
    <row r="1446" spans="1:13">
      <c r="A1446" s="4"/>
      <c r="B1446" t="str">
        <f t="shared" si="116"/>
        <v>7:35000119</v>
      </c>
      <c r="C1446" s="1">
        <v>7</v>
      </c>
      <c r="D1446" s="4">
        <v>35000119</v>
      </c>
      <c r="E1446" s="3" t="s">
        <v>1908</v>
      </c>
      <c r="F1446" s="3"/>
      <c r="G1446" s="1">
        <v>4823.55</v>
      </c>
      <c r="H1446" s="1">
        <f t="shared" si="112"/>
        <v>4823.55</v>
      </c>
      <c r="I1446" s="1" t="str">
        <f t="shared" si="113"/>
        <v/>
      </c>
      <c r="J1446" s="1" t="str">
        <f>_xlfn.IFNA(INDEX([1]历练产出!$Z:$Z,MATCH(B1446,[1]历练产出!$AB:$AB,0)),"")</f>
        <v/>
      </c>
      <c r="K1446" s="1" t="str">
        <f>_xlfn.IFNA(INDEX([1]洞天福地产出!$H:$H,MATCH(B1446,[1]洞天福地产出!$K:$K,0)),"")</f>
        <v/>
      </c>
      <c r="L1446" s="1" t="str">
        <f t="shared" si="114"/>
        <v/>
      </c>
      <c r="M1446" s="4">
        <f t="shared" si="115"/>
        <v>0</v>
      </c>
    </row>
    <row r="1447" spans="1:13">
      <c r="A1447" s="4"/>
      <c r="B1447" t="str">
        <f t="shared" si="116"/>
        <v>7:35000120</v>
      </c>
      <c r="C1447" s="1">
        <v>7</v>
      </c>
      <c r="D1447" s="4">
        <v>35000120</v>
      </c>
      <c r="E1447" s="3" t="s">
        <v>1908</v>
      </c>
      <c r="F1447" s="3"/>
      <c r="G1447" s="1">
        <v>5062.5</v>
      </c>
      <c r="H1447" s="1">
        <f t="shared" si="112"/>
        <v>5062.5</v>
      </c>
      <c r="I1447" s="1" t="str">
        <f t="shared" si="113"/>
        <v/>
      </c>
      <c r="J1447" s="1" t="str">
        <f>_xlfn.IFNA(INDEX([1]历练产出!$Z:$Z,MATCH(B1447,[1]历练产出!$AB:$AB,0)),"")</f>
        <v/>
      </c>
      <c r="K1447" s="1" t="str">
        <f>_xlfn.IFNA(INDEX([1]洞天福地产出!$H:$H,MATCH(B1447,[1]洞天福地产出!$K:$K,0)),"")</f>
        <v/>
      </c>
      <c r="L1447" s="1" t="str">
        <f t="shared" si="114"/>
        <v/>
      </c>
      <c r="M1447" s="4">
        <f t="shared" si="115"/>
        <v>0</v>
      </c>
    </row>
    <row r="1448" spans="1:13">
      <c r="A1448" s="4"/>
      <c r="B1448" t="str">
        <f t="shared" si="116"/>
        <v>7:35000121</v>
      </c>
      <c r="C1448" s="1">
        <v>7</v>
      </c>
      <c r="D1448" s="4">
        <v>35000121</v>
      </c>
      <c r="E1448" s="3" t="s">
        <v>1908</v>
      </c>
      <c r="F1448" s="3"/>
      <c r="G1448" s="1">
        <v>5313.6</v>
      </c>
      <c r="H1448" s="1">
        <f t="shared" si="112"/>
        <v>5313.6</v>
      </c>
      <c r="I1448" s="1" t="str">
        <f t="shared" si="113"/>
        <v/>
      </c>
      <c r="J1448" s="1" t="str">
        <f>_xlfn.IFNA(INDEX([1]历练产出!$Z:$Z,MATCH(B1448,[1]历练产出!$AB:$AB,0)),"")</f>
        <v/>
      </c>
      <c r="K1448" s="1" t="str">
        <f>_xlfn.IFNA(INDEX([1]洞天福地产出!$H:$H,MATCH(B1448,[1]洞天福地产出!$K:$K,0)),"")</f>
        <v/>
      </c>
      <c r="L1448" s="1" t="str">
        <f t="shared" si="114"/>
        <v/>
      </c>
      <c r="M1448" s="4">
        <f t="shared" si="115"/>
        <v>0</v>
      </c>
    </row>
    <row r="1449" spans="1:13">
      <c r="A1449" s="4"/>
      <c r="B1449" t="str">
        <f t="shared" si="116"/>
        <v>7:35000122</v>
      </c>
      <c r="C1449" s="1">
        <v>7</v>
      </c>
      <c r="D1449" s="4">
        <v>35000122</v>
      </c>
      <c r="E1449" s="3" t="s">
        <v>1908</v>
      </c>
      <c r="F1449" s="3"/>
      <c r="G1449" s="1">
        <v>5576.85</v>
      </c>
      <c r="H1449" s="1">
        <f t="shared" si="112"/>
        <v>5576.85</v>
      </c>
      <c r="I1449" s="1" t="str">
        <f t="shared" si="113"/>
        <v/>
      </c>
      <c r="J1449" s="1" t="str">
        <f>_xlfn.IFNA(INDEX([1]历练产出!$Z:$Z,MATCH(B1449,[1]历练产出!$AB:$AB,0)),"")</f>
        <v/>
      </c>
      <c r="K1449" s="1" t="str">
        <f>_xlfn.IFNA(INDEX([1]洞天福地产出!$H:$H,MATCH(B1449,[1]洞天福地产出!$K:$K,0)),"")</f>
        <v/>
      </c>
      <c r="L1449" s="1" t="str">
        <f t="shared" si="114"/>
        <v/>
      </c>
      <c r="M1449" s="4">
        <f t="shared" si="115"/>
        <v>0</v>
      </c>
    </row>
    <row r="1450" spans="1:13">
      <c r="A1450" s="4"/>
      <c r="B1450" t="str">
        <f t="shared" si="116"/>
        <v>7:35000123</v>
      </c>
      <c r="C1450" s="1">
        <v>7</v>
      </c>
      <c r="D1450" s="4">
        <v>35000123</v>
      </c>
      <c r="E1450" s="3" t="s">
        <v>1908</v>
      </c>
      <c r="F1450" s="3"/>
      <c r="G1450" s="1">
        <v>5852.25</v>
      </c>
      <c r="H1450" s="1">
        <f t="shared" si="112"/>
        <v>5852.25</v>
      </c>
      <c r="I1450" s="1" t="str">
        <f t="shared" si="113"/>
        <v/>
      </c>
      <c r="J1450" s="1" t="str">
        <f>_xlfn.IFNA(INDEX([1]历练产出!$Z:$Z,MATCH(B1450,[1]历练产出!$AB:$AB,0)),"")</f>
        <v/>
      </c>
      <c r="K1450" s="1" t="str">
        <f>_xlfn.IFNA(INDEX([1]洞天福地产出!$H:$H,MATCH(B1450,[1]洞天福地产出!$K:$K,0)),"")</f>
        <v/>
      </c>
      <c r="L1450" s="1" t="str">
        <f t="shared" si="114"/>
        <v/>
      </c>
      <c r="M1450" s="4">
        <f t="shared" si="115"/>
        <v>0</v>
      </c>
    </row>
    <row r="1451" spans="1:13">
      <c r="A1451" s="4"/>
      <c r="B1451" t="str">
        <f t="shared" si="116"/>
        <v>7:35000124</v>
      </c>
      <c r="C1451" s="1">
        <v>7</v>
      </c>
      <c r="D1451" s="4">
        <v>35000124</v>
      </c>
      <c r="E1451" s="3" t="s">
        <v>1908</v>
      </c>
      <c r="F1451" s="3"/>
      <c r="G1451" s="1">
        <v>6139.8</v>
      </c>
      <c r="H1451" s="1">
        <f t="shared" si="112"/>
        <v>6139.8</v>
      </c>
      <c r="I1451" s="1" t="str">
        <f t="shared" si="113"/>
        <v/>
      </c>
      <c r="J1451" s="1" t="str">
        <f>_xlfn.IFNA(INDEX([1]历练产出!$Z:$Z,MATCH(B1451,[1]历练产出!$AB:$AB,0)),"")</f>
        <v/>
      </c>
      <c r="K1451" s="1" t="str">
        <f>_xlfn.IFNA(INDEX([1]洞天福地产出!$H:$H,MATCH(B1451,[1]洞天福地产出!$K:$K,0)),"")</f>
        <v/>
      </c>
      <c r="L1451" s="1" t="str">
        <f t="shared" si="114"/>
        <v/>
      </c>
      <c r="M1451" s="4">
        <f t="shared" si="115"/>
        <v>0</v>
      </c>
    </row>
    <row r="1452" spans="1:13">
      <c r="A1452" s="4"/>
      <c r="B1452" t="str">
        <f t="shared" si="116"/>
        <v>7:35000125</v>
      </c>
      <c r="C1452" s="1">
        <v>7</v>
      </c>
      <c r="D1452" s="4">
        <v>35000125</v>
      </c>
      <c r="E1452" s="3" t="s">
        <v>1908</v>
      </c>
      <c r="F1452" s="3"/>
      <c r="G1452" s="1">
        <v>6439.5</v>
      </c>
      <c r="H1452" s="1">
        <f t="shared" si="112"/>
        <v>6439.5</v>
      </c>
      <c r="I1452" s="1" t="str">
        <f t="shared" si="113"/>
        <v/>
      </c>
      <c r="J1452" s="1" t="str">
        <f>_xlfn.IFNA(INDEX([1]历练产出!$Z:$Z,MATCH(B1452,[1]历练产出!$AB:$AB,0)),"")</f>
        <v/>
      </c>
      <c r="K1452" s="1" t="str">
        <f>_xlfn.IFNA(INDEX([1]洞天福地产出!$H:$H,MATCH(B1452,[1]洞天福地产出!$K:$K,0)),"")</f>
        <v/>
      </c>
      <c r="L1452" s="1" t="str">
        <f t="shared" si="114"/>
        <v/>
      </c>
      <c r="M1452" s="4">
        <f t="shared" si="115"/>
        <v>0</v>
      </c>
    </row>
    <row r="1453" spans="1:13">
      <c r="A1453" s="4"/>
      <c r="B1453" t="str">
        <f t="shared" si="116"/>
        <v>7:35000126</v>
      </c>
      <c r="C1453" s="1">
        <v>7</v>
      </c>
      <c r="D1453" s="4">
        <v>35000126</v>
      </c>
      <c r="E1453" s="3" t="s">
        <v>1908</v>
      </c>
      <c r="F1453" s="3"/>
      <c r="G1453" s="1">
        <v>6751.35</v>
      </c>
      <c r="H1453" s="1">
        <f t="shared" si="112"/>
        <v>6751.35</v>
      </c>
      <c r="I1453" s="1" t="str">
        <f t="shared" si="113"/>
        <v/>
      </c>
      <c r="J1453" s="1" t="str">
        <f>_xlfn.IFNA(INDEX([1]历练产出!$Z:$Z,MATCH(B1453,[1]历练产出!$AB:$AB,0)),"")</f>
        <v/>
      </c>
      <c r="K1453" s="1" t="str">
        <f>_xlfn.IFNA(INDEX([1]洞天福地产出!$H:$H,MATCH(B1453,[1]洞天福地产出!$K:$K,0)),"")</f>
        <v/>
      </c>
      <c r="L1453" s="1" t="str">
        <f t="shared" si="114"/>
        <v/>
      </c>
      <c r="M1453" s="4">
        <f t="shared" si="115"/>
        <v>0</v>
      </c>
    </row>
    <row r="1454" spans="1:13">
      <c r="A1454" s="4"/>
      <c r="B1454" t="str">
        <f t="shared" si="116"/>
        <v>7:35000127</v>
      </c>
      <c r="C1454" s="1">
        <v>7</v>
      </c>
      <c r="D1454" s="4">
        <v>35000127</v>
      </c>
      <c r="E1454" s="3" t="s">
        <v>1908</v>
      </c>
      <c r="F1454" s="3"/>
      <c r="G1454" s="1">
        <v>7075.35</v>
      </c>
      <c r="H1454" s="1">
        <f t="shared" si="112"/>
        <v>7075.35</v>
      </c>
      <c r="I1454" s="1" t="str">
        <f t="shared" si="113"/>
        <v/>
      </c>
      <c r="J1454" s="1" t="str">
        <f>_xlfn.IFNA(INDEX([1]历练产出!$Z:$Z,MATCH(B1454,[1]历练产出!$AB:$AB,0)),"")</f>
        <v/>
      </c>
      <c r="K1454" s="1" t="str">
        <f>_xlfn.IFNA(INDEX([1]洞天福地产出!$H:$H,MATCH(B1454,[1]洞天福地产出!$K:$K,0)),"")</f>
        <v/>
      </c>
      <c r="L1454" s="1" t="str">
        <f t="shared" si="114"/>
        <v/>
      </c>
      <c r="M1454" s="4">
        <f t="shared" si="115"/>
        <v>0</v>
      </c>
    </row>
    <row r="1455" spans="1:13">
      <c r="A1455" s="4"/>
      <c r="B1455" t="str">
        <f t="shared" si="116"/>
        <v>7:35000128</v>
      </c>
      <c r="C1455" s="1">
        <v>7</v>
      </c>
      <c r="D1455" s="4">
        <v>35000128</v>
      </c>
      <c r="E1455" s="3" t="s">
        <v>1908</v>
      </c>
      <c r="F1455" s="3"/>
      <c r="G1455" s="1">
        <v>7411.5</v>
      </c>
      <c r="H1455" s="1">
        <f t="shared" si="112"/>
        <v>7411.5</v>
      </c>
      <c r="I1455" s="1" t="str">
        <f t="shared" si="113"/>
        <v/>
      </c>
      <c r="J1455" s="1" t="str">
        <f>_xlfn.IFNA(INDEX([1]历练产出!$Z:$Z,MATCH(B1455,[1]历练产出!$AB:$AB,0)),"")</f>
        <v/>
      </c>
      <c r="K1455" s="1" t="str">
        <f>_xlfn.IFNA(INDEX([1]洞天福地产出!$H:$H,MATCH(B1455,[1]洞天福地产出!$K:$K,0)),"")</f>
        <v/>
      </c>
      <c r="L1455" s="1" t="str">
        <f t="shared" si="114"/>
        <v/>
      </c>
      <c r="M1455" s="4">
        <f t="shared" si="115"/>
        <v>0</v>
      </c>
    </row>
    <row r="1456" spans="1:13">
      <c r="A1456" s="4"/>
      <c r="B1456" t="str">
        <f t="shared" si="116"/>
        <v>7:35000129</v>
      </c>
      <c r="C1456" s="1">
        <v>7</v>
      </c>
      <c r="D1456" s="4">
        <v>35000129</v>
      </c>
      <c r="E1456" s="3" t="s">
        <v>1908</v>
      </c>
      <c r="F1456" s="3"/>
      <c r="G1456" s="1">
        <v>9703.8</v>
      </c>
      <c r="H1456" s="1">
        <f t="shared" si="112"/>
        <v>9703.8</v>
      </c>
      <c r="I1456" s="1" t="str">
        <f t="shared" si="113"/>
        <v/>
      </c>
      <c r="J1456" s="1" t="str">
        <f>_xlfn.IFNA(INDEX([1]历练产出!$Z:$Z,MATCH(B1456,[1]历练产出!$AB:$AB,0)),"")</f>
        <v/>
      </c>
      <c r="K1456" s="1" t="str">
        <f>_xlfn.IFNA(INDEX([1]洞天福地产出!$H:$H,MATCH(B1456,[1]洞天福地产出!$K:$K,0)),"")</f>
        <v/>
      </c>
      <c r="L1456" s="1" t="str">
        <f t="shared" si="114"/>
        <v/>
      </c>
      <c r="M1456" s="4">
        <f t="shared" si="115"/>
        <v>0</v>
      </c>
    </row>
    <row r="1457" spans="1:13">
      <c r="A1457" s="4"/>
      <c r="B1457" t="str">
        <f t="shared" si="116"/>
        <v>7:35000130</v>
      </c>
      <c r="C1457" s="1">
        <v>7</v>
      </c>
      <c r="D1457" s="4">
        <v>35000130</v>
      </c>
      <c r="E1457" s="3" t="s">
        <v>1908</v>
      </c>
      <c r="F1457" s="3"/>
      <c r="G1457" s="1">
        <v>10052.1</v>
      </c>
      <c r="H1457" s="1">
        <f t="shared" si="112"/>
        <v>10052.1</v>
      </c>
      <c r="I1457" s="1" t="str">
        <f t="shared" si="113"/>
        <v/>
      </c>
      <c r="J1457" s="1" t="str">
        <f>_xlfn.IFNA(INDEX([1]历练产出!$Z:$Z,MATCH(B1457,[1]历练产出!$AB:$AB,0)),"")</f>
        <v/>
      </c>
      <c r="K1457" s="1" t="str">
        <f>_xlfn.IFNA(INDEX([1]洞天福地产出!$H:$H,MATCH(B1457,[1]洞天福地产出!$K:$K,0)),"")</f>
        <v/>
      </c>
      <c r="L1457" s="1" t="str">
        <f t="shared" si="114"/>
        <v/>
      </c>
      <c r="M1457" s="4">
        <f t="shared" si="115"/>
        <v>0</v>
      </c>
    </row>
    <row r="1458" ht="45" spans="1:13">
      <c r="A1458" s="4"/>
      <c r="B1458" t="str">
        <f t="shared" si="116"/>
        <v>7:36000101</v>
      </c>
      <c r="C1458" s="1">
        <v>7</v>
      </c>
      <c r="D1458" s="4">
        <v>36000101</v>
      </c>
      <c r="E1458" s="3" t="s">
        <v>1909</v>
      </c>
      <c r="F1458" s="3"/>
      <c r="G1458" s="1">
        <v>656.1</v>
      </c>
      <c r="H1458" s="1">
        <f t="shared" si="112"/>
        <v>656.1</v>
      </c>
      <c r="I1458" s="1" t="str">
        <f t="shared" si="113"/>
        <v/>
      </c>
      <c r="J1458" s="1" t="str">
        <f>_xlfn.IFNA(INDEX([1]历练产出!$Z:$Z,MATCH(B1458,[1]历练产出!$AB:$AB,0)),"")</f>
        <v/>
      </c>
      <c r="K1458" s="1" t="str">
        <f>_xlfn.IFNA(INDEX([1]洞天福地产出!$H:$H,MATCH(B1458,[1]洞天福地产出!$K:$K,0)),"")</f>
        <v/>
      </c>
      <c r="L1458" s="1" t="str">
        <f t="shared" si="114"/>
        <v/>
      </c>
      <c r="M1458" s="4">
        <f t="shared" si="115"/>
        <v>0</v>
      </c>
    </row>
    <row r="1459" ht="45" spans="1:13">
      <c r="A1459" s="4"/>
      <c r="B1459" t="str">
        <f t="shared" si="116"/>
        <v>7:36000102</v>
      </c>
      <c r="C1459" s="1">
        <v>7</v>
      </c>
      <c r="D1459" s="4">
        <v>36000102</v>
      </c>
      <c r="E1459" s="3" t="s">
        <v>1909</v>
      </c>
      <c r="F1459" s="3"/>
      <c r="G1459" s="1">
        <v>676.35</v>
      </c>
      <c r="H1459" s="1">
        <f t="shared" si="112"/>
        <v>676.35</v>
      </c>
      <c r="I1459" s="1" t="str">
        <f t="shared" si="113"/>
        <v/>
      </c>
      <c r="J1459" s="1" t="str">
        <f>_xlfn.IFNA(INDEX([1]历练产出!$Z:$Z,MATCH(B1459,[1]历练产出!$AB:$AB,0)),"")</f>
        <v/>
      </c>
      <c r="K1459" s="1" t="str">
        <f>_xlfn.IFNA(INDEX([1]洞天福地产出!$H:$H,MATCH(B1459,[1]洞天福地产出!$K:$K,0)),"")</f>
        <v/>
      </c>
      <c r="L1459" s="1" t="str">
        <f t="shared" si="114"/>
        <v/>
      </c>
      <c r="M1459" s="4">
        <f t="shared" si="115"/>
        <v>0</v>
      </c>
    </row>
    <row r="1460" ht="45" spans="1:13">
      <c r="A1460" s="4"/>
      <c r="B1460" t="str">
        <f t="shared" si="116"/>
        <v>7:36000103</v>
      </c>
      <c r="C1460" s="1">
        <v>7</v>
      </c>
      <c r="D1460" s="4">
        <v>36000103</v>
      </c>
      <c r="E1460" s="3" t="s">
        <v>1909</v>
      </c>
      <c r="F1460" s="3"/>
      <c r="G1460" s="1">
        <v>708.75</v>
      </c>
      <c r="H1460" s="1">
        <f t="shared" si="112"/>
        <v>708.75</v>
      </c>
      <c r="I1460" s="1" t="str">
        <f t="shared" si="113"/>
        <v/>
      </c>
      <c r="J1460" s="1" t="str">
        <f>_xlfn.IFNA(INDEX([1]历练产出!$Z:$Z,MATCH(B1460,[1]历练产出!$AB:$AB,0)),"")</f>
        <v/>
      </c>
      <c r="K1460" s="1" t="str">
        <f>_xlfn.IFNA(INDEX([1]洞天福地产出!$H:$H,MATCH(B1460,[1]洞天福地产出!$K:$K,0)),"")</f>
        <v/>
      </c>
      <c r="L1460" s="1" t="str">
        <f t="shared" si="114"/>
        <v/>
      </c>
      <c r="M1460" s="4">
        <f t="shared" si="115"/>
        <v>0</v>
      </c>
    </row>
    <row r="1461" ht="45" spans="1:13">
      <c r="A1461" s="4"/>
      <c r="B1461" t="str">
        <f t="shared" si="116"/>
        <v>7:36000104</v>
      </c>
      <c r="C1461" s="1">
        <v>7</v>
      </c>
      <c r="D1461" s="4">
        <v>36000104</v>
      </c>
      <c r="E1461" s="3" t="s">
        <v>1909</v>
      </c>
      <c r="F1461" s="3"/>
      <c r="G1461" s="1">
        <v>753.3</v>
      </c>
      <c r="H1461" s="1">
        <f t="shared" si="112"/>
        <v>753.3</v>
      </c>
      <c r="I1461" s="1" t="str">
        <f t="shared" si="113"/>
        <v/>
      </c>
      <c r="J1461" s="1" t="str">
        <f>_xlfn.IFNA(INDEX([1]历练产出!$Z:$Z,MATCH(B1461,[1]历练产出!$AB:$AB,0)),"")</f>
        <v/>
      </c>
      <c r="K1461" s="1" t="str">
        <f>_xlfn.IFNA(INDEX([1]洞天福地产出!$H:$H,MATCH(B1461,[1]洞天福地产出!$K:$K,0)),"")</f>
        <v/>
      </c>
      <c r="L1461" s="1" t="str">
        <f t="shared" si="114"/>
        <v/>
      </c>
      <c r="M1461" s="4">
        <f t="shared" si="115"/>
        <v>0</v>
      </c>
    </row>
    <row r="1462" ht="45" spans="1:13">
      <c r="A1462" s="4"/>
      <c r="B1462" t="str">
        <f t="shared" si="116"/>
        <v>7:36000105</v>
      </c>
      <c r="C1462" s="1">
        <v>7</v>
      </c>
      <c r="D1462" s="4">
        <v>36000105</v>
      </c>
      <c r="E1462" s="3" t="s">
        <v>1909</v>
      </c>
      <c r="F1462" s="3"/>
      <c r="G1462" s="1">
        <v>810</v>
      </c>
      <c r="H1462" s="1">
        <f t="shared" si="112"/>
        <v>810</v>
      </c>
      <c r="I1462" s="1" t="str">
        <f t="shared" si="113"/>
        <v/>
      </c>
      <c r="J1462" s="1" t="str">
        <f>_xlfn.IFNA(INDEX([1]历练产出!$Z:$Z,MATCH(B1462,[1]历练产出!$AB:$AB,0)),"")</f>
        <v/>
      </c>
      <c r="K1462" s="1" t="str">
        <f>_xlfn.IFNA(INDEX([1]洞天福地产出!$H:$H,MATCH(B1462,[1]洞天福地产出!$K:$K,0)),"")</f>
        <v/>
      </c>
      <c r="L1462" s="1" t="str">
        <f t="shared" si="114"/>
        <v/>
      </c>
      <c r="M1462" s="4">
        <f t="shared" si="115"/>
        <v>0</v>
      </c>
    </row>
    <row r="1463" ht="45" spans="1:13">
      <c r="A1463" s="4"/>
      <c r="B1463" t="str">
        <f t="shared" si="116"/>
        <v>7:36000106</v>
      </c>
      <c r="C1463" s="1">
        <v>7</v>
      </c>
      <c r="D1463" s="4">
        <v>36000106</v>
      </c>
      <c r="E1463" s="3" t="s">
        <v>1909</v>
      </c>
      <c r="F1463" s="3"/>
      <c r="G1463" s="1">
        <v>878.85</v>
      </c>
      <c r="H1463" s="1">
        <f t="shared" si="112"/>
        <v>878.85</v>
      </c>
      <c r="I1463" s="1" t="str">
        <f t="shared" si="113"/>
        <v/>
      </c>
      <c r="J1463" s="1" t="str">
        <f>_xlfn.IFNA(INDEX([1]历练产出!$Z:$Z,MATCH(B1463,[1]历练产出!$AB:$AB,0)),"")</f>
        <v/>
      </c>
      <c r="K1463" s="1" t="str">
        <f>_xlfn.IFNA(INDEX([1]洞天福地产出!$H:$H,MATCH(B1463,[1]洞天福地产出!$K:$K,0)),"")</f>
        <v/>
      </c>
      <c r="L1463" s="1" t="str">
        <f t="shared" si="114"/>
        <v/>
      </c>
      <c r="M1463" s="4">
        <f t="shared" si="115"/>
        <v>0</v>
      </c>
    </row>
    <row r="1464" ht="45" spans="1:13">
      <c r="A1464" s="4"/>
      <c r="B1464" t="str">
        <f t="shared" si="116"/>
        <v>7:36000107</v>
      </c>
      <c r="C1464" s="1">
        <v>7</v>
      </c>
      <c r="D1464" s="4">
        <v>36000107</v>
      </c>
      <c r="E1464" s="3" t="s">
        <v>1909</v>
      </c>
      <c r="F1464" s="3"/>
      <c r="G1464" s="1">
        <v>959.85</v>
      </c>
      <c r="H1464" s="1">
        <f t="shared" si="112"/>
        <v>959.85</v>
      </c>
      <c r="I1464" s="1" t="str">
        <f t="shared" si="113"/>
        <v/>
      </c>
      <c r="J1464" s="1" t="str">
        <f>_xlfn.IFNA(INDEX([1]历练产出!$Z:$Z,MATCH(B1464,[1]历练产出!$AB:$AB,0)),"")</f>
        <v/>
      </c>
      <c r="K1464" s="1" t="str">
        <f>_xlfn.IFNA(INDEX([1]洞天福地产出!$H:$H,MATCH(B1464,[1]洞天福地产出!$K:$K,0)),"")</f>
        <v/>
      </c>
      <c r="L1464" s="1" t="str">
        <f t="shared" si="114"/>
        <v/>
      </c>
      <c r="M1464" s="4">
        <f t="shared" si="115"/>
        <v>0</v>
      </c>
    </row>
    <row r="1465" ht="45" spans="1:13">
      <c r="A1465" s="4"/>
      <c r="B1465" t="str">
        <f t="shared" si="116"/>
        <v>7:36000108</v>
      </c>
      <c r="C1465" s="1">
        <v>7</v>
      </c>
      <c r="D1465" s="4">
        <v>36000108</v>
      </c>
      <c r="E1465" s="3" t="s">
        <v>1909</v>
      </c>
      <c r="F1465" s="3"/>
      <c r="G1465" s="1">
        <v>1053</v>
      </c>
      <c r="H1465" s="1">
        <f t="shared" si="112"/>
        <v>1053</v>
      </c>
      <c r="I1465" s="1" t="str">
        <f t="shared" si="113"/>
        <v/>
      </c>
      <c r="J1465" s="1" t="str">
        <f>_xlfn.IFNA(INDEX([1]历练产出!$Z:$Z,MATCH(B1465,[1]历练产出!$AB:$AB,0)),"")</f>
        <v/>
      </c>
      <c r="K1465" s="1" t="str">
        <f>_xlfn.IFNA(INDEX([1]洞天福地产出!$H:$H,MATCH(B1465,[1]洞天福地产出!$K:$K,0)),"")</f>
        <v/>
      </c>
      <c r="L1465" s="1" t="str">
        <f t="shared" si="114"/>
        <v/>
      </c>
      <c r="M1465" s="4">
        <f t="shared" si="115"/>
        <v>0</v>
      </c>
    </row>
    <row r="1466" ht="45" spans="1:13">
      <c r="A1466" s="4"/>
      <c r="B1466" t="str">
        <f t="shared" si="116"/>
        <v>7:36000109</v>
      </c>
      <c r="C1466" s="1">
        <v>7</v>
      </c>
      <c r="D1466" s="4">
        <v>36000109</v>
      </c>
      <c r="E1466" s="3" t="s">
        <v>1909</v>
      </c>
      <c r="F1466" s="3"/>
      <c r="G1466" s="1">
        <v>1806.3</v>
      </c>
      <c r="H1466" s="1">
        <f t="shared" si="112"/>
        <v>1806.3</v>
      </c>
      <c r="I1466" s="1" t="str">
        <f t="shared" si="113"/>
        <v/>
      </c>
      <c r="J1466" s="1" t="str">
        <f>_xlfn.IFNA(INDEX([1]历练产出!$Z:$Z,MATCH(B1466,[1]历练产出!$AB:$AB,0)),"")</f>
        <v/>
      </c>
      <c r="K1466" s="1" t="str">
        <f>_xlfn.IFNA(INDEX([1]洞天福地产出!$H:$H,MATCH(B1466,[1]洞天福地产出!$K:$K,0)),"")</f>
        <v/>
      </c>
      <c r="L1466" s="1" t="str">
        <f t="shared" si="114"/>
        <v/>
      </c>
      <c r="M1466" s="4">
        <f t="shared" si="115"/>
        <v>0</v>
      </c>
    </row>
    <row r="1467" ht="45" spans="1:13">
      <c r="A1467" s="4"/>
      <c r="B1467" t="str">
        <f t="shared" si="116"/>
        <v>7:36000110</v>
      </c>
      <c r="C1467" s="1">
        <v>7</v>
      </c>
      <c r="D1467" s="4">
        <v>36000110</v>
      </c>
      <c r="E1467" s="3" t="s">
        <v>1909</v>
      </c>
      <c r="F1467" s="3"/>
      <c r="G1467" s="1">
        <v>1923.75</v>
      </c>
      <c r="H1467" s="1">
        <f t="shared" si="112"/>
        <v>1923.75</v>
      </c>
      <c r="I1467" s="1" t="str">
        <f t="shared" si="113"/>
        <v/>
      </c>
      <c r="J1467" s="1" t="str">
        <f>_xlfn.IFNA(INDEX([1]历练产出!$Z:$Z,MATCH(B1467,[1]历练产出!$AB:$AB,0)),"")</f>
        <v/>
      </c>
      <c r="K1467" s="1" t="str">
        <f>_xlfn.IFNA(INDEX([1]洞天福地产出!$H:$H,MATCH(B1467,[1]洞天福地产出!$K:$K,0)),"")</f>
        <v/>
      </c>
      <c r="L1467" s="1" t="str">
        <f t="shared" si="114"/>
        <v/>
      </c>
      <c r="M1467" s="4">
        <f t="shared" si="115"/>
        <v>0</v>
      </c>
    </row>
    <row r="1468" ht="45" spans="1:13">
      <c r="A1468" s="4"/>
      <c r="B1468" t="str">
        <f t="shared" si="116"/>
        <v>7:36000111</v>
      </c>
      <c r="C1468" s="1">
        <v>7</v>
      </c>
      <c r="D1468" s="4">
        <v>36000111</v>
      </c>
      <c r="E1468" s="3" t="s">
        <v>1909</v>
      </c>
      <c r="F1468" s="3"/>
      <c r="G1468" s="1">
        <v>2053.35</v>
      </c>
      <c r="H1468" s="1">
        <f t="shared" si="112"/>
        <v>2053.35</v>
      </c>
      <c r="I1468" s="1" t="str">
        <f t="shared" si="113"/>
        <v/>
      </c>
      <c r="J1468" s="1" t="str">
        <f>_xlfn.IFNA(INDEX([1]历练产出!$Z:$Z,MATCH(B1468,[1]历练产出!$AB:$AB,0)),"")</f>
        <v/>
      </c>
      <c r="K1468" s="1" t="str">
        <f>_xlfn.IFNA(INDEX([1]洞天福地产出!$H:$H,MATCH(B1468,[1]洞天福地产出!$K:$K,0)),"")</f>
        <v/>
      </c>
      <c r="L1468" s="1" t="str">
        <f t="shared" si="114"/>
        <v/>
      </c>
      <c r="M1468" s="4">
        <f t="shared" si="115"/>
        <v>0</v>
      </c>
    </row>
    <row r="1469" ht="45" spans="1:13">
      <c r="A1469" s="4"/>
      <c r="B1469" t="str">
        <f t="shared" si="116"/>
        <v>7:36000112</v>
      </c>
      <c r="C1469" s="1">
        <v>7</v>
      </c>
      <c r="D1469" s="4">
        <v>36000112</v>
      </c>
      <c r="E1469" s="3" t="s">
        <v>1909</v>
      </c>
      <c r="F1469" s="3"/>
      <c r="G1469" s="1">
        <v>2195.1</v>
      </c>
      <c r="H1469" s="1">
        <f t="shared" si="112"/>
        <v>2195.1</v>
      </c>
      <c r="I1469" s="1" t="str">
        <f t="shared" si="113"/>
        <v/>
      </c>
      <c r="J1469" s="1" t="str">
        <f>_xlfn.IFNA(INDEX([1]历练产出!$Z:$Z,MATCH(B1469,[1]历练产出!$AB:$AB,0)),"")</f>
        <v/>
      </c>
      <c r="K1469" s="1" t="str">
        <f>_xlfn.IFNA(INDEX([1]洞天福地产出!$H:$H,MATCH(B1469,[1]洞天福地产出!$K:$K,0)),"")</f>
        <v/>
      </c>
      <c r="L1469" s="1" t="str">
        <f t="shared" si="114"/>
        <v/>
      </c>
      <c r="M1469" s="4">
        <f t="shared" si="115"/>
        <v>0</v>
      </c>
    </row>
    <row r="1470" ht="45" spans="1:13">
      <c r="A1470" s="4"/>
      <c r="B1470" t="str">
        <f t="shared" si="116"/>
        <v>7:36000113</v>
      </c>
      <c r="C1470" s="1">
        <v>7</v>
      </c>
      <c r="D1470" s="4">
        <v>36000113</v>
      </c>
      <c r="E1470" s="3" t="s">
        <v>1909</v>
      </c>
      <c r="F1470" s="3"/>
      <c r="G1470" s="1">
        <v>2349</v>
      </c>
      <c r="H1470" s="1">
        <f t="shared" si="112"/>
        <v>2349</v>
      </c>
      <c r="I1470" s="1" t="str">
        <f t="shared" si="113"/>
        <v/>
      </c>
      <c r="J1470" s="1" t="str">
        <f>_xlfn.IFNA(INDEX([1]历练产出!$Z:$Z,MATCH(B1470,[1]历练产出!$AB:$AB,0)),"")</f>
        <v/>
      </c>
      <c r="K1470" s="1" t="str">
        <f>_xlfn.IFNA(INDEX([1]洞天福地产出!$H:$H,MATCH(B1470,[1]洞天福地产出!$K:$K,0)),"")</f>
        <v/>
      </c>
      <c r="L1470" s="1" t="str">
        <f t="shared" si="114"/>
        <v/>
      </c>
      <c r="M1470" s="4">
        <f t="shared" si="115"/>
        <v>0</v>
      </c>
    </row>
    <row r="1471" ht="45" spans="1:13">
      <c r="A1471" s="4"/>
      <c r="B1471" t="str">
        <f t="shared" si="116"/>
        <v>7:36000114</v>
      </c>
      <c r="C1471" s="1">
        <v>7</v>
      </c>
      <c r="D1471" s="4">
        <v>36000114</v>
      </c>
      <c r="E1471" s="3" t="s">
        <v>1909</v>
      </c>
      <c r="F1471" s="3"/>
      <c r="G1471" s="1">
        <v>2515.05</v>
      </c>
      <c r="H1471" s="1">
        <f t="shared" si="112"/>
        <v>2515.05</v>
      </c>
      <c r="I1471" s="1" t="str">
        <f t="shared" si="113"/>
        <v/>
      </c>
      <c r="J1471" s="1" t="str">
        <f>_xlfn.IFNA(INDEX([1]历练产出!$Z:$Z,MATCH(B1471,[1]历练产出!$AB:$AB,0)),"")</f>
        <v/>
      </c>
      <c r="K1471" s="1" t="str">
        <f>_xlfn.IFNA(INDEX([1]洞天福地产出!$H:$H,MATCH(B1471,[1]洞天福地产出!$K:$K,0)),"")</f>
        <v/>
      </c>
      <c r="L1471" s="1" t="str">
        <f t="shared" si="114"/>
        <v/>
      </c>
      <c r="M1471" s="4">
        <f t="shared" si="115"/>
        <v>0</v>
      </c>
    </row>
    <row r="1472" ht="45" spans="1:13">
      <c r="A1472" s="4"/>
      <c r="B1472" t="str">
        <f t="shared" si="116"/>
        <v>7:36000115</v>
      </c>
      <c r="C1472" s="1">
        <v>7</v>
      </c>
      <c r="D1472" s="4">
        <v>36000115</v>
      </c>
      <c r="E1472" s="3" t="s">
        <v>1909</v>
      </c>
      <c r="F1472" s="3"/>
      <c r="G1472" s="1">
        <v>2693.25</v>
      </c>
      <c r="H1472" s="1">
        <f t="shared" si="112"/>
        <v>2693.25</v>
      </c>
      <c r="I1472" s="1" t="str">
        <f t="shared" si="113"/>
        <v/>
      </c>
      <c r="J1472" s="1" t="str">
        <f>_xlfn.IFNA(INDEX([1]历练产出!$Z:$Z,MATCH(B1472,[1]历练产出!$AB:$AB,0)),"")</f>
        <v/>
      </c>
      <c r="K1472" s="1" t="str">
        <f>_xlfn.IFNA(INDEX([1]洞天福地产出!$H:$H,MATCH(B1472,[1]洞天福地产出!$K:$K,0)),"")</f>
        <v/>
      </c>
      <c r="L1472" s="1" t="str">
        <f t="shared" si="114"/>
        <v/>
      </c>
      <c r="M1472" s="4">
        <f t="shared" si="115"/>
        <v>0</v>
      </c>
    </row>
    <row r="1473" ht="45" spans="1:13">
      <c r="A1473" s="4"/>
      <c r="B1473" t="str">
        <f t="shared" si="116"/>
        <v>7:36000116</v>
      </c>
      <c r="C1473" s="1">
        <v>7</v>
      </c>
      <c r="D1473" s="4">
        <v>36000116</v>
      </c>
      <c r="E1473" s="3" t="s">
        <v>1909</v>
      </c>
      <c r="F1473" s="3"/>
      <c r="G1473" s="1">
        <v>2883.6</v>
      </c>
      <c r="H1473" s="1">
        <f t="shared" si="112"/>
        <v>2883.6</v>
      </c>
      <c r="I1473" s="1" t="str">
        <f t="shared" si="113"/>
        <v/>
      </c>
      <c r="J1473" s="1" t="str">
        <f>_xlfn.IFNA(INDEX([1]历练产出!$Z:$Z,MATCH(B1473,[1]历练产出!$AB:$AB,0)),"")</f>
        <v/>
      </c>
      <c r="K1473" s="1" t="str">
        <f>_xlfn.IFNA(INDEX([1]洞天福地产出!$H:$H,MATCH(B1473,[1]洞天福地产出!$K:$K,0)),"")</f>
        <v/>
      </c>
      <c r="L1473" s="1" t="str">
        <f t="shared" si="114"/>
        <v/>
      </c>
      <c r="M1473" s="4">
        <f t="shared" si="115"/>
        <v>0</v>
      </c>
    </row>
    <row r="1474" ht="45" spans="1:13">
      <c r="A1474" s="4"/>
      <c r="B1474" t="str">
        <f t="shared" si="116"/>
        <v>7:36000117</v>
      </c>
      <c r="C1474" s="1">
        <v>7</v>
      </c>
      <c r="D1474" s="4">
        <v>36000117</v>
      </c>
      <c r="E1474" s="3" t="s">
        <v>1909</v>
      </c>
      <c r="F1474" s="3"/>
      <c r="G1474" s="1">
        <v>3086.1</v>
      </c>
      <c r="H1474" s="1">
        <f t="shared" si="112"/>
        <v>3086.1</v>
      </c>
      <c r="I1474" s="1" t="str">
        <f t="shared" si="113"/>
        <v/>
      </c>
      <c r="J1474" s="1" t="str">
        <f>_xlfn.IFNA(INDEX([1]历练产出!$Z:$Z,MATCH(B1474,[1]历练产出!$AB:$AB,0)),"")</f>
        <v/>
      </c>
      <c r="K1474" s="1" t="str">
        <f>_xlfn.IFNA(INDEX([1]洞天福地产出!$H:$H,MATCH(B1474,[1]洞天福地产出!$K:$K,0)),"")</f>
        <v/>
      </c>
      <c r="L1474" s="1" t="str">
        <f t="shared" si="114"/>
        <v/>
      </c>
      <c r="M1474" s="4">
        <f t="shared" si="115"/>
        <v>0</v>
      </c>
    </row>
    <row r="1475" ht="45" spans="1:13">
      <c r="A1475" s="4"/>
      <c r="B1475" t="str">
        <f t="shared" si="116"/>
        <v>7:36000118</v>
      </c>
      <c r="C1475" s="1">
        <v>7</v>
      </c>
      <c r="D1475" s="4">
        <v>36000118</v>
      </c>
      <c r="E1475" s="3" t="s">
        <v>1909</v>
      </c>
      <c r="F1475" s="3"/>
      <c r="G1475" s="1">
        <v>3300.75</v>
      </c>
      <c r="H1475" s="1">
        <f t="shared" si="112"/>
        <v>3300.75</v>
      </c>
      <c r="I1475" s="1" t="str">
        <f t="shared" si="113"/>
        <v/>
      </c>
      <c r="J1475" s="1" t="str">
        <f>_xlfn.IFNA(INDEX([1]历练产出!$Z:$Z,MATCH(B1475,[1]历练产出!$AB:$AB,0)),"")</f>
        <v/>
      </c>
      <c r="K1475" s="1" t="str">
        <f>_xlfn.IFNA(INDEX([1]洞天福地产出!$H:$H,MATCH(B1475,[1]洞天福地产出!$K:$K,0)),"")</f>
        <v/>
      </c>
      <c r="L1475" s="1" t="str">
        <f t="shared" si="114"/>
        <v/>
      </c>
      <c r="M1475" s="4">
        <f t="shared" si="115"/>
        <v>0</v>
      </c>
    </row>
    <row r="1476" ht="45" spans="1:13">
      <c r="A1476" s="4"/>
      <c r="B1476" t="str">
        <f t="shared" si="116"/>
        <v>7:36000119</v>
      </c>
      <c r="C1476" s="1">
        <v>7</v>
      </c>
      <c r="D1476" s="4">
        <v>36000119</v>
      </c>
      <c r="E1476" s="3" t="s">
        <v>1909</v>
      </c>
      <c r="F1476" s="3"/>
      <c r="G1476" s="1">
        <v>4823.55</v>
      </c>
      <c r="H1476" s="1">
        <f t="shared" ref="H1476:H1539" si="117">IF(I1476="",G1476,I1476)</f>
        <v>4823.55</v>
      </c>
      <c r="I1476" s="1" t="str">
        <f t="shared" ref="I1476:I1539" si="118">IFERROR(100/L1476,"")</f>
        <v/>
      </c>
      <c r="J1476" s="1" t="str">
        <f>_xlfn.IFNA(INDEX([1]历练产出!$Z:$Z,MATCH(B1476,[1]历练产出!$AB:$AB,0)),"")</f>
        <v/>
      </c>
      <c r="K1476" s="1" t="str">
        <f>_xlfn.IFNA(INDEX([1]洞天福地产出!$H:$H,MATCH(B1476,[1]洞天福地产出!$K:$K,0)),"")</f>
        <v/>
      </c>
      <c r="L1476" s="1" t="str">
        <f t="shared" ref="L1476:L1539" si="119">IFERROR(J1476+K1476,"")</f>
        <v/>
      </c>
      <c r="M1476" s="4">
        <f t="shared" ref="M1476:M1539" si="120">IF(I1476="",0,1)</f>
        <v>0</v>
      </c>
    </row>
    <row r="1477" ht="45" spans="1:13">
      <c r="A1477" s="4"/>
      <c r="B1477" t="str">
        <f t="shared" si="116"/>
        <v>7:36000120</v>
      </c>
      <c r="C1477" s="1">
        <v>7</v>
      </c>
      <c r="D1477" s="4">
        <v>36000120</v>
      </c>
      <c r="E1477" s="3" t="s">
        <v>1909</v>
      </c>
      <c r="F1477" s="3"/>
      <c r="G1477" s="1">
        <v>5062.5</v>
      </c>
      <c r="H1477" s="1">
        <f t="shared" si="117"/>
        <v>5062.5</v>
      </c>
      <c r="I1477" s="1" t="str">
        <f t="shared" si="118"/>
        <v/>
      </c>
      <c r="J1477" s="1" t="str">
        <f>_xlfn.IFNA(INDEX([1]历练产出!$Z:$Z,MATCH(B1477,[1]历练产出!$AB:$AB,0)),"")</f>
        <v/>
      </c>
      <c r="K1477" s="1" t="str">
        <f>_xlfn.IFNA(INDEX([1]洞天福地产出!$H:$H,MATCH(B1477,[1]洞天福地产出!$K:$K,0)),"")</f>
        <v/>
      </c>
      <c r="L1477" s="1" t="str">
        <f t="shared" si="119"/>
        <v/>
      </c>
      <c r="M1477" s="4">
        <f t="shared" si="120"/>
        <v>0</v>
      </c>
    </row>
    <row r="1478" ht="45" spans="1:13">
      <c r="A1478" s="4"/>
      <c r="B1478" t="str">
        <f t="shared" si="116"/>
        <v>7:36000121</v>
      </c>
      <c r="C1478" s="1">
        <v>7</v>
      </c>
      <c r="D1478" s="4">
        <v>36000121</v>
      </c>
      <c r="E1478" s="3" t="s">
        <v>1909</v>
      </c>
      <c r="F1478" s="3"/>
      <c r="G1478" s="1">
        <v>5313.6</v>
      </c>
      <c r="H1478" s="1">
        <f t="shared" si="117"/>
        <v>5313.6</v>
      </c>
      <c r="I1478" s="1" t="str">
        <f t="shared" si="118"/>
        <v/>
      </c>
      <c r="J1478" s="1" t="str">
        <f>_xlfn.IFNA(INDEX([1]历练产出!$Z:$Z,MATCH(B1478,[1]历练产出!$AB:$AB,0)),"")</f>
        <v/>
      </c>
      <c r="K1478" s="1" t="str">
        <f>_xlfn.IFNA(INDEX([1]洞天福地产出!$H:$H,MATCH(B1478,[1]洞天福地产出!$K:$K,0)),"")</f>
        <v/>
      </c>
      <c r="L1478" s="1" t="str">
        <f t="shared" si="119"/>
        <v/>
      </c>
      <c r="M1478" s="4">
        <f t="shared" si="120"/>
        <v>0</v>
      </c>
    </row>
    <row r="1479" ht="45" spans="1:13">
      <c r="A1479" s="4"/>
      <c r="B1479" t="str">
        <f t="shared" si="116"/>
        <v>7:36000122</v>
      </c>
      <c r="C1479" s="1">
        <v>7</v>
      </c>
      <c r="D1479" s="4">
        <v>36000122</v>
      </c>
      <c r="E1479" s="3" t="s">
        <v>1909</v>
      </c>
      <c r="F1479" s="3"/>
      <c r="G1479" s="1">
        <v>5576.85</v>
      </c>
      <c r="H1479" s="1">
        <f t="shared" si="117"/>
        <v>5576.85</v>
      </c>
      <c r="I1479" s="1" t="str">
        <f t="shared" si="118"/>
        <v/>
      </c>
      <c r="J1479" s="1" t="str">
        <f>_xlfn.IFNA(INDEX([1]历练产出!$Z:$Z,MATCH(B1479,[1]历练产出!$AB:$AB,0)),"")</f>
        <v/>
      </c>
      <c r="K1479" s="1" t="str">
        <f>_xlfn.IFNA(INDEX([1]洞天福地产出!$H:$H,MATCH(B1479,[1]洞天福地产出!$K:$K,0)),"")</f>
        <v/>
      </c>
      <c r="L1479" s="1" t="str">
        <f t="shared" si="119"/>
        <v/>
      </c>
      <c r="M1479" s="4">
        <f t="shared" si="120"/>
        <v>0</v>
      </c>
    </row>
    <row r="1480" ht="45" spans="1:13">
      <c r="A1480" s="4"/>
      <c r="B1480" t="str">
        <f t="shared" si="116"/>
        <v>7:36000123</v>
      </c>
      <c r="C1480" s="1">
        <v>7</v>
      </c>
      <c r="D1480" s="4">
        <v>36000123</v>
      </c>
      <c r="E1480" s="3" t="s">
        <v>1909</v>
      </c>
      <c r="F1480" s="3"/>
      <c r="G1480" s="1">
        <v>5852.25</v>
      </c>
      <c r="H1480" s="1">
        <f t="shared" si="117"/>
        <v>5852.25</v>
      </c>
      <c r="I1480" s="1" t="str">
        <f t="shared" si="118"/>
        <v/>
      </c>
      <c r="J1480" s="1" t="str">
        <f>_xlfn.IFNA(INDEX([1]历练产出!$Z:$Z,MATCH(B1480,[1]历练产出!$AB:$AB,0)),"")</f>
        <v/>
      </c>
      <c r="K1480" s="1" t="str">
        <f>_xlfn.IFNA(INDEX([1]洞天福地产出!$H:$H,MATCH(B1480,[1]洞天福地产出!$K:$K,0)),"")</f>
        <v/>
      </c>
      <c r="L1480" s="1" t="str">
        <f t="shared" si="119"/>
        <v/>
      </c>
      <c r="M1480" s="4">
        <f t="shared" si="120"/>
        <v>0</v>
      </c>
    </row>
    <row r="1481" ht="45" spans="1:13">
      <c r="A1481" s="4"/>
      <c r="B1481" t="str">
        <f t="shared" si="116"/>
        <v>7:36000124</v>
      </c>
      <c r="C1481" s="1">
        <v>7</v>
      </c>
      <c r="D1481" s="4">
        <v>36000124</v>
      </c>
      <c r="E1481" s="3" t="s">
        <v>1909</v>
      </c>
      <c r="F1481" s="3"/>
      <c r="G1481" s="1">
        <v>6139.8</v>
      </c>
      <c r="H1481" s="1">
        <f t="shared" si="117"/>
        <v>6139.8</v>
      </c>
      <c r="I1481" s="1" t="str">
        <f t="shared" si="118"/>
        <v/>
      </c>
      <c r="J1481" s="1" t="str">
        <f>_xlfn.IFNA(INDEX([1]历练产出!$Z:$Z,MATCH(B1481,[1]历练产出!$AB:$AB,0)),"")</f>
        <v/>
      </c>
      <c r="K1481" s="1" t="str">
        <f>_xlfn.IFNA(INDEX([1]洞天福地产出!$H:$H,MATCH(B1481,[1]洞天福地产出!$K:$K,0)),"")</f>
        <v/>
      </c>
      <c r="L1481" s="1" t="str">
        <f t="shared" si="119"/>
        <v/>
      </c>
      <c r="M1481" s="4">
        <f t="shared" si="120"/>
        <v>0</v>
      </c>
    </row>
    <row r="1482" ht="45" spans="1:13">
      <c r="A1482" s="4"/>
      <c r="B1482" t="str">
        <f t="shared" si="116"/>
        <v>7:36000125</v>
      </c>
      <c r="C1482" s="1">
        <v>7</v>
      </c>
      <c r="D1482" s="4">
        <v>36000125</v>
      </c>
      <c r="E1482" s="3" t="s">
        <v>1909</v>
      </c>
      <c r="F1482" s="3"/>
      <c r="G1482" s="1">
        <v>6439.5</v>
      </c>
      <c r="H1482" s="1">
        <f t="shared" si="117"/>
        <v>6439.5</v>
      </c>
      <c r="I1482" s="1" t="str">
        <f t="shared" si="118"/>
        <v/>
      </c>
      <c r="J1482" s="1" t="str">
        <f>_xlfn.IFNA(INDEX([1]历练产出!$Z:$Z,MATCH(B1482,[1]历练产出!$AB:$AB,0)),"")</f>
        <v/>
      </c>
      <c r="K1482" s="1" t="str">
        <f>_xlfn.IFNA(INDEX([1]洞天福地产出!$H:$H,MATCH(B1482,[1]洞天福地产出!$K:$K,0)),"")</f>
        <v/>
      </c>
      <c r="L1482" s="1" t="str">
        <f t="shared" si="119"/>
        <v/>
      </c>
      <c r="M1482" s="4">
        <f t="shared" si="120"/>
        <v>0</v>
      </c>
    </row>
    <row r="1483" ht="45" spans="1:13">
      <c r="A1483" s="4"/>
      <c r="B1483" t="str">
        <f t="shared" si="116"/>
        <v>7:36000126</v>
      </c>
      <c r="C1483" s="1">
        <v>7</v>
      </c>
      <c r="D1483" s="4">
        <v>36000126</v>
      </c>
      <c r="E1483" s="3" t="s">
        <v>1909</v>
      </c>
      <c r="F1483" s="3"/>
      <c r="G1483" s="1">
        <v>6751.35</v>
      </c>
      <c r="H1483" s="1">
        <f t="shared" si="117"/>
        <v>6751.35</v>
      </c>
      <c r="I1483" s="1" t="str">
        <f t="shared" si="118"/>
        <v/>
      </c>
      <c r="J1483" s="1" t="str">
        <f>_xlfn.IFNA(INDEX([1]历练产出!$Z:$Z,MATCH(B1483,[1]历练产出!$AB:$AB,0)),"")</f>
        <v/>
      </c>
      <c r="K1483" s="1" t="str">
        <f>_xlfn.IFNA(INDEX([1]洞天福地产出!$H:$H,MATCH(B1483,[1]洞天福地产出!$K:$K,0)),"")</f>
        <v/>
      </c>
      <c r="L1483" s="1" t="str">
        <f t="shared" si="119"/>
        <v/>
      </c>
      <c r="M1483" s="4">
        <f t="shared" si="120"/>
        <v>0</v>
      </c>
    </row>
    <row r="1484" ht="45" spans="1:13">
      <c r="A1484" s="4"/>
      <c r="B1484" t="str">
        <f t="shared" si="116"/>
        <v>7:36000127</v>
      </c>
      <c r="C1484" s="1">
        <v>7</v>
      </c>
      <c r="D1484" s="4">
        <v>36000127</v>
      </c>
      <c r="E1484" s="3" t="s">
        <v>1909</v>
      </c>
      <c r="F1484" s="3"/>
      <c r="G1484" s="1">
        <v>7075.35</v>
      </c>
      <c r="H1484" s="1">
        <f t="shared" si="117"/>
        <v>7075.35</v>
      </c>
      <c r="I1484" s="1" t="str">
        <f t="shared" si="118"/>
        <v/>
      </c>
      <c r="J1484" s="1" t="str">
        <f>_xlfn.IFNA(INDEX([1]历练产出!$Z:$Z,MATCH(B1484,[1]历练产出!$AB:$AB,0)),"")</f>
        <v/>
      </c>
      <c r="K1484" s="1" t="str">
        <f>_xlfn.IFNA(INDEX([1]洞天福地产出!$H:$H,MATCH(B1484,[1]洞天福地产出!$K:$K,0)),"")</f>
        <v/>
      </c>
      <c r="L1484" s="1" t="str">
        <f t="shared" si="119"/>
        <v/>
      </c>
      <c r="M1484" s="4">
        <f t="shared" si="120"/>
        <v>0</v>
      </c>
    </row>
    <row r="1485" ht="45" spans="1:13">
      <c r="A1485" s="4"/>
      <c r="B1485" t="str">
        <f t="shared" si="116"/>
        <v>7:36000128</v>
      </c>
      <c r="C1485" s="1">
        <v>7</v>
      </c>
      <c r="D1485" s="4">
        <v>36000128</v>
      </c>
      <c r="E1485" s="3" t="s">
        <v>1909</v>
      </c>
      <c r="F1485" s="3"/>
      <c r="G1485" s="1">
        <v>7411.5</v>
      </c>
      <c r="H1485" s="1">
        <f t="shared" si="117"/>
        <v>7411.5</v>
      </c>
      <c r="I1485" s="1" t="str">
        <f t="shared" si="118"/>
        <v/>
      </c>
      <c r="J1485" s="1" t="str">
        <f>_xlfn.IFNA(INDEX([1]历练产出!$Z:$Z,MATCH(B1485,[1]历练产出!$AB:$AB,0)),"")</f>
        <v/>
      </c>
      <c r="K1485" s="1" t="str">
        <f>_xlfn.IFNA(INDEX([1]洞天福地产出!$H:$H,MATCH(B1485,[1]洞天福地产出!$K:$K,0)),"")</f>
        <v/>
      </c>
      <c r="L1485" s="1" t="str">
        <f t="shared" si="119"/>
        <v/>
      </c>
      <c r="M1485" s="4">
        <f t="shared" si="120"/>
        <v>0</v>
      </c>
    </row>
    <row r="1486" ht="45" spans="1:13">
      <c r="A1486" s="4"/>
      <c r="B1486" t="str">
        <f t="shared" si="116"/>
        <v>7:36000129</v>
      </c>
      <c r="C1486" s="1">
        <v>7</v>
      </c>
      <c r="D1486" s="4">
        <v>36000129</v>
      </c>
      <c r="E1486" s="3" t="s">
        <v>1909</v>
      </c>
      <c r="F1486" s="3"/>
      <c r="G1486" s="1">
        <v>9703.8</v>
      </c>
      <c r="H1486" s="1">
        <f t="shared" si="117"/>
        <v>9703.8</v>
      </c>
      <c r="I1486" s="1" t="str">
        <f t="shared" si="118"/>
        <v/>
      </c>
      <c r="J1486" s="1" t="str">
        <f>_xlfn.IFNA(INDEX([1]历练产出!$Z:$Z,MATCH(B1486,[1]历练产出!$AB:$AB,0)),"")</f>
        <v/>
      </c>
      <c r="K1486" s="1" t="str">
        <f>_xlfn.IFNA(INDEX([1]洞天福地产出!$H:$H,MATCH(B1486,[1]洞天福地产出!$K:$K,0)),"")</f>
        <v/>
      </c>
      <c r="L1486" s="1" t="str">
        <f t="shared" si="119"/>
        <v/>
      </c>
      <c r="M1486" s="4">
        <f t="shared" si="120"/>
        <v>0</v>
      </c>
    </row>
    <row r="1487" ht="45" spans="1:13">
      <c r="A1487" s="4"/>
      <c r="B1487" t="str">
        <f t="shared" si="116"/>
        <v>7:36000130</v>
      </c>
      <c r="C1487" s="1">
        <v>7</v>
      </c>
      <c r="D1487" s="4">
        <v>36000130</v>
      </c>
      <c r="E1487" s="3" t="s">
        <v>1909</v>
      </c>
      <c r="F1487" s="3"/>
      <c r="G1487" s="1">
        <v>10052.1</v>
      </c>
      <c r="H1487" s="1">
        <f t="shared" si="117"/>
        <v>10052.1</v>
      </c>
      <c r="I1487" s="1" t="str">
        <f t="shared" si="118"/>
        <v/>
      </c>
      <c r="J1487" s="1" t="str">
        <f>_xlfn.IFNA(INDEX([1]历练产出!$Z:$Z,MATCH(B1487,[1]历练产出!$AB:$AB,0)),"")</f>
        <v/>
      </c>
      <c r="K1487" s="1" t="str">
        <f>_xlfn.IFNA(INDEX([1]洞天福地产出!$H:$H,MATCH(B1487,[1]洞天福地产出!$K:$K,0)),"")</f>
        <v/>
      </c>
      <c r="L1487" s="1" t="str">
        <f t="shared" si="119"/>
        <v/>
      </c>
      <c r="M1487" s="4">
        <f t="shared" si="120"/>
        <v>0</v>
      </c>
    </row>
    <row r="1488" ht="45" spans="1:13">
      <c r="A1488" s="4"/>
      <c r="B1488" t="str">
        <f t="shared" si="116"/>
        <v>7:37000101</v>
      </c>
      <c r="C1488" s="1">
        <v>7</v>
      </c>
      <c r="D1488" s="4">
        <v>37000101</v>
      </c>
      <c r="E1488" s="3" t="s">
        <v>497</v>
      </c>
      <c r="F1488" s="3"/>
      <c r="G1488" s="1">
        <v>656.1</v>
      </c>
      <c r="H1488" s="1">
        <f t="shared" si="117"/>
        <v>656.1</v>
      </c>
      <c r="I1488" s="1" t="str">
        <f t="shared" si="118"/>
        <v/>
      </c>
      <c r="J1488" s="1" t="str">
        <f>_xlfn.IFNA(INDEX([1]历练产出!$Z:$Z,MATCH(B1488,[1]历练产出!$AB:$AB,0)),"")</f>
        <v/>
      </c>
      <c r="K1488" s="1" t="str">
        <f>_xlfn.IFNA(INDEX([1]洞天福地产出!$H:$H,MATCH(B1488,[1]洞天福地产出!$K:$K,0)),"")</f>
        <v/>
      </c>
      <c r="L1488" s="1" t="str">
        <f t="shared" si="119"/>
        <v/>
      </c>
      <c r="M1488" s="4">
        <f t="shared" si="120"/>
        <v>0</v>
      </c>
    </row>
    <row r="1489" ht="45" spans="1:13">
      <c r="A1489" s="4"/>
      <c r="B1489" t="str">
        <f t="shared" si="116"/>
        <v>7:37000102</v>
      </c>
      <c r="C1489" s="1">
        <v>7</v>
      </c>
      <c r="D1489" s="4">
        <v>37000102</v>
      </c>
      <c r="E1489" s="3" t="s">
        <v>497</v>
      </c>
      <c r="F1489" s="3"/>
      <c r="G1489" s="1">
        <v>676.35</v>
      </c>
      <c r="H1489" s="1">
        <f t="shared" si="117"/>
        <v>676.35</v>
      </c>
      <c r="I1489" s="1" t="str">
        <f t="shared" si="118"/>
        <v/>
      </c>
      <c r="J1489" s="1" t="str">
        <f>_xlfn.IFNA(INDEX([1]历练产出!$Z:$Z,MATCH(B1489,[1]历练产出!$AB:$AB,0)),"")</f>
        <v/>
      </c>
      <c r="K1489" s="1" t="str">
        <f>_xlfn.IFNA(INDEX([1]洞天福地产出!$H:$H,MATCH(B1489,[1]洞天福地产出!$K:$K,0)),"")</f>
        <v/>
      </c>
      <c r="L1489" s="1" t="str">
        <f t="shared" si="119"/>
        <v/>
      </c>
      <c r="M1489" s="4">
        <f t="shared" si="120"/>
        <v>0</v>
      </c>
    </row>
    <row r="1490" ht="45" spans="1:13">
      <c r="A1490" s="4"/>
      <c r="B1490" t="str">
        <f t="shared" si="116"/>
        <v>7:37000103</v>
      </c>
      <c r="C1490" s="1">
        <v>7</v>
      </c>
      <c r="D1490" s="4">
        <v>37000103</v>
      </c>
      <c r="E1490" s="3" t="s">
        <v>497</v>
      </c>
      <c r="F1490" s="3"/>
      <c r="G1490" s="1">
        <v>708.75</v>
      </c>
      <c r="H1490" s="1">
        <f t="shared" si="117"/>
        <v>708.75</v>
      </c>
      <c r="I1490" s="1" t="str">
        <f t="shared" si="118"/>
        <v/>
      </c>
      <c r="J1490" s="1" t="str">
        <f>_xlfn.IFNA(INDEX([1]历练产出!$Z:$Z,MATCH(B1490,[1]历练产出!$AB:$AB,0)),"")</f>
        <v/>
      </c>
      <c r="K1490" s="1" t="str">
        <f>_xlfn.IFNA(INDEX([1]洞天福地产出!$H:$H,MATCH(B1490,[1]洞天福地产出!$K:$K,0)),"")</f>
        <v/>
      </c>
      <c r="L1490" s="1" t="str">
        <f t="shared" si="119"/>
        <v/>
      </c>
      <c r="M1490" s="4">
        <f t="shared" si="120"/>
        <v>0</v>
      </c>
    </row>
    <row r="1491" ht="45" spans="1:13">
      <c r="A1491" s="4"/>
      <c r="B1491" t="str">
        <f t="shared" si="116"/>
        <v>7:37000104</v>
      </c>
      <c r="C1491" s="1">
        <v>7</v>
      </c>
      <c r="D1491" s="4">
        <v>37000104</v>
      </c>
      <c r="E1491" s="3" t="s">
        <v>497</v>
      </c>
      <c r="F1491" s="3"/>
      <c r="G1491" s="1">
        <v>753.3</v>
      </c>
      <c r="H1491" s="1">
        <f t="shared" si="117"/>
        <v>753.3</v>
      </c>
      <c r="I1491" s="1" t="str">
        <f t="shared" si="118"/>
        <v/>
      </c>
      <c r="J1491" s="1" t="str">
        <f>_xlfn.IFNA(INDEX([1]历练产出!$Z:$Z,MATCH(B1491,[1]历练产出!$AB:$AB,0)),"")</f>
        <v/>
      </c>
      <c r="K1491" s="1" t="str">
        <f>_xlfn.IFNA(INDEX([1]洞天福地产出!$H:$H,MATCH(B1491,[1]洞天福地产出!$K:$K,0)),"")</f>
        <v/>
      </c>
      <c r="L1491" s="1" t="str">
        <f t="shared" si="119"/>
        <v/>
      </c>
      <c r="M1491" s="4">
        <f t="shared" si="120"/>
        <v>0</v>
      </c>
    </row>
    <row r="1492" ht="45" spans="1:13">
      <c r="A1492" s="4"/>
      <c r="B1492" t="str">
        <f t="shared" si="116"/>
        <v>7:37000105</v>
      </c>
      <c r="C1492" s="1">
        <v>7</v>
      </c>
      <c r="D1492" s="4">
        <v>37000105</v>
      </c>
      <c r="E1492" s="3" t="s">
        <v>497</v>
      </c>
      <c r="F1492" s="3"/>
      <c r="G1492" s="1">
        <v>810</v>
      </c>
      <c r="H1492" s="1">
        <f t="shared" si="117"/>
        <v>810</v>
      </c>
      <c r="I1492" s="1" t="str">
        <f t="shared" si="118"/>
        <v/>
      </c>
      <c r="J1492" s="1" t="str">
        <f>_xlfn.IFNA(INDEX([1]历练产出!$Z:$Z,MATCH(B1492,[1]历练产出!$AB:$AB,0)),"")</f>
        <v/>
      </c>
      <c r="K1492" s="1" t="str">
        <f>_xlfn.IFNA(INDEX([1]洞天福地产出!$H:$H,MATCH(B1492,[1]洞天福地产出!$K:$K,0)),"")</f>
        <v/>
      </c>
      <c r="L1492" s="1" t="str">
        <f t="shared" si="119"/>
        <v/>
      </c>
      <c r="M1492" s="4">
        <f t="shared" si="120"/>
        <v>0</v>
      </c>
    </row>
    <row r="1493" ht="45" spans="1:13">
      <c r="A1493" s="4"/>
      <c r="B1493" t="str">
        <f t="shared" si="116"/>
        <v>7:37000106</v>
      </c>
      <c r="C1493" s="1">
        <v>7</v>
      </c>
      <c r="D1493" s="4">
        <v>37000106</v>
      </c>
      <c r="E1493" s="3" t="s">
        <v>497</v>
      </c>
      <c r="F1493" s="3"/>
      <c r="G1493" s="1">
        <v>878.85</v>
      </c>
      <c r="H1493" s="1">
        <f t="shared" si="117"/>
        <v>878.85</v>
      </c>
      <c r="I1493" s="1" t="str">
        <f t="shared" si="118"/>
        <v/>
      </c>
      <c r="J1493" s="1" t="str">
        <f>_xlfn.IFNA(INDEX([1]历练产出!$Z:$Z,MATCH(B1493,[1]历练产出!$AB:$AB,0)),"")</f>
        <v/>
      </c>
      <c r="K1493" s="1" t="str">
        <f>_xlfn.IFNA(INDEX([1]洞天福地产出!$H:$H,MATCH(B1493,[1]洞天福地产出!$K:$K,0)),"")</f>
        <v/>
      </c>
      <c r="L1493" s="1" t="str">
        <f t="shared" si="119"/>
        <v/>
      </c>
      <c r="M1493" s="4">
        <f t="shared" si="120"/>
        <v>0</v>
      </c>
    </row>
    <row r="1494" ht="45" spans="1:13">
      <c r="A1494" s="4"/>
      <c r="B1494" t="str">
        <f t="shared" si="116"/>
        <v>7:37000107</v>
      </c>
      <c r="C1494" s="1">
        <v>7</v>
      </c>
      <c r="D1494" s="4">
        <v>37000107</v>
      </c>
      <c r="E1494" s="3" t="s">
        <v>497</v>
      </c>
      <c r="F1494" s="3"/>
      <c r="G1494" s="1">
        <v>959.85</v>
      </c>
      <c r="H1494" s="1">
        <f t="shared" si="117"/>
        <v>959.85</v>
      </c>
      <c r="I1494" s="1" t="str">
        <f t="shared" si="118"/>
        <v/>
      </c>
      <c r="J1494" s="1" t="str">
        <f>_xlfn.IFNA(INDEX([1]历练产出!$Z:$Z,MATCH(B1494,[1]历练产出!$AB:$AB,0)),"")</f>
        <v/>
      </c>
      <c r="K1494" s="1" t="str">
        <f>_xlfn.IFNA(INDEX([1]洞天福地产出!$H:$H,MATCH(B1494,[1]洞天福地产出!$K:$K,0)),"")</f>
        <v/>
      </c>
      <c r="L1494" s="1" t="str">
        <f t="shared" si="119"/>
        <v/>
      </c>
      <c r="M1494" s="4">
        <f t="shared" si="120"/>
        <v>0</v>
      </c>
    </row>
    <row r="1495" ht="45" spans="1:13">
      <c r="A1495" s="4"/>
      <c r="B1495" t="str">
        <f t="shared" si="116"/>
        <v>7:37000108</v>
      </c>
      <c r="C1495" s="1">
        <v>7</v>
      </c>
      <c r="D1495" s="4">
        <v>37000108</v>
      </c>
      <c r="E1495" s="3" t="s">
        <v>497</v>
      </c>
      <c r="F1495" s="3"/>
      <c r="G1495" s="1">
        <v>1053</v>
      </c>
      <c r="H1495" s="1">
        <f t="shared" si="117"/>
        <v>1053</v>
      </c>
      <c r="I1495" s="1" t="str">
        <f t="shared" si="118"/>
        <v/>
      </c>
      <c r="J1495" s="1" t="str">
        <f>_xlfn.IFNA(INDEX([1]历练产出!$Z:$Z,MATCH(B1495,[1]历练产出!$AB:$AB,0)),"")</f>
        <v/>
      </c>
      <c r="K1495" s="1" t="str">
        <f>_xlfn.IFNA(INDEX([1]洞天福地产出!$H:$H,MATCH(B1495,[1]洞天福地产出!$K:$K,0)),"")</f>
        <v/>
      </c>
      <c r="L1495" s="1" t="str">
        <f t="shared" si="119"/>
        <v/>
      </c>
      <c r="M1495" s="4">
        <f t="shared" si="120"/>
        <v>0</v>
      </c>
    </row>
    <row r="1496" ht="45" spans="1:13">
      <c r="A1496" s="4"/>
      <c r="B1496" t="str">
        <f t="shared" si="116"/>
        <v>7:37000109</v>
      </c>
      <c r="C1496" s="1">
        <v>7</v>
      </c>
      <c r="D1496" s="4">
        <v>37000109</v>
      </c>
      <c r="E1496" s="3" t="s">
        <v>497</v>
      </c>
      <c r="F1496" s="3"/>
      <c r="G1496" s="1">
        <v>1806.3</v>
      </c>
      <c r="H1496" s="1">
        <f t="shared" si="117"/>
        <v>1806.3</v>
      </c>
      <c r="I1496" s="1" t="str">
        <f t="shared" si="118"/>
        <v/>
      </c>
      <c r="J1496" s="1" t="str">
        <f>_xlfn.IFNA(INDEX([1]历练产出!$Z:$Z,MATCH(B1496,[1]历练产出!$AB:$AB,0)),"")</f>
        <v/>
      </c>
      <c r="K1496" s="1" t="str">
        <f>_xlfn.IFNA(INDEX([1]洞天福地产出!$H:$H,MATCH(B1496,[1]洞天福地产出!$K:$K,0)),"")</f>
        <v/>
      </c>
      <c r="L1496" s="1" t="str">
        <f t="shared" si="119"/>
        <v/>
      </c>
      <c r="M1496" s="4">
        <f t="shared" si="120"/>
        <v>0</v>
      </c>
    </row>
    <row r="1497" ht="45" spans="1:13">
      <c r="A1497" s="4"/>
      <c r="B1497" t="str">
        <f t="shared" si="116"/>
        <v>7:37000110</v>
      </c>
      <c r="C1497" s="1">
        <v>7</v>
      </c>
      <c r="D1497" s="4">
        <v>37000110</v>
      </c>
      <c r="E1497" s="3" t="s">
        <v>497</v>
      </c>
      <c r="F1497" s="3"/>
      <c r="G1497" s="1">
        <v>1923.75</v>
      </c>
      <c r="H1497" s="1">
        <f t="shared" si="117"/>
        <v>1923.75</v>
      </c>
      <c r="I1497" s="1" t="str">
        <f t="shared" si="118"/>
        <v/>
      </c>
      <c r="J1497" s="1" t="str">
        <f>_xlfn.IFNA(INDEX([1]历练产出!$Z:$Z,MATCH(B1497,[1]历练产出!$AB:$AB,0)),"")</f>
        <v/>
      </c>
      <c r="K1497" s="1" t="str">
        <f>_xlfn.IFNA(INDEX([1]洞天福地产出!$H:$H,MATCH(B1497,[1]洞天福地产出!$K:$K,0)),"")</f>
        <v/>
      </c>
      <c r="L1497" s="1" t="str">
        <f t="shared" si="119"/>
        <v/>
      </c>
      <c r="M1497" s="4">
        <f t="shared" si="120"/>
        <v>0</v>
      </c>
    </row>
    <row r="1498" ht="45" spans="1:13">
      <c r="A1498" s="4"/>
      <c r="B1498" t="str">
        <f t="shared" si="116"/>
        <v>7:37000111</v>
      </c>
      <c r="C1498" s="1">
        <v>7</v>
      </c>
      <c r="D1498" s="4">
        <v>37000111</v>
      </c>
      <c r="E1498" s="3" t="s">
        <v>497</v>
      </c>
      <c r="F1498" s="3"/>
      <c r="G1498" s="1">
        <v>2053.35</v>
      </c>
      <c r="H1498" s="1">
        <f t="shared" si="117"/>
        <v>2053.35</v>
      </c>
      <c r="I1498" s="1" t="str">
        <f t="shared" si="118"/>
        <v/>
      </c>
      <c r="J1498" s="1" t="str">
        <f>_xlfn.IFNA(INDEX([1]历练产出!$Z:$Z,MATCH(B1498,[1]历练产出!$AB:$AB,0)),"")</f>
        <v/>
      </c>
      <c r="K1498" s="1" t="str">
        <f>_xlfn.IFNA(INDEX([1]洞天福地产出!$H:$H,MATCH(B1498,[1]洞天福地产出!$K:$K,0)),"")</f>
        <v/>
      </c>
      <c r="L1498" s="1" t="str">
        <f t="shared" si="119"/>
        <v/>
      </c>
      <c r="M1498" s="4">
        <f t="shared" si="120"/>
        <v>0</v>
      </c>
    </row>
    <row r="1499" ht="45" spans="1:13">
      <c r="A1499" s="4"/>
      <c r="B1499" t="str">
        <f t="shared" si="116"/>
        <v>7:37000112</v>
      </c>
      <c r="C1499" s="1">
        <v>7</v>
      </c>
      <c r="D1499" s="4">
        <v>37000112</v>
      </c>
      <c r="E1499" s="3" t="s">
        <v>497</v>
      </c>
      <c r="F1499" s="3"/>
      <c r="G1499" s="1">
        <v>2195.1</v>
      </c>
      <c r="H1499" s="1">
        <f t="shared" si="117"/>
        <v>2195.1</v>
      </c>
      <c r="I1499" s="1" t="str">
        <f t="shared" si="118"/>
        <v/>
      </c>
      <c r="J1499" s="1" t="str">
        <f>_xlfn.IFNA(INDEX([1]历练产出!$Z:$Z,MATCH(B1499,[1]历练产出!$AB:$AB,0)),"")</f>
        <v/>
      </c>
      <c r="K1499" s="1" t="str">
        <f>_xlfn.IFNA(INDEX([1]洞天福地产出!$H:$H,MATCH(B1499,[1]洞天福地产出!$K:$K,0)),"")</f>
        <v/>
      </c>
      <c r="L1499" s="1" t="str">
        <f t="shared" si="119"/>
        <v/>
      </c>
      <c r="M1499" s="4">
        <f t="shared" si="120"/>
        <v>0</v>
      </c>
    </row>
    <row r="1500" ht="45" spans="1:13">
      <c r="A1500" s="4"/>
      <c r="B1500" t="str">
        <f t="shared" si="116"/>
        <v>7:37000113</v>
      </c>
      <c r="C1500" s="1">
        <v>7</v>
      </c>
      <c r="D1500" s="4">
        <v>37000113</v>
      </c>
      <c r="E1500" s="3" t="s">
        <v>497</v>
      </c>
      <c r="F1500" s="3"/>
      <c r="G1500" s="1">
        <v>2349</v>
      </c>
      <c r="H1500" s="1">
        <f t="shared" si="117"/>
        <v>2349</v>
      </c>
      <c r="I1500" s="1" t="str">
        <f t="shared" si="118"/>
        <v/>
      </c>
      <c r="J1500" s="1" t="str">
        <f>_xlfn.IFNA(INDEX([1]历练产出!$Z:$Z,MATCH(B1500,[1]历练产出!$AB:$AB,0)),"")</f>
        <v/>
      </c>
      <c r="K1500" s="1" t="str">
        <f>_xlfn.IFNA(INDEX([1]洞天福地产出!$H:$H,MATCH(B1500,[1]洞天福地产出!$K:$K,0)),"")</f>
        <v/>
      </c>
      <c r="L1500" s="1" t="str">
        <f t="shared" si="119"/>
        <v/>
      </c>
      <c r="M1500" s="4">
        <f t="shared" si="120"/>
        <v>0</v>
      </c>
    </row>
    <row r="1501" ht="45" spans="1:13">
      <c r="A1501" s="4"/>
      <c r="B1501" t="str">
        <f t="shared" si="116"/>
        <v>7:37000114</v>
      </c>
      <c r="C1501" s="1">
        <v>7</v>
      </c>
      <c r="D1501" s="4">
        <v>37000114</v>
      </c>
      <c r="E1501" s="3" t="s">
        <v>497</v>
      </c>
      <c r="F1501" s="3"/>
      <c r="G1501" s="1">
        <v>2515.05</v>
      </c>
      <c r="H1501" s="1">
        <f t="shared" si="117"/>
        <v>2515.05</v>
      </c>
      <c r="I1501" s="1" t="str">
        <f t="shared" si="118"/>
        <v/>
      </c>
      <c r="J1501" s="1" t="str">
        <f>_xlfn.IFNA(INDEX([1]历练产出!$Z:$Z,MATCH(B1501,[1]历练产出!$AB:$AB,0)),"")</f>
        <v/>
      </c>
      <c r="K1501" s="1" t="str">
        <f>_xlfn.IFNA(INDEX([1]洞天福地产出!$H:$H,MATCH(B1501,[1]洞天福地产出!$K:$K,0)),"")</f>
        <v/>
      </c>
      <c r="L1501" s="1" t="str">
        <f t="shared" si="119"/>
        <v/>
      </c>
      <c r="M1501" s="4">
        <f t="shared" si="120"/>
        <v>0</v>
      </c>
    </row>
    <row r="1502" ht="45" spans="1:13">
      <c r="A1502" s="4"/>
      <c r="B1502" t="str">
        <f t="shared" si="116"/>
        <v>7:37000115</v>
      </c>
      <c r="C1502" s="1">
        <v>7</v>
      </c>
      <c r="D1502" s="4">
        <v>37000115</v>
      </c>
      <c r="E1502" s="3" t="s">
        <v>497</v>
      </c>
      <c r="F1502" s="3"/>
      <c r="G1502" s="1">
        <v>2693.25</v>
      </c>
      <c r="H1502" s="1">
        <f t="shared" si="117"/>
        <v>2693.25</v>
      </c>
      <c r="I1502" s="1" t="str">
        <f t="shared" si="118"/>
        <v/>
      </c>
      <c r="J1502" s="1" t="str">
        <f>_xlfn.IFNA(INDEX([1]历练产出!$Z:$Z,MATCH(B1502,[1]历练产出!$AB:$AB,0)),"")</f>
        <v/>
      </c>
      <c r="K1502" s="1" t="str">
        <f>_xlfn.IFNA(INDEX([1]洞天福地产出!$H:$H,MATCH(B1502,[1]洞天福地产出!$K:$K,0)),"")</f>
        <v/>
      </c>
      <c r="L1502" s="1" t="str">
        <f t="shared" si="119"/>
        <v/>
      </c>
      <c r="M1502" s="4">
        <f t="shared" si="120"/>
        <v>0</v>
      </c>
    </row>
    <row r="1503" ht="45" spans="1:13">
      <c r="A1503" s="4"/>
      <c r="B1503" t="str">
        <f t="shared" si="116"/>
        <v>7:37000116</v>
      </c>
      <c r="C1503" s="1">
        <v>7</v>
      </c>
      <c r="D1503" s="4">
        <v>37000116</v>
      </c>
      <c r="E1503" s="3" t="s">
        <v>497</v>
      </c>
      <c r="F1503" s="3"/>
      <c r="G1503" s="1">
        <v>2883.6</v>
      </c>
      <c r="H1503" s="1">
        <f t="shared" si="117"/>
        <v>2883.6</v>
      </c>
      <c r="I1503" s="1" t="str">
        <f t="shared" si="118"/>
        <v/>
      </c>
      <c r="J1503" s="1" t="str">
        <f>_xlfn.IFNA(INDEX([1]历练产出!$Z:$Z,MATCH(B1503,[1]历练产出!$AB:$AB,0)),"")</f>
        <v/>
      </c>
      <c r="K1503" s="1" t="str">
        <f>_xlfn.IFNA(INDEX([1]洞天福地产出!$H:$H,MATCH(B1503,[1]洞天福地产出!$K:$K,0)),"")</f>
        <v/>
      </c>
      <c r="L1503" s="1" t="str">
        <f t="shared" si="119"/>
        <v/>
      </c>
      <c r="M1503" s="4">
        <f t="shared" si="120"/>
        <v>0</v>
      </c>
    </row>
    <row r="1504" ht="45" spans="1:13">
      <c r="A1504" s="4"/>
      <c r="B1504" t="str">
        <f t="shared" si="116"/>
        <v>7:37000117</v>
      </c>
      <c r="C1504" s="1">
        <v>7</v>
      </c>
      <c r="D1504" s="4">
        <v>37000117</v>
      </c>
      <c r="E1504" s="3" t="s">
        <v>497</v>
      </c>
      <c r="F1504" s="3"/>
      <c r="G1504" s="1">
        <v>3086.1</v>
      </c>
      <c r="H1504" s="1">
        <f t="shared" si="117"/>
        <v>3086.1</v>
      </c>
      <c r="I1504" s="1" t="str">
        <f t="shared" si="118"/>
        <v/>
      </c>
      <c r="J1504" s="1" t="str">
        <f>_xlfn.IFNA(INDEX([1]历练产出!$Z:$Z,MATCH(B1504,[1]历练产出!$AB:$AB,0)),"")</f>
        <v/>
      </c>
      <c r="K1504" s="1" t="str">
        <f>_xlfn.IFNA(INDEX([1]洞天福地产出!$H:$H,MATCH(B1504,[1]洞天福地产出!$K:$K,0)),"")</f>
        <v/>
      </c>
      <c r="L1504" s="1" t="str">
        <f t="shared" si="119"/>
        <v/>
      </c>
      <c r="M1504" s="4">
        <f t="shared" si="120"/>
        <v>0</v>
      </c>
    </row>
    <row r="1505" ht="45" spans="1:13">
      <c r="A1505" s="4"/>
      <c r="B1505" t="str">
        <f t="shared" si="116"/>
        <v>7:37000118</v>
      </c>
      <c r="C1505" s="1">
        <v>7</v>
      </c>
      <c r="D1505" s="4">
        <v>37000118</v>
      </c>
      <c r="E1505" s="3" t="s">
        <v>497</v>
      </c>
      <c r="F1505" s="3"/>
      <c r="G1505" s="1">
        <v>3300.75</v>
      </c>
      <c r="H1505" s="1">
        <f t="shared" si="117"/>
        <v>3300.75</v>
      </c>
      <c r="I1505" s="1" t="str">
        <f t="shared" si="118"/>
        <v/>
      </c>
      <c r="J1505" s="1" t="str">
        <f>_xlfn.IFNA(INDEX([1]历练产出!$Z:$Z,MATCH(B1505,[1]历练产出!$AB:$AB,0)),"")</f>
        <v/>
      </c>
      <c r="K1505" s="1" t="str">
        <f>_xlfn.IFNA(INDEX([1]洞天福地产出!$H:$H,MATCH(B1505,[1]洞天福地产出!$K:$K,0)),"")</f>
        <v/>
      </c>
      <c r="L1505" s="1" t="str">
        <f t="shared" si="119"/>
        <v/>
      </c>
      <c r="M1505" s="4">
        <f t="shared" si="120"/>
        <v>0</v>
      </c>
    </row>
    <row r="1506" ht="45" spans="1:13">
      <c r="A1506" s="4"/>
      <c r="B1506" t="str">
        <f t="shared" si="116"/>
        <v>7:37000119</v>
      </c>
      <c r="C1506" s="1">
        <v>7</v>
      </c>
      <c r="D1506" s="4">
        <v>37000119</v>
      </c>
      <c r="E1506" s="3" t="s">
        <v>497</v>
      </c>
      <c r="F1506" s="3"/>
      <c r="G1506" s="1">
        <v>4823.55</v>
      </c>
      <c r="H1506" s="1">
        <f t="shared" si="117"/>
        <v>4823.55</v>
      </c>
      <c r="I1506" s="1" t="str">
        <f t="shared" si="118"/>
        <v/>
      </c>
      <c r="J1506" s="1" t="str">
        <f>_xlfn.IFNA(INDEX([1]历练产出!$Z:$Z,MATCH(B1506,[1]历练产出!$AB:$AB,0)),"")</f>
        <v/>
      </c>
      <c r="K1506" s="1" t="str">
        <f>_xlfn.IFNA(INDEX([1]洞天福地产出!$H:$H,MATCH(B1506,[1]洞天福地产出!$K:$K,0)),"")</f>
        <v/>
      </c>
      <c r="L1506" s="1" t="str">
        <f t="shared" si="119"/>
        <v/>
      </c>
      <c r="M1506" s="4">
        <f t="shared" si="120"/>
        <v>0</v>
      </c>
    </row>
    <row r="1507" ht="45" spans="1:13">
      <c r="A1507" s="4"/>
      <c r="B1507" t="str">
        <f t="shared" si="116"/>
        <v>7:37000120</v>
      </c>
      <c r="C1507" s="1">
        <v>7</v>
      </c>
      <c r="D1507" s="4">
        <v>37000120</v>
      </c>
      <c r="E1507" s="3" t="s">
        <v>497</v>
      </c>
      <c r="F1507" s="3"/>
      <c r="G1507" s="1">
        <v>5062.5</v>
      </c>
      <c r="H1507" s="1">
        <f t="shared" si="117"/>
        <v>5062.5</v>
      </c>
      <c r="I1507" s="1" t="str">
        <f t="shared" si="118"/>
        <v/>
      </c>
      <c r="J1507" s="1" t="str">
        <f>_xlfn.IFNA(INDEX([1]历练产出!$Z:$Z,MATCH(B1507,[1]历练产出!$AB:$AB,0)),"")</f>
        <v/>
      </c>
      <c r="K1507" s="1" t="str">
        <f>_xlfn.IFNA(INDEX([1]洞天福地产出!$H:$H,MATCH(B1507,[1]洞天福地产出!$K:$K,0)),"")</f>
        <v/>
      </c>
      <c r="L1507" s="1" t="str">
        <f t="shared" si="119"/>
        <v/>
      </c>
      <c r="M1507" s="4">
        <f t="shared" si="120"/>
        <v>0</v>
      </c>
    </row>
    <row r="1508" ht="45" spans="1:13">
      <c r="A1508" s="4"/>
      <c r="B1508" t="str">
        <f t="shared" ref="B1508:B1571" si="121">C1508&amp;":"&amp;D1508</f>
        <v>7:37000121</v>
      </c>
      <c r="C1508" s="1">
        <v>7</v>
      </c>
      <c r="D1508" s="4">
        <v>37000121</v>
      </c>
      <c r="E1508" s="3" t="s">
        <v>497</v>
      </c>
      <c r="F1508" s="3"/>
      <c r="G1508" s="1">
        <v>5313.6</v>
      </c>
      <c r="H1508" s="1">
        <f t="shared" si="117"/>
        <v>5313.6</v>
      </c>
      <c r="I1508" s="1" t="str">
        <f t="shared" si="118"/>
        <v/>
      </c>
      <c r="J1508" s="1" t="str">
        <f>_xlfn.IFNA(INDEX([1]历练产出!$Z:$Z,MATCH(B1508,[1]历练产出!$AB:$AB,0)),"")</f>
        <v/>
      </c>
      <c r="K1508" s="1" t="str">
        <f>_xlfn.IFNA(INDEX([1]洞天福地产出!$H:$H,MATCH(B1508,[1]洞天福地产出!$K:$K,0)),"")</f>
        <v/>
      </c>
      <c r="L1508" s="1" t="str">
        <f t="shared" si="119"/>
        <v/>
      </c>
      <c r="M1508" s="4">
        <f t="shared" si="120"/>
        <v>0</v>
      </c>
    </row>
    <row r="1509" ht="45" spans="1:13">
      <c r="A1509" s="4"/>
      <c r="B1509" t="str">
        <f t="shared" si="121"/>
        <v>7:37000122</v>
      </c>
      <c r="C1509" s="1">
        <v>7</v>
      </c>
      <c r="D1509" s="4">
        <v>37000122</v>
      </c>
      <c r="E1509" s="3" t="s">
        <v>497</v>
      </c>
      <c r="F1509" s="3"/>
      <c r="G1509" s="1">
        <v>5576.85</v>
      </c>
      <c r="H1509" s="1">
        <f t="shared" si="117"/>
        <v>5576.85</v>
      </c>
      <c r="I1509" s="1" t="str">
        <f t="shared" si="118"/>
        <v/>
      </c>
      <c r="J1509" s="1" t="str">
        <f>_xlfn.IFNA(INDEX([1]历练产出!$Z:$Z,MATCH(B1509,[1]历练产出!$AB:$AB,0)),"")</f>
        <v/>
      </c>
      <c r="K1509" s="1" t="str">
        <f>_xlfn.IFNA(INDEX([1]洞天福地产出!$H:$H,MATCH(B1509,[1]洞天福地产出!$K:$K,0)),"")</f>
        <v/>
      </c>
      <c r="L1509" s="1" t="str">
        <f t="shared" si="119"/>
        <v/>
      </c>
      <c r="M1509" s="4">
        <f t="shared" si="120"/>
        <v>0</v>
      </c>
    </row>
    <row r="1510" ht="45" spans="1:13">
      <c r="A1510" s="4"/>
      <c r="B1510" t="str">
        <f t="shared" si="121"/>
        <v>7:37000123</v>
      </c>
      <c r="C1510" s="1">
        <v>7</v>
      </c>
      <c r="D1510" s="4">
        <v>37000123</v>
      </c>
      <c r="E1510" s="3" t="s">
        <v>497</v>
      </c>
      <c r="F1510" s="3"/>
      <c r="G1510" s="1">
        <v>5852.25</v>
      </c>
      <c r="H1510" s="1">
        <f t="shared" si="117"/>
        <v>5852.25</v>
      </c>
      <c r="I1510" s="1" t="str">
        <f t="shared" si="118"/>
        <v/>
      </c>
      <c r="J1510" s="1" t="str">
        <f>_xlfn.IFNA(INDEX([1]历练产出!$Z:$Z,MATCH(B1510,[1]历练产出!$AB:$AB,0)),"")</f>
        <v/>
      </c>
      <c r="K1510" s="1" t="str">
        <f>_xlfn.IFNA(INDEX([1]洞天福地产出!$H:$H,MATCH(B1510,[1]洞天福地产出!$K:$K,0)),"")</f>
        <v/>
      </c>
      <c r="L1510" s="1" t="str">
        <f t="shared" si="119"/>
        <v/>
      </c>
      <c r="M1510" s="4">
        <f t="shared" si="120"/>
        <v>0</v>
      </c>
    </row>
    <row r="1511" ht="45" spans="1:13">
      <c r="A1511" s="4"/>
      <c r="B1511" t="str">
        <f t="shared" si="121"/>
        <v>7:37000124</v>
      </c>
      <c r="C1511" s="1">
        <v>7</v>
      </c>
      <c r="D1511" s="4">
        <v>37000124</v>
      </c>
      <c r="E1511" s="3" t="s">
        <v>497</v>
      </c>
      <c r="F1511" s="3"/>
      <c r="G1511" s="1">
        <v>6139.8</v>
      </c>
      <c r="H1511" s="1">
        <f t="shared" si="117"/>
        <v>6139.8</v>
      </c>
      <c r="I1511" s="1" t="str">
        <f t="shared" si="118"/>
        <v/>
      </c>
      <c r="J1511" s="1" t="str">
        <f>_xlfn.IFNA(INDEX([1]历练产出!$Z:$Z,MATCH(B1511,[1]历练产出!$AB:$AB,0)),"")</f>
        <v/>
      </c>
      <c r="K1511" s="1" t="str">
        <f>_xlfn.IFNA(INDEX([1]洞天福地产出!$H:$H,MATCH(B1511,[1]洞天福地产出!$K:$K,0)),"")</f>
        <v/>
      </c>
      <c r="L1511" s="1" t="str">
        <f t="shared" si="119"/>
        <v/>
      </c>
      <c r="M1511" s="4">
        <f t="shared" si="120"/>
        <v>0</v>
      </c>
    </row>
    <row r="1512" ht="45" spans="1:13">
      <c r="A1512" s="4"/>
      <c r="B1512" t="str">
        <f t="shared" si="121"/>
        <v>7:37000125</v>
      </c>
      <c r="C1512" s="1">
        <v>7</v>
      </c>
      <c r="D1512" s="4">
        <v>37000125</v>
      </c>
      <c r="E1512" s="3" t="s">
        <v>497</v>
      </c>
      <c r="F1512" s="3"/>
      <c r="G1512" s="1">
        <v>6439.5</v>
      </c>
      <c r="H1512" s="1">
        <f t="shared" si="117"/>
        <v>6439.5</v>
      </c>
      <c r="I1512" s="1" t="str">
        <f t="shared" si="118"/>
        <v/>
      </c>
      <c r="J1512" s="1" t="str">
        <f>_xlfn.IFNA(INDEX([1]历练产出!$Z:$Z,MATCH(B1512,[1]历练产出!$AB:$AB,0)),"")</f>
        <v/>
      </c>
      <c r="K1512" s="1" t="str">
        <f>_xlfn.IFNA(INDEX([1]洞天福地产出!$H:$H,MATCH(B1512,[1]洞天福地产出!$K:$K,0)),"")</f>
        <v/>
      </c>
      <c r="L1512" s="1" t="str">
        <f t="shared" si="119"/>
        <v/>
      </c>
      <c r="M1512" s="4">
        <f t="shared" si="120"/>
        <v>0</v>
      </c>
    </row>
    <row r="1513" ht="45" spans="1:13">
      <c r="A1513" s="4"/>
      <c r="B1513" t="str">
        <f t="shared" si="121"/>
        <v>7:37000126</v>
      </c>
      <c r="C1513" s="1">
        <v>7</v>
      </c>
      <c r="D1513" s="4">
        <v>37000126</v>
      </c>
      <c r="E1513" s="3" t="s">
        <v>497</v>
      </c>
      <c r="F1513" s="3"/>
      <c r="G1513" s="1">
        <v>6751.35</v>
      </c>
      <c r="H1513" s="1">
        <f t="shared" si="117"/>
        <v>6751.35</v>
      </c>
      <c r="I1513" s="1" t="str">
        <f t="shared" si="118"/>
        <v/>
      </c>
      <c r="J1513" s="1" t="str">
        <f>_xlfn.IFNA(INDEX([1]历练产出!$Z:$Z,MATCH(B1513,[1]历练产出!$AB:$AB,0)),"")</f>
        <v/>
      </c>
      <c r="K1513" s="1" t="str">
        <f>_xlfn.IFNA(INDEX([1]洞天福地产出!$H:$H,MATCH(B1513,[1]洞天福地产出!$K:$K,0)),"")</f>
        <v/>
      </c>
      <c r="L1513" s="1" t="str">
        <f t="shared" si="119"/>
        <v/>
      </c>
      <c r="M1513" s="4">
        <f t="shared" si="120"/>
        <v>0</v>
      </c>
    </row>
    <row r="1514" ht="45" spans="1:13">
      <c r="A1514" s="4"/>
      <c r="B1514" t="str">
        <f t="shared" si="121"/>
        <v>7:37000127</v>
      </c>
      <c r="C1514" s="1">
        <v>7</v>
      </c>
      <c r="D1514" s="4">
        <v>37000127</v>
      </c>
      <c r="E1514" s="3" t="s">
        <v>497</v>
      </c>
      <c r="F1514" s="3"/>
      <c r="G1514" s="1">
        <v>7075.35</v>
      </c>
      <c r="H1514" s="1">
        <f t="shared" si="117"/>
        <v>7075.35</v>
      </c>
      <c r="I1514" s="1" t="str">
        <f t="shared" si="118"/>
        <v/>
      </c>
      <c r="J1514" s="1" t="str">
        <f>_xlfn.IFNA(INDEX([1]历练产出!$Z:$Z,MATCH(B1514,[1]历练产出!$AB:$AB,0)),"")</f>
        <v/>
      </c>
      <c r="K1514" s="1" t="str">
        <f>_xlfn.IFNA(INDEX([1]洞天福地产出!$H:$H,MATCH(B1514,[1]洞天福地产出!$K:$K,0)),"")</f>
        <v/>
      </c>
      <c r="L1514" s="1" t="str">
        <f t="shared" si="119"/>
        <v/>
      </c>
      <c r="M1514" s="4">
        <f t="shared" si="120"/>
        <v>0</v>
      </c>
    </row>
    <row r="1515" ht="45" spans="1:13">
      <c r="A1515" s="4"/>
      <c r="B1515" t="str">
        <f t="shared" si="121"/>
        <v>7:37000128</v>
      </c>
      <c r="C1515" s="1">
        <v>7</v>
      </c>
      <c r="D1515" s="4">
        <v>37000128</v>
      </c>
      <c r="E1515" s="3" t="s">
        <v>497</v>
      </c>
      <c r="F1515" s="3"/>
      <c r="G1515" s="1">
        <v>7411.5</v>
      </c>
      <c r="H1515" s="1">
        <f t="shared" si="117"/>
        <v>7411.5</v>
      </c>
      <c r="I1515" s="1" t="str">
        <f t="shared" si="118"/>
        <v/>
      </c>
      <c r="J1515" s="1" t="str">
        <f>_xlfn.IFNA(INDEX([1]历练产出!$Z:$Z,MATCH(B1515,[1]历练产出!$AB:$AB,0)),"")</f>
        <v/>
      </c>
      <c r="K1515" s="1" t="str">
        <f>_xlfn.IFNA(INDEX([1]洞天福地产出!$H:$H,MATCH(B1515,[1]洞天福地产出!$K:$K,0)),"")</f>
        <v/>
      </c>
      <c r="L1515" s="1" t="str">
        <f t="shared" si="119"/>
        <v/>
      </c>
      <c r="M1515" s="4">
        <f t="shared" si="120"/>
        <v>0</v>
      </c>
    </row>
    <row r="1516" ht="45" spans="1:13">
      <c r="A1516" s="4"/>
      <c r="B1516" t="str">
        <f t="shared" si="121"/>
        <v>7:37000129</v>
      </c>
      <c r="C1516" s="1">
        <v>7</v>
      </c>
      <c r="D1516" s="4">
        <v>37000129</v>
      </c>
      <c r="E1516" s="3" t="s">
        <v>497</v>
      </c>
      <c r="F1516" s="3"/>
      <c r="G1516" s="1">
        <v>9703.8</v>
      </c>
      <c r="H1516" s="1">
        <f t="shared" si="117"/>
        <v>9703.8</v>
      </c>
      <c r="I1516" s="1" t="str">
        <f t="shared" si="118"/>
        <v/>
      </c>
      <c r="J1516" s="1" t="str">
        <f>_xlfn.IFNA(INDEX([1]历练产出!$Z:$Z,MATCH(B1516,[1]历练产出!$AB:$AB,0)),"")</f>
        <v/>
      </c>
      <c r="K1516" s="1" t="str">
        <f>_xlfn.IFNA(INDEX([1]洞天福地产出!$H:$H,MATCH(B1516,[1]洞天福地产出!$K:$K,0)),"")</f>
        <v/>
      </c>
      <c r="L1516" s="1" t="str">
        <f t="shared" si="119"/>
        <v/>
      </c>
      <c r="M1516" s="4">
        <f t="shared" si="120"/>
        <v>0</v>
      </c>
    </row>
    <row r="1517" ht="45" spans="1:13">
      <c r="A1517" s="4"/>
      <c r="B1517" t="str">
        <f t="shared" si="121"/>
        <v>7:37000130</v>
      </c>
      <c r="C1517" s="1">
        <v>7</v>
      </c>
      <c r="D1517" s="4">
        <v>37000130</v>
      </c>
      <c r="E1517" s="3" t="s">
        <v>497</v>
      </c>
      <c r="F1517" s="3"/>
      <c r="G1517" s="1">
        <v>10052.1</v>
      </c>
      <c r="H1517" s="1">
        <f t="shared" si="117"/>
        <v>10052.1</v>
      </c>
      <c r="I1517" s="1" t="str">
        <f t="shared" si="118"/>
        <v/>
      </c>
      <c r="J1517" s="1" t="str">
        <f>_xlfn.IFNA(INDEX([1]历练产出!$Z:$Z,MATCH(B1517,[1]历练产出!$AB:$AB,0)),"")</f>
        <v/>
      </c>
      <c r="K1517" s="1" t="str">
        <f>_xlfn.IFNA(INDEX([1]洞天福地产出!$H:$H,MATCH(B1517,[1]洞天福地产出!$K:$K,0)),"")</f>
        <v/>
      </c>
      <c r="L1517" s="1" t="str">
        <f t="shared" si="119"/>
        <v/>
      </c>
      <c r="M1517" s="4">
        <f t="shared" si="120"/>
        <v>0</v>
      </c>
    </row>
    <row r="1518" ht="30" spans="1:13">
      <c r="A1518" s="4"/>
      <c r="B1518" t="str">
        <f t="shared" si="121"/>
        <v>7:38000101</v>
      </c>
      <c r="C1518" s="1">
        <v>7</v>
      </c>
      <c r="D1518" s="4">
        <v>38000101</v>
      </c>
      <c r="E1518" s="3" t="s">
        <v>1910</v>
      </c>
      <c r="F1518" s="3"/>
      <c r="G1518" s="1">
        <v>656.1</v>
      </c>
      <c r="H1518" s="1">
        <f t="shared" si="117"/>
        <v>656.1</v>
      </c>
      <c r="I1518" s="1" t="str">
        <f t="shared" si="118"/>
        <v/>
      </c>
      <c r="J1518" s="1" t="str">
        <f>_xlfn.IFNA(INDEX([1]历练产出!$Z:$Z,MATCH(B1518,[1]历练产出!$AB:$AB,0)),"")</f>
        <v/>
      </c>
      <c r="K1518" s="1" t="str">
        <f>_xlfn.IFNA(INDEX([1]洞天福地产出!$H:$H,MATCH(B1518,[1]洞天福地产出!$K:$K,0)),"")</f>
        <v/>
      </c>
      <c r="L1518" s="1" t="str">
        <f t="shared" si="119"/>
        <v/>
      </c>
      <c r="M1518" s="4">
        <f t="shared" si="120"/>
        <v>0</v>
      </c>
    </row>
    <row r="1519" ht="30" spans="1:13">
      <c r="A1519" s="4"/>
      <c r="B1519" t="str">
        <f t="shared" si="121"/>
        <v>7:38000102</v>
      </c>
      <c r="C1519" s="1">
        <v>7</v>
      </c>
      <c r="D1519" s="4">
        <v>38000102</v>
      </c>
      <c r="E1519" s="3" t="s">
        <v>1910</v>
      </c>
      <c r="F1519" s="3"/>
      <c r="G1519" s="1">
        <v>676.35</v>
      </c>
      <c r="H1519" s="1">
        <f t="shared" si="117"/>
        <v>676.35</v>
      </c>
      <c r="I1519" s="1" t="str">
        <f t="shared" si="118"/>
        <v/>
      </c>
      <c r="J1519" s="1" t="str">
        <f>_xlfn.IFNA(INDEX([1]历练产出!$Z:$Z,MATCH(B1519,[1]历练产出!$AB:$AB,0)),"")</f>
        <v/>
      </c>
      <c r="K1519" s="1" t="str">
        <f>_xlfn.IFNA(INDEX([1]洞天福地产出!$H:$H,MATCH(B1519,[1]洞天福地产出!$K:$K,0)),"")</f>
        <v/>
      </c>
      <c r="L1519" s="1" t="str">
        <f t="shared" si="119"/>
        <v/>
      </c>
      <c r="M1519" s="4">
        <f t="shared" si="120"/>
        <v>0</v>
      </c>
    </row>
    <row r="1520" ht="30" spans="1:13">
      <c r="A1520" s="4"/>
      <c r="B1520" t="str">
        <f t="shared" si="121"/>
        <v>7:38000103</v>
      </c>
      <c r="C1520" s="1">
        <v>7</v>
      </c>
      <c r="D1520" s="4">
        <v>38000103</v>
      </c>
      <c r="E1520" s="3" t="s">
        <v>1910</v>
      </c>
      <c r="F1520" s="3"/>
      <c r="G1520" s="1">
        <v>708.75</v>
      </c>
      <c r="H1520" s="1">
        <f t="shared" si="117"/>
        <v>708.75</v>
      </c>
      <c r="I1520" s="1" t="str">
        <f t="shared" si="118"/>
        <v/>
      </c>
      <c r="J1520" s="1" t="str">
        <f>_xlfn.IFNA(INDEX([1]历练产出!$Z:$Z,MATCH(B1520,[1]历练产出!$AB:$AB,0)),"")</f>
        <v/>
      </c>
      <c r="K1520" s="1" t="str">
        <f>_xlfn.IFNA(INDEX([1]洞天福地产出!$H:$H,MATCH(B1520,[1]洞天福地产出!$K:$K,0)),"")</f>
        <v/>
      </c>
      <c r="L1520" s="1" t="str">
        <f t="shared" si="119"/>
        <v/>
      </c>
      <c r="M1520" s="4">
        <f t="shared" si="120"/>
        <v>0</v>
      </c>
    </row>
    <row r="1521" ht="30" spans="1:13">
      <c r="A1521" s="4"/>
      <c r="B1521" t="str">
        <f t="shared" si="121"/>
        <v>7:38000104</v>
      </c>
      <c r="C1521" s="1">
        <v>7</v>
      </c>
      <c r="D1521" s="4">
        <v>38000104</v>
      </c>
      <c r="E1521" s="3" t="s">
        <v>1910</v>
      </c>
      <c r="F1521" s="3"/>
      <c r="G1521" s="1">
        <v>753.3</v>
      </c>
      <c r="H1521" s="1">
        <f t="shared" si="117"/>
        <v>753.3</v>
      </c>
      <c r="I1521" s="1" t="str">
        <f t="shared" si="118"/>
        <v/>
      </c>
      <c r="J1521" s="1" t="str">
        <f>_xlfn.IFNA(INDEX([1]历练产出!$Z:$Z,MATCH(B1521,[1]历练产出!$AB:$AB,0)),"")</f>
        <v/>
      </c>
      <c r="K1521" s="1" t="str">
        <f>_xlfn.IFNA(INDEX([1]洞天福地产出!$H:$H,MATCH(B1521,[1]洞天福地产出!$K:$K,0)),"")</f>
        <v/>
      </c>
      <c r="L1521" s="1" t="str">
        <f t="shared" si="119"/>
        <v/>
      </c>
      <c r="M1521" s="4">
        <f t="shared" si="120"/>
        <v>0</v>
      </c>
    </row>
    <row r="1522" ht="30" spans="1:13">
      <c r="A1522" s="4"/>
      <c r="B1522" t="str">
        <f t="shared" si="121"/>
        <v>7:38000105</v>
      </c>
      <c r="C1522" s="1">
        <v>7</v>
      </c>
      <c r="D1522" s="4">
        <v>38000105</v>
      </c>
      <c r="E1522" s="3" t="s">
        <v>1910</v>
      </c>
      <c r="F1522" s="3"/>
      <c r="G1522" s="1">
        <v>810</v>
      </c>
      <c r="H1522" s="1">
        <f t="shared" si="117"/>
        <v>810</v>
      </c>
      <c r="I1522" s="1" t="str">
        <f t="shared" si="118"/>
        <v/>
      </c>
      <c r="J1522" s="1" t="str">
        <f>_xlfn.IFNA(INDEX([1]历练产出!$Z:$Z,MATCH(B1522,[1]历练产出!$AB:$AB,0)),"")</f>
        <v/>
      </c>
      <c r="K1522" s="1" t="str">
        <f>_xlfn.IFNA(INDEX([1]洞天福地产出!$H:$H,MATCH(B1522,[1]洞天福地产出!$K:$K,0)),"")</f>
        <v/>
      </c>
      <c r="L1522" s="1" t="str">
        <f t="shared" si="119"/>
        <v/>
      </c>
      <c r="M1522" s="4">
        <f t="shared" si="120"/>
        <v>0</v>
      </c>
    </row>
    <row r="1523" ht="30" spans="1:13">
      <c r="A1523" s="4"/>
      <c r="B1523" t="str">
        <f t="shared" si="121"/>
        <v>7:38000106</v>
      </c>
      <c r="C1523" s="1">
        <v>7</v>
      </c>
      <c r="D1523" s="4">
        <v>38000106</v>
      </c>
      <c r="E1523" s="3" t="s">
        <v>1910</v>
      </c>
      <c r="F1523" s="3"/>
      <c r="G1523" s="1">
        <v>878.85</v>
      </c>
      <c r="H1523" s="1">
        <f t="shared" si="117"/>
        <v>878.85</v>
      </c>
      <c r="I1523" s="1" t="str">
        <f t="shared" si="118"/>
        <v/>
      </c>
      <c r="J1523" s="1" t="str">
        <f>_xlfn.IFNA(INDEX([1]历练产出!$Z:$Z,MATCH(B1523,[1]历练产出!$AB:$AB,0)),"")</f>
        <v/>
      </c>
      <c r="K1523" s="1" t="str">
        <f>_xlfn.IFNA(INDEX([1]洞天福地产出!$H:$H,MATCH(B1523,[1]洞天福地产出!$K:$K,0)),"")</f>
        <v/>
      </c>
      <c r="L1523" s="1" t="str">
        <f t="shared" si="119"/>
        <v/>
      </c>
      <c r="M1523" s="4">
        <f t="shared" si="120"/>
        <v>0</v>
      </c>
    </row>
    <row r="1524" ht="30" spans="1:13">
      <c r="A1524" s="4"/>
      <c r="B1524" t="str">
        <f t="shared" si="121"/>
        <v>7:38000107</v>
      </c>
      <c r="C1524" s="1">
        <v>7</v>
      </c>
      <c r="D1524" s="4">
        <v>38000107</v>
      </c>
      <c r="E1524" s="3" t="s">
        <v>1910</v>
      </c>
      <c r="F1524" s="3"/>
      <c r="G1524" s="1">
        <v>959.85</v>
      </c>
      <c r="H1524" s="1">
        <f t="shared" si="117"/>
        <v>959.85</v>
      </c>
      <c r="I1524" s="1" t="str">
        <f t="shared" si="118"/>
        <v/>
      </c>
      <c r="J1524" s="1" t="str">
        <f>_xlfn.IFNA(INDEX([1]历练产出!$Z:$Z,MATCH(B1524,[1]历练产出!$AB:$AB,0)),"")</f>
        <v/>
      </c>
      <c r="K1524" s="1" t="str">
        <f>_xlfn.IFNA(INDEX([1]洞天福地产出!$H:$H,MATCH(B1524,[1]洞天福地产出!$K:$K,0)),"")</f>
        <v/>
      </c>
      <c r="L1524" s="1" t="str">
        <f t="shared" si="119"/>
        <v/>
      </c>
      <c r="M1524" s="4">
        <f t="shared" si="120"/>
        <v>0</v>
      </c>
    </row>
    <row r="1525" ht="30" spans="1:13">
      <c r="A1525" s="4"/>
      <c r="B1525" t="str">
        <f t="shared" si="121"/>
        <v>7:38000108</v>
      </c>
      <c r="C1525" s="1">
        <v>7</v>
      </c>
      <c r="D1525" s="4">
        <v>38000108</v>
      </c>
      <c r="E1525" s="3" t="s">
        <v>1910</v>
      </c>
      <c r="F1525" s="3"/>
      <c r="G1525" s="1">
        <v>1053</v>
      </c>
      <c r="H1525" s="1">
        <f t="shared" si="117"/>
        <v>1053</v>
      </c>
      <c r="I1525" s="1" t="str">
        <f t="shared" si="118"/>
        <v/>
      </c>
      <c r="J1525" s="1" t="str">
        <f>_xlfn.IFNA(INDEX([1]历练产出!$Z:$Z,MATCH(B1525,[1]历练产出!$AB:$AB,0)),"")</f>
        <v/>
      </c>
      <c r="K1525" s="1" t="str">
        <f>_xlfn.IFNA(INDEX([1]洞天福地产出!$H:$H,MATCH(B1525,[1]洞天福地产出!$K:$K,0)),"")</f>
        <v/>
      </c>
      <c r="L1525" s="1" t="str">
        <f t="shared" si="119"/>
        <v/>
      </c>
      <c r="M1525" s="4">
        <f t="shared" si="120"/>
        <v>0</v>
      </c>
    </row>
    <row r="1526" ht="30" spans="1:13">
      <c r="A1526" s="4"/>
      <c r="B1526" t="str">
        <f t="shared" si="121"/>
        <v>7:38000109</v>
      </c>
      <c r="C1526" s="1">
        <v>7</v>
      </c>
      <c r="D1526" s="4">
        <v>38000109</v>
      </c>
      <c r="E1526" s="3" t="s">
        <v>1910</v>
      </c>
      <c r="F1526" s="3"/>
      <c r="G1526" s="1">
        <v>1806.3</v>
      </c>
      <c r="H1526" s="1">
        <f t="shared" si="117"/>
        <v>1806.3</v>
      </c>
      <c r="I1526" s="1" t="str">
        <f t="shared" si="118"/>
        <v/>
      </c>
      <c r="J1526" s="1" t="str">
        <f>_xlfn.IFNA(INDEX([1]历练产出!$Z:$Z,MATCH(B1526,[1]历练产出!$AB:$AB,0)),"")</f>
        <v/>
      </c>
      <c r="K1526" s="1" t="str">
        <f>_xlfn.IFNA(INDEX([1]洞天福地产出!$H:$H,MATCH(B1526,[1]洞天福地产出!$K:$K,0)),"")</f>
        <v/>
      </c>
      <c r="L1526" s="1" t="str">
        <f t="shared" si="119"/>
        <v/>
      </c>
      <c r="M1526" s="4">
        <f t="shared" si="120"/>
        <v>0</v>
      </c>
    </row>
    <row r="1527" ht="30" spans="1:13">
      <c r="A1527" s="4"/>
      <c r="B1527" t="str">
        <f t="shared" si="121"/>
        <v>7:38000110</v>
      </c>
      <c r="C1527" s="1">
        <v>7</v>
      </c>
      <c r="D1527" s="4">
        <v>38000110</v>
      </c>
      <c r="E1527" s="3" t="s">
        <v>1910</v>
      </c>
      <c r="F1527" s="3"/>
      <c r="G1527" s="1">
        <v>1923.75</v>
      </c>
      <c r="H1527" s="1">
        <f t="shared" si="117"/>
        <v>1923.75</v>
      </c>
      <c r="I1527" s="1" t="str">
        <f t="shared" si="118"/>
        <v/>
      </c>
      <c r="J1527" s="1" t="str">
        <f>_xlfn.IFNA(INDEX([1]历练产出!$Z:$Z,MATCH(B1527,[1]历练产出!$AB:$AB,0)),"")</f>
        <v/>
      </c>
      <c r="K1527" s="1" t="str">
        <f>_xlfn.IFNA(INDEX([1]洞天福地产出!$H:$H,MATCH(B1527,[1]洞天福地产出!$K:$K,0)),"")</f>
        <v/>
      </c>
      <c r="L1527" s="1" t="str">
        <f t="shared" si="119"/>
        <v/>
      </c>
      <c r="M1527" s="4">
        <f t="shared" si="120"/>
        <v>0</v>
      </c>
    </row>
    <row r="1528" ht="30" spans="1:13">
      <c r="A1528" s="4"/>
      <c r="B1528" t="str">
        <f t="shared" si="121"/>
        <v>7:38000111</v>
      </c>
      <c r="C1528" s="1">
        <v>7</v>
      </c>
      <c r="D1528" s="4">
        <v>38000111</v>
      </c>
      <c r="E1528" s="3" t="s">
        <v>1910</v>
      </c>
      <c r="F1528" s="3"/>
      <c r="G1528" s="1">
        <v>2053.35</v>
      </c>
      <c r="H1528" s="1">
        <f t="shared" si="117"/>
        <v>2053.35</v>
      </c>
      <c r="I1528" s="1" t="str">
        <f t="shared" si="118"/>
        <v/>
      </c>
      <c r="J1528" s="1" t="str">
        <f>_xlfn.IFNA(INDEX([1]历练产出!$Z:$Z,MATCH(B1528,[1]历练产出!$AB:$AB,0)),"")</f>
        <v/>
      </c>
      <c r="K1528" s="1" t="str">
        <f>_xlfn.IFNA(INDEX([1]洞天福地产出!$H:$H,MATCH(B1528,[1]洞天福地产出!$K:$K,0)),"")</f>
        <v/>
      </c>
      <c r="L1528" s="1" t="str">
        <f t="shared" si="119"/>
        <v/>
      </c>
      <c r="M1528" s="4">
        <f t="shared" si="120"/>
        <v>0</v>
      </c>
    </row>
    <row r="1529" ht="30" spans="1:13">
      <c r="A1529" s="4"/>
      <c r="B1529" t="str">
        <f t="shared" si="121"/>
        <v>7:38000112</v>
      </c>
      <c r="C1529" s="1">
        <v>7</v>
      </c>
      <c r="D1529" s="4">
        <v>38000112</v>
      </c>
      <c r="E1529" s="3" t="s">
        <v>1910</v>
      </c>
      <c r="F1529" s="3"/>
      <c r="G1529" s="1">
        <v>2195.1</v>
      </c>
      <c r="H1529" s="1">
        <f t="shared" si="117"/>
        <v>2195.1</v>
      </c>
      <c r="I1529" s="1" t="str">
        <f t="shared" si="118"/>
        <v/>
      </c>
      <c r="J1529" s="1" t="str">
        <f>_xlfn.IFNA(INDEX([1]历练产出!$Z:$Z,MATCH(B1529,[1]历练产出!$AB:$AB,0)),"")</f>
        <v/>
      </c>
      <c r="K1529" s="1" t="str">
        <f>_xlfn.IFNA(INDEX([1]洞天福地产出!$H:$H,MATCH(B1529,[1]洞天福地产出!$K:$K,0)),"")</f>
        <v/>
      </c>
      <c r="L1529" s="1" t="str">
        <f t="shared" si="119"/>
        <v/>
      </c>
      <c r="M1529" s="4">
        <f t="shared" si="120"/>
        <v>0</v>
      </c>
    </row>
    <row r="1530" ht="30" spans="1:13">
      <c r="A1530" s="4"/>
      <c r="B1530" t="str">
        <f t="shared" si="121"/>
        <v>7:38000113</v>
      </c>
      <c r="C1530" s="1">
        <v>7</v>
      </c>
      <c r="D1530" s="4">
        <v>38000113</v>
      </c>
      <c r="E1530" s="3" t="s">
        <v>1910</v>
      </c>
      <c r="F1530" s="3"/>
      <c r="G1530" s="1">
        <v>2349</v>
      </c>
      <c r="H1530" s="1">
        <f t="shared" si="117"/>
        <v>2349</v>
      </c>
      <c r="I1530" s="1" t="str">
        <f t="shared" si="118"/>
        <v/>
      </c>
      <c r="J1530" s="1" t="str">
        <f>_xlfn.IFNA(INDEX([1]历练产出!$Z:$Z,MATCH(B1530,[1]历练产出!$AB:$AB,0)),"")</f>
        <v/>
      </c>
      <c r="K1530" s="1" t="str">
        <f>_xlfn.IFNA(INDEX([1]洞天福地产出!$H:$H,MATCH(B1530,[1]洞天福地产出!$K:$K,0)),"")</f>
        <v/>
      </c>
      <c r="L1530" s="1" t="str">
        <f t="shared" si="119"/>
        <v/>
      </c>
      <c r="M1530" s="4">
        <f t="shared" si="120"/>
        <v>0</v>
      </c>
    </row>
    <row r="1531" ht="30" spans="1:13">
      <c r="A1531" s="4"/>
      <c r="B1531" t="str">
        <f t="shared" si="121"/>
        <v>7:38000114</v>
      </c>
      <c r="C1531" s="1">
        <v>7</v>
      </c>
      <c r="D1531" s="4">
        <v>38000114</v>
      </c>
      <c r="E1531" s="3" t="s">
        <v>1910</v>
      </c>
      <c r="F1531" s="3"/>
      <c r="G1531" s="1">
        <v>2515.05</v>
      </c>
      <c r="H1531" s="1">
        <f t="shared" si="117"/>
        <v>2515.05</v>
      </c>
      <c r="I1531" s="1" t="str">
        <f t="shared" si="118"/>
        <v/>
      </c>
      <c r="J1531" s="1" t="str">
        <f>_xlfn.IFNA(INDEX([1]历练产出!$Z:$Z,MATCH(B1531,[1]历练产出!$AB:$AB,0)),"")</f>
        <v/>
      </c>
      <c r="K1531" s="1" t="str">
        <f>_xlfn.IFNA(INDEX([1]洞天福地产出!$H:$H,MATCH(B1531,[1]洞天福地产出!$K:$K,0)),"")</f>
        <v/>
      </c>
      <c r="L1531" s="1" t="str">
        <f t="shared" si="119"/>
        <v/>
      </c>
      <c r="M1531" s="4">
        <f t="shared" si="120"/>
        <v>0</v>
      </c>
    </row>
    <row r="1532" ht="30" spans="1:13">
      <c r="A1532" s="4"/>
      <c r="B1532" t="str">
        <f t="shared" si="121"/>
        <v>7:38000115</v>
      </c>
      <c r="C1532" s="1">
        <v>7</v>
      </c>
      <c r="D1532" s="4">
        <v>38000115</v>
      </c>
      <c r="E1532" s="3" t="s">
        <v>1910</v>
      </c>
      <c r="F1532" s="3"/>
      <c r="G1532" s="1">
        <v>2693.25</v>
      </c>
      <c r="H1532" s="1">
        <f t="shared" si="117"/>
        <v>2693.25</v>
      </c>
      <c r="I1532" s="1" t="str">
        <f t="shared" si="118"/>
        <v/>
      </c>
      <c r="J1532" s="1" t="str">
        <f>_xlfn.IFNA(INDEX([1]历练产出!$Z:$Z,MATCH(B1532,[1]历练产出!$AB:$AB,0)),"")</f>
        <v/>
      </c>
      <c r="K1532" s="1" t="str">
        <f>_xlfn.IFNA(INDEX([1]洞天福地产出!$H:$H,MATCH(B1532,[1]洞天福地产出!$K:$K,0)),"")</f>
        <v/>
      </c>
      <c r="L1532" s="1" t="str">
        <f t="shared" si="119"/>
        <v/>
      </c>
      <c r="M1532" s="4">
        <f t="shared" si="120"/>
        <v>0</v>
      </c>
    </row>
    <row r="1533" ht="30" spans="1:13">
      <c r="A1533" s="4"/>
      <c r="B1533" t="str">
        <f t="shared" si="121"/>
        <v>7:38000116</v>
      </c>
      <c r="C1533" s="1">
        <v>7</v>
      </c>
      <c r="D1533" s="4">
        <v>38000116</v>
      </c>
      <c r="E1533" s="3" t="s">
        <v>1910</v>
      </c>
      <c r="F1533" s="3"/>
      <c r="G1533" s="1">
        <v>2883.6</v>
      </c>
      <c r="H1533" s="1">
        <f t="shared" si="117"/>
        <v>2883.6</v>
      </c>
      <c r="I1533" s="1" t="str">
        <f t="shared" si="118"/>
        <v/>
      </c>
      <c r="J1533" s="1" t="str">
        <f>_xlfn.IFNA(INDEX([1]历练产出!$Z:$Z,MATCH(B1533,[1]历练产出!$AB:$AB,0)),"")</f>
        <v/>
      </c>
      <c r="K1533" s="1" t="str">
        <f>_xlfn.IFNA(INDEX([1]洞天福地产出!$H:$H,MATCH(B1533,[1]洞天福地产出!$K:$K,0)),"")</f>
        <v/>
      </c>
      <c r="L1533" s="1" t="str">
        <f t="shared" si="119"/>
        <v/>
      </c>
      <c r="M1533" s="4">
        <f t="shared" si="120"/>
        <v>0</v>
      </c>
    </row>
    <row r="1534" ht="30" spans="1:13">
      <c r="A1534" s="4"/>
      <c r="B1534" t="str">
        <f t="shared" si="121"/>
        <v>7:38000117</v>
      </c>
      <c r="C1534" s="1">
        <v>7</v>
      </c>
      <c r="D1534" s="4">
        <v>38000117</v>
      </c>
      <c r="E1534" s="3" t="s">
        <v>1910</v>
      </c>
      <c r="F1534" s="3"/>
      <c r="G1534" s="1">
        <v>3086.1</v>
      </c>
      <c r="H1534" s="1">
        <f t="shared" si="117"/>
        <v>3086.1</v>
      </c>
      <c r="I1534" s="1" t="str">
        <f t="shared" si="118"/>
        <v/>
      </c>
      <c r="J1534" s="1" t="str">
        <f>_xlfn.IFNA(INDEX([1]历练产出!$Z:$Z,MATCH(B1534,[1]历练产出!$AB:$AB,0)),"")</f>
        <v/>
      </c>
      <c r="K1534" s="1" t="str">
        <f>_xlfn.IFNA(INDEX([1]洞天福地产出!$H:$H,MATCH(B1534,[1]洞天福地产出!$K:$K,0)),"")</f>
        <v/>
      </c>
      <c r="L1534" s="1" t="str">
        <f t="shared" si="119"/>
        <v/>
      </c>
      <c r="M1534" s="4">
        <f t="shared" si="120"/>
        <v>0</v>
      </c>
    </row>
    <row r="1535" ht="30" spans="1:13">
      <c r="A1535" s="4"/>
      <c r="B1535" t="str">
        <f t="shared" si="121"/>
        <v>7:38000118</v>
      </c>
      <c r="C1535" s="1">
        <v>7</v>
      </c>
      <c r="D1535" s="4">
        <v>38000118</v>
      </c>
      <c r="E1535" s="3" t="s">
        <v>1910</v>
      </c>
      <c r="F1535" s="3"/>
      <c r="G1535" s="1">
        <v>3300.75</v>
      </c>
      <c r="H1535" s="1">
        <f t="shared" si="117"/>
        <v>3300.75</v>
      </c>
      <c r="I1535" s="1" t="str">
        <f t="shared" si="118"/>
        <v/>
      </c>
      <c r="J1535" s="1" t="str">
        <f>_xlfn.IFNA(INDEX([1]历练产出!$Z:$Z,MATCH(B1535,[1]历练产出!$AB:$AB,0)),"")</f>
        <v/>
      </c>
      <c r="K1535" s="1" t="str">
        <f>_xlfn.IFNA(INDEX([1]洞天福地产出!$H:$H,MATCH(B1535,[1]洞天福地产出!$K:$K,0)),"")</f>
        <v/>
      </c>
      <c r="L1535" s="1" t="str">
        <f t="shared" si="119"/>
        <v/>
      </c>
      <c r="M1535" s="4">
        <f t="shared" si="120"/>
        <v>0</v>
      </c>
    </row>
    <row r="1536" ht="30" spans="1:13">
      <c r="A1536" s="4"/>
      <c r="B1536" t="str">
        <f t="shared" si="121"/>
        <v>7:38000119</v>
      </c>
      <c r="C1536" s="1">
        <v>7</v>
      </c>
      <c r="D1536" s="4">
        <v>38000119</v>
      </c>
      <c r="E1536" s="3" t="s">
        <v>1910</v>
      </c>
      <c r="F1536" s="3"/>
      <c r="G1536" s="1">
        <v>4823.55</v>
      </c>
      <c r="H1536" s="1">
        <f t="shared" si="117"/>
        <v>4823.55</v>
      </c>
      <c r="I1536" s="1" t="str">
        <f t="shared" si="118"/>
        <v/>
      </c>
      <c r="J1536" s="1" t="str">
        <f>_xlfn.IFNA(INDEX([1]历练产出!$Z:$Z,MATCH(B1536,[1]历练产出!$AB:$AB,0)),"")</f>
        <v/>
      </c>
      <c r="K1536" s="1" t="str">
        <f>_xlfn.IFNA(INDEX([1]洞天福地产出!$H:$H,MATCH(B1536,[1]洞天福地产出!$K:$K,0)),"")</f>
        <v/>
      </c>
      <c r="L1536" s="1" t="str">
        <f t="shared" si="119"/>
        <v/>
      </c>
      <c r="M1536" s="4">
        <f t="shared" si="120"/>
        <v>0</v>
      </c>
    </row>
    <row r="1537" ht="30" spans="1:13">
      <c r="A1537" s="4"/>
      <c r="B1537" t="str">
        <f t="shared" si="121"/>
        <v>7:38000120</v>
      </c>
      <c r="C1537" s="1">
        <v>7</v>
      </c>
      <c r="D1537" s="4">
        <v>38000120</v>
      </c>
      <c r="E1537" s="3" t="s">
        <v>1910</v>
      </c>
      <c r="F1537" s="3"/>
      <c r="G1537" s="1">
        <v>5062.5</v>
      </c>
      <c r="H1537" s="1">
        <f t="shared" si="117"/>
        <v>5062.5</v>
      </c>
      <c r="I1537" s="1" t="str">
        <f t="shared" si="118"/>
        <v/>
      </c>
      <c r="J1537" s="1" t="str">
        <f>_xlfn.IFNA(INDEX([1]历练产出!$Z:$Z,MATCH(B1537,[1]历练产出!$AB:$AB,0)),"")</f>
        <v/>
      </c>
      <c r="K1537" s="1" t="str">
        <f>_xlfn.IFNA(INDEX([1]洞天福地产出!$H:$H,MATCH(B1537,[1]洞天福地产出!$K:$K,0)),"")</f>
        <v/>
      </c>
      <c r="L1537" s="1" t="str">
        <f t="shared" si="119"/>
        <v/>
      </c>
      <c r="M1537" s="4">
        <f t="shared" si="120"/>
        <v>0</v>
      </c>
    </row>
    <row r="1538" ht="30" spans="1:13">
      <c r="A1538" s="4"/>
      <c r="B1538" t="str">
        <f t="shared" si="121"/>
        <v>7:38000121</v>
      </c>
      <c r="C1538" s="1">
        <v>7</v>
      </c>
      <c r="D1538" s="4">
        <v>38000121</v>
      </c>
      <c r="E1538" s="3" t="s">
        <v>1910</v>
      </c>
      <c r="F1538" s="3"/>
      <c r="G1538" s="1">
        <v>5313.6</v>
      </c>
      <c r="H1538" s="1">
        <f t="shared" si="117"/>
        <v>5313.6</v>
      </c>
      <c r="I1538" s="1" t="str">
        <f t="shared" si="118"/>
        <v/>
      </c>
      <c r="J1538" s="1" t="str">
        <f>_xlfn.IFNA(INDEX([1]历练产出!$Z:$Z,MATCH(B1538,[1]历练产出!$AB:$AB,0)),"")</f>
        <v/>
      </c>
      <c r="K1538" s="1" t="str">
        <f>_xlfn.IFNA(INDEX([1]洞天福地产出!$H:$H,MATCH(B1538,[1]洞天福地产出!$K:$K,0)),"")</f>
        <v/>
      </c>
      <c r="L1538" s="1" t="str">
        <f t="shared" si="119"/>
        <v/>
      </c>
      <c r="M1538" s="4">
        <f t="shared" si="120"/>
        <v>0</v>
      </c>
    </row>
    <row r="1539" ht="30" spans="1:13">
      <c r="A1539" s="4"/>
      <c r="B1539" t="str">
        <f t="shared" si="121"/>
        <v>7:38000122</v>
      </c>
      <c r="C1539" s="1">
        <v>7</v>
      </c>
      <c r="D1539" s="4">
        <v>38000122</v>
      </c>
      <c r="E1539" s="3" t="s">
        <v>1910</v>
      </c>
      <c r="F1539" s="3"/>
      <c r="G1539" s="1">
        <v>5576.85</v>
      </c>
      <c r="H1539" s="1">
        <f t="shared" si="117"/>
        <v>5576.85</v>
      </c>
      <c r="I1539" s="1" t="str">
        <f t="shared" si="118"/>
        <v/>
      </c>
      <c r="J1539" s="1" t="str">
        <f>_xlfn.IFNA(INDEX([1]历练产出!$Z:$Z,MATCH(B1539,[1]历练产出!$AB:$AB,0)),"")</f>
        <v/>
      </c>
      <c r="K1539" s="1" t="str">
        <f>_xlfn.IFNA(INDEX([1]洞天福地产出!$H:$H,MATCH(B1539,[1]洞天福地产出!$K:$K,0)),"")</f>
        <v/>
      </c>
      <c r="L1539" s="1" t="str">
        <f t="shared" si="119"/>
        <v/>
      </c>
      <c r="M1539" s="4">
        <f t="shared" si="120"/>
        <v>0</v>
      </c>
    </row>
    <row r="1540" ht="30" spans="1:13">
      <c r="A1540" s="4"/>
      <c r="B1540" t="str">
        <f t="shared" si="121"/>
        <v>7:38000123</v>
      </c>
      <c r="C1540" s="1">
        <v>7</v>
      </c>
      <c r="D1540" s="4">
        <v>38000123</v>
      </c>
      <c r="E1540" s="3" t="s">
        <v>1910</v>
      </c>
      <c r="F1540" s="3"/>
      <c r="G1540" s="1">
        <v>5852.25</v>
      </c>
      <c r="H1540" s="1">
        <f t="shared" ref="H1540:H1603" si="122">IF(I1540="",G1540,I1540)</f>
        <v>5852.25</v>
      </c>
      <c r="I1540" s="1" t="str">
        <f t="shared" ref="I1540:I1603" si="123">IFERROR(100/L1540,"")</f>
        <v/>
      </c>
      <c r="J1540" s="1" t="str">
        <f>_xlfn.IFNA(INDEX([1]历练产出!$Z:$Z,MATCH(B1540,[1]历练产出!$AB:$AB,0)),"")</f>
        <v/>
      </c>
      <c r="K1540" s="1" t="str">
        <f>_xlfn.IFNA(INDEX([1]洞天福地产出!$H:$H,MATCH(B1540,[1]洞天福地产出!$K:$K,0)),"")</f>
        <v/>
      </c>
      <c r="L1540" s="1" t="str">
        <f t="shared" ref="L1540:L1603" si="124">IFERROR(J1540+K1540,"")</f>
        <v/>
      </c>
      <c r="M1540" s="4">
        <f t="shared" ref="M1540:M1603" si="125">IF(I1540="",0,1)</f>
        <v>0</v>
      </c>
    </row>
    <row r="1541" ht="30" spans="1:13">
      <c r="A1541" s="4"/>
      <c r="B1541" t="str">
        <f t="shared" si="121"/>
        <v>7:38000124</v>
      </c>
      <c r="C1541" s="1">
        <v>7</v>
      </c>
      <c r="D1541" s="4">
        <v>38000124</v>
      </c>
      <c r="E1541" s="3" t="s">
        <v>1910</v>
      </c>
      <c r="F1541" s="3"/>
      <c r="G1541" s="1">
        <v>6139.8</v>
      </c>
      <c r="H1541" s="1">
        <f t="shared" si="122"/>
        <v>6139.8</v>
      </c>
      <c r="I1541" s="1" t="str">
        <f t="shared" si="123"/>
        <v/>
      </c>
      <c r="J1541" s="1" t="str">
        <f>_xlfn.IFNA(INDEX([1]历练产出!$Z:$Z,MATCH(B1541,[1]历练产出!$AB:$AB,0)),"")</f>
        <v/>
      </c>
      <c r="K1541" s="1" t="str">
        <f>_xlfn.IFNA(INDEX([1]洞天福地产出!$H:$H,MATCH(B1541,[1]洞天福地产出!$K:$K,0)),"")</f>
        <v/>
      </c>
      <c r="L1541" s="1" t="str">
        <f t="shared" si="124"/>
        <v/>
      </c>
      <c r="M1541" s="4">
        <f t="shared" si="125"/>
        <v>0</v>
      </c>
    </row>
    <row r="1542" ht="30" spans="1:13">
      <c r="A1542" s="4"/>
      <c r="B1542" t="str">
        <f t="shared" si="121"/>
        <v>7:38000125</v>
      </c>
      <c r="C1542" s="1">
        <v>7</v>
      </c>
      <c r="D1542" s="4">
        <v>38000125</v>
      </c>
      <c r="E1542" s="3" t="s">
        <v>1910</v>
      </c>
      <c r="F1542" s="3"/>
      <c r="G1542" s="1">
        <v>6439.5</v>
      </c>
      <c r="H1542" s="1">
        <f t="shared" si="122"/>
        <v>6439.5</v>
      </c>
      <c r="I1542" s="1" t="str">
        <f t="shared" si="123"/>
        <v/>
      </c>
      <c r="J1542" s="1" t="str">
        <f>_xlfn.IFNA(INDEX([1]历练产出!$Z:$Z,MATCH(B1542,[1]历练产出!$AB:$AB,0)),"")</f>
        <v/>
      </c>
      <c r="K1542" s="1" t="str">
        <f>_xlfn.IFNA(INDEX([1]洞天福地产出!$H:$H,MATCH(B1542,[1]洞天福地产出!$K:$K,0)),"")</f>
        <v/>
      </c>
      <c r="L1542" s="1" t="str">
        <f t="shared" si="124"/>
        <v/>
      </c>
      <c r="M1542" s="4">
        <f t="shared" si="125"/>
        <v>0</v>
      </c>
    </row>
    <row r="1543" ht="30" spans="1:13">
      <c r="A1543" s="4"/>
      <c r="B1543" t="str">
        <f t="shared" si="121"/>
        <v>7:38000126</v>
      </c>
      <c r="C1543" s="1">
        <v>7</v>
      </c>
      <c r="D1543" s="4">
        <v>38000126</v>
      </c>
      <c r="E1543" s="3" t="s">
        <v>1910</v>
      </c>
      <c r="F1543" s="3"/>
      <c r="G1543" s="1">
        <v>6751.35</v>
      </c>
      <c r="H1543" s="1">
        <f t="shared" si="122"/>
        <v>6751.35</v>
      </c>
      <c r="I1543" s="1" t="str">
        <f t="shared" si="123"/>
        <v/>
      </c>
      <c r="J1543" s="1" t="str">
        <f>_xlfn.IFNA(INDEX([1]历练产出!$Z:$Z,MATCH(B1543,[1]历练产出!$AB:$AB,0)),"")</f>
        <v/>
      </c>
      <c r="K1543" s="1" t="str">
        <f>_xlfn.IFNA(INDEX([1]洞天福地产出!$H:$H,MATCH(B1543,[1]洞天福地产出!$K:$K,0)),"")</f>
        <v/>
      </c>
      <c r="L1543" s="1" t="str">
        <f t="shared" si="124"/>
        <v/>
      </c>
      <c r="M1543" s="4">
        <f t="shared" si="125"/>
        <v>0</v>
      </c>
    </row>
    <row r="1544" ht="30" spans="1:13">
      <c r="A1544" s="4"/>
      <c r="B1544" t="str">
        <f t="shared" si="121"/>
        <v>7:38000127</v>
      </c>
      <c r="C1544" s="1">
        <v>7</v>
      </c>
      <c r="D1544" s="4">
        <v>38000127</v>
      </c>
      <c r="E1544" s="3" t="s">
        <v>1910</v>
      </c>
      <c r="F1544" s="3"/>
      <c r="G1544" s="1">
        <v>7075.35</v>
      </c>
      <c r="H1544" s="1">
        <f t="shared" si="122"/>
        <v>7075.35</v>
      </c>
      <c r="I1544" s="1" t="str">
        <f t="shared" si="123"/>
        <v/>
      </c>
      <c r="J1544" s="1" t="str">
        <f>_xlfn.IFNA(INDEX([1]历练产出!$Z:$Z,MATCH(B1544,[1]历练产出!$AB:$AB,0)),"")</f>
        <v/>
      </c>
      <c r="K1544" s="1" t="str">
        <f>_xlfn.IFNA(INDEX([1]洞天福地产出!$H:$H,MATCH(B1544,[1]洞天福地产出!$K:$K,0)),"")</f>
        <v/>
      </c>
      <c r="L1544" s="1" t="str">
        <f t="shared" si="124"/>
        <v/>
      </c>
      <c r="M1544" s="4">
        <f t="shared" si="125"/>
        <v>0</v>
      </c>
    </row>
    <row r="1545" ht="30" spans="1:13">
      <c r="A1545" s="4"/>
      <c r="B1545" t="str">
        <f t="shared" si="121"/>
        <v>7:38000128</v>
      </c>
      <c r="C1545" s="1">
        <v>7</v>
      </c>
      <c r="D1545" s="4">
        <v>38000128</v>
      </c>
      <c r="E1545" s="3" t="s">
        <v>1910</v>
      </c>
      <c r="F1545" s="3"/>
      <c r="G1545" s="1">
        <v>7411.5</v>
      </c>
      <c r="H1545" s="1">
        <f t="shared" si="122"/>
        <v>7411.5</v>
      </c>
      <c r="I1545" s="1" t="str">
        <f t="shared" si="123"/>
        <v/>
      </c>
      <c r="J1545" s="1" t="str">
        <f>_xlfn.IFNA(INDEX([1]历练产出!$Z:$Z,MATCH(B1545,[1]历练产出!$AB:$AB,0)),"")</f>
        <v/>
      </c>
      <c r="K1545" s="1" t="str">
        <f>_xlfn.IFNA(INDEX([1]洞天福地产出!$H:$H,MATCH(B1545,[1]洞天福地产出!$K:$K,0)),"")</f>
        <v/>
      </c>
      <c r="L1545" s="1" t="str">
        <f t="shared" si="124"/>
        <v/>
      </c>
      <c r="M1545" s="4">
        <f t="shared" si="125"/>
        <v>0</v>
      </c>
    </row>
    <row r="1546" ht="30" spans="1:13">
      <c r="A1546" s="4"/>
      <c r="B1546" t="str">
        <f t="shared" si="121"/>
        <v>7:38000129</v>
      </c>
      <c r="C1546" s="1">
        <v>7</v>
      </c>
      <c r="D1546" s="4">
        <v>38000129</v>
      </c>
      <c r="E1546" s="3" t="s">
        <v>1910</v>
      </c>
      <c r="F1546" s="3"/>
      <c r="G1546" s="1">
        <v>9703.8</v>
      </c>
      <c r="H1546" s="1">
        <f t="shared" si="122"/>
        <v>9703.8</v>
      </c>
      <c r="I1546" s="1" t="str">
        <f t="shared" si="123"/>
        <v/>
      </c>
      <c r="J1546" s="1" t="str">
        <f>_xlfn.IFNA(INDEX([1]历练产出!$Z:$Z,MATCH(B1546,[1]历练产出!$AB:$AB,0)),"")</f>
        <v/>
      </c>
      <c r="K1546" s="1" t="str">
        <f>_xlfn.IFNA(INDEX([1]洞天福地产出!$H:$H,MATCH(B1546,[1]洞天福地产出!$K:$K,0)),"")</f>
        <v/>
      </c>
      <c r="L1546" s="1" t="str">
        <f t="shared" si="124"/>
        <v/>
      </c>
      <c r="M1546" s="4">
        <f t="shared" si="125"/>
        <v>0</v>
      </c>
    </row>
    <row r="1547" ht="30" spans="1:13">
      <c r="A1547" s="4"/>
      <c r="B1547" t="str">
        <f t="shared" si="121"/>
        <v>7:38000130</v>
      </c>
      <c r="C1547" s="1">
        <v>7</v>
      </c>
      <c r="D1547" s="4">
        <v>38000130</v>
      </c>
      <c r="E1547" s="3" t="s">
        <v>1910</v>
      </c>
      <c r="F1547" s="3"/>
      <c r="G1547" s="1">
        <v>10052.1</v>
      </c>
      <c r="H1547" s="1">
        <f t="shared" si="122"/>
        <v>10052.1</v>
      </c>
      <c r="I1547" s="1" t="str">
        <f t="shared" si="123"/>
        <v/>
      </c>
      <c r="J1547" s="1" t="str">
        <f>_xlfn.IFNA(INDEX([1]历练产出!$Z:$Z,MATCH(B1547,[1]历练产出!$AB:$AB,0)),"")</f>
        <v/>
      </c>
      <c r="K1547" s="1" t="str">
        <f>_xlfn.IFNA(INDEX([1]洞天福地产出!$H:$H,MATCH(B1547,[1]洞天福地产出!$K:$K,0)),"")</f>
        <v/>
      </c>
      <c r="L1547" s="1" t="str">
        <f t="shared" si="124"/>
        <v/>
      </c>
      <c r="M1547" s="4">
        <f t="shared" si="125"/>
        <v>0</v>
      </c>
    </row>
    <row r="1548" ht="45" spans="1:13">
      <c r="A1548" s="4"/>
      <c r="B1548" t="str">
        <f t="shared" si="121"/>
        <v>7:39000101</v>
      </c>
      <c r="C1548" s="1">
        <v>7</v>
      </c>
      <c r="D1548" s="4">
        <v>39000101</v>
      </c>
      <c r="E1548" s="3" t="s">
        <v>501</v>
      </c>
      <c r="F1548" s="3"/>
      <c r="G1548" s="1">
        <v>656.1</v>
      </c>
      <c r="H1548" s="1">
        <f t="shared" si="122"/>
        <v>656.1</v>
      </c>
      <c r="I1548" s="1" t="str">
        <f t="shared" si="123"/>
        <v/>
      </c>
      <c r="J1548" s="1" t="str">
        <f>_xlfn.IFNA(INDEX([1]历练产出!$Z:$Z,MATCH(B1548,[1]历练产出!$AB:$AB,0)),"")</f>
        <v/>
      </c>
      <c r="K1548" s="1" t="str">
        <f>_xlfn.IFNA(INDEX([1]洞天福地产出!$H:$H,MATCH(B1548,[1]洞天福地产出!$K:$K,0)),"")</f>
        <v/>
      </c>
      <c r="L1548" s="1" t="str">
        <f t="shared" si="124"/>
        <v/>
      </c>
      <c r="M1548" s="4">
        <f t="shared" si="125"/>
        <v>0</v>
      </c>
    </row>
    <row r="1549" ht="45" spans="1:13">
      <c r="A1549" s="4"/>
      <c r="B1549" t="str">
        <f t="shared" si="121"/>
        <v>7:39000102</v>
      </c>
      <c r="C1549" s="1">
        <v>7</v>
      </c>
      <c r="D1549" s="4">
        <v>39000102</v>
      </c>
      <c r="E1549" s="3" t="s">
        <v>501</v>
      </c>
      <c r="F1549" s="3"/>
      <c r="G1549" s="1">
        <v>676.35</v>
      </c>
      <c r="H1549" s="1">
        <f t="shared" si="122"/>
        <v>676.35</v>
      </c>
      <c r="I1549" s="1" t="str">
        <f t="shared" si="123"/>
        <v/>
      </c>
      <c r="J1549" s="1" t="str">
        <f>_xlfn.IFNA(INDEX([1]历练产出!$Z:$Z,MATCH(B1549,[1]历练产出!$AB:$AB,0)),"")</f>
        <v/>
      </c>
      <c r="K1549" s="1" t="str">
        <f>_xlfn.IFNA(INDEX([1]洞天福地产出!$H:$H,MATCH(B1549,[1]洞天福地产出!$K:$K,0)),"")</f>
        <v/>
      </c>
      <c r="L1549" s="1" t="str">
        <f t="shared" si="124"/>
        <v/>
      </c>
      <c r="M1549" s="4">
        <f t="shared" si="125"/>
        <v>0</v>
      </c>
    </row>
    <row r="1550" ht="45" spans="1:13">
      <c r="A1550" s="4"/>
      <c r="B1550" t="str">
        <f t="shared" si="121"/>
        <v>7:39000103</v>
      </c>
      <c r="C1550" s="1">
        <v>7</v>
      </c>
      <c r="D1550" s="4">
        <v>39000103</v>
      </c>
      <c r="E1550" s="3" t="s">
        <v>501</v>
      </c>
      <c r="F1550" s="3"/>
      <c r="G1550" s="1">
        <v>708.75</v>
      </c>
      <c r="H1550" s="1">
        <f t="shared" si="122"/>
        <v>708.75</v>
      </c>
      <c r="I1550" s="1" t="str">
        <f t="shared" si="123"/>
        <v/>
      </c>
      <c r="J1550" s="1" t="str">
        <f>_xlfn.IFNA(INDEX([1]历练产出!$Z:$Z,MATCH(B1550,[1]历练产出!$AB:$AB,0)),"")</f>
        <v/>
      </c>
      <c r="K1550" s="1" t="str">
        <f>_xlfn.IFNA(INDEX([1]洞天福地产出!$H:$H,MATCH(B1550,[1]洞天福地产出!$K:$K,0)),"")</f>
        <v/>
      </c>
      <c r="L1550" s="1" t="str">
        <f t="shared" si="124"/>
        <v/>
      </c>
      <c r="M1550" s="4">
        <f t="shared" si="125"/>
        <v>0</v>
      </c>
    </row>
    <row r="1551" ht="45" spans="1:13">
      <c r="A1551" s="4"/>
      <c r="B1551" t="str">
        <f t="shared" si="121"/>
        <v>7:39000104</v>
      </c>
      <c r="C1551" s="1">
        <v>7</v>
      </c>
      <c r="D1551" s="4">
        <v>39000104</v>
      </c>
      <c r="E1551" s="3" t="s">
        <v>501</v>
      </c>
      <c r="F1551" s="3"/>
      <c r="G1551" s="1">
        <v>753.3</v>
      </c>
      <c r="H1551" s="1">
        <f t="shared" si="122"/>
        <v>753.3</v>
      </c>
      <c r="I1551" s="1" t="str">
        <f t="shared" si="123"/>
        <v/>
      </c>
      <c r="J1551" s="1" t="str">
        <f>_xlfn.IFNA(INDEX([1]历练产出!$Z:$Z,MATCH(B1551,[1]历练产出!$AB:$AB,0)),"")</f>
        <v/>
      </c>
      <c r="K1551" s="1" t="str">
        <f>_xlfn.IFNA(INDEX([1]洞天福地产出!$H:$H,MATCH(B1551,[1]洞天福地产出!$K:$K,0)),"")</f>
        <v/>
      </c>
      <c r="L1551" s="1" t="str">
        <f t="shared" si="124"/>
        <v/>
      </c>
      <c r="M1551" s="4">
        <f t="shared" si="125"/>
        <v>0</v>
      </c>
    </row>
    <row r="1552" ht="45" spans="1:13">
      <c r="A1552" s="4"/>
      <c r="B1552" t="str">
        <f t="shared" si="121"/>
        <v>7:39000105</v>
      </c>
      <c r="C1552" s="1">
        <v>7</v>
      </c>
      <c r="D1552" s="4">
        <v>39000105</v>
      </c>
      <c r="E1552" s="3" t="s">
        <v>501</v>
      </c>
      <c r="F1552" s="3"/>
      <c r="G1552" s="1">
        <v>810</v>
      </c>
      <c r="H1552" s="1">
        <f t="shared" si="122"/>
        <v>810</v>
      </c>
      <c r="I1552" s="1" t="str">
        <f t="shared" si="123"/>
        <v/>
      </c>
      <c r="J1552" s="1" t="str">
        <f>_xlfn.IFNA(INDEX([1]历练产出!$Z:$Z,MATCH(B1552,[1]历练产出!$AB:$AB,0)),"")</f>
        <v/>
      </c>
      <c r="K1552" s="1" t="str">
        <f>_xlfn.IFNA(INDEX([1]洞天福地产出!$H:$H,MATCH(B1552,[1]洞天福地产出!$K:$K,0)),"")</f>
        <v/>
      </c>
      <c r="L1552" s="1" t="str">
        <f t="shared" si="124"/>
        <v/>
      </c>
      <c r="M1552" s="4">
        <f t="shared" si="125"/>
        <v>0</v>
      </c>
    </row>
    <row r="1553" ht="45" spans="1:13">
      <c r="A1553" s="4"/>
      <c r="B1553" t="str">
        <f t="shared" si="121"/>
        <v>7:39000106</v>
      </c>
      <c r="C1553" s="1">
        <v>7</v>
      </c>
      <c r="D1553" s="4">
        <v>39000106</v>
      </c>
      <c r="E1553" s="3" t="s">
        <v>501</v>
      </c>
      <c r="F1553" s="3"/>
      <c r="G1553" s="1">
        <v>878.85</v>
      </c>
      <c r="H1553" s="1">
        <f t="shared" si="122"/>
        <v>878.85</v>
      </c>
      <c r="I1553" s="1" t="str">
        <f t="shared" si="123"/>
        <v/>
      </c>
      <c r="J1553" s="1" t="str">
        <f>_xlfn.IFNA(INDEX([1]历练产出!$Z:$Z,MATCH(B1553,[1]历练产出!$AB:$AB,0)),"")</f>
        <v/>
      </c>
      <c r="K1553" s="1" t="str">
        <f>_xlfn.IFNA(INDEX([1]洞天福地产出!$H:$H,MATCH(B1553,[1]洞天福地产出!$K:$K,0)),"")</f>
        <v/>
      </c>
      <c r="L1553" s="1" t="str">
        <f t="shared" si="124"/>
        <v/>
      </c>
      <c r="M1553" s="4">
        <f t="shared" si="125"/>
        <v>0</v>
      </c>
    </row>
    <row r="1554" ht="45" spans="1:13">
      <c r="A1554" s="4"/>
      <c r="B1554" t="str">
        <f t="shared" si="121"/>
        <v>7:39000107</v>
      </c>
      <c r="C1554" s="1">
        <v>7</v>
      </c>
      <c r="D1554" s="4">
        <v>39000107</v>
      </c>
      <c r="E1554" s="3" t="s">
        <v>501</v>
      </c>
      <c r="F1554" s="3"/>
      <c r="G1554" s="1">
        <v>959.85</v>
      </c>
      <c r="H1554" s="1">
        <f t="shared" si="122"/>
        <v>959.85</v>
      </c>
      <c r="I1554" s="1" t="str">
        <f t="shared" si="123"/>
        <v/>
      </c>
      <c r="J1554" s="1" t="str">
        <f>_xlfn.IFNA(INDEX([1]历练产出!$Z:$Z,MATCH(B1554,[1]历练产出!$AB:$AB,0)),"")</f>
        <v/>
      </c>
      <c r="K1554" s="1" t="str">
        <f>_xlfn.IFNA(INDEX([1]洞天福地产出!$H:$H,MATCH(B1554,[1]洞天福地产出!$K:$K,0)),"")</f>
        <v/>
      </c>
      <c r="L1554" s="1" t="str">
        <f t="shared" si="124"/>
        <v/>
      </c>
      <c r="M1554" s="4">
        <f t="shared" si="125"/>
        <v>0</v>
      </c>
    </row>
    <row r="1555" ht="45" spans="1:13">
      <c r="A1555" s="4"/>
      <c r="B1555" t="str">
        <f t="shared" si="121"/>
        <v>7:39000108</v>
      </c>
      <c r="C1555" s="1">
        <v>7</v>
      </c>
      <c r="D1555" s="4">
        <v>39000108</v>
      </c>
      <c r="E1555" s="3" t="s">
        <v>501</v>
      </c>
      <c r="F1555" s="3"/>
      <c r="G1555" s="1">
        <v>1053</v>
      </c>
      <c r="H1555" s="1">
        <f t="shared" si="122"/>
        <v>1053</v>
      </c>
      <c r="I1555" s="1" t="str">
        <f t="shared" si="123"/>
        <v/>
      </c>
      <c r="J1555" s="1" t="str">
        <f>_xlfn.IFNA(INDEX([1]历练产出!$Z:$Z,MATCH(B1555,[1]历练产出!$AB:$AB,0)),"")</f>
        <v/>
      </c>
      <c r="K1555" s="1" t="str">
        <f>_xlfn.IFNA(INDEX([1]洞天福地产出!$H:$H,MATCH(B1555,[1]洞天福地产出!$K:$K,0)),"")</f>
        <v/>
      </c>
      <c r="L1555" s="1" t="str">
        <f t="shared" si="124"/>
        <v/>
      </c>
      <c r="M1555" s="4">
        <f t="shared" si="125"/>
        <v>0</v>
      </c>
    </row>
    <row r="1556" ht="45" spans="1:13">
      <c r="A1556" s="4"/>
      <c r="B1556" t="str">
        <f t="shared" si="121"/>
        <v>7:39000109</v>
      </c>
      <c r="C1556" s="1">
        <v>7</v>
      </c>
      <c r="D1556" s="4">
        <v>39000109</v>
      </c>
      <c r="E1556" s="3" t="s">
        <v>501</v>
      </c>
      <c r="F1556" s="3"/>
      <c r="G1556" s="1">
        <v>1806.3</v>
      </c>
      <c r="H1556" s="1">
        <f t="shared" si="122"/>
        <v>1806.3</v>
      </c>
      <c r="I1556" s="1" t="str">
        <f t="shared" si="123"/>
        <v/>
      </c>
      <c r="J1556" s="1" t="str">
        <f>_xlfn.IFNA(INDEX([1]历练产出!$Z:$Z,MATCH(B1556,[1]历练产出!$AB:$AB,0)),"")</f>
        <v/>
      </c>
      <c r="K1556" s="1" t="str">
        <f>_xlfn.IFNA(INDEX([1]洞天福地产出!$H:$H,MATCH(B1556,[1]洞天福地产出!$K:$K,0)),"")</f>
        <v/>
      </c>
      <c r="L1556" s="1" t="str">
        <f t="shared" si="124"/>
        <v/>
      </c>
      <c r="M1556" s="4">
        <f t="shared" si="125"/>
        <v>0</v>
      </c>
    </row>
    <row r="1557" ht="45" spans="1:13">
      <c r="A1557" s="4"/>
      <c r="B1557" t="str">
        <f t="shared" si="121"/>
        <v>7:39000110</v>
      </c>
      <c r="C1557" s="1">
        <v>7</v>
      </c>
      <c r="D1557" s="4">
        <v>39000110</v>
      </c>
      <c r="E1557" s="3" t="s">
        <v>501</v>
      </c>
      <c r="F1557" s="3"/>
      <c r="G1557" s="1">
        <v>1923.75</v>
      </c>
      <c r="H1557" s="1">
        <f t="shared" si="122"/>
        <v>1923.75</v>
      </c>
      <c r="I1557" s="1" t="str">
        <f t="shared" si="123"/>
        <v/>
      </c>
      <c r="J1557" s="1" t="str">
        <f>_xlfn.IFNA(INDEX([1]历练产出!$Z:$Z,MATCH(B1557,[1]历练产出!$AB:$AB,0)),"")</f>
        <v/>
      </c>
      <c r="K1557" s="1" t="str">
        <f>_xlfn.IFNA(INDEX([1]洞天福地产出!$H:$H,MATCH(B1557,[1]洞天福地产出!$K:$K,0)),"")</f>
        <v/>
      </c>
      <c r="L1557" s="1" t="str">
        <f t="shared" si="124"/>
        <v/>
      </c>
      <c r="M1557" s="4">
        <f t="shared" si="125"/>
        <v>0</v>
      </c>
    </row>
    <row r="1558" ht="45" spans="1:13">
      <c r="A1558" s="4"/>
      <c r="B1558" t="str">
        <f t="shared" si="121"/>
        <v>7:39000111</v>
      </c>
      <c r="C1558" s="1">
        <v>7</v>
      </c>
      <c r="D1558" s="4">
        <v>39000111</v>
      </c>
      <c r="E1558" s="3" t="s">
        <v>501</v>
      </c>
      <c r="F1558" s="3"/>
      <c r="G1558" s="1">
        <v>2053.35</v>
      </c>
      <c r="H1558" s="1">
        <f t="shared" si="122"/>
        <v>2053.35</v>
      </c>
      <c r="I1558" s="1" t="str">
        <f t="shared" si="123"/>
        <v/>
      </c>
      <c r="J1558" s="1" t="str">
        <f>_xlfn.IFNA(INDEX([1]历练产出!$Z:$Z,MATCH(B1558,[1]历练产出!$AB:$AB,0)),"")</f>
        <v/>
      </c>
      <c r="K1558" s="1" t="str">
        <f>_xlfn.IFNA(INDEX([1]洞天福地产出!$H:$H,MATCH(B1558,[1]洞天福地产出!$K:$K,0)),"")</f>
        <v/>
      </c>
      <c r="L1558" s="1" t="str">
        <f t="shared" si="124"/>
        <v/>
      </c>
      <c r="M1558" s="4">
        <f t="shared" si="125"/>
        <v>0</v>
      </c>
    </row>
    <row r="1559" ht="45" spans="1:13">
      <c r="A1559" s="4"/>
      <c r="B1559" t="str">
        <f t="shared" si="121"/>
        <v>7:39000112</v>
      </c>
      <c r="C1559" s="1">
        <v>7</v>
      </c>
      <c r="D1559" s="4">
        <v>39000112</v>
      </c>
      <c r="E1559" s="3" t="s">
        <v>501</v>
      </c>
      <c r="F1559" s="3"/>
      <c r="G1559" s="1">
        <v>2195.1</v>
      </c>
      <c r="H1559" s="1">
        <f t="shared" si="122"/>
        <v>2195.1</v>
      </c>
      <c r="I1559" s="1" t="str">
        <f t="shared" si="123"/>
        <v/>
      </c>
      <c r="J1559" s="1" t="str">
        <f>_xlfn.IFNA(INDEX([1]历练产出!$Z:$Z,MATCH(B1559,[1]历练产出!$AB:$AB,0)),"")</f>
        <v/>
      </c>
      <c r="K1559" s="1" t="str">
        <f>_xlfn.IFNA(INDEX([1]洞天福地产出!$H:$H,MATCH(B1559,[1]洞天福地产出!$K:$K,0)),"")</f>
        <v/>
      </c>
      <c r="L1559" s="1" t="str">
        <f t="shared" si="124"/>
        <v/>
      </c>
      <c r="M1559" s="4">
        <f t="shared" si="125"/>
        <v>0</v>
      </c>
    </row>
    <row r="1560" ht="45" spans="1:13">
      <c r="A1560" s="4"/>
      <c r="B1560" t="str">
        <f t="shared" si="121"/>
        <v>7:39000113</v>
      </c>
      <c r="C1560" s="1">
        <v>7</v>
      </c>
      <c r="D1560" s="4">
        <v>39000113</v>
      </c>
      <c r="E1560" s="3" t="s">
        <v>501</v>
      </c>
      <c r="F1560" s="3"/>
      <c r="G1560" s="1">
        <v>2349</v>
      </c>
      <c r="H1560" s="1">
        <f t="shared" si="122"/>
        <v>2349</v>
      </c>
      <c r="I1560" s="1" t="str">
        <f t="shared" si="123"/>
        <v/>
      </c>
      <c r="J1560" s="1" t="str">
        <f>_xlfn.IFNA(INDEX([1]历练产出!$Z:$Z,MATCH(B1560,[1]历练产出!$AB:$AB,0)),"")</f>
        <v/>
      </c>
      <c r="K1560" s="1" t="str">
        <f>_xlfn.IFNA(INDEX([1]洞天福地产出!$H:$H,MATCH(B1560,[1]洞天福地产出!$K:$K,0)),"")</f>
        <v/>
      </c>
      <c r="L1560" s="1" t="str">
        <f t="shared" si="124"/>
        <v/>
      </c>
      <c r="M1560" s="4">
        <f t="shared" si="125"/>
        <v>0</v>
      </c>
    </row>
    <row r="1561" ht="45" spans="1:13">
      <c r="A1561" s="4"/>
      <c r="B1561" t="str">
        <f t="shared" si="121"/>
        <v>7:39000114</v>
      </c>
      <c r="C1561" s="1">
        <v>7</v>
      </c>
      <c r="D1561" s="4">
        <v>39000114</v>
      </c>
      <c r="E1561" s="3" t="s">
        <v>501</v>
      </c>
      <c r="F1561" s="3"/>
      <c r="G1561" s="1">
        <v>2515.05</v>
      </c>
      <c r="H1561" s="1">
        <f t="shared" si="122"/>
        <v>2515.05</v>
      </c>
      <c r="I1561" s="1" t="str">
        <f t="shared" si="123"/>
        <v/>
      </c>
      <c r="J1561" s="1" t="str">
        <f>_xlfn.IFNA(INDEX([1]历练产出!$Z:$Z,MATCH(B1561,[1]历练产出!$AB:$AB,0)),"")</f>
        <v/>
      </c>
      <c r="K1561" s="1" t="str">
        <f>_xlfn.IFNA(INDEX([1]洞天福地产出!$H:$H,MATCH(B1561,[1]洞天福地产出!$K:$K,0)),"")</f>
        <v/>
      </c>
      <c r="L1561" s="1" t="str">
        <f t="shared" si="124"/>
        <v/>
      </c>
      <c r="M1561" s="4">
        <f t="shared" si="125"/>
        <v>0</v>
      </c>
    </row>
    <row r="1562" ht="45" spans="1:13">
      <c r="A1562" s="4"/>
      <c r="B1562" t="str">
        <f t="shared" si="121"/>
        <v>7:39000115</v>
      </c>
      <c r="C1562" s="1">
        <v>7</v>
      </c>
      <c r="D1562" s="4">
        <v>39000115</v>
      </c>
      <c r="E1562" s="3" t="s">
        <v>501</v>
      </c>
      <c r="F1562" s="3"/>
      <c r="G1562" s="1">
        <v>2693.25</v>
      </c>
      <c r="H1562" s="1">
        <f t="shared" si="122"/>
        <v>2693.25</v>
      </c>
      <c r="I1562" s="1" t="str">
        <f t="shared" si="123"/>
        <v/>
      </c>
      <c r="J1562" s="1" t="str">
        <f>_xlfn.IFNA(INDEX([1]历练产出!$Z:$Z,MATCH(B1562,[1]历练产出!$AB:$AB,0)),"")</f>
        <v/>
      </c>
      <c r="K1562" s="1" t="str">
        <f>_xlfn.IFNA(INDEX([1]洞天福地产出!$H:$H,MATCH(B1562,[1]洞天福地产出!$K:$K,0)),"")</f>
        <v/>
      </c>
      <c r="L1562" s="1" t="str">
        <f t="shared" si="124"/>
        <v/>
      </c>
      <c r="M1562" s="4">
        <f t="shared" si="125"/>
        <v>0</v>
      </c>
    </row>
    <row r="1563" ht="45" spans="1:13">
      <c r="A1563" s="4"/>
      <c r="B1563" t="str">
        <f t="shared" si="121"/>
        <v>7:39000116</v>
      </c>
      <c r="C1563" s="1">
        <v>7</v>
      </c>
      <c r="D1563" s="4">
        <v>39000116</v>
      </c>
      <c r="E1563" s="3" t="s">
        <v>501</v>
      </c>
      <c r="F1563" s="3"/>
      <c r="G1563" s="1">
        <v>2883.6</v>
      </c>
      <c r="H1563" s="1">
        <f t="shared" si="122"/>
        <v>2883.6</v>
      </c>
      <c r="I1563" s="1" t="str">
        <f t="shared" si="123"/>
        <v/>
      </c>
      <c r="J1563" s="1" t="str">
        <f>_xlfn.IFNA(INDEX([1]历练产出!$Z:$Z,MATCH(B1563,[1]历练产出!$AB:$AB,0)),"")</f>
        <v/>
      </c>
      <c r="K1563" s="1" t="str">
        <f>_xlfn.IFNA(INDEX([1]洞天福地产出!$H:$H,MATCH(B1563,[1]洞天福地产出!$K:$K,0)),"")</f>
        <v/>
      </c>
      <c r="L1563" s="1" t="str">
        <f t="shared" si="124"/>
        <v/>
      </c>
      <c r="M1563" s="4">
        <f t="shared" si="125"/>
        <v>0</v>
      </c>
    </row>
    <row r="1564" ht="45" spans="1:13">
      <c r="A1564" s="4"/>
      <c r="B1564" t="str">
        <f t="shared" si="121"/>
        <v>7:39000117</v>
      </c>
      <c r="C1564" s="1">
        <v>7</v>
      </c>
      <c r="D1564" s="4">
        <v>39000117</v>
      </c>
      <c r="E1564" s="3" t="s">
        <v>501</v>
      </c>
      <c r="F1564" s="3"/>
      <c r="G1564" s="1">
        <v>3086.1</v>
      </c>
      <c r="H1564" s="1">
        <f t="shared" si="122"/>
        <v>3086.1</v>
      </c>
      <c r="I1564" s="1" t="str">
        <f t="shared" si="123"/>
        <v/>
      </c>
      <c r="J1564" s="1" t="str">
        <f>_xlfn.IFNA(INDEX([1]历练产出!$Z:$Z,MATCH(B1564,[1]历练产出!$AB:$AB,0)),"")</f>
        <v/>
      </c>
      <c r="K1564" s="1" t="str">
        <f>_xlfn.IFNA(INDEX([1]洞天福地产出!$H:$H,MATCH(B1564,[1]洞天福地产出!$K:$K,0)),"")</f>
        <v/>
      </c>
      <c r="L1564" s="1" t="str">
        <f t="shared" si="124"/>
        <v/>
      </c>
      <c r="M1564" s="4">
        <f t="shared" si="125"/>
        <v>0</v>
      </c>
    </row>
    <row r="1565" ht="45" spans="1:13">
      <c r="A1565" s="4"/>
      <c r="B1565" t="str">
        <f t="shared" si="121"/>
        <v>7:39000118</v>
      </c>
      <c r="C1565" s="1">
        <v>7</v>
      </c>
      <c r="D1565" s="4">
        <v>39000118</v>
      </c>
      <c r="E1565" s="3" t="s">
        <v>501</v>
      </c>
      <c r="F1565" s="3"/>
      <c r="G1565" s="1">
        <v>3300.75</v>
      </c>
      <c r="H1565" s="1">
        <f t="shared" si="122"/>
        <v>3300.75</v>
      </c>
      <c r="I1565" s="1" t="str">
        <f t="shared" si="123"/>
        <v/>
      </c>
      <c r="J1565" s="1" t="str">
        <f>_xlfn.IFNA(INDEX([1]历练产出!$Z:$Z,MATCH(B1565,[1]历练产出!$AB:$AB,0)),"")</f>
        <v/>
      </c>
      <c r="K1565" s="1" t="str">
        <f>_xlfn.IFNA(INDEX([1]洞天福地产出!$H:$H,MATCH(B1565,[1]洞天福地产出!$K:$K,0)),"")</f>
        <v/>
      </c>
      <c r="L1565" s="1" t="str">
        <f t="shared" si="124"/>
        <v/>
      </c>
      <c r="M1565" s="4">
        <f t="shared" si="125"/>
        <v>0</v>
      </c>
    </row>
    <row r="1566" ht="45" spans="1:13">
      <c r="A1566" s="4"/>
      <c r="B1566" t="str">
        <f t="shared" si="121"/>
        <v>7:39000119</v>
      </c>
      <c r="C1566" s="1">
        <v>7</v>
      </c>
      <c r="D1566" s="4">
        <v>39000119</v>
      </c>
      <c r="E1566" s="3" t="s">
        <v>501</v>
      </c>
      <c r="F1566" s="3"/>
      <c r="G1566" s="1">
        <v>4823.55</v>
      </c>
      <c r="H1566" s="1">
        <f t="shared" si="122"/>
        <v>4823.55</v>
      </c>
      <c r="I1566" s="1" t="str">
        <f t="shared" si="123"/>
        <v/>
      </c>
      <c r="J1566" s="1" t="str">
        <f>_xlfn.IFNA(INDEX([1]历练产出!$Z:$Z,MATCH(B1566,[1]历练产出!$AB:$AB,0)),"")</f>
        <v/>
      </c>
      <c r="K1566" s="1" t="str">
        <f>_xlfn.IFNA(INDEX([1]洞天福地产出!$H:$H,MATCH(B1566,[1]洞天福地产出!$K:$K,0)),"")</f>
        <v/>
      </c>
      <c r="L1566" s="1" t="str">
        <f t="shared" si="124"/>
        <v/>
      </c>
      <c r="M1566" s="4">
        <f t="shared" si="125"/>
        <v>0</v>
      </c>
    </row>
    <row r="1567" ht="45" spans="1:13">
      <c r="A1567" s="4"/>
      <c r="B1567" t="str">
        <f t="shared" si="121"/>
        <v>7:39000120</v>
      </c>
      <c r="C1567" s="1">
        <v>7</v>
      </c>
      <c r="D1567" s="4">
        <v>39000120</v>
      </c>
      <c r="E1567" s="3" t="s">
        <v>501</v>
      </c>
      <c r="F1567" s="3"/>
      <c r="G1567" s="1">
        <v>5062.5</v>
      </c>
      <c r="H1567" s="1">
        <f t="shared" si="122"/>
        <v>5062.5</v>
      </c>
      <c r="I1567" s="1" t="str">
        <f t="shared" si="123"/>
        <v/>
      </c>
      <c r="J1567" s="1" t="str">
        <f>_xlfn.IFNA(INDEX([1]历练产出!$Z:$Z,MATCH(B1567,[1]历练产出!$AB:$AB,0)),"")</f>
        <v/>
      </c>
      <c r="K1567" s="1" t="str">
        <f>_xlfn.IFNA(INDEX([1]洞天福地产出!$H:$H,MATCH(B1567,[1]洞天福地产出!$K:$K,0)),"")</f>
        <v/>
      </c>
      <c r="L1567" s="1" t="str">
        <f t="shared" si="124"/>
        <v/>
      </c>
      <c r="M1567" s="4">
        <f t="shared" si="125"/>
        <v>0</v>
      </c>
    </row>
    <row r="1568" ht="45" spans="1:13">
      <c r="A1568" s="4"/>
      <c r="B1568" t="str">
        <f t="shared" si="121"/>
        <v>7:39000121</v>
      </c>
      <c r="C1568" s="1">
        <v>7</v>
      </c>
      <c r="D1568" s="4">
        <v>39000121</v>
      </c>
      <c r="E1568" s="3" t="s">
        <v>501</v>
      </c>
      <c r="F1568" s="3"/>
      <c r="G1568" s="1">
        <v>5313.6</v>
      </c>
      <c r="H1568" s="1">
        <f t="shared" si="122"/>
        <v>5313.6</v>
      </c>
      <c r="I1568" s="1" t="str">
        <f t="shared" si="123"/>
        <v/>
      </c>
      <c r="J1568" s="1" t="str">
        <f>_xlfn.IFNA(INDEX([1]历练产出!$Z:$Z,MATCH(B1568,[1]历练产出!$AB:$AB,0)),"")</f>
        <v/>
      </c>
      <c r="K1568" s="1" t="str">
        <f>_xlfn.IFNA(INDEX([1]洞天福地产出!$H:$H,MATCH(B1568,[1]洞天福地产出!$K:$K,0)),"")</f>
        <v/>
      </c>
      <c r="L1568" s="1" t="str">
        <f t="shared" si="124"/>
        <v/>
      </c>
      <c r="M1568" s="4">
        <f t="shared" si="125"/>
        <v>0</v>
      </c>
    </row>
    <row r="1569" ht="45" spans="1:13">
      <c r="A1569" s="4"/>
      <c r="B1569" t="str">
        <f t="shared" si="121"/>
        <v>7:39000122</v>
      </c>
      <c r="C1569" s="1">
        <v>7</v>
      </c>
      <c r="D1569" s="4">
        <v>39000122</v>
      </c>
      <c r="E1569" s="3" t="s">
        <v>501</v>
      </c>
      <c r="F1569" s="3"/>
      <c r="G1569" s="1">
        <v>5576.85</v>
      </c>
      <c r="H1569" s="1">
        <f t="shared" si="122"/>
        <v>5576.85</v>
      </c>
      <c r="I1569" s="1" t="str">
        <f t="shared" si="123"/>
        <v/>
      </c>
      <c r="J1569" s="1" t="str">
        <f>_xlfn.IFNA(INDEX([1]历练产出!$Z:$Z,MATCH(B1569,[1]历练产出!$AB:$AB,0)),"")</f>
        <v/>
      </c>
      <c r="K1569" s="1" t="str">
        <f>_xlfn.IFNA(INDEX([1]洞天福地产出!$H:$H,MATCH(B1569,[1]洞天福地产出!$K:$K,0)),"")</f>
        <v/>
      </c>
      <c r="L1569" s="1" t="str">
        <f t="shared" si="124"/>
        <v/>
      </c>
      <c r="M1569" s="4">
        <f t="shared" si="125"/>
        <v>0</v>
      </c>
    </row>
    <row r="1570" ht="45" spans="1:13">
      <c r="A1570" s="4"/>
      <c r="B1570" t="str">
        <f t="shared" si="121"/>
        <v>7:39000123</v>
      </c>
      <c r="C1570" s="1">
        <v>7</v>
      </c>
      <c r="D1570" s="4">
        <v>39000123</v>
      </c>
      <c r="E1570" s="3" t="s">
        <v>501</v>
      </c>
      <c r="F1570" s="3"/>
      <c r="G1570" s="1">
        <v>5852.25</v>
      </c>
      <c r="H1570" s="1">
        <f t="shared" si="122"/>
        <v>5852.25</v>
      </c>
      <c r="I1570" s="1" t="str">
        <f t="shared" si="123"/>
        <v/>
      </c>
      <c r="J1570" s="1" t="str">
        <f>_xlfn.IFNA(INDEX([1]历练产出!$Z:$Z,MATCH(B1570,[1]历练产出!$AB:$AB,0)),"")</f>
        <v/>
      </c>
      <c r="K1570" s="1" t="str">
        <f>_xlfn.IFNA(INDEX([1]洞天福地产出!$H:$H,MATCH(B1570,[1]洞天福地产出!$K:$K,0)),"")</f>
        <v/>
      </c>
      <c r="L1570" s="1" t="str">
        <f t="shared" si="124"/>
        <v/>
      </c>
      <c r="M1570" s="4">
        <f t="shared" si="125"/>
        <v>0</v>
      </c>
    </row>
    <row r="1571" ht="45" spans="1:13">
      <c r="A1571" s="4"/>
      <c r="B1571" t="str">
        <f t="shared" si="121"/>
        <v>7:39000124</v>
      </c>
      <c r="C1571" s="1">
        <v>7</v>
      </c>
      <c r="D1571" s="4">
        <v>39000124</v>
      </c>
      <c r="E1571" s="3" t="s">
        <v>501</v>
      </c>
      <c r="F1571" s="3"/>
      <c r="G1571" s="1">
        <v>6139.8</v>
      </c>
      <c r="H1571" s="1">
        <f t="shared" si="122"/>
        <v>6139.8</v>
      </c>
      <c r="I1571" s="1" t="str">
        <f t="shared" si="123"/>
        <v/>
      </c>
      <c r="J1571" s="1" t="str">
        <f>_xlfn.IFNA(INDEX([1]历练产出!$Z:$Z,MATCH(B1571,[1]历练产出!$AB:$AB,0)),"")</f>
        <v/>
      </c>
      <c r="K1571" s="1" t="str">
        <f>_xlfn.IFNA(INDEX([1]洞天福地产出!$H:$H,MATCH(B1571,[1]洞天福地产出!$K:$K,0)),"")</f>
        <v/>
      </c>
      <c r="L1571" s="1" t="str">
        <f t="shared" si="124"/>
        <v/>
      </c>
      <c r="M1571" s="4">
        <f t="shared" si="125"/>
        <v>0</v>
      </c>
    </row>
    <row r="1572" ht="45" spans="1:13">
      <c r="A1572" s="4"/>
      <c r="B1572" t="str">
        <f t="shared" ref="B1572:B1635" si="126">C1572&amp;":"&amp;D1572</f>
        <v>7:39000125</v>
      </c>
      <c r="C1572" s="1">
        <v>7</v>
      </c>
      <c r="D1572" s="4">
        <v>39000125</v>
      </c>
      <c r="E1572" s="3" t="s">
        <v>501</v>
      </c>
      <c r="F1572" s="3"/>
      <c r="G1572" s="1">
        <v>6439.5</v>
      </c>
      <c r="H1572" s="1">
        <f t="shared" si="122"/>
        <v>6439.5</v>
      </c>
      <c r="I1572" s="1" t="str">
        <f t="shared" si="123"/>
        <v/>
      </c>
      <c r="J1572" s="1" t="str">
        <f>_xlfn.IFNA(INDEX([1]历练产出!$Z:$Z,MATCH(B1572,[1]历练产出!$AB:$AB,0)),"")</f>
        <v/>
      </c>
      <c r="K1572" s="1" t="str">
        <f>_xlfn.IFNA(INDEX([1]洞天福地产出!$H:$H,MATCH(B1572,[1]洞天福地产出!$K:$K,0)),"")</f>
        <v/>
      </c>
      <c r="L1572" s="1" t="str">
        <f t="shared" si="124"/>
        <v/>
      </c>
      <c r="M1572" s="4">
        <f t="shared" si="125"/>
        <v>0</v>
      </c>
    </row>
    <row r="1573" ht="45" spans="1:13">
      <c r="A1573" s="4"/>
      <c r="B1573" t="str">
        <f t="shared" si="126"/>
        <v>7:39000126</v>
      </c>
      <c r="C1573" s="1">
        <v>7</v>
      </c>
      <c r="D1573" s="4">
        <v>39000126</v>
      </c>
      <c r="E1573" s="3" t="s">
        <v>501</v>
      </c>
      <c r="F1573" s="3"/>
      <c r="G1573" s="1">
        <v>6751.35</v>
      </c>
      <c r="H1573" s="1">
        <f t="shared" si="122"/>
        <v>6751.35</v>
      </c>
      <c r="I1573" s="1" t="str">
        <f t="shared" si="123"/>
        <v/>
      </c>
      <c r="J1573" s="1" t="str">
        <f>_xlfn.IFNA(INDEX([1]历练产出!$Z:$Z,MATCH(B1573,[1]历练产出!$AB:$AB,0)),"")</f>
        <v/>
      </c>
      <c r="K1573" s="1" t="str">
        <f>_xlfn.IFNA(INDEX([1]洞天福地产出!$H:$H,MATCH(B1573,[1]洞天福地产出!$K:$K,0)),"")</f>
        <v/>
      </c>
      <c r="L1573" s="1" t="str">
        <f t="shared" si="124"/>
        <v/>
      </c>
      <c r="M1573" s="4">
        <f t="shared" si="125"/>
        <v>0</v>
      </c>
    </row>
    <row r="1574" ht="45" spans="1:13">
      <c r="A1574" s="4"/>
      <c r="B1574" t="str">
        <f t="shared" si="126"/>
        <v>7:39000127</v>
      </c>
      <c r="C1574" s="1">
        <v>7</v>
      </c>
      <c r="D1574" s="4">
        <v>39000127</v>
      </c>
      <c r="E1574" s="3" t="s">
        <v>501</v>
      </c>
      <c r="F1574" s="3"/>
      <c r="G1574" s="1">
        <v>7075.35</v>
      </c>
      <c r="H1574" s="1">
        <f t="shared" si="122"/>
        <v>7075.35</v>
      </c>
      <c r="I1574" s="1" t="str">
        <f t="shared" si="123"/>
        <v/>
      </c>
      <c r="J1574" s="1" t="str">
        <f>_xlfn.IFNA(INDEX([1]历练产出!$Z:$Z,MATCH(B1574,[1]历练产出!$AB:$AB,0)),"")</f>
        <v/>
      </c>
      <c r="K1574" s="1" t="str">
        <f>_xlfn.IFNA(INDEX([1]洞天福地产出!$H:$H,MATCH(B1574,[1]洞天福地产出!$K:$K,0)),"")</f>
        <v/>
      </c>
      <c r="L1574" s="1" t="str">
        <f t="shared" si="124"/>
        <v/>
      </c>
      <c r="M1574" s="4">
        <f t="shared" si="125"/>
        <v>0</v>
      </c>
    </row>
    <row r="1575" ht="45" spans="1:13">
      <c r="A1575" s="4"/>
      <c r="B1575" t="str">
        <f t="shared" si="126"/>
        <v>7:39000128</v>
      </c>
      <c r="C1575" s="1">
        <v>7</v>
      </c>
      <c r="D1575" s="4">
        <v>39000128</v>
      </c>
      <c r="E1575" s="3" t="s">
        <v>501</v>
      </c>
      <c r="F1575" s="3"/>
      <c r="G1575" s="1">
        <v>7411.5</v>
      </c>
      <c r="H1575" s="1">
        <f t="shared" si="122"/>
        <v>7411.5</v>
      </c>
      <c r="I1575" s="1" t="str">
        <f t="shared" si="123"/>
        <v/>
      </c>
      <c r="J1575" s="1" t="str">
        <f>_xlfn.IFNA(INDEX([1]历练产出!$Z:$Z,MATCH(B1575,[1]历练产出!$AB:$AB,0)),"")</f>
        <v/>
      </c>
      <c r="K1575" s="1" t="str">
        <f>_xlfn.IFNA(INDEX([1]洞天福地产出!$H:$H,MATCH(B1575,[1]洞天福地产出!$K:$K,0)),"")</f>
        <v/>
      </c>
      <c r="L1575" s="1" t="str">
        <f t="shared" si="124"/>
        <v/>
      </c>
      <c r="M1575" s="4">
        <f t="shared" si="125"/>
        <v>0</v>
      </c>
    </row>
    <row r="1576" ht="45" spans="1:13">
      <c r="A1576" s="4"/>
      <c r="B1576" t="str">
        <f t="shared" si="126"/>
        <v>7:39000129</v>
      </c>
      <c r="C1576" s="1">
        <v>7</v>
      </c>
      <c r="D1576" s="4">
        <v>39000129</v>
      </c>
      <c r="E1576" s="3" t="s">
        <v>501</v>
      </c>
      <c r="F1576" s="3"/>
      <c r="G1576" s="1">
        <v>9703.8</v>
      </c>
      <c r="H1576" s="1">
        <f t="shared" si="122"/>
        <v>9703.8</v>
      </c>
      <c r="I1576" s="1" t="str">
        <f t="shared" si="123"/>
        <v/>
      </c>
      <c r="J1576" s="1" t="str">
        <f>_xlfn.IFNA(INDEX([1]历练产出!$Z:$Z,MATCH(B1576,[1]历练产出!$AB:$AB,0)),"")</f>
        <v/>
      </c>
      <c r="K1576" s="1" t="str">
        <f>_xlfn.IFNA(INDEX([1]洞天福地产出!$H:$H,MATCH(B1576,[1]洞天福地产出!$K:$K,0)),"")</f>
        <v/>
      </c>
      <c r="L1576" s="1" t="str">
        <f t="shared" si="124"/>
        <v/>
      </c>
      <c r="M1576" s="4">
        <f t="shared" si="125"/>
        <v>0</v>
      </c>
    </row>
    <row r="1577" ht="45" spans="1:13">
      <c r="A1577" s="4"/>
      <c r="B1577" t="str">
        <f t="shared" si="126"/>
        <v>7:39000130</v>
      </c>
      <c r="C1577" s="1">
        <v>7</v>
      </c>
      <c r="D1577" s="4">
        <v>39000130</v>
      </c>
      <c r="E1577" s="3" t="s">
        <v>501</v>
      </c>
      <c r="F1577" s="3"/>
      <c r="G1577" s="1">
        <v>10052.1</v>
      </c>
      <c r="H1577" s="1">
        <f t="shared" si="122"/>
        <v>10052.1</v>
      </c>
      <c r="I1577" s="1" t="str">
        <f t="shared" si="123"/>
        <v/>
      </c>
      <c r="J1577" s="1" t="str">
        <f>_xlfn.IFNA(INDEX([1]历练产出!$Z:$Z,MATCH(B1577,[1]历练产出!$AB:$AB,0)),"")</f>
        <v/>
      </c>
      <c r="K1577" s="1" t="str">
        <f>_xlfn.IFNA(INDEX([1]洞天福地产出!$H:$H,MATCH(B1577,[1]洞天福地产出!$K:$K,0)),"")</f>
        <v/>
      </c>
      <c r="L1577" s="1" t="str">
        <f t="shared" si="124"/>
        <v/>
      </c>
      <c r="M1577" s="4">
        <f t="shared" si="125"/>
        <v>0</v>
      </c>
    </row>
    <row r="1578" ht="30" spans="1:13">
      <c r="A1578" s="4"/>
      <c r="B1578" t="str">
        <f t="shared" si="126"/>
        <v>7:40000101</v>
      </c>
      <c r="C1578" s="1">
        <v>7</v>
      </c>
      <c r="D1578" s="4">
        <v>40000101</v>
      </c>
      <c r="E1578" s="3" t="s">
        <v>1911</v>
      </c>
      <c r="F1578" s="3"/>
      <c r="G1578" s="1">
        <v>656.1</v>
      </c>
      <c r="H1578" s="1">
        <f t="shared" si="122"/>
        <v>656.1</v>
      </c>
      <c r="I1578" s="1" t="str">
        <f t="shared" si="123"/>
        <v/>
      </c>
      <c r="J1578" s="1" t="str">
        <f>_xlfn.IFNA(INDEX([1]历练产出!$Z:$Z,MATCH(B1578,[1]历练产出!$AB:$AB,0)),"")</f>
        <v/>
      </c>
      <c r="K1578" s="1" t="str">
        <f>_xlfn.IFNA(INDEX([1]洞天福地产出!$H:$H,MATCH(B1578,[1]洞天福地产出!$K:$K,0)),"")</f>
        <v/>
      </c>
      <c r="L1578" s="1" t="str">
        <f t="shared" si="124"/>
        <v/>
      </c>
      <c r="M1578" s="4">
        <f t="shared" si="125"/>
        <v>0</v>
      </c>
    </row>
    <row r="1579" ht="30" spans="1:13">
      <c r="A1579" s="4"/>
      <c r="B1579" t="str">
        <f t="shared" si="126"/>
        <v>7:40000102</v>
      </c>
      <c r="C1579" s="1">
        <v>7</v>
      </c>
      <c r="D1579" s="4">
        <v>40000102</v>
      </c>
      <c r="E1579" s="3" t="s">
        <v>1911</v>
      </c>
      <c r="F1579" s="3"/>
      <c r="G1579" s="1">
        <v>676.35</v>
      </c>
      <c r="H1579" s="1">
        <f t="shared" si="122"/>
        <v>676.35</v>
      </c>
      <c r="I1579" s="1" t="str">
        <f t="shared" si="123"/>
        <v/>
      </c>
      <c r="J1579" s="1" t="str">
        <f>_xlfn.IFNA(INDEX([1]历练产出!$Z:$Z,MATCH(B1579,[1]历练产出!$AB:$AB,0)),"")</f>
        <v/>
      </c>
      <c r="K1579" s="1" t="str">
        <f>_xlfn.IFNA(INDEX([1]洞天福地产出!$H:$H,MATCH(B1579,[1]洞天福地产出!$K:$K,0)),"")</f>
        <v/>
      </c>
      <c r="L1579" s="1" t="str">
        <f t="shared" si="124"/>
        <v/>
      </c>
      <c r="M1579" s="4">
        <f t="shared" si="125"/>
        <v>0</v>
      </c>
    </row>
    <row r="1580" ht="30" spans="1:13">
      <c r="A1580" s="4"/>
      <c r="B1580" t="str">
        <f t="shared" si="126"/>
        <v>7:40000103</v>
      </c>
      <c r="C1580" s="1">
        <v>7</v>
      </c>
      <c r="D1580" s="4">
        <v>40000103</v>
      </c>
      <c r="E1580" s="3" t="s">
        <v>1911</v>
      </c>
      <c r="F1580" s="3"/>
      <c r="G1580" s="1">
        <v>708.75</v>
      </c>
      <c r="H1580" s="1">
        <f t="shared" si="122"/>
        <v>708.75</v>
      </c>
      <c r="I1580" s="1" t="str">
        <f t="shared" si="123"/>
        <v/>
      </c>
      <c r="J1580" s="1" t="str">
        <f>_xlfn.IFNA(INDEX([1]历练产出!$Z:$Z,MATCH(B1580,[1]历练产出!$AB:$AB,0)),"")</f>
        <v/>
      </c>
      <c r="K1580" s="1" t="str">
        <f>_xlfn.IFNA(INDEX([1]洞天福地产出!$H:$H,MATCH(B1580,[1]洞天福地产出!$K:$K,0)),"")</f>
        <v/>
      </c>
      <c r="L1580" s="1" t="str">
        <f t="shared" si="124"/>
        <v/>
      </c>
      <c r="M1580" s="4">
        <f t="shared" si="125"/>
        <v>0</v>
      </c>
    </row>
    <row r="1581" ht="30" spans="1:13">
      <c r="A1581" s="4"/>
      <c r="B1581" t="str">
        <f t="shared" si="126"/>
        <v>7:40000104</v>
      </c>
      <c r="C1581" s="1">
        <v>7</v>
      </c>
      <c r="D1581" s="4">
        <v>40000104</v>
      </c>
      <c r="E1581" s="3" t="s">
        <v>1911</v>
      </c>
      <c r="F1581" s="3"/>
      <c r="G1581" s="1">
        <v>753.3</v>
      </c>
      <c r="H1581" s="1">
        <f t="shared" si="122"/>
        <v>753.3</v>
      </c>
      <c r="I1581" s="1" t="str">
        <f t="shared" si="123"/>
        <v/>
      </c>
      <c r="J1581" s="1" t="str">
        <f>_xlfn.IFNA(INDEX([1]历练产出!$Z:$Z,MATCH(B1581,[1]历练产出!$AB:$AB,0)),"")</f>
        <v/>
      </c>
      <c r="K1581" s="1" t="str">
        <f>_xlfn.IFNA(INDEX([1]洞天福地产出!$H:$H,MATCH(B1581,[1]洞天福地产出!$K:$K,0)),"")</f>
        <v/>
      </c>
      <c r="L1581" s="1" t="str">
        <f t="shared" si="124"/>
        <v/>
      </c>
      <c r="M1581" s="4">
        <f t="shared" si="125"/>
        <v>0</v>
      </c>
    </row>
    <row r="1582" ht="30" spans="1:13">
      <c r="A1582" s="4"/>
      <c r="B1582" t="str">
        <f t="shared" si="126"/>
        <v>7:40000105</v>
      </c>
      <c r="C1582" s="1">
        <v>7</v>
      </c>
      <c r="D1582" s="4">
        <v>40000105</v>
      </c>
      <c r="E1582" s="3" t="s">
        <v>1911</v>
      </c>
      <c r="F1582" s="3"/>
      <c r="G1582" s="1">
        <v>810</v>
      </c>
      <c r="H1582" s="1">
        <f t="shared" si="122"/>
        <v>810</v>
      </c>
      <c r="I1582" s="1" t="str">
        <f t="shared" si="123"/>
        <v/>
      </c>
      <c r="J1582" s="1" t="str">
        <f>_xlfn.IFNA(INDEX([1]历练产出!$Z:$Z,MATCH(B1582,[1]历练产出!$AB:$AB,0)),"")</f>
        <v/>
      </c>
      <c r="K1582" s="1" t="str">
        <f>_xlfn.IFNA(INDEX([1]洞天福地产出!$H:$H,MATCH(B1582,[1]洞天福地产出!$K:$K,0)),"")</f>
        <v/>
      </c>
      <c r="L1582" s="1" t="str">
        <f t="shared" si="124"/>
        <v/>
      </c>
      <c r="M1582" s="4">
        <f t="shared" si="125"/>
        <v>0</v>
      </c>
    </row>
    <row r="1583" ht="30" spans="1:13">
      <c r="A1583" s="4"/>
      <c r="B1583" t="str">
        <f t="shared" si="126"/>
        <v>7:40000106</v>
      </c>
      <c r="C1583" s="1">
        <v>7</v>
      </c>
      <c r="D1583" s="4">
        <v>40000106</v>
      </c>
      <c r="E1583" s="3" t="s">
        <v>1911</v>
      </c>
      <c r="F1583" s="3"/>
      <c r="G1583" s="1">
        <v>878.85</v>
      </c>
      <c r="H1583" s="1">
        <f t="shared" si="122"/>
        <v>878.85</v>
      </c>
      <c r="I1583" s="1" t="str">
        <f t="shared" si="123"/>
        <v/>
      </c>
      <c r="J1583" s="1" t="str">
        <f>_xlfn.IFNA(INDEX([1]历练产出!$Z:$Z,MATCH(B1583,[1]历练产出!$AB:$AB,0)),"")</f>
        <v/>
      </c>
      <c r="K1583" s="1" t="str">
        <f>_xlfn.IFNA(INDEX([1]洞天福地产出!$H:$H,MATCH(B1583,[1]洞天福地产出!$K:$K,0)),"")</f>
        <v/>
      </c>
      <c r="L1583" s="1" t="str">
        <f t="shared" si="124"/>
        <v/>
      </c>
      <c r="M1583" s="4">
        <f t="shared" si="125"/>
        <v>0</v>
      </c>
    </row>
    <row r="1584" ht="30" spans="1:13">
      <c r="A1584" s="4"/>
      <c r="B1584" t="str">
        <f t="shared" si="126"/>
        <v>7:40000107</v>
      </c>
      <c r="C1584" s="1">
        <v>7</v>
      </c>
      <c r="D1584" s="4">
        <v>40000107</v>
      </c>
      <c r="E1584" s="3" t="s">
        <v>1911</v>
      </c>
      <c r="F1584" s="3"/>
      <c r="G1584" s="1">
        <v>959.85</v>
      </c>
      <c r="H1584" s="1">
        <f t="shared" si="122"/>
        <v>959.85</v>
      </c>
      <c r="I1584" s="1" t="str">
        <f t="shared" si="123"/>
        <v/>
      </c>
      <c r="J1584" s="1" t="str">
        <f>_xlfn.IFNA(INDEX([1]历练产出!$Z:$Z,MATCH(B1584,[1]历练产出!$AB:$AB,0)),"")</f>
        <v/>
      </c>
      <c r="K1584" s="1" t="str">
        <f>_xlfn.IFNA(INDEX([1]洞天福地产出!$H:$H,MATCH(B1584,[1]洞天福地产出!$K:$K,0)),"")</f>
        <v/>
      </c>
      <c r="L1584" s="1" t="str">
        <f t="shared" si="124"/>
        <v/>
      </c>
      <c r="M1584" s="4">
        <f t="shared" si="125"/>
        <v>0</v>
      </c>
    </row>
    <row r="1585" ht="30" spans="1:13">
      <c r="A1585" s="4"/>
      <c r="B1585" t="str">
        <f t="shared" si="126"/>
        <v>7:40000108</v>
      </c>
      <c r="C1585" s="1">
        <v>7</v>
      </c>
      <c r="D1585" s="4">
        <v>40000108</v>
      </c>
      <c r="E1585" s="3" t="s">
        <v>1911</v>
      </c>
      <c r="F1585" s="3"/>
      <c r="G1585" s="1">
        <v>1053</v>
      </c>
      <c r="H1585" s="1">
        <f t="shared" si="122"/>
        <v>1053</v>
      </c>
      <c r="I1585" s="1" t="str">
        <f t="shared" si="123"/>
        <v/>
      </c>
      <c r="J1585" s="1" t="str">
        <f>_xlfn.IFNA(INDEX([1]历练产出!$Z:$Z,MATCH(B1585,[1]历练产出!$AB:$AB,0)),"")</f>
        <v/>
      </c>
      <c r="K1585" s="1" t="str">
        <f>_xlfn.IFNA(INDEX([1]洞天福地产出!$H:$H,MATCH(B1585,[1]洞天福地产出!$K:$K,0)),"")</f>
        <v/>
      </c>
      <c r="L1585" s="1" t="str">
        <f t="shared" si="124"/>
        <v/>
      </c>
      <c r="M1585" s="4">
        <f t="shared" si="125"/>
        <v>0</v>
      </c>
    </row>
    <row r="1586" ht="30" spans="1:13">
      <c r="A1586" s="4"/>
      <c r="B1586" t="str">
        <f t="shared" si="126"/>
        <v>7:40000109</v>
      </c>
      <c r="C1586" s="1">
        <v>7</v>
      </c>
      <c r="D1586" s="4">
        <v>40000109</v>
      </c>
      <c r="E1586" s="3" t="s">
        <v>1911</v>
      </c>
      <c r="F1586" s="3"/>
      <c r="G1586" s="1">
        <v>1806.3</v>
      </c>
      <c r="H1586" s="1">
        <f t="shared" si="122"/>
        <v>1806.3</v>
      </c>
      <c r="I1586" s="1" t="str">
        <f t="shared" si="123"/>
        <v/>
      </c>
      <c r="J1586" s="1" t="str">
        <f>_xlfn.IFNA(INDEX([1]历练产出!$Z:$Z,MATCH(B1586,[1]历练产出!$AB:$AB,0)),"")</f>
        <v/>
      </c>
      <c r="K1586" s="1" t="str">
        <f>_xlfn.IFNA(INDEX([1]洞天福地产出!$H:$H,MATCH(B1586,[1]洞天福地产出!$K:$K,0)),"")</f>
        <v/>
      </c>
      <c r="L1586" s="1" t="str">
        <f t="shared" si="124"/>
        <v/>
      </c>
      <c r="M1586" s="4">
        <f t="shared" si="125"/>
        <v>0</v>
      </c>
    </row>
    <row r="1587" ht="30" spans="1:13">
      <c r="A1587" s="4"/>
      <c r="B1587" t="str">
        <f t="shared" si="126"/>
        <v>7:40000110</v>
      </c>
      <c r="C1587" s="1">
        <v>7</v>
      </c>
      <c r="D1587" s="4">
        <v>40000110</v>
      </c>
      <c r="E1587" s="3" t="s">
        <v>1911</v>
      </c>
      <c r="F1587" s="3"/>
      <c r="G1587" s="1">
        <v>1923.75</v>
      </c>
      <c r="H1587" s="1">
        <f t="shared" si="122"/>
        <v>1923.75</v>
      </c>
      <c r="I1587" s="1" t="str">
        <f t="shared" si="123"/>
        <v/>
      </c>
      <c r="J1587" s="1" t="str">
        <f>_xlfn.IFNA(INDEX([1]历练产出!$Z:$Z,MATCH(B1587,[1]历练产出!$AB:$AB,0)),"")</f>
        <v/>
      </c>
      <c r="K1587" s="1" t="str">
        <f>_xlfn.IFNA(INDEX([1]洞天福地产出!$H:$H,MATCH(B1587,[1]洞天福地产出!$K:$K,0)),"")</f>
        <v/>
      </c>
      <c r="L1587" s="1" t="str">
        <f t="shared" si="124"/>
        <v/>
      </c>
      <c r="M1587" s="4">
        <f t="shared" si="125"/>
        <v>0</v>
      </c>
    </row>
    <row r="1588" ht="30" spans="1:13">
      <c r="A1588" s="4"/>
      <c r="B1588" t="str">
        <f t="shared" si="126"/>
        <v>7:40000111</v>
      </c>
      <c r="C1588" s="1">
        <v>7</v>
      </c>
      <c r="D1588" s="4">
        <v>40000111</v>
      </c>
      <c r="E1588" s="3" t="s">
        <v>1911</v>
      </c>
      <c r="F1588" s="3"/>
      <c r="G1588" s="1">
        <v>2053.35</v>
      </c>
      <c r="H1588" s="1">
        <f t="shared" si="122"/>
        <v>2053.35</v>
      </c>
      <c r="I1588" s="1" t="str">
        <f t="shared" si="123"/>
        <v/>
      </c>
      <c r="J1588" s="1" t="str">
        <f>_xlfn.IFNA(INDEX([1]历练产出!$Z:$Z,MATCH(B1588,[1]历练产出!$AB:$AB,0)),"")</f>
        <v/>
      </c>
      <c r="K1588" s="1" t="str">
        <f>_xlfn.IFNA(INDEX([1]洞天福地产出!$H:$H,MATCH(B1588,[1]洞天福地产出!$K:$K,0)),"")</f>
        <v/>
      </c>
      <c r="L1588" s="1" t="str">
        <f t="shared" si="124"/>
        <v/>
      </c>
      <c r="M1588" s="4">
        <f t="shared" si="125"/>
        <v>0</v>
      </c>
    </row>
    <row r="1589" ht="30" spans="1:13">
      <c r="A1589" s="4"/>
      <c r="B1589" t="str">
        <f t="shared" si="126"/>
        <v>7:40000112</v>
      </c>
      <c r="C1589" s="1">
        <v>7</v>
      </c>
      <c r="D1589" s="4">
        <v>40000112</v>
      </c>
      <c r="E1589" s="3" t="s">
        <v>1911</v>
      </c>
      <c r="F1589" s="3"/>
      <c r="G1589" s="1">
        <v>2195.1</v>
      </c>
      <c r="H1589" s="1">
        <f t="shared" si="122"/>
        <v>2195.1</v>
      </c>
      <c r="I1589" s="1" t="str">
        <f t="shared" si="123"/>
        <v/>
      </c>
      <c r="J1589" s="1" t="str">
        <f>_xlfn.IFNA(INDEX([1]历练产出!$Z:$Z,MATCH(B1589,[1]历练产出!$AB:$AB,0)),"")</f>
        <v/>
      </c>
      <c r="K1589" s="1" t="str">
        <f>_xlfn.IFNA(INDEX([1]洞天福地产出!$H:$H,MATCH(B1589,[1]洞天福地产出!$K:$K,0)),"")</f>
        <v/>
      </c>
      <c r="L1589" s="1" t="str">
        <f t="shared" si="124"/>
        <v/>
      </c>
      <c r="M1589" s="4">
        <f t="shared" si="125"/>
        <v>0</v>
      </c>
    </row>
    <row r="1590" ht="30" spans="1:13">
      <c r="A1590" s="4"/>
      <c r="B1590" t="str">
        <f t="shared" si="126"/>
        <v>7:40000113</v>
      </c>
      <c r="C1590" s="1">
        <v>7</v>
      </c>
      <c r="D1590" s="4">
        <v>40000113</v>
      </c>
      <c r="E1590" s="3" t="s">
        <v>1911</v>
      </c>
      <c r="F1590" s="3"/>
      <c r="G1590" s="1">
        <v>2349</v>
      </c>
      <c r="H1590" s="1">
        <f t="shared" si="122"/>
        <v>2349</v>
      </c>
      <c r="I1590" s="1" t="str">
        <f t="shared" si="123"/>
        <v/>
      </c>
      <c r="J1590" s="1" t="str">
        <f>_xlfn.IFNA(INDEX([1]历练产出!$Z:$Z,MATCH(B1590,[1]历练产出!$AB:$AB,0)),"")</f>
        <v/>
      </c>
      <c r="K1590" s="1" t="str">
        <f>_xlfn.IFNA(INDEX([1]洞天福地产出!$H:$H,MATCH(B1590,[1]洞天福地产出!$K:$K,0)),"")</f>
        <v/>
      </c>
      <c r="L1590" s="1" t="str">
        <f t="shared" si="124"/>
        <v/>
      </c>
      <c r="M1590" s="4">
        <f t="shared" si="125"/>
        <v>0</v>
      </c>
    </row>
    <row r="1591" ht="30" spans="1:13">
      <c r="A1591" s="4"/>
      <c r="B1591" t="str">
        <f t="shared" si="126"/>
        <v>7:40000114</v>
      </c>
      <c r="C1591" s="1">
        <v>7</v>
      </c>
      <c r="D1591" s="4">
        <v>40000114</v>
      </c>
      <c r="E1591" s="3" t="s">
        <v>1911</v>
      </c>
      <c r="F1591" s="3"/>
      <c r="G1591" s="1">
        <v>2515.05</v>
      </c>
      <c r="H1591" s="1">
        <f t="shared" si="122"/>
        <v>2515.05</v>
      </c>
      <c r="I1591" s="1" t="str">
        <f t="shared" si="123"/>
        <v/>
      </c>
      <c r="J1591" s="1" t="str">
        <f>_xlfn.IFNA(INDEX([1]历练产出!$Z:$Z,MATCH(B1591,[1]历练产出!$AB:$AB,0)),"")</f>
        <v/>
      </c>
      <c r="K1591" s="1" t="str">
        <f>_xlfn.IFNA(INDEX([1]洞天福地产出!$H:$H,MATCH(B1591,[1]洞天福地产出!$K:$K,0)),"")</f>
        <v/>
      </c>
      <c r="L1591" s="1" t="str">
        <f t="shared" si="124"/>
        <v/>
      </c>
      <c r="M1591" s="4">
        <f t="shared" si="125"/>
        <v>0</v>
      </c>
    </row>
    <row r="1592" ht="30" spans="1:13">
      <c r="A1592" s="4"/>
      <c r="B1592" t="str">
        <f t="shared" si="126"/>
        <v>7:40000115</v>
      </c>
      <c r="C1592" s="1">
        <v>7</v>
      </c>
      <c r="D1592" s="4">
        <v>40000115</v>
      </c>
      <c r="E1592" s="3" t="s">
        <v>1911</v>
      </c>
      <c r="F1592" s="3"/>
      <c r="G1592" s="1">
        <v>2693.25</v>
      </c>
      <c r="H1592" s="1">
        <f t="shared" si="122"/>
        <v>2693.25</v>
      </c>
      <c r="I1592" s="1" t="str">
        <f t="shared" si="123"/>
        <v/>
      </c>
      <c r="J1592" s="1" t="str">
        <f>_xlfn.IFNA(INDEX([1]历练产出!$Z:$Z,MATCH(B1592,[1]历练产出!$AB:$AB,0)),"")</f>
        <v/>
      </c>
      <c r="K1592" s="1" t="str">
        <f>_xlfn.IFNA(INDEX([1]洞天福地产出!$H:$H,MATCH(B1592,[1]洞天福地产出!$K:$K,0)),"")</f>
        <v/>
      </c>
      <c r="L1592" s="1" t="str">
        <f t="shared" si="124"/>
        <v/>
      </c>
      <c r="M1592" s="4">
        <f t="shared" si="125"/>
        <v>0</v>
      </c>
    </row>
    <row r="1593" ht="30" spans="1:13">
      <c r="A1593" s="4"/>
      <c r="B1593" t="str">
        <f t="shared" si="126"/>
        <v>7:40000116</v>
      </c>
      <c r="C1593" s="1">
        <v>7</v>
      </c>
      <c r="D1593" s="4">
        <v>40000116</v>
      </c>
      <c r="E1593" s="3" t="s">
        <v>1911</v>
      </c>
      <c r="F1593" s="3"/>
      <c r="G1593" s="1">
        <v>2883.6</v>
      </c>
      <c r="H1593" s="1">
        <f t="shared" si="122"/>
        <v>2883.6</v>
      </c>
      <c r="I1593" s="1" t="str">
        <f t="shared" si="123"/>
        <v/>
      </c>
      <c r="J1593" s="1" t="str">
        <f>_xlfn.IFNA(INDEX([1]历练产出!$Z:$Z,MATCH(B1593,[1]历练产出!$AB:$AB,0)),"")</f>
        <v/>
      </c>
      <c r="K1593" s="1" t="str">
        <f>_xlfn.IFNA(INDEX([1]洞天福地产出!$H:$H,MATCH(B1593,[1]洞天福地产出!$K:$K,0)),"")</f>
        <v/>
      </c>
      <c r="L1593" s="1" t="str">
        <f t="shared" si="124"/>
        <v/>
      </c>
      <c r="M1593" s="4">
        <f t="shared" si="125"/>
        <v>0</v>
      </c>
    </row>
    <row r="1594" ht="30" spans="1:13">
      <c r="A1594" s="4"/>
      <c r="B1594" t="str">
        <f t="shared" si="126"/>
        <v>7:40000117</v>
      </c>
      <c r="C1594" s="1">
        <v>7</v>
      </c>
      <c r="D1594" s="4">
        <v>40000117</v>
      </c>
      <c r="E1594" s="3" t="s">
        <v>1911</v>
      </c>
      <c r="F1594" s="3"/>
      <c r="G1594" s="1">
        <v>3086.1</v>
      </c>
      <c r="H1594" s="1">
        <f t="shared" si="122"/>
        <v>3086.1</v>
      </c>
      <c r="I1594" s="1" t="str">
        <f t="shared" si="123"/>
        <v/>
      </c>
      <c r="J1594" s="1" t="str">
        <f>_xlfn.IFNA(INDEX([1]历练产出!$Z:$Z,MATCH(B1594,[1]历练产出!$AB:$AB,0)),"")</f>
        <v/>
      </c>
      <c r="K1594" s="1" t="str">
        <f>_xlfn.IFNA(INDEX([1]洞天福地产出!$H:$H,MATCH(B1594,[1]洞天福地产出!$K:$K,0)),"")</f>
        <v/>
      </c>
      <c r="L1594" s="1" t="str">
        <f t="shared" si="124"/>
        <v/>
      </c>
      <c r="M1594" s="4">
        <f t="shared" si="125"/>
        <v>0</v>
      </c>
    </row>
    <row r="1595" ht="30" spans="1:13">
      <c r="A1595" s="4"/>
      <c r="B1595" t="str">
        <f t="shared" si="126"/>
        <v>7:40000118</v>
      </c>
      <c r="C1595" s="1">
        <v>7</v>
      </c>
      <c r="D1595" s="4">
        <v>40000118</v>
      </c>
      <c r="E1595" s="3" t="s">
        <v>1911</v>
      </c>
      <c r="F1595" s="3"/>
      <c r="G1595" s="1">
        <v>3300.75</v>
      </c>
      <c r="H1595" s="1">
        <f t="shared" si="122"/>
        <v>3300.75</v>
      </c>
      <c r="I1595" s="1" t="str">
        <f t="shared" si="123"/>
        <v/>
      </c>
      <c r="J1595" s="1" t="str">
        <f>_xlfn.IFNA(INDEX([1]历练产出!$Z:$Z,MATCH(B1595,[1]历练产出!$AB:$AB,0)),"")</f>
        <v/>
      </c>
      <c r="K1595" s="1" t="str">
        <f>_xlfn.IFNA(INDEX([1]洞天福地产出!$H:$H,MATCH(B1595,[1]洞天福地产出!$K:$K,0)),"")</f>
        <v/>
      </c>
      <c r="L1595" s="1" t="str">
        <f t="shared" si="124"/>
        <v/>
      </c>
      <c r="M1595" s="4">
        <f t="shared" si="125"/>
        <v>0</v>
      </c>
    </row>
    <row r="1596" ht="30" spans="1:13">
      <c r="A1596" s="4"/>
      <c r="B1596" t="str">
        <f t="shared" si="126"/>
        <v>7:40000119</v>
      </c>
      <c r="C1596" s="1">
        <v>7</v>
      </c>
      <c r="D1596" s="4">
        <v>40000119</v>
      </c>
      <c r="E1596" s="3" t="s">
        <v>1911</v>
      </c>
      <c r="F1596" s="3"/>
      <c r="G1596" s="1">
        <v>4823.55</v>
      </c>
      <c r="H1596" s="1">
        <f t="shared" si="122"/>
        <v>4823.55</v>
      </c>
      <c r="I1596" s="1" t="str">
        <f t="shared" si="123"/>
        <v/>
      </c>
      <c r="J1596" s="1" t="str">
        <f>_xlfn.IFNA(INDEX([1]历练产出!$Z:$Z,MATCH(B1596,[1]历练产出!$AB:$AB,0)),"")</f>
        <v/>
      </c>
      <c r="K1596" s="1" t="str">
        <f>_xlfn.IFNA(INDEX([1]洞天福地产出!$H:$H,MATCH(B1596,[1]洞天福地产出!$K:$K,0)),"")</f>
        <v/>
      </c>
      <c r="L1596" s="1" t="str">
        <f t="shared" si="124"/>
        <v/>
      </c>
      <c r="M1596" s="4">
        <f t="shared" si="125"/>
        <v>0</v>
      </c>
    </row>
    <row r="1597" ht="30" spans="1:13">
      <c r="A1597" s="4"/>
      <c r="B1597" t="str">
        <f t="shared" si="126"/>
        <v>7:40000120</v>
      </c>
      <c r="C1597" s="1">
        <v>7</v>
      </c>
      <c r="D1597" s="4">
        <v>40000120</v>
      </c>
      <c r="E1597" s="3" t="s">
        <v>1911</v>
      </c>
      <c r="F1597" s="3"/>
      <c r="G1597" s="1">
        <v>5062.5</v>
      </c>
      <c r="H1597" s="1">
        <f t="shared" si="122"/>
        <v>5062.5</v>
      </c>
      <c r="I1597" s="1" t="str">
        <f t="shared" si="123"/>
        <v/>
      </c>
      <c r="J1597" s="1" t="str">
        <f>_xlfn.IFNA(INDEX([1]历练产出!$Z:$Z,MATCH(B1597,[1]历练产出!$AB:$AB,0)),"")</f>
        <v/>
      </c>
      <c r="K1597" s="1" t="str">
        <f>_xlfn.IFNA(INDEX([1]洞天福地产出!$H:$H,MATCH(B1597,[1]洞天福地产出!$K:$K,0)),"")</f>
        <v/>
      </c>
      <c r="L1597" s="1" t="str">
        <f t="shared" si="124"/>
        <v/>
      </c>
      <c r="M1597" s="4">
        <f t="shared" si="125"/>
        <v>0</v>
      </c>
    </row>
    <row r="1598" ht="30" spans="1:13">
      <c r="A1598" s="4"/>
      <c r="B1598" t="str">
        <f t="shared" si="126"/>
        <v>7:40000121</v>
      </c>
      <c r="C1598" s="1">
        <v>7</v>
      </c>
      <c r="D1598" s="4">
        <v>40000121</v>
      </c>
      <c r="E1598" s="3" t="s">
        <v>1911</v>
      </c>
      <c r="F1598" s="3"/>
      <c r="G1598" s="1">
        <v>5313.6</v>
      </c>
      <c r="H1598" s="1">
        <f t="shared" si="122"/>
        <v>5313.6</v>
      </c>
      <c r="I1598" s="1" t="str">
        <f t="shared" si="123"/>
        <v/>
      </c>
      <c r="J1598" s="1" t="str">
        <f>_xlfn.IFNA(INDEX([1]历练产出!$Z:$Z,MATCH(B1598,[1]历练产出!$AB:$AB,0)),"")</f>
        <v/>
      </c>
      <c r="K1598" s="1" t="str">
        <f>_xlfn.IFNA(INDEX([1]洞天福地产出!$H:$H,MATCH(B1598,[1]洞天福地产出!$K:$K,0)),"")</f>
        <v/>
      </c>
      <c r="L1598" s="1" t="str">
        <f t="shared" si="124"/>
        <v/>
      </c>
      <c r="M1598" s="4">
        <f t="shared" si="125"/>
        <v>0</v>
      </c>
    </row>
    <row r="1599" ht="30" spans="1:13">
      <c r="A1599" s="4"/>
      <c r="B1599" t="str">
        <f t="shared" si="126"/>
        <v>7:40000122</v>
      </c>
      <c r="C1599" s="1">
        <v>7</v>
      </c>
      <c r="D1599" s="4">
        <v>40000122</v>
      </c>
      <c r="E1599" s="3" t="s">
        <v>1911</v>
      </c>
      <c r="F1599" s="3"/>
      <c r="G1599" s="1">
        <v>5576.85</v>
      </c>
      <c r="H1599" s="1">
        <f t="shared" si="122"/>
        <v>5576.85</v>
      </c>
      <c r="I1599" s="1" t="str">
        <f t="shared" si="123"/>
        <v/>
      </c>
      <c r="J1599" s="1" t="str">
        <f>_xlfn.IFNA(INDEX([1]历练产出!$Z:$Z,MATCH(B1599,[1]历练产出!$AB:$AB,0)),"")</f>
        <v/>
      </c>
      <c r="K1599" s="1" t="str">
        <f>_xlfn.IFNA(INDEX([1]洞天福地产出!$H:$H,MATCH(B1599,[1]洞天福地产出!$K:$K,0)),"")</f>
        <v/>
      </c>
      <c r="L1599" s="1" t="str">
        <f t="shared" si="124"/>
        <v/>
      </c>
      <c r="M1599" s="4">
        <f t="shared" si="125"/>
        <v>0</v>
      </c>
    </row>
    <row r="1600" ht="30" spans="1:13">
      <c r="A1600" s="4"/>
      <c r="B1600" t="str">
        <f t="shared" si="126"/>
        <v>7:40000123</v>
      </c>
      <c r="C1600" s="1">
        <v>7</v>
      </c>
      <c r="D1600" s="4">
        <v>40000123</v>
      </c>
      <c r="E1600" s="3" t="s">
        <v>1911</v>
      </c>
      <c r="F1600" s="3"/>
      <c r="G1600" s="1">
        <v>5852.25</v>
      </c>
      <c r="H1600" s="1">
        <f t="shared" si="122"/>
        <v>5852.25</v>
      </c>
      <c r="I1600" s="1" t="str">
        <f t="shared" si="123"/>
        <v/>
      </c>
      <c r="J1600" s="1" t="str">
        <f>_xlfn.IFNA(INDEX([1]历练产出!$Z:$Z,MATCH(B1600,[1]历练产出!$AB:$AB,0)),"")</f>
        <v/>
      </c>
      <c r="K1600" s="1" t="str">
        <f>_xlfn.IFNA(INDEX([1]洞天福地产出!$H:$H,MATCH(B1600,[1]洞天福地产出!$K:$K,0)),"")</f>
        <v/>
      </c>
      <c r="L1600" s="1" t="str">
        <f t="shared" si="124"/>
        <v/>
      </c>
      <c r="M1600" s="4">
        <f t="shared" si="125"/>
        <v>0</v>
      </c>
    </row>
    <row r="1601" ht="30" spans="1:13">
      <c r="A1601" s="4"/>
      <c r="B1601" t="str">
        <f t="shared" si="126"/>
        <v>7:40000124</v>
      </c>
      <c r="C1601" s="1">
        <v>7</v>
      </c>
      <c r="D1601" s="4">
        <v>40000124</v>
      </c>
      <c r="E1601" s="3" t="s">
        <v>1911</v>
      </c>
      <c r="F1601" s="3"/>
      <c r="G1601" s="1">
        <v>6139.8</v>
      </c>
      <c r="H1601" s="1">
        <f t="shared" si="122"/>
        <v>6139.8</v>
      </c>
      <c r="I1601" s="1" t="str">
        <f t="shared" si="123"/>
        <v/>
      </c>
      <c r="J1601" s="1" t="str">
        <f>_xlfn.IFNA(INDEX([1]历练产出!$Z:$Z,MATCH(B1601,[1]历练产出!$AB:$AB,0)),"")</f>
        <v/>
      </c>
      <c r="K1601" s="1" t="str">
        <f>_xlfn.IFNA(INDEX([1]洞天福地产出!$H:$H,MATCH(B1601,[1]洞天福地产出!$K:$K,0)),"")</f>
        <v/>
      </c>
      <c r="L1601" s="1" t="str">
        <f t="shared" si="124"/>
        <v/>
      </c>
      <c r="M1601" s="4">
        <f t="shared" si="125"/>
        <v>0</v>
      </c>
    </row>
    <row r="1602" ht="30" spans="1:13">
      <c r="A1602" s="4"/>
      <c r="B1602" t="str">
        <f t="shared" si="126"/>
        <v>7:40000125</v>
      </c>
      <c r="C1602" s="1">
        <v>7</v>
      </c>
      <c r="D1602" s="4">
        <v>40000125</v>
      </c>
      <c r="E1602" s="3" t="s">
        <v>1911</v>
      </c>
      <c r="F1602" s="3"/>
      <c r="G1602" s="1">
        <v>6439.5</v>
      </c>
      <c r="H1602" s="1">
        <f t="shared" si="122"/>
        <v>6439.5</v>
      </c>
      <c r="I1602" s="1" t="str">
        <f t="shared" si="123"/>
        <v/>
      </c>
      <c r="J1602" s="1" t="str">
        <f>_xlfn.IFNA(INDEX([1]历练产出!$Z:$Z,MATCH(B1602,[1]历练产出!$AB:$AB,0)),"")</f>
        <v/>
      </c>
      <c r="K1602" s="1" t="str">
        <f>_xlfn.IFNA(INDEX([1]洞天福地产出!$H:$H,MATCH(B1602,[1]洞天福地产出!$K:$K,0)),"")</f>
        <v/>
      </c>
      <c r="L1602" s="1" t="str">
        <f t="shared" si="124"/>
        <v/>
      </c>
      <c r="M1602" s="4">
        <f t="shared" si="125"/>
        <v>0</v>
      </c>
    </row>
    <row r="1603" ht="30" spans="1:13">
      <c r="A1603" s="4"/>
      <c r="B1603" t="str">
        <f t="shared" si="126"/>
        <v>7:40000126</v>
      </c>
      <c r="C1603" s="1">
        <v>7</v>
      </c>
      <c r="D1603" s="4">
        <v>40000126</v>
      </c>
      <c r="E1603" s="3" t="s">
        <v>1911</v>
      </c>
      <c r="F1603" s="3"/>
      <c r="G1603" s="1">
        <v>6751.35</v>
      </c>
      <c r="H1603" s="1">
        <f t="shared" si="122"/>
        <v>6751.35</v>
      </c>
      <c r="I1603" s="1" t="str">
        <f t="shared" si="123"/>
        <v/>
      </c>
      <c r="J1603" s="1" t="str">
        <f>_xlfn.IFNA(INDEX([1]历练产出!$Z:$Z,MATCH(B1603,[1]历练产出!$AB:$AB,0)),"")</f>
        <v/>
      </c>
      <c r="K1603" s="1" t="str">
        <f>_xlfn.IFNA(INDEX([1]洞天福地产出!$H:$H,MATCH(B1603,[1]洞天福地产出!$K:$K,0)),"")</f>
        <v/>
      </c>
      <c r="L1603" s="1" t="str">
        <f t="shared" si="124"/>
        <v/>
      </c>
      <c r="M1603" s="4">
        <f t="shared" si="125"/>
        <v>0</v>
      </c>
    </row>
    <row r="1604" ht="30" spans="1:13">
      <c r="A1604" s="4"/>
      <c r="B1604" t="str">
        <f t="shared" si="126"/>
        <v>7:40000127</v>
      </c>
      <c r="C1604" s="1">
        <v>7</v>
      </c>
      <c r="D1604" s="4">
        <v>40000127</v>
      </c>
      <c r="E1604" s="3" t="s">
        <v>1911</v>
      </c>
      <c r="F1604" s="3"/>
      <c r="G1604" s="1">
        <v>7075.35</v>
      </c>
      <c r="H1604" s="1">
        <f t="shared" ref="H1604:H1667" si="127">IF(I1604="",G1604,I1604)</f>
        <v>7075.35</v>
      </c>
      <c r="I1604" s="1" t="str">
        <f t="shared" ref="I1604:I1667" si="128">IFERROR(100/L1604,"")</f>
        <v/>
      </c>
      <c r="J1604" s="1" t="str">
        <f>_xlfn.IFNA(INDEX([1]历练产出!$Z:$Z,MATCH(B1604,[1]历练产出!$AB:$AB,0)),"")</f>
        <v/>
      </c>
      <c r="K1604" s="1" t="str">
        <f>_xlfn.IFNA(INDEX([1]洞天福地产出!$H:$H,MATCH(B1604,[1]洞天福地产出!$K:$K,0)),"")</f>
        <v/>
      </c>
      <c r="L1604" s="1" t="str">
        <f t="shared" ref="L1604:L1667" si="129">IFERROR(J1604+K1604,"")</f>
        <v/>
      </c>
      <c r="M1604" s="4">
        <f t="shared" ref="M1604:M1667" si="130">IF(I1604="",0,1)</f>
        <v>0</v>
      </c>
    </row>
    <row r="1605" ht="30" spans="1:13">
      <c r="A1605" s="4"/>
      <c r="B1605" t="str">
        <f t="shared" si="126"/>
        <v>7:40000128</v>
      </c>
      <c r="C1605" s="1">
        <v>7</v>
      </c>
      <c r="D1605" s="4">
        <v>40000128</v>
      </c>
      <c r="E1605" s="3" t="s">
        <v>1911</v>
      </c>
      <c r="F1605" s="3"/>
      <c r="G1605" s="1">
        <v>7411.5</v>
      </c>
      <c r="H1605" s="1">
        <f t="shared" si="127"/>
        <v>7411.5</v>
      </c>
      <c r="I1605" s="1" t="str">
        <f t="shared" si="128"/>
        <v/>
      </c>
      <c r="J1605" s="1" t="str">
        <f>_xlfn.IFNA(INDEX([1]历练产出!$Z:$Z,MATCH(B1605,[1]历练产出!$AB:$AB,0)),"")</f>
        <v/>
      </c>
      <c r="K1605" s="1" t="str">
        <f>_xlfn.IFNA(INDEX([1]洞天福地产出!$H:$H,MATCH(B1605,[1]洞天福地产出!$K:$K,0)),"")</f>
        <v/>
      </c>
      <c r="L1605" s="1" t="str">
        <f t="shared" si="129"/>
        <v/>
      </c>
      <c r="M1605" s="4">
        <f t="shared" si="130"/>
        <v>0</v>
      </c>
    </row>
    <row r="1606" ht="30" spans="1:13">
      <c r="A1606" s="4"/>
      <c r="B1606" t="str">
        <f t="shared" si="126"/>
        <v>7:40000129</v>
      </c>
      <c r="C1606" s="1">
        <v>7</v>
      </c>
      <c r="D1606" s="4">
        <v>40000129</v>
      </c>
      <c r="E1606" s="3" t="s">
        <v>1911</v>
      </c>
      <c r="F1606" s="3"/>
      <c r="G1606" s="1">
        <v>9703.8</v>
      </c>
      <c r="H1606" s="1">
        <f t="shared" si="127"/>
        <v>9703.8</v>
      </c>
      <c r="I1606" s="1" t="str">
        <f t="shared" si="128"/>
        <v/>
      </c>
      <c r="J1606" s="1" t="str">
        <f>_xlfn.IFNA(INDEX([1]历练产出!$Z:$Z,MATCH(B1606,[1]历练产出!$AB:$AB,0)),"")</f>
        <v/>
      </c>
      <c r="K1606" s="1" t="str">
        <f>_xlfn.IFNA(INDEX([1]洞天福地产出!$H:$H,MATCH(B1606,[1]洞天福地产出!$K:$K,0)),"")</f>
        <v/>
      </c>
      <c r="L1606" s="1" t="str">
        <f t="shared" si="129"/>
        <v/>
      </c>
      <c r="M1606" s="4">
        <f t="shared" si="130"/>
        <v>0</v>
      </c>
    </row>
    <row r="1607" ht="30" spans="1:13">
      <c r="A1607" s="4"/>
      <c r="B1607" t="str">
        <f t="shared" si="126"/>
        <v>7:40000130</v>
      </c>
      <c r="C1607" s="1">
        <v>7</v>
      </c>
      <c r="D1607" s="4">
        <v>40000130</v>
      </c>
      <c r="E1607" s="3" t="s">
        <v>1911</v>
      </c>
      <c r="F1607" s="3"/>
      <c r="G1607" s="1">
        <v>10052.1</v>
      </c>
      <c r="H1607" s="1">
        <f t="shared" si="127"/>
        <v>10052.1</v>
      </c>
      <c r="I1607" s="1" t="str">
        <f t="shared" si="128"/>
        <v/>
      </c>
      <c r="J1607" s="1" t="str">
        <f>_xlfn.IFNA(INDEX([1]历练产出!$Z:$Z,MATCH(B1607,[1]历练产出!$AB:$AB,0)),"")</f>
        <v/>
      </c>
      <c r="K1607" s="1" t="str">
        <f>_xlfn.IFNA(INDEX([1]洞天福地产出!$H:$H,MATCH(B1607,[1]洞天福地产出!$K:$K,0)),"")</f>
        <v/>
      </c>
      <c r="L1607" s="1" t="str">
        <f t="shared" si="129"/>
        <v/>
      </c>
      <c r="M1607" s="4">
        <f t="shared" si="130"/>
        <v>0</v>
      </c>
    </row>
    <row r="1608" ht="30" spans="1:13">
      <c r="A1608" s="4"/>
      <c r="B1608" t="str">
        <f t="shared" si="126"/>
        <v>7:41000101</v>
      </c>
      <c r="C1608" s="1">
        <v>7</v>
      </c>
      <c r="D1608" s="4">
        <v>41000101</v>
      </c>
      <c r="E1608" s="3" t="s">
        <v>1912</v>
      </c>
      <c r="F1608" s="3"/>
      <c r="G1608" s="1">
        <v>656.1</v>
      </c>
      <c r="H1608" s="1">
        <f t="shared" si="127"/>
        <v>656.1</v>
      </c>
      <c r="I1608" s="1" t="str">
        <f t="shared" si="128"/>
        <v/>
      </c>
      <c r="J1608" s="1" t="str">
        <f>_xlfn.IFNA(INDEX([1]历练产出!$Z:$Z,MATCH(B1608,[1]历练产出!$AB:$AB,0)),"")</f>
        <v/>
      </c>
      <c r="K1608" s="1" t="str">
        <f>_xlfn.IFNA(INDEX([1]洞天福地产出!$H:$H,MATCH(B1608,[1]洞天福地产出!$K:$K,0)),"")</f>
        <v/>
      </c>
      <c r="L1608" s="1" t="str">
        <f t="shared" si="129"/>
        <v/>
      </c>
      <c r="M1608" s="4">
        <f t="shared" si="130"/>
        <v>0</v>
      </c>
    </row>
    <row r="1609" ht="30" spans="1:13">
      <c r="A1609" s="4"/>
      <c r="B1609" t="str">
        <f t="shared" si="126"/>
        <v>7:41000102</v>
      </c>
      <c r="C1609" s="1">
        <v>7</v>
      </c>
      <c r="D1609" s="4">
        <v>41000102</v>
      </c>
      <c r="E1609" s="3" t="s">
        <v>1912</v>
      </c>
      <c r="F1609" s="3"/>
      <c r="G1609" s="1">
        <v>676.35</v>
      </c>
      <c r="H1609" s="1">
        <f t="shared" si="127"/>
        <v>676.35</v>
      </c>
      <c r="I1609" s="1" t="str">
        <f t="shared" si="128"/>
        <v/>
      </c>
      <c r="J1609" s="1" t="str">
        <f>_xlfn.IFNA(INDEX([1]历练产出!$Z:$Z,MATCH(B1609,[1]历练产出!$AB:$AB,0)),"")</f>
        <v/>
      </c>
      <c r="K1609" s="1" t="str">
        <f>_xlfn.IFNA(INDEX([1]洞天福地产出!$H:$H,MATCH(B1609,[1]洞天福地产出!$K:$K,0)),"")</f>
        <v/>
      </c>
      <c r="L1609" s="1" t="str">
        <f t="shared" si="129"/>
        <v/>
      </c>
      <c r="M1609" s="4">
        <f t="shared" si="130"/>
        <v>0</v>
      </c>
    </row>
    <row r="1610" ht="30" spans="1:13">
      <c r="A1610" s="4"/>
      <c r="B1610" t="str">
        <f t="shared" si="126"/>
        <v>7:41000103</v>
      </c>
      <c r="C1610" s="1">
        <v>7</v>
      </c>
      <c r="D1610" s="4">
        <v>41000103</v>
      </c>
      <c r="E1610" s="3" t="s">
        <v>1912</v>
      </c>
      <c r="F1610" s="3"/>
      <c r="G1610" s="1">
        <v>708.75</v>
      </c>
      <c r="H1610" s="1">
        <f t="shared" si="127"/>
        <v>708.75</v>
      </c>
      <c r="I1610" s="1" t="str">
        <f t="shared" si="128"/>
        <v/>
      </c>
      <c r="J1610" s="1" t="str">
        <f>_xlfn.IFNA(INDEX([1]历练产出!$Z:$Z,MATCH(B1610,[1]历练产出!$AB:$AB,0)),"")</f>
        <v/>
      </c>
      <c r="K1610" s="1" t="str">
        <f>_xlfn.IFNA(INDEX([1]洞天福地产出!$H:$H,MATCH(B1610,[1]洞天福地产出!$K:$K,0)),"")</f>
        <v/>
      </c>
      <c r="L1610" s="1" t="str">
        <f t="shared" si="129"/>
        <v/>
      </c>
      <c r="M1610" s="4">
        <f t="shared" si="130"/>
        <v>0</v>
      </c>
    </row>
    <row r="1611" ht="30" spans="1:13">
      <c r="A1611" s="4"/>
      <c r="B1611" t="str">
        <f t="shared" si="126"/>
        <v>7:41000104</v>
      </c>
      <c r="C1611" s="1">
        <v>7</v>
      </c>
      <c r="D1611" s="4">
        <v>41000104</v>
      </c>
      <c r="E1611" s="3" t="s">
        <v>1912</v>
      </c>
      <c r="F1611" s="3"/>
      <c r="G1611" s="1">
        <v>753.3</v>
      </c>
      <c r="H1611" s="1">
        <f t="shared" si="127"/>
        <v>753.3</v>
      </c>
      <c r="I1611" s="1" t="str">
        <f t="shared" si="128"/>
        <v/>
      </c>
      <c r="J1611" s="1" t="str">
        <f>_xlfn.IFNA(INDEX([1]历练产出!$Z:$Z,MATCH(B1611,[1]历练产出!$AB:$AB,0)),"")</f>
        <v/>
      </c>
      <c r="K1611" s="1" t="str">
        <f>_xlfn.IFNA(INDEX([1]洞天福地产出!$H:$H,MATCH(B1611,[1]洞天福地产出!$K:$K,0)),"")</f>
        <v/>
      </c>
      <c r="L1611" s="1" t="str">
        <f t="shared" si="129"/>
        <v/>
      </c>
      <c r="M1611" s="4">
        <f t="shared" si="130"/>
        <v>0</v>
      </c>
    </row>
    <row r="1612" ht="30" spans="1:13">
      <c r="A1612" s="4"/>
      <c r="B1612" t="str">
        <f t="shared" si="126"/>
        <v>7:41000105</v>
      </c>
      <c r="C1612" s="1">
        <v>7</v>
      </c>
      <c r="D1612" s="4">
        <v>41000105</v>
      </c>
      <c r="E1612" s="3" t="s">
        <v>1912</v>
      </c>
      <c r="F1612" s="3"/>
      <c r="G1612" s="1">
        <v>810</v>
      </c>
      <c r="H1612" s="1">
        <f t="shared" si="127"/>
        <v>810</v>
      </c>
      <c r="I1612" s="1" t="str">
        <f t="shared" si="128"/>
        <v/>
      </c>
      <c r="J1612" s="1" t="str">
        <f>_xlfn.IFNA(INDEX([1]历练产出!$Z:$Z,MATCH(B1612,[1]历练产出!$AB:$AB,0)),"")</f>
        <v/>
      </c>
      <c r="K1612" s="1" t="str">
        <f>_xlfn.IFNA(INDEX([1]洞天福地产出!$H:$H,MATCH(B1612,[1]洞天福地产出!$K:$K,0)),"")</f>
        <v/>
      </c>
      <c r="L1612" s="1" t="str">
        <f t="shared" si="129"/>
        <v/>
      </c>
      <c r="M1612" s="4">
        <f t="shared" si="130"/>
        <v>0</v>
      </c>
    </row>
    <row r="1613" ht="30" spans="1:13">
      <c r="A1613" s="4"/>
      <c r="B1613" t="str">
        <f t="shared" si="126"/>
        <v>7:41000106</v>
      </c>
      <c r="C1613" s="1">
        <v>7</v>
      </c>
      <c r="D1613" s="4">
        <v>41000106</v>
      </c>
      <c r="E1613" s="3" t="s">
        <v>1912</v>
      </c>
      <c r="F1613" s="3"/>
      <c r="G1613" s="1">
        <v>878.85</v>
      </c>
      <c r="H1613" s="1">
        <f t="shared" si="127"/>
        <v>878.85</v>
      </c>
      <c r="I1613" s="1" t="str">
        <f t="shared" si="128"/>
        <v/>
      </c>
      <c r="J1613" s="1" t="str">
        <f>_xlfn.IFNA(INDEX([1]历练产出!$Z:$Z,MATCH(B1613,[1]历练产出!$AB:$AB,0)),"")</f>
        <v/>
      </c>
      <c r="K1613" s="1" t="str">
        <f>_xlfn.IFNA(INDEX([1]洞天福地产出!$H:$H,MATCH(B1613,[1]洞天福地产出!$K:$K,0)),"")</f>
        <v/>
      </c>
      <c r="L1613" s="1" t="str">
        <f t="shared" si="129"/>
        <v/>
      </c>
      <c r="M1613" s="4">
        <f t="shared" si="130"/>
        <v>0</v>
      </c>
    </row>
    <row r="1614" ht="30" spans="1:13">
      <c r="A1614" s="4"/>
      <c r="B1614" t="str">
        <f t="shared" si="126"/>
        <v>7:41000107</v>
      </c>
      <c r="C1614" s="1">
        <v>7</v>
      </c>
      <c r="D1614" s="4">
        <v>41000107</v>
      </c>
      <c r="E1614" s="3" t="s">
        <v>1912</v>
      </c>
      <c r="F1614" s="3"/>
      <c r="G1614" s="1">
        <v>959.85</v>
      </c>
      <c r="H1614" s="1">
        <f t="shared" si="127"/>
        <v>959.85</v>
      </c>
      <c r="I1614" s="1" t="str">
        <f t="shared" si="128"/>
        <v/>
      </c>
      <c r="J1614" s="1" t="str">
        <f>_xlfn.IFNA(INDEX([1]历练产出!$Z:$Z,MATCH(B1614,[1]历练产出!$AB:$AB,0)),"")</f>
        <v/>
      </c>
      <c r="K1614" s="1" t="str">
        <f>_xlfn.IFNA(INDEX([1]洞天福地产出!$H:$H,MATCH(B1614,[1]洞天福地产出!$K:$K,0)),"")</f>
        <v/>
      </c>
      <c r="L1614" s="1" t="str">
        <f t="shared" si="129"/>
        <v/>
      </c>
      <c r="M1614" s="4">
        <f t="shared" si="130"/>
        <v>0</v>
      </c>
    </row>
    <row r="1615" ht="30" spans="1:13">
      <c r="A1615" s="4"/>
      <c r="B1615" t="str">
        <f t="shared" si="126"/>
        <v>7:41000108</v>
      </c>
      <c r="C1615" s="1">
        <v>7</v>
      </c>
      <c r="D1615" s="4">
        <v>41000108</v>
      </c>
      <c r="E1615" s="3" t="s">
        <v>1912</v>
      </c>
      <c r="F1615" s="3"/>
      <c r="G1615" s="1">
        <v>1053</v>
      </c>
      <c r="H1615" s="1">
        <f t="shared" si="127"/>
        <v>1053</v>
      </c>
      <c r="I1615" s="1" t="str">
        <f t="shared" si="128"/>
        <v/>
      </c>
      <c r="J1615" s="1" t="str">
        <f>_xlfn.IFNA(INDEX([1]历练产出!$Z:$Z,MATCH(B1615,[1]历练产出!$AB:$AB,0)),"")</f>
        <v/>
      </c>
      <c r="K1615" s="1" t="str">
        <f>_xlfn.IFNA(INDEX([1]洞天福地产出!$H:$H,MATCH(B1615,[1]洞天福地产出!$K:$K,0)),"")</f>
        <v/>
      </c>
      <c r="L1615" s="1" t="str">
        <f t="shared" si="129"/>
        <v/>
      </c>
      <c r="M1615" s="4">
        <f t="shared" si="130"/>
        <v>0</v>
      </c>
    </row>
    <row r="1616" ht="30" spans="1:13">
      <c r="A1616" s="4"/>
      <c r="B1616" t="str">
        <f t="shared" si="126"/>
        <v>7:41000109</v>
      </c>
      <c r="C1616" s="1">
        <v>7</v>
      </c>
      <c r="D1616" s="4">
        <v>41000109</v>
      </c>
      <c r="E1616" s="3" t="s">
        <v>1912</v>
      </c>
      <c r="F1616" s="3"/>
      <c r="G1616" s="1">
        <v>1806.3</v>
      </c>
      <c r="H1616" s="1">
        <f t="shared" si="127"/>
        <v>1806.3</v>
      </c>
      <c r="I1616" s="1" t="str">
        <f t="shared" si="128"/>
        <v/>
      </c>
      <c r="J1616" s="1" t="str">
        <f>_xlfn.IFNA(INDEX([1]历练产出!$Z:$Z,MATCH(B1616,[1]历练产出!$AB:$AB,0)),"")</f>
        <v/>
      </c>
      <c r="K1616" s="1" t="str">
        <f>_xlfn.IFNA(INDEX([1]洞天福地产出!$H:$H,MATCH(B1616,[1]洞天福地产出!$K:$K,0)),"")</f>
        <v/>
      </c>
      <c r="L1616" s="1" t="str">
        <f t="shared" si="129"/>
        <v/>
      </c>
      <c r="M1616" s="4">
        <f t="shared" si="130"/>
        <v>0</v>
      </c>
    </row>
    <row r="1617" ht="30" spans="1:13">
      <c r="A1617" s="4"/>
      <c r="B1617" t="str">
        <f t="shared" si="126"/>
        <v>7:41000110</v>
      </c>
      <c r="C1617" s="1">
        <v>7</v>
      </c>
      <c r="D1617" s="4">
        <v>41000110</v>
      </c>
      <c r="E1617" s="3" t="s">
        <v>1912</v>
      </c>
      <c r="F1617" s="3"/>
      <c r="G1617" s="1">
        <v>1923.75</v>
      </c>
      <c r="H1617" s="1">
        <f t="shared" si="127"/>
        <v>1923.75</v>
      </c>
      <c r="I1617" s="1" t="str">
        <f t="shared" si="128"/>
        <v/>
      </c>
      <c r="J1617" s="1" t="str">
        <f>_xlfn.IFNA(INDEX([1]历练产出!$Z:$Z,MATCH(B1617,[1]历练产出!$AB:$AB,0)),"")</f>
        <v/>
      </c>
      <c r="K1617" s="1" t="str">
        <f>_xlfn.IFNA(INDEX([1]洞天福地产出!$H:$H,MATCH(B1617,[1]洞天福地产出!$K:$K,0)),"")</f>
        <v/>
      </c>
      <c r="L1617" s="1" t="str">
        <f t="shared" si="129"/>
        <v/>
      </c>
      <c r="M1617" s="4">
        <f t="shared" si="130"/>
        <v>0</v>
      </c>
    </row>
    <row r="1618" ht="30" spans="1:13">
      <c r="A1618" s="4"/>
      <c r="B1618" t="str">
        <f t="shared" si="126"/>
        <v>7:41000111</v>
      </c>
      <c r="C1618" s="1">
        <v>7</v>
      </c>
      <c r="D1618" s="4">
        <v>41000111</v>
      </c>
      <c r="E1618" s="3" t="s">
        <v>1912</v>
      </c>
      <c r="F1618" s="3"/>
      <c r="G1618" s="1">
        <v>2053.35</v>
      </c>
      <c r="H1618" s="1">
        <f t="shared" si="127"/>
        <v>2053.35</v>
      </c>
      <c r="I1618" s="1" t="str">
        <f t="shared" si="128"/>
        <v/>
      </c>
      <c r="J1618" s="1" t="str">
        <f>_xlfn.IFNA(INDEX([1]历练产出!$Z:$Z,MATCH(B1618,[1]历练产出!$AB:$AB,0)),"")</f>
        <v/>
      </c>
      <c r="K1618" s="1" t="str">
        <f>_xlfn.IFNA(INDEX([1]洞天福地产出!$H:$H,MATCH(B1618,[1]洞天福地产出!$K:$K,0)),"")</f>
        <v/>
      </c>
      <c r="L1618" s="1" t="str">
        <f t="shared" si="129"/>
        <v/>
      </c>
      <c r="M1618" s="4">
        <f t="shared" si="130"/>
        <v>0</v>
      </c>
    </row>
    <row r="1619" ht="30" spans="1:13">
      <c r="A1619" s="4"/>
      <c r="B1619" t="str">
        <f t="shared" si="126"/>
        <v>7:41000112</v>
      </c>
      <c r="C1619" s="1">
        <v>7</v>
      </c>
      <c r="D1619" s="4">
        <v>41000112</v>
      </c>
      <c r="E1619" s="3" t="s">
        <v>1912</v>
      </c>
      <c r="F1619" s="3"/>
      <c r="G1619" s="1">
        <v>2195.1</v>
      </c>
      <c r="H1619" s="1">
        <f t="shared" si="127"/>
        <v>2195.1</v>
      </c>
      <c r="I1619" s="1" t="str">
        <f t="shared" si="128"/>
        <v/>
      </c>
      <c r="J1619" s="1" t="str">
        <f>_xlfn.IFNA(INDEX([1]历练产出!$Z:$Z,MATCH(B1619,[1]历练产出!$AB:$AB,0)),"")</f>
        <v/>
      </c>
      <c r="K1619" s="1" t="str">
        <f>_xlfn.IFNA(INDEX([1]洞天福地产出!$H:$H,MATCH(B1619,[1]洞天福地产出!$K:$K,0)),"")</f>
        <v/>
      </c>
      <c r="L1619" s="1" t="str">
        <f t="shared" si="129"/>
        <v/>
      </c>
      <c r="M1619" s="4">
        <f t="shared" si="130"/>
        <v>0</v>
      </c>
    </row>
    <row r="1620" ht="30" spans="1:13">
      <c r="A1620" s="4"/>
      <c r="B1620" t="str">
        <f t="shared" si="126"/>
        <v>7:41000113</v>
      </c>
      <c r="C1620" s="1">
        <v>7</v>
      </c>
      <c r="D1620" s="4">
        <v>41000113</v>
      </c>
      <c r="E1620" s="3" t="s">
        <v>1912</v>
      </c>
      <c r="F1620" s="3"/>
      <c r="G1620" s="1">
        <v>2349</v>
      </c>
      <c r="H1620" s="1">
        <f t="shared" si="127"/>
        <v>2349</v>
      </c>
      <c r="I1620" s="1" t="str">
        <f t="shared" si="128"/>
        <v/>
      </c>
      <c r="J1620" s="1" t="str">
        <f>_xlfn.IFNA(INDEX([1]历练产出!$Z:$Z,MATCH(B1620,[1]历练产出!$AB:$AB,0)),"")</f>
        <v/>
      </c>
      <c r="K1620" s="1" t="str">
        <f>_xlfn.IFNA(INDEX([1]洞天福地产出!$H:$H,MATCH(B1620,[1]洞天福地产出!$K:$K,0)),"")</f>
        <v/>
      </c>
      <c r="L1620" s="1" t="str">
        <f t="shared" si="129"/>
        <v/>
      </c>
      <c r="M1620" s="4">
        <f t="shared" si="130"/>
        <v>0</v>
      </c>
    </row>
    <row r="1621" ht="30" spans="1:13">
      <c r="A1621" s="4"/>
      <c r="B1621" t="str">
        <f t="shared" si="126"/>
        <v>7:41000114</v>
      </c>
      <c r="C1621" s="1">
        <v>7</v>
      </c>
      <c r="D1621" s="4">
        <v>41000114</v>
      </c>
      <c r="E1621" s="3" t="s">
        <v>1912</v>
      </c>
      <c r="F1621" s="3"/>
      <c r="G1621" s="1">
        <v>2515.05</v>
      </c>
      <c r="H1621" s="1">
        <f t="shared" si="127"/>
        <v>2515.05</v>
      </c>
      <c r="I1621" s="1" t="str">
        <f t="shared" si="128"/>
        <v/>
      </c>
      <c r="J1621" s="1" t="str">
        <f>_xlfn.IFNA(INDEX([1]历练产出!$Z:$Z,MATCH(B1621,[1]历练产出!$AB:$AB,0)),"")</f>
        <v/>
      </c>
      <c r="K1621" s="1" t="str">
        <f>_xlfn.IFNA(INDEX([1]洞天福地产出!$H:$H,MATCH(B1621,[1]洞天福地产出!$K:$K,0)),"")</f>
        <v/>
      </c>
      <c r="L1621" s="1" t="str">
        <f t="shared" si="129"/>
        <v/>
      </c>
      <c r="M1621" s="4">
        <f t="shared" si="130"/>
        <v>0</v>
      </c>
    </row>
    <row r="1622" ht="30" spans="1:13">
      <c r="A1622" s="4"/>
      <c r="B1622" t="str">
        <f t="shared" si="126"/>
        <v>7:41000115</v>
      </c>
      <c r="C1622" s="1">
        <v>7</v>
      </c>
      <c r="D1622" s="4">
        <v>41000115</v>
      </c>
      <c r="E1622" s="3" t="s">
        <v>1912</v>
      </c>
      <c r="F1622" s="3"/>
      <c r="G1622" s="1">
        <v>2693.25</v>
      </c>
      <c r="H1622" s="1">
        <f t="shared" si="127"/>
        <v>2693.25</v>
      </c>
      <c r="I1622" s="1" t="str">
        <f t="shared" si="128"/>
        <v/>
      </c>
      <c r="J1622" s="1" t="str">
        <f>_xlfn.IFNA(INDEX([1]历练产出!$Z:$Z,MATCH(B1622,[1]历练产出!$AB:$AB,0)),"")</f>
        <v/>
      </c>
      <c r="K1622" s="1" t="str">
        <f>_xlfn.IFNA(INDEX([1]洞天福地产出!$H:$H,MATCH(B1622,[1]洞天福地产出!$K:$K,0)),"")</f>
        <v/>
      </c>
      <c r="L1622" s="1" t="str">
        <f t="shared" si="129"/>
        <v/>
      </c>
      <c r="M1622" s="4">
        <f t="shared" si="130"/>
        <v>0</v>
      </c>
    </row>
    <row r="1623" ht="30" spans="1:13">
      <c r="A1623" s="4"/>
      <c r="B1623" t="str">
        <f t="shared" si="126"/>
        <v>7:41000116</v>
      </c>
      <c r="C1623" s="1">
        <v>7</v>
      </c>
      <c r="D1623" s="4">
        <v>41000116</v>
      </c>
      <c r="E1623" s="3" t="s">
        <v>1912</v>
      </c>
      <c r="F1623" s="3"/>
      <c r="G1623" s="1">
        <v>2883.6</v>
      </c>
      <c r="H1623" s="1">
        <f t="shared" si="127"/>
        <v>2883.6</v>
      </c>
      <c r="I1623" s="1" t="str">
        <f t="shared" si="128"/>
        <v/>
      </c>
      <c r="J1623" s="1" t="str">
        <f>_xlfn.IFNA(INDEX([1]历练产出!$Z:$Z,MATCH(B1623,[1]历练产出!$AB:$AB,0)),"")</f>
        <v/>
      </c>
      <c r="K1623" s="1" t="str">
        <f>_xlfn.IFNA(INDEX([1]洞天福地产出!$H:$H,MATCH(B1623,[1]洞天福地产出!$K:$K,0)),"")</f>
        <v/>
      </c>
      <c r="L1623" s="1" t="str">
        <f t="shared" si="129"/>
        <v/>
      </c>
      <c r="M1623" s="4">
        <f t="shared" si="130"/>
        <v>0</v>
      </c>
    </row>
    <row r="1624" ht="30" spans="1:13">
      <c r="A1624" s="4"/>
      <c r="B1624" t="str">
        <f t="shared" si="126"/>
        <v>7:41000117</v>
      </c>
      <c r="C1624" s="1">
        <v>7</v>
      </c>
      <c r="D1624" s="4">
        <v>41000117</v>
      </c>
      <c r="E1624" s="3" t="s">
        <v>1912</v>
      </c>
      <c r="F1624" s="3"/>
      <c r="G1624" s="1">
        <v>3086.1</v>
      </c>
      <c r="H1624" s="1">
        <f t="shared" si="127"/>
        <v>3086.1</v>
      </c>
      <c r="I1624" s="1" t="str">
        <f t="shared" si="128"/>
        <v/>
      </c>
      <c r="J1624" s="1" t="str">
        <f>_xlfn.IFNA(INDEX([1]历练产出!$Z:$Z,MATCH(B1624,[1]历练产出!$AB:$AB,0)),"")</f>
        <v/>
      </c>
      <c r="K1624" s="1" t="str">
        <f>_xlfn.IFNA(INDEX([1]洞天福地产出!$H:$H,MATCH(B1624,[1]洞天福地产出!$K:$K,0)),"")</f>
        <v/>
      </c>
      <c r="L1624" s="1" t="str">
        <f t="shared" si="129"/>
        <v/>
      </c>
      <c r="M1624" s="4">
        <f t="shared" si="130"/>
        <v>0</v>
      </c>
    </row>
    <row r="1625" ht="30" spans="1:13">
      <c r="A1625" s="4"/>
      <c r="B1625" t="str">
        <f t="shared" si="126"/>
        <v>7:41000118</v>
      </c>
      <c r="C1625" s="1">
        <v>7</v>
      </c>
      <c r="D1625" s="4">
        <v>41000118</v>
      </c>
      <c r="E1625" s="3" t="s">
        <v>1912</v>
      </c>
      <c r="F1625" s="3"/>
      <c r="G1625" s="1">
        <v>3300.75</v>
      </c>
      <c r="H1625" s="1">
        <f t="shared" si="127"/>
        <v>3300.75</v>
      </c>
      <c r="I1625" s="1" t="str">
        <f t="shared" si="128"/>
        <v/>
      </c>
      <c r="J1625" s="1" t="str">
        <f>_xlfn.IFNA(INDEX([1]历练产出!$Z:$Z,MATCH(B1625,[1]历练产出!$AB:$AB,0)),"")</f>
        <v/>
      </c>
      <c r="K1625" s="1" t="str">
        <f>_xlfn.IFNA(INDEX([1]洞天福地产出!$H:$H,MATCH(B1625,[1]洞天福地产出!$K:$K,0)),"")</f>
        <v/>
      </c>
      <c r="L1625" s="1" t="str">
        <f t="shared" si="129"/>
        <v/>
      </c>
      <c r="M1625" s="4">
        <f t="shared" si="130"/>
        <v>0</v>
      </c>
    </row>
    <row r="1626" ht="30" spans="1:13">
      <c r="A1626" s="4"/>
      <c r="B1626" t="str">
        <f t="shared" si="126"/>
        <v>7:41000119</v>
      </c>
      <c r="C1626" s="1">
        <v>7</v>
      </c>
      <c r="D1626" s="4">
        <v>41000119</v>
      </c>
      <c r="E1626" s="3" t="s">
        <v>1912</v>
      </c>
      <c r="F1626" s="3"/>
      <c r="G1626" s="1">
        <v>4823.55</v>
      </c>
      <c r="H1626" s="1">
        <f t="shared" si="127"/>
        <v>4823.55</v>
      </c>
      <c r="I1626" s="1" t="str">
        <f t="shared" si="128"/>
        <v/>
      </c>
      <c r="J1626" s="1" t="str">
        <f>_xlfn.IFNA(INDEX([1]历练产出!$Z:$Z,MATCH(B1626,[1]历练产出!$AB:$AB,0)),"")</f>
        <v/>
      </c>
      <c r="K1626" s="1" t="str">
        <f>_xlfn.IFNA(INDEX([1]洞天福地产出!$H:$H,MATCH(B1626,[1]洞天福地产出!$K:$K,0)),"")</f>
        <v/>
      </c>
      <c r="L1626" s="1" t="str">
        <f t="shared" si="129"/>
        <v/>
      </c>
      <c r="M1626" s="4">
        <f t="shared" si="130"/>
        <v>0</v>
      </c>
    </row>
    <row r="1627" ht="30" spans="1:13">
      <c r="A1627" s="4"/>
      <c r="B1627" t="str">
        <f t="shared" si="126"/>
        <v>7:41000120</v>
      </c>
      <c r="C1627" s="1">
        <v>7</v>
      </c>
      <c r="D1627" s="4">
        <v>41000120</v>
      </c>
      <c r="E1627" s="3" t="s">
        <v>1912</v>
      </c>
      <c r="F1627" s="3"/>
      <c r="G1627" s="1">
        <v>5062.5</v>
      </c>
      <c r="H1627" s="1">
        <f t="shared" si="127"/>
        <v>5062.5</v>
      </c>
      <c r="I1627" s="1" t="str">
        <f t="shared" si="128"/>
        <v/>
      </c>
      <c r="J1627" s="1" t="str">
        <f>_xlfn.IFNA(INDEX([1]历练产出!$Z:$Z,MATCH(B1627,[1]历练产出!$AB:$AB,0)),"")</f>
        <v/>
      </c>
      <c r="K1627" s="1" t="str">
        <f>_xlfn.IFNA(INDEX([1]洞天福地产出!$H:$H,MATCH(B1627,[1]洞天福地产出!$K:$K,0)),"")</f>
        <v/>
      </c>
      <c r="L1627" s="1" t="str">
        <f t="shared" si="129"/>
        <v/>
      </c>
      <c r="M1627" s="4">
        <f t="shared" si="130"/>
        <v>0</v>
      </c>
    </row>
    <row r="1628" ht="30" spans="1:13">
      <c r="A1628" s="4"/>
      <c r="B1628" t="str">
        <f t="shared" si="126"/>
        <v>7:41000121</v>
      </c>
      <c r="C1628" s="1">
        <v>7</v>
      </c>
      <c r="D1628" s="4">
        <v>41000121</v>
      </c>
      <c r="E1628" s="3" t="s">
        <v>1912</v>
      </c>
      <c r="F1628" s="3"/>
      <c r="G1628" s="1">
        <v>5313.6</v>
      </c>
      <c r="H1628" s="1">
        <f t="shared" si="127"/>
        <v>5313.6</v>
      </c>
      <c r="I1628" s="1" t="str">
        <f t="shared" si="128"/>
        <v/>
      </c>
      <c r="J1628" s="1" t="str">
        <f>_xlfn.IFNA(INDEX([1]历练产出!$Z:$Z,MATCH(B1628,[1]历练产出!$AB:$AB,0)),"")</f>
        <v/>
      </c>
      <c r="K1628" s="1" t="str">
        <f>_xlfn.IFNA(INDEX([1]洞天福地产出!$H:$H,MATCH(B1628,[1]洞天福地产出!$K:$K,0)),"")</f>
        <v/>
      </c>
      <c r="L1628" s="1" t="str">
        <f t="shared" si="129"/>
        <v/>
      </c>
      <c r="M1628" s="4">
        <f t="shared" si="130"/>
        <v>0</v>
      </c>
    </row>
    <row r="1629" ht="30" spans="1:13">
      <c r="A1629" s="4"/>
      <c r="B1629" t="str">
        <f t="shared" si="126"/>
        <v>7:41000122</v>
      </c>
      <c r="C1629" s="1">
        <v>7</v>
      </c>
      <c r="D1629" s="4">
        <v>41000122</v>
      </c>
      <c r="E1629" s="3" t="s">
        <v>1912</v>
      </c>
      <c r="F1629" s="3"/>
      <c r="G1629" s="1">
        <v>5576.85</v>
      </c>
      <c r="H1629" s="1">
        <f t="shared" si="127"/>
        <v>5576.85</v>
      </c>
      <c r="I1629" s="1" t="str">
        <f t="shared" si="128"/>
        <v/>
      </c>
      <c r="J1629" s="1" t="str">
        <f>_xlfn.IFNA(INDEX([1]历练产出!$Z:$Z,MATCH(B1629,[1]历练产出!$AB:$AB,0)),"")</f>
        <v/>
      </c>
      <c r="K1629" s="1" t="str">
        <f>_xlfn.IFNA(INDEX([1]洞天福地产出!$H:$H,MATCH(B1629,[1]洞天福地产出!$K:$K,0)),"")</f>
        <v/>
      </c>
      <c r="L1629" s="1" t="str">
        <f t="shared" si="129"/>
        <v/>
      </c>
      <c r="M1629" s="4">
        <f t="shared" si="130"/>
        <v>0</v>
      </c>
    </row>
    <row r="1630" ht="30" spans="1:13">
      <c r="A1630" s="4"/>
      <c r="B1630" t="str">
        <f t="shared" si="126"/>
        <v>7:41000123</v>
      </c>
      <c r="C1630" s="1">
        <v>7</v>
      </c>
      <c r="D1630" s="4">
        <v>41000123</v>
      </c>
      <c r="E1630" s="3" t="s">
        <v>1912</v>
      </c>
      <c r="F1630" s="3"/>
      <c r="G1630" s="1">
        <v>5852.25</v>
      </c>
      <c r="H1630" s="1">
        <f t="shared" si="127"/>
        <v>5852.25</v>
      </c>
      <c r="I1630" s="1" t="str">
        <f t="shared" si="128"/>
        <v/>
      </c>
      <c r="J1630" s="1" t="str">
        <f>_xlfn.IFNA(INDEX([1]历练产出!$Z:$Z,MATCH(B1630,[1]历练产出!$AB:$AB,0)),"")</f>
        <v/>
      </c>
      <c r="K1630" s="1" t="str">
        <f>_xlfn.IFNA(INDEX([1]洞天福地产出!$H:$H,MATCH(B1630,[1]洞天福地产出!$K:$K,0)),"")</f>
        <v/>
      </c>
      <c r="L1630" s="1" t="str">
        <f t="shared" si="129"/>
        <v/>
      </c>
      <c r="M1630" s="4">
        <f t="shared" si="130"/>
        <v>0</v>
      </c>
    </row>
    <row r="1631" ht="30" spans="1:13">
      <c r="A1631" s="4"/>
      <c r="B1631" t="str">
        <f t="shared" si="126"/>
        <v>7:41000124</v>
      </c>
      <c r="C1631" s="1">
        <v>7</v>
      </c>
      <c r="D1631" s="4">
        <v>41000124</v>
      </c>
      <c r="E1631" s="3" t="s">
        <v>1912</v>
      </c>
      <c r="F1631" s="3"/>
      <c r="G1631" s="1">
        <v>6139.8</v>
      </c>
      <c r="H1631" s="1">
        <f t="shared" si="127"/>
        <v>6139.8</v>
      </c>
      <c r="I1631" s="1" t="str">
        <f t="shared" si="128"/>
        <v/>
      </c>
      <c r="J1631" s="1" t="str">
        <f>_xlfn.IFNA(INDEX([1]历练产出!$Z:$Z,MATCH(B1631,[1]历练产出!$AB:$AB,0)),"")</f>
        <v/>
      </c>
      <c r="K1631" s="1" t="str">
        <f>_xlfn.IFNA(INDEX([1]洞天福地产出!$H:$H,MATCH(B1631,[1]洞天福地产出!$K:$K,0)),"")</f>
        <v/>
      </c>
      <c r="L1631" s="1" t="str">
        <f t="shared" si="129"/>
        <v/>
      </c>
      <c r="M1631" s="4">
        <f t="shared" si="130"/>
        <v>0</v>
      </c>
    </row>
    <row r="1632" ht="30" spans="1:13">
      <c r="A1632" s="4"/>
      <c r="B1632" t="str">
        <f t="shared" si="126"/>
        <v>7:41000125</v>
      </c>
      <c r="C1632" s="1">
        <v>7</v>
      </c>
      <c r="D1632" s="4">
        <v>41000125</v>
      </c>
      <c r="E1632" s="3" t="s">
        <v>1912</v>
      </c>
      <c r="F1632" s="3"/>
      <c r="G1632" s="1">
        <v>6439.5</v>
      </c>
      <c r="H1632" s="1">
        <f t="shared" si="127"/>
        <v>6439.5</v>
      </c>
      <c r="I1632" s="1" t="str">
        <f t="shared" si="128"/>
        <v/>
      </c>
      <c r="J1632" s="1" t="str">
        <f>_xlfn.IFNA(INDEX([1]历练产出!$Z:$Z,MATCH(B1632,[1]历练产出!$AB:$AB,0)),"")</f>
        <v/>
      </c>
      <c r="K1632" s="1" t="str">
        <f>_xlfn.IFNA(INDEX([1]洞天福地产出!$H:$H,MATCH(B1632,[1]洞天福地产出!$K:$K,0)),"")</f>
        <v/>
      </c>
      <c r="L1632" s="1" t="str">
        <f t="shared" si="129"/>
        <v/>
      </c>
      <c r="M1632" s="4">
        <f t="shared" si="130"/>
        <v>0</v>
      </c>
    </row>
    <row r="1633" ht="30" spans="1:13">
      <c r="A1633" s="4"/>
      <c r="B1633" t="str">
        <f t="shared" si="126"/>
        <v>7:41000126</v>
      </c>
      <c r="C1633" s="1">
        <v>7</v>
      </c>
      <c r="D1633" s="4">
        <v>41000126</v>
      </c>
      <c r="E1633" s="3" t="s">
        <v>1912</v>
      </c>
      <c r="F1633" s="3"/>
      <c r="G1633" s="1">
        <v>6751.35</v>
      </c>
      <c r="H1633" s="1">
        <f t="shared" si="127"/>
        <v>6751.35</v>
      </c>
      <c r="I1633" s="1" t="str">
        <f t="shared" si="128"/>
        <v/>
      </c>
      <c r="J1633" s="1" t="str">
        <f>_xlfn.IFNA(INDEX([1]历练产出!$Z:$Z,MATCH(B1633,[1]历练产出!$AB:$AB,0)),"")</f>
        <v/>
      </c>
      <c r="K1633" s="1" t="str">
        <f>_xlfn.IFNA(INDEX([1]洞天福地产出!$H:$H,MATCH(B1633,[1]洞天福地产出!$K:$K,0)),"")</f>
        <v/>
      </c>
      <c r="L1633" s="1" t="str">
        <f t="shared" si="129"/>
        <v/>
      </c>
      <c r="M1633" s="4">
        <f t="shared" si="130"/>
        <v>0</v>
      </c>
    </row>
    <row r="1634" ht="30" spans="1:13">
      <c r="A1634" s="4"/>
      <c r="B1634" t="str">
        <f t="shared" si="126"/>
        <v>7:41000127</v>
      </c>
      <c r="C1634" s="1">
        <v>7</v>
      </c>
      <c r="D1634" s="4">
        <v>41000127</v>
      </c>
      <c r="E1634" s="3" t="s">
        <v>1912</v>
      </c>
      <c r="F1634" s="3"/>
      <c r="G1634" s="1">
        <v>7075.35</v>
      </c>
      <c r="H1634" s="1">
        <f t="shared" si="127"/>
        <v>7075.35</v>
      </c>
      <c r="I1634" s="1" t="str">
        <f t="shared" si="128"/>
        <v/>
      </c>
      <c r="J1634" s="1" t="str">
        <f>_xlfn.IFNA(INDEX([1]历练产出!$Z:$Z,MATCH(B1634,[1]历练产出!$AB:$AB,0)),"")</f>
        <v/>
      </c>
      <c r="K1634" s="1" t="str">
        <f>_xlfn.IFNA(INDEX([1]洞天福地产出!$H:$H,MATCH(B1634,[1]洞天福地产出!$K:$K,0)),"")</f>
        <v/>
      </c>
      <c r="L1634" s="1" t="str">
        <f t="shared" si="129"/>
        <v/>
      </c>
      <c r="M1634" s="4">
        <f t="shared" si="130"/>
        <v>0</v>
      </c>
    </row>
    <row r="1635" ht="30" spans="1:13">
      <c r="A1635" s="4"/>
      <c r="B1635" t="str">
        <f t="shared" si="126"/>
        <v>7:41000128</v>
      </c>
      <c r="C1635" s="1">
        <v>7</v>
      </c>
      <c r="D1635" s="4">
        <v>41000128</v>
      </c>
      <c r="E1635" s="3" t="s">
        <v>1912</v>
      </c>
      <c r="F1635" s="3"/>
      <c r="G1635" s="1">
        <v>7411.5</v>
      </c>
      <c r="H1635" s="1">
        <f t="shared" si="127"/>
        <v>7411.5</v>
      </c>
      <c r="I1635" s="1" t="str">
        <f t="shared" si="128"/>
        <v/>
      </c>
      <c r="J1635" s="1" t="str">
        <f>_xlfn.IFNA(INDEX([1]历练产出!$Z:$Z,MATCH(B1635,[1]历练产出!$AB:$AB,0)),"")</f>
        <v/>
      </c>
      <c r="K1635" s="1" t="str">
        <f>_xlfn.IFNA(INDEX([1]洞天福地产出!$H:$H,MATCH(B1635,[1]洞天福地产出!$K:$K,0)),"")</f>
        <v/>
      </c>
      <c r="L1635" s="1" t="str">
        <f t="shared" si="129"/>
        <v/>
      </c>
      <c r="M1635" s="4">
        <f t="shared" si="130"/>
        <v>0</v>
      </c>
    </row>
    <row r="1636" ht="30" spans="1:13">
      <c r="A1636" s="4"/>
      <c r="B1636" t="str">
        <f t="shared" ref="B1636:B1637" si="131">C1636&amp;":"&amp;D1636</f>
        <v>7:41000129</v>
      </c>
      <c r="C1636" s="1">
        <v>7</v>
      </c>
      <c r="D1636" s="4">
        <v>41000129</v>
      </c>
      <c r="E1636" s="3" t="s">
        <v>1912</v>
      </c>
      <c r="F1636" s="3"/>
      <c r="G1636" s="1">
        <v>9703.8</v>
      </c>
      <c r="H1636" s="1">
        <f t="shared" si="127"/>
        <v>9703.8</v>
      </c>
      <c r="I1636" s="1" t="str">
        <f t="shared" si="128"/>
        <v/>
      </c>
      <c r="J1636" s="1" t="str">
        <f>_xlfn.IFNA(INDEX([1]历练产出!$Z:$Z,MATCH(B1636,[1]历练产出!$AB:$AB,0)),"")</f>
        <v/>
      </c>
      <c r="K1636" s="1" t="str">
        <f>_xlfn.IFNA(INDEX([1]洞天福地产出!$H:$H,MATCH(B1636,[1]洞天福地产出!$K:$K,0)),"")</f>
        <v/>
      </c>
      <c r="L1636" s="1" t="str">
        <f t="shared" si="129"/>
        <v/>
      </c>
      <c r="M1636" s="4">
        <f t="shared" si="130"/>
        <v>0</v>
      </c>
    </row>
    <row r="1637" ht="30" spans="1:13">
      <c r="A1637" s="4"/>
      <c r="B1637" t="str">
        <f t="shared" si="131"/>
        <v>7:41000130</v>
      </c>
      <c r="C1637" s="1">
        <v>7</v>
      </c>
      <c r="D1637" s="4">
        <v>41000130</v>
      </c>
      <c r="E1637" s="3" t="s">
        <v>1912</v>
      </c>
      <c r="F1637" s="3"/>
      <c r="G1637" s="1">
        <v>10052.1</v>
      </c>
      <c r="H1637" s="1">
        <f t="shared" si="127"/>
        <v>10052.1</v>
      </c>
      <c r="I1637" s="1" t="str">
        <f t="shared" si="128"/>
        <v/>
      </c>
      <c r="J1637" s="1" t="str">
        <f>_xlfn.IFNA(INDEX([1]历练产出!$Z:$Z,MATCH(B1637,[1]历练产出!$AB:$AB,0)),"")</f>
        <v/>
      </c>
      <c r="K1637" s="1" t="str">
        <f>_xlfn.IFNA(INDEX([1]洞天福地产出!$H:$H,MATCH(B1637,[1]洞天福地产出!$K:$K,0)),"")</f>
        <v/>
      </c>
      <c r="L1637" s="1" t="str">
        <f t="shared" si="129"/>
        <v/>
      </c>
      <c r="M1637" s="4">
        <f t="shared" si="130"/>
        <v>0</v>
      </c>
    </row>
    <row r="1638" spans="1:13">
      <c r="A1638" s="4"/>
      <c r="C1638" s="4"/>
      <c r="D1638" s="4"/>
      <c r="E1638" s="3"/>
      <c r="F1638" s="3"/>
      <c r="G1638" s="1"/>
      <c r="H1638" s="1">
        <f t="shared" si="127"/>
        <v>0</v>
      </c>
      <c r="I1638" s="1" t="str">
        <f t="shared" si="128"/>
        <v/>
      </c>
      <c r="J1638" s="1" t="str">
        <f>_xlfn.IFNA(INDEX([1]历练产出!$Z:$Z,MATCH(B1638,[1]历练产出!$AB:$AB,0)),"")</f>
        <v/>
      </c>
      <c r="K1638" s="1">
        <f>_xlfn.IFNA(INDEX([1]洞天福地产出!$H:$H,MATCH(B1638,[1]洞天福地产出!$K:$K,0)),"")</f>
        <v>0</v>
      </c>
      <c r="L1638" s="1" t="str">
        <f t="shared" si="129"/>
        <v/>
      </c>
      <c r="M1638" s="4">
        <f t="shared" si="130"/>
        <v>0</v>
      </c>
    </row>
    <row r="1639" spans="1:13">
      <c r="A1639" s="1">
        <v>8</v>
      </c>
      <c r="C1639" s="1" t="s">
        <v>2483</v>
      </c>
      <c r="D1639" s="4"/>
      <c r="E1639" s="3"/>
      <c r="F1639" s="3"/>
      <c r="G1639" s="1"/>
      <c r="H1639" s="1">
        <f t="shared" si="127"/>
        <v>0</v>
      </c>
      <c r="I1639" s="1" t="str">
        <f t="shared" si="128"/>
        <v/>
      </c>
      <c r="J1639" s="1" t="str">
        <f>_xlfn.IFNA(INDEX([1]历练产出!$Z:$Z,MATCH(B1639,[1]历练产出!$AB:$AB,0)),"")</f>
        <v/>
      </c>
      <c r="K1639" s="1">
        <f>_xlfn.IFNA(INDEX([1]洞天福地产出!$H:$H,MATCH(B1639,[1]洞天福地产出!$K:$K,0)),"")</f>
        <v>0</v>
      </c>
      <c r="L1639" s="1" t="str">
        <f t="shared" si="129"/>
        <v/>
      </c>
      <c r="M1639" s="4">
        <f t="shared" si="130"/>
        <v>0</v>
      </c>
    </row>
    <row r="1640" ht="14.25" customHeight="1" spans="1:13">
      <c r="A1640" s="4"/>
      <c r="B1640" t="str">
        <f t="shared" ref="B1640:B1703" si="132">C1640&amp;":"&amp;D1640</f>
        <v>8:100001</v>
      </c>
      <c r="C1640" s="4">
        <v>8</v>
      </c>
      <c r="D1640" s="4">
        <v>100001</v>
      </c>
      <c r="E1640" s="3" t="s">
        <v>507</v>
      </c>
      <c r="F1640" s="3"/>
      <c r="G1640" s="1">
        <v>20.0390625</v>
      </c>
      <c r="H1640" s="1">
        <f t="shared" si="127"/>
        <v>20.0390625</v>
      </c>
      <c r="I1640" s="1" t="str">
        <f t="shared" si="128"/>
        <v/>
      </c>
      <c r="J1640" s="1">
        <f>_xlfn.IFNA(INDEX([1]历练产出!$Z:$Z,MATCH(B1640,[1]历练产出!$AB:$AB,0)),"")</f>
        <v>0</v>
      </c>
      <c r="K1640" s="1">
        <f>_xlfn.IFNA(INDEX([1]洞天福地产出!$H:$H,MATCH(B1640,[1]洞天福地产出!$K:$K,0)),"")</f>
        <v>0</v>
      </c>
      <c r="L1640" s="1">
        <f t="shared" si="129"/>
        <v>0</v>
      </c>
      <c r="M1640" s="4">
        <f t="shared" si="130"/>
        <v>0</v>
      </c>
    </row>
    <row r="1641" ht="14.25" customHeight="1" spans="1:13">
      <c r="A1641" s="4"/>
      <c r="B1641" t="str">
        <f t="shared" si="132"/>
        <v>8:100002</v>
      </c>
      <c r="C1641" s="4">
        <v>8</v>
      </c>
      <c r="D1641" s="4">
        <v>100002</v>
      </c>
      <c r="E1641" s="3" t="s">
        <v>509</v>
      </c>
      <c r="F1641" s="3"/>
      <c r="G1641" s="1">
        <v>3.20625</v>
      </c>
      <c r="H1641" s="1">
        <f t="shared" si="127"/>
        <v>24.8328557784145</v>
      </c>
      <c r="I1641" s="1">
        <f t="shared" si="128"/>
        <v>24.8328557784145</v>
      </c>
      <c r="J1641" s="1">
        <f>_xlfn.IFNA(INDEX([1]历练产出!$Z:$Z,MATCH(B1641,[1]历练产出!$AB:$AB,0)),"")</f>
        <v>3.75</v>
      </c>
      <c r="K1641" s="1">
        <f>_xlfn.IFNA(INDEX([1]洞天福地产出!$H:$H,MATCH(B1641,[1]洞天福地产出!$K:$K,0)),"")</f>
        <v>0.276923076923077</v>
      </c>
      <c r="L1641" s="1">
        <f t="shared" si="129"/>
        <v>4.02692307692308</v>
      </c>
      <c r="M1641" s="4">
        <f t="shared" si="130"/>
        <v>1</v>
      </c>
    </row>
    <row r="1642" ht="28.5" customHeight="1" spans="1:13">
      <c r="A1642" s="4"/>
      <c r="B1642" t="str">
        <f t="shared" si="132"/>
        <v>8:100003</v>
      </c>
      <c r="C1642" s="4">
        <v>8</v>
      </c>
      <c r="D1642" s="4">
        <v>100003</v>
      </c>
      <c r="E1642" s="3" t="s">
        <v>511</v>
      </c>
      <c r="F1642" s="3"/>
      <c r="G1642" s="1">
        <v>1.603125</v>
      </c>
      <c r="H1642" s="1">
        <f t="shared" si="127"/>
        <v>12.4164278892073</v>
      </c>
      <c r="I1642" s="1">
        <f t="shared" si="128"/>
        <v>12.4164278892073</v>
      </c>
      <c r="J1642" s="1">
        <f>_xlfn.IFNA(INDEX([1]历练产出!$Z:$Z,MATCH(B1642,[1]历练产出!$AB:$AB,0)),"")</f>
        <v>7.5</v>
      </c>
      <c r="K1642" s="1">
        <f>_xlfn.IFNA(INDEX([1]洞天福地产出!$H:$H,MATCH(B1642,[1]洞天福地产出!$K:$K,0)),"")</f>
        <v>0.553846153846154</v>
      </c>
      <c r="L1642" s="1">
        <f t="shared" si="129"/>
        <v>8.05384615384615</v>
      </c>
      <c r="M1642" s="4">
        <f t="shared" si="130"/>
        <v>1</v>
      </c>
    </row>
    <row r="1643" ht="28.5" customHeight="1" spans="1:13">
      <c r="A1643" s="4"/>
      <c r="B1643" t="str">
        <f t="shared" si="132"/>
        <v>8:100004</v>
      </c>
      <c r="C1643" s="4">
        <v>8</v>
      </c>
      <c r="D1643" s="4">
        <v>100004</v>
      </c>
      <c r="E1643" s="3" t="s">
        <v>513</v>
      </c>
      <c r="F1643" s="3"/>
      <c r="G1643" s="1">
        <v>0.8015625</v>
      </c>
      <c r="H1643" s="1">
        <f t="shared" si="127"/>
        <v>6.20821394460363</v>
      </c>
      <c r="I1643" s="1">
        <f t="shared" si="128"/>
        <v>6.20821394460363</v>
      </c>
      <c r="J1643" s="1">
        <f>_xlfn.IFNA(INDEX([1]历练产出!$Z:$Z,MATCH(B1643,[1]历练产出!$AB:$AB,0)),"")</f>
        <v>15</v>
      </c>
      <c r="K1643" s="1">
        <f>_xlfn.IFNA(INDEX([1]洞天福地产出!$H:$H,MATCH(B1643,[1]洞天福地产出!$K:$K,0)),"")</f>
        <v>1.10769230769231</v>
      </c>
      <c r="L1643" s="1">
        <f t="shared" si="129"/>
        <v>16.1076923076923</v>
      </c>
      <c r="M1643" s="4">
        <f t="shared" si="130"/>
        <v>1</v>
      </c>
    </row>
    <row r="1644" ht="14.25" customHeight="1" spans="1:13">
      <c r="A1644" s="4"/>
      <c r="B1644" t="str">
        <f t="shared" si="132"/>
        <v>8:200001</v>
      </c>
      <c r="C1644" s="4">
        <v>8</v>
      </c>
      <c r="D1644" s="4">
        <v>200001</v>
      </c>
      <c r="E1644" s="3" t="s">
        <v>1913</v>
      </c>
      <c r="F1644" s="3"/>
      <c r="G1644" s="1">
        <v>20.0390625</v>
      </c>
      <c r="H1644" s="1">
        <f t="shared" si="127"/>
        <v>620.821394460363</v>
      </c>
      <c r="I1644" s="1">
        <f t="shared" si="128"/>
        <v>620.821394460363</v>
      </c>
      <c r="J1644" s="1">
        <f>_xlfn.IFNA(INDEX([1]历练产出!$Z:$Z,MATCH(B1644,[1]历练产出!$AB:$AB,0)),"")</f>
        <v>0.15</v>
      </c>
      <c r="K1644" s="1">
        <f>_xlfn.IFNA(INDEX([1]洞天福地产出!$H:$H,MATCH(B1644,[1]洞天福地产出!$K:$K,0)),"")</f>
        <v>0.0110769230769231</v>
      </c>
      <c r="L1644" s="1">
        <f t="shared" si="129"/>
        <v>0.161076923076923</v>
      </c>
      <c r="M1644" s="4">
        <f t="shared" si="130"/>
        <v>1</v>
      </c>
    </row>
    <row r="1645" ht="14.25" customHeight="1" spans="1:13">
      <c r="A1645" s="4"/>
      <c r="B1645" t="str">
        <f t="shared" si="132"/>
        <v>8:200002</v>
      </c>
      <c r="C1645" s="4">
        <v>8</v>
      </c>
      <c r="D1645" s="4">
        <v>200002</v>
      </c>
      <c r="E1645" s="3" t="s">
        <v>1914</v>
      </c>
      <c r="F1645" s="3"/>
      <c r="G1645" s="1">
        <v>3.20625</v>
      </c>
      <c r="H1645" s="1">
        <f t="shared" si="127"/>
        <v>24.8328557784145</v>
      </c>
      <c r="I1645" s="1">
        <f t="shared" si="128"/>
        <v>24.8328557784145</v>
      </c>
      <c r="J1645" s="1">
        <f>_xlfn.IFNA(INDEX([1]历练产出!$Z:$Z,MATCH(B1645,[1]历练产出!$AB:$AB,0)),"")</f>
        <v>3.75</v>
      </c>
      <c r="K1645" s="1">
        <f>_xlfn.IFNA(INDEX([1]洞天福地产出!$H:$H,MATCH(B1645,[1]洞天福地产出!$K:$K,0)),"")</f>
        <v>0.276923076923077</v>
      </c>
      <c r="L1645" s="1">
        <f t="shared" si="129"/>
        <v>4.02692307692308</v>
      </c>
      <c r="M1645" s="4">
        <f t="shared" si="130"/>
        <v>1</v>
      </c>
    </row>
    <row r="1646" ht="28.5" customHeight="1" spans="1:13">
      <c r="A1646" s="4"/>
      <c r="B1646" t="str">
        <f t="shared" si="132"/>
        <v>8:200003</v>
      </c>
      <c r="C1646" s="4">
        <v>8</v>
      </c>
      <c r="D1646" s="4">
        <v>200003</v>
      </c>
      <c r="E1646" s="3" t="s">
        <v>1915</v>
      </c>
      <c r="F1646" s="3"/>
      <c r="G1646" s="1">
        <v>1.603125</v>
      </c>
      <c r="H1646" s="1">
        <f t="shared" si="127"/>
        <v>12.4164278892073</v>
      </c>
      <c r="I1646" s="1">
        <f t="shared" si="128"/>
        <v>12.4164278892073</v>
      </c>
      <c r="J1646" s="1">
        <f>_xlfn.IFNA(INDEX([1]历练产出!$Z:$Z,MATCH(B1646,[1]历练产出!$AB:$AB,0)),"")</f>
        <v>7.5</v>
      </c>
      <c r="K1646" s="1">
        <f>_xlfn.IFNA(INDEX([1]洞天福地产出!$H:$H,MATCH(B1646,[1]洞天福地产出!$K:$K,0)),"")</f>
        <v>0.553846153846154</v>
      </c>
      <c r="L1646" s="1">
        <f t="shared" si="129"/>
        <v>8.05384615384615</v>
      </c>
      <c r="M1646" s="4">
        <f t="shared" si="130"/>
        <v>1</v>
      </c>
    </row>
    <row r="1647" ht="28.5" customHeight="1" spans="1:13">
      <c r="A1647" s="4"/>
      <c r="B1647" t="str">
        <f t="shared" si="132"/>
        <v>8:200004</v>
      </c>
      <c r="C1647" s="4">
        <v>8</v>
      </c>
      <c r="D1647" s="4">
        <v>200004</v>
      </c>
      <c r="E1647" s="3" t="s">
        <v>1916</v>
      </c>
      <c r="F1647" s="3"/>
      <c r="G1647" s="1">
        <v>0.8015625</v>
      </c>
      <c r="H1647" s="1">
        <f t="shared" si="127"/>
        <v>6.20821394460363</v>
      </c>
      <c r="I1647" s="1">
        <f t="shared" si="128"/>
        <v>6.20821394460363</v>
      </c>
      <c r="J1647" s="1">
        <f>_xlfn.IFNA(INDEX([1]历练产出!$Z:$Z,MATCH(B1647,[1]历练产出!$AB:$AB,0)),"")</f>
        <v>15</v>
      </c>
      <c r="K1647" s="1">
        <f>_xlfn.IFNA(INDEX([1]洞天福地产出!$H:$H,MATCH(B1647,[1]洞天福地产出!$K:$K,0)),"")</f>
        <v>1.10769230769231</v>
      </c>
      <c r="L1647" s="1">
        <f t="shared" si="129"/>
        <v>16.1076923076923</v>
      </c>
      <c r="M1647" s="4">
        <f t="shared" si="130"/>
        <v>1</v>
      </c>
    </row>
    <row r="1648" ht="28.5" customHeight="1" spans="1:13">
      <c r="A1648" s="4"/>
      <c r="B1648" t="str">
        <f t="shared" si="132"/>
        <v>8:300001</v>
      </c>
      <c r="C1648" s="4">
        <v>8</v>
      </c>
      <c r="D1648" s="4">
        <v>300001</v>
      </c>
      <c r="E1648" s="3" t="s">
        <v>1917</v>
      </c>
      <c r="F1648" s="3"/>
      <c r="G1648" s="1">
        <v>20.0390625</v>
      </c>
      <c r="H1648" s="1">
        <f t="shared" si="127"/>
        <v>620.821394460363</v>
      </c>
      <c r="I1648" s="1">
        <f t="shared" si="128"/>
        <v>620.821394460363</v>
      </c>
      <c r="J1648" s="1">
        <f>_xlfn.IFNA(INDEX([1]历练产出!$Z:$Z,MATCH(B1648,[1]历练产出!$AB:$AB,0)),"")</f>
        <v>0.15</v>
      </c>
      <c r="K1648" s="1">
        <f>_xlfn.IFNA(INDEX([1]洞天福地产出!$H:$H,MATCH(B1648,[1]洞天福地产出!$K:$K,0)),"")</f>
        <v>0.0110769230769231</v>
      </c>
      <c r="L1648" s="1">
        <f t="shared" si="129"/>
        <v>0.161076923076923</v>
      </c>
      <c r="M1648" s="4">
        <f t="shared" si="130"/>
        <v>1</v>
      </c>
    </row>
    <row r="1649" ht="14.25" customHeight="1" spans="1:13">
      <c r="A1649" s="4"/>
      <c r="B1649" t="str">
        <f t="shared" si="132"/>
        <v>8:300002</v>
      </c>
      <c r="C1649" s="4">
        <v>8</v>
      </c>
      <c r="D1649" s="4">
        <v>300002</v>
      </c>
      <c r="E1649" s="3" t="s">
        <v>1918</v>
      </c>
      <c r="F1649" s="3"/>
      <c r="G1649" s="1">
        <v>3.20625</v>
      </c>
      <c r="H1649" s="1">
        <f t="shared" si="127"/>
        <v>24.8328557784145</v>
      </c>
      <c r="I1649" s="1">
        <f t="shared" si="128"/>
        <v>24.8328557784145</v>
      </c>
      <c r="J1649" s="1">
        <f>_xlfn.IFNA(INDEX([1]历练产出!$Z:$Z,MATCH(B1649,[1]历练产出!$AB:$AB,0)),"")</f>
        <v>3.75</v>
      </c>
      <c r="K1649" s="1">
        <f>_xlfn.IFNA(INDEX([1]洞天福地产出!$H:$H,MATCH(B1649,[1]洞天福地产出!$K:$K,0)),"")</f>
        <v>0.276923076923077</v>
      </c>
      <c r="L1649" s="1">
        <f t="shared" si="129"/>
        <v>4.02692307692308</v>
      </c>
      <c r="M1649" s="4">
        <f t="shared" si="130"/>
        <v>1</v>
      </c>
    </row>
    <row r="1650" ht="28.5" customHeight="1" spans="1:13">
      <c r="A1650" s="4"/>
      <c r="B1650" t="str">
        <f t="shared" si="132"/>
        <v>8:300003</v>
      </c>
      <c r="C1650" s="4">
        <v>8</v>
      </c>
      <c r="D1650" s="4">
        <v>300003</v>
      </c>
      <c r="E1650" s="3" t="s">
        <v>1919</v>
      </c>
      <c r="F1650" s="3"/>
      <c r="G1650" s="1">
        <v>1.603125</v>
      </c>
      <c r="H1650" s="1">
        <f t="shared" si="127"/>
        <v>12.4164278892073</v>
      </c>
      <c r="I1650" s="1">
        <f t="shared" si="128"/>
        <v>12.4164278892073</v>
      </c>
      <c r="J1650" s="1">
        <f>_xlfn.IFNA(INDEX([1]历练产出!$Z:$Z,MATCH(B1650,[1]历练产出!$AB:$AB,0)),"")</f>
        <v>7.5</v>
      </c>
      <c r="K1650" s="1">
        <f>_xlfn.IFNA(INDEX([1]洞天福地产出!$H:$H,MATCH(B1650,[1]洞天福地产出!$K:$K,0)),"")</f>
        <v>0.553846153846154</v>
      </c>
      <c r="L1650" s="1">
        <f t="shared" si="129"/>
        <v>8.05384615384615</v>
      </c>
      <c r="M1650" s="4">
        <f t="shared" si="130"/>
        <v>1</v>
      </c>
    </row>
    <row r="1651" ht="28.5" customHeight="1" spans="1:13">
      <c r="A1651" s="4"/>
      <c r="B1651" t="str">
        <f t="shared" si="132"/>
        <v>8:300004</v>
      </c>
      <c r="C1651" s="4">
        <v>8</v>
      </c>
      <c r="D1651" s="4">
        <v>300004</v>
      </c>
      <c r="E1651" s="3" t="s">
        <v>1920</v>
      </c>
      <c r="F1651" s="3"/>
      <c r="G1651" s="1">
        <v>0.8015625</v>
      </c>
      <c r="H1651" s="1">
        <f t="shared" si="127"/>
        <v>6.20821394460363</v>
      </c>
      <c r="I1651" s="1">
        <f t="shared" si="128"/>
        <v>6.20821394460363</v>
      </c>
      <c r="J1651" s="1">
        <f>_xlfn.IFNA(INDEX([1]历练产出!$Z:$Z,MATCH(B1651,[1]历练产出!$AB:$AB,0)),"")</f>
        <v>15</v>
      </c>
      <c r="K1651" s="1">
        <f>_xlfn.IFNA(INDEX([1]洞天福地产出!$H:$H,MATCH(B1651,[1]洞天福地产出!$K:$K,0)),"")</f>
        <v>1.10769230769231</v>
      </c>
      <c r="L1651" s="1">
        <f t="shared" si="129"/>
        <v>16.1076923076923</v>
      </c>
      <c r="M1651" s="4">
        <f t="shared" si="130"/>
        <v>1</v>
      </c>
    </row>
    <row r="1652" ht="28.5" customHeight="1" spans="1:13">
      <c r="A1652" s="4"/>
      <c r="B1652" t="str">
        <f t="shared" si="132"/>
        <v>8:400001</v>
      </c>
      <c r="C1652" s="4">
        <v>8</v>
      </c>
      <c r="D1652" s="4">
        <v>400001</v>
      </c>
      <c r="E1652" s="3" t="s">
        <v>531</v>
      </c>
      <c r="F1652" s="3"/>
      <c r="G1652" s="1">
        <v>20.0390625</v>
      </c>
      <c r="H1652" s="1">
        <f t="shared" si="127"/>
        <v>620.821394460363</v>
      </c>
      <c r="I1652" s="1">
        <f t="shared" si="128"/>
        <v>620.821394460363</v>
      </c>
      <c r="J1652" s="1">
        <f>_xlfn.IFNA(INDEX([1]历练产出!$Z:$Z,MATCH(B1652,[1]历练产出!$AB:$AB,0)),"")</f>
        <v>0.15</v>
      </c>
      <c r="K1652" s="1">
        <f>_xlfn.IFNA(INDEX([1]洞天福地产出!$H:$H,MATCH(B1652,[1]洞天福地产出!$K:$K,0)),"")</f>
        <v>0.0110769230769231</v>
      </c>
      <c r="L1652" s="1">
        <f t="shared" si="129"/>
        <v>0.161076923076923</v>
      </c>
      <c r="M1652" s="4">
        <f t="shared" si="130"/>
        <v>1</v>
      </c>
    </row>
    <row r="1653" ht="14.25" customHeight="1" spans="1:13">
      <c r="A1653" s="4"/>
      <c r="B1653" t="str">
        <f t="shared" si="132"/>
        <v>8:400002</v>
      </c>
      <c r="C1653" s="4">
        <v>8</v>
      </c>
      <c r="D1653" s="4">
        <v>400002</v>
      </c>
      <c r="E1653" s="3" t="s">
        <v>533</v>
      </c>
      <c r="F1653" s="3"/>
      <c r="G1653" s="1">
        <v>3.20625</v>
      </c>
      <c r="H1653" s="1">
        <f t="shared" si="127"/>
        <v>24.8328557784145</v>
      </c>
      <c r="I1653" s="1">
        <f t="shared" si="128"/>
        <v>24.8328557784145</v>
      </c>
      <c r="J1653" s="1">
        <f>_xlfn.IFNA(INDEX([1]历练产出!$Z:$Z,MATCH(B1653,[1]历练产出!$AB:$AB,0)),"")</f>
        <v>3.75</v>
      </c>
      <c r="K1653" s="1">
        <f>_xlfn.IFNA(INDEX([1]洞天福地产出!$H:$H,MATCH(B1653,[1]洞天福地产出!$K:$K,0)),"")</f>
        <v>0.276923076923077</v>
      </c>
      <c r="L1653" s="1">
        <f t="shared" si="129"/>
        <v>4.02692307692308</v>
      </c>
      <c r="M1653" s="4">
        <f t="shared" si="130"/>
        <v>1</v>
      </c>
    </row>
    <row r="1654" ht="28.5" customHeight="1" spans="1:13">
      <c r="A1654" s="4"/>
      <c r="B1654" t="str">
        <f t="shared" si="132"/>
        <v>8:400003</v>
      </c>
      <c r="C1654" s="4">
        <v>8</v>
      </c>
      <c r="D1654" s="4">
        <v>400003</v>
      </c>
      <c r="E1654" s="3" t="s">
        <v>535</v>
      </c>
      <c r="F1654" s="3"/>
      <c r="G1654" s="1">
        <v>1.603125</v>
      </c>
      <c r="H1654" s="1">
        <f t="shared" si="127"/>
        <v>12.4164278892073</v>
      </c>
      <c r="I1654" s="1">
        <f t="shared" si="128"/>
        <v>12.4164278892073</v>
      </c>
      <c r="J1654" s="1">
        <f>_xlfn.IFNA(INDEX([1]历练产出!$Z:$Z,MATCH(B1654,[1]历练产出!$AB:$AB,0)),"")</f>
        <v>7.5</v>
      </c>
      <c r="K1654" s="1">
        <f>_xlfn.IFNA(INDEX([1]洞天福地产出!$H:$H,MATCH(B1654,[1]洞天福地产出!$K:$K,0)),"")</f>
        <v>0.553846153846154</v>
      </c>
      <c r="L1654" s="1">
        <f t="shared" si="129"/>
        <v>8.05384615384615</v>
      </c>
      <c r="M1654" s="4">
        <f t="shared" si="130"/>
        <v>1</v>
      </c>
    </row>
    <row r="1655" ht="28.5" customHeight="1" spans="1:13">
      <c r="A1655" s="4"/>
      <c r="B1655" t="str">
        <f t="shared" si="132"/>
        <v>8:400004</v>
      </c>
      <c r="C1655" s="4">
        <v>8</v>
      </c>
      <c r="D1655" s="4">
        <v>400004</v>
      </c>
      <c r="E1655" s="3" t="s">
        <v>537</v>
      </c>
      <c r="F1655" s="3"/>
      <c r="G1655" s="1">
        <v>0.8015625</v>
      </c>
      <c r="H1655" s="1">
        <f t="shared" si="127"/>
        <v>6.20821394460363</v>
      </c>
      <c r="I1655" s="1">
        <f t="shared" si="128"/>
        <v>6.20821394460363</v>
      </c>
      <c r="J1655" s="1">
        <f>_xlfn.IFNA(INDEX([1]历练产出!$Z:$Z,MATCH(B1655,[1]历练产出!$AB:$AB,0)),"")</f>
        <v>15</v>
      </c>
      <c r="K1655" s="1">
        <f>_xlfn.IFNA(INDEX([1]洞天福地产出!$H:$H,MATCH(B1655,[1]洞天福地产出!$K:$K,0)),"")</f>
        <v>1.10769230769231</v>
      </c>
      <c r="L1655" s="1">
        <f t="shared" si="129"/>
        <v>16.1076923076923</v>
      </c>
      <c r="M1655" s="4">
        <f t="shared" si="130"/>
        <v>1</v>
      </c>
    </row>
    <row r="1656" ht="28.5" customHeight="1" spans="1:13">
      <c r="A1656" s="4"/>
      <c r="B1656" t="str">
        <f t="shared" si="132"/>
        <v>8:500001</v>
      </c>
      <c r="C1656" s="4">
        <v>8</v>
      </c>
      <c r="D1656" s="4">
        <v>500001</v>
      </c>
      <c r="E1656" s="3" t="s">
        <v>1921</v>
      </c>
      <c r="F1656" s="3"/>
      <c r="G1656" s="1">
        <v>20.0390625</v>
      </c>
      <c r="H1656" s="1">
        <f t="shared" si="127"/>
        <v>20.0390625</v>
      </c>
      <c r="I1656" s="1" t="str">
        <f t="shared" si="128"/>
        <v/>
      </c>
      <c r="J1656" s="1" t="str">
        <f>_xlfn.IFNA(INDEX([1]历练产出!$Z:$Z,MATCH(B1656,[1]历练产出!$AB:$AB,0)),"")</f>
        <v/>
      </c>
      <c r="K1656" s="1">
        <f>_xlfn.IFNA(INDEX([1]洞天福地产出!$H:$H,MATCH(B1656,[1]洞天福地产出!$K:$K,0)),"")</f>
        <v>0</v>
      </c>
      <c r="L1656" s="1" t="str">
        <f t="shared" si="129"/>
        <v/>
      </c>
      <c r="M1656" s="4">
        <f t="shared" si="130"/>
        <v>0</v>
      </c>
    </row>
    <row r="1657" ht="14.25" customHeight="1" spans="1:13">
      <c r="A1657" s="4"/>
      <c r="B1657" t="str">
        <f t="shared" si="132"/>
        <v>8:500002</v>
      </c>
      <c r="C1657" s="4">
        <v>8</v>
      </c>
      <c r="D1657" s="4">
        <v>500002</v>
      </c>
      <c r="E1657" s="3" t="s">
        <v>1922</v>
      </c>
      <c r="F1657" s="3"/>
      <c r="G1657" s="1">
        <v>3.20625</v>
      </c>
      <c r="H1657" s="1">
        <f t="shared" si="127"/>
        <v>3.20625</v>
      </c>
      <c r="I1657" s="1" t="str">
        <f t="shared" si="128"/>
        <v/>
      </c>
      <c r="J1657" s="1" t="str">
        <f>_xlfn.IFNA(INDEX([1]历练产出!$Z:$Z,MATCH(B1657,[1]历练产出!$AB:$AB,0)),"")</f>
        <v/>
      </c>
      <c r="K1657" s="1">
        <f>_xlfn.IFNA(INDEX([1]洞天福地产出!$H:$H,MATCH(B1657,[1]洞天福地产出!$K:$K,0)),"")</f>
        <v>0</v>
      </c>
      <c r="L1657" s="1" t="str">
        <f t="shared" si="129"/>
        <v/>
      </c>
      <c r="M1657" s="4">
        <f t="shared" si="130"/>
        <v>0</v>
      </c>
    </row>
    <row r="1658" ht="28.5" customHeight="1" spans="1:13">
      <c r="A1658" s="4"/>
      <c r="B1658" t="str">
        <f t="shared" si="132"/>
        <v>8:500003</v>
      </c>
      <c r="C1658" s="4">
        <v>8</v>
      </c>
      <c r="D1658" s="4">
        <v>500003</v>
      </c>
      <c r="E1658" s="3" t="s">
        <v>1923</v>
      </c>
      <c r="F1658" s="3"/>
      <c r="G1658" s="1">
        <v>1.603125</v>
      </c>
      <c r="H1658" s="1">
        <f t="shared" si="127"/>
        <v>1.603125</v>
      </c>
      <c r="I1658" s="1" t="str">
        <f t="shared" si="128"/>
        <v/>
      </c>
      <c r="J1658" s="1" t="str">
        <f>_xlfn.IFNA(INDEX([1]历练产出!$Z:$Z,MATCH(B1658,[1]历练产出!$AB:$AB,0)),"")</f>
        <v/>
      </c>
      <c r="K1658" s="1">
        <f>_xlfn.IFNA(INDEX([1]洞天福地产出!$H:$H,MATCH(B1658,[1]洞天福地产出!$K:$K,0)),"")</f>
        <v>0</v>
      </c>
      <c r="L1658" s="1" t="str">
        <f t="shared" si="129"/>
        <v/>
      </c>
      <c r="M1658" s="4">
        <f t="shared" si="130"/>
        <v>0</v>
      </c>
    </row>
    <row r="1659" ht="28.5" customHeight="1" spans="1:13">
      <c r="A1659" s="4"/>
      <c r="B1659" t="str">
        <f t="shared" si="132"/>
        <v>8:500004</v>
      </c>
      <c r="C1659" s="4">
        <v>8</v>
      </c>
      <c r="D1659" s="4">
        <v>500004</v>
      </c>
      <c r="E1659" s="3" t="s">
        <v>1924</v>
      </c>
      <c r="F1659" s="3"/>
      <c r="G1659" s="1">
        <v>0.8015625</v>
      </c>
      <c r="H1659" s="1">
        <f t="shared" si="127"/>
        <v>0.8015625</v>
      </c>
      <c r="I1659" s="1" t="str">
        <f t="shared" si="128"/>
        <v/>
      </c>
      <c r="J1659" s="1" t="str">
        <f>_xlfn.IFNA(INDEX([1]历练产出!$Z:$Z,MATCH(B1659,[1]历练产出!$AB:$AB,0)),"")</f>
        <v/>
      </c>
      <c r="K1659" s="1">
        <f>_xlfn.IFNA(INDEX([1]洞天福地产出!$H:$H,MATCH(B1659,[1]洞天福地产出!$K:$K,0)),"")</f>
        <v>0</v>
      </c>
      <c r="L1659" s="1" t="str">
        <f t="shared" si="129"/>
        <v/>
      </c>
      <c r="M1659" s="4">
        <f t="shared" si="130"/>
        <v>0</v>
      </c>
    </row>
    <row r="1660" ht="14.25" customHeight="1" spans="1:13">
      <c r="A1660" s="4"/>
      <c r="B1660" t="str">
        <f t="shared" si="132"/>
        <v>8:600001</v>
      </c>
      <c r="C1660" s="4">
        <v>8</v>
      </c>
      <c r="D1660" s="4">
        <v>600001</v>
      </c>
      <c r="E1660" s="3" t="s">
        <v>1925</v>
      </c>
      <c r="F1660" s="3"/>
      <c r="G1660" s="1">
        <v>20.0390625</v>
      </c>
      <c r="H1660" s="1">
        <f t="shared" si="127"/>
        <v>20.0390625</v>
      </c>
      <c r="I1660" s="1" t="str">
        <f t="shared" si="128"/>
        <v/>
      </c>
      <c r="J1660" s="1" t="str">
        <f>_xlfn.IFNA(INDEX([1]历练产出!$Z:$Z,MATCH(B1660,[1]历练产出!$AB:$AB,0)),"")</f>
        <v/>
      </c>
      <c r="K1660" s="1" t="str">
        <f>_xlfn.IFNA(INDEX([1]洞天福地产出!$H:$H,MATCH(B1660,[1]洞天福地产出!$K:$K,0)),"")</f>
        <v/>
      </c>
      <c r="L1660" s="1" t="str">
        <f t="shared" si="129"/>
        <v/>
      </c>
      <c r="M1660" s="4">
        <f t="shared" si="130"/>
        <v>0</v>
      </c>
    </row>
    <row r="1661" ht="14.25" customHeight="1" spans="1:13">
      <c r="A1661" s="4"/>
      <c r="B1661" t="str">
        <f t="shared" si="132"/>
        <v>8:600002</v>
      </c>
      <c r="C1661" s="4">
        <v>8</v>
      </c>
      <c r="D1661" s="4">
        <v>600002</v>
      </c>
      <c r="E1661" s="3" t="s">
        <v>1926</v>
      </c>
      <c r="F1661" s="3"/>
      <c r="G1661" s="1">
        <v>3.20625</v>
      </c>
      <c r="H1661" s="1">
        <f t="shared" si="127"/>
        <v>3.20625</v>
      </c>
      <c r="I1661" s="1" t="str">
        <f t="shared" si="128"/>
        <v/>
      </c>
      <c r="J1661" s="1" t="str">
        <f>_xlfn.IFNA(INDEX([1]历练产出!$Z:$Z,MATCH(B1661,[1]历练产出!$AB:$AB,0)),"")</f>
        <v/>
      </c>
      <c r="K1661" s="1" t="str">
        <f>_xlfn.IFNA(INDEX([1]洞天福地产出!$H:$H,MATCH(B1661,[1]洞天福地产出!$K:$K,0)),"")</f>
        <v/>
      </c>
      <c r="L1661" s="1" t="str">
        <f t="shared" si="129"/>
        <v/>
      </c>
      <c r="M1661" s="4">
        <f t="shared" si="130"/>
        <v>0</v>
      </c>
    </row>
    <row r="1662" ht="28.5" customHeight="1" spans="1:13">
      <c r="A1662" s="4"/>
      <c r="B1662" t="str">
        <f t="shared" si="132"/>
        <v>8:600003</v>
      </c>
      <c r="C1662" s="4">
        <v>8</v>
      </c>
      <c r="D1662" s="4">
        <v>600003</v>
      </c>
      <c r="E1662" s="3" t="s">
        <v>1927</v>
      </c>
      <c r="F1662" s="3"/>
      <c r="G1662" s="1">
        <v>1.603125</v>
      </c>
      <c r="H1662" s="1">
        <f t="shared" si="127"/>
        <v>1.603125</v>
      </c>
      <c r="I1662" s="1" t="str">
        <f t="shared" si="128"/>
        <v/>
      </c>
      <c r="J1662" s="1" t="str">
        <f>_xlfn.IFNA(INDEX([1]历练产出!$Z:$Z,MATCH(B1662,[1]历练产出!$AB:$AB,0)),"")</f>
        <v/>
      </c>
      <c r="K1662" s="1" t="str">
        <f>_xlfn.IFNA(INDEX([1]洞天福地产出!$H:$H,MATCH(B1662,[1]洞天福地产出!$K:$K,0)),"")</f>
        <v/>
      </c>
      <c r="L1662" s="1" t="str">
        <f t="shared" si="129"/>
        <v/>
      </c>
      <c r="M1662" s="4">
        <f t="shared" si="130"/>
        <v>0</v>
      </c>
    </row>
    <row r="1663" ht="28.5" customHeight="1" spans="1:13">
      <c r="A1663" s="4"/>
      <c r="B1663" t="str">
        <f t="shared" si="132"/>
        <v>8:600004</v>
      </c>
      <c r="C1663" s="4">
        <v>8</v>
      </c>
      <c r="D1663" s="4">
        <v>600004</v>
      </c>
      <c r="E1663" s="3" t="s">
        <v>1928</v>
      </c>
      <c r="F1663" s="3"/>
      <c r="G1663" s="1">
        <v>0.8015625</v>
      </c>
      <c r="H1663" s="1">
        <f t="shared" si="127"/>
        <v>0.8015625</v>
      </c>
      <c r="I1663" s="1" t="str">
        <f t="shared" si="128"/>
        <v/>
      </c>
      <c r="J1663" s="1" t="str">
        <f>_xlfn.IFNA(INDEX([1]历练产出!$Z:$Z,MATCH(B1663,[1]历练产出!$AB:$AB,0)),"")</f>
        <v/>
      </c>
      <c r="K1663" s="1" t="str">
        <f>_xlfn.IFNA(INDEX([1]洞天福地产出!$H:$H,MATCH(B1663,[1]洞天福地产出!$K:$K,0)),"")</f>
        <v/>
      </c>
      <c r="L1663" s="1" t="str">
        <f t="shared" si="129"/>
        <v/>
      </c>
      <c r="M1663" s="4">
        <f t="shared" si="130"/>
        <v>0</v>
      </c>
    </row>
    <row r="1664" ht="28.5" customHeight="1" spans="1:13">
      <c r="A1664" s="4"/>
      <c r="B1664" t="str">
        <f t="shared" si="132"/>
        <v>8:1000001</v>
      </c>
      <c r="C1664" s="4">
        <v>8</v>
      </c>
      <c r="D1664" s="4">
        <v>1000001</v>
      </c>
      <c r="E1664" s="3" t="s">
        <v>1929</v>
      </c>
      <c r="F1664" s="3"/>
      <c r="G1664" s="1">
        <v>573.639344262295</v>
      </c>
      <c r="H1664" s="1">
        <f t="shared" si="127"/>
        <v>573.639344262295</v>
      </c>
      <c r="I1664" s="1" t="str">
        <f t="shared" si="128"/>
        <v/>
      </c>
      <c r="J1664" s="1" t="str">
        <f>_xlfn.IFNA(INDEX([1]历练产出!$Z:$Z,MATCH(B1664,[1]历练产出!$AB:$AB,0)),"")</f>
        <v/>
      </c>
      <c r="K1664" s="1" t="str">
        <f>_xlfn.IFNA(INDEX([1]洞天福地产出!$H:$H,MATCH(B1664,[1]洞天福地产出!$K:$K,0)),"")</f>
        <v/>
      </c>
      <c r="L1664" s="1" t="str">
        <f t="shared" si="129"/>
        <v/>
      </c>
      <c r="M1664" s="4">
        <f t="shared" si="130"/>
        <v>0</v>
      </c>
    </row>
    <row r="1665" ht="14.25" customHeight="1" spans="1:13">
      <c r="A1665" s="4"/>
      <c r="B1665" t="str">
        <f t="shared" si="132"/>
        <v>8:1000002</v>
      </c>
      <c r="C1665" s="4">
        <v>8</v>
      </c>
      <c r="D1665" s="4">
        <v>1000002</v>
      </c>
      <c r="E1665" s="3" t="s">
        <v>1930</v>
      </c>
      <c r="F1665" s="3"/>
      <c r="G1665" s="1">
        <v>42.4918032786885</v>
      </c>
      <c r="H1665" s="1">
        <f t="shared" si="127"/>
        <v>42.4918032786885</v>
      </c>
      <c r="I1665" s="1" t="str">
        <f t="shared" si="128"/>
        <v/>
      </c>
      <c r="J1665" s="1" t="str">
        <f>_xlfn.IFNA(INDEX([1]历练产出!$Z:$Z,MATCH(B1665,[1]历练产出!$AB:$AB,0)),"")</f>
        <v/>
      </c>
      <c r="K1665" s="1" t="str">
        <f>_xlfn.IFNA(INDEX([1]洞天福地产出!$H:$H,MATCH(B1665,[1]洞天福地产出!$K:$K,0)),"")</f>
        <v/>
      </c>
      <c r="L1665" s="1" t="str">
        <f t="shared" si="129"/>
        <v/>
      </c>
      <c r="M1665" s="4">
        <f t="shared" si="130"/>
        <v>0</v>
      </c>
    </row>
    <row r="1666" ht="28.5" customHeight="1" spans="1:13">
      <c r="A1666" s="4"/>
      <c r="B1666" t="str">
        <f t="shared" si="132"/>
        <v>8:1000003</v>
      </c>
      <c r="C1666" s="4">
        <v>8</v>
      </c>
      <c r="D1666" s="4">
        <v>1000003</v>
      </c>
      <c r="E1666" s="3" t="s">
        <v>1931</v>
      </c>
      <c r="F1666" s="3"/>
      <c r="G1666" s="1">
        <v>21.2459016393443</v>
      </c>
      <c r="H1666" s="1">
        <f t="shared" si="127"/>
        <v>21.2459016393443</v>
      </c>
      <c r="I1666" s="1" t="str">
        <f t="shared" si="128"/>
        <v/>
      </c>
      <c r="J1666" s="1" t="str">
        <f>_xlfn.IFNA(INDEX([1]历练产出!$Z:$Z,MATCH(B1666,[1]历练产出!$AB:$AB,0)),"")</f>
        <v/>
      </c>
      <c r="K1666" s="1" t="str">
        <f>_xlfn.IFNA(INDEX([1]洞天福地产出!$H:$H,MATCH(B1666,[1]洞天福地产出!$K:$K,0)),"")</f>
        <v/>
      </c>
      <c r="L1666" s="1" t="str">
        <f t="shared" si="129"/>
        <v/>
      </c>
      <c r="M1666" s="4">
        <f t="shared" si="130"/>
        <v>0</v>
      </c>
    </row>
    <row r="1667" ht="28.5" customHeight="1" spans="1:13">
      <c r="A1667" s="4"/>
      <c r="B1667" t="str">
        <f t="shared" si="132"/>
        <v>8:1000004</v>
      </c>
      <c r="C1667" s="4">
        <v>8</v>
      </c>
      <c r="D1667" s="4">
        <v>1000004</v>
      </c>
      <c r="E1667" s="3" t="s">
        <v>1932</v>
      </c>
      <c r="F1667" s="3"/>
      <c r="G1667" s="1">
        <v>10.6229508196721</v>
      </c>
      <c r="H1667" s="1">
        <f t="shared" si="127"/>
        <v>10.6229508196721</v>
      </c>
      <c r="I1667" s="1" t="str">
        <f t="shared" si="128"/>
        <v/>
      </c>
      <c r="J1667" s="1" t="str">
        <f>_xlfn.IFNA(INDEX([1]历练产出!$Z:$Z,MATCH(B1667,[1]历练产出!$AB:$AB,0)),"")</f>
        <v/>
      </c>
      <c r="K1667" s="1" t="str">
        <f>_xlfn.IFNA(INDEX([1]洞天福地产出!$H:$H,MATCH(B1667,[1]洞天福地产出!$K:$K,0)),"")</f>
        <v/>
      </c>
      <c r="L1667" s="1" t="str">
        <f t="shared" si="129"/>
        <v/>
      </c>
      <c r="M1667" s="4">
        <f t="shared" si="130"/>
        <v>0</v>
      </c>
    </row>
    <row r="1668" ht="28.5" customHeight="1" spans="1:13">
      <c r="A1668" s="4"/>
      <c r="B1668" t="str">
        <f t="shared" si="132"/>
        <v>8:2000001</v>
      </c>
      <c r="C1668" s="4">
        <v>8</v>
      </c>
      <c r="D1668" s="4">
        <v>2000001</v>
      </c>
      <c r="E1668" s="3" t="s">
        <v>1933</v>
      </c>
      <c r="F1668" s="3"/>
      <c r="G1668" s="1">
        <v>573.639344262295</v>
      </c>
      <c r="H1668" s="1">
        <f t="shared" ref="H1668:H1731" si="133">IF(I1668="",G1668,I1668)</f>
        <v>573.639344262295</v>
      </c>
      <c r="I1668" s="1" t="str">
        <f t="shared" ref="I1668:I1731" si="134">IFERROR(100/L1668,"")</f>
        <v/>
      </c>
      <c r="J1668" s="1" t="str">
        <f>_xlfn.IFNA(INDEX([1]历练产出!$Z:$Z,MATCH(B1668,[1]历练产出!$AB:$AB,0)),"")</f>
        <v/>
      </c>
      <c r="K1668" s="1" t="str">
        <f>_xlfn.IFNA(INDEX([1]洞天福地产出!$H:$H,MATCH(B1668,[1]洞天福地产出!$K:$K,0)),"")</f>
        <v/>
      </c>
      <c r="L1668" s="1" t="str">
        <f t="shared" ref="L1668:L1731" si="135">IFERROR(J1668+K1668,"")</f>
        <v/>
      </c>
      <c r="M1668" s="4">
        <f t="shared" ref="M1668:M1731" si="136">IF(I1668="",0,1)</f>
        <v>0</v>
      </c>
    </row>
    <row r="1669" ht="14.25" customHeight="1" spans="1:13">
      <c r="A1669" s="4"/>
      <c r="B1669" t="str">
        <f t="shared" si="132"/>
        <v>8:2000002</v>
      </c>
      <c r="C1669" s="4">
        <v>8</v>
      </c>
      <c r="D1669" s="4">
        <v>2000002</v>
      </c>
      <c r="E1669" s="3" t="s">
        <v>1934</v>
      </c>
      <c r="F1669" s="3"/>
      <c r="G1669" s="1">
        <v>42.4918032786885</v>
      </c>
      <c r="H1669" s="1">
        <f t="shared" si="133"/>
        <v>42.4918032786885</v>
      </c>
      <c r="I1669" s="1" t="str">
        <f t="shared" si="134"/>
        <v/>
      </c>
      <c r="J1669" s="1" t="str">
        <f>_xlfn.IFNA(INDEX([1]历练产出!$Z:$Z,MATCH(B1669,[1]历练产出!$AB:$AB,0)),"")</f>
        <v/>
      </c>
      <c r="K1669" s="1" t="str">
        <f>_xlfn.IFNA(INDEX([1]洞天福地产出!$H:$H,MATCH(B1669,[1]洞天福地产出!$K:$K,0)),"")</f>
        <v/>
      </c>
      <c r="L1669" s="1" t="str">
        <f t="shared" si="135"/>
        <v/>
      </c>
      <c r="M1669" s="4">
        <f t="shared" si="136"/>
        <v>0</v>
      </c>
    </row>
    <row r="1670" ht="28.5" customHeight="1" spans="1:13">
      <c r="A1670" s="4"/>
      <c r="B1670" t="str">
        <f t="shared" si="132"/>
        <v>8:2000003</v>
      </c>
      <c r="C1670" s="4">
        <v>8</v>
      </c>
      <c r="D1670" s="4">
        <v>2000003</v>
      </c>
      <c r="E1670" s="3" t="s">
        <v>1935</v>
      </c>
      <c r="F1670" s="3"/>
      <c r="G1670" s="1">
        <v>21.2459016393443</v>
      </c>
      <c r="H1670" s="1">
        <f t="shared" si="133"/>
        <v>21.2459016393443</v>
      </c>
      <c r="I1670" s="1" t="str">
        <f t="shared" si="134"/>
        <v/>
      </c>
      <c r="J1670" s="1" t="str">
        <f>_xlfn.IFNA(INDEX([1]历练产出!$Z:$Z,MATCH(B1670,[1]历练产出!$AB:$AB,0)),"")</f>
        <v/>
      </c>
      <c r="K1670" s="1" t="str">
        <f>_xlfn.IFNA(INDEX([1]洞天福地产出!$H:$H,MATCH(B1670,[1]洞天福地产出!$K:$K,0)),"")</f>
        <v/>
      </c>
      <c r="L1670" s="1" t="str">
        <f t="shared" si="135"/>
        <v/>
      </c>
      <c r="M1670" s="4">
        <f t="shared" si="136"/>
        <v>0</v>
      </c>
    </row>
    <row r="1671" ht="28.5" customHeight="1" spans="1:13">
      <c r="A1671" s="4"/>
      <c r="B1671" t="str">
        <f t="shared" si="132"/>
        <v>8:2000004</v>
      </c>
      <c r="C1671" s="4">
        <v>8</v>
      </c>
      <c r="D1671" s="4">
        <v>2000004</v>
      </c>
      <c r="E1671" s="3" t="s">
        <v>1936</v>
      </c>
      <c r="F1671" s="3"/>
      <c r="G1671" s="1">
        <v>10.6229508196721</v>
      </c>
      <c r="H1671" s="1">
        <f t="shared" si="133"/>
        <v>10.6229508196721</v>
      </c>
      <c r="I1671" s="1" t="str">
        <f t="shared" si="134"/>
        <v/>
      </c>
      <c r="J1671" s="1" t="str">
        <f>_xlfn.IFNA(INDEX([1]历练产出!$Z:$Z,MATCH(B1671,[1]历练产出!$AB:$AB,0)),"")</f>
        <v/>
      </c>
      <c r="K1671" s="1" t="str">
        <f>_xlfn.IFNA(INDEX([1]洞天福地产出!$H:$H,MATCH(B1671,[1]洞天福地产出!$K:$K,0)),"")</f>
        <v/>
      </c>
      <c r="L1671" s="1" t="str">
        <f t="shared" si="135"/>
        <v/>
      </c>
      <c r="M1671" s="4">
        <f t="shared" si="136"/>
        <v>0</v>
      </c>
    </row>
    <row r="1672" ht="28.5" customHeight="1" spans="1:13">
      <c r="A1672" s="4"/>
      <c r="B1672" t="str">
        <f t="shared" si="132"/>
        <v>8:3000001</v>
      </c>
      <c r="C1672" s="4">
        <v>8</v>
      </c>
      <c r="D1672" s="4">
        <v>3000001</v>
      </c>
      <c r="E1672" s="3" t="s">
        <v>1937</v>
      </c>
      <c r="F1672" s="3"/>
      <c r="G1672" s="1">
        <v>573.639344262295</v>
      </c>
      <c r="H1672" s="1">
        <f t="shared" si="133"/>
        <v>573.639344262295</v>
      </c>
      <c r="I1672" s="1" t="str">
        <f t="shared" si="134"/>
        <v/>
      </c>
      <c r="J1672" s="1" t="str">
        <f>_xlfn.IFNA(INDEX([1]历练产出!$Z:$Z,MATCH(B1672,[1]历练产出!$AB:$AB,0)),"")</f>
        <v/>
      </c>
      <c r="K1672" s="1" t="str">
        <f>_xlfn.IFNA(INDEX([1]洞天福地产出!$H:$H,MATCH(B1672,[1]洞天福地产出!$K:$K,0)),"")</f>
        <v/>
      </c>
      <c r="L1672" s="1" t="str">
        <f t="shared" si="135"/>
        <v/>
      </c>
      <c r="M1672" s="4">
        <f t="shared" si="136"/>
        <v>0</v>
      </c>
    </row>
    <row r="1673" ht="14.25" customHeight="1" spans="1:13">
      <c r="A1673" s="4"/>
      <c r="B1673" t="str">
        <f t="shared" si="132"/>
        <v>8:3000002</v>
      </c>
      <c r="C1673" s="4">
        <v>8</v>
      </c>
      <c r="D1673" s="4">
        <v>3000002</v>
      </c>
      <c r="E1673" s="3" t="s">
        <v>1938</v>
      </c>
      <c r="F1673" s="3"/>
      <c r="G1673" s="1">
        <v>42.4918032786885</v>
      </c>
      <c r="H1673" s="1">
        <f t="shared" si="133"/>
        <v>42.4918032786885</v>
      </c>
      <c r="I1673" s="1" t="str">
        <f t="shared" si="134"/>
        <v/>
      </c>
      <c r="J1673" s="1" t="str">
        <f>_xlfn.IFNA(INDEX([1]历练产出!$Z:$Z,MATCH(B1673,[1]历练产出!$AB:$AB,0)),"")</f>
        <v/>
      </c>
      <c r="K1673" s="1" t="str">
        <f>_xlfn.IFNA(INDEX([1]洞天福地产出!$H:$H,MATCH(B1673,[1]洞天福地产出!$K:$K,0)),"")</f>
        <v/>
      </c>
      <c r="L1673" s="1" t="str">
        <f t="shared" si="135"/>
        <v/>
      </c>
      <c r="M1673" s="4">
        <f t="shared" si="136"/>
        <v>0</v>
      </c>
    </row>
    <row r="1674" ht="28.5" customHeight="1" spans="1:13">
      <c r="A1674" s="4"/>
      <c r="B1674" t="str">
        <f t="shared" si="132"/>
        <v>8:3000003</v>
      </c>
      <c r="C1674" s="4">
        <v>8</v>
      </c>
      <c r="D1674" s="4">
        <v>3000003</v>
      </c>
      <c r="E1674" s="3" t="s">
        <v>1939</v>
      </c>
      <c r="F1674" s="3"/>
      <c r="G1674" s="1">
        <v>21.2459016393443</v>
      </c>
      <c r="H1674" s="1">
        <f t="shared" si="133"/>
        <v>21.2459016393443</v>
      </c>
      <c r="I1674" s="1" t="str">
        <f t="shared" si="134"/>
        <v/>
      </c>
      <c r="J1674" s="1" t="str">
        <f>_xlfn.IFNA(INDEX([1]历练产出!$Z:$Z,MATCH(B1674,[1]历练产出!$AB:$AB,0)),"")</f>
        <v/>
      </c>
      <c r="K1674" s="1" t="str">
        <f>_xlfn.IFNA(INDEX([1]洞天福地产出!$H:$H,MATCH(B1674,[1]洞天福地产出!$K:$K,0)),"")</f>
        <v/>
      </c>
      <c r="L1674" s="1" t="str">
        <f t="shared" si="135"/>
        <v/>
      </c>
      <c r="M1674" s="4">
        <f t="shared" si="136"/>
        <v>0</v>
      </c>
    </row>
    <row r="1675" ht="28.5" customHeight="1" spans="1:13">
      <c r="A1675" s="4"/>
      <c r="B1675" t="str">
        <f t="shared" si="132"/>
        <v>8:3000004</v>
      </c>
      <c r="C1675" s="4">
        <v>8</v>
      </c>
      <c r="D1675" s="4">
        <v>3000004</v>
      </c>
      <c r="E1675" s="3" t="s">
        <v>1940</v>
      </c>
      <c r="F1675" s="3"/>
      <c r="G1675" s="1">
        <v>10.6229508196721</v>
      </c>
      <c r="H1675" s="1">
        <f t="shared" si="133"/>
        <v>10.6229508196721</v>
      </c>
      <c r="I1675" s="1" t="str">
        <f t="shared" si="134"/>
        <v/>
      </c>
      <c r="J1675" s="1" t="str">
        <f>_xlfn.IFNA(INDEX([1]历练产出!$Z:$Z,MATCH(B1675,[1]历练产出!$AB:$AB,0)),"")</f>
        <v/>
      </c>
      <c r="K1675" s="1" t="str">
        <f>_xlfn.IFNA(INDEX([1]洞天福地产出!$H:$H,MATCH(B1675,[1]洞天福地产出!$K:$K,0)),"")</f>
        <v/>
      </c>
      <c r="L1675" s="1" t="str">
        <f t="shared" si="135"/>
        <v/>
      </c>
      <c r="M1675" s="4">
        <f t="shared" si="136"/>
        <v>0</v>
      </c>
    </row>
    <row r="1676" ht="28.5" customHeight="1" spans="1:13">
      <c r="A1676" s="4"/>
      <c r="B1676" t="str">
        <f t="shared" si="132"/>
        <v>8:4000001</v>
      </c>
      <c r="C1676" s="4">
        <v>8</v>
      </c>
      <c r="D1676" s="4">
        <v>4000001</v>
      </c>
      <c r="E1676" s="3" t="s">
        <v>1941</v>
      </c>
      <c r="F1676" s="3"/>
      <c r="G1676" s="1">
        <v>573.639344262295</v>
      </c>
      <c r="H1676" s="1">
        <f t="shared" si="133"/>
        <v>573.639344262295</v>
      </c>
      <c r="I1676" s="1" t="str">
        <f t="shared" si="134"/>
        <v/>
      </c>
      <c r="J1676" s="1" t="str">
        <f>_xlfn.IFNA(INDEX([1]历练产出!$Z:$Z,MATCH(B1676,[1]历练产出!$AB:$AB,0)),"")</f>
        <v/>
      </c>
      <c r="K1676" s="1" t="str">
        <f>_xlfn.IFNA(INDEX([1]洞天福地产出!$H:$H,MATCH(B1676,[1]洞天福地产出!$K:$K,0)),"")</f>
        <v/>
      </c>
      <c r="L1676" s="1" t="str">
        <f t="shared" si="135"/>
        <v/>
      </c>
      <c r="M1676" s="4">
        <f t="shared" si="136"/>
        <v>0</v>
      </c>
    </row>
    <row r="1677" ht="14.25" customHeight="1" spans="1:13">
      <c r="A1677" s="4"/>
      <c r="B1677" t="str">
        <f t="shared" si="132"/>
        <v>8:4000002</v>
      </c>
      <c r="C1677" s="4">
        <v>8</v>
      </c>
      <c r="D1677" s="4">
        <v>4000002</v>
      </c>
      <c r="E1677" s="3" t="s">
        <v>1942</v>
      </c>
      <c r="F1677" s="3"/>
      <c r="G1677" s="1">
        <v>42.4918032786885</v>
      </c>
      <c r="H1677" s="1">
        <f t="shared" si="133"/>
        <v>42.4918032786885</v>
      </c>
      <c r="I1677" s="1" t="str">
        <f t="shared" si="134"/>
        <v/>
      </c>
      <c r="J1677" s="1" t="str">
        <f>_xlfn.IFNA(INDEX([1]历练产出!$Z:$Z,MATCH(B1677,[1]历练产出!$AB:$AB,0)),"")</f>
        <v/>
      </c>
      <c r="K1677" s="1" t="str">
        <f>_xlfn.IFNA(INDEX([1]洞天福地产出!$H:$H,MATCH(B1677,[1]洞天福地产出!$K:$K,0)),"")</f>
        <v/>
      </c>
      <c r="L1677" s="1" t="str">
        <f t="shared" si="135"/>
        <v/>
      </c>
      <c r="M1677" s="4">
        <f t="shared" si="136"/>
        <v>0</v>
      </c>
    </row>
    <row r="1678" ht="28.5" customHeight="1" spans="1:13">
      <c r="A1678" s="4"/>
      <c r="B1678" t="str">
        <f t="shared" si="132"/>
        <v>8:4000003</v>
      </c>
      <c r="C1678" s="4">
        <v>8</v>
      </c>
      <c r="D1678" s="4">
        <v>4000003</v>
      </c>
      <c r="E1678" s="3" t="s">
        <v>1943</v>
      </c>
      <c r="F1678" s="3"/>
      <c r="G1678" s="1">
        <v>21.2459016393443</v>
      </c>
      <c r="H1678" s="1">
        <f t="shared" si="133"/>
        <v>21.2459016393443</v>
      </c>
      <c r="I1678" s="1" t="str">
        <f t="shared" si="134"/>
        <v/>
      </c>
      <c r="J1678" s="1" t="str">
        <f>_xlfn.IFNA(INDEX([1]历练产出!$Z:$Z,MATCH(B1678,[1]历练产出!$AB:$AB,0)),"")</f>
        <v/>
      </c>
      <c r="K1678" s="1" t="str">
        <f>_xlfn.IFNA(INDEX([1]洞天福地产出!$H:$H,MATCH(B1678,[1]洞天福地产出!$K:$K,0)),"")</f>
        <v/>
      </c>
      <c r="L1678" s="1" t="str">
        <f t="shared" si="135"/>
        <v/>
      </c>
      <c r="M1678" s="4">
        <f t="shared" si="136"/>
        <v>0</v>
      </c>
    </row>
    <row r="1679" ht="28.5" customHeight="1" spans="1:13">
      <c r="A1679" s="4"/>
      <c r="B1679" t="str">
        <f t="shared" si="132"/>
        <v>8:4000004</v>
      </c>
      <c r="C1679" s="4">
        <v>8</v>
      </c>
      <c r="D1679" s="4">
        <v>4000004</v>
      </c>
      <c r="E1679" s="3" t="s">
        <v>1944</v>
      </c>
      <c r="F1679" s="3"/>
      <c r="G1679" s="1">
        <v>10.6229508196721</v>
      </c>
      <c r="H1679" s="1">
        <f t="shared" si="133"/>
        <v>10.6229508196721</v>
      </c>
      <c r="I1679" s="1" t="str">
        <f t="shared" si="134"/>
        <v/>
      </c>
      <c r="J1679" s="1" t="str">
        <f>_xlfn.IFNA(INDEX([1]历练产出!$Z:$Z,MATCH(B1679,[1]历练产出!$AB:$AB,0)),"")</f>
        <v/>
      </c>
      <c r="K1679" s="1" t="str">
        <f>_xlfn.IFNA(INDEX([1]洞天福地产出!$H:$H,MATCH(B1679,[1]洞天福地产出!$K:$K,0)),"")</f>
        <v/>
      </c>
      <c r="L1679" s="1" t="str">
        <f t="shared" si="135"/>
        <v/>
      </c>
      <c r="M1679" s="4">
        <f t="shared" si="136"/>
        <v>0</v>
      </c>
    </row>
    <row r="1680" ht="28.5" customHeight="1" spans="1:13">
      <c r="A1680" s="4"/>
      <c r="B1680" t="str">
        <f t="shared" si="132"/>
        <v>8:5000001</v>
      </c>
      <c r="C1680" s="4">
        <v>8</v>
      </c>
      <c r="D1680" s="4">
        <v>5000001</v>
      </c>
      <c r="E1680" s="3" t="s">
        <v>587</v>
      </c>
      <c r="F1680" s="3"/>
      <c r="G1680" s="1">
        <v>573.639344262295</v>
      </c>
      <c r="H1680" s="1">
        <f t="shared" si="133"/>
        <v>573.639344262295</v>
      </c>
      <c r="I1680" s="1" t="str">
        <f t="shared" si="134"/>
        <v/>
      </c>
      <c r="J1680" s="1" t="str">
        <f>_xlfn.IFNA(INDEX([1]历练产出!$Z:$Z,MATCH(B1680,[1]历练产出!$AB:$AB,0)),"")</f>
        <v/>
      </c>
      <c r="K1680" s="1" t="str">
        <f>_xlfn.IFNA(INDEX([1]洞天福地产出!$H:$H,MATCH(B1680,[1]洞天福地产出!$K:$K,0)),"")</f>
        <v/>
      </c>
      <c r="L1680" s="1" t="str">
        <f t="shared" si="135"/>
        <v/>
      </c>
      <c r="M1680" s="4">
        <f t="shared" si="136"/>
        <v>0</v>
      </c>
    </row>
    <row r="1681" ht="14.25" customHeight="1" spans="1:13">
      <c r="A1681" s="4"/>
      <c r="B1681" t="str">
        <f t="shared" si="132"/>
        <v>8:5000002</v>
      </c>
      <c r="C1681" s="4">
        <v>8</v>
      </c>
      <c r="D1681" s="4">
        <v>5000002</v>
      </c>
      <c r="E1681" s="3" t="s">
        <v>589</v>
      </c>
      <c r="F1681" s="3"/>
      <c r="G1681" s="1">
        <v>42.4918032786885</v>
      </c>
      <c r="H1681" s="1">
        <f t="shared" si="133"/>
        <v>42.4918032786885</v>
      </c>
      <c r="I1681" s="1" t="str">
        <f t="shared" si="134"/>
        <v/>
      </c>
      <c r="J1681" s="1" t="str">
        <f>_xlfn.IFNA(INDEX([1]历练产出!$Z:$Z,MATCH(B1681,[1]历练产出!$AB:$AB,0)),"")</f>
        <v/>
      </c>
      <c r="K1681" s="1" t="str">
        <f>_xlfn.IFNA(INDEX([1]洞天福地产出!$H:$H,MATCH(B1681,[1]洞天福地产出!$K:$K,0)),"")</f>
        <v/>
      </c>
      <c r="L1681" s="1" t="str">
        <f t="shared" si="135"/>
        <v/>
      </c>
      <c r="M1681" s="4">
        <f t="shared" si="136"/>
        <v>0</v>
      </c>
    </row>
    <row r="1682" ht="28.5" customHeight="1" spans="1:13">
      <c r="A1682" s="4"/>
      <c r="B1682" t="str">
        <f t="shared" si="132"/>
        <v>8:5000003</v>
      </c>
      <c r="C1682" s="4">
        <v>8</v>
      </c>
      <c r="D1682" s="4">
        <v>5000003</v>
      </c>
      <c r="E1682" s="3" t="s">
        <v>591</v>
      </c>
      <c r="F1682" s="3"/>
      <c r="G1682" s="1">
        <v>21.2459016393443</v>
      </c>
      <c r="H1682" s="1">
        <f t="shared" si="133"/>
        <v>21.2459016393443</v>
      </c>
      <c r="I1682" s="1" t="str">
        <f t="shared" si="134"/>
        <v/>
      </c>
      <c r="J1682" s="1" t="str">
        <f>_xlfn.IFNA(INDEX([1]历练产出!$Z:$Z,MATCH(B1682,[1]历练产出!$AB:$AB,0)),"")</f>
        <v/>
      </c>
      <c r="K1682" s="1" t="str">
        <f>_xlfn.IFNA(INDEX([1]洞天福地产出!$H:$H,MATCH(B1682,[1]洞天福地产出!$K:$K,0)),"")</f>
        <v/>
      </c>
      <c r="L1682" s="1" t="str">
        <f t="shared" si="135"/>
        <v/>
      </c>
      <c r="M1682" s="4">
        <f t="shared" si="136"/>
        <v>0</v>
      </c>
    </row>
    <row r="1683" ht="28.5" customHeight="1" spans="1:13">
      <c r="A1683" s="4"/>
      <c r="B1683" t="str">
        <f t="shared" si="132"/>
        <v>8:5000004</v>
      </c>
      <c r="C1683" s="4">
        <v>8</v>
      </c>
      <c r="D1683" s="4">
        <v>5000004</v>
      </c>
      <c r="E1683" s="3" t="s">
        <v>593</v>
      </c>
      <c r="F1683" s="3"/>
      <c r="G1683" s="1">
        <v>10.6229508196721</v>
      </c>
      <c r="H1683" s="1">
        <f t="shared" si="133"/>
        <v>10.6229508196721</v>
      </c>
      <c r="I1683" s="1" t="str">
        <f t="shared" si="134"/>
        <v/>
      </c>
      <c r="J1683" s="1" t="str">
        <f>_xlfn.IFNA(INDEX([1]历练产出!$Z:$Z,MATCH(B1683,[1]历练产出!$AB:$AB,0)),"")</f>
        <v/>
      </c>
      <c r="K1683" s="1" t="str">
        <f>_xlfn.IFNA(INDEX([1]洞天福地产出!$H:$H,MATCH(B1683,[1]洞天福地产出!$K:$K,0)),"")</f>
        <v/>
      </c>
      <c r="L1683" s="1" t="str">
        <f t="shared" si="135"/>
        <v/>
      </c>
      <c r="M1683" s="4">
        <f t="shared" si="136"/>
        <v>0</v>
      </c>
    </row>
    <row r="1684" ht="14.25" customHeight="1" spans="1:13">
      <c r="A1684" s="4"/>
      <c r="B1684" t="str">
        <f t="shared" si="132"/>
        <v>8:6000001</v>
      </c>
      <c r="C1684" s="4">
        <v>8</v>
      </c>
      <c r="D1684" s="4">
        <v>6000001</v>
      </c>
      <c r="E1684" s="3" t="s">
        <v>595</v>
      </c>
      <c r="F1684" s="3"/>
      <c r="G1684" s="1">
        <v>573.639344262295</v>
      </c>
      <c r="H1684" s="1">
        <f t="shared" si="133"/>
        <v>573.639344262295</v>
      </c>
      <c r="I1684" s="1" t="str">
        <f t="shared" si="134"/>
        <v/>
      </c>
      <c r="J1684" s="1" t="str">
        <f>_xlfn.IFNA(INDEX([1]历练产出!$Z:$Z,MATCH(B1684,[1]历练产出!$AB:$AB,0)),"")</f>
        <v/>
      </c>
      <c r="K1684" s="1" t="str">
        <f>_xlfn.IFNA(INDEX([1]洞天福地产出!$H:$H,MATCH(B1684,[1]洞天福地产出!$K:$K,0)),"")</f>
        <v/>
      </c>
      <c r="L1684" s="1" t="str">
        <f t="shared" si="135"/>
        <v/>
      </c>
      <c r="M1684" s="4">
        <f t="shared" si="136"/>
        <v>0</v>
      </c>
    </row>
    <row r="1685" ht="14.25" customHeight="1" spans="1:13">
      <c r="A1685" s="4"/>
      <c r="B1685" t="str">
        <f t="shared" si="132"/>
        <v>8:6000002</v>
      </c>
      <c r="C1685" s="4">
        <v>8</v>
      </c>
      <c r="D1685" s="4">
        <v>6000002</v>
      </c>
      <c r="E1685" s="3" t="s">
        <v>597</v>
      </c>
      <c r="F1685" s="3"/>
      <c r="G1685" s="1">
        <v>42.4918032786885</v>
      </c>
      <c r="H1685" s="1">
        <f t="shared" si="133"/>
        <v>42.4918032786885</v>
      </c>
      <c r="I1685" s="1" t="str">
        <f t="shared" si="134"/>
        <v/>
      </c>
      <c r="J1685" s="1" t="str">
        <f>_xlfn.IFNA(INDEX([1]历练产出!$Z:$Z,MATCH(B1685,[1]历练产出!$AB:$AB,0)),"")</f>
        <v/>
      </c>
      <c r="K1685" s="1" t="str">
        <f>_xlfn.IFNA(INDEX([1]洞天福地产出!$H:$H,MATCH(B1685,[1]洞天福地产出!$K:$K,0)),"")</f>
        <v/>
      </c>
      <c r="L1685" s="1" t="str">
        <f t="shared" si="135"/>
        <v/>
      </c>
      <c r="M1685" s="4">
        <f t="shared" si="136"/>
        <v>0</v>
      </c>
    </row>
    <row r="1686" ht="28.5" customHeight="1" spans="1:13">
      <c r="A1686" s="4"/>
      <c r="B1686" t="str">
        <f t="shared" si="132"/>
        <v>8:6000003</v>
      </c>
      <c r="C1686" s="4">
        <v>8</v>
      </c>
      <c r="D1686" s="4">
        <v>6000003</v>
      </c>
      <c r="E1686" s="3" t="s">
        <v>599</v>
      </c>
      <c r="F1686" s="3"/>
      <c r="G1686" s="1">
        <v>21.2459016393443</v>
      </c>
      <c r="H1686" s="1">
        <f t="shared" si="133"/>
        <v>21.2459016393443</v>
      </c>
      <c r="I1686" s="1" t="str">
        <f t="shared" si="134"/>
        <v/>
      </c>
      <c r="J1686" s="1" t="str">
        <f>_xlfn.IFNA(INDEX([1]历练产出!$Z:$Z,MATCH(B1686,[1]历练产出!$AB:$AB,0)),"")</f>
        <v/>
      </c>
      <c r="K1686" s="1" t="str">
        <f>_xlfn.IFNA(INDEX([1]洞天福地产出!$H:$H,MATCH(B1686,[1]洞天福地产出!$K:$K,0)),"")</f>
        <v/>
      </c>
      <c r="L1686" s="1" t="str">
        <f t="shared" si="135"/>
        <v/>
      </c>
      <c r="M1686" s="4">
        <f t="shared" si="136"/>
        <v>0</v>
      </c>
    </row>
    <row r="1687" ht="28.5" customHeight="1" spans="1:13">
      <c r="A1687" s="4"/>
      <c r="B1687" t="str">
        <f t="shared" si="132"/>
        <v>8:6000004</v>
      </c>
      <c r="C1687" s="4">
        <v>8</v>
      </c>
      <c r="D1687" s="4">
        <v>6000004</v>
      </c>
      <c r="E1687" s="3" t="s">
        <v>601</v>
      </c>
      <c r="F1687" s="3"/>
      <c r="G1687" s="1">
        <v>10.6229508196721</v>
      </c>
      <c r="H1687" s="1">
        <f t="shared" si="133"/>
        <v>10.6229508196721</v>
      </c>
      <c r="I1687" s="1" t="str">
        <f t="shared" si="134"/>
        <v/>
      </c>
      <c r="J1687" s="1" t="str">
        <f>_xlfn.IFNA(INDEX([1]历练产出!$Z:$Z,MATCH(B1687,[1]历练产出!$AB:$AB,0)),"")</f>
        <v/>
      </c>
      <c r="K1687" s="1" t="str">
        <f>_xlfn.IFNA(INDEX([1]洞天福地产出!$H:$H,MATCH(B1687,[1]洞天福地产出!$K:$K,0)),"")</f>
        <v/>
      </c>
      <c r="L1687" s="1" t="str">
        <f t="shared" si="135"/>
        <v/>
      </c>
      <c r="M1687" s="4">
        <f t="shared" si="136"/>
        <v>0</v>
      </c>
    </row>
    <row r="1688" ht="28.5" customHeight="1" spans="1:13">
      <c r="A1688" s="4"/>
      <c r="B1688" t="str">
        <f t="shared" si="132"/>
        <v>8:7000001</v>
      </c>
      <c r="C1688" s="4">
        <v>8</v>
      </c>
      <c r="D1688" s="4">
        <v>7000001</v>
      </c>
      <c r="E1688" s="3" t="s">
        <v>1945</v>
      </c>
      <c r="F1688" s="3"/>
      <c r="G1688" s="1">
        <v>573.639344262295</v>
      </c>
      <c r="H1688" s="1">
        <f t="shared" si="133"/>
        <v>573.639344262295</v>
      </c>
      <c r="I1688" s="1" t="str">
        <f t="shared" si="134"/>
        <v/>
      </c>
      <c r="J1688" s="1" t="str">
        <f>_xlfn.IFNA(INDEX([1]历练产出!$Z:$Z,MATCH(B1688,[1]历练产出!$AB:$AB,0)),"")</f>
        <v/>
      </c>
      <c r="K1688" s="1" t="str">
        <f>_xlfn.IFNA(INDEX([1]洞天福地产出!$H:$H,MATCH(B1688,[1]洞天福地产出!$K:$K,0)),"")</f>
        <v/>
      </c>
      <c r="L1688" s="1" t="str">
        <f t="shared" si="135"/>
        <v/>
      </c>
      <c r="M1688" s="4">
        <f t="shared" si="136"/>
        <v>0</v>
      </c>
    </row>
    <row r="1689" ht="28.5" customHeight="1" spans="1:13">
      <c r="A1689" s="4"/>
      <c r="B1689" t="str">
        <f t="shared" si="132"/>
        <v>8:7000002</v>
      </c>
      <c r="C1689" s="4">
        <v>8</v>
      </c>
      <c r="D1689" s="4">
        <v>7000002</v>
      </c>
      <c r="E1689" s="3" t="s">
        <v>1946</v>
      </c>
      <c r="F1689" s="3"/>
      <c r="G1689" s="1">
        <v>42.4918032786885</v>
      </c>
      <c r="H1689" s="1">
        <f t="shared" si="133"/>
        <v>42.4918032786885</v>
      </c>
      <c r="I1689" s="1" t="str">
        <f t="shared" si="134"/>
        <v/>
      </c>
      <c r="J1689" s="1" t="str">
        <f>_xlfn.IFNA(INDEX([1]历练产出!$Z:$Z,MATCH(B1689,[1]历练产出!$AB:$AB,0)),"")</f>
        <v/>
      </c>
      <c r="K1689" s="1" t="str">
        <f>_xlfn.IFNA(INDEX([1]洞天福地产出!$H:$H,MATCH(B1689,[1]洞天福地产出!$K:$K,0)),"")</f>
        <v/>
      </c>
      <c r="L1689" s="1" t="str">
        <f t="shared" si="135"/>
        <v/>
      </c>
      <c r="M1689" s="4">
        <f t="shared" si="136"/>
        <v>0</v>
      </c>
    </row>
    <row r="1690" ht="28.5" customHeight="1" spans="1:13">
      <c r="A1690" s="4"/>
      <c r="B1690" t="str">
        <f t="shared" si="132"/>
        <v>8:7000003</v>
      </c>
      <c r="C1690" s="4">
        <v>8</v>
      </c>
      <c r="D1690" s="4">
        <v>7000003</v>
      </c>
      <c r="E1690" s="3" t="s">
        <v>1947</v>
      </c>
      <c r="F1690" s="3"/>
      <c r="G1690" s="1">
        <v>21.2459016393443</v>
      </c>
      <c r="H1690" s="1">
        <f t="shared" si="133"/>
        <v>21.2459016393443</v>
      </c>
      <c r="I1690" s="1" t="str">
        <f t="shared" si="134"/>
        <v/>
      </c>
      <c r="J1690" s="1" t="str">
        <f>_xlfn.IFNA(INDEX([1]历练产出!$Z:$Z,MATCH(B1690,[1]历练产出!$AB:$AB,0)),"")</f>
        <v/>
      </c>
      <c r="K1690" s="1" t="str">
        <f>_xlfn.IFNA(INDEX([1]洞天福地产出!$H:$H,MATCH(B1690,[1]洞天福地产出!$K:$K,0)),"")</f>
        <v/>
      </c>
      <c r="L1690" s="1" t="str">
        <f t="shared" si="135"/>
        <v/>
      </c>
      <c r="M1690" s="4">
        <f t="shared" si="136"/>
        <v>0</v>
      </c>
    </row>
    <row r="1691" ht="28.5" customHeight="1" spans="1:13">
      <c r="A1691" s="4"/>
      <c r="B1691" t="str">
        <f t="shared" si="132"/>
        <v>8:7000004</v>
      </c>
      <c r="C1691" s="4">
        <v>8</v>
      </c>
      <c r="D1691" s="4">
        <v>7000004</v>
      </c>
      <c r="E1691" s="3" t="s">
        <v>1948</v>
      </c>
      <c r="F1691" s="3"/>
      <c r="G1691" s="1">
        <v>10.6229508196721</v>
      </c>
      <c r="H1691" s="1">
        <f t="shared" si="133"/>
        <v>10.6229508196721</v>
      </c>
      <c r="I1691" s="1" t="str">
        <f t="shared" si="134"/>
        <v/>
      </c>
      <c r="J1691" s="1" t="str">
        <f>_xlfn.IFNA(INDEX([1]历练产出!$Z:$Z,MATCH(B1691,[1]历练产出!$AB:$AB,0)),"")</f>
        <v/>
      </c>
      <c r="K1691" s="1" t="str">
        <f>_xlfn.IFNA(INDEX([1]洞天福地产出!$H:$H,MATCH(B1691,[1]洞天福地产出!$K:$K,0)),"")</f>
        <v/>
      </c>
      <c r="L1691" s="1" t="str">
        <f t="shared" si="135"/>
        <v/>
      </c>
      <c r="M1691" s="4">
        <f t="shared" si="136"/>
        <v>0</v>
      </c>
    </row>
    <row r="1692" ht="14.25" customHeight="1" spans="1:13">
      <c r="A1692" s="4"/>
      <c r="B1692" t="str">
        <f t="shared" si="132"/>
        <v>8:8000001</v>
      </c>
      <c r="C1692" s="4">
        <v>8</v>
      </c>
      <c r="D1692" s="4">
        <v>8000001</v>
      </c>
      <c r="E1692" s="3" t="s">
        <v>1949</v>
      </c>
      <c r="F1692" s="3"/>
      <c r="G1692" s="1">
        <v>573.639344262295</v>
      </c>
      <c r="H1692" s="1">
        <f t="shared" si="133"/>
        <v>573.639344262295</v>
      </c>
      <c r="I1692" s="1" t="str">
        <f t="shared" si="134"/>
        <v/>
      </c>
      <c r="J1692" s="1" t="str">
        <f>_xlfn.IFNA(INDEX([1]历练产出!$Z:$Z,MATCH(B1692,[1]历练产出!$AB:$AB,0)),"")</f>
        <v/>
      </c>
      <c r="K1692" s="1" t="str">
        <f>_xlfn.IFNA(INDEX([1]洞天福地产出!$H:$H,MATCH(B1692,[1]洞天福地产出!$K:$K,0)),"")</f>
        <v/>
      </c>
      <c r="L1692" s="1" t="str">
        <f t="shared" si="135"/>
        <v/>
      </c>
      <c r="M1692" s="4">
        <f t="shared" si="136"/>
        <v>0</v>
      </c>
    </row>
    <row r="1693" ht="14.25" customHeight="1" spans="1:13">
      <c r="A1693" s="4"/>
      <c r="B1693" t="str">
        <f t="shared" si="132"/>
        <v>8:8000002</v>
      </c>
      <c r="C1693" s="4">
        <v>8</v>
      </c>
      <c r="D1693" s="4">
        <v>8000002</v>
      </c>
      <c r="E1693" s="3" t="s">
        <v>1950</v>
      </c>
      <c r="F1693" s="3"/>
      <c r="G1693" s="1">
        <v>42.4918032786885</v>
      </c>
      <c r="H1693" s="1">
        <f t="shared" si="133"/>
        <v>42.4918032786885</v>
      </c>
      <c r="I1693" s="1" t="str">
        <f t="shared" si="134"/>
        <v/>
      </c>
      <c r="J1693" s="1" t="str">
        <f>_xlfn.IFNA(INDEX([1]历练产出!$Z:$Z,MATCH(B1693,[1]历练产出!$AB:$AB,0)),"")</f>
        <v/>
      </c>
      <c r="K1693" s="1" t="str">
        <f>_xlfn.IFNA(INDEX([1]洞天福地产出!$H:$H,MATCH(B1693,[1]洞天福地产出!$K:$K,0)),"")</f>
        <v/>
      </c>
      <c r="L1693" s="1" t="str">
        <f t="shared" si="135"/>
        <v/>
      </c>
      <c r="M1693" s="4">
        <f t="shared" si="136"/>
        <v>0</v>
      </c>
    </row>
    <row r="1694" ht="28.5" customHeight="1" spans="1:13">
      <c r="A1694" s="4"/>
      <c r="B1694" t="str">
        <f t="shared" si="132"/>
        <v>8:8000003</v>
      </c>
      <c r="C1694" s="4">
        <v>8</v>
      </c>
      <c r="D1694" s="4">
        <v>8000003</v>
      </c>
      <c r="E1694" s="3" t="s">
        <v>1951</v>
      </c>
      <c r="F1694" s="3"/>
      <c r="G1694" s="1">
        <v>21.2459016393443</v>
      </c>
      <c r="H1694" s="1">
        <f t="shared" si="133"/>
        <v>21.2459016393443</v>
      </c>
      <c r="I1694" s="1" t="str">
        <f t="shared" si="134"/>
        <v/>
      </c>
      <c r="J1694" s="1" t="str">
        <f>_xlfn.IFNA(INDEX([1]历练产出!$Z:$Z,MATCH(B1694,[1]历练产出!$AB:$AB,0)),"")</f>
        <v/>
      </c>
      <c r="K1694" s="1" t="str">
        <f>_xlfn.IFNA(INDEX([1]洞天福地产出!$H:$H,MATCH(B1694,[1]洞天福地产出!$K:$K,0)),"")</f>
        <v/>
      </c>
      <c r="L1694" s="1" t="str">
        <f t="shared" si="135"/>
        <v/>
      </c>
      <c r="M1694" s="4">
        <f t="shared" si="136"/>
        <v>0</v>
      </c>
    </row>
    <row r="1695" ht="28.5" customHeight="1" spans="1:13">
      <c r="A1695" s="4"/>
      <c r="B1695" t="str">
        <f t="shared" si="132"/>
        <v>8:8000004</v>
      </c>
      <c r="C1695" s="4">
        <v>8</v>
      </c>
      <c r="D1695" s="4">
        <v>8000004</v>
      </c>
      <c r="E1695" s="3" t="s">
        <v>1952</v>
      </c>
      <c r="F1695" s="3"/>
      <c r="G1695" s="1">
        <v>10.6229508196721</v>
      </c>
      <c r="H1695" s="1">
        <f t="shared" si="133"/>
        <v>10.6229508196721</v>
      </c>
      <c r="I1695" s="1" t="str">
        <f t="shared" si="134"/>
        <v/>
      </c>
      <c r="J1695" s="1" t="str">
        <f>_xlfn.IFNA(INDEX([1]历练产出!$Z:$Z,MATCH(B1695,[1]历练产出!$AB:$AB,0)),"")</f>
        <v/>
      </c>
      <c r="K1695" s="1" t="str">
        <f>_xlfn.IFNA(INDEX([1]洞天福地产出!$H:$H,MATCH(B1695,[1]洞天福地产出!$K:$K,0)),"")</f>
        <v/>
      </c>
      <c r="L1695" s="1" t="str">
        <f t="shared" si="135"/>
        <v/>
      </c>
      <c r="M1695" s="4">
        <f t="shared" si="136"/>
        <v>0</v>
      </c>
    </row>
    <row r="1696" ht="28.5" customHeight="1" spans="1:13">
      <c r="A1696" s="4"/>
      <c r="B1696" t="str">
        <f t="shared" si="132"/>
        <v>8:9000001</v>
      </c>
      <c r="C1696" s="4">
        <v>8</v>
      </c>
      <c r="D1696" s="4">
        <v>9000001</v>
      </c>
      <c r="E1696" s="3" t="s">
        <v>1953</v>
      </c>
      <c r="F1696" s="3"/>
      <c r="G1696" s="1">
        <v>573.639344262295</v>
      </c>
      <c r="H1696" s="1">
        <f t="shared" si="133"/>
        <v>573.639344262295</v>
      </c>
      <c r="I1696" s="1" t="str">
        <f t="shared" si="134"/>
        <v/>
      </c>
      <c r="J1696" s="1" t="str">
        <f>_xlfn.IFNA(INDEX([1]历练产出!$Z:$Z,MATCH(B1696,[1]历练产出!$AB:$AB,0)),"")</f>
        <v/>
      </c>
      <c r="K1696" s="1" t="str">
        <f>_xlfn.IFNA(INDEX([1]洞天福地产出!$H:$H,MATCH(B1696,[1]洞天福地产出!$K:$K,0)),"")</f>
        <v/>
      </c>
      <c r="L1696" s="1" t="str">
        <f t="shared" si="135"/>
        <v/>
      </c>
      <c r="M1696" s="4">
        <f t="shared" si="136"/>
        <v>0</v>
      </c>
    </row>
    <row r="1697" ht="14.25" customHeight="1" spans="1:13">
      <c r="A1697" s="4"/>
      <c r="B1697" t="str">
        <f t="shared" si="132"/>
        <v>8:9000002</v>
      </c>
      <c r="C1697" s="4">
        <v>8</v>
      </c>
      <c r="D1697" s="4">
        <v>9000002</v>
      </c>
      <c r="E1697" s="3" t="s">
        <v>1954</v>
      </c>
      <c r="F1697" s="3"/>
      <c r="G1697" s="1">
        <v>42.4918032786885</v>
      </c>
      <c r="H1697" s="1">
        <f t="shared" si="133"/>
        <v>42.4918032786885</v>
      </c>
      <c r="I1697" s="1" t="str">
        <f t="shared" si="134"/>
        <v/>
      </c>
      <c r="J1697" s="1" t="str">
        <f>_xlfn.IFNA(INDEX([1]历练产出!$Z:$Z,MATCH(B1697,[1]历练产出!$AB:$AB,0)),"")</f>
        <v/>
      </c>
      <c r="K1697" s="1" t="str">
        <f>_xlfn.IFNA(INDEX([1]洞天福地产出!$H:$H,MATCH(B1697,[1]洞天福地产出!$K:$K,0)),"")</f>
        <v/>
      </c>
      <c r="L1697" s="1" t="str">
        <f t="shared" si="135"/>
        <v/>
      </c>
      <c r="M1697" s="4">
        <f t="shared" si="136"/>
        <v>0</v>
      </c>
    </row>
    <row r="1698" ht="28.5" customHeight="1" spans="1:13">
      <c r="A1698" s="4"/>
      <c r="B1698" t="str">
        <f t="shared" si="132"/>
        <v>8:9000003</v>
      </c>
      <c r="C1698" s="4">
        <v>8</v>
      </c>
      <c r="D1698" s="4">
        <v>9000003</v>
      </c>
      <c r="E1698" s="3" t="s">
        <v>1955</v>
      </c>
      <c r="F1698" s="3"/>
      <c r="G1698" s="1">
        <v>21.2459016393443</v>
      </c>
      <c r="H1698" s="1">
        <f t="shared" si="133"/>
        <v>21.2459016393443</v>
      </c>
      <c r="I1698" s="1" t="str">
        <f t="shared" si="134"/>
        <v/>
      </c>
      <c r="J1698" s="1" t="str">
        <f>_xlfn.IFNA(INDEX([1]历练产出!$Z:$Z,MATCH(B1698,[1]历练产出!$AB:$AB,0)),"")</f>
        <v/>
      </c>
      <c r="K1698" s="1" t="str">
        <f>_xlfn.IFNA(INDEX([1]洞天福地产出!$H:$H,MATCH(B1698,[1]洞天福地产出!$K:$K,0)),"")</f>
        <v/>
      </c>
      <c r="L1698" s="1" t="str">
        <f t="shared" si="135"/>
        <v/>
      </c>
      <c r="M1698" s="4">
        <f t="shared" si="136"/>
        <v>0</v>
      </c>
    </row>
    <row r="1699" ht="28.5" customHeight="1" spans="1:13">
      <c r="A1699" s="4"/>
      <c r="B1699" t="str">
        <f t="shared" si="132"/>
        <v>8:9000004</v>
      </c>
      <c r="C1699" s="4">
        <v>8</v>
      </c>
      <c r="D1699" s="4">
        <v>9000004</v>
      </c>
      <c r="E1699" s="3" t="s">
        <v>1956</v>
      </c>
      <c r="F1699" s="3"/>
      <c r="G1699" s="1">
        <v>10.6229508196721</v>
      </c>
      <c r="H1699" s="1">
        <f t="shared" si="133"/>
        <v>10.6229508196721</v>
      </c>
      <c r="I1699" s="1" t="str">
        <f t="shared" si="134"/>
        <v/>
      </c>
      <c r="J1699" s="1" t="str">
        <f>_xlfn.IFNA(INDEX([1]历练产出!$Z:$Z,MATCH(B1699,[1]历练产出!$AB:$AB,0)),"")</f>
        <v/>
      </c>
      <c r="K1699" s="1" t="str">
        <f>_xlfn.IFNA(INDEX([1]洞天福地产出!$H:$H,MATCH(B1699,[1]洞天福地产出!$K:$K,0)),"")</f>
        <v/>
      </c>
      <c r="L1699" s="1" t="str">
        <f t="shared" si="135"/>
        <v/>
      </c>
      <c r="M1699" s="4">
        <f t="shared" si="136"/>
        <v>0</v>
      </c>
    </row>
    <row r="1700" ht="30" spans="1:13">
      <c r="A1700" s="4"/>
      <c r="B1700" t="str">
        <f t="shared" si="132"/>
        <v>8:10000001</v>
      </c>
      <c r="C1700" s="4">
        <v>8</v>
      </c>
      <c r="D1700" s="4">
        <v>10000001</v>
      </c>
      <c r="E1700" s="3" t="s">
        <v>1957</v>
      </c>
      <c r="F1700" s="3"/>
      <c r="G1700" s="1">
        <v>573.639344262295</v>
      </c>
      <c r="H1700" s="1">
        <f t="shared" si="133"/>
        <v>573.639344262295</v>
      </c>
      <c r="I1700" s="1" t="str">
        <f t="shared" si="134"/>
        <v/>
      </c>
      <c r="J1700" s="1" t="str">
        <f>_xlfn.IFNA(INDEX([1]历练产出!$Z:$Z,MATCH(B1700,[1]历练产出!$AB:$AB,0)),"")</f>
        <v/>
      </c>
      <c r="K1700" s="1" t="str">
        <f>_xlfn.IFNA(INDEX([1]洞天福地产出!$H:$H,MATCH(B1700,[1]洞天福地产出!$K:$K,0)),"")</f>
        <v/>
      </c>
      <c r="L1700" s="1" t="str">
        <f t="shared" si="135"/>
        <v/>
      </c>
      <c r="M1700" s="4">
        <f t="shared" si="136"/>
        <v>0</v>
      </c>
    </row>
    <row r="1701" ht="30" spans="1:13">
      <c r="A1701" s="4"/>
      <c r="B1701" t="str">
        <f t="shared" si="132"/>
        <v>8:10000002</v>
      </c>
      <c r="C1701" s="4">
        <v>8</v>
      </c>
      <c r="D1701" s="4">
        <v>10000002</v>
      </c>
      <c r="E1701" s="3" t="s">
        <v>1958</v>
      </c>
      <c r="F1701" s="3"/>
      <c r="G1701" s="1">
        <v>42.4918032786885</v>
      </c>
      <c r="H1701" s="1">
        <f t="shared" si="133"/>
        <v>42.4918032786885</v>
      </c>
      <c r="I1701" s="1" t="str">
        <f t="shared" si="134"/>
        <v/>
      </c>
      <c r="J1701" s="1" t="str">
        <f>_xlfn.IFNA(INDEX([1]历练产出!$Z:$Z,MATCH(B1701,[1]历练产出!$AB:$AB,0)),"")</f>
        <v/>
      </c>
      <c r="K1701" s="1" t="str">
        <f>_xlfn.IFNA(INDEX([1]洞天福地产出!$H:$H,MATCH(B1701,[1]洞天福地产出!$K:$K,0)),"")</f>
        <v/>
      </c>
      <c r="L1701" s="1" t="str">
        <f t="shared" si="135"/>
        <v/>
      </c>
      <c r="M1701" s="4">
        <f t="shared" si="136"/>
        <v>0</v>
      </c>
    </row>
    <row r="1702" ht="30" spans="1:13">
      <c r="A1702" s="4"/>
      <c r="B1702" t="str">
        <f t="shared" si="132"/>
        <v>8:10000003</v>
      </c>
      <c r="C1702" s="4">
        <v>8</v>
      </c>
      <c r="D1702" s="4">
        <v>10000003</v>
      </c>
      <c r="E1702" s="3" t="s">
        <v>1959</v>
      </c>
      <c r="F1702" s="3"/>
      <c r="G1702" s="1">
        <v>21.2459016393443</v>
      </c>
      <c r="H1702" s="1">
        <f t="shared" si="133"/>
        <v>21.2459016393443</v>
      </c>
      <c r="I1702" s="1" t="str">
        <f t="shared" si="134"/>
        <v/>
      </c>
      <c r="J1702" s="1" t="str">
        <f>_xlfn.IFNA(INDEX([1]历练产出!$Z:$Z,MATCH(B1702,[1]历练产出!$AB:$AB,0)),"")</f>
        <v/>
      </c>
      <c r="K1702" s="1" t="str">
        <f>_xlfn.IFNA(INDEX([1]洞天福地产出!$H:$H,MATCH(B1702,[1]洞天福地产出!$K:$K,0)),"")</f>
        <v/>
      </c>
      <c r="L1702" s="1" t="str">
        <f t="shared" si="135"/>
        <v/>
      </c>
      <c r="M1702" s="4">
        <f t="shared" si="136"/>
        <v>0</v>
      </c>
    </row>
    <row r="1703" ht="30" spans="1:13">
      <c r="A1703" s="4"/>
      <c r="B1703" t="str">
        <f t="shared" si="132"/>
        <v>8:10000004</v>
      </c>
      <c r="C1703" s="4">
        <v>8</v>
      </c>
      <c r="D1703" s="4">
        <v>10000004</v>
      </c>
      <c r="E1703" s="3" t="s">
        <v>1960</v>
      </c>
      <c r="F1703" s="3"/>
      <c r="G1703" s="1">
        <v>10.6229508196721</v>
      </c>
      <c r="H1703" s="1">
        <f t="shared" si="133"/>
        <v>10.6229508196721</v>
      </c>
      <c r="I1703" s="1" t="str">
        <f t="shared" si="134"/>
        <v/>
      </c>
      <c r="J1703" s="1" t="str">
        <f>_xlfn.IFNA(INDEX([1]历练产出!$Z:$Z,MATCH(B1703,[1]历练产出!$AB:$AB,0)),"")</f>
        <v/>
      </c>
      <c r="K1703" s="1" t="str">
        <f>_xlfn.IFNA(INDEX([1]洞天福地产出!$H:$H,MATCH(B1703,[1]洞天福地产出!$K:$K,0)),"")</f>
        <v/>
      </c>
      <c r="L1703" s="1" t="str">
        <f t="shared" si="135"/>
        <v/>
      </c>
      <c r="M1703" s="4">
        <f t="shared" si="136"/>
        <v>0</v>
      </c>
    </row>
    <row r="1704" ht="45" spans="1:13">
      <c r="A1704" s="4"/>
      <c r="B1704" t="str">
        <f t="shared" ref="B1704:B1767" si="137">C1704&amp;":"&amp;D1704</f>
        <v>8:11000001</v>
      </c>
      <c r="C1704" s="4">
        <v>8</v>
      </c>
      <c r="D1704" s="4">
        <v>11000001</v>
      </c>
      <c r="E1704" s="3" t="s">
        <v>1961</v>
      </c>
      <c r="F1704" s="3"/>
      <c r="G1704" s="1">
        <v>573.639344262295</v>
      </c>
      <c r="H1704" s="1">
        <f t="shared" si="133"/>
        <v>573.639344262295</v>
      </c>
      <c r="I1704" s="1" t="str">
        <f t="shared" si="134"/>
        <v/>
      </c>
      <c r="J1704" s="1" t="str">
        <f>_xlfn.IFNA(INDEX([1]历练产出!$Z:$Z,MATCH(B1704,[1]历练产出!$AB:$AB,0)),"")</f>
        <v/>
      </c>
      <c r="K1704" s="1" t="str">
        <f>_xlfn.IFNA(INDEX([1]洞天福地产出!$H:$H,MATCH(B1704,[1]洞天福地产出!$K:$K,0)),"")</f>
        <v/>
      </c>
      <c r="L1704" s="1" t="str">
        <f t="shared" si="135"/>
        <v/>
      </c>
      <c r="M1704" s="4">
        <f t="shared" si="136"/>
        <v>0</v>
      </c>
    </row>
    <row r="1705" ht="30" spans="1:13">
      <c r="A1705" s="4"/>
      <c r="B1705" t="str">
        <f t="shared" si="137"/>
        <v>8:11000002</v>
      </c>
      <c r="C1705" s="4">
        <v>8</v>
      </c>
      <c r="D1705" s="4">
        <v>11000002</v>
      </c>
      <c r="E1705" s="3" t="s">
        <v>1962</v>
      </c>
      <c r="F1705" s="3"/>
      <c r="G1705" s="1">
        <v>42.4918032786885</v>
      </c>
      <c r="H1705" s="1">
        <f t="shared" si="133"/>
        <v>42.4918032786885</v>
      </c>
      <c r="I1705" s="1" t="str">
        <f t="shared" si="134"/>
        <v/>
      </c>
      <c r="J1705" s="1" t="str">
        <f>_xlfn.IFNA(INDEX([1]历练产出!$Z:$Z,MATCH(B1705,[1]历练产出!$AB:$AB,0)),"")</f>
        <v/>
      </c>
      <c r="K1705" s="1" t="str">
        <f>_xlfn.IFNA(INDEX([1]洞天福地产出!$H:$H,MATCH(B1705,[1]洞天福地产出!$K:$K,0)),"")</f>
        <v/>
      </c>
      <c r="L1705" s="1" t="str">
        <f t="shared" si="135"/>
        <v/>
      </c>
      <c r="M1705" s="4">
        <f t="shared" si="136"/>
        <v>0</v>
      </c>
    </row>
    <row r="1706" ht="45" spans="1:13">
      <c r="A1706" s="4"/>
      <c r="B1706" t="str">
        <f t="shared" si="137"/>
        <v>8:11000003</v>
      </c>
      <c r="C1706" s="4">
        <v>8</v>
      </c>
      <c r="D1706" s="4">
        <v>11000003</v>
      </c>
      <c r="E1706" s="3" t="s">
        <v>1963</v>
      </c>
      <c r="F1706" s="3"/>
      <c r="G1706" s="1">
        <v>21.2459016393443</v>
      </c>
      <c r="H1706" s="1">
        <f t="shared" si="133"/>
        <v>21.2459016393443</v>
      </c>
      <c r="I1706" s="1" t="str">
        <f t="shared" si="134"/>
        <v/>
      </c>
      <c r="J1706" s="1" t="str">
        <f>_xlfn.IFNA(INDEX([1]历练产出!$Z:$Z,MATCH(B1706,[1]历练产出!$AB:$AB,0)),"")</f>
        <v/>
      </c>
      <c r="K1706" s="1" t="str">
        <f>_xlfn.IFNA(INDEX([1]洞天福地产出!$H:$H,MATCH(B1706,[1]洞天福地产出!$K:$K,0)),"")</f>
        <v/>
      </c>
      <c r="L1706" s="1" t="str">
        <f t="shared" si="135"/>
        <v/>
      </c>
      <c r="M1706" s="4">
        <f t="shared" si="136"/>
        <v>0</v>
      </c>
    </row>
    <row r="1707" ht="45" spans="1:13">
      <c r="A1707" s="4"/>
      <c r="B1707" t="str">
        <f t="shared" si="137"/>
        <v>8:11000004</v>
      </c>
      <c r="C1707" s="4">
        <v>8</v>
      </c>
      <c r="D1707" s="4">
        <v>11000004</v>
      </c>
      <c r="E1707" s="3" t="s">
        <v>1964</v>
      </c>
      <c r="F1707" s="3"/>
      <c r="G1707" s="1">
        <v>10.6229508196721</v>
      </c>
      <c r="H1707" s="1">
        <f t="shared" si="133"/>
        <v>10.6229508196721</v>
      </c>
      <c r="I1707" s="1" t="str">
        <f t="shared" si="134"/>
        <v/>
      </c>
      <c r="J1707" s="1" t="str">
        <f>_xlfn.IFNA(INDEX([1]历练产出!$Z:$Z,MATCH(B1707,[1]历练产出!$AB:$AB,0)),"")</f>
        <v/>
      </c>
      <c r="K1707" s="1" t="str">
        <f>_xlfn.IFNA(INDEX([1]洞天福地产出!$H:$H,MATCH(B1707,[1]洞天福地产出!$K:$K,0)),"")</f>
        <v/>
      </c>
      <c r="L1707" s="1" t="str">
        <f t="shared" si="135"/>
        <v/>
      </c>
      <c r="M1707" s="4">
        <f t="shared" si="136"/>
        <v>0</v>
      </c>
    </row>
    <row r="1708" ht="28.5" customHeight="1" spans="1:13">
      <c r="A1708" s="4"/>
      <c r="B1708" t="str">
        <f t="shared" si="137"/>
        <v>8:12000001</v>
      </c>
      <c r="C1708" s="4">
        <v>8</v>
      </c>
      <c r="D1708" s="4">
        <v>12000001</v>
      </c>
      <c r="E1708" s="3" t="s">
        <v>1965</v>
      </c>
      <c r="F1708" s="3"/>
      <c r="G1708" s="1">
        <v>573.639344262295</v>
      </c>
      <c r="H1708" s="1">
        <f t="shared" si="133"/>
        <v>573.639344262295</v>
      </c>
      <c r="I1708" s="1" t="str">
        <f t="shared" si="134"/>
        <v/>
      </c>
      <c r="J1708" s="1" t="str">
        <f>_xlfn.IFNA(INDEX([1]历练产出!$Z:$Z,MATCH(B1708,[1]历练产出!$AB:$AB,0)),"")</f>
        <v/>
      </c>
      <c r="K1708" s="1" t="str">
        <f>_xlfn.IFNA(INDEX([1]洞天福地产出!$H:$H,MATCH(B1708,[1]洞天福地产出!$K:$K,0)),"")</f>
        <v/>
      </c>
      <c r="L1708" s="1" t="str">
        <f t="shared" si="135"/>
        <v/>
      </c>
      <c r="M1708" s="4">
        <f t="shared" si="136"/>
        <v>0</v>
      </c>
    </row>
    <row r="1709" ht="14.25" customHeight="1" spans="1:13">
      <c r="A1709" s="4"/>
      <c r="B1709" t="str">
        <f t="shared" si="137"/>
        <v>8:12000002</v>
      </c>
      <c r="C1709" s="4">
        <v>8</v>
      </c>
      <c r="D1709" s="4">
        <v>12000002</v>
      </c>
      <c r="E1709" s="3" t="s">
        <v>1966</v>
      </c>
      <c r="F1709" s="3"/>
      <c r="G1709" s="1">
        <v>42.4918032786885</v>
      </c>
      <c r="H1709" s="1">
        <f t="shared" si="133"/>
        <v>42.4918032786885</v>
      </c>
      <c r="I1709" s="1" t="str">
        <f t="shared" si="134"/>
        <v/>
      </c>
      <c r="J1709" s="1" t="str">
        <f>_xlfn.IFNA(INDEX([1]历练产出!$Z:$Z,MATCH(B1709,[1]历练产出!$AB:$AB,0)),"")</f>
        <v/>
      </c>
      <c r="K1709" s="1" t="str">
        <f>_xlfn.IFNA(INDEX([1]洞天福地产出!$H:$H,MATCH(B1709,[1]洞天福地产出!$K:$K,0)),"")</f>
        <v/>
      </c>
      <c r="L1709" s="1" t="str">
        <f t="shared" si="135"/>
        <v/>
      </c>
      <c r="M1709" s="4">
        <f t="shared" si="136"/>
        <v>0</v>
      </c>
    </row>
    <row r="1710" ht="28.5" customHeight="1" spans="1:13">
      <c r="A1710" s="4"/>
      <c r="B1710" t="str">
        <f t="shared" si="137"/>
        <v>8:12000003</v>
      </c>
      <c r="C1710" s="4">
        <v>8</v>
      </c>
      <c r="D1710" s="4">
        <v>12000003</v>
      </c>
      <c r="E1710" s="3" t="s">
        <v>1967</v>
      </c>
      <c r="F1710" s="3"/>
      <c r="G1710" s="1">
        <v>21.2459016393443</v>
      </c>
      <c r="H1710" s="1">
        <f t="shared" si="133"/>
        <v>21.2459016393443</v>
      </c>
      <c r="I1710" s="1" t="str">
        <f t="shared" si="134"/>
        <v/>
      </c>
      <c r="J1710" s="1" t="str">
        <f>_xlfn.IFNA(INDEX([1]历练产出!$Z:$Z,MATCH(B1710,[1]历练产出!$AB:$AB,0)),"")</f>
        <v/>
      </c>
      <c r="K1710" s="1" t="str">
        <f>_xlfn.IFNA(INDEX([1]洞天福地产出!$H:$H,MATCH(B1710,[1]洞天福地产出!$K:$K,0)),"")</f>
        <v/>
      </c>
      <c r="L1710" s="1" t="str">
        <f t="shared" si="135"/>
        <v/>
      </c>
      <c r="M1710" s="4">
        <f t="shared" si="136"/>
        <v>0</v>
      </c>
    </row>
    <row r="1711" ht="28.5" customHeight="1" spans="1:13">
      <c r="A1711" s="4"/>
      <c r="B1711" t="str">
        <f t="shared" si="137"/>
        <v>8:12000004</v>
      </c>
      <c r="C1711" s="4">
        <v>8</v>
      </c>
      <c r="D1711" s="4">
        <v>12000004</v>
      </c>
      <c r="E1711" s="3" t="s">
        <v>1968</v>
      </c>
      <c r="F1711" s="3"/>
      <c r="G1711" s="1">
        <v>10.6229508196721</v>
      </c>
      <c r="H1711" s="1">
        <f t="shared" si="133"/>
        <v>10.6229508196721</v>
      </c>
      <c r="I1711" s="1" t="str">
        <f t="shared" si="134"/>
        <v/>
      </c>
      <c r="J1711" s="1" t="str">
        <f>_xlfn.IFNA(INDEX([1]历练产出!$Z:$Z,MATCH(B1711,[1]历练产出!$AB:$AB,0)),"")</f>
        <v/>
      </c>
      <c r="K1711" s="1" t="str">
        <f>_xlfn.IFNA(INDEX([1]洞天福地产出!$H:$H,MATCH(B1711,[1]洞天福地产出!$K:$K,0)),"")</f>
        <v/>
      </c>
      <c r="L1711" s="1" t="str">
        <f t="shared" si="135"/>
        <v/>
      </c>
      <c r="M1711" s="4">
        <f t="shared" si="136"/>
        <v>0</v>
      </c>
    </row>
    <row r="1712" ht="28.5" customHeight="1" spans="1:13">
      <c r="A1712" s="4"/>
      <c r="B1712" t="str">
        <f t="shared" si="137"/>
        <v>8:13000001</v>
      </c>
      <c r="C1712" s="4">
        <v>8</v>
      </c>
      <c r="D1712" s="4">
        <v>13000001</v>
      </c>
      <c r="E1712" s="3" t="s">
        <v>651</v>
      </c>
      <c r="F1712" s="3"/>
      <c r="G1712" s="1">
        <v>573.639344262295</v>
      </c>
      <c r="H1712" s="1">
        <f t="shared" si="133"/>
        <v>573.639344262295</v>
      </c>
      <c r="I1712" s="1" t="str">
        <f t="shared" si="134"/>
        <v/>
      </c>
      <c r="J1712" s="1" t="str">
        <f>_xlfn.IFNA(INDEX([1]历练产出!$Z:$Z,MATCH(B1712,[1]历练产出!$AB:$AB,0)),"")</f>
        <v/>
      </c>
      <c r="K1712" s="1" t="str">
        <f>_xlfn.IFNA(INDEX([1]洞天福地产出!$H:$H,MATCH(B1712,[1]洞天福地产出!$K:$K,0)),"")</f>
        <v/>
      </c>
      <c r="L1712" s="1" t="str">
        <f t="shared" si="135"/>
        <v/>
      </c>
      <c r="M1712" s="4">
        <f t="shared" si="136"/>
        <v>0</v>
      </c>
    </row>
    <row r="1713" ht="14.25" customHeight="1" spans="1:13">
      <c r="A1713" s="4"/>
      <c r="B1713" t="str">
        <f t="shared" si="137"/>
        <v>8:13000002</v>
      </c>
      <c r="C1713" s="4">
        <v>8</v>
      </c>
      <c r="D1713" s="4">
        <v>13000002</v>
      </c>
      <c r="E1713" s="3" t="s">
        <v>653</v>
      </c>
      <c r="F1713" s="3"/>
      <c r="G1713" s="1">
        <v>42.4918032786885</v>
      </c>
      <c r="H1713" s="1">
        <f t="shared" si="133"/>
        <v>42.4918032786885</v>
      </c>
      <c r="I1713" s="1" t="str">
        <f t="shared" si="134"/>
        <v/>
      </c>
      <c r="J1713" s="1" t="str">
        <f>_xlfn.IFNA(INDEX([1]历练产出!$Z:$Z,MATCH(B1713,[1]历练产出!$AB:$AB,0)),"")</f>
        <v/>
      </c>
      <c r="K1713" s="1" t="str">
        <f>_xlfn.IFNA(INDEX([1]洞天福地产出!$H:$H,MATCH(B1713,[1]洞天福地产出!$K:$K,0)),"")</f>
        <v/>
      </c>
      <c r="L1713" s="1" t="str">
        <f t="shared" si="135"/>
        <v/>
      </c>
      <c r="M1713" s="4">
        <f t="shared" si="136"/>
        <v>0</v>
      </c>
    </row>
    <row r="1714" ht="28.5" customHeight="1" spans="1:13">
      <c r="A1714" s="4"/>
      <c r="B1714" t="str">
        <f t="shared" si="137"/>
        <v>8:13000003</v>
      </c>
      <c r="C1714" s="4">
        <v>8</v>
      </c>
      <c r="D1714" s="4">
        <v>13000003</v>
      </c>
      <c r="E1714" s="3" t="s">
        <v>655</v>
      </c>
      <c r="F1714" s="3"/>
      <c r="G1714" s="1">
        <v>21.2459016393443</v>
      </c>
      <c r="H1714" s="1">
        <f t="shared" si="133"/>
        <v>21.2459016393443</v>
      </c>
      <c r="I1714" s="1" t="str">
        <f t="shared" si="134"/>
        <v/>
      </c>
      <c r="J1714" s="1" t="str">
        <f>_xlfn.IFNA(INDEX([1]历练产出!$Z:$Z,MATCH(B1714,[1]历练产出!$AB:$AB,0)),"")</f>
        <v/>
      </c>
      <c r="K1714" s="1" t="str">
        <f>_xlfn.IFNA(INDEX([1]洞天福地产出!$H:$H,MATCH(B1714,[1]洞天福地产出!$K:$K,0)),"")</f>
        <v/>
      </c>
      <c r="L1714" s="1" t="str">
        <f t="shared" si="135"/>
        <v/>
      </c>
      <c r="M1714" s="4">
        <f t="shared" si="136"/>
        <v>0</v>
      </c>
    </row>
    <row r="1715" ht="28.5" customHeight="1" spans="1:13">
      <c r="A1715" s="4"/>
      <c r="B1715" t="str">
        <f t="shared" si="137"/>
        <v>8:13000004</v>
      </c>
      <c r="C1715" s="4">
        <v>8</v>
      </c>
      <c r="D1715" s="4">
        <v>13000004</v>
      </c>
      <c r="E1715" s="3" t="s">
        <v>657</v>
      </c>
      <c r="F1715" s="3"/>
      <c r="G1715" s="1">
        <v>10.6229508196721</v>
      </c>
      <c r="H1715" s="1">
        <f t="shared" si="133"/>
        <v>10.6229508196721</v>
      </c>
      <c r="I1715" s="1" t="str">
        <f t="shared" si="134"/>
        <v/>
      </c>
      <c r="J1715" s="1" t="str">
        <f>_xlfn.IFNA(INDEX([1]历练产出!$Z:$Z,MATCH(B1715,[1]历练产出!$AB:$AB,0)),"")</f>
        <v/>
      </c>
      <c r="K1715" s="1" t="str">
        <f>_xlfn.IFNA(INDEX([1]洞天福地产出!$H:$H,MATCH(B1715,[1]洞天福地产出!$K:$K,0)),"")</f>
        <v/>
      </c>
      <c r="L1715" s="1" t="str">
        <f t="shared" si="135"/>
        <v/>
      </c>
      <c r="M1715" s="4">
        <f t="shared" si="136"/>
        <v>0</v>
      </c>
    </row>
    <row r="1716" ht="14.25" customHeight="1" spans="1:13">
      <c r="A1716" s="4"/>
      <c r="B1716" t="str">
        <f t="shared" si="137"/>
        <v>8:14000001</v>
      </c>
      <c r="C1716" s="4">
        <v>8</v>
      </c>
      <c r="D1716" s="4">
        <v>14000001</v>
      </c>
      <c r="E1716" s="3" t="s">
        <v>1969</v>
      </c>
      <c r="F1716" s="3"/>
      <c r="G1716" s="1">
        <v>573.639344262295</v>
      </c>
      <c r="H1716" s="1">
        <f t="shared" si="133"/>
        <v>573.639344262295</v>
      </c>
      <c r="I1716" s="1" t="str">
        <f t="shared" si="134"/>
        <v/>
      </c>
      <c r="J1716" s="1" t="str">
        <f>_xlfn.IFNA(INDEX([1]历练产出!$Z:$Z,MATCH(B1716,[1]历练产出!$AB:$AB,0)),"")</f>
        <v/>
      </c>
      <c r="K1716" s="1" t="str">
        <f>_xlfn.IFNA(INDEX([1]洞天福地产出!$H:$H,MATCH(B1716,[1]洞天福地产出!$K:$K,0)),"")</f>
        <v/>
      </c>
      <c r="L1716" s="1" t="str">
        <f t="shared" si="135"/>
        <v/>
      </c>
      <c r="M1716" s="4">
        <f t="shared" si="136"/>
        <v>0</v>
      </c>
    </row>
    <row r="1717" ht="14.25" customHeight="1" spans="1:13">
      <c r="A1717" s="4"/>
      <c r="B1717" t="str">
        <f t="shared" si="137"/>
        <v>8:14000002</v>
      </c>
      <c r="C1717" s="4">
        <v>8</v>
      </c>
      <c r="D1717" s="4">
        <v>14000002</v>
      </c>
      <c r="E1717" s="3" t="s">
        <v>1970</v>
      </c>
      <c r="F1717" s="3"/>
      <c r="G1717" s="1">
        <v>42.4918032786885</v>
      </c>
      <c r="H1717" s="1">
        <f t="shared" si="133"/>
        <v>42.4918032786885</v>
      </c>
      <c r="I1717" s="1" t="str">
        <f t="shared" si="134"/>
        <v/>
      </c>
      <c r="J1717" s="1" t="str">
        <f>_xlfn.IFNA(INDEX([1]历练产出!$Z:$Z,MATCH(B1717,[1]历练产出!$AB:$AB,0)),"")</f>
        <v/>
      </c>
      <c r="K1717" s="1" t="str">
        <f>_xlfn.IFNA(INDEX([1]洞天福地产出!$H:$H,MATCH(B1717,[1]洞天福地产出!$K:$K,0)),"")</f>
        <v/>
      </c>
      <c r="L1717" s="1" t="str">
        <f t="shared" si="135"/>
        <v/>
      </c>
      <c r="M1717" s="4">
        <f t="shared" si="136"/>
        <v>0</v>
      </c>
    </row>
    <row r="1718" ht="28.5" customHeight="1" spans="1:13">
      <c r="A1718" s="4"/>
      <c r="B1718" t="str">
        <f t="shared" si="137"/>
        <v>8:14000003</v>
      </c>
      <c r="C1718" s="4">
        <v>8</v>
      </c>
      <c r="D1718" s="4">
        <v>14000003</v>
      </c>
      <c r="E1718" s="3" t="s">
        <v>1971</v>
      </c>
      <c r="F1718" s="3"/>
      <c r="G1718" s="1">
        <v>21.2459016393443</v>
      </c>
      <c r="H1718" s="1">
        <f t="shared" si="133"/>
        <v>21.2459016393443</v>
      </c>
      <c r="I1718" s="1" t="str">
        <f t="shared" si="134"/>
        <v/>
      </c>
      <c r="J1718" s="1" t="str">
        <f>_xlfn.IFNA(INDEX([1]历练产出!$Z:$Z,MATCH(B1718,[1]历练产出!$AB:$AB,0)),"")</f>
        <v/>
      </c>
      <c r="K1718" s="1" t="str">
        <f>_xlfn.IFNA(INDEX([1]洞天福地产出!$H:$H,MATCH(B1718,[1]洞天福地产出!$K:$K,0)),"")</f>
        <v/>
      </c>
      <c r="L1718" s="1" t="str">
        <f t="shared" si="135"/>
        <v/>
      </c>
      <c r="M1718" s="4">
        <f t="shared" si="136"/>
        <v>0</v>
      </c>
    </row>
    <row r="1719" ht="28.5" customHeight="1" spans="1:13">
      <c r="A1719" s="4"/>
      <c r="B1719" t="str">
        <f t="shared" si="137"/>
        <v>8:14000004</v>
      </c>
      <c r="C1719" s="4">
        <v>8</v>
      </c>
      <c r="D1719" s="4">
        <v>14000004</v>
      </c>
      <c r="E1719" s="3" t="s">
        <v>1972</v>
      </c>
      <c r="F1719" s="3"/>
      <c r="G1719" s="1">
        <v>10.6229508196721</v>
      </c>
      <c r="H1719" s="1">
        <f t="shared" si="133"/>
        <v>10.6229508196721</v>
      </c>
      <c r="I1719" s="1" t="str">
        <f t="shared" si="134"/>
        <v/>
      </c>
      <c r="J1719" s="1" t="str">
        <f>_xlfn.IFNA(INDEX([1]历练产出!$Z:$Z,MATCH(B1719,[1]历练产出!$AB:$AB,0)),"")</f>
        <v/>
      </c>
      <c r="K1719" s="1" t="str">
        <f>_xlfn.IFNA(INDEX([1]洞天福地产出!$H:$H,MATCH(B1719,[1]洞天福地产出!$K:$K,0)),"")</f>
        <v/>
      </c>
      <c r="L1719" s="1" t="str">
        <f t="shared" si="135"/>
        <v/>
      </c>
      <c r="M1719" s="4">
        <f t="shared" si="136"/>
        <v>0</v>
      </c>
    </row>
    <row r="1720" ht="28.5" customHeight="1" spans="1:13">
      <c r="A1720" s="4"/>
      <c r="B1720" t="str">
        <f t="shared" si="137"/>
        <v>8:15000001</v>
      </c>
      <c r="C1720" s="4">
        <v>8</v>
      </c>
      <c r="D1720" s="4">
        <v>15000001</v>
      </c>
      <c r="E1720" s="3" t="s">
        <v>1973</v>
      </c>
      <c r="F1720" s="3"/>
      <c r="G1720" s="1">
        <v>573.639344262295</v>
      </c>
      <c r="H1720" s="1">
        <f t="shared" si="133"/>
        <v>573.639344262295</v>
      </c>
      <c r="I1720" s="1" t="str">
        <f t="shared" si="134"/>
        <v/>
      </c>
      <c r="J1720" s="1" t="str">
        <f>_xlfn.IFNA(INDEX([1]历练产出!$Z:$Z,MATCH(B1720,[1]历练产出!$AB:$AB,0)),"")</f>
        <v/>
      </c>
      <c r="K1720" s="1" t="str">
        <f>_xlfn.IFNA(INDEX([1]洞天福地产出!$H:$H,MATCH(B1720,[1]洞天福地产出!$K:$K,0)),"")</f>
        <v/>
      </c>
      <c r="L1720" s="1" t="str">
        <f t="shared" si="135"/>
        <v/>
      </c>
      <c r="M1720" s="4">
        <f t="shared" si="136"/>
        <v>0</v>
      </c>
    </row>
    <row r="1721" ht="14.25" customHeight="1" spans="1:13">
      <c r="A1721" s="4"/>
      <c r="B1721" t="str">
        <f t="shared" si="137"/>
        <v>8:15000002</v>
      </c>
      <c r="C1721" s="4">
        <v>8</v>
      </c>
      <c r="D1721" s="4">
        <v>15000002</v>
      </c>
      <c r="E1721" s="3" t="s">
        <v>1974</v>
      </c>
      <c r="F1721" s="3"/>
      <c r="G1721" s="1">
        <v>42.4918032786885</v>
      </c>
      <c r="H1721" s="1">
        <f t="shared" si="133"/>
        <v>42.4918032786885</v>
      </c>
      <c r="I1721" s="1" t="str">
        <f t="shared" si="134"/>
        <v/>
      </c>
      <c r="J1721" s="1" t="str">
        <f>_xlfn.IFNA(INDEX([1]历练产出!$Z:$Z,MATCH(B1721,[1]历练产出!$AB:$AB,0)),"")</f>
        <v/>
      </c>
      <c r="K1721" s="1" t="str">
        <f>_xlfn.IFNA(INDEX([1]洞天福地产出!$H:$H,MATCH(B1721,[1]洞天福地产出!$K:$K,0)),"")</f>
        <v/>
      </c>
      <c r="L1721" s="1" t="str">
        <f t="shared" si="135"/>
        <v/>
      </c>
      <c r="M1721" s="4">
        <f t="shared" si="136"/>
        <v>0</v>
      </c>
    </row>
    <row r="1722" ht="28.5" customHeight="1" spans="1:13">
      <c r="A1722" s="4"/>
      <c r="B1722" t="str">
        <f t="shared" si="137"/>
        <v>8:15000003</v>
      </c>
      <c r="C1722" s="4">
        <v>8</v>
      </c>
      <c r="D1722" s="4">
        <v>15000003</v>
      </c>
      <c r="E1722" s="3" t="s">
        <v>1975</v>
      </c>
      <c r="F1722" s="3"/>
      <c r="G1722" s="1">
        <v>21.2459016393443</v>
      </c>
      <c r="H1722" s="1">
        <f t="shared" si="133"/>
        <v>21.2459016393443</v>
      </c>
      <c r="I1722" s="1" t="str">
        <f t="shared" si="134"/>
        <v/>
      </c>
      <c r="J1722" s="1" t="str">
        <f>_xlfn.IFNA(INDEX([1]历练产出!$Z:$Z,MATCH(B1722,[1]历练产出!$AB:$AB,0)),"")</f>
        <v/>
      </c>
      <c r="K1722" s="1" t="str">
        <f>_xlfn.IFNA(INDEX([1]洞天福地产出!$H:$H,MATCH(B1722,[1]洞天福地产出!$K:$K,0)),"")</f>
        <v/>
      </c>
      <c r="L1722" s="1" t="str">
        <f t="shared" si="135"/>
        <v/>
      </c>
      <c r="M1722" s="4">
        <f t="shared" si="136"/>
        <v>0</v>
      </c>
    </row>
    <row r="1723" ht="28.5" customHeight="1" spans="1:13">
      <c r="A1723" s="4"/>
      <c r="B1723" t="str">
        <f t="shared" si="137"/>
        <v>8:15000004</v>
      </c>
      <c r="C1723" s="4">
        <v>8</v>
      </c>
      <c r="D1723" s="4">
        <v>15000004</v>
      </c>
      <c r="E1723" s="3" t="s">
        <v>1976</v>
      </c>
      <c r="F1723" s="3"/>
      <c r="G1723" s="1">
        <v>10.6229508196721</v>
      </c>
      <c r="H1723" s="1">
        <f t="shared" si="133"/>
        <v>10.6229508196721</v>
      </c>
      <c r="I1723" s="1" t="str">
        <f t="shared" si="134"/>
        <v/>
      </c>
      <c r="J1723" s="1" t="str">
        <f>_xlfn.IFNA(INDEX([1]历练产出!$Z:$Z,MATCH(B1723,[1]历练产出!$AB:$AB,0)),"")</f>
        <v/>
      </c>
      <c r="K1723" s="1" t="str">
        <f>_xlfn.IFNA(INDEX([1]洞天福地产出!$H:$H,MATCH(B1723,[1]洞天福地产出!$K:$K,0)),"")</f>
        <v/>
      </c>
      <c r="L1723" s="1" t="str">
        <f t="shared" si="135"/>
        <v/>
      </c>
      <c r="M1723" s="4">
        <f t="shared" si="136"/>
        <v>0</v>
      </c>
    </row>
    <row r="1724" ht="28.5" customHeight="1" spans="1:13">
      <c r="A1724" s="4"/>
      <c r="B1724" t="str">
        <f t="shared" si="137"/>
        <v>8:16000001</v>
      </c>
      <c r="C1724" s="4">
        <v>8</v>
      </c>
      <c r="D1724" s="4">
        <v>16000001</v>
      </c>
      <c r="E1724" s="3" t="s">
        <v>1977</v>
      </c>
      <c r="F1724" s="3"/>
      <c r="G1724" s="1">
        <v>573.639344262295</v>
      </c>
      <c r="H1724" s="1">
        <f t="shared" si="133"/>
        <v>573.639344262295</v>
      </c>
      <c r="I1724" s="1" t="str">
        <f t="shared" si="134"/>
        <v/>
      </c>
      <c r="J1724" s="1" t="str">
        <f>_xlfn.IFNA(INDEX([1]历练产出!$Z:$Z,MATCH(B1724,[1]历练产出!$AB:$AB,0)),"")</f>
        <v/>
      </c>
      <c r="K1724" s="1" t="str">
        <f>_xlfn.IFNA(INDEX([1]洞天福地产出!$H:$H,MATCH(B1724,[1]洞天福地产出!$K:$K,0)),"")</f>
        <v/>
      </c>
      <c r="L1724" s="1" t="str">
        <f t="shared" si="135"/>
        <v/>
      </c>
      <c r="M1724" s="4">
        <f t="shared" si="136"/>
        <v>0</v>
      </c>
    </row>
    <row r="1725" ht="28.5" customHeight="1" spans="1:13">
      <c r="A1725" s="4"/>
      <c r="B1725" t="str">
        <f t="shared" si="137"/>
        <v>8:16000002</v>
      </c>
      <c r="C1725" s="4">
        <v>8</v>
      </c>
      <c r="D1725" s="4">
        <v>16000002</v>
      </c>
      <c r="E1725" s="3" t="s">
        <v>1978</v>
      </c>
      <c r="F1725" s="3"/>
      <c r="G1725" s="1">
        <v>42.4918032786885</v>
      </c>
      <c r="H1725" s="1">
        <f t="shared" si="133"/>
        <v>42.4918032786885</v>
      </c>
      <c r="I1725" s="1" t="str">
        <f t="shared" si="134"/>
        <v/>
      </c>
      <c r="J1725" s="1" t="str">
        <f>_xlfn.IFNA(INDEX([1]历练产出!$Z:$Z,MATCH(B1725,[1]历练产出!$AB:$AB,0)),"")</f>
        <v/>
      </c>
      <c r="K1725" s="1" t="str">
        <f>_xlfn.IFNA(INDEX([1]洞天福地产出!$H:$H,MATCH(B1725,[1]洞天福地产出!$K:$K,0)),"")</f>
        <v/>
      </c>
      <c r="L1725" s="1" t="str">
        <f t="shared" si="135"/>
        <v/>
      </c>
      <c r="M1725" s="4">
        <f t="shared" si="136"/>
        <v>0</v>
      </c>
    </row>
    <row r="1726" ht="28.5" customHeight="1" spans="1:13">
      <c r="A1726" s="4"/>
      <c r="B1726" t="str">
        <f t="shared" si="137"/>
        <v>8:16000003</v>
      </c>
      <c r="C1726" s="4">
        <v>8</v>
      </c>
      <c r="D1726" s="4">
        <v>16000003</v>
      </c>
      <c r="E1726" s="3" t="s">
        <v>1979</v>
      </c>
      <c r="F1726" s="3"/>
      <c r="G1726" s="1">
        <v>21.2459016393443</v>
      </c>
      <c r="H1726" s="1">
        <f t="shared" si="133"/>
        <v>21.2459016393443</v>
      </c>
      <c r="I1726" s="1" t="str">
        <f t="shared" si="134"/>
        <v/>
      </c>
      <c r="J1726" s="1" t="str">
        <f>_xlfn.IFNA(INDEX([1]历练产出!$Z:$Z,MATCH(B1726,[1]历练产出!$AB:$AB,0)),"")</f>
        <v/>
      </c>
      <c r="K1726" s="1" t="str">
        <f>_xlfn.IFNA(INDEX([1]洞天福地产出!$H:$H,MATCH(B1726,[1]洞天福地产出!$K:$K,0)),"")</f>
        <v/>
      </c>
      <c r="L1726" s="1" t="str">
        <f t="shared" si="135"/>
        <v/>
      </c>
      <c r="M1726" s="4">
        <f t="shared" si="136"/>
        <v>0</v>
      </c>
    </row>
    <row r="1727" ht="28.5" customHeight="1" spans="1:13">
      <c r="A1727" s="4"/>
      <c r="B1727" t="str">
        <f t="shared" si="137"/>
        <v>8:16000004</v>
      </c>
      <c r="C1727" s="4">
        <v>8</v>
      </c>
      <c r="D1727" s="4">
        <v>16000004</v>
      </c>
      <c r="E1727" s="3" t="s">
        <v>1980</v>
      </c>
      <c r="F1727" s="3"/>
      <c r="G1727" s="1">
        <v>10.6229508196721</v>
      </c>
      <c r="H1727" s="1">
        <f t="shared" si="133"/>
        <v>10.6229508196721</v>
      </c>
      <c r="I1727" s="1" t="str">
        <f t="shared" si="134"/>
        <v/>
      </c>
      <c r="J1727" s="1" t="str">
        <f>_xlfn.IFNA(INDEX([1]历练产出!$Z:$Z,MATCH(B1727,[1]历练产出!$AB:$AB,0)),"")</f>
        <v/>
      </c>
      <c r="K1727" s="1" t="str">
        <f>_xlfn.IFNA(INDEX([1]洞天福地产出!$H:$H,MATCH(B1727,[1]洞天福地产出!$K:$K,0)),"")</f>
        <v/>
      </c>
      <c r="L1727" s="1" t="str">
        <f t="shared" si="135"/>
        <v/>
      </c>
      <c r="M1727" s="4">
        <f t="shared" si="136"/>
        <v>0</v>
      </c>
    </row>
    <row r="1728" ht="28.5" customHeight="1" spans="1:13">
      <c r="A1728" s="4"/>
      <c r="B1728" t="str">
        <f t="shared" si="137"/>
        <v>8:17000001</v>
      </c>
      <c r="C1728" s="4">
        <v>8</v>
      </c>
      <c r="D1728" s="4">
        <v>17000001</v>
      </c>
      <c r="E1728" s="3" t="s">
        <v>1981</v>
      </c>
      <c r="F1728" s="3"/>
      <c r="G1728" s="1">
        <v>573.639344262295</v>
      </c>
      <c r="H1728" s="1">
        <f t="shared" si="133"/>
        <v>573.639344262295</v>
      </c>
      <c r="I1728" s="1" t="str">
        <f t="shared" si="134"/>
        <v/>
      </c>
      <c r="J1728" s="1" t="str">
        <f>_xlfn.IFNA(INDEX([1]历练产出!$Z:$Z,MATCH(B1728,[1]历练产出!$AB:$AB,0)),"")</f>
        <v/>
      </c>
      <c r="K1728" s="1" t="str">
        <f>_xlfn.IFNA(INDEX([1]洞天福地产出!$H:$H,MATCH(B1728,[1]洞天福地产出!$K:$K,0)),"")</f>
        <v/>
      </c>
      <c r="L1728" s="1" t="str">
        <f t="shared" si="135"/>
        <v/>
      </c>
      <c r="M1728" s="4">
        <f t="shared" si="136"/>
        <v>0</v>
      </c>
    </row>
    <row r="1729" ht="28.5" customHeight="1" spans="1:13">
      <c r="A1729" s="4"/>
      <c r="B1729" t="str">
        <f t="shared" si="137"/>
        <v>8:17000002</v>
      </c>
      <c r="C1729" s="4">
        <v>8</v>
      </c>
      <c r="D1729" s="4">
        <v>17000002</v>
      </c>
      <c r="E1729" s="3" t="s">
        <v>1982</v>
      </c>
      <c r="F1729" s="3"/>
      <c r="G1729" s="1">
        <v>42.4918032786885</v>
      </c>
      <c r="H1729" s="1">
        <f t="shared" si="133"/>
        <v>42.4918032786885</v>
      </c>
      <c r="I1729" s="1" t="str">
        <f t="shared" si="134"/>
        <v/>
      </c>
      <c r="J1729" s="1" t="str">
        <f>_xlfn.IFNA(INDEX([1]历练产出!$Z:$Z,MATCH(B1729,[1]历练产出!$AB:$AB,0)),"")</f>
        <v/>
      </c>
      <c r="K1729" s="1" t="str">
        <f>_xlfn.IFNA(INDEX([1]洞天福地产出!$H:$H,MATCH(B1729,[1]洞天福地产出!$K:$K,0)),"")</f>
        <v/>
      </c>
      <c r="L1729" s="1" t="str">
        <f t="shared" si="135"/>
        <v/>
      </c>
      <c r="M1729" s="4">
        <f t="shared" si="136"/>
        <v>0</v>
      </c>
    </row>
    <row r="1730" ht="28.5" customHeight="1" spans="1:13">
      <c r="A1730" s="4"/>
      <c r="B1730" t="str">
        <f t="shared" si="137"/>
        <v>8:17000003</v>
      </c>
      <c r="C1730" s="4">
        <v>8</v>
      </c>
      <c r="D1730" s="4">
        <v>17000003</v>
      </c>
      <c r="E1730" s="3" t="s">
        <v>1983</v>
      </c>
      <c r="F1730" s="3"/>
      <c r="G1730" s="1">
        <v>21.2459016393443</v>
      </c>
      <c r="H1730" s="1">
        <f t="shared" si="133"/>
        <v>21.2459016393443</v>
      </c>
      <c r="I1730" s="1" t="str">
        <f t="shared" si="134"/>
        <v/>
      </c>
      <c r="J1730" s="1" t="str">
        <f>_xlfn.IFNA(INDEX([1]历练产出!$Z:$Z,MATCH(B1730,[1]历练产出!$AB:$AB,0)),"")</f>
        <v/>
      </c>
      <c r="K1730" s="1" t="str">
        <f>_xlfn.IFNA(INDEX([1]洞天福地产出!$H:$H,MATCH(B1730,[1]洞天福地产出!$K:$K,0)),"")</f>
        <v/>
      </c>
      <c r="L1730" s="1" t="str">
        <f t="shared" si="135"/>
        <v/>
      </c>
      <c r="M1730" s="4">
        <f t="shared" si="136"/>
        <v>0</v>
      </c>
    </row>
    <row r="1731" ht="28.5" customHeight="1" spans="1:13">
      <c r="A1731" s="4"/>
      <c r="B1731" t="str">
        <f t="shared" si="137"/>
        <v>8:17000004</v>
      </c>
      <c r="C1731" s="4">
        <v>8</v>
      </c>
      <c r="D1731" s="4">
        <v>17000004</v>
      </c>
      <c r="E1731" s="3" t="s">
        <v>1984</v>
      </c>
      <c r="F1731" s="3"/>
      <c r="G1731" s="1">
        <v>10.6229508196721</v>
      </c>
      <c r="H1731" s="1">
        <f t="shared" si="133"/>
        <v>10.6229508196721</v>
      </c>
      <c r="I1731" s="1" t="str">
        <f t="shared" si="134"/>
        <v/>
      </c>
      <c r="J1731" s="1" t="str">
        <f>_xlfn.IFNA(INDEX([1]历练产出!$Z:$Z,MATCH(B1731,[1]历练产出!$AB:$AB,0)),"")</f>
        <v/>
      </c>
      <c r="K1731" s="1" t="str">
        <f>_xlfn.IFNA(INDEX([1]洞天福地产出!$H:$H,MATCH(B1731,[1]洞天福地产出!$K:$K,0)),"")</f>
        <v/>
      </c>
      <c r="L1731" s="1" t="str">
        <f t="shared" si="135"/>
        <v/>
      </c>
      <c r="M1731" s="4">
        <f t="shared" si="136"/>
        <v>0</v>
      </c>
    </row>
    <row r="1732" ht="28.5" customHeight="1" spans="1:13">
      <c r="A1732" s="4"/>
      <c r="B1732" t="str">
        <f t="shared" si="137"/>
        <v>8:18000001</v>
      </c>
      <c r="C1732" s="4">
        <v>8</v>
      </c>
      <c r="D1732" s="4">
        <v>18000001</v>
      </c>
      <c r="E1732" s="3" t="s">
        <v>1985</v>
      </c>
      <c r="F1732" s="3"/>
      <c r="G1732" s="1">
        <v>573.639344262295</v>
      </c>
      <c r="H1732" s="1">
        <f t="shared" ref="H1732:H1795" si="138">IF(I1732="",G1732,I1732)</f>
        <v>573.639344262295</v>
      </c>
      <c r="I1732" s="1" t="str">
        <f t="shared" ref="I1732:I1795" si="139">IFERROR(100/L1732,"")</f>
        <v/>
      </c>
      <c r="J1732" s="1" t="str">
        <f>_xlfn.IFNA(INDEX([1]历练产出!$Z:$Z,MATCH(B1732,[1]历练产出!$AB:$AB,0)),"")</f>
        <v/>
      </c>
      <c r="K1732" s="1" t="str">
        <f>_xlfn.IFNA(INDEX([1]洞天福地产出!$H:$H,MATCH(B1732,[1]洞天福地产出!$K:$K,0)),"")</f>
        <v/>
      </c>
      <c r="L1732" s="1" t="str">
        <f t="shared" ref="L1732:L1795" si="140">IFERROR(J1732+K1732,"")</f>
        <v/>
      </c>
      <c r="M1732" s="4">
        <f t="shared" ref="M1732:M1795" si="141">IF(I1732="",0,1)</f>
        <v>0</v>
      </c>
    </row>
    <row r="1733" ht="14.25" customHeight="1" spans="1:13">
      <c r="A1733" s="4"/>
      <c r="B1733" t="str">
        <f t="shared" si="137"/>
        <v>8:18000002</v>
      </c>
      <c r="C1733" s="4">
        <v>8</v>
      </c>
      <c r="D1733" s="4">
        <v>18000002</v>
      </c>
      <c r="E1733" s="3" t="s">
        <v>1986</v>
      </c>
      <c r="F1733" s="3"/>
      <c r="G1733" s="1">
        <v>42.4918032786885</v>
      </c>
      <c r="H1733" s="1">
        <f t="shared" si="138"/>
        <v>42.4918032786885</v>
      </c>
      <c r="I1733" s="1" t="str">
        <f t="shared" si="139"/>
        <v/>
      </c>
      <c r="J1733" s="1" t="str">
        <f>_xlfn.IFNA(INDEX([1]历练产出!$Z:$Z,MATCH(B1733,[1]历练产出!$AB:$AB,0)),"")</f>
        <v/>
      </c>
      <c r="K1733" s="1" t="str">
        <f>_xlfn.IFNA(INDEX([1]洞天福地产出!$H:$H,MATCH(B1733,[1]洞天福地产出!$K:$K,0)),"")</f>
        <v/>
      </c>
      <c r="L1733" s="1" t="str">
        <f t="shared" si="140"/>
        <v/>
      </c>
      <c r="M1733" s="4">
        <f t="shared" si="141"/>
        <v>0</v>
      </c>
    </row>
    <row r="1734" ht="28.5" customHeight="1" spans="1:13">
      <c r="A1734" s="4"/>
      <c r="B1734" t="str">
        <f t="shared" si="137"/>
        <v>8:18000003</v>
      </c>
      <c r="C1734" s="4">
        <v>8</v>
      </c>
      <c r="D1734" s="4">
        <v>18000003</v>
      </c>
      <c r="E1734" s="3" t="s">
        <v>1987</v>
      </c>
      <c r="F1734" s="3"/>
      <c r="G1734" s="1">
        <v>21.2459016393443</v>
      </c>
      <c r="H1734" s="1">
        <f t="shared" si="138"/>
        <v>21.2459016393443</v>
      </c>
      <c r="I1734" s="1" t="str">
        <f t="shared" si="139"/>
        <v/>
      </c>
      <c r="J1734" s="1" t="str">
        <f>_xlfn.IFNA(INDEX([1]历练产出!$Z:$Z,MATCH(B1734,[1]历练产出!$AB:$AB,0)),"")</f>
        <v/>
      </c>
      <c r="K1734" s="1" t="str">
        <f>_xlfn.IFNA(INDEX([1]洞天福地产出!$H:$H,MATCH(B1734,[1]洞天福地产出!$K:$K,0)),"")</f>
        <v/>
      </c>
      <c r="L1734" s="1" t="str">
        <f t="shared" si="140"/>
        <v/>
      </c>
      <c r="M1734" s="4">
        <f t="shared" si="141"/>
        <v>0</v>
      </c>
    </row>
    <row r="1735" ht="28.5" customHeight="1" spans="1:13">
      <c r="A1735" s="4"/>
      <c r="B1735" t="str">
        <f t="shared" si="137"/>
        <v>8:18000004</v>
      </c>
      <c r="C1735" s="4">
        <v>8</v>
      </c>
      <c r="D1735" s="4">
        <v>18000004</v>
      </c>
      <c r="E1735" s="3" t="s">
        <v>1988</v>
      </c>
      <c r="F1735" s="3"/>
      <c r="G1735" s="1">
        <v>10.6229508196721</v>
      </c>
      <c r="H1735" s="1">
        <f t="shared" si="138"/>
        <v>10.6229508196721</v>
      </c>
      <c r="I1735" s="1" t="str">
        <f t="shared" si="139"/>
        <v/>
      </c>
      <c r="J1735" s="1" t="str">
        <f>_xlfn.IFNA(INDEX([1]历练产出!$Z:$Z,MATCH(B1735,[1]历练产出!$AB:$AB,0)),"")</f>
        <v/>
      </c>
      <c r="K1735" s="1" t="str">
        <f>_xlfn.IFNA(INDEX([1]洞天福地产出!$H:$H,MATCH(B1735,[1]洞天福地产出!$K:$K,0)),"")</f>
        <v/>
      </c>
      <c r="L1735" s="1" t="str">
        <f t="shared" si="140"/>
        <v/>
      </c>
      <c r="M1735" s="4">
        <f t="shared" si="141"/>
        <v>0</v>
      </c>
    </row>
    <row r="1736" ht="28.5" customHeight="1" spans="1:13">
      <c r="A1736" s="4"/>
      <c r="B1736" t="str">
        <f t="shared" si="137"/>
        <v>8:19000001</v>
      </c>
      <c r="C1736" s="4">
        <v>8</v>
      </c>
      <c r="D1736" s="4">
        <v>19000001</v>
      </c>
      <c r="E1736" s="3" t="s">
        <v>699</v>
      </c>
      <c r="F1736" s="3"/>
      <c r="G1736" s="1">
        <v>573.639344262295</v>
      </c>
      <c r="H1736" s="1">
        <f t="shared" si="138"/>
        <v>573.639344262295</v>
      </c>
      <c r="I1736" s="1" t="str">
        <f t="shared" si="139"/>
        <v/>
      </c>
      <c r="J1736" s="1" t="str">
        <f>_xlfn.IFNA(INDEX([1]历练产出!$Z:$Z,MATCH(B1736,[1]历练产出!$AB:$AB,0)),"")</f>
        <v/>
      </c>
      <c r="K1736" s="1" t="str">
        <f>_xlfn.IFNA(INDEX([1]洞天福地产出!$H:$H,MATCH(B1736,[1]洞天福地产出!$K:$K,0)),"")</f>
        <v/>
      </c>
      <c r="L1736" s="1" t="str">
        <f t="shared" si="140"/>
        <v/>
      </c>
      <c r="M1736" s="4">
        <f t="shared" si="141"/>
        <v>0</v>
      </c>
    </row>
    <row r="1737" ht="28.5" customHeight="1" spans="1:13">
      <c r="A1737" s="4"/>
      <c r="B1737" t="str">
        <f t="shared" si="137"/>
        <v>8:19000002</v>
      </c>
      <c r="C1737" s="4">
        <v>8</v>
      </c>
      <c r="D1737" s="4">
        <v>19000002</v>
      </c>
      <c r="E1737" s="3" t="s">
        <v>701</v>
      </c>
      <c r="F1737" s="3"/>
      <c r="G1737" s="1">
        <v>42.4918032786885</v>
      </c>
      <c r="H1737" s="1">
        <f t="shared" si="138"/>
        <v>42.4918032786885</v>
      </c>
      <c r="I1737" s="1" t="str">
        <f t="shared" si="139"/>
        <v/>
      </c>
      <c r="J1737" s="1" t="str">
        <f>_xlfn.IFNA(INDEX([1]历练产出!$Z:$Z,MATCH(B1737,[1]历练产出!$AB:$AB,0)),"")</f>
        <v/>
      </c>
      <c r="K1737" s="1" t="str">
        <f>_xlfn.IFNA(INDEX([1]洞天福地产出!$H:$H,MATCH(B1737,[1]洞天福地产出!$K:$K,0)),"")</f>
        <v/>
      </c>
      <c r="L1737" s="1" t="str">
        <f t="shared" si="140"/>
        <v/>
      </c>
      <c r="M1737" s="4">
        <f t="shared" si="141"/>
        <v>0</v>
      </c>
    </row>
    <row r="1738" ht="28.5" customHeight="1" spans="1:13">
      <c r="A1738" s="4"/>
      <c r="B1738" t="str">
        <f t="shared" si="137"/>
        <v>8:19000003</v>
      </c>
      <c r="C1738" s="4">
        <v>8</v>
      </c>
      <c r="D1738" s="4">
        <v>19000003</v>
      </c>
      <c r="E1738" s="3" t="s">
        <v>703</v>
      </c>
      <c r="F1738" s="3"/>
      <c r="G1738" s="1">
        <v>21.2459016393443</v>
      </c>
      <c r="H1738" s="1">
        <f t="shared" si="138"/>
        <v>21.2459016393443</v>
      </c>
      <c r="I1738" s="1" t="str">
        <f t="shared" si="139"/>
        <v/>
      </c>
      <c r="J1738" s="1" t="str">
        <f>_xlfn.IFNA(INDEX([1]历练产出!$Z:$Z,MATCH(B1738,[1]历练产出!$AB:$AB,0)),"")</f>
        <v/>
      </c>
      <c r="K1738" s="1" t="str">
        <f>_xlfn.IFNA(INDEX([1]洞天福地产出!$H:$H,MATCH(B1738,[1]洞天福地产出!$K:$K,0)),"")</f>
        <v/>
      </c>
      <c r="L1738" s="1" t="str">
        <f t="shared" si="140"/>
        <v/>
      </c>
      <c r="M1738" s="4">
        <f t="shared" si="141"/>
        <v>0</v>
      </c>
    </row>
    <row r="1739" ht="28.5" customHeight="1" spans="1:13">
      <c r="A1739" s="4"/>
      <c r="B1739" t="str">
        <f t="shared" si="137"/>
        <v>8:19000004</v>
      </c>
      <c r="C1739" s="4">
        <v>8</v>
      </c>
      <c r="D1739" s="4">
        <v>19000004</v>
      </c>
      <c r="E1739" s="3" t="s">
        <v>705</v>
      </c>
      <c r="F1739" s="3"/>
      <c r="G1739" s="1">
        <v>10.6229508196721</v>
      </c>
      <c r="H1739" s="1">
        <f t="shared" si="138"/>
        <v>10.6229508196721</v>
      </c>
      <c r="I1739" s="1" t="str">
        <f t="shared" si="139"/>
        <v/>
      </c>
      <c r="J1739" s="1" t="str">
        <f>_xlfn.IFNA(INDEX([1]历练产出!$Z:$Z,MATCH(B1739,[1]历练产出!$AB:$AB,0)),"")</f>
        <v/>
      </c>
      <c r="K1739" s="1" t="str">
        <f>_xlfn.IFNA(INDEX([1]洞天福地产出!$H:$H,MATCH(B1739,[1]洞天福地产出!$K:$K,0)),"")</f>
        <v/>
      </c>
      <c r="L1739" s="1" t="str">
        <f t="shared" si="140"/>
        <v/>
      </c>
      <c r="M1739" s="4">
        <f t="shared" si="141"/>
        <v>0</v>
      </c>
    </row>
    <row r="1740" ht="30" spans="1:13">
      <c r="A1740" s="4"/>
      <c r="B1740" t="str">
        <f t="shared" si="137"/>
        <v>8:20000001</v>
      </c>
      <c r="C1740" s="4">
        <v>8</v>
      </c>
      <c r="D1740" s="4">
        <v>20000001</v>
      </c>
      <c r="E1740" s="3" t="s">
        <v>707</v>
      </c>
      <c r="F1740" s="3"/>
      <c r="G1740" s="1">
        <v>573.639344262295</v>
      </c>
      <c r="H1740" s="1">
        <f t="shared" si="138"/>
        <v>573.639344262295</v>
      </c>
      <c r="I1740" s="1" t="str">
        <f t="shared" si="139"/>
        <v/>
      </c>
      <c r="J1740" s="1" t="str">
        <f>_xlfn.IFNA(INDEX([1]历练产出!$Z:$Z,MATCH(B1740,[1]历练产出!$AB:$AB,0)),"")</f>
        <v/>
      </c>
      <c r="K1740" s="1" t="str">
        <f>_xlfn.IFNA(INDEX([1]洞天福地产出!$H:$H,MATCH(B1740,[1]洞天福地产出!$K:$K,0)),"")</f>
        <v/>
      </c>
      <c r="L1740" s="1" t="str">
        <f t="shared" si="140"/>
        <v/>
      </c>
      <c r="M1740" s="4">
        <f t="shared" si="141"/>
        <v>0</v>
      </c>
    </row>
    <row r="1741" spans="1:13">
      <c r="A1741" s="4"/>
      <c r="B1741" t="str">
        <f t="shared" si="137"/>
        <v>8:20000002</v>
      </c>
      <c r="C1741" s="4">
        <v>8</v>
      </c>
      <c r="D1741" s="4">
        <v>20000002</v>
      </c>
      <c r="E1741" s="3" t="s">
        <v>709</v>
      </c>
      <c r="F1741" s="3"/>
      <c r="G1741" s="1">
        <v>42.4918032786885</v>
      </c>
      <c r="H1741" s="1">
        <f t="shared" si="138"/>
        <v>42.4918032786885</v>
      </c>
      <c r="I1741" s="1" t="str">
        <f t="shared" si="139"/>
        <v/>
      </c>
      <c r="J1741" s="1" t="str">
        <f>_xlfn.IFNA(INDEX([1]历练产出!$Z:$Z,MATCH(B1741,[1]历练产出!$AB:$AB,0)),"")</f>
        <v/>
      </c>
      <c r="K1741" s="1" t="str">
        <f>_xlfn.IFNA(INDEX([1]洞天福地产出!$H:$H,MATCH(B1741,[1]洞天福地产出!$K:$K,0)),"")</f>
        <v/>
      </c>
      <c r="L1741" s="1" t="str">
        <f t="shared" si="140"/>
        <v/>
      </c>
      <c r="M1741" s="4">
        <f t="shared" si="141"/>
        <v>0</v>
      </c>
    </row>
    <row r="1742" ht="30" spans="1:13">
      <c r="A1742" s="4"/>
      <c r="B1742" t="str">
        <f t="shared" si="137"/>
        <v>8:20000003</v>
      </c>
      <c r="C1742" s="4">
        <v>8</v>
      </c>
      <c r="D1742" s="4">
        <v>20000003</v>
      </c>
      <c r="E1742" s="3" t="s">
        <v>711</v>
      </c>
      <c r="F1742" s="3"/>
      <c r="G1742" s="1">
        <v>21.2459016393443</v>
      </c>
      <c r="H1742" s="1">
        <f t="shared" si="138"/>
        <v>21.2459016393443</v>
      </c>
      <c r="I1742" s="1" t="str">
        <f t="shared" si="139"/>
        <v/>
      </c>
      <c r="J1742" s="1" t="str">
        <f>_xlfn.IFNA(INDEX([1]历练产出!$Z:$Z,MATCH(B1742,[1]历练产出!$AB:$AB,0)),"")</f>
        <v/>
      </c>
      <c r="K1742" s="1" t="str">
        <f>_xlfn.IFNA(INDEX([1]洞天福地产出!$H:$H,MATCH(B1742,[1]洞天福地产出!$K:$K,0)),"")</f>
        <v/>
      </c>
      <c r="L1742" s="1" t="str">
        <f t="shared" si="140"/>
        <v/>
      </c>
      <c r="M1742" s="4">
        <f t="shared" si="141"/>
        <v>0</v>
      </c>
    </row>
    <row r="1743" ht="30" spans="1:13">
      <c r="A1743" s="4"/>
      <c r="B1743" t="str">
        <f t="shared" si="137"/>
        <v>8:20000004</v>
      </c>
      <c r="C1743" s="4">
        <v>8</v>
      </c>
      <c r="D1743" s="4">
        <v>20000004</v>
      </c>
      <c r="E1743" s="3" t="s">
        <v>713</v>
      </c>
      <c r="F1743" s="3"/>
      <c r="G1743" s="1">
        <v>10.6229508196721</v>
      </c>
      <c r="H1743" s="1">
        <f t="shared" si="138"/>
        <v>10.6229508196721</v>
      </c>
      <c r="I1743" s="1" t="str">
        <f t="shared" si="139"/>
        <v/>
      </c>
      <c r="J1743" s="1" t="str">
        <f>_xlfn.IFNA(INDEX([1]历练产出!$Z:$Z,MATCH(B1743,[1]历练产出!$AB:$AB,0)),"")</f>
        <v/>
      </c>
      <c r="K1743" s="1" t="str">
        <f>_xlfn.IFNA(INDEX([1]洞天福地产出!$H:$H,MATCH(B1743,[1]洞天福地产出!$K:$K,0)),"")</f>
        <v/>
      </c>
      <c r="L1743" s="1" t="str">
        <f t="shared" si="140"/>
        <v/>
      </c>
      <c r="M1743" s="4">
        <f t="shared" si="141"/>
        <v>0</v>
      </c>
    </row>
    <row r="1744" ht="14.25" customHeight="1" spans="1:13">
      <c r="A1744" s="4"/>
      <c r="B1744" t="str">
        <f t="shared" si="137"/>
        <v>8:21000001</v>
      </c>
      <c r="C1744" s="4">
        <v>8</v>
      </c>
      <c r="D1744" s="4">
        <v>21000001</v>
      </c>
      <c r="E1744" s="3" t="s">
        <v>1989</v>
      </c>
      <c r="F1744" s="3"/>
      <c r="G1744" s="1">
        <v>573.639344262295</v>
      </c>
      <c r="H1744" s="1">
        <f t="shared" si="138"/>
        <v>573.639344262295</v>
      </c>
      <c r="I1744" s="1" t="str">
        <f t="shared" si="139"/>
        <v/>
      </c>
      <c r="J1744" s="1" t="str">
        <f>_xlfn.IFNA(INDEX([1]历练产出!$Z:$Z,MATCH(B1744,[1]历练产出!$AB:$AB,0)),"")</f>
        <v/>
      </c>
      <c r="K1744" s="1" t="str">
        <f>_xlfn.IFNA(INDEX([1]洞天福地产出!$H:$H,MATCH(B1744,[1]洞天福地产出!$K:$K,0)),"")</f>
        <v/>
      </c>
      <c r="L1744" s="1" t="str">
        <f t="shared" si="140"/>
        <v/>
      </c>
      <c r="M1744" s="4">
        <f t="shared" si="141"/>
        <v>0</v>
      </c>
    </row>
    <row r="1745" ht="14.25" customHeight="1" spans="1:13">
      <c r="A1745" s="4"/>
      <c r="B1745" t="str">
        <f t="shared" si="137"/>
        <v>8:21000002</v>
      </c>
      <c r="C1745" s="4">
        <v>8</v>
      </c>
      <c r="D1745" s="4">
        <v>21000002</v>
      </c>
      <c r="E1745" s="3" t="s">
        <v>1990</v>
      </c>
      <c r="F1745" s="3"/>
      <c r="G1745" s="1">
        <v>42.4918032786885</v>
      </c>
      <c r="H1745" s="1">
        <f t="shared" si="138"/>
        <v>42.4918032786885</v>
      </c>
      <c r="I1745" s="1" t="str">
        <f t="shared" si="139"/>
        <v/>
      </c>
      <c r="J1745" s="1" t="str">
        <f>_xlfn.IFNA(INDEX([1]历练产出!$Z:$Z,MATCH(B1745,[1]历练产出!$AB:$AB,0)),"")</f>
        <v/>
      </c>
      <c r="K1745" s="1" t="str">
        <f>_xlfn.IFNA(INDEX([1]洞天福地产出!$H:$H,MATCH(B1745,[1]洞天福地产出!$K:$K,0)),"")</f>
        <v/>
      </c>
      <c r="L1745" s="1" t="str">
        <f t="shared" si="140"/>
        <v/>
      </c>
      <c r="M1745" s="4">
        <f t="shared" si="141"/>
        <v>0</v>
      </c>
    </row>
    <row r="1746" ht="28.5" customHeight="1" spans="1:13">
      <c r="A1746" s="4"/>
      <c r="B1746" t="str">
        <f t="shared" si="137"/>
        <v>8:21000003</v>
      </c>
      <c r="C1746" s="4">
        <v>8</v>
      </c>
      <c r="D1746" s="4">
        <v>21000003</v>
      </c>
      <c r="E1746" s="3" t="s">
        <v>1991</v>
      </c>
      <c r="F1746" s="3"/>
      <c r="G1746" s="1">
        <v>21.2459016393443</v>
      </c>
      <c r="H1746" s="1">
        <f t="shared" si="138"/>
        <v>21.2459016393443</v>
      </c>
      <c r="I1746" s="1" t="str">
        <f t="shared" si="139"/>
        <v/>
      </c>
      <c r="J1746" s="1" t="str">
        <f>_xlfn.IFNA(INDEX([1]历练产出!$Z:$Z,MATCH(B1746,[1]历练产出!$AB:$AB,0)),"")</f>
        <v/>
      </c>
      <c r="K1746" s="1" t="str">
        <f>_xlfn.IFNA(INDEX([1]洞天福地产出!$H:$H,MATCH(B1746,[1]洞天福地产出!$K:$K,0)),"")</f>
        <v/>
      </c>
      <c r="L1746" s="1" t="str">
        <f t="shared" si="140"/>
        <v/>
      </c>
      <c r="M1746" s="4">
        <f t="shared" si="141"/>
        <v>0</v>
      </c>
    </row>
    <row r="1747" ht="28.5" customHeight="1" spans="1:13">
      <c r="A1747" s="4"/>
      <c r="B1747" t="str">
        <f t="shared" si="137"/>
        <v>8:21000004</v>
      </c>
      <c r="C1747" s="4">
        <v>8</v>
      </c>
      <c r="D1747" s="4">
        <v>21000004</v>
      </c>
      <c r="E1747" s="3" t="s">
        <v>1992</v>
      </c>
      <c r="F1747" s="3"/>
      <c r="G1747" s="1">
        <v>10.6229508196721</v>
      </c>
      <c r="H1747" s="1">
        <f t="shared" si="138"/>
        <v>10.6229508196721</v>
      </c>
      <c r="I1747" s="1" t="str">
        <f t="shared" si="139"/>
        <v/>
      </c>
      <c r="J1747" s="1" t="str">
        <f>_xlfn.IFNA(INDEX([1]历练产出!$Z:$Z,MATCH(B1747,[1]历练产出!$AB:$AB,0)),"")</f>
        <v/>
      </c>
      <c r="K1747" s="1" t="str">
        <f>_xlfn.IFNA(INDEX([1]洞天福地产出!$H:$H,MATCH(B1747,[1]洞天福地产出!$K:$K,0)),"")</f>
        <v/>
      </c>
      <c r="L1747" s="1" t="str">
        <f t="shared" si="140"/>
        <v/>
      </c>
      <c r="M1747" s="4">
        <f t="shared" si="141"/>
        <v>0</v>
      </c>
    </row>
    <row r="1748" ht="45" spans="1:13">
      <c r="A1748" s="4"/>
      <c r="B1748" t="str">
        <f t="shared" si="137"/>
        <v>8:22000001</v>
      </c>
      <c r="C1748" s="4">
        <v>8</v>
      </c>
      <c r="D1748" s="4">
        <v>22000001</v>
      </c>
      <c r="E1748" s="3" t="s">
        <v>1993</v>
      </c>
      <c r="F1748" s="3"/>
      <c r="G1748" s="1">
        <v>573.639344262295</v>
      </c>
      <c r="H1748" s="1">
        <f t="shared" si="138"/>
        <v>573.639344262295</v>
      </c>
      <c r="I1748" s="1" t="str">
        <f t="shared" si="139"/>
        <v/>
      </c>
      <c r="J1748" s="1" t="str">
        <f>_xlfn.IFNA(INDEX([1]历练产出!$Z:$Z,MATCH(B1748,[1]历练产出!$AB:$AB,0)),"")</f>
        <v/>
      </c>
      <c r="K1748" s="1" t="str">
        <f>_xlfn.IFNA(INDEX([1]洞天福地产出!$H:$H,MATCH(B1748,[1]洞天福地产出!$K:$K,0)),"")</f>
        <v/>
      </c>
      <c r="L1748" s="1" t="str">
        <f t="shared" si="140"/>
        <v/>
      </c>
      <c r="M1748" s="4">
        <f t="shared" si="141"/>
        <v>0</v>
      </c>
    </row>
    <row r="1749" ht="30" spans="1:13">
      <c r="A1749" s="4"/>
      <c r="B1749" t="str">
        <f t="shared" si="137"/>
        <v>8:22000002</v>
      </c>
      <c r="C1749" s="4">
        <v>8</v>
      </c>
      <c r="D1749" s="4">
        <v>22000002</v>
      </c>
      <c r="E1749" s="3" t="s">
        <v>1994</v>
      </c>
      <c r="F1749" s="3"/>
      <c r="G1749" s="1">
        <v>42.4918032786885</v>
      </c>
      <c r="H1749" s="1">
        <f t="shared" si="138"/>
        <v>42.4918032786885</v>
      </c>
      <c r="I1749" s="1" t="str">
        <f t="shared" si="139"/>
        <v/>
      </c>
      <c r="J1749" s="1" t="str">
        <f>_xlfn.IFNA(INDEX([1]历练产出!$Z:$Z,MATCH(B1749,[1]历练产出!$AB:$AB,0)),"")</f>
        <v/>
      </c>
      <c r="K1749" s="1" t="str">
        <f>_xlfn.IFNA(INDEX([1]洞天福地产出!$H:$H,MATCH(B1749,[1]洞天福地产出!$K:$K,0)),"")</f>
        <v/>
      </c>
      <c r="L1749" s="1" t="str">
        <f t="shared" si="140"/>
        <v/>
      </c>
      <c r="M1749" s="4">
        <f t="shared" si="141"/>
        <v>0</v>
      </c>
    </row>
    <row r="1750" ht="45" spans="1:13">
      <c r="A1750" s="4"/>
      <c r="B1750" t="str">
        <f t="shared" si="137"/>
        <v>8:22000003</v>
      </c>
      <c r="C1750" s="4">
        <v>8</v>
      </c>
      <c r="D1750" s="4">
        <v>22000003</v>
      </c>
      <c r="E1750" s="3" t="s">
        <v>1995</v>
      </c>
      <c r="F1750" s="3"/>
      <c r="G1750" s="1">
        <v>21.2459016393443</v>
      </c>
      <c r="H1750" s="1">
        <f t="shared" si="138"/>
        <v>21.2459016393443</v>
      </c>
      <c r="I1750" s="1" t="str">
        <f t="shared" si="139"/>
        <v/>
      </c>
      <c r="J1750" s="1" t="str">
        <f>_xlfn.IFNA(INDEX([1]历练产出!$Z:$Z,MATCH(B1750,[1]历练产出!$AB:$AB,0)),"")</f>
        <v/>
      </c>
      <c r="K1750" s="1" t="str">
        <f>_xlfn.IFNA(INDEX([1]洞天福地产出!$H:$H,MATCH(B1750,[1]洞天福地产出!$K:$K,0)),"")</f>
        <v/>
      </c>
      <c r="L1750" s="1" t="str">
        <f t="shared" si="140"/>
        <v/>
      </c>
      <c r="M1750" s="4">
        <f t="shared" si="141"/>
        <v>0</v>
      </c>
    </row>
    <row r="1751" ht="45" spans="1:13">
      <c r="A1751" s="4"/>
      <c r="B1751" t="str">
        <f t="shared" si="137"/>
        <v>8:22000004</v>
      </c>
      <c r="C1751" s="4">
        <v>8</v>
      </c>
      <c r="D1751" s="4">
        <v>22000004</v>
      </c>
      <c r="E1751" s="3" t="s">
        <v>1996</v>
      </c>
      <c r="F1751" s="3"/>
      <c r="G1751" s="1">
        <v>10.6229508196721</v>
      </c>
      <c r="H1751" s="1">
        <f t="shared" si="138"/>
        <v>10.6229508196721</v>
      </c>
      <c r="I1751" s="1" t="str">
        <f t="shared" si="139"/>
        <v/>
      </c>
      <c r="J1751" s="1" t="str">
        <f>_xlfn.IFNA(INDEX([1]历练产出!$Z:$Z,MATCH(B1751,[1]历练产出!$AB:$AB,0)),"")</f>
        <v/>
      </c>
      <c r="K1751" s="1" t="str">
        <f>_xlfn.IFNA(INDEX([1]洞天福地产出!$H:$H,MATCH(B1751,[1]洞天福地产出!$K:$K,0)),"")</f>
        <v/>
      </c>
      <c r="L1751" s="1" t="str">
        <f t="shared" si="140"/>
        <v/>
      </c>
      <c r="M1751" s="4">
        <f t="shared" si="141"/>
        <v>0</v>
      </c>
    </row>
    <row r="1752" ht="30" spans="1:13">
      <c r="A1752" s="4"/>
      <c r="B1752" t="str">
        <f t="shared" si="137"/>
        <v>8:23000001</v>
      </c>
      <c r="C1752" s="4">
        <v>8</v>
      </c>
      <c r="D1752" s="4">
        <v>23000001</v>
      </c>
      <c r="E1752" s="3" t="s">
        <v>1997</v>
      </c>
      <c r="F1752" s="3"/>
      <c r="G1752" s="1">
        <v>573.639344262295</v>
      </c>
      <c r="H1752" s="1">
        <f t="shared" si="138"/>
        <v>573.639344262295</v>
      </c>
      <c r="I1752" s="1" t="str">
        <f t="shared" si="139"/>
        <v/>
      </c>
      <c r="J1752" s="1" t="str">
        <f>_xlfn.IFNA(INDEX([1]历练产出!$Z:$Z,MATCH(B1752,[1]历练产出!$AB:$AB,0)),"")</f>
        <v/>
      </c>
      <c r="K1752" s="1" t="str">
        <f>_xlfn.IFNA(INDEX([1]洞天福地产出!$H:$H,MATCH(B1752,[1]洞天福地产出!$K:$K,0)),"")</f>
        <v/>
      </c>
      <c r="L1752" s="1" t="str">
        <f t="shared" si="140"/>
        <v/>
      </c>
      <c r="M1752" s="4">
        <f t="shared" si="141"/>
        <v>0</v>
      </c>
    </row>
    <row r="1753" ht="30" spans="1:13">
      <c r="A1753" s="4"/>
      <c r="B1753" t="str">
        <f t="shared" si="137"/>
        <v>8:23000002</v>
      </c>
      <c r="C1753" s="4">
        <v>8</v>
      </c>
      <c r="D1753" s="4">
        <v>23000002</v>
      </c>
      <c r="E1753" s="3" t="s">
        <v>1998</v>
      </c>
      <c r="F1753" s="3"/>
      <c r="G1753" s="1">
        <v>42.4918032786885</v>
      </c>
      <c r="H1753" s="1">
        <f t="shared" si="138"/>
        <v>42.4918032786885</v>
      </c>
      <c r="I1753" s="1" t="str">
        <f t="shared" si="139"/>
        <v/>
      </c>
      <c r="J1753" s="1" t="str">
        <f>_xlfn.IFNA(INDEX([1]历练产出!$Z:$Z,MATCH(B1753,[1]历练产出!$AB:$AB,0)),"")</f>
        <v/>
      </c>
      <c r="K1753" s="1" t="str">
        <f>_xlfn.IFNA(INDEX([1]洞天福地产出!$H:$H,MATCH(B1753,[1]洞天福地产出!$K:$K,0)),"")</f>
        <v/>
      </c>
      <c r="L1753" s="1" t="str">
        <f t="shared" si="140"/>
        <v/>
      </c>
      <c r="M1753" s="4">
        <f t="shared" si="141"/>
        <v>0</v>
      </c>
    </row>
    <row r="1754" ht="30" spans="1:13">
      <c r="A1754" s="4"/>
      <c r="B1754" t="str">
        <f t="shared" si="137"/>
        <v>8:23000003</v>
      </c>
      <c r="C1754" s="4">
        <v>8</v>
      </c>
      <c r="D1754" s="4">
        <v>23000003</v>
      </c>
      <c r="E1754" s="3" t="s">
        <v>1999</v>
      </c>
      <c r="F1754" s="3"/>
      <c r="G1754" s="1">
        <v>21.2459016393443</v>
      </c>
      <c r="H1754" s="1">
        <f t="shared" si="138"/>
        <v>21.2459016393443</v>
      </c>
      <c r="I1754" s="1" t="str">
        <f t="shared" si="139"/>
        <v/>
      </c>
      <c r="J1754" s="1" t="str">
        <f>_xlfn.IFNA(INDEX([1]历练产出!$Z:$Z,MATCH(B1754,[1]历练产出!$AB:$AB,0)),"")</f>
        <v/>
      </c>
      <c r="K1754" s="1" t="str">
        <f>_xlfn.IFNA(INDEX([1]洞天福地产出!$H:$H,MATCH(B1754,[1]洞天福地产出!$K:$K,0)),"")</f>
        <v/>
      </c>
      <c r="L1754" s="1" t="str">
        <f t="shared" si="140"/>
        <v/>
      </c>
      <c r="M1754" s="4">
        <f t="shared" si="141"/>
        <v>0</v>
      </c>
    </row>
    <row r="1755" ht="30" spans="1:13">
      <c r="A1755" s="4"/>
      <c r="B1755" t="str">
        <f t="shared" si="137"/>
        <v>8:23000004</v>
      </c>
      <c r="C1755" s="4">
        <v>8</v>
      </c>
      <c r="D1755" s="4">
        <v>23000004</v>
      </c>
      <c r="E1755" s="3" t="s">
        <v>2000</v>
      </c>
      <c r="F1755" s="3"/>
      <c r="G1755" s="1">
        <v>10.6229508196721</v>
      </c>
      <c r="H1755" s="1">
        <f t="shared" si="138"/>
        <v>10.6229508196721</v>
      </c>
      <c r="I1755" s="1" t="str">
        <f t="shared" si="139"/>
        <v/>
      </c>
      <c r="J1755" s="1" t="str">
        <f>_xlfn.IFNA(INDEX([1]历练产出!$Z:$Z,MATCH(B1755,[1]历练产出!$AB:$AB,0)),"")</f>
        <v/>
      </c>
      <c r="K1755" s="1" t="str">
        <f>_xlfn.IFNA(INDEX([1]洞天福地产出!$H:$H,MATCH(B1755,[1]洞天福地产出!$K:$K,0)),"")</f>
        <v/>
      </c>
      <c r="L1755" s="1" t="str">
        <f t="shared" si="140"/>
        <v/>
      </c>
      <c r="M1755" s="4">
        <f t="shared" si="141"/>
        <v>0</v>
      </c>
    </row>
    <row r="1756" ht="14.25" customHeight="1" spans="1:13">
      <c r="A1756" s="4"/>
      <c r="B1756" t="str">
        <f t="shared" si="137"/>
        <v>8:24000001</v>
      </c>
      <c r="C1756" s="4">
        <v>8</v>
      </c>
      <c r="D1756" s="4">
        <v>24000001</v>
      </c>
      <c r="E1756" s="3" t="s">
        <v>2001</v>
      </c>
      <c r="F1756" s="3"/>
      <c r="G1756" s="1">
        <v>573.639344262295</v>
      </c>
      <c r="H1756" s="1">
        <f t="shared" si="138"/>
        <v>573.639344262295</v>
      </c>
      <c r="I1756" s="1" t="str">
        <f t="shared" si="139"/>
        <v/>
      </c>
      <c r="J1756" s="1" t="str">
        <f>_xlfn.IFNA(INDEX([1]历练产出!$Z:$Z,MATCH(B1756,[1]历练产出!$AB:$AB,0)),"")</f>
        <v/>
      </c>
      <c r="K1756" s="1" t="str">
        <f>_xlfn.IFNA(INDEX([1]洞天福地产出!$H:$H,MATCH(B1756,[1]洞天福地产出!$K:$K,0)),"")</f>
        <v/>
      </c>
      <c r="L1756" s="1" t="str">
        <f t="shared" si="140"/>
        <v/>
      </c>
      <c r="M1756" s="4">
        <f t="shared" si="141"/>
        <v>0</v>
      </c>
    </row>
    <row r="1757" ht="14.25" customHeight="1" spans="1:13">
      <c r="A1757" s="4"/>
      <c r="B1757" t="str">
        <f t="shared" si="137"/>
        <v>8:24000002</v>
      </c>
      <c r="C1757" s="4">
        <v>8</v>
      </c>
      <c r="D1757" s="4">
        <v>24000002</v>
      </c>
      <c r="E1757" s="3" t="s">
        <v>2002</v>
      </c>
      <c r="F1757" s="3"/>
      <c r="G1757" s="1">
        <v>42.4918032786885</v>
      </c>
      <c r="H1757" s="1">
        <f t="shared" si="138"/>
        <v>42.4918032786885</v>
      </c>
      <c r="I1757" s="1" t="str">
        <f t="shared" si="139"/>
        <v/>
      </c>
      <c r="J1757" s="1" t="str">
        <f>_xlfn.IFNA(INDEX([1]历练产出!$Z:$Z,MATCH(B1757,[1]历练产出!$AB:$AB,0)),"")</f>
        <v/>
      </c>
      <c r="K1757" s="1" t="str">
        <f>_xlfn.IFNA(INDEX([1]洞天福地产出!$H:$H,MATCH(B1757,[1]洞天福地产出!$K:$K,0)),"")</f>
        <v/>
      </c>
      <c r="L1757" s="1" t="str">
        <f t="shared" si="140"/>
        <v/>
      </c>
      <c r="M1757" s="4">
        <f t="shared" si="141"/>
        <v>0</v>
      </c>
    </row>
    <row r="1758" ht="14.25" customHeight="1" spans="1:13">
      <c r="A1758" s="4"/>
      <c r="B1758" t="str">
        <f t="shared" si="137"/>
        <v>8:24000003</v>
      </c>
      <c r="C1758" s="4">
        <v>8</v>
      </c>
      <c r="D1758" s="4">
        <v>24000003</v>
      </c>
      <c r="E1758" s="3" t="s">
        <v>2003</v>
      </c>
      <c r="F1758" s="3"/>
      <c r="G1758" s="1">
        <v>21.2459016393443</v>
      </c>
      <c r="H1758" s="1">
        <f t="shared" si="138"/>
        <v>21.2459016393443</v>
      </c>
      <c r="I1758" s="1" t="str">
        <f t="shared" si="139"/>
        <v/>
      </c>
      <c r="J1758" s="1" t="str">
        <f>_xlfn.IFNA(INDEX([1]历练产出!$Z:$Z,MATCH(B1758,[1]历练产出!$AB:$AB,0)),"")</f>
        <v/>
      </c>
      <c r="K1758" s="1" t="str">
        <f>_xlfn.IFNA(INDEX([1]洞天福地产出!$H:$H,MATCH(B1758,[1]洞天福地产出!$K:$K,0)),"")</f>
        <v/>
      </c>
      <c r="L1758" s="1" t="str">
        <f t="shared" si="140"/>
        <v/>
      </c>
      <c r="M1758" s="4">
        <f t="shared" si="141"/>
        <v>0</v>
      </c>
    </row>
    <row r="1759" ht="14.25" customHeight="1" spans="1:13">
      <c r="A1759" s="4"/>
      <c r="B1759" t="str">
        <f t="shared" si="137"/>
        <v>8:24000004</v>
      </c>
      <c r="C1759" s="4">
        <v>8</v>
      </c>
      <c r="D1759" s="4">
        <v>24000004</v>
      </c>
      <c r="E1759" s="3" t="s">
        <v>2004</v>
      </c>
      <c r="F1759" s="3"/>
      <c r="G1759" s="1">
        <v>10.6229508196721</v>
      </c>
      <c r="H1759" s="1">
        <f t="shared" si="138"/>
        <v>10.6229508196721</v>
      </c>
      <c r="I1759" s="1" t="str">
        <f t="shared" si="139"/>
        <v/>
      </c>
      <c r="J1759" s="1" t="str">
        <f>_xlfn.IFNA(INDEX([1]历练产出!$Z:$Z,MATCH(B1759,[1]历练产出!$AB:$AB,0)),"")</f>
        <v/>
      </c>
      <c r="K1759" s="1" t="str">
        <f>_xlfn.IFNA(INDEX([1]洞天福地产出!$H:$H,MATCH(B1759,[1]洞天福地产出!$K:$K,0)),"")</f>
        <v/>
      </c>
      <c r="L1759" s="1" t="str">
        <f t="shared" si="140"/>
        <v/>
      </c>
      <c r="M1759" s="4">
        <f t="shared" si="141"/>
        <v>0</v>
      </c>
    </row>
    <row r="1760" ht="28.5" customHeight="1" spans="1:13">
      <c r="A1760" s="4"/>
      <c r="B1760" t="str">
        <f t="shared" si="137"/>
        <v>8:25000001</v>
      </c>
      <c r="C1760" s="4">
        <v>8</v>
      </c>
      <c r="D1760" s="4">
        <v>25000001</v>
      </c>
      <c r="E1760" s="3" t="s">
        <v>2005</v>
      </c>
      <c r="F1760" s="3"/>
      <c r="G1760" s="1">
        <v>573.639344262295</v>
      </c>
      <c r="H1760" s="1">
        <f t="shared" si="138"/>
        <v>573.639344262295</v>
      </c>
      <c r="I1760" s="1" t="str">
        <f t="shared" si="139"/>
        <v/>
      </c>
      <c r="J1760" s="1" t="str">
        <f>_xlfn.IFNA(INDEX([1]历练产出!$Z:$Z,MATCH(B1760,[1]历练产出!$AB:$AB,0)),"")</f>
        <v/>
      </c>
      <c r="K1760" s="1" t="str">
        <f>_xlfn.IFNA(INDEX([1]洞天福地产出!$H:$H,MATCH(B1760,[1]洞天福地产出!$K:$K,0)),"")</f>
        <v/>
      </c>
      <c r="L1760" s="1" t="str">
        <f t="shared" si="140"/>
        <v/>
      </c>
      <c r="M1760" s="4">
        <f t="shared" si="141"/>
        <v>0</v>
      </c>
    </row>
    <row r="1761" ht="14.25" customHeight="1" spans="1:13">
      <c r="A1761" s="4"/>
      <c r="B1761" t="str">
        <f t="shared" si="137"/>
        <v>8:25000002</v>
      </c>
      <c r="C1761" s="4">
        <v>8</v>
      </c>
      <c r="D1761" s="4">
        <v>25000002</v>
      </c>
      <c r="E1761" s="3" t="s">
        <v>2006</v>
      </c>
      <c r="F1761" s="3"/>
      <c r="G1761" s="1">
        <v>42.4918032786885</v>
      </c>
      <c r="H1761" s="1">
        <f t="shared" si="138"/>
        <v>42.4918032786885</v>
      </c>
      <c r="I1761" s="1" t="str">
        <f t="shared" si="139"/>
        <v/>
      </c>
      <c r="J1761" s="1" t="str">
        <f>_xlfn.IFNA(INDEX([1]历练产出!$Z:$Z,MATCH(B1761,[1]历练产出!$AB:$AB,0)),"")</f>
        <v/>
      </c>
      <c r="K1761" s="1" t="str">
        <f>_xlfn.IFNA(INDEX([1]洞天福地产出!$H:$H,MATCH(B1761,[1]洞天福地产出!$K:$K,0)),"")</f>
        <v/>
      </c>
      <c r="L1761" s="1" t="str">
        <f t="shared" si="140"/>
        <v/>
      </c>
      <c r="M1761" s="4">
        <f t="shared" si="141"/>
        <v>0</v>
      </c>
    </row>
    <row r="1762" ht="28.5" customHeight="1" spans="1:13">
      <c r="A1762" s="4"/>
      <c r="B1762" t="str">
        <f t="shared" si="137"/>
        <v>8:25000003</v>
      </c>
      <c r="C1762" s="4">
        <v>8</v>
      </c>
      <c r="D1762" s="4">
        <v>25000003</v>
      </c>
      <c r="E1762" s="3" t="s">
        <v>2007</v>
      </c>
      <c r="F1762" s="3"/>
      <c r="G1762" s="1">
        <v>21.2459016393443</v>
      </c>
      <c r="H1762" s="1">
        <f t="shared" si="138"/>
        <v>21.2459016393443</v>
      </c>
      <c r="I1762" s="1" t="str">
        <f t="shared" si="139"/>
        <v/>
      </c>
      <c r="J1762" s="1" t="str">
        <f>_xlfn.IFNA(INDEX([1]历练产出!$Z:$Z,MATCH(B1762,[1]历练产出!$AB:$AB,0)),"")</f>
        <v/>
      </c>
      <c r="K1762" s="1" t="str">
        <f>_xlfn.IFNA(INDEX([1]洞天福地产出!$H:$H,MATCH(B1762,[1]洞天福地产出!$K:$K,0)),"")</f>
        <v/>
      </c>
      <c r="L1762" s="1" t="str">
        <f t="shared" si="140"/>
        <v/>
      </c>
      <c r="M1762" s="4">
        <f t="shared" si="141"/>
        <v>0</v>
      </c>
    </row>
    <row r="1763" ht="28.5" customHeight="1" spans="1:13">
      <c r="A1763" s="4"/>
      <c r="B1763" t="str">
        <f t="shared" si="137"/>
        <v>8:25000004</v>
      </c>
      <c r="C1763" s="4">
        <v>8</v>
      </c>
      <c r="D1763" s="4">
        <v>25000004</v>
      </c>
      <c r="E1763" s="3" t="s">
        <v>2008</v>
      </c>
      <c r="F1763" s="3"/>
      <c r="G1763" s="1">
        <v>10.6229508196721</v>
      </c>
      <c r="H1763" s="1">
        <f t="shared" si="138"/>
        <v>10.6229508196721</v>
      </c>
      <c r="I1763" s="1" t="str">
        <f t="shared" si="139"/>
        <v/>
      </c>
      <c r="J1763" s="1" t="str">
        <f>_xlfn.IFNA(INDEX([1]历练产出!$Z:$Z,MATCH(B1763,[1]历练产出!$AB:$AB,0)),"")</f>
        <v/>
      </c>
      <c r="K1763" s="1" t="str">
        <f>_xlfn.IFNA(INDEX([1]洞天福地产出!$H:$H,MATCH(B1763,[1]洞天福地产出!$K:$K,0)),"")</f>
        <v/>
      </c>
      <c r="L1763" s="1" t="str">
        <f t="shared" si="140"/>
        <v/>
      </c>
      <c r="M1763" s="4">
        <f t="shared" si="141"/>
        <v>0</v>
      </c>
    </row>
    <row r="1764" ht="28.5" customHeight="1" spans="1:13">
      <c r="A1764" s="4"/>
      <c r="B1764" t="str">
        <f t="shared" si="137"/>
        <v>8:26000001</v>
      </c>
      <c r="C1764" s="4">
        <v>8</v>
      </c>
      <c r="D1764" s="4">
        <v>26000001</v>
      </c>
      <c r="E1764" s="3" t="s">
        <v>755</v>
      </c>
      <c r="F1764" s="3"/>
      <c r="G1764" s="1">
        <v>573.639344262295</v>
      </c>
      <c r="H1764" s="1">
        <f t="shared" si="138"/>
        <v>573.639344262295</v>
      </c>
      <c r="I1764" s="1" t="str">
        <f t="shared" si="139"/>
        <v/>
      </c>
      <c r="J1764" s="1" t="str">
        <f>_xlfn.IFNA(INDEX([1]历练产出!$Z:$Z,MATCH(B1764,[1]历练产出!$AB:$AB,0)),"")</f>
        <v/>
      </c>
      <c r="K1764" s="1" t="str">
        <f>_xlfn.IFNA(INDEX([1]洞天福地产出!$H:$H,MATCH(B1764,[1]洞天福地产出!$K:$K,0)),"")</f>
        <v/>
      </c>
      <c r="L1764" s="1" t="str">
        <f t="shared" si="140"/>
        <v/>
      </c>
      <c r="M1764" s="4">
        <f t="shared" si="141"/>
        <v>0</v>
      </c>
    </row>
    <row r="1765" ht="14.25" customHeight="1" spans="1:13">
      <c r="A1765" s="4"/>
      <c r="B1765" t="str">
        <f t="shared" si="137"/>
        <v>8:26000002</v>
      </c>
      <c r="C1765" s="4">
        <v>8</v>
      </c>
      <c r="D1765" s="4">
        <v>26000002</v>
      </c>
      <c r="E1765" s="3" t="s">
        <v>757</v>
      </c>
      <c r="F1765" s="3"/>
      <c r="G1765" s="1">
        <v>42.4918032786885</v>
      </c>
      <c r="H1765" s="1">
        <f t="shared" si="138"/>
        <v>42.4918032786885</v>
      </c>
      <c r="I1765" s="1" t="str">
        <f t="shared" si="139"/>
        <v/>
      </c>
      <c r="J1765" s="1" t="str">
        <f>_xlfn.IFNA(INDEX([1]历练产出!$Z:$Z,MATCH(B1765,[1]历练产出!$AB:$AB,0)),"")</f>
        <v/>
      </c>
      <c r="K1765" s="1" t="str">
        <f>_xlfn.IFNA(INDEX([1]洞天福地产出!$H:$H,MATCH(B1765,[1]洞天福地产出!$K:$K,0)),"")</f>
        <v/>
      </c>
      <c r="L1765" s="1" t="str">
        <f t="shared" si="140"/>
        <v/>
      </c>
      <c r="M1765" s="4">
        <f t="shared" si="141"/>
        <v>0</v>
      </c>
    </row>
    <row r="1766" ht="28.5" customHeight="1" spans="1:13">
      <c r="A1766" s="4"/>
      <c r="B1766" t="str">
        <f t="shared" si="137"/>
        <v>8:26000003</v>
      </c>
      <c r="C1766" s="4">
        <v>8</v>
      </c>
      <c r="D1766" s="4">
        <v>26000003</v>
      </c>
      <c r="E1766" s="3" t="s">
        <v>759</v>
      </c>
      <c r="F1766" s="3"/>
      <c r="G1766" s="1">
        <v>21.2459016393443</v>
      </c>
      <c r="H1766" s="1">
        <f t="shared" si="138"/>
        <v>21.2459016393443</v>
      </c>
      <c r="I1766" s="1" t="str">
        <f t="shared" si="139"/>
        <v/>
      </c>
      <c r="J1766" s="1" t="str">
        <f>_xlfn.IFNA(INDEX([1]历练产出!$Z:$Z,MATCH(B1766,[1]历练产出!$AB:$AB,0)),"")</f>
        <v/>
      </c>
      <c r="K1766" s="1" t="str">
        <f>_xlfn.IFNA(INDEX([1]洞天福地产出!$H:$H,MATCH(B1766,[1]洞天福地产出!$K:$K,0)),"")</f>
        <v/>
      </c>
      <c r="L1766" s="1" t="str">
        <f t="shared" si="140"/>
        <v/>
      </c>
      <c r="M1766" s="4">
        <f t="shared" si="141"/>
        <v>0</v>
      </c>
    </row>
    <row r="1767" ht="28.5" customHeight="1" spans="1:13">
      <c r="A1767" s="4"/>
      <c r="B1767" t="str">
        <f t="shared" si="137"/>
        <v>8:26000004</v>
      </c>
      <c r="C1767" s="4">
        <v>8</v>
      </c>
      <c r="D1767" s="4">
        <v>26000004</v>
      </c>
      <c r="E1767" s="3" t="s">
        <v>761</v>
      </c>
      <c r="F1767" s="3"/>
      <c r="G1767" s="1">
        <v>10.6229508196721</v>
      </c>
      <c r="H1767" s="1">
        <f t="shared" si="138"/>
        <v>10.6229508196721</v>
      </c>
      <c r="I1767" s="1" t="str">
        <f t="shared" si="139"/>
        <v/>
      </c>
      <c r="J1767" s="1" t="str">
        <f>_xlfn.IFNA(INDEX([1]历练产出!$Z:$Z,MATCH(B1767,[1]历练产出!$AB:$AB,0)),"")</f>
        <v/>
      </c>
      <c r="K1767" s="1" t="str">
        <f>_xlfn.IFNA(INDEX([1]洞天福地产出!$H:$H,MATCH(B1767,[1]洞天福地产出!$K:$K,0)),"")</f>
        <v/>
      </c>
      <c r="L1767" s="1" t="str">
        <f t="shared" si="140"/>
        <v/>
      </c>
      <c r="M1767" s="4">
        <f t="shared" si="141"/>
        <v>0</v>
      </c>
    </row>
    <row r="1768" ht="30" spans="1:13">
      <c r="A1768" s="4"/>
      <c r="B1768" t="str">
        <f t="shared" ref="B1768:B1827" si="142">C1768&amp;":"&amp;D1768</f>
        <v>8:27000001</v>
      </c>
      <c r="C1768" s="4">
        <v>8</v>
      </c>
      <c r="D1768" s="4">
        <v>27000001</v>
      </c>
      <c r="E1768" s="3" t="s">
        <v>2009</v>
      </c>
      <c r="F1768" s="3"/>
      <c r="G1768" s="1">
        <v>573.639344262295</v>
      </c>
      <c r="H1768" s="1">
        <f t="shared" si="138"/>
        <v>573.639344262295</v>
      </c>
      <c r="I1768" s="1" t="str">
        <f t="shared" si="139"/>
        <v/>
      </c>
      <c r="J1768" s="1" t="str">
        <f>_xlfn.IFNA(INDEX([1]历练产出!$Z:$Z,MATCH(B1768,[1]历练产出!$AB:$AB,0)),"")</f>
        <v/>
      </c>
      <c r="K1768" s="1" t="str">
        <f>_xlfn.IFNA(INDEX([1]洞天福地产出!$H:$H,MATCH(B1768,[1]洞天福地产出!$K:$K,0)),"")</f>
        <v/>
      </c>
      <c r="L1768" s="1" t="str">
        <f t="shared" si="140"/>
        <v/>
      </c>
      <c r="M1768" s="4">
        <f t="shared" si="141"/>
        <v>0</v>
      </c>
    </row>
    <row r="1769" ht="30" spans="1:13">
      <c r="A1769" s="4"/>
      <c r="B1769" t="str">
        <f t="shared" si="142"/>
        <v>8:27000002</v>
      </c>
      <c r="C1769" s="4">
        <v>8</v>
      </c>
      <c r="D1769" s="4">
        <v>27000002</v>
      </c>
      <c r="E1769" s="3" t="s">
        <v>2010</v>
      </c>
      <c r="F1769" s="3"/>
      <c r="G1769" s="1">
        <v>42.4918032786885</v>
      </c>
      <c r="H1769" s="1">
        <f t="shared" si="138"/>
        <v>42.4918032786885</v>
      </c>
      <c r="I1769" s="1" t="str">
        <f t="shared" si="139"/>
        <v/>
      </c>
      <c r="J1769" s="1" t="str">
        <f>_xlfn.IFNA(INDEX([1]历练产出!$Z:$Z,MATCH(B1769,[1]历练产出!$AB:$AB,0)),"")</f>
        <v/>
      </c>
      <c r="K1769" s="1" t="str">
        <f>_xlfn.IFNA(INDEX([1]洞天福地产出!$H:$H,MATCH(B1769,[1]洞天福地产出!$K:$K,0)),"")</f>
        <v/>
      </c>
      <c r="L1769" s="1" t="str">
        <f t="shared" si="140"/>
        <v/>
      </c>
      <c r="M1769" s="4">
        <f t="shared" si="141"/>
        <v>0</v>
      </c>
    </row>
    <row r="1770" ht="30" spans="1:13">
      <c r="A1770" s="4"/>
      <c r="B1770" t="str">
        <f t="shared" si="142"/>
        <v>8:27000003</v>
      </c>
      <c r="C1770" s="4">
        <v>8</v>
      </c>
      <c r="D1770" s="4">
        <v>27000003</v>
      </c>
      <c r="E1770" s="3" t="s">
        <v>2011</v>
      </c>
      <c r="F1770" s="3"/>
      <c r="G1770" s="1">
        <v>21.2459016393443</v>
      </c>
      <c r="H1770" s="1">
        <f t="shared" si="138"/>
        <v>21.2459016393443</v>
      </c>
      <c r="I1770" s="1" t="str">
        <f t="shared" si="139"/>
        <v/>
      </c>
      <c r="J1770" s="1" t="str">
        <f>_xlfn.IFNA(INDEX([1]历练产出!$Z:$Z,MATCH(B1770,[1]历练产出!$AB:$AB,0)),"")</f>
        <v/>
      </c>
      <c r="K1770" s="1" t="str">
        <f>_xlfn.IFNA(INDEX([1]洞天福地产出!$H:$H,MATCH(B1770,[1]洞天福地产出!$K:$K,0)),"")</f>
        <v/>
      </c>
      <c r="L1770" s="1" t="str">
        <f t="shared" si="140"/>
        <v/>
      </c>
      <c r="M1770" s="4">
        <f t="shared" si="141"/>
        <v>0</v>
      </c>
    </row>
    <row r="1771" ht="30" spans="1:13">
      <c r="A1771" s="4"/>
      <c r="B1771" t="str">
        <f t="shared" si="142"/>
        <v>8:27000004</v>
      </c>
      <c r="C1771" s="4">
        <v>8</v>
      </c>
      <c r="D1771" s="4">
        <v>27000004</v>
      </c>
      <c r="E1771" s="3" t="s">
        <v>2012</v>
      </c>
      <c r="F1771" s="3"/>
      <c r="G1771" s="1">
        <v>10.6229508196721</v>
      </c>
      <c r="H1771" s="1">
        <f t="shared" si="138"/>
        <v>10.6229508196721</v>
      </c>
      <c r="I1771" s="1" t="str">
        <f t="shared" si="139"/>
        <v/>
      </c>
      <c r="J1771" s="1" t="str">
        <f>_xlfn.IFNA(INDEX([1]历练产出!$Z:$Z,MATCH(B1771,[1]历练产出!$AB:$AB,0)),"")</f>
        <v/>
      </c>
      <c r="K1771" s="1" t="str">
        <f>_xlfn.IFNA(INDEX([1]洞天福地产出!$H:$H,MATCH(B1771,[1]洞天福地产出!$K:$K,0)),"")</f>
        <v/>
      </c>
      <c r="L1771" s="1" t="str">
        <f t="shared" si="140"/>
        <v/>
      </c>
      <c r="M1771" s="4">
        <f t="shared" si="141"/>
        <v>0</v>
      </c>
    </row>
    <row r="1772" ht="30" spans="1:13">
      <c r="A1772" s="4"/>
      <c r="B1772" t="str">
        <f t="shared" si="142"/>
        <v>8:28000001</v>
      </c>
      <c r="C1772" s="4">
        <v>8</v>
      </c>
      <c r="D1772" s="4">
        <v>28000001</v>
      </c>
      <c r="E1772" s="3" t="s">
        <v>2013</v>
      </c>
      <c r="F1772" s="3"/>
      <c r="G1772" s="1">
        <v>573.639344262295</v>
      </c>
      <c r="H1772" s="1">
        <f t="shared" si="138"/>
        <v>573.639344262295</v>
      </c>
      <c r="I1772" s="1" t="str">
        <f t="shared" si="139"/>
        <v/>
      </c>
      <c r="J1772" s="1" t="str">
        <f>_xlfn.IFNA(INDEX([1]历练产出!$Z:$Z,MATCH(B1772,[1]历练产出!$AB:$AB,0)),"")</f>
        <v/>
      </c>
      <c r="K1772" s="1" t="str">
        <f>_xlfn.IFNA(INDEX([1]洞天福地产出!$H:$H,MATCH(B1772,[1]洞天福地产出!$K:$K,0)),"")</f>
        <v/>
      </c>
      <c r="L1772" s="1" t="str">
        <f t="shared" si="140"/>
        <v/>
      </c>
      <c r="M1772" s="4">
        <f t="shared" si="141"/>
        <v>0</v>
      </c>
    </row>
    <row r="1773" ht="30" spans="1:13">
      <c r="A1773" s="4"/>
      <c r="B1773" t="str">
        <f t="shared" si="142"/>
        <v>8:28000002</v>
      </c>
      <c r="C1773" s="4">
        <v>8</v>
      </c>
      <c r="D1773" s="4">
        <v>28000002</v>
      </c>
      <c r="E1773" s="3" t="s">
        <v>2014</v>
      </c>
      <c r="F1773" s="3"/>
      <c r="G1773" s="1">
        <v>42.4918032786885</v>
      </c>
      <c r="H1773" s="1">
        <f t="shared" si="138"/>
        <v>42.4918032786885</v>
      </c>
      <c r="I1773" s="1" t="str">
        <f t="shared" si="139"/>
        <v/>
      </c>
      <c r="J1773" s="1" t="str">
        <f>_xlfn.IFNA(INDEX([1]历练产出!$Z:$Z,MATCH(B1773,[1]历练产出!$AB:$AB,0)),"")</f>
        <v/>
      </c>
      <c r="K1773" s="1" t="str">
        <f>_xlfn.IFNA(INDEX([1]洞天福地产出!$H:$H,MATCH(B1773,[1]洞天福地产出!$K:$K,0)),"")</f>
        <v/>
      </c>
      <c r="L1773" s="1" t="str">
        <f t="shared" si="140"/>
        <v/>
      </c>
      <c r="M1773" s="4">
        <f t="shared" si="141"/>
        <v>0</v>
      </c>
    </row>
    <row r="1774" ht="45" spans="1:13">
      <c r="A1774" s="4"/>
      <c r="B1774" t="str">
        <f t="shared" si="142"/>
        <v>8:28000003</v>
      </c>
      <c r="C1774" s="4">
        <v>8</v>
      </c>
      <c r="D1774" s="4">
        <v>28000003</v>
      </c>
      <c r="E1774" s="3" t="s">
        <v>2015</v>
      </c>
      <c r="F1774" s="3"/>
      <c r="G1774" s="1">
        <v>21.2459016393443</v>
      </c>
      <c r="H1774" s="1">
        <f t="shared" si="138"/>
        <v>21.2459016393443</v>
      </c>
      <c r="I1774" s="1" t="str">
        <f t="shared" si="139"/>
        <v/>
      </c>
      <c r="J1774" s="1" t="str">
        <f>_xlfn.IFNA(INDEX([1]历练产出!$Z:$Z,MATCH(B1774,[1]历练产出!$AB:$AB,0)),"")</f>
        <v/>
      </c>
      <c r="K1774" s="1" t="str">
        <f>_xlfn.IFNA(INDEX([1]洞天福地产出!$H:$H,MATCH(B1774,[1]洞天福地产出!$K:$K,0)),"")</f>
        <v/>
      </c>
      <c r="L1774" s="1" t="str">
        <f t="shared" si="140"/>
        <v/>
      </c>
      <c r="M1774" s="4">
        <f t="shared" si="141"/>
        <v>0</v>
      </c>
    </row>
    <row r="1775" ht="45" spans="1:13">
      <c r="A1775" s="4"/>
      <c r="B1775" t="str">
        <f t="shared" si="142"/>
        <v>8:28000004</v>
      </c>
      <c r="C1775" s="4">
        <v>8</v>
      </c>
      <c r="D1775" s="4">
        <v>28000004</v>
      </c>
      <c r="E1775" s="3" t="s">
        <v>2016</v>
      </c>
      <c r="F1775" s="3"/>
      <c r="G1775" s="1">
        <v>10.6229508196721</v>
      </c>
      <c r="H1775" s="1">
        <f t="shared" si="138"/>
        <v>10.6229508196721</v>
      </c>
      <c r="I1775" s="1" t="str">
        <f t="shared" si="139"/>
        <v/>
      </c>
      <c r="J1775" s="1" t="str">
        <f>_xlfn.IFNA(INDEX([1]历练产出!$Z:$Z,MATCH(B1775,[1]历练产出!$AB:$AB,0)),"")</f>
        <v/>
      </c>
      <c r="K1775" s="1" t="str">
        <f>_xlfn.IFNA(INDEX([1]洞天福地产出!$H:$H,MATCH(B1775,[1]洞天福地产出!$K:$K,0)),"")</f>
        <v/>
      </c>
      <c r="L1775" s="1" t="str">
        <f t="shared" si="140"/>
        <v/>
      </c>
      <c r="M1775" s="4">
        <f t="shared" si="141"/>
        <v>0</v>
      </c>
    </row>
    <row r="1776" ht="28.5" customHeight="1" spans="1:13">
      <c r="A1776" s="4"/>
      <c r="B1776" t="str">
        <f t="shared" si="142"/>
        <v>8:29000001</v>
      </c>
      <c r="C1776" s="4">
        <v>8</v>
      </c>
      <c r="D1776" s="4">
        <v>29000001</v>
      </c>
      <c r="E1776" s="3" t="s">
        <v>2017</v>
      </c>
      <c r="F1776" s="3"/>
      <c r="G1776" s="1">
        <v>573.639344262295</v>
      </c>
      <c r="H1776" s="1">
        <f t="shared" si="138"/>
        <v>573.639344262295</v>
      </c>
      <c r="I1776" s="1" t="str">
        <f t="shared" si="139"/>
        <v/>
      </c>
      <c r="J1776" s="1" t="str">
        <f>_xlfn.IFNA(INDEX([1]历练产出!$Z:$Z,MATCH(B1776,[1]历练产出!$AB:$AB,0)),"")</f>
        <v/>
      </c>
      <c r="K1776" s="1" t="str">
        <f>_xlfn.IFNA(INDEX([1]洞天福地产出!$H:$H,MATCH(B1776,[1]洞天福地产出!$K:$K,0)),"")</f>
        <v/>
      </c>
      <c r="L1776" s="1" t="str">
        <f t="shared" si="140"/>
        <v/>
      </c>
      <c r="M1776" s="4">
        <f t="shared" si="141"/>
        <v>0</v>
      </c>
    </row>
    <row r="1777" ht="14.25" customHeight="1" spans="1:13">
      <c r="A1777" s="4"/>
      <c r="B1777" t="str">
        <f t="shared" si="142"/>
        <v>8:29000002</v>
      </c>
      <c r="C1777" s="4">
        <v>8</v>
      </c>
      <c r="D1777" s="4">
        <v>29000002</v>
      </c>
      <c r="E1777" s="3" t="s">
        <v>2018</v>
      </c>
      <c r="F1777" s="3"/>
      <c r="G1777" s="1">
        <v>42.4918032786885</v>
      </c>
      <c r="H1777" s="1">
        <f t="shared" si="138"/>
        <v>42.4918032786885</v>
      </c>
      <c r="I1777" s="1" t="str">
        <f t="shared" si="139"/>
        <v/>
      </c>
      <c r="J1777" s="1" t="str">
        <f>_xlfn.IFNA(INDEX([1]历练产出!$Z:$Z,MATCH(B1777,[1]历练产出!$AB:$AB,0)),"")</f>
        <v/>
      </c>
      <c r="K1777" s="1" t="str">
        <f>_xlfn.IFNA(INDEX([1]洞天福地产出!$H:$H,MATCH(B1777,[1]洞天福地产出!$K:$K,0)),"")</f>
        <v/>
      </c>
      <c r="L1777" s="1" t="str">
        <f t="shared" si="140"/>
        <v/>
      </c>
      <c r="M1777" s="4">
        <f t="shared" si="141"/>
        <v>0</v>
      </c>
    </row>
    <row r="1778" ht="28.5" customHeight="1" spans="1:13">
      <c r="A1778" s="4"/>
      <c r="B1778" t="str">
        <f t="shared" si="142"/>
        <v>8:29000003</v>
      </c>
      <c r="C1778" s="4">
        <v>8</v>
      </c>
      <c r="D1778" s="4">
        <v>29000003</v>
      </c>
      <c r="E1778" s="3" t="s">
        <v>2019</v>
      </c>
      <c r="F1778" s="3"/>
      <c r="G1778" s="1">
        <v>21.2459016393443</v>
      </c>
      <c r="H1778" s="1">
        <f t="shared" si="138"/>
        <v>21.2459016393443</v>
      </c>
      <c r="I1778" s="1" t="str">
        <f t="shared" si="139"/>
        <v/>
      </c>
      <c r="J1778" s="1" t="str">
        <f>_xlfn.IFNA(INDEX([1]历练产出!$Z:$Z,MATCH(B1778,[1]历练产出!$AB:$AB,0)),"")</f>
        <v/>
      </c>
      <c r="K1778" s="1" t="str">
        <f>_xlfn.IFNA(INDEX([1]洞天福地产出!$H:$H,MATCH(B1778,[1]洞天福地产出!$K:$K,0)),"")</f>
        <v/>
      </c>
      <c r="L1778" s="1" t="str">
        <f t="shared" si="140"/>
        <v/>
      </c>
      <c r="M1778" s="4">
        <f t="shared" si="141"/>
        <v>0</v>
      </c>
    </row>
    <row r="1779" ht="28.5" customHeight="1" spans="1:13">
      <c r="A1779" s="4"/>
      <c r="B1779" t="str">
        <f t="shared" si="142"/>
        <v>8:29000004</v>
      </c>
      <c r="C1779" s="4">
        <v>8</v>
      </c>
      <c r="D1779" s="4">
        <v>29000004</v>
      </c>
      <c r="E1779" s="3" t="s">
        <v>2020</v>
      </c>
      <c r="F1779" s="3"/>
      <c r="G1779" s="1">
        <v>10.6229508196721</v>
      </c>
      <c r="H1779" s="1">
        <f t="shared" si="138"/>
        <v>10.6229508196721</v>
      </c>
      <c r="I1779" s="1" t="str">
        <f t="shared" si="139"/>
        <v/>
      </c>
      <c r="J1779" s="1" t="str">
        <f>_xlfn.IFNA(INDEX([1]历练产出!$Z:$Z,MATCH(B1779,[1]历练产出!$AB:$AB,0)),"")</f>
        <v/>
      </c>
      <c r="K1779" s="1" t="str">
        <f>_xlfn.IFNA(INDEX([1]洞天福地产出!$H:$H,MATCH(B1779,[1]洞天福地产出!$K:$K,0)),"")</f>
        <v/>
      </c>
      <c r="L1779" s="1" t="str">
        <f t="shared" si="140"/>
        <v/>
      </c>
      <c r="M1779" s="4">
        <f t="shared" si="141"/>
        <v>0</v>
      </c>
    </row>
    <row r="1780" ht="28.5" customHeight="1" spans="1:13">
      <c r="A1780" s="4"/>
      <c r="B1780" t="str">
        <f t="shared" si="142"/>
        <v>8:30000001</v>
      </c>
      <c r="C1780" s="4">
        <v>8</v>
      </c>
      <c r="D1780" s="4">
        <v>30000001</v>
      </c>
      <c r="E1780" s="3" t="s">
        <v>2021</v>
      </c>
      <c r="F1780" s="3"/>
      <c r="G1780" s="1">
        <v>573.639344262295</v>
      </c>
      <c r="H1780" s="1">
        <f t="shared" si="138"/>
        <v>573.639344262295</v>
      </c>
      <c r="I1780" s="1" t="str">
        <f t="shared" si="139"/>
        <v/>
      </c>
      <c r="J1780" s="1" t="str">
        <f>_xlfn.IFNA(INDEX([1]历练产出!$Z:$Z,MATCH(B1780,[1]历练产出!$AB:$AB,0)),"")</f>
        <v/>
      </c>
      <c r="K1780" s="1" t="str">
        <f>_xlfn.IFNA(INDEX([1]洞天福地产出!$H:$H,MATCH(B1780,[1]洞天福地产出!$K:$K,0)),"")</f>
        <v/>
      </c>
      <c r="L1780" s="1" t="str">
        <f t="shared" si="140"/>
        <v/>
      </c>
      <c r="M1780" s="4">
        <f t="shared" si="141"/>
        <v>0</v>
      </c>
    </row>
    <row r="1781" ht="14.25" customHeight="1" spans="1:13">
      <c r="A1781" s="4"/>
      <c r="B1781" t="str">
        <f t="shared" si="142"/>
        <v>8:30000002</v>
      </c>
      <c r="C1781" s="4">
        <v>8</v>
      </c>
      <c r="D1781" s="4">
        <v>30000002</v>
      </c>
      <c r="E1781" s="3" t="s">
        <v>2022</v>
      </c>
      <c r="F1781" s="3"/>
      <c r="G1781" s="1">
        <v>42.4918032786885</v>
      </c>
      <c r="H1781" s="1">
        <f t="shared" si="138"/>
        <v>42.4918032786885</v>
      </c>
      <c r="I1781" s="1" t="str">
        <f t="shared" si="139"/>
        <v/>
      </c>
      <c r="J1781" s="1" t="str">
        <f>_xlfn.IFNA(INDEX([1]历练产出!$Z:$Z,MATCH(B1781,[1]历练产出!$AB:$AB,0)),"")</f>
        <v/>
      </c>
      <c r="K1781" s="1" t="str">
        <f>_xlfn.IFNA(INDEX([1]洞天福地产出!$H:$H,MATCH(B1781,[1]洞天福地产出!$K:$K,0)),"")</f>
        <v/>
      </c>
      <c r="L1781" s="1" t="str">
        <f t="shared" si="140"/>
        <v/>
      </c>
      <c r="M1781" s="4">
        <f t="shared" si="141"/>
        <v>0</v>
      </c>
    </row>
    <row r="1782" ht="28.5" customHeight="1" spans="1:13">
      <c r="A1782" s="4"/>
      <c r="B1782" t="str">
        <f t="shared" si="142"/>
        <v>8:30000003</v>
      </c>
      <c r="C1782" s="4">
        <v>8</v>
      </c>
      <c r="D1782" s="4">
        <v>30000003</v>
      </c>
      <c r="E1782" s="3" t="s">
        <v>2023</v>
      </c>
      <c r="F1782" s="3"/>
      <c r="G1782" s="1">
        <v>21.2459016393443</v>
      </c>
      <c r="H1782" s="1">
        <f t="shared" si="138"/>
        <v>21.2459016393443</v>
      </c>
      <c r="I1782" s="1" t="str">
        <f t="shared" si="139"/>
        <v/>
      </c>
      <c r="J1782" s="1" t="str">
        <f>_xlfn.IFNA(INDEX([1]历练产出!$Z:$Z,MATCH(B1782,[1]历练产出!$AB:$AB,0)),"")</f>
        <v/>
      </c>
      <c r="K1782" s="1" t="str">
        <f>_xlfn.IFNA(INDEX([1]洞天福地产出!$H:$H,MATCH(B1782,[1]洞天福地产出!$K:$K,0)),"")</f>
        <v/>
      </c>
      <c r="L1782" s="1" t="str">
        <f t="shared" si="140"/>
        <v/>
      </c>
      <c r="M1782" s="4">
        <f t="shared" si="141"/>
        <v>0</v>
      </c>
    </row>
    <row r="1783" ht="28.5" customHeight="1" spans="1:13">
      <c r="A1783" s="4"/>
      <c r="B1783" t="str">
        <f t="shared" si="142"/>
        <v>8:30000004</v>
      </c>
      <c r="C1783" s="4">
        <v>8</v>
      </c>
      <c r="D1783" s="4">
        <v>30000004</v>
      </c>
      <c r="E1783" s="3" t="s">
        <v>2024</v>
      </c>
      <c r="F1783" s="3"/>
      <c r="G1783" s="1">
        <v>10.6229508196721</v>
      </c>
      <c r="H1783" s="1">
        <f t="shared" si="138"/>
        <v>10.6229508196721</v>
      </c>
      <c r="I1783" s="1" t="str">
        <f t="shared" si="139"/>
        <v/>
      </c>
      <c r="J1783" s="1" t="str">
        <f>_xlfn.IFNA(INDEX([1]历练产出!$Z:$Z,MATCH(B1783,[1]历练产出!$AB:$AB,0)),"")</f>
        <v/>
      </c>
      <c r="K1783" s="1" t="str">
        <f>_xlfn.IFNA(INDEX([1]洞天福地产出!$H:$H,MATCH(B1783,[1]洞天福地产出!$K:$K,0)),"")</f>
        <v/>
      </c>
      <c r="L1783" s="1" t="str">
        <f t="shared" si="140"/>
        <v/>
      </c>
      <c r="M1783" s="4">
        <f t="shared" si="141"/>
        <v>0</v>
      </c>
    </row>
    <row r="1784" ht="30" spans="1:13">
      <c r="A1784" s="4"/>
      <c r="B1784" t="str">
        <f t="shared" si="142"/>
        <v>8:31000001</v>
      </c>
      <c r="C1784" s="4">
        <v>8</v>
      </c>
      <c r="D1784" s="4">
        <v>31000001</v>
      </c>
      <c r="E1784" s="3" t="s">
        <v>2025</v>
      </c>
      <c r="F1784" s="3"/>
      <c r="G1784" s="1">
        <v>573.639344262295</v>
      </c>
      <c r="H1784" s="1">
        <f t="shared" si="138"/>
        <v>573.639344262295</v>
      </c>
      <c r="I1784" s="1" t="str">
        <f t="shared" si="139"/>
        <v/>
      </c>
      <c r="J1784" s="1" t="str">
        <f>_xlfn.IFNA(INDEX([1]历练产出!$Z:$Z,MATCH(B1784,[1]历练产出!$AB:$AB,0)),"")</f>
        <v/>
      </c>
      <c r="K1784" s="1" t="str">
        <f>_xlfn.IFNA(INDEX([1]洞天福地产出!$H:$H,MATCH(B1784,[1]洞天福地产出!$K:$K,0)),"")</f>
        <v/>
      </c>
      <c r="L1784" s="1" t="str">
        <f t="shared" si="140"/>
        <v/>
      </c>
      <c r="M1784" s="4">
        <f t="shared" si="141"/>
        <v>0</v>
      </c>
    </row>
    <row r="1785" spans="1:13">
      <c r="A1785" s="4"/>
      <c r="B1785" t="str">
        <f t="shared" si="142"/>
        <v>8:31000002</v>
      </c>
      <c r="C1785" s="4">
        <v>8</v>
      </c>
      <c r="D1785" s="4">
        <v>31000002</v>
      </c>
      <c r="E1785" s="3" t="s">
        <v>2026</v>
      </c>
      <c r="F1785" s="3"/>
      <c r="G1785" s="1">
        <v>42.4918032786885</v>
      </c>
      <c r="H1785" s="1">
        <f t="shared" si="138"/>
        <v>42.4918032786885</v>
      </c>
      <c r="I1785" s="1" t="str">
        <f t="shared" si="139"/>
        <v/>
      </c>
      <c r="J1785" s="1" t="str">
        <f>_xlfn.IFNA(INDEX([1]历练产出!$Z:$Z,MATCH(B1785,[1]历练产出!$AB:$AB,0)),"")</f>
        <v/>
      </c>
      <c r="K1785" s="1" t="str">
        <f>_xlfn.IFNA(INDEX([1]洞天福地产出!$H:$H,MATCH(B1785,[1]洞天福地产出!$K:$K,0)),"")</f>
        <v/>
      </c>
      <c r="L1785" s="1" t="str">
        <f t="shared" si="140"/>
        <v/>
      </c>
      <c r="M1785" s="4">
        <f t="shared" si="141"/>
        <v>0</v>
      </c>
    </row>
    <row r="1786" ht="30" spans="1:13">
      <c r="A1786" s="4"/>
      <c r="B1786" t="str">
        <f t="shared" si="142"/>
        <v>8:31000003</v>
      </c>
      <c r="C1786" s="4">
        <v>8</v>
      </c>
      <c r="D1786" s="4">
        <v>31000003</v>
      </c>
      <c r="E1786" s="3" t="s">
        <v>2027</v>
      </c>
      <c r="F1786" s="3"/>
      <c r="G1786" s="1">
        <v>21.2459016393443</v>
      </c>
      <c r="H1786" s="1">
        <f t="shared" si="138"/>
        <v>21.2459016393443</v>
      </c>
      <c r="I1786" s="1" t="str">
        <f t="shared" si="139"/>
        <v/>
      </c>
      <c r="J1786" s="1" t="str">
        <f>_xlfn.IFNA(INDEX([1]历练产出!$Z:$Z,MATCH(B1786,[1]历练产出!$AB:$AB,0)),"")</f>
        <v/>
      </c>
      <c r="K1786" s="1" t="str">
        <f>_xlfn.IFNA(INDEX([1]洞天福地产出!$H:$H,MATCH(B1786,[1]洞天福地产出!$K:$K,0)),"")</f>
        <v/>
      </c>
      <c r="L1786" s="1" t="str">
        <f t="shared" si="140"/>
        <v/>
      </c>
      <c r="M1786" s="4">
        <f t="shared" si="141"/>
        <v>0</v>
      </c>
    </row>
    <row r="1787" ht="30" spans="1:13">
      <c r="A1787" s="4"/>
      <c r="B1787" t="str">
        <f t="shared" si="142"/>
        <v>8:31000004</v>
      </c>
      <c r="C1787" s="4">
        <v>8</v>
      </c>
      <c r="D1787" s="4">
        <v>31000004</v>
      </c>
      <c r="E1787" s="3" t="s">
        <v>2028</v>
      </c>
      <c r="F1787" s="3"/>
      <c r="G1787" s="1">
        <v>10.6229508196721</v>
      </c>
      <c r="H1787" s="1">
        <f t="shared" si="138"/>
        <v>10.6229508196721</v>
      </c>
      <c r="I1787" s="1" t="str">
        <f t="shared" si="139"/>
        <v/>
      </c>
      <c r="J1787" s="1" t="str">
        <f>_xlfn.IFNA(INDEX([1]历练产出!$Z:$Z,MATCH(B1787,[1]历练产出!$AB:$AB,0)),"")</f>
        <v/>
      </c>
      <c r="K1787" s="1" t="str">
        <f>_xlfn.IFNA(INDEX([1]洞天福地产出!$H:$H,MATCH(B1787,[1]洞天福地产出!$K:$K,0)),"")</f>
        <v/>
      </c>
      <c r="L1787" s="1" t="str">
        <f t="shared" si="140"/>
        <v/>
      </c>
      <c r="M1787" s="4">
        <f t="shared" si="141"/>
        <v>0</v>
      </c>
    </row>
    <row r="1788" ht="30" spans="1:13">
      <c r="A1788" s="4"/>
      <c r="B1788" t="str">
        <f t="shared" si="142"/>
        <v>8:32000001</v>
      </c>
      <c r="C1788" s="4">
        <v>8</v>
      </c>
      <c r="D1788" s="4">
        <v>32000001</v>
      </c>
      <c r="E1788" s="3" t="s">
        <v>2029</v>
      </c>
      <c r="F1788" s="3"/>
      <c r="G1788" s="1">
        <v>573.639344262295</v>
      </c>
      <c r="H1788" s="1">
        <f t="shared" si="138"/>
        <v>573.639344262295</v>
      </c>
      <c r="I1788" s="1" t="str">
        <f t="shared" si="139"/>
        <v/>
      </c>
      <c r="J1788" s="1" t="str">
        <f>_xlfn.IFNA(INDEX([1]历练产出!$Z:$Z,MATCH(B1788,[1]历练产出!$AB:$AB,0)),"")</f>
        <v/>
      </c>
      <c r="K1788" s="1" t="str">
        <f>_xlfn.IFNA(INDEX([1]洞天福地产出!$H:$H,MATCH(B1788,[1]洞天福地产出!$K:$K,0)),"")</f>
        <v/>
      </c>
      <c r="L1788" s="1" t="str">
        <f t="shared" si="140"/>
        <v/>
      </c>
      <c r="M1788" s="4">
        <f t="shared" si="141"/>
        <v>0</v>
      </c>
    </row>
    <row r="1789" spans="1:13">
      <c r="A1789" s="4"/>
      <c r="B1789" t="str">
        <f t="shared" si="142"/>
        <v>8:32000002</v>
      </c>
      <c r="C1789" s="4">
        <v>8</v>
      </c>
      <c r="D1789" s="4">
        <v>32000002</v>
      </c>
      <c r="E1789" s="3" t="s">
        <v>2030</v>
      </c>
      <c r="F1789" s="3"/>
      <c r="G1789" s="1">
        <v>42.4918032786885</v>
      </c>
      <c r="H1789" s="1">
        <f t="shared" si="138"/>
        <v>42.4918032786885</v>
      </c>
      <c r="I1789" s="1" t="str">
        <f t="shared" si="139"/>
        <v/>
      </c>
      <c r="J1789" s="1" t="str">
        <f>_xlfn.IFNA(INDEX([1]历练产出!$Z:$Z,MATCH(B1789,[1]历练产出!$AB:$AB,0)),"")</f>
        <v/>
      </c>
      <c r="K1789" s="1" t="str">
        <f>_xlfn.IFNA(INDEX([1]洞天福地产出!$H:$H,MATCH(B1789,[1]洞天福地产出!$K:$K,0)),"")</f>
        <v/>
      </c>
      <c r="L1789" s="1" t="str">
        <f t="shared" si="140"/>
        <v/>
      </c>
      <c r="M1789" s="4">
        <f t="shared" si="141"/>
        <v>0</v>
      </c>
    </row>
    <row r="1790" ht="30" spans="1:13">
      <c r="A1790" s="4"/>
      <c r="B1790" t="str">
        <f t="shared" si="142"/>
        <v>8:32000003</v>
      </c>
      <c r="C1790" s="4">
        <v>8</v>
      </c>
      <c r="D1790" s="4">
        <v>32000003</v>
      </c>
      <c r="E1790" s="3" t="s">
        <v>2031</v>
      </c>
      <c r="F1790" s="3"/>
      <c r="G1790" s="1">
        <v>21.2459016393443</v>
      </c>
      <c r="H1790" s="1">
        <f t="shared" si="138"/>
        <v>21.2459016393443</v>
      </c>
      <c r="I1790" s="1" t="str">
        <f t="shared" si="139"/>
        <v/>
      </c>
      <c r="J1790" s="1" t="str">
        <f>_xlfn.IFNA(INDEX([1]历练产出!$Z:$Z,MATCH(B1790,[1]历练产出!$AB:$AB,0)),"")</f>
        <v/>
      </c>
      <c r="K1790" s="1" t="str">
        <f>_xlfn.IFNA(INDEX([1]洞天福地产出!$H:$H,MATCH(B1790,[1]洞天福地产出!$K:$K,0)),"")</f>
        <v/>
      </c>
      <c r="L1790" s="1" t="str">
        <f t="shared" si="140"/>
        <v/>
      </c>
      <c r="M1790" s="4">
        <f t="shared" si="141"/>
        <v>0</v>
      </c>
    </row>
    <row r="1791" ht="30" spans="1:13">
      <c r="A1791" s="4"/>
      <c r="B1791" t="str">
        <f t="shared" si="142"/>
        <v>8:32000004</v>
      </c>
      <c r="C1791" s="4">
        <v>8</v>
      </c>
      <c r="D1791" s="4">
        <v>32000004</v>
      </c>
      <c r="E1791" s="3" t="s">
        <v>2032</v>
      </c>
      <c r="F1791" s="3"/>
      <c r="G1791" s="1">
        <v>10.6229508196721</v>
      </c>
      <c r="H1791" s="1">
        <f t="shared" si="138"/>
        <v>10.6229508196721</v>
      </c>
      <c r="I1791" s="1" t="str">
        <f t="shared" si="139"/>
        <v/>
      </c>
      <c r="J1791" s="1" t="str">
        <f>_xlfn.IFNA(INDEX([1]历练产出!$Z:$Z,MATCH(B1791,[1]历练产出!$AB:$AB,0)),"")</f>
        <v/>
      </c>
      <c r="K1791" s="1" t="str">
        <f>_xlfn.IFNA(INDEX([1]洞天福地产出!$H:$H,MATCH(B1791,[1]洞天福地产出!$K:$K,0)),"")</f>
        <v/>
      </c>
      <c r="L1791" s="1" t="str">
        <f t="shared" si="140"/>
        <v/>
      </c>
      <c r="M1791" s="4">
        <f t="shared" si="141"/>
        <v>0</v>
      </c>
    </row>
    <row r="1792" ht="28.5" customHeight="1" spans="1:13">
      <c r="A1792" s="4"/>
      <c r="B1792" t="str">
        <f t="shared" si="142"/>
        <v>8:33000001</v>
      </c>
      <c r="C1792" s="4">
        <v>8</v>
      </c>
      <c r="D1792" s="4">
        <v>33000001</v>
      </c>
      <c r="E1792" s="3" t="s">
        <v>811</v>
      </c>
      <c r="F1792" s="3"/>
      <c r="G1792" s="1">
        <v>573.639344262295</v>
      </c>
      <c r="H1792" s="1">
        <f t="shared" si="138"/>
        <v>573.639344262295</v>
      </c>
      <c r="I1792" s="1" t="str">
        <f t="shared" si="139"/>
        <v/>
      </c>
      <c r="J1792" s="1" t="str">
        <f>_xlfn.IFNA(INDEX([1]历练产出!$Z:$Z,MATCH(B1792,[1]历练产出!$AB:$AB,0)),"")</f>
        <v/>
      </c>
      <c r="K1792" s="1" t="str">
        <f>_xlfn.IFNA(INDEX([1]洞天福地产出!$H:$H,MATCH(B1792,[1]洞天福地产出!$K:$K,0)),"")</f>
        <v/>
      </c>
      <c r="L1792" s="1" t="str">
        <f t="shared" si="140"/>
        <v/>
      </c>
      <c r="M1792" s="4">
        <f t="shared" si="141"/>
        <v>0</v>
      </c>
    </row>
    <row r="1793" ht="14.25" customHeight="1" spans="1:13">
      <c r="A1793" s="4"/>
      <c r="B1793" t="str">
        <f t="shared" si="142"/>
        <v>8:33000002</v>
      </c>
      <c r="C1793" s="4">
        <v>8</v>
      </c>
      <c r="D1793" s="4">
        <v>33000002</v>
      </c>
      <c r="E1793" s="3" t="s">
        <v>813</v>
      </c>
      <c r="F1793" s="3"/>
      <c r="G1793" s="1">
        <v>42.4918032786885</v>
      </c>
      <c r="H1793" s="1">
        <f t="shared" si="138"/>
        <v>42.4918032786885</v>
      </c>
      <c r="I1793" s="1" t="str">
        <f t="shared" si="139"/>
        <v/>
      </c>
      <c r="J1793" s="1" t="str">
        <f>_xlfn.IFNA(INDEX([1]历练产出!$Z:$Z,MATCH(B1793,[1]历练产出!$AB:$AB,0)),"")</f>
        <v/>
      </c>
      <c r="K1793" s="1" t="str">
        <f>_xlfn.IFNA(INDEX([1]洞天福地产出!$H:$H,MATCH(B1793,[1]洞天福地产出!$K:$K,0)),"")</f>
        <v/>
      </c>
      <c r="L1793" s="1" t="str">
        <f t="shared" si="140"/>
        <v/>
      </c>
      <c r="M1793" s="4">
        <f t="shared" si="141"/>
        <v>0</v>
      </c>
    </row>
    <row r="1794" ht="28.5" customHeight="1" spans="1:13">
      <c r="A1794" s="4"/>
      <c r="B1794" t="str">
        <f t="shared" si="142"/>
        <v>8:33000003</v>
      </c>
      <c r="C1794" s="4">
        <v>8</v>
      </c>
      <c r="D1794" s="4">
        <v>33000003</v>
      </c>
      <c r="E1794" s="3" t="s">
        <v>815</v>
      </c>
      <c r="F1794" s="3"/>
      <c r="G1794" s="1">
        <v>21.2459016393443</v>
      </c>
      <c r="H1794" s="1">
        <f t="shared" si="138"/>
        <v>21.2459016393443</v>
      </c>
      <c r="I1794" s="1" t="str">
        <f t="shared" si="139"/>
        <v/>
      </c>
      <c r="J1794" s="1" t="str">
        <f>_xlfn.IFNA(INDEX([1]历练产出!$Z:$Z,MATCH(B1794,[1]历练产出!$AB:$AB,0)),"")</f>
        <v/>
      </c>
      <c r="K1794" s="1" t="str">
        <f>_xlfn.IFNA(INDEX([1]洞天福地产出!$H:$H,MATCH(B1794,[1]洞天福地产出!$K:$K,0)),"")</f>
        <v/>
      </c>
      <c r="L1794" s="1" t="str">
        <f t="shared" si="140"/>
        <v/>
      </c>
      <c r="M1794" s="4">
        <f t="shared" si="141"/>
        <v>0</v>
      </c>
    </row>
    <row r="1795" ht="28.5" customHeight="1" spans="1:13">
      <c r="A1795" s="4"/>
      <c r="B1795" t="str">
        <f t="shared" si="142"/>
        <v>8:33000004</v>
      </c>
      <c r="C1795" s="4">
        <v>8</v>
      </c>
      <c r="D1795" s="4">
        <v>33000004</v>
      </c>
      <c r="E1795" s="3" t="s">
        <v>817</v>
      </c>
      <c r="F1795" s="3"/>
      <c r="G1795" s="1">
        <v>10.6229508196721</v>
      </c>
      <c r="H1795" s="1">
        <f t="shared" si="138"/>
        <v>10.6229508196721</v>
      </c>
      <c r="I1795" s="1" t="str">
        <f t="shared" si="139"/>
        <v/>
      </c>
      <c r="J1795" s="1" t="str">
        <f>_xlfn.IFNA(INDEX([1]历练产出!$Z:$Z,MATCH(B1795,[1]历练产出!$AB:$AB,0)),"")</f>
        <v/>
      </c>
      <c r="K1795" s="1" t="str">
        <f>_xlfn.IFNA(INDEX([1]洞天福地产出!$H:$H,MATCH(B1795,[1]洞天福地产出!$K:$K,0)),"")</f>
        <v/>
      </c>
      <c r="L1795" s="1" t="str">
        <f t="shared" si="140"/>
        <v/>
      </c>
      <c r="M1795" s="4">
        <f t="shared" si="141"/>
        <v>0</v>
      </c>
    </row>
    <row r="1796" ht="14.25" customHeight="1" spans="1:13">
      <c r="A1796" s="4"/>
      <c r="B1796" t="str">
        <f t="shared" si="142"/>
        <v>8:34000001</v>
      </c>
      <c r="C1796" s="4">
        <v>8</v>
      </c>
      <c r="D1796" s="4">
        <v>34000001</v>
      </c>
      <c r="E1796" s="3" t="s">
        <v>2033</v>
      </c>
      <c r="F1796" s="3"/>
      <c r="G1796" s="1">
        <v>573.639344262295</v>
      </c>
      <c r="H1796" s="1">
        <f t="shared" ref="H1796:H1827" si="143">IF(I1796="",G1796,I1796)</f>
        <v>573.639344262295</v>
      </c>
      <c r="I1796" s="1" t="str">
        <f t="shared" ref="I1796:I1827" si="144">IFERROR(100/L1796,"")</f>
        <v/>
      </c>
      <c r="J1796" s="1" t="str">
        <f>_xlfn.IFNA(INDEX([1]历练产出!$Z:$Z,MATCH(B1796,[1]历练产出!$AB:$AB,0)),"")</f>
        <v/>
      </c>
      <c r="K1796" s="1" t="str">
        <f>_xlfn.IFNA(INDEX([1]洞天福地产出!$H:$H,MATCH(B1796,[1]洞天福地产出!$K:$K,0)),"")</f>
        <v/>
      </c>
      <c r="L1796" s="1" t="str">
        <f t="shared" ref="L1796:L1827" si="145">IFERROR(J1796+K1796,"")</f>
        <v/>
      </c>
      <c r="M1796" s="4">
        <f t="shared" ref="M1796:M1827" si="146">IF(I1796="",0,1)</f>
        <v>0</v>
      </c>
    </row>
    <row r="1797" ht="14.25" customHeight="1" spans="1:13">
      <c r="A1797" s="4"/>
      <c r="B1797" t="str">
        <f t="shared" si="142"/>
        <v>8:34000002</v>
      </c>
      <c r="C1797" s="4">
        <v>8</v>
      </c>
      <c r="D1797" s="4">
        <v>34000002</v>
      </c>
      <c r="E1797" s="3" t="s">
        <v>2034</v>
      </c>
      <c r="F1797" s="3"/>
      <c r="G1797" s="1">
        <v>42.4918032786885</v>
      </c>
      <c r="H1797" s="1">
        <f t="shared" si="143"/>
        <v>42.4918032786885</v>
      </c>
      <c r="I1797" s="1" t="str">
        <f t="shared" si="144"/>
        <v/>
      </c>
      <c r="J1797" s="1" t="str">
        <f>_xlfn.IFNA(INDEX([1]历练产出!$Z:$Z,MATCH(B1797,[1]历练产出!$AB:$AB,0)),"")</f>
        <v/>
      </c>
      <c r="K1797" s="1" t="str">
        <f>_xlfn.IFNA(INDEX([1]洞天福地产出!$H:$H,MATCH(B1797,[1]洞天福地产出!$K:$K,0)),"")</f>
        <v/>
      </c>
      <c r="L1797" s="1" t="str">
        <f t="shared" si="145"/>
        <v/>
      </c>
      <c r="M1797" s="4">
        <f t="shared" si="146"/>
        <v>0</v>
      </c>
    </row>
    <row r="1798" ht="28.5" customHeight="1" spans="1:13">
      <c r="A1798" s="4"/>
      <c r="B1798" t="str">
        <f t="shared" si="142"/>
        <v>8:34000003</v>
      </c>
      <c r="C1798" s="4">
        <v>8</v>
      </c>
      <c r="D1798" s="4">
        <v>34000003</v>
      </c>
      <c r="E1798" s="3" t="s">
        <v>2035</v>
      </c>
      <c r="F1798" s="3"/>
      <c r="G1798" s="1">
        <v>21.2459016393443</v>
      </c>
      <c r="H1798" s="1">
        <f t="shared" si="143"/>
        <v>21.2459016393443</v>
      </c>
      <c r="I1798" s="1" t="str">
        <f t="shared" si="144"/>
        <v/>
      </c>
      <c r="J1798" s="1" t="str">
        <f>_xlfn.IFNA(INDEX([1]历练产出!$Z:$Z,MATCH(B1798,[1]历练产出!$AB:$AB,0)),"")</f>
        <v/>
      </c>
      <c r="K1798" s="1" t="str">
        <f>_xlfn.IFNA(INDEX([1]洞天福地产出!$H:$H,MATCH(B1798,[1]洞天福地产出!$K:$K,0)),"")</f>
        <v/>
      </c>
      <c r="L1798" s="1" t="str">
        <f t="shared" si="145"/>
        <v/>
      </c>
      <c r="M1798" s="4">
        <f t="shared" si="146"/>
        <v>0</v>
      </c>
    </row>
    <row r="1799" ht="28.5" customHeight="1" spans="1:13">
      <c r="A1799" s="4"/>
      <c r="B1799" t="str">
        <f t="shared" si="142"/>
        <v>8:34000004</v>
      </c>
      <c r="C1799" s="4">
        <v>8</v>
      </c>
      <c r="D1799" s="4">
        <v>34000004</v>
      </c>
      <c r="E1799" s="3" t="s">
        <v>2036</v>
      </c>
      <c r="F1799" s="3"/>
      <c r="G1799" s="1">
        <v>10.6229508196721</v>
      </c>
      <c r="H1799" s="1">
        <f t="shared" si="143"/>
        <v>10.6229508196721</v>
      </c>
      <c r="I1799" s="1" t="str">
        <f t="shared" si="144"/>
        <v/>
      </c>
      <c r="J1799" s="1" t="str">
        <f>_xlfn.IFNA(INDEX([1]历练产出!$Z:$Z,MATCH(B1799,[1]历练产出!$AB:$AB,0)),"")</f>
        <v/>
      </c>
      <c r="K1799" s="1" t="str">
        <f>_xlfn.IFNA(INDEX([1]洞天福地产出!$H:$H,MATCH(B1799,[1]洞天福地产出!$K:$K,0)),"")</f>
        <v/>
      </c>
      <c r="L1799" s="1" t="str">
        <f t="shared" si="145"/>
        <v/>
      </c>
      <c r="M1799" s="4">
        <f t="shared" si="146"/>
        <v>0</v>
      </c>
    </row>
    <row r="1800" ht="30" spans="1:13">
      <c r="A1800" s="4"/>
      <c r="B1800" t="str">
        <f t="shared" si="142"/>
        <v>8:35000001</v>
      </c>
      <c r="C1800" s="4">
        <v>8</v>
      </c>
      <c r="D1800" s="4">
        <v>35000001</v>
      </c>
      <c r="E1800" s="3" t="s">
        <v>2037</v>
      </c>
      <c r="F1800" s="3"/>
      <c r="G1800" s="1">
        <v>573.639344262295</v>
      </c>
      <c r="H1800" s="1">
        <f t="shared" si="143"/>
        <v>573.639344262295</v>
      </c>
      <c r="I1800" s="1" t="str">
        <f t="shared" si="144"/>
        <v/>
      </c>
      <c r="J1800" s="1" t="str">
        <f>_xlfn.IFNA(INDEX([1]历练产出!$Z:$Z,MATCH(B1800,[1]历练产出!$AB:$AB,0)),"")</f>
        <v/>
      </c>
      <c r="K1800" s="1" t="str">
        <f>_xlfn.IFNA(INDEX([1]洞天福地产出!$H:$H,MATCH(B1800,[1]洞天福地产出!$K:$K,0)),"")</f>
        <v/>
      </c>
      <c r="L1800" s="1" t="str">
        <f t="shared" si="145"/>
        <v/>
      </c>
      <c r="M1800" s="4">
        <f t="shared" si="146"/>
        <v>0</v>
      </c>
    </row>
    <row r="1801" spans="1:13">
      <c r="A1801" s="4"/>
      <c r="B1801" t="str">
        <f t="shared" si="142"/>
        <v>8:35000002</v>
      </c>
      <c r="C1801" s="4">
        <v>8</v>
      </c>
      <c r="D1801" s="4">
        <v>35000002</v>
      </c>
      <c r="E1801" s="3" t="s">
        <v>2038</v>
      </c>
      <c r="F1801" s="3"/>
      <c r="G1801" s="1">
        <v>42.4918032786885</v>
      </c>
      <c r="H1801" s="1">
        <f t="shared" si="143"/>
        <v>42.4918032786885</v>
      </c>
      <c r="I1801" s="1" t="str">
        <f t="shared" si="144"/>
        <v/>
      </c>
      <c r="J1801" s="1" t="str">
        <f>_xlfn.IFNA(INDEX([1]历练产出!$Z:$Z,MATCH(B1801,[1]历练产出!$AB:$AB,0)),"")</f>
        <v/>
      </c>
      <c r="K1801" s="1" t="str">
        <f>_xlfn.IFNA(INDEX([1]洞天福地产出!$H:$H,MATCH(B1801,[1]洞天福地产出!$K:$K,0)),"")</f>
        <v/>
      </c>
      <c r="L1801" s="1" t="str">
        <f t="shared" si="145"/>
        <v/>
      </c>
      <c r="M1801" s="4">
        <f t="shared" si="146"/>
        <v>0</v>
      </c>
    </row>
    <row r="1802" ht="30" spans="1:13">
      <c r="A1802" s="4"/>
      <c r="B1802" t="str">
        <f t="shared" si="142"/>
        <v>8:35000003</v>
      </c>
      <c r="C1802" s="4">
        <v>8</v>
      </c>
      <c r="D1802" s="4">
        <v>35000003</v>
      </c>
      <c r="E1802" s="3" t="s">
        <v>2039</v>
      </c>
      <c r="F1802" s="3"/>
      <c r="G1802" s="1">
        <v>21.2459016393443</v>
      </c>
      <c r="H1802" s="1">
        <f t="shared" si="143"/>
        <v>21.2459016393443</v>
      </c>
      <c r="I1802" s="1" t="str">
        <f t="shared" si="144"/>
        <v/>
      </c>
      <c r="J1802" s="1" t="str">
        <f>_xlfn.IFNA(INDEX([1]历练产出!$Z:$Z,MATCH(B1802,[1]历练产出!$AB:$AB,0)),"")</f>
        <v/>
      </c>
      <c r="K1802" s="1" t="str">
        <f>_xlfn.IFNA(INDEX([1]洞天福地产出!$H:$H,MATCH(B1802,[1]洞天福地产出!$K:$K,0)),"")</f>
        <v/>
      </c>
      <c r="L1802" s="1" t="str">
        <f t="shared" si="145"/>
        <v/>
      </c>
      <c r="M1802" s="4">
        <f t="shared" si="146"/>
        <v>0</v>
      </c>
    </row>
    <row r="1803" ht="30" spans="1:13">
      <c r="A1803" s="4"/>
      <c r="B1803" t="str">
        <f t="shared" si="142"/>
        <v>8:35000004</v>
      </c>
      <c r="C1803" s="4">
        <v>8</v>
      </c>
      <c r="D1803" s="4">
        <v>35000004</v>
      </c>
      <c r="E1803" s="3" t="s">
        <v>2040</v>
      </c>
      <c r="F1803" s="3"/>
      <c r="G1803" s="1">
        <v>10.6229508196721</v>
      </c>
      <c r="H1803" s="1">
        <f t="shared" si="143"/>
        <v>10.6229508196721</v>
      </c>
      <c r="I1803" s="1" t="str">
        <f t="shared" si="144"/>
        <v/>
      </c>
      <c r="J1803" s="1" t="str">
        <f>_xlfn.IFNA(INDEX([1]历练产出!$Z:$Z,MATCH(B1803,[1]历练产出!$AB:$AB,0)),"")</f>
        <v/>
      </c>
      <c r="K1803" s="1" t="str">
        <f>_xlfn.IFNA(INDEX([1]洞天福地产出!$H:$H,MATCH(B1803,[1]洞天福地产出!$K:$K,0)),"")</f>
        <v/>
      </c>
      <c r="L1803" s="1" t="str">
        <f t="shared" si="145"/>
        <v/>
      </c>
      <c r="M1803" s="4">
        <f t="shared" si="146"/>
        <v>0</v>
      </c>
    </row>
    <row r="1804" ht="28.5" customHeight="1" spans="1:13">
      <c r="A1804" s="4"/>
      <c r="B1804" t="str">
        <f t="shared" si="142"/>
        <v>8:36000001</v>
      </c>
      <c r="C1804" s="4">
        <v>8</v>
      </c>
      <c r="D1804" s="4">
        <v>36000001</v>
      </c>
      <c r="E1804" s="3" t="s">
        <v>2041</v>
      </c>
      <c r="F1804" s="3"/>
      <c r="G1804" s="1">
        <v>573.639344262295</v>
      </c>
      <c r="H1804" s="1">
        <f t="shared" si="143"/>
        <v>573.639344262295</v>
      </c>
      <c r="I1804" s="1" t="str">
        <f t="shared" si="144"/>
        <v/>
      </c>
      <c r="J1804" s="1" t="str">
        <f>_xlfn.IFNA(INDEX([1]历练产出!$Z:$Z,MATCH(B1804,[1]历练产出!$AB:$AB,0)),"")</f>
        <v/>
      </c>
      <c r="K1804" s="1" t="str">
        <f>_xlfn.IFNA(INDEX([1]洞天福地产出!$H:$H,MATCH(B1804,[1]洞天福地产出!$K:$K,0)),"")</f>
        <v/>
      </c>
      <c r="L1804" s="1" t="str">
        <f t="shared" si="145"/>
        <v/>
      </c>
      <c r="M1804" s="4">
        <f t="shared" si="146"/>
        <v>0</v>
      </c>
    </row>
    <row r="1805" ht="14.25" customHeight="1" spans="1:13">
      <c r="A1805" s="4"/>
      <c r="B1805" t="str">
        <f t="shared" si="142"/>
        <v>8:36000002</v>
      </c>
      <c r="C1805" s="4">
        <v>8</v>
      </c>
      <c r="D1805" s="4">
        <v>36000002</v>
      </c>
      <c r="E1805" s="3" t="s">
        <v>2042</v>
      </c>
      <c r="F1805" s="3"/>
      <c r="G1805" s="1">
        <v>42.4918032786885</v>
      </c>
      <c r="H1805" s="1">
        <f t="shared" si="143"/>
        <v>42.4918032786885</v>
      </c>
      <c r="I1805" s="1" t="str">
        <f t="shared" si="144"/>
        <v/>
      </c>
      <c r="J1805" s="1" t="str">
        <f>_xlfn.IFNA(INDEX([1]历练产出!$Z:$Z,MATCH(B1805,[1]历练产出!$AB:$AB,0)),"")</f>
        <v/>
      </c>
      <c r="K1805" s="1" t="str">
        <f>_xlfn.IFNA(INDEX([1]洞天福地产出!$H:$H,MATCH(B1805,[1]洞天福地产出!$K:$K,0)),"")</f>
        <v/>
      </c>
      <c r="L1805" s="1" t="str">
        <f t="shared" si="145"/>
        <v/>
      </c>
      <c r="M1805" s="4">
        <f t="shared" si="146"/>
        <v>0</v>
      </c>
    </row>
    <row r="1806" ht="28.5" customHeight="1" spans="1:13">
      <c r="A1806" s="4"/>
      <c r="B1806" t="str">
        <f t="shared" si="142"/>
        <v>8:36000003</v>
      </c>
      <c r="C1806" s="4">
        <v>8</v>
      </c>
      <c r="D1806" s="4">
        <v>36000003</v>
      </c>
      <c r="E1806" s="3" t="s">
        <v>2043</v>
      </c>
      <c r="F1806" s="3"/>
      <c r="G1806" s="1">
        <v>21.2459016393443</v>
      </c>
      <c r="H1806" s="1">
        <f t="shared" si="143"/>
        <v>21.2459016393443</v>
      </c>
      <c r="I1806" s="1" t="str">
        <f t="shared" si="144"/>
        <v/>
      </c>
      <c r="J1806" s="1" t="str">
        <f>_xlfn.IFNA(INDEX([1]历练产出!$Z:$Z,MATCH(B1806,[1]历练产出!$AB:$AB,0)),"")</f>
        <v/>
      </c>
      <c r="K1806" s="1" t="str">
        <f>_xlfn.IFNA(INDEX([1]洞天福地产出!$H:$H,MATCH(B1806,[1]洞天福地产出!$K:$K,0)),"")</f>
        <v/>
      </c>
      <c r="L1806" s="1" t="str">
        <f t="shared" si="145"/>
        <v/>
      </c>
      <c r="M1806" s="4">
        <f t="shared" si="146"/>
        <v>0</v>
      </c>
    </row>
    <row r="1807" ht="28.5" customHeight="1" spans="1:13">
      <c r="A1807" s="4"/>
      <c r="B1807" t="str">
        <f t="shared" si="142"/>
        <v>8:36000004</v>
      </c>
      <c r="C1807" s="4">
        <v>8</v>
      </c>
      <c r="D1807" s="4">
        <v>36000004</v>
      </c>
      <c r="E1807" s="3" t="s">
        <v>2044</v>
      </c>
      <c r="F1807" s="3"/>
      <c r="G1807" s="1">
        <v>10.6229508196721</v>
      </c>
      <c r="H1807" s="1">
        <f t="shared" si="143"/>
        <v>10.6229508196721</v>
      </c>
      <c r="I1807" s="1" t="str">
        <f t="shared" si="144"/>
        <v/>
      </c>
      <c r="J1807" s="1" t="str">
        <f>_xlfn.IFNA(INDEX([1]历练产出!$Z:$Z,MATCH(B1807,[1]历练产出!$AB:$AB,0)),"")</f>
        <v/>
      </c>
      <c r="K1807" s="1" t="str">
        <f>_xlfn.IFNA(INDEX([1]洞天福地产出!$H:$H,MATCH(B1807,[1]洞天福地产出!$K:$K,0)),"")</f>
        <v/>
      </c>
      <c r="L1807" s="1" t="str">
        <f t="shared" si="145"/>
        <v/>
      </c>
      <c r="M1807" s="4">
        <f t="shared" si="146"/>
        <v>0</v>
      </c>
    </row>
    <row r="1808" ht="28.5" customHeight="1" spans="1:13">
      <c r="A1808" s="4"/>
      <c r="B1808" t="str">
        <f t="shared" si="142"/>
        <v>8:37000001</v>
      </c>
      <c r="C1808" s="4">
        <v>8</v>
      </c>
      <c r="D1808" s="4">
        <v>37000001</v>
      </c>
      <c r="E1808" s="3" t="s">
        <v>843</v>
      </c>
      <c r="F1808" s="3"/>
      <c r="G1808" s="1">
        <v>573.639344262295</v>
      </c>
      <c r="H1808" s="1">
        <f t="shared" si="143"/>
        <v>573.639344262295</v>
      </c>
      <c r="I1808" s="1" t="str">
        <f t="shared" si="144"/>
        <v/>
      </c>
      <c r="J1808" s="1" t="str">
        <f>_xlfn.IFNA(INDEX([1]历练产出!$Z:$Z,MATCH(B1808,[1]历练产出!$AB:$AB,0)),"")</f>
        <v/>
      </c>
      <c r="K1808" s="1" t="str">
        <f>_xlfn.IFNA(INDEX([1]洞天福地产出!$H:$H,MATCH(B1808,[1]洞天福地产出!$K:$K,0)),"")</f>
        <v/>
      </c>
      <c r="L1808" s="1" t="str">
        <f t="shared" si="145"/>
        <v/>
      </c>
      <c r="M1808" s="4">
        <f t="shared" si="146"/>
        <v>0</v>
      </c>
    </row>
    <row r="1809" ht="28.5" customHeight="1" spans="1:13">
      <c r="A1809" s="4"/>
      <c r="B1809" t="str">
        <f t="shared" si="142"/>
        <v>8:37000002</v>
      </c>
      <c r="C1809" s="4">
        <v>8</v>
      </c>
      <c r="D1809" s="4">
        <v>37000002</v>
      </c>
      <c r="E1809" s="3" t="s">
        <v>845</v>
      </c>
      <c r="F1809" s="3"/>
      <c r="G1809" s="1">
        <v>42.4918032786885</v>
      </c>
      <c r="H1809" s="1">
        <f t="shared" si="143"/>
        <v>42.4918032786885</v>
      </c>
      <c r="I1809" s="1" t="str">
        <f t="shared" si="144"/>
        <v/>
      </c>
      <c r="J1809" s="1" t="str">
        <f>_xlfn.IFNA(INDEX([1]历练产出!$Z:$Z,MATCH(B1809,[1]历练产出!$AB:$AB,0)),"")</f>
        <v/>
      </c>
      <c r="K1809" s="1" t="str">
        <f>_xlfn.IFNA(INDEX([1]洞天福地产出!$H:$H,MATCH(B1809,[1]洞天福地产出!$K:$K,0)),"")</f>
        <v/>
      </c>
      <c r="L1809" s="1" t="str">
        <f t="shared" si="145"/>
        <v/>
      </c>
      <c r="M1809" s="4">
        <f t="shared" si="146"/>
        <v>0</v>
      </c>
    </row>
    <row r="1810" ht="28.5" customHeight="1" spans="1:13">
      <c r="A1810" s="4"/>
      <c r="B1810" t="str">
        <f t="shared" si="142"/>
        <v>8:37000003</v>
      </c>
      <c r="C1810" s="4">
        <v>8</v>
      </c>
      <c r="D1810" s="4">
        <v>37000003</v>
      </c>
      <c r="E1810" s="3" t="s">
        <v>847</v>
      </c>
      <c r="F1810" s="3"/>
      <c r="G1810" s="1">
        <v>21.2459016393443</v>
      </c>
      <c r="H1810" s="1">
        <f t="shared" si="143"/>
        <v>21.2459016393443</v>
      </c>
      <c r="I1810" s="1" t="str">
        <f t="shared" si="144"/>
        <v/>
      </c>
      <c r="J1810" s="1" t="str">
        <f>_xlfn.IFNA(INDEX([1]历练产出!$Z:$Z,MATCH(B1810,[1]历练产出!$AB:$AB,0)),"")</f>
        <v/>
      </c>
      <c r="K1810" s="1" t="str">
        <f>_xlfn.IFNA(INDEX([1]洞天福地产出!$H:$H,MATCH(B1810,[1]洞天福地产出!$K:$K,0)),"")</f>
        <v/>
      </c>
      <c r="L1810" s="1" t="str">
        <f t="shared" si="145"/>
        <v/>
      </c>
      <c r="M1810" s="4">
        <f t="shared" si="146"/>
        <v>0</v>
      </c>
    </row>
    <row r="1811" ht="28.5" customHeight="1" spans="1:13">
      <c r="A1811" s="4"/>
      <c r="B1811" t="str">
        <f t="shared" si="142"/>
        <v>8:37000004</v>
      </c>
      <c r="C1811" s="4">
        <v>8</v>
      </c>
      <c r="D1811" s="4">
        <v>37000004</v>
      </c>
      <c r="E1811" s="3" t="s">
        <v>849</v>
      </c>
      <c r="F1811" s="3"/>
      <c r="G1811" s="1">
        <v>10.6229508196721</v>
      </c>
      <c r="H1811" s="1">
        <f t="shared" si="143"/>
        <v>10.6229508196721</v>
      </c>
      <c r="I1811" s="1" t="str">
        <f t="shared" si="144"/>
        <v/>
      </c>
      <c r="J1811" s="1" t="str">
        <f>_xlfn.IFNA(INDEX([1]历练产出!$Z:$Z,MATCH(B1811,[1]历练产出!$AB:$AB,0)),"")</f>
        <v/>
      </c>
      <c r="K1811" s="1" t="str">
        <f>_xlfn.IFNA(INDEX([1]洞天福地产出!$H:$H,MATCH(B1811,[1]洞天福地产出!$K:$K,0)),"")</f>
        <v/>
      </c>
      <c r="L1811" s="1" t="str">
        <f t="shared" si="145"/>
        <v/>
      </c>
      <c r="M1811" s="4">
        <f t="shared" si="146"/>
        <v>0</v>
      </c>
    </row>
    <row r="1812" ht="45" spans="1:13">
      <c r="A1812" s="4"/>
      <c r="B1812" t="str">
        <f t="shared" si="142"/>
        <v>8:38000001</v>
      </c>
      <c r="C1812" s="4">
        <v>8</v>
      </c>
      <c r="D1812" s="4">
        <v>38000001</v>
      </c>
      <c r="E1812" s="3" t="s">
        <v>2045</v>
      </c>
      <c r="F1812" s="3"/>
      <c r="G1812" s="1">
        <v>573.639344262295</v>
      </c>
      <c r="H1812" s="1">
        <f t="shared" si="143"/>
        <v>573.639344262295</v>
      </c>
      <c r="I1812" s="1" t="str">
        <f t="shared" si="144"/>
        <v/>
      </c>
      <c r="J1812" s="1" t="str">
        <f>_xlfn.IFNA(INDEX([1]历练产出!$Z:$Z,MATCH(B1812,[1]历练产出!$AB:$AB,0)),"")</f>
        <v/>
      </c>
      <c r="K1812" s="1" t="str">
        <f>_xlfn.IFNA(INDEX([1]洞天福地产出!$H:$H,MATCH(B1812,[1]洞天福地产出!$K:$K,0)),"")</f>
        <v/>
      </c>
      <c r="L1812" s="1" t="str">
        <f t="shared" si="145"/>
        <v/>
      </c>
      <c r="M1812" s="4">
        <f t="shared" si="146"/>
        <v>0</v>
      </c>
    </row>
    <row r="1813" ht="30" spans="1:13">
      <c r="A1813" s="4"/>
      <c r="B1813" t="str">
        <f t="shared" si="142"/>
        <v>8:38000002</v>
      </c>
      <c r="C1813" s="4">
        <v>8</v>
      </c>
      <c r="D1813" s="4">
        <v>38000002</v>
      </c>
      <c r="E1813" s="3" t="s">
        <v>2046</v>
      </c>
      <c r="F1813" s="3"/>
      <c r="G1813" s="1">
        <v>42.4918032786885</v>
      </c>
      <c r="H1813" s="1">
        <f t="shared" si="143"/>
        <v>42.4918032786885</v>
      </c>
      <c r="I1813" s="1" t="str">
        <f t="shared" si="144"/>
        <v/>
      </c>
      <c r="J1813" s="1" t="str">
        <f>_xlfn.IFNA(INDEX([1]历练产出!$Z:$Z,MATCH(B1813,[1]历练产出!$AB:$AB,0)),"")</f>
        <v/>
      </c>
      <c r="K1813" s="1" t="str">
        <f>_xlfn.IFNA(INDEX([1]洞天福地产出!$H:$H,MATCH(B1813,[1]洞天福地产出!$K:$K,0)),"")</f>
        <v/>
      </c>
      <c r="L1813" s="1" t="str">
        <f t="shared" si="145"/>
        <v/>
      </c>
      <c r="M1813" s="4">
        <f t="shared" si="146"/>
        <v>0</v>
      </c>
    </row>
    <row r="1814" ht="45" spans="1:13">
      <c r="A1814" s="4"/>
      <c r="B1814" t="str">
        <f t="shared" si="142"/>
        <v>8:38000003</v>
      </c>
      <c r="C1814" s="4">
        <v>8</v>
      </c>
      <c r="D1814" s="4">
        <v>38000003</v>
      </c>
      <c r="E1814" s="3" t="s">
        <v>2047</v>
      </c>
      <c r="F1814" s="3"/>
      <c r="G1814" s="1">
        <v>21.2459016393443</v>
      </c>
      <c r="H1814" s="1">
        <f t="shared" si="143"/>
        <v>21.2459016393443</v>
      </c>
      <c r="I1814" s="1" t="str">
        <f t="shared" si="144"/>
        <v/>
      </c>
      <c r="J1814" s="1" t="str">
        <f>_xlfn.IFNA(INDEX([1]历练产出!$Z:$Z,MATCH(B1814,[1]历练产出!$AB:$AB,0)),"")</f>
        <v/>
      </c>
      <c r="K1814" s="1" t="str">
        <f>_xlfn.IFNA(INDEX([1]洞天福地产出!$H:$H,MATCH(B1814,[1]洞天福地产出!$K:$K,0)),"")</f>
        <v/>
      </c>
      <c r="L1814" s="1" t="str">
        <f t="shared" si="145"/>
        <v/>
      </c>
      <c r="M1814" s="4">
        <f t="shared" si="146"/>
        <v>0</v>
      </c>
    </row>
    <row r="1815" ht="45" spans="1:13">
      <c r="A1815" s="4"/>
      <c r="B1815" t="str">
        <f t="shared" si="142"/>
        <v>8:38000004</v>
      </c>
      <c r="C1815" s="4">
        <v>8</v>
      </c>
      <c r="D1815" s="4">
        <v>38000004</v>
      </c>
      <c r="E1815" s="3" t="s">
        <v>2048</v>
      </c>
      <c r="F1815" s="3"/>
      <c r="G1815" s="1">
        <v>10.6229508196721</v>
      </c>
      <c r="H1815" s="1">
        <f t="shared" si="143"/>
        <v>10.6229508196721</v>
      </c>
      <c r="I1815" s="1" t="str">
        <f t="shared" si="144"/>
        <v/>
      </c>
      <c r="J1815" s="1" t="str">
        <f>_xlfn.IFNA(INDEX([1]历练产出!$Z:$Z,MATCH(B1815,[1]历练产出!$AB:$AB,0)),"")</f>
        <v/>
      </c>
      <c r="K1815" s="1" t="str">
        <f>_xlfn.IFNA(INDEX([1]洞天福地产出!$H:$H,MATCH(B1815,[1]洞天福地产出!$K:$K,0)),"")</f>
        <v/>
      </c>
      <c r="L1815" s="1" t="str">
        <f t="shared" si="145"/>
        <v/>
      </c>
      <c r="M1815" s="4">
        <f t="shared" si="146"/>
        <v>0</v>
      </c>
    </row>
    <row r="1816" ht="14.25" customHeight="1" spans="1:13">
      <c r="A1816" s="4"/>
      <c r="B1816" t="str">
        <f t="shared" si="142"/>
        <v>8:39000001</v>
      </c>
      <c r="C1816" s="4">
        <v>8</v>
      </c>
      <c r="D1816" s="4">
        <v>39000001</v>
      </c>
      <c r="E1816" s="3" t="s">
        <v>859</v>
      </c>
      <c r="F1816" s="3"/>
      <c r="G1816" s="1">
        <v>573.639344262295</v>
      </c>
      <c r="H1816" s="1">
        <f t="shared" si="143"/>
        <v>573.639344262295</v>
      </c>
      <c r="I1816" s="1" t="str">
        <f t="shared" si="144"/>
        <v/>
      </c>
      <c r="J1816" s="1" t="str">
        <f>_xlfn.IFNA(INDEX([1]历练产出!$Z:$Z,MATCH(B1816,[1]历练产出!$AB:$AB,0)),"")</f>
        <v/>
      </c>
      <c r="K1816" s="1" t="str">
        <f>_xlfn.IFNA(INDEX([1]洞天福地产出!$H:$H,MATCH(B1816,[1]洞天福地产出!$K:$K,0)),"")</f>
        <v/>
      </c>
      <c r="L1816" s="1" t="str">
        <f t="shared" si="145"/>
        <v/>
      </c>
      <c r="M1816" s="4">
        <f t="shared" si="146"/>
        <v>0</v>
      </c>
    </row>
    <row r="1817" ht="14.25" customHeight="1" spans="1:13">
      <c r="A1817" s="4"/>
      <c r="B1817" t="str">
        <f t="shared" si="142"/>
        <v>8:39000002</v>
      </c>
      <c r="C1817" s="4">
        <v>8</v>
      </c>
      <c r="D1817" s="4">
        <v>39000002</v>
      </c>
      <c r="E1817" s="3" t="s">
        <v>861</v>
      </c>
      <c r="F1817" s="3"/>
      <c r="G1817" s="1">
        <v>42.4918032786885</v>
      </c>
      <c r="H1817" s="1">
        <f t="shared" si="143"/>
        <v>42.4918032786885</v>
      </c>
      <c r="I1817" s="1" t="str">
        <f t="shared" si="144"/>
        <v/>
      </c>
      <c r="J1817" s="1" t="str">
        <f>_xlfn.IFNA(INDEX([1]历练产出!$Z:$Z,MATCH(B1817,[1]历练产出!$AB:$AB,0)),"")</f>
        <v/>
      </c>
      <c r="K1817" s="1" t="str">
        <f>_xlfn.IFNA(INDEX([1]洞天福地产出!$H:$H,MATCH(B1817,[1]洞天福地产出!$K:$K,0)),"")</f>
        <v/>
      </c>
      <c r="L1817" s="1" t="str">
        <f t="shared" si="145"/>
        <v/>
      </c>
      <c r="M1817" s="4">
        <f t="shared" si="146"/>
        <v>0</v>
      </c>
    </row>
    <row r="1818" ht="28.5" customHeight="1" spans="1:13">
      <c r="A1818" s="4"/>
      <c r="B1818" t="str">
        <f t="shared" si="142"/>
        <v>8:39000003</v>
      </c>
      <c r="C1818" s="4">
        <v>8</v>
      </c>
      <c r="D1818" s="4">
        <v>39000003</v>
      </c>
      <c r="E1818" s="3" t="s">
        <v>863</v>
      </c>
      <c r="F1818" s="3"/>
      <c r="G1818" s="1">
        <v>21.2459016393443</v>
      </c>
      <c r="H1818" s="1">
        <f t="shared" si="143"/>
        <v>21.2459016393443</v>
      </c>
      <c r="I1818" s="1" t="str">
        <f t="shared" si="144"/>
        <v/>
      </c>
      <c r="J1818" s="1" t="str">
        <f>_xlfn.IFNA(INDEX([1]历练产出!$Z:$Z,MATCH(B1818,[1]历练产出!$AB:$AB,0)),"")</f>
        <v/>
      </c>
      <c r="K1818" s="1" t="str">
        <f>_xlfn.IFNA(INDEX([1]洞天福地产出!$H:$H,MATCH(B1818,[1]洞天福地产出!$K:$K,0)),"")</f>
        <v/>
      </c>
      <c r="L1818" s="1" t="str">
        <f t="shared" si="145"/>
        <v/>
      </c>
      <c r="M1818" s="4">
        <f t="shared" si="146"/>
        <v>0</v>
      </c>
    </row>
    <row r="1819" ht="28.5" customHeight="1" spans="1:13">
      <c r="A1819" s="4"/>
      <c r="B1819" t="str">
        <f t="shared" si="142"/>
        <v>8:39000004</v>
      </c>
      <c r="C1819" s="4">
        <v>8</v>
      </c>
      <c r="D1819" s="4">
        <v>39000004</v>
      </c>
      <c r="E1819" s="3" t="s">
        <v>865</v>
      </c>
      <c r="F1819" s="3"/>
      <c r="G1819" s="1">
        <v>10.6229508196721</v>
      </c>
      <c r="H1819" s="1">
        <f t="shared" si="143"/>
        <v>10.6229508196721</v>
      </c>
      <c r="I1819" s="1" t="str">
        <f t="shared" si="144"/>
        <v/>
      </c>
      <c r="J1819" s="1" t="str">
        <f>_xlfn.IFNA(INDEX([1]历练产出!$Z:$Z,MATCH(B1819,[1]历练产出!$AB:$AB,0)),"")</f>
        <v/>
      </c>
      <c r="K1819" s="1" t="str">
        <f>_xlfn.IFNA(INDEX([1]洞天福地产出!$H:$H,MATCH(B1819,[1]洞天福地产出!$K:$K,0)),"")</f>
        <v/>
      </c>
      <c r="L1819" s="1" t="str">
        <f t="shared" si="145"/>
        <v/>
      </c>
      <c r="M1819" s="4">
        <f t="shared" si="146"/>
        <v>0</v>
      </c>
    </row>
    <row r="1820" ht="14.25" customHeight="1" spans="1:13">
      <c r="A1820" s="4"/>
      <c r="B1820" t="str">
        <f t="shared" si="142"/>
        <v>8:40000001</v>
      </c>
      <c r="C1820" s="4">
        <v>8</v>
      </c>
      <c r="D1820" s="4">
        <v>40000001</v>
      </c>
      <c r="E1820" s="3" t="s">
        <v>2049</v>
      </c>
      <c r="F1820" s="3"/>
      <c r="G1820" s="1">
        <v>573.639344262295</v>
      </c>
      <c r="H1820" s="1">
        <f t="shared" si="143"/>
        <v>573.639344262295</v>
      </c>
      <c r="I1820" s="1" t="str">
        <f t="shared" si="144"/>
        <v/>
      </c>
      <c r="J1820" s="1" t="str">
        <f>_xlfn.IFNA(INDEX([1]历练产出!$Z:$Z,MATCH(B1820,[1]历练产出!$AB:$AB,0)),"")</f>
        <v/>
      </c>
      <c r="K1820" s="1" t="str">
        <f>_xlfn.IFNA(INDEX([1]洞天福地产出!$H:$H,MATCH(B1820,[1]洞天福地产出!$K:$K,0)),"")</f>
        <v/>
      </c>
      <c r="L1820" s="1" t="str">
        <f t="shared" si="145"/>
        <v/>
      </c>
      <c r="M1820" s="4">
        <f t="shared" si="146"/>
        <v>0</v>
      </c>
    </row>
    <row r="1821" ht="14.25" customHeight="1" spans="1:13">
      <c r="A1821" s="4"/>
      <c r="B1821" t="str">
        <f t="shared" si="142"/>
        <v>8:40000002</v>
      </c>
      <c r="C1821" s="4">
        <v>8</v>
      </c>
      <c r="D1821" s="4">
        <v>40000002</v>
      </c>
      <c r="E1821" s="3" t="s">
        <v>2050</v>
      </c>
      <c r="F1821" s="3"/>
      <c r="G1821" s="1">
        <v>42.4918032786885</v>
      </c>
      <c r="H1821" s="1">
        <f t="shared" si="143"/>
        <v>42.4918032786885</v>
      </c>
      <c r="I1821" s="1" t="str">
        <f t="shared" si="144"/>
        <v/>
      </c>
      <c r="J1821" s="1" t="str">
        <f>_xlfn.IFNA(INDEX([1]历练产出!$Z:$Z,MATCH(B1821,[1]历练产出!$AB:$AB,0)),"")</f>
        <v/>
      </c>
      <c r="K1821" s="1" t="str">
        <f>_xlfn.IFNA(INDEX([1]洞天福地产出!$H:$H,MATCH(B1821,[1]洞天福地产出!$K:$K,0)),"")</f>
        <v/>
      </c>
      <c r="L1821" s="1" t="str">
        <f t="shared" si="145"/>
        <v/>
      </c>
      <c r="M1821" s="4">
        <f t="shared" si="146"/>
        <v>0</v>
      </c>
    </row>
    <row r="1822" ht="28.5" customHeight="1" spans="1:13">
      <c r="A1822" s="4"/>
      <c r="B1822" t="str">
        <f t="shared" si="142"/>
        <v>8:40000003</v>
      </c>
      <c r="C1822" s="4">
        <v>8</v>
      </c>
      <c r="D1822" s="4">
        <v>40000003</v>
      </c>
      <c r="E1822" s="3" t="s">
        <v>2051</v>
      </c>
      <c r="F1822" s="3"/>
      <c r="G1822" s="1">
        <v>21.2459016393443</v>
      </c>
      <c r="H1822" s="1">
        <f t="shared" si="143"/>
        <v>21.2459016393443</v>
      </c>
      <c r="I1822" s="1" t="str">
        <f t="shared" si="144"/>
        <v/>
      </c>
      <c r="J1822" s="1" t="str">
        <f>_xlfn.IFNA(INDEX([1]历练产出!$Z:$Z,MATCH(B1822,[1]历练产出!$AB:$AB,0)),"")</f>
        <v/>
      </c>
      <c r="K1822" s="1" t="str">
        <f>_xlfn.IFNA(INDEX([1]洞天福地产出!$H:$H,MATCH(B1822,[1]洞天福地产出!$K:$K,0)),"")</f>
        <v/>
      </c>
      <c r="L1822" s="1" t="str">
        <f t="shared" si="145"/>
        <v/>
      </c>
      <c r="M1822" s="4">
        <f t="shared" si="146"/>
        <v>0</v>
      </c>
    </row>
    <row r="1823" ht="28.5" customHeight="1" spans="1:13">
      <c r="A1823" s="4"/>
      <c r="B1823" t="str">
        <f t="shared" si="142"/>
        <v>8:40000004</v>
      </c>
      <c r="C1823" s="4">
        <v>8</v>
      </c>
      <c r="D1823" s="4">
        <v>40000004</v>
      </c>
      <c r="E1823" s="3" t="s">
        <v>2052</v>
      </c>
      <c r="F1823" s="3"/>
      <c r="G1823" s="1">
        <v>10.6229508196721</v>
      </c>
      <c r="H1823" s="1">
        <f t="shared" si="143"/>
        <v>10.6229508196721</v>
      </c>
      <c r="I1823" s="1" t="str">
        <f t="shared" si="144"/>
        <v/>
      </c>
      <c r="J1823" s="1" t="str">
        <f>_xlfn.IFNA(INDEX([1]历练产出!$Z:$Z,MATCH(B1823,[1]历练产出!$AB:$AB,0)),"")</f>
        <v/>
      </c>
      <c r="K1823" s="1" t="str">
        <f>_xlfn.IFNA(INDEX([1]洞天福地产出!$H:$H,MATCH(B1823,[1]洞天福地产出!$K:$K,0)),"")</f>
        <v/>
      </c>
      <c r="L1823" s="1" t="str">
        <f t="shared" si="145"/>
        <v/>
      </c>
      <c r="M1823" s="4">
        <f t="shared" si="146"/>
        <v>0</v>
      </c>
    </row>
    <row r="1824" ht="14.25" customHeight="1" spans="1:13">
      <c r="A1824" s="4"/>
      <c r="B1824" t="str">
        <f t="shared" si="142"/>
        <v>8:41000001</v>
      </c>
      <c r="C1824" s="4">
        <v>8</v>
      </c>
      <c r="D1824" s="4">
        <v>41000001</v>
      </c>
      <c r="E1824" s="3" t="s">
        <v>2053</v>
      </c>
      <c r="F1824" s="3"/>
      <c r="G1824" s="1">
        <v>573.639344262295</v>
      </c>
      <c r="H1824" s="1">
        <f t="shared" si="143"/>
        <v>573.639344262295</v>
      </c>
      <c r="I1824" s="1" t="str">
        <f t="shared" si="144"/>
        <v/>
      </c>
      <c r="J1824" s="1" t="str">
        <f>_xlfn.IFNA(INDEX([1]历练产出!$Z:$Z,MATCH(B1824,[1]历练产出!$AB:$AB,0)),"")</f>
        <v/>
      </c>
      <c r="K1824" s="1" t="str">
        <f>_xlfn.IFNA(INDEX([1]洞天福地产出!$H:$H,MATCH(B1824,[1]洞天福地产出!$K:$K,0)),"")</f>
        <v/>
      </c>
      <c r="L1824" s="1" t="str">
        <f t="shared" si="145"/>
        <v/>
      </c>
      <c r="M1824" s="4">
        <f t="shared" si="146"/>
        <v>0</v>
      </c>
    </row>
    <row r="1825" ht="14.25" customHeight="1" spans="1:13">
      <c r="A1825" s="4"/>
      <c r="B1825" t="str">
        <f t="shared" si="142"/>
        <v>8:41000002</v>
      </c>
      <c r="C1825" s="4">
        <v>8</v>
      </c>
      <c r="D1825" s="4">
        <v>41000002</v>
      </c>
      <c r="E1825" s="3" t="s">
        <v>2054</v>
      </c>
      <c r="F1825" s="3"/>
      <c r="G1825" s="1">
        <v>42.4918032786885</v>
      </c>
      <c r="H1825" s="1">
        <f t="shared" si="143"/>
        <v>42.4918032786885</v>
      </c>
      <c r="I1825" s="1" t="str">
        <f t="shared" si="144"/>
        <v/>
      </c>
      <c r="J1825" s="1" t="str">
        <f>_xlfn.IFNA(INDEX([1]历练产出!$Z:$Z,MATCH(B1825,[1]历练产出!$AB:$AB,0)),"")</f>
        <v/>
      </c>
      <c r="K1825" s="1" t="str">
        <f>_xlfn.IFNA(INDEX([1]洞天福地产出!$H:$H,MATCH(B1825,[1]洞天福地产出!$K:$K,0)),"")</f>
        <v/>
      </c>
      <c r="L1825" s="1" t="str">
        <f t="shared" si="145"/>
        <v/>
      </c>
      <c r="M1825" s="4">
        <f t="shared" si="146"/>
        <v>0</v>
      </c>
    </row>
    <row r="1826" ht="28.5" customHeight="1" spans="1:13">
      <c r="A1826" s="4"/>
      <c r="B1826" t="str">
        <f t="shared" si="142"/>
        <v>8:41000003</v>
      </c>
      <c r="C1826" s="4">
        <v>8</v>
      </c>
      <c r="D1826" s="4">
        <v>41000003</v>
      </c>
      <c r="E1826" s="3" t="s">
        <v>2055</v>
      </c>
      <c r="F1826" s="3"/>
      <c r="G1826" s="1">
        <v>21.2459016393443</v>
      </c>
      <c r="H1826" s="1">
        <f t="shared" si="143"/>
        <v>21.2459016393443</v>
      </c>
      <c r="I1826" s="1" t="str">
        <f t="shared" si="144"/>
        <v/>
      </c>
      <c r="J1826" s="1" t="str">
        <f>_xlfn.IFNA(INDEX([1]历练产出!$Z:$Z,MATCH(B1826,[1]历练产出!$AB:$AB,0)),"")</f>
        <v/>
      </c>
      <c r="K1826" s="1" t="str">
        <f>_xlfn.IFNA(INDEX([1]洞天福地产出!$H:$H,MATCH(B1826,[1]洞天福地产出!$K:$K,0)),"")</f>
        <v/>
      </c>
      <c r="L1826" s="1" t="str">
        <f t="shared" si="145"/>
        <v/>
      </c>
      <c r="M1826" s="4">
        <f t="shared" si="146"/>
        <v>0</v>
      </c>
    </row>
    <row r="1827" ht="28.5" customHeight="1" spans="1:13">
      <c r="A1827" s="4"/>
      <c r="B1827" t="str">
        <f t="shared" si="142"/>
        <v>8:41000004</v>
      </c>
      <c r="C1827" s="4">
        <v>8</v>
      </c>
      <c r="D1827" s="4">
        <v>41000004</v>
      </c>
      <c r="E1827" s="3" t="s">
        <v>2056</v>
      </c>
      <c r="F1827" s="3"/>
      <c r="G1827" s="1">
        <v>10.6229508196721</v>
      </c>
      <c r="H1827" s="1">
        <f t="shared" si="143"/>
        <v>10.6229508196721</v>
      </c>
      <c r="I1827" s="1" t="str">
        <f t="shared" si="144"/>
        <v/>
      </c>
      <c r="J1827" s="1" t="str">
        <f>_xlfn.IFNA(INDEX([1]历练产出!$Z:$Z,MATCH(B1827,[1]历练产出!$AB:$AB,0)),"")</f>
        <v/>
      </c>
      <c r="K1827" s="1" t="str">
        <f>_xlfn.IFNA(INDEX([1]洞天福地产出!$H:$H,MATCH(B1827,[1]洞天福地产出!$K:$K,0)),"")</f>
        <v/>
      </c>
      <c r="L1827" s="1" t="str">
        <f t="shared" si="145"/>
        <v/>
      </c>
      <c r="M1827" s="4">
        <f t="shared" si="146"/>
        <v>0</v>
      </c>
    </row>
  </sheetData>
  <mergeCells count="192">
    <mergeCell ref="J1:K1"/>
    <mergeCell ref="E13:F13"/>
    <mergeCell ref="E17:F17"/>
    <mergeCell ref="E19:F19"/>
    <mergeCell ref="E20:F20"/>
    <mergeCell ref="E21:F21"/>
    <mergeCell ref="E22:F22"/>
    <mergeCell ref="E24:F24"/>
    <mergeCell ref="E25:F25"/>
    <mergeCell ref="E26:F26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7:F37"/>
    <mergeCell ref="E38:F38"/>
    <mergeCell ref="E108:F108"/>
    <mergeCell ref="E109:F109"/>
    <mergeCell ref="E110:F110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1:F121"/>
    <mergeCell ref="E122:F122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224:F224"/>
    <mergeCell ref="E225:F225"/>
    <mergeCell ref="E1640:F1640"/>
    <mergeCell ref="E1641:F1641"/>
    <mergeCell ref="E1642:F1642"/>
    <mergeCell ref="E1643:F1643"/>
    <mergeCell ref="E1644:F1644"/>
    <mergeCell ref="E1645:F1645"/>
    <mergeCell ref="E1646:F1646"/>
    <mergeCell ref="E1647:F1647"/>
    <mergeCell ref="E1648:F1648"/>
    <mergeCell ref="E1649:F1649"/>
    <mergeCell ref="E1650:F1650"/>
    <mergeCell ref="E1651:F1651"/>
    <mergeCell ref="E1652:F1652"/>
    <mergeCell ref="E1653:F1653"/>
    <mergeCell ref="E1654:F1654"/>
    <mergeCell ref="E1655:F1655"/>
    <mergeCell ref="E1656:F1656"/>
    <mergeCell ref="E1657:F1657"/>
    <mergeCell ref="E1658:F1658"/>
    <mergeCell ref="E1659:F1659"/>
    <mergeCell ref="E1660:F1660"/>
    <mergeCell ref="E1661:F1661"/>
    <mergeCell ref="E1662:F1662"/>
    <mergeCell ref="E1663:F1663"/>
    <mergeCell ref="E1664:F1664"/>
    <mergeCell ref="E1665:F1665"/>
    <mergeCell ref="E1666:F1666"/>
    <mergeCell ref="E1667:F1667"/>
    <mergeCell ref="E1668:F1668"/>
    <mergeCell ref="E1669:F1669"/>
    <mergeCell ref="E1670:F1670"/>
    <mergeCell ref="E1671:F1671"/>
    <mergeCell ref="E1672:F1672"/>
    <mergeCell ref="E1673:F1673"/>
    <mergeCell ref="E1674:F1674"/>
    <mergeCell ref="E1675:F1675"/>
    <mergeCell ref="E1676:F1676"/>
    <mergeCell ref="E1677:F1677"/>
    <mergeCell ref="E1678:F1678"/>
    <mergeCell ref="E1679:F1679"/>
    <mergeCell ref="E1680:F1680"/>
    <mergeCell ref="E1681:F1681"/>
    <mergeCell ref="E1682:F1682"/>
    <mergeCell ref="E1683:F1683"/>
    <mergeCell ref="E1684:F1684"/>
    <mergeCell ref="E1685:F1685"/>
    <mergeCell ref="E1686:F1686"/>
    <mergeCell ref="E1687:F1687"/>
    <mergeCell ref="E1688:F1688"/>
    <mergeCell ref="E1689:F1689"/>
    <mergeCell ref="E1690:F1690"/>
    <mergeCell ref="E1691:F1691"/>
    <mergeCell ref="E1692:F1692"/>
    <mergeCell ref="E1693:F1693"/>
    <mergeCell ref="E1694:F1694"/>
    <mergeCell ref="E1695:F1695"/>
    <mergeCell ref="E1696:F1696"/>
    <mergeCell ref="E1697:F1697"/>
    <mergeCell ref="E1698:F1698"/>
    <mergeCell ref="E1699:F1699"/>
    <mergeCell ref="E1708:F1708"/>
    <mergeCell ref="E1709:F1709"/>
    <mergeCell ref="E1710:F1710"/>
    <mergeCell ref="E1711:F1711"/>
    <mergeCell ref="E1712:F1712"/>
    <mergeCell ref="E1713:F1713"/>
    <mergeCell ref="E1714:F1714"/>
    <mergeCell ref="E1715:F1715"/>
    <mergeCell ref="E1716:F1716"/>
    <mergeCell ref="E1717:F1717"/>
    <mergeCell ref="E1718:F1718"/>
    <mergeCell ref="E1719:F1719"/>
    <mergeCell ref="E1720:F1720"/>
    <mergeCell ref="E1721:F1721"/>
    <mergeCell ref="E1722:F1722"/>
    <mergeCell ref="E1723:F1723"/>
    <mergeCell ref="E1724:F1724"/>
    <mergeCell ref="E1725:F1725"/>
    <mergeCell ref="E1726:F1726"/>
    <mergeCell ref="E1727:F1727"/>
    <mergeCell ref="E1728:F1728"/>
    <mergeCell ref="E1729:F1729"/>
    <mergeCell ref="E1730:F1730"/>
    <mergeCell ref="E1731:F1731"/>
    <mergeCell ref="E1732:F1732"/>
    <mergeCell ref="E1733:F1733"/>
    <mergeCell ref="E1734:F1734"/>
    <mergeCell ref="E1735:F1735"/>
    <mergeCell ref="E1736:F1736"/>
    <mergeCell ref="E1737:F1737"/>
    <mergeCell ref="E1738:F1738"/>
    <mergeCell ref="E1739:F1739"/>
    <mergeCell ref="E1744:F1744"/>
    <mergeCell ref="E1745:F1745"/>
    <mergeCell ref="E1746:F1746"/>
    <mergeCell ref="E1747:F1747"/>
    <mergeCell ref="E1756:F1756"/>
    <mergeCell ref="E1757:F1757"/>
    <mergeCell ref="E1758:F1758"/>
    <mergeCell ref="E1759:F1759"/>
    <mergeCell ref="E1760:F1760"/>
    <mergeCell ref="E1761:F1761"/>
    <mergeCell ref="E1762:F1762"/>
    <mergeCell ref="E1763:F1763"/>
    <mergeCell ref="E1764:F1764"/>
    <mergeCell ref="E1765:F1765"/>
    <mergeCell ref="E1766:F1766"/>
    <mergeCell ref="E1767:F1767"/>
    <mergeCell ref="E1776:F1776"/>
    <mergeCell ref="E1777:F1777"/>
    <mergeCell ref="E1778:F1778"/>
    <mergeCell ref="E1779:F1779"/>
    <mergeCell ref="E1780:F1780"/>
    <mergeCell ref="E1781:F1781"/>
    <mergeCell ref="E1782:F1782"/>
    <mergeCell ref="E1783:F1783"/>
    <mergeCell ref="E1792:F1792"/>
    <mergeCell ref="E1793:F1793"/>
    <mergeCell ref="E1794:F1794"/>
    <mergeCell ref="E1795:F1795"/>
    <mergeCell ref="E1796:F1796"/>
    <mergeCell ref="E1797:F1797"/>
    <mergeCell ref="E1798:F1798"/>
    <mergeCell ref="E1799:F1799"/>
    <mergeCell ref="E1804:F1804"/>
    <mergeCell ref="E1805:F1805"/>
    <mergeCell ref="E1806:F1806"/>
    <mergeCell ref="E1807:F1807"/>
    <mergeCell ref="E1808:F1808"/>
    <mergeCell ref="E1809:F1809"/>
    <mergeCell ref="E1810:F1810"/>
    <mergeCell ref="E1811:F1811"/>
    <mergeCell ref="E1816:F1816"/>
    <mergeCell ref="E1817:F1817"/>
    <mergeCell ref="E1818:F1818"/>
    <mergeCell ref="E1819:F1819"/>
    <mergeCell ref="E1820:F1820"/>
    <mergeCell ref="E1821:F1821"/>
    <mergeCell ref="E1822:F1822"/>
    <mergeCell ref="E1823:F1823"/>
    <mergeCell ref="E1824:F1824"/>
    <mergeCell ref="E1825:F1825"/>
    <mergeCell ref="E1826:F1826"/>
    <mergeCell ref="E1827:F1827"/>
  </mergeCells>
  <conditionalFormatting sqref="S3:S13">
    <cfRule type="duplicateValues" dxfId="0" priority="91"/>
    <cfRule type="duplicateValues" dxfId="1" priority="96"/>
    <cfRule type="duplicateValues" dxfId="0" priority="98"/>
    <cfRule type="duplicateValues" dxfId="0" priority="101"/>
    <cfRule type="duplicateValues" dxfId="2" priority="104"/>
  </conditionalFormatting>
  <conditionalFormatting sqref="S3:T13">
    <cfRule type="duplicateValues" priority="94"/>
  </conditionalFormatting>
  <pageMargins left="0.7" right="0.7" top="0.75" bottom="0.75" header="0.3" footer="0.3"/>
  <pageSetup paperSize="9" orientation="portrait" horizontalDpi="300" verticalDpi="30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U474"/>
  <sheetViews>
    <sheetView topLeftCell="A272" workbookViewId="0">
      <selection activeCell="F276" sqref="F276"/>
    </sheetView>
  </sheetViews>
  <sheetFormatPr defaultColWidth="14.1238095238095" defaultRowHeight="13.5"/>
  <cols>
    <col min="1" max="6" width="14.1238095238095" style="1"/>
    <col min="7" max="7" width="81.5047619047619" style="2" customWidth="1"/>
    <col min="8" max="16384" width="14.1238095238095" style="1"/>
  </cols>
  <sheetData>
    <row r="1" spans="2:2">
      <c r="B1" s="1" t="s">
        <v>2477</v>
      </c>
    </row>
    <row r="2" ht="30" spans="1:10">
      <c r="A2" s="1" t="str">
        <f t="shared" ref="A2:A63" si="0">B2&amp;":"&amp;C2</f>
        <v>3:100001</v>
      </c>
      <c r="B2" s="1">
        <v>3</v>
      </c>
      <c r="C2" s="1">
        <v>100001</v>
      </c>
      <c r="D2" s="3" t="s">
        <v>2057</v>
      </c>
      <c r="E2" s="3" t="s">
        <v>2489</v>
      </c>
      <c r="F2" s="3" t="s">
        <v>2490</v>
      </c>
      <c r="G2" s="3" t="s">
        <v>2491</v>
      </c>
      <c r="J2" s="1">
        <f>648/4000</f>
        <v>0.162</v>
      </c>
    </row>
    <row r="3" ht="30" spans="1:10">
      <c r="A3" s="1" t="str">
        <f t="shared" si="0"/>
        <v>3:100002</v>
      </c>
      <c r="B3" s="1">
        <v>3</v>
      </c>
      <c r="C3" s="1">
        <v>100002</v>
      </c>
      <c r="D3" s="3" t="s">
        <v>2058</v>
      </c>
      <c r="E3" s="3" t="s">
        <v>2492</v>
      </c>
      <c r="F3" s="3" t="s">
        <v>2490</v>
      </c>
      <c r="G3" s="3" t="s">
        <v>2493</v>
      </c>
      <c r="J3" s="1">
        <v>1</v>
      </c>
    </row>
    <row r="4" ht="30" spans="1:10">
      <c r="A4" s="1" t="str">
        <f t="shared" si="0"/>
        <v>3:100003</v>
      </c>
      <c r="B4" s="1">
        <v>3</v>
      </c>
      <c r="C4" s="1">
        <v>100003</v>
      </c>
      <c r="D4" s="3" t="s">
        <v>2059</v>
      </c>
      <c r="E4" s="3" t="s">
        <v>2492</v>
      </c>
      <c r="F4" s="3" t="s">
        <v>2490</v>
      </c>
      <c r="G4" s="3" t="s">
        <v>2494</v>
      </c>
      <c r="J4" s="1">
        <v>1</v>
      </c>
    </row>
    <row r="5" ht="15" spans="1:10">
      <c r="A5" s="1" t="str">
        <f t="shared" si="0"/>
        <v>3:100004</v>
      </c>
      <c r="B5" s="1">
        <v>3</v>
      </c>
      <c r="C5" s="1">
        <v>100004</v>
      </c>
      <c r="D5" s="3" t="s">
        <v>2060</v>
      </c>
      <c r="E5" s="3" t="s">
        <v>2495</v>
      </c>
      <c r="F5" s="3" t="s">
        <v>2490</v>
      </c>
      <c r="G5" s="3" t="s">
        <v>2496</v>
      </c>
      <c r="J5" s="1">
        <f>648/20000</f>
        <v>0.0324</v>
      </c>
    </row>
    <row r="6" ht="30" spans="1:10">
      <c r="A6" s="1" t="str">
        <f t="shared" si="0"/>
        <v>3:100007</v>
      </c>
      <c r="B6" s="1">
        <v>3</v>
      </c>
      <c r="C6" s="1">
        <v>100007</v>
      </c>
      <c r="D6" s="3" t="s">
        <v>2061</v>
      </c>
      <c r="E6" s="3" t="s">
        <v>2497</v>
      </c>
      <c r="F6" s="3" t="s">
        <v>2490</v>
      </c>
      <c r="G6" s="3" t="s">
        <v>2498</v>
      </c>
      <c r="J6" s="1">
        <v>1</v>
      </c>
    </row>
    <row r="7" ht="45" spans="1:10">
      <c r="A7" s="1" t="str">
        <f t="shared" si="0"/>
        <v>3:100008</v>
      </c>
      <c r="B7" s="1">
        <v>3</v>
      </c>
      <c r="C7" s="1">
        <v>100008</v>
      </c>
      <c r="D7" s="3" t="s">
        <v>2062</v>
      </c>
      <c r="E7" s="3" t="s">
        <v>2499</v>
      </c>
      <c r="F7" s="3" t="s">
        <v>2490</v>
      </c>
      <c r="G7" s="3" t="s">
        <v>2500</v>
      </c>
      <c r="J7" s="1">
        <v>1</v>
      </c>
    </row>
    <row r="8" ht="30" spans="1:10">
      <c r="A8" s="1" t="str">
        <f t="shared" si="0"/>
        <v>3:100009</v>
      </c>
      <c r="B8" s="1">
        <v>3</v>
      </c>
      <c r="C8" s="1">
        <v>100009</v>
      </c>
      <c r="D8" s="3" t="s">
        <v>2063</v>
      </c>
      <c r="E8" s="3" t="s">
        <v>2501</v>
      </c>
      <c r="F8" s="3" t="s">
        <v>2490</v>
      </c>
      <c r="G8" s="3" t="s">
        <v>2502</v>
      </c>
      <c r="J8" s="1">
        <v>1</v>
      </c>
    </row>
    <row r="9" ht="30" spans="1:10">
      <c r="A9" s="1" t="str">
        <f t="shared" si="0"/>
        <v>3:100010</v>
      </c>
      <c r="B9" s="1">
        <v>3</v>
      </c>
      <c r="C9" s="1">
        <v>100010</v>
      </c>
      <c r="D9" s="3" t="s">
        <v>2064</v>
      </c>
      <c r="E9" s="3" t="s">
        <v>2503</v>
      </c>
      <c r="F9" s="3" t="s">
        <v>2490</v>
      </c>
      <c r="G9" s="3" t="s">
        <v>2504</v>
      </c>
      <c r="J9" s="1">
        <v>1</v>
      </c>
    </row>
    <row r="10" ht="30" spans="1:10">
      <c r="A10" s="1" t="str">
        <f t="shared" si="0"/>
        <v>3:100011</v>
      </c>
      <c r="B10" s="1">
        <v>3</v>
      </c>
      <c r="C10" s="1">
        <v>100011</v>
      </c>
      <c r="D10" s="3" t="s">
        <v>2065</v>
      </c>
      <c r="E10" s="3" t="s">
        <v>2505</v>
      </c>
      <c r="F10" s="3" t="s">
        <v>2490</v>
      </c>
      <c r="G10" s="3" t="s">
        <v>2506</v>
      </c>
      <c r="J10" s="1">
        <v>1</v>
      </c>
    </row>
    <row r="11" ht="30" spans="1:10">
      <c r="A11" s="1" t="str">
        <f t="shared" si="0"/>
        <v>3:100013</v>
      </c>
      <c r="B11" s="1">
        <v>3</v>
      </c>
      <c r="C11" s="1">
        <v>100013</v>
      </c>
      <c r="D11" s="3" t="s">
        <v>2066</v>
      </c>
      <c r="E11" s="3" t="s">
        <v>2507</v>
      </c>
      <c r="F11" s="3" t="s">
        <v>2490</v>
      </c>
      <c r="G11" s="3" t="s">
        <v>2508</v>
      </c>
      <c r="J11" s="1">
        <v>1</v>
      </c>
    </row>
    <row r="12" ht="30" spans="1:10">
      <c r="A12" s="1" t="str">
        <f t="shared" si="0"/>
        <v>3:100014</v>
      </c>
      <c r="B12" s="1">
        <v>3</v>
      </c>
      <c r="C12" s="1">
        <v>100014</v>
      </c>
      <c r="D12" s="3" t="s">
        <v>2067</v>
      </c>
      <c r="E12" s="3" t="s">
        <v>2507</v>
      </c>
      <c r="F12" s="3" t="s">
        <v>2490</v>
      </c>
      <c r="G12" s="3" t="s">
        <v>2509</v>
      </c>
      <c r="J12" s="1">
        <v>1</v>
      </c>
    </row>
    <row r="13" ht="30" spans="1:10">
      <c r="A13" s="1" t="str">
        <f t="shared" si="0"/>
        <v>3:100015</v>
      </c>
      <c r="B13" s="1">
        <v>3</v>
      </c>
      <c r="C13" s="1">
        <v>100015</v>
      </c>
      <c r="D13" s="3" t="s">
        <v>2068</v>
      </c>
      <c r="E13" s="3" t="s">
        <v>2507</v>
      </c>
      <c r="F13" s="3" t="s">
        <v>2490</v>
      </c>
      <c r="G13" s="3" t="s">
        <v>2510</v>
      </c>
      <c r="J13" s="1">
        <v>1</v>
      </c>
    </row>
    <row r="14" ht="30" spans="1:10">
      <c r="A14" s="1" t="str">
        <f t="shared" si="0"/>
        <v>3:100016</v>
      </c>
      <c r="B14" s="1">
        <v>3</v>
      </c>
      <c r="C14" s="1">
        <v>100016</v>
      </c>
      <c r="D14" s="3" t="s">
        <v>2069</v>
      </c>
      <c r="E14" s="3" t="s">
        <v>2507</v>
      </c>
      <c r="F14" s="3" t="s">
        <v>2490</v>
      </c>
      <c r="G14" s="3" t="s">
        <v>2511</v>
      </c>
      <c r="J14" s="1">
        <v>1</v>
      </c>
    </row>
    <row r="15" ht="30" spans="1:10">
      <c r="A15" s="1" t="str">
        <f t="shared" si="0"/>
        <v>3:100017</v>
      </c>
      <c r="B15" s="1">
        <v>3</v>
      </c>
      <c r="C15" s="1">
        <v>100017</v>
      </c>
      <c r="D15" s="3" t="s">
        <v>2070</v>
      </c>
      <c r="E15" s="3" t="s">
        <v>2507</v>
      </c>
      <c r="F15" s="3" t="s">
        <v>2490</v>
      </c>
      <c r="G15" s="3" t="s">
        <v>2512</v>
      </c>
      <c r="J15" s="1">
        <v>1</v>
      </c>
    </row>
    <row r="16" ht="30" spans="1:10">
      <c r="A16" s="1" t="str">
        <f t="shared" si="0"/>
        <v>3:100018</v>
      </c>
      <c r="B16" s="1">
        <v>3</v>
      </c>
      <c r="C16" s="1">
        <v>100018</v>
      </c>
      <c r="D16" s="3" t="s">
        <v>2071</v>
      </c>
      <c r="E16" s="3" t="s">
        <v>2513</v>
      </c>
      <c r="F16" s="3" t="s">
        <v>2490</v>
      </c>
      <c r="G16" s="3" t="s">
        <v>2514</v>
      </c>
      <c r="J16" s="1">
        <v>1</v>
      </c>
    </row>
    <row r="17" ht="30" spans="1:10">
      <c r="A17" s="1" t="str">
        <f t="shared" si="0"/>
        <v>3:100024</v>
      </c>
      <c r="B17" s="1">
        <v>3</v>
      </c>
      <c r="C17" s="1">
        <v>100024</v>
      </c>
      <c r="D17" s="3" t="s">
        <v>2072</v>
      </c>
      <c r="E17" s="3" t="s">
        <v>2515</v>
      </c>
      <c r="F17" s="3" t="s">
        <v>2490</v>
      </c>
      <c r="G17" s="3" t="s">
        <v>2516</v>
      </c>
      <c r="J17" s="1">
        <f>J18/30</f>
        <v>1.08</v>
      </c>
    </row>
    <row r="18" ht="30" spans="1:10">
      <c r="A18" s="1" t="str">
        <f t="shared" si="0"/>
        <v>3:100025</v>
      </c>
      <c r="B18" s="1">
        <v>3</v>
      </c>
      <c r="C18" s="1">
        <v>100025</v>
      </c>
      <c r="D18" s="3" t="s">
        <v>2073</v>
      </c>
      <c r="E18" s="3" t="s">
        <v>2517</v>
      </c>
      <c r="F18" s="3" t="s">
        <v>2490</v>
      </c>
      <c r="G18" s="3" t="s">
        <v>2518</v>
      </c>
      <c r="J18" s="1">
        <f>648/20</f>
        <v>32.4</v>
      </c>
    </row>
    <row r="19" ht="30" spans="1:10">
      <c r="A19" s="1" t="str">
        <f t="shared" si="0"/>
        <v>3:100026</v>
      </c>
      <c r="B19" s="1">
        <v>3</v>
      </c>
      <c r="C19" s="1">
        <v>100026</v>
      </c>
      <c r="D19" s="3" t="s">
        <v>2074</v>
      </c>
      <c r="E19" s="3" t="s">
        <v>2519</v>
      </c>
      <c r="F19" s="3" t="s">
        <v>2490</v>
      </c>
      <c r="G19" s="3" t="s">
        <v>2520</v>
      </c>
      <c r="J19" s="1">
        <v>32.4</v>
      </c>
    </row>
    <row r="20" ht="30" spans="1:10">
      <c r="A20" s="1" t="str">
        <f t="shared" si="0"/>
        <v>3:100028</v>
      </c>
      <c r="B20" s="1">
        <v>3</v>
      </c>
      <c r="C20" s="1">
        <v>100028</v>
      </c>
      <c r="D20" s="3" t="s">
        <v>2075</v>
      </c>
      <c r="E20" s="3" t="s">
        <v>2515</v>
      </c>
      <c r="F20" s="3" t="s">
        <v>2490</v>
      </c>
      <c r="G20" s="3" t="s">
        <v>2521</v>
      </c>
      <c r="J20" s="1">
        <v>1</v>
      </c>
    </row>
    <row r="21" ht="30" spans="1:10">
      <c r="A21" s="1" t="str">
        <f t="shared" si="0"/>
        <v>3:100029</v>
      </c>
      <c r="B21" s="1">
        <v>3</v>
      </c>
      <c r="C21" s="1">
        <v>100029</v>
      </c>
      <c r="D21" s="3" t="s">
        <v>2076</v>
      </c>
      <c r="E21" s="3" t="s">
        <v>2522</v>
      </c>
      <c r="F21" s="3" t="s">
        <v>2490</v>
      </c>
      <c r="G21" s="3" t="s">
        <v>2523</v>
      </c>
      <c r="J21" s="1">
        <f>328/40</f>
        <v>8.2</v>
      </c>
    </row>
    <row r="22" ht="30" spans="1:10">
      <c r="A22" s="1" t="str">
        <f t="shared" si="0"/>
        <v>3:100030</v>
      </c>
      <c r="B22" s="1">
        <v>3</v>
      </c>
      <c r="C22" s="1">
        <v>100030</v>
      </c>
      <c r="D22" s="3" t="s">
        <v>2077</v>
      </c>
      <c r="E22" s="3" t="s">
        <v>2524</v>
      </c>
      <c r="F22" s="3" t="s">
        <v>2490</v>
      </c>
      <c r="G22" s="3" t="s">
        <v>2525</v>
      </c>
      <c r="J22" s="1">
        <f>328/350000</f>
        <v>0.000937142857142857</v>
      </c>
    </row>
    <row r="23" ht="30" spans="1:10">
      <c r="A23" s="1" t="str">
        <f t="shared" si="0"/>
        <v>3:100031</v>
      </c>
      <c r="B23" s="1">
        <v>3</v>
      </c>
      <c r="C23" s="1">
        <v>100031</v>
      </c>
      <c r="D23" s="3" t="s">
        <v>2078</v>
      </c>
      <c r="E23" s="3" t="s">
        <v>2526</v>
      </c>
      <c r="F23" s="3" t="s">
        <v>2490</v>
      </c>
      <c r="G23" s="3" t="s">
        <v>2527</v>
      </c>
      <c r="J23" s="1">
        <v>1</v>
      </c>
    </row>
    <row r="24" ht="30" spans="1:10">
      <c r="A24" s="1" t="str">
        <f t="shared" si="0"/>
        <v>3:100032</v>
      </c>
      <c r="B24" s="1">
        <v>3</v>
      </c>
      <c r="C24" s="1">
        <v>100032</v>
      </c>
      <c r="D24" s="3" t="s">
        <v>2079</v>
      </c>
      <c r="E24" s="3" t="s">
        <v>2528</v>
      </c>
      <c r="F24" s="3" t="s">
        <v>2490</v>
      </c>
      <c r="G24" s="3" t="s">
        <v>2529</v>
      </c>
      <c r="J24" s="1">
        <v>1</v>
      </c>
    </row>
    <row r="25" ht="30" spans="1:10">
      <c r="A25" s="1" t="str">
        <f t="shared" si="0"/>
        <v>3:100033</v>
      </c>
      <c r="B25" s="1">
        <v>3</v>
      </c>
      <c r="C25" s="1">
        <v>100033</v>
      </c>
      <c r="D25" s="3" t="s">
        <v>2080</v>
      </c>
      <c r="E25" s="3" t="s">
        <v>2528</v>
      </c>
      <c r="F25" s="3" t="s">
        <v>2490</v>
      </c>
      <c r="G25" s="3" t="s">
        <v>2530</v>
      </c>
      <c r="J25" s="1">
        <v>1</v>
      </c>
    </row>
    <row r="26" ht="30" spans="1:10">
      <c r="A26" s="1" t="str">
        <f t="shared" si="0"/>
        <v>3:100034</v>
      </c>
      <c r="B26" s="1">
        <v>3</v>
      </c>
      <c r="C26" s="1">
        <v>100034</v>
      </c>
      <c r="D26" s="3" t="s">
        <v>2081</v>
      </c>
      <c r="E26" s="3" t="s">
        <v>2528</v>
      </c>
      <c r="F26" s="3" t="s">
        <v>2490</v>
      </c>
      <c r="G26" s="3" t="s">
        <v>2531</v>
      </c>
      <c r="J26" s="1">
        <v>1</v>
      </c>
    </row>
    <row r="27" ht="30" spans="1:10">
      <c r="A27" s="1" t="str">
        <f t="shared" si="0"/>
        <v>3:100035</v>
      </c>
      <c r="B27" s="1">
        <v>3</v>
      </c>
      <c r="C27" s="1">
        <v>100035</v>
      </c>
      <c r="D27" s="3" t="s">
        <v>2082</v>
      </c>
      <c r="E27" s="3" t="s">
        <v>2528</v>
      </c>
      <c r="F27" s="3" t="s">
        <v>2490</v>
      </c>
      <c r="G27" s="3" t="s">
        <v>2532</v>
      </c>
      <c r="J27" s="1">
        <v>1</v>
      </c>
    </row>
    <row r="28" ht="30" spans="1:10">
      <c r="A28" s="1" t="str">
        <f t="shared" si="0"/>
        <v>3:100036</v>
      </c>
      <c r="B28" s="1">
        <v>3</v>
      </c>
      <c r="C28" s="1">
        <v>100036</v>
      </c>
      <c r="D28" s="3" t="s">
        <v>2083</v>
      </c>
      <c r="E28" s="3" t="s">
        <v>2533</v>
      </c>
      <c r="F28" s="3" t="s">
        <v>2490</v>
      </c>
      <c r="G28" s="3" t="s">
        <v>2534</v>
      </c>
      <c r="J28" s="1">
        <f>648/1500</f>
        <v>0.432</v>
      </c>
    </row>
    <row r="29" ht="30" spans="1:10">
      <c r="A29" s="1" t="str">
        <f t="shared" si="0"/>
        <v>3:100047</v>
      </c>
      <c r="B29" s="1">
        <v>3</v>
      </c>
      <c r="C29" s="1">
        <v>100047</v>
      </c>
      <c r="D29" s="3" t="s">
        <v>2084</v>
      </c>
      <c r="E29" s="3" t="s">
        <v>2497</v>
      </c>
      <c r="F29" s="3" t="s">
        <v>2490</v>
      </c>
      <c r="G29" s="3" t="s">
        <v>2535</v>
      </c>
      <c r="J29" s="1">
        <f>648/50</f>
        <v>12.96</v>
      </c>
    </row>
    <row r="30" ht="30" spans="1:10">
      <c r="A30" s="1" t="str">
        <f t="shared" si="0"/>
        <v>3:100048</v>
      </c>
      <c r="B30" s="1">
        <v>3</v>
      </c>
      <c r="C30" s="1">
        <v>100048</v>
      </c>
      <c r="D30" s="3" t="s">
        <v>2085</v>
      </c>
      <c r="E30" s="3" t="s">
        <v>2497</v>
      </c>
      <c r="F30" s="3" t="s">
        <v>2490</v>
      </c>
      <c r="G30" s="3" t="s">
        <v>2536</v>
      </c>
      <c r="J30" s="1">
        <f t="shared" ref="J30:J33" si="1">648/50</f>
        <v>12.96</v>
      </c>
    </row>
    <row r="31" ht="30" spans="1:20">
      <c r="A31" s="1" t="str">
        <f t="shared" si="0"/>
        <v>3:100049</v>
      </c>
      <c r="B31" s="1">
        <v>3</v>
      </c>
      <c r="C31" s="1">
        <v>100049</v>
      </c>
      <c r="D31" s="3" t="s">
        <v>2086</v>
      </c>
      <c r="E31" s="3" t="s">
        <v>2497</v>
      </c>
      <c r="F31" s="3" t="s">
        <v>2490</v>
      </c>
      <c r="G31" s="3" t="s">
        <v>2537</v>
      </c>
      <c r="J31" s="1">
        <f t="shared" si="1"/>
        <v>12.96</v>
      </c>
      <c r="O31" s="1">
        <f>648/30</f>
        <v>21.6</v>
      </c>
      <c r="T31" s="1">
        <v>648</v>
      </c>
    </row>
    <row r="32" ht="30" spans="1:21">
      <c r="A32" s="1" t="str">
        <f t="shared" si="0"/>
        <v>3:100050</v>
      </c>
      <c r="B32" s="1">
        <v>3</v>
      </c>
      <c r="C32" s="1">
        <v>100050</v>
      </c>
      <c r="D32" s="3" t="s">
        <v>2087</v>
      </c>
      <c r="E32" s="3" t="s">
        <v>2497</v>
      </c>
      <c r="F32" s="3" t="s">
        <v>2490</v>
      </c>
      <c r="G32" s="3" t="s">
        <v>2538</v>
      </c>
      <c r="J32" s="1">
        <f t="shared" si="1"/>
        <v>12.96</v>
      </c>
      <c r="N32" s="1">
        <v>100</v>
      </c>
      <c r="O32" s="1">
        <f>N32*$J$42</f>
        <v>4.05</v>
      </c>
      <c r="P32" s="1">
        <f>O31+O32</f>
        <v>25.65</v>
      </c>
      <c r="Q32" s="1">
        <v>200</v>
      </c>
      <c r="R32" s="1">
        <f>Q32*$J$42</f>
        <v>8.1</v>
      </c>
      <c r="T32" s="1">
        <f t="shared" ref="T32:T61" si="2">S32+R32</f>
        <v>8.1</v>
      </c>
      <c r="U32" s="1">
        <f>T31+T32</f>
        <v>656.1</v>
      </c>
    </row>
    <row r="33" ht="30" spans="1:21">
      <c r="A33" s="1" t="str">
        <f t="shared" si="0"/>
        <v>3:100051</v>
      </c>
      <c r="B33" s="1">
        <v>3</v>
      </c>
      <c r="C33" s="1">
        <v>100051</v>
      </c>
      <c r="D33" s="3" t="s">
        <v>2088</v>
      </c>
      <c r="E33" s="3" t="s">
        <v>2497</v>
      </c>
      <c r="F33" s="3" t="s">
        <v>2490</v>
      </c>
      <c r="G33" s="3" t="s">
        <v>2539</v>
      </c>
      <c r="J33" s="1">
        <f t="shared" si="1"/>
        <v>12.96</v>
      </c>
      <c r="N33" s="1">
        <v>250</v>
      </c>
      <c r="O33" s="1">
        <f t="shared" ref="O33:O61" si="3">N33*$J$42</f>
        <v>10.125</v>
      </c>
      <c r="P33" s="1">
        <f>O33+P32</f>
        <v>35.775</v>
      </c>
      <c r="Q33" s="1">
        <v>500</v>
      </c>
      <c r="R33" s="1">
        <f t="shared" ref="R33:R61" si="4">Q33*$J$42</f>
        <v>20.25</v>
      </c>
      <c r="T33" s="1">
        <f t="shared" si="2"/>
        <v>20.25</v>
      </c>
      <c r="U33" s="1">
        <f>U32+T33</f>
        <v>676.35</v>
      </c>
    </row>
    <row r="34" ht="30" spans="1:21">
      <c r="A34" s="1" t="str">
        <f t="shared" si="0"/>
        <v>3:100057</v>
      </c>
      <c r="B34" s="1">
        <v>3</v>
      </c>
      <c r="C34" s="1">
        <v>100057</v>
      </c>
      <c r="D34" s="3" t="s">
        <v>2089</v>
      </c>
      <c r="E34" s="3" t="s">
        <v>2540</v>
      </c>
      <c r="F34" s="3" t="s">
        <v>2490</v>
      </c>
      <c r="G34" s="3" t="s">
        <v>2541</v>
      </c>
      <c r="J34" s="1">
        <v>100</v>
      </c>
      <c r="N34" s="1">
        <v>400</v>
      </c>
      <c r="O34" s="1">
        <f t="shared" si="3"/>
        <v>16.2</v>
      </c>
      <c r="P34" s="1">
        <f t="shared" ref="P34:P61" si="5">O34+P33</f>
        <v>51.975</v>
      </c>
      <c r="Q34" s="1">
        <v>800</v>
      </c>
      <c r="R34" s="1">
        <f t="shared" si="4"/>
        <v>32.4</v>
      </c>
      <c r="T34" s="1">
        <f t="shared" si="2"/>
        <v>32.4</v>
      </c>
      <c r="U34" s="1">
        <f t="shared" ref="U34:U61" si="6">U33+T34</f>
        <v>708.75</v>
      </c>
    </row>
    <row r="35" ht="30" spans="1:21">
      <c r="A35" s="1" t="str">
        <f t="shared" si="0"/>
        <v>3:100059</v>
      </c>
      <c r="B35" s="1">
        <v>3</v>
      </c>
      <c r="C35" s="1">
        <v>100059</v>
      </c>
      <c r="D35" s="3" t="s">
        <v>2090</v>
      </c>
      <c r="E35" s="3" t="s">
        <v>2528</v>
      </c>
      <c r="F35" s="3" t="s">
        <v>2490</v>
      </c>
      <c r="G35" s="3" t="s">
        <v>2542</v>
      </c>
      <c r="J35" s="1">
        <f>648/300</f>
        <v>2.16</v>
      </c>
      <c r="N35" s="1">
        <v>550</v>
      </c>
      <c r="O35" s="1">
        <f t="shared" si="3"/>
        <v>22.275</v>
      </c>
      <c r="P35" s="1">
        <f t="shared" si="5"/>
        <v>74.25</v>
      </c>
      <c r="Q35" s="1">
        <v>1100</v>
      </c>
      <c r="R35" s="1">
        <f t="shared" si="4"/>
        <v>44.55</v>
      </c>
      <c r="T35" s="1">
        <f t="shared" si="2"/>
        <v>44.55</v>
      </c>
      <c r="U35" s="1">
        <f t="shared" si="6"/>
        <v>753.3</v>
      </c>
    </row>
    <row r="36" ht="30" spans="1:21">
      <c r="A36" s="1" t="str">
        <f t="shared" si="0"/>
        <v>3:100096</v>
      </c>
      <c r="B36" s="1">
        <v>3</v>
      </c>
      <c r="C36" s="1">
        <v>100096</v>
      </c>
      <c r="D36" s="3" t="s">
        <v>2091</v>
      </c>
      <c r="E36" s="3" t="s">
        <v>2497</v>
      </c>
      <c r="F36" s="3" t="s">
        <v>2490</v>
      </c>
      <c r="G36" s="3" t="s">
        <v>2535</v>
      </c>
      <c r="J36" s="1">
        <f>648/50</f>
        <v>12.96</v>
      </c>
      <c r="N36" s="1">
        <v>700</v>
      </c>
      <c r="O36" s="1">
        <f t="shared" si="3"/>
        <v>28.35</v>
      </c>
      <c r="P36" s="1">
        <f t="shared" si="5"/>
        <v>102.6</v>
      </c>
      <c r="Q36" s="1">
        <v>1400</v>
      </c>
      <c r="R36" s="1">
        <f t="shared" si="4"/>
        <v>56.7</v>
      </c>
      <c r="T36" s="1">
        <f t="shared" si="2"/>
        <v>56.7</v>
      </c>
      <c r="U36" s="1">
        <f t="shared" si="6"/>
        <v>810</v>
      </c>
    </row>
    <row r="37" ht="30" spans="1:21">
      <c r="A37" s="1" t="str">
        <f t="shared" si="0"/>
        <v>3:100210</v>
      </c>
      <c r="B37" s="1">
        <v>3</v>
      </c>
      <c r="C37" s="1">
        <v>100210</v>
      </c>
      <c r="D37" s="3" t="s">
        <v>2092</v>
      </c>
      <c r="E37" s="3" t="s">
        <v>2543</v>
      </c>
      <c r="F37" s="3" t="s">
        <v>2490</v>
      </c>
      <c r="G37" s="3" t="s">
        <v>2544</v>
      </c>
      <c r="J37" s="1">
        <f>128/5</f>
        <v>25.6</v>
      </c>
      <c r="N37" s="1">
        <v>850</v>
      </c>
      <c r="O37" s="1">
        <f t="shared" si="3"/>
        <v>34.425</v>
      </c>
      <c r="P37" s="1">
        <f t="shared" si="5"/>
        <v>137.025</v>
      </c>
      <c r="Q37" s="1">
        <v>1700</v>
      </c>
      <c r="R37" s="1">
        <f t="shared" si="4"/>
        <v>68.85</v>
      </c>
      <c r="T37" s="1">
        <f t="shared" si="2"/>
        <v>68.85</v>
      </c>
      <c r="U37" s="1">
        <f t="shared" si="6"/>
        <v>878.85</v>
      </c>
    </row>
    <row r="38" ht="30" spans="1:21">
      <c r="A38" s="1" t="str">
        <f t="shared" si="0"/>
        <v>3:100212</v>
      </c>
      <c r="B38" s="1">
        <v>3</v>
      </c>
      <c r="C38" s="1">
        <v>100212</v>
      </c>
      <c r="D38" s="3" t="s">
        <v>2093</v>
      </c>
      <c r="E38" s="3" t="s">
        <v>2545</v>
      </c>
      <c r="F38" s="3" t="s">
        <v>2490</v>
      </c>
      <c r="G38" s="3" t="s">
        <v>2546</v>
      </c>
      <c r="J38" s="1">
        <f>648/200</f>
        <v>3.24</v>
      </c>
      <c r="N38" s="1">
        <v>1000</v>
      </c>
      <c r="O38" s="1">
        <f t="shared" si="3"/>
        <v>40.5</v>
      </c>
      <c r="P38" s="1">
        <f t="shared" si="5"/>
        <v>177.525</v>
      </c>
      <c r="Q38" s="1">
        <v>2000</v>
      </c>
      <c r="R38" s="1">
        <f t="shared" si="4"/>
        <v>81</v>
      </c>
      <c r="T38" s="1">
        <f t="shared" si="2"/>
        <v>81</v>
      </c>
      <c r="U38" s="1">
        <f t="shared" si="6"/>
        <v>959.85</v>
      </c>
    </row>
    <row r="39" ht="15" spans="1:21">
      <c r="A39" s="1" t="str">
        <f t="shared" si="0"/>
        <v>3:100213</v>
      </c>
      <c r="B39" s="1">
        <v>3</v>
      </c>
      <c r="C39" s="1">
        <v>100213</v>
      </c>
      <c r="D39" s="3" t="s">
        <v>2094</v>
      </c>
      <c r="E39" s="3" t="s">
        <v>2547</v>
      </c>
      <c r="F39" s="3" t="s">
        <v>2490</v>
      </c>
      <c r="G39" s="3" t="s">
        <v>2548</v>
      </c>
      <c r="J39" s="1">
        <f>648/80</f>
        <v>8.1</v>
      </c>
      <c r="N39" s="1">
        <v>1150</v>
      </c>
      <c r="O39" s="1">
        <f t="shared" si="3"/>
        <v>46.575</v>
      </c>
      <c r="P39" s="1">
        <f t="shared" si="5"/>
        <v>224.1</v>
      </c>
      <c r="Q39" s="1">
        <v>2300</v>
      </c>
      <c r="R39" s="1">
        <f t="shared" si="4"/>
        <v>93.15</v>
      </c>
      <c r="T39" s="1">
        <f t="shared" si="2"/>
        <v>93.15</v>
      </c>
      <c r="U39" s="1">
        <f t="shared" si="6"/>
        <v>1053</v>
      </c>
    </row>
    <row r="40" ht="30" spans="1:21">
      <c r="A40" s="1" t="str">
        <f t="shared" si="0"/>
        <v>3:100214</v>
      </c>
      <c r="B40" s="1">
        <v>3</v>
      </c>
      <c r="C40" s="1">
        <v>100214</v>
      </c>
      <c r="D40" s="3" t="s">
        <v>2095</v>
      </c>
      <c r="E40" s="3" t="s">
        <v>2549</v>
      </c>
      <c r="F40" s="3" t="s">
        <v>2490</v>
      </c>
      <c r="G40" s="3" t="s">
        <v>2550</v>
      </c>
      <c r="J40" s="1">
        <v>500</v>
      </c>
      <c r="N40" s="1">
        <v>1300</v>
      </c>
      <c r="O40" s="1">
        <f t="shared" si="3"/>
        <v>52.65</v>
      </c>
      <c r="P40" s="1">
        <f t="shared" si="5"/>
        <v>276.75</v>
      </c>
      <c r="Q40" s="1">
        <v>2600</v>
      </c>
      <c r="R40" s="1">
        <f t="shared" si="4"/>
        <v>105.3</v>
      </c>
      <c r="S40" s="1">
        <v>648</v>
      </c>
      <c r="T40" s="1">
        <f t="shared" si="2"/>
        <v>753.3</v>
      </c>
      <c r="U40" s="1">
        <f t="shared" si="6"/>
        <v>1806.3</v>
      </c>
    </row>
    <row r="41" ht="45" spans="1:21">
      <c r="A41" s="1" t="str">
        <f t="shared" si="0"/>
        <v>3:100215</v>
      </c>
      <c r="B41" s="1">
        <v>3</v>
      </c>
      <c r="C41" s="1">
        <v>100215</v>
      </c>
      <c r="D41" s="3" t="s">
        <v>2096</v>
      </c>
      <c r="E41" s="3" t="s">
        <v>2551</v>
      </c>
      <c r="F41" s="3" t="s">
        <v>2490</v>
      </c>
      <c r="G41" s="3" t="s">
        <v>2552</v>
      </c>
      <c r="J41" s="1">
        <v>10</v>
      </c>
      <c r="N41" s="1">
        <v>1450</v>
      </c>
      <c r="O41" s="1">
        <f t="shared" si="3"/>
        <v>58.725</v>
      </c>
      <c r="P41" s="1">
        <f t="shared" si="5"/>
        <v>335.475</v>
      </c>
      <c r="Q41" s="1">
        <v>2900</v>
      </c>
      <c r="R41" s="1">
        <f t="shared" si="4"/>
        <v>117.45</v>
      </c>
      <c r="T41" s="1">
        <f t="shared" si="2"/>
        <v>117.45</v>
      </c>
      <c r="U41" s="1">
        <f t="shared" si="6"/>
        <v>1923.75</v>
      </c>
    </row>
    <row r="42" ht="30" spans="1:21">
      <c r="A42" s="1" t="str">
        <f t="shared" si="0"/>
        <v>3:100216</v>
      </c>
      <c r="B42" s="1">
        <v>3</v>
      </c>
      <c r="C42" s="1">
        <v>100216</v>
      </c>
      <c r="D42" s="3" t="s">
        <v>2097</v>
      </c>
      <c r="E42" s="3" t="s">
        <v>2553</v>
      </c>
      <c r="F42" s="3" t="s">
        <v>2490</v>
      </c>
      <c r="G42" s="3" t="s">
        <v>2554</v>
      </c>
      <c r="J42" s="1">
        <f>648/16000</f>
        <v>0.0405</v>
      </c>
      <c r="N42" s="1">
        <v>1600</v>
      </c>
      <c r="O42" s="1">
        <f t="shared" si="3"/>
        <v>64.8</v>
      </c>
      <c r="P42" s="1">
        <f t="shared" si="5"/>
        <v>400.275</v>
      </c>
      <c r="Q42" s="1">
        <v>3200</v>
      </c>
      <c r="R42" s="1">
        <f t="shared" si="4"/>
        <v>129.6</v>
      </c>
      <c r="T42" s="1">
        <f t="shared" si="2"/>
        <v>129.6</v>
      </c>
      <c r="U42" s="1">
        <f t="shared" si="6"/>
        <v>2053.35</v>
      </c>
    </row>
    <row r="43" ht="30" spans="1:21">
      <c r="A43" s="1" t="str">
        <f t="shared" si="0"/>
        <v>3:100217</v>
      </c>
      <c r="B43" s="1">
        <v>3</v>
      </c>
      <c r="C43" s="1">
        <v>100217</v>
      </c>
      <c r="D43" s="3" t="s">
        <v>2098</v>
      </c>
      <c r="E43" s="3" t="s">
        <v>2555</v>
      </c>
      <c r="F43" s="3" t="s">
        <v>2490</v>
      </c>
      <c r="G43" s="3" t="s">
        <v>2556</v>
      </c>
      <c r="J43" s="1">
        <v>10</v>
      </c>
      <c r="N43" s="1">
        <v>1750</v>
      </c>
      <c r="O43" s="1">
        <f t="shared" si="3"/>
        <v>70.875</v>
      </c>
      <c r="P43" s="1">
        <f t="shared" si="5"/>
        <v>471.15</v>
      </c>
      <c r="Q43" s="1">
        <v>3500</v>
      </c>
      <c r="R43" s="1">
        <f t="shared" si="4"/>
        <v>141.75</v>
      </c>
      <c r="T43" s="1">
        <f t="shared" si="2"/>
        <v>141.75</v>
      </c>
      <c r="U43" s="1">
        <f t="shared" si="6"/>
        <v>2195.1</v>
      </c>
    </row>
    <row r="44" ht="30" spans="1:21">
      <c r="A44" s="1" t="str">
        <f t="shared" si="0"/>
        <v>3:100224</v>
      </c>
      <c r="B44" s="1">
        <v>3</v>
      </c>
      <c r="C44" s="1">
        <v>100224</v>
      </c>
      <c r="D44" s="3" t="s">
        <v>2099</v>
      </c>
      <c r="E44" s="3" t="s">
        <v>2557</v>
      </c>
      <c r="F44" s="3" t="s">
        <v>2490</v>
      </c>
      <c r="G44" s="3" t="s">
        <v>2558</v>
      </c>
      <c r="J44" s="1">
        <f>328/640</f>
        <v>0.5125</v>
      </c>
      <c r="N44" s="1">
        <v>1900</v>
      </c>
      <c r="O44" s="1">
        <f t="shared" si="3"/>
        <v>76.95</v>
      </c>
      <c r="P44" s="1">
        <f t="shared" si="5"/>
        <v>548.1</v>
      </c>
      <c r="Q44" s="1">
        <v>3800</v>
      </c>
      <c r="R44" s="1">
        <f t="shared" si="4"/>
        <v>153.9</v>
      </c>
      <c r="T44" s="1">
        <f t="shared" si="2"/>
        <v>153.9</v>
      </c>
      <c r="U44" s="1">
        <f t="shared" si="6"/>
        <v>2349</v>
      </c>
    </row>
    <row r="45" ht="30" spans="1:21">
      <c r="A45" s="1" t="str">
        <f t="shared" si="0"/>
        <v>3:100225</v>
      </c>
      <c r="B45" s="1">
        <v>3</v>
      </c>
      <c r="C45" s="1">
        <v>100225</v>
      </c>
      <c r="D45" s="3" t="s">
        <v>2100</v>
      </c>
      <c r="E45" s="3" t="s">
        <v>2559</v>
      </c>
      <c r="F45" s="3" t="s">
        <v>2490</v>
      </c>
      <c r="G45" s="3" t="s">
        <v>2560</v>
      </c>
      <c r="J45" s="1">
        <v>1</v>
      </c>
      <c r="N45" s="1">
        <v>2050</v>
      </c>
      <c r="O45" s="1">
        <f t="shared" si="3"/>
        <v>83.025</v>
      </c>
      <c r="P45" s="1">
        <f t="shared" si="5"/>
        <v>631.125</v>
      </c>
      <c r="Q45" s="1">
        <v>4100</v>
      </c>
      <c r="R45" s="1">
        <f t="shared" si="4"/>
        <v>166.05</v>
      </c>
      <c r="T45" s="1">
        <f t="shared" si="2"/>
        <v>166.05</v>
      </c>
      <c r="U45" s="1">
        <f t="shared" si="6"/>
        <v>2515.05</v>
      </c>
    </row>
    <row r="46" ht="30" spans="1:21">
      <c r="A46" s="1" t="str">
        <f t="shared" si="0"/>
        <v>3:100227</v>
      </c>
      <c r="B46" s="1">
        <v>3</v>
      </c>
      <c r="C46" s="1">
        <v>100227</v>
      </c>
      <c r="D46" s="3" t="s">
        <v>2101</v>
      </c>
      <c r="E46" s="3" t="s">
        <v>2561</v>
      </c>
      <c r="F46" s="3" t="s">
        <v>2490</v>
      </c>
      <c r="G46" s="3" t="s">
        <v>2562</v>
      </c>
      <c r="J46" s="1">
        <v>10</v>
      </c>
      <c r="N46" s="1">
        <v>2200</v>
      </c>
      <c r="O46" s="1">
        <f t="shared" si="3"/>
        <v>89.1</v>
      </c>
      <c r="P46" s="1">
        <f t="shared" si="5"/>
        <v>720.225</v>
      </c>
      <c r="Q46" s="1">
        <v>4400</v>
      </c>
      <c r="R46" s="1">
        <f t="shared" si="4"/>
        <v>178.2</v>
      </c>
      <c r="T46" s="1">
        <f t="shared" si="2"/>
        <v>178.2</v>
      </c>
      <c r="U46" s="1">
        <f t="shared" si="6"/>
        <v>2693.25</v>
      </c>
    </row>
    <row r="47" ht="30" spans="1:21">
      <c r="A47" s="1" t="str">
        <f t="shared" si="0"/>
        <v>3:100228</v>
      </c>
      <c r="B47" s="1">
        <v>3</v>
      </c>
      <c r="C47" s="1">
        <v>100228</v>
      </c>
      <c r="D47" s="3" t="s">
        <v>2102</v>
      </c>
      <c r="E47" s="3" t="s">
        <v>2563</v>
      </c>
      <c r="F47" s="3" t="s">
        <v>2490</v>
      </c>
      <c r="G47" s="3" t="s">
        <v>2564</v>
      </c>
      <c r="J47" s="1">
        <v>20</v>
      </c>
      <c r="N47" s="1">
        <v>2350</v>
      </c>
      <c r="O47" s="1">
        <f t="shared" si="3"/>
        <v>95.175</v>
      </c>
      <c r="P47" s="1">
        <f t="shared" si="5"/>
        <v>815.4</v>
      </c>
      <c r="Q47" s="1">
        <v>4700</v>
      </c>
      <c r="R47" s="1">
        <f t="shared" si="4"/>
        <v>190.35</v>
      </c>
      <c r="T47" s="1">
        <f t="shared" si="2"/>
        <v>190.35</v>
      </c>
      <c r="U47" s="1">
        <f t="shared" si="6"/>
        <v>2883.6</v>
      </c>
    </row>
    <row r="48" ht="30" spans="1:21">
      <c r="A48" s="1" t="str">
        <f t="shared" si="0"/>
        <v>3:100229</v>
      </c>
      <c r="B48" s="1">
        <v>3</v>
      </c>
      <c r="C48" s="1">
        <v>100229</v>
      </c>
      <c r="D48" s="3" t="s">
        <v>2103</v>
      </c>
      <c r="E48" s="3" t="s">
        <v>2563</v>
      </c>
      <c r="F48" s="3" t="s">
        <v>2490</v>
      </c>
      <c r="G48" s="3" t="s">
        <v>2565</v>
      </c>
      <c r="J48" s="1">
        <v>10</v>
      </c>
      <c r="N48" s="1">
        <v>2500</v>
      </c>
      <c r="O48" s="1">
        <f t="shared" si="3"/>
        <v>101.25</v>
      </c>
      <c r="P48" s="1">
        <f t="shared" si="5"/>
        <v>916.65</v>
      </c>
      <c r="Q48" s="1">
        <v>5000</v>
      </c>
      <c r="R48" s="1">
        <f t="shared" si="4"/>
        <v>202.5</v>
      </c>
      <c r="T48" s="1">
        <f t="shared" si="2"/>
        <v>202.5</v>
      </c>
      <c r="U48" s="1">
        <f t="shared" si="6"/>
        <v>3086.1</v>
      </c>
    </row>
    <row r="49" ht="30" spans="1:21">
      <c r="A49" s="1" t="str">
        <f t="shared" si="0"/>
        <v>3:100230</v>
      </c>
      <c r="B49" s="1">
        <v>3</v>
      </c>
      <c r="C49" s="1">
        <v>100230</v>
      </c>
      <c r="D49" s="3" t="s">
        <v>2104</v>
      </c>
      <c r="E49" s="3" t="s">
        <v>2566</v>
      </c>
      <c r="F49" s="3" t="s">
        <v>2490</v>
      </c>
      <c r="G49" s="3" t="s">
        <v>2567</v>
      </c>
      <c r="J49" s="1">
        <v>1</v>
      </c>
      <c r="N49" s="1">
        <v>2650</v>
      </c>
      <c r="O49" s="1">
        <f t="shared" si="3"/>
        <v>107.325</v>
      </c>
      <c r="P49" s="1">
        <f t="shared" si="5"/>
        <v>1023.975</v>
      </c>
      <c r="Q49" s="1">
        <v>5300</v>
      </c>
      <c r="R49" s="1">
        <f t="shared" si="4"/>
        <v>214.65</v>
      </c>
      <c r="T49" s="1">
        <f t="shared" si="2"/>
        <v>214.65</v>
      </c>
      <c r="U49" s="1">
        <f t="shared" si="6"/>
        <v>3300.75</v>
      </c>
    </row>
    <row r="50" ht="15" spans="4:21">
      <c r="D50" s="3"/>
      <c r="E50" s="3"/>
      <c r="F50" s="3"/>
      <c r="G50" s="3"/>
      <c r="N50" s="1">
        <v>2800</v>
      </c>
      <c r="O50" s="1">
        <f t="shared" si="3"/>
        <v>113.4</v>
      </c>
      <c r="P50" s="1">
        <f t="shared" si="5"/>
        <v>1137.375</v>
      </c>
      <c r="Q50" s="1">
        <v>5600</v>
      </c>
      <c r="R50" s="1">
        <f t="shared" si="4"/>
        <v>226.8</v>
      </c>
      <c r="S50" s="1">
        <f>648*2</f>
        <v>1296</v>
      </c>
      <c r="T50" s="1">
        <f t="shared" si="2"/>
        <v>1522.8</v>
      </c>
      <c r="U50" s="1">
        <f t="shared" si="6"/>
        <v>4823.55</v>
      </c>
    </row>
    <row r="51" ht="30" spans="1:21">
      <c r="A51" s="1" t="str">
        <f t="shared" si="0"/>
        <v>3:100100</v>
      </c>
      <c r="B51" s="1">
        <v>3</v>
      </c>
      <c r="C51" s="1">
        <v>100100</v>
      </c>
      <c r="D51" s="3" t="s">
        <v>2105</v>
      </c>
      <c r="E51" s="3" t="s">
        <v>2568</v>
      </c>
      <c r="F51" s="3" t="s">
        <v>2490</v>
      </c>
      <c r="G51" s="3" t="s">
        <v>2569</v>
      </c>
      <c r="J51" s="1">
        <v>81</v>
      </c>
      <c r="N51" s="1">
        <v>2950</v>
      </c>
      <c r="O51" s="1">
        <f t="shared" si="3"/>
        <v>119.475</v>
      </c>
      <c r="P51" s="1">
        <f t="shared" si="5"/>
        <v>1256.85</v>
      </c>
      <c r="Q51" s="1">
        <v>5900</v>
      </c>
      <c r="R51" s="1">
        <f t="shared" si="4"/>
        <v>238.95</v>
      </c>
      <c r="T51" s="1">
        <f t="shared" si="2"/>
        <v>238.95</v>
      </c>
      <c r="U51" s="1">
        <f t="shared" si="6"/>
        <v>5062.5</v>
      </c>
    </row>
    <row r="52" ht="30" spans="1:21">
      <c r="A52" s="1" t="str">
        <f t="shared" si="0"/>
        <v>3:100101</v>
      </c>
      <c r="B52" s="1">
        <v>3</v>
      </c>
      <c r="C52" s="1">
        <v>100101</v>
      </c>
      <c r="D52" s="3" t="s">
        <v>2106</v>
      </c>
      <c r="E52" s="3" t="s">
        <v>2568</v>
      </c>
      <c r="F52" s="3" t="s">
        <v>2490</v>
      </c>
      <c r="G52" s="3" t="s">
        <v>2570</v>
      </c>
      <c r="J52" s="1">
        <v>81</v>
      </c>
      <c r="N52" s="1">
        <v>3100</v>
      </c>
      <c r="O52" s="1">
        <f t="shared" si="3"/>
        <v>125.55</v>
      </c>
      <c r="P52" s="1">
        <f t="shared" si="5"/>
        <v>1382.4</v>
      </c>
      <c r="Q52" s="1">
        <v>6200</v>
      </c>
      <c r="R52" s="1">
        <f t="shared" si="4"/>
        <v>251.1</v>
      </c>
      <c r="T52" s="1">
        <f t="shared" si="2"/>
        <v>251.1</v>
      </c>
      <c r="U52" s="1">
        <f t="shared" si="6"/>
        <v>5313.6</v>
      </c>
    </row>
    <row r="53" ht="30" spans="1:21">
      <c r="A53" s="1" t="str">
        <f t="shared" si="0"/>
        <v>3:100102</v>
      </c>
      <c r="B53" s="1">
        <v>3</v>
      </c>
      <c r="C53" s="1">
        <v>100102</v>
      </c>
      <c r="D53" s="3" t="s">
        <v>2107</v>
      </c>
      <c r="E53" s="3" t="s">
        <v>2568</v>
      </c>
      <c r="F53" s="3" t="s">
        <v>2490</v>
      </c>
      <c r="G53" s="3" t="s">
        <v>2571</v>
      </c>
      <c r="J53" s="1">
        <v>81</v>
      </c>
      <c r="N53" s="1">
        <v>3250</v>
      </c>
      <c r="O53" s="1">
        <f t="shared" si="3"/>
        <v>131.625</v>
      </c>
      <c r="P53" s="1">
        <f t="shared" si="5"/>
        <v>1514.025</v>
      </c>
      <c r="Q53" s="1">
        <v>6500</v>
      </c>
      <c r="R53" s="1">
        <f t="shared" si="4"/>
        <v>263.25</v>
      </c>
      <c r="T53" s="1">
        <f t="shared" si="2"/>
        <v>263.25</v>
      </c>
      <c r="U53" s="1">
        <f t="shared" si="6"/>
        <v>5576.85</v>
      </c>
    </row>
    <row r="54" ht="30" spans="1:21">
      <c r="A54" s="1" t="str">
        <f t="shared" si="0"/>
        <v>3:100103</v>
      </c>
      <c r="B54" s="1">
        <v>3</v>
      </c>
      <c r="C54" s="1">
        <v>100103</v>
      </c>
      <c r="D54" s="3" t="s">
        <v>2108</v>
      </c>
      <c r="E54" s="3" t="s">
        <v>2568</v>
      </c>
      <c r="F54" s="3" t="s">
        <v>2490</v>
      </c>
      <c r="G54" s="3" t="s">
        <v>2572</v>
      </c>
      <c r="J54" s="1">
        <v>81</v>
      </c>
      <c r="N54" s="1">
        <v>3400</v>
      </c>
      <c r="O54" s="1">
        <f t="shared" si="3"/>
        <v>137.7</v>
      </c>
      <c r="P54" s="1">
        <f t="shared" si="5"/>
        <v>1651.725</v>
      </c>
      <c r="Q54" s="1">
        <v>6800</v>
      </c>
      <c r="R54" s="1">
        <f t="shared" si="4"/>
        <v>275.4</v>
      </c>
      <c r="T54" s="1">
        <f t="shared" si="2"/>
        <v>275.4</v>
      </c>
      <c r="U54" s="1">
        <f t="shared" si="6"/>
        <v>5852.25</v>
      </c>
    </row>
    <row r="55" ht="30" spans="1:21">
      <c r="A55" s="1" t="str">
        <f t="shared" si="0"/>
        <v>3:100104</v>
      </c>
      <c r="B55" s="1">
        <v>3</v>
      </c>
      <c r="C55" s="1">
        <v>100104</v>
      </c>
      <c r="D55" s="3" t="s">
        <v>2109</v>
      </c>
      <c r="E55" s="3" t="s">
        <v>2568</v>
      </c>
      <c r="F55" s="3" t="s">
        <v>2490</v>
      </c>
      <c r="G55" s="3" t="s">
        <v>2573</v>
      </c>
      <c r="J55" s="1">
        <v>81</v>
      </c>
      <c r="N55" s="1">
        <v>3550</v>
      </c>
      <c r="O55" s="1">
        <f t="shared" si="3"/>
        <v>143.775</v>
      </c>
      <c r="P55" s="1">
        <f t="shared" si="5"/>
        <v>1795.5</v>
      </c>
      <c r="Q55" s="1">
        <v>7100</v>
      </c>
      <c r="R55" s="1">
        <f t="shared" si="4"/>
        <v>287.55</v>
      </c>
      <c r="T55" s="1">
        <f t="shared" si="2"/>
        <v>287.55</v>
      </c>
      <c r="U55" s="1">
        <f t="shared" si="6"/>
        <v>6139.8</v>
      </c>
    </row>
    <row r="56" ht="30" spans="1:21">
      <c r="A56" s="1" t="str">
        <f t="shared" si="0"/>
        <v>3:100105</v>
      </c>
      <c r="B56" s="1">
        <v>3</v>
      </c>
      <c r="C56" s="1">
        <v>100105</v>
      </c>
      <c r="D56" s="3" t="s">
        <v>2110</v>
      </c>
      <c r="E56" s="3" t="s">
        <v>2568</v>
      </c>
      <c r="F56" s="3" t="s">
        <v>2490</v>
      </c>
      <c r="G56" s="3" t="s">
        <v>2574</v>
      </c>
      <c r="J56" s="1">
        <v>81</v>
      </c>
      <c r="N56" s="1">
        <v>3700</v>
      </c>
      <c r="O56" s="1">
        <f t="shared" si="3"/>
        <v>149.85</v>
      </c>
      <c r="P56" s="1">
        <f t="shared" si="5"/>
        <v>1945.35</v>
      </c>
      <c r="Q56" s="1">
        <v>7400</v>
      </c>
      <c r="R56" s="1">
        <f t="shared" si="4"/>
        <v>299.7</v>
      </c>
      <c r="T56" s="1">
        <f t="shared" si="2"/>
        <v>299.7</v>
      </c>
      <c r="U56" s="1">
        <f t="shared" si="6"/>
        <v>6439.5</v>
      </c>
    </row>
    <row r="57" ht="30" spans="1:21">
      <c r="A57" s="1" t="str">
        <f t="shared" si="0"/>
        <v>3:100106</v>
      </c>
      <c r="B57" s="1">
        <v>3</v>
      </c>
      <c r="C57" s="1">
        <v>100106</v>
      </c>
      <c r="D57" s="3" t="s">
        <v>2111</v>
      </c>
      <c r="E57" s="3" t="s">
        <v>2568</v>
      </c>
      <c r="F57" s="3" t="s">
        <v>2490</v>
      </c>
      <c r="G57" s="3" t="s">
        <v>2575</v>
      </c>
      <c r="J57" s="1">
        <v>81</v>
      </c>
      <c r="N57" s="1">
        <v>3850</v>
      </c>
      <c r="O57" s="1">
        <f t="shared" si="3"/>
        <v>155.925</v>
      </c>
      <c r="P57" s="1">
        <f t="shared" si="5"/>
        <v>2101.275</v>
      </c>
      <c r="Q57" s="1">
        <v>7700</v>
      </c>
      <c r="R57" s="1">
        <f t="shared" si="4"/>
        <v>311.85</v>
      </c>
      <c r="T57" s="1">
        <f t="shared" si="2"/>
        <v>311.85</v>
      </c>
      <c r="U57" s="1">
        <f t="shared" si="6"/>
        <v>6751.35</v>
      </c>
    </row>
    <row r="58" ht="30" spans="1:21">
      <c r="A58" s="1" t="str">
        <f t="shared" si="0"/>
        <v>3:100107</v>
      </c>
      <c r="B58" s="1">
        <v>3</v>
      </c>
      <c r="C58" s="1">
        <v>100107</v>
      </c>
      <c r="D58" s="3" t="s">
        <v>2112</v>
      </c>
      <c r="E58" s="3" t="s">
        <v>2568</v>
      </c>
      <c r="F58" s="3" t="s">
        <v>2490</v>
      </c>
      <c r="G58" s="3" t="s">
        <v>2576</v>
      </c>
      <c r="J58" s="1">
        <v>81</v>
      </c>
      <c r="N58" s="1">
        <v>4000</v>
      </c>
      <c r="O58" s="1">
        <f t="shared" si="3"/>
        <v>162</v>
      </c>
      <c r="P58" s="1">
        <f t="shared" si="5"/>
        <v>2263.275</v>
      </c>
      <c r="Q58" s="1">
        <v>8000</v>
      </c>
      <c r="R58" s="1">
        <f t="shared" si="4"/>
        <v>324</v>
      </c>
      <c r="T58" s="1">
        <f t="shared" si="2"/>
        <v>324</v>
      </c>
      <c r="U58" s="1">
        <f t="shared" si="6"/>
        <v>7075.35</v>
      </c>
    </row>
    <row r="59" ht="30" spans="1:21">
      <c r="A59" s="1" t="str">
        <f t="shared" si="0"/>
        <v>3:100108</v>
      </c>
      <c r="B59" s="1">
        <v>3</v>
      </c>
      <c r="C59" s="1">
        <v>100108</v>
      </c>
      <c r="D59" s="3" t="s">
        <v>2113</v>
      </c>
      <c r="E59" s="3" t="s">
        <v>2568</v>
      </c>
      <c r="F59" s="3" t="s">
        <v>2490</v>
      </c>
      <c r="G59" s="3" t="s">
        <v>2577</v>
      </c>
      <c r="J59" s="1">
        <v>81</v>
      </c>
      <c r="N59" s="1">
        <v>4150</v>
      </c>
      <c r="O59" s="1">
        <f t="shared" si="3"/>
        <v>168.075</v>
      </c>
      <c r="P59" s="1">
        <f t="shared" si="5"/>
        <v>2431.35</v>
      </c>
      <c r="Q59" s="1">
        <v>8300</v>
      </c>
      <c r="R59" s="1">
        <f t="shared" si="4"/>
        <v>336.15</v>
      </c>
      <c r="T59" s="1">
        <f t="shared" si="2"/>
        <v>336.15</v>
      </c>
      <c r="U59" s="1">
        <f t="shared" si="6"/>
        <v>7411.5</v>
      </c>
    </row>
    <row r="60" ht="30" spans="1:21">
      <c r="A60" s="1" t="str">
        <f t="shared" si="0"/>
        <v>3:100109</v>
      </c>
      <c r="B60" s="1">
        <v>3</v>
      </c>
      <c r="C60" s="1">
        <v>100109</v>
      </c>
      <c r="D60" s="3" t="s">
        <v>2114</v>
      </c>
      <c r="E60" s="3" t="s">
        <v>2568</v>
      </c>
      <c r="F60" s="3" t="s">
        <v>2490</v>
      </c>
      <c r="G60" s="3" t="s">
        <v>2578</v>
      </c>
      <c r="J60" s="1">
        <v>81</v>
      </c>
      <c r="N60" s="1">
        <v>4300</v>
      </c>
      <c r="O60" s="1">
        <f t="shared" si="3"/>
        <v>174.15</v>
      </c>
      <c r="P60" s="1">
        <f t="shared" si="5"/>
        <v>2605.5</v>
      </c>
      <c r="Q60" s="1">
        <v>8600</v>
      </c>
      <c r="R60" s="1">
        <f t="shared" si="4"/>
        <v>348.3</v>
      </c>
      <c r="S60" s="1">
        <f>648*3</f>
        <v>1944</v>
      </c>
      <c r="T60" s="1">
        <f t="shared" si="2"/>
        <v>2292.3</v>
      </c>
      <c r="U60" s="1">
        <f t="shared" si="6"/>
        <v>9703.8</v>
      </c>
    </row>
    <row r="61" ht="30" spans="1:21">
      <c r="A61" s="1" t="str">
        <f t="shared" si="0"/>
        <v>3:100110</v>
      </c>
      <c r="B61" s="1">
        <v>3</v>
      </c>
      <c r="C61" s="1">
        <v>100110</v>
      </c>
      <c r="D61" s="3" t="s">
        <v>2115</v>
      </c>
      <c r="E61" s="3" t="s">
        <v>2568</v>
      </c>
      <c r="F61" s="3" t="s">
        <v>2490</v>
      </c>
      <c r="G61" s="3" t="s">
        <v>2579</v>
      </c>
      <c r="J61" s="1">
        <v>81</v>
      </c>
      <c r="N61" s="1">
        <v>4300</v>
      </c>
      <c r="O61" s="1">
        <f t="shared" si="3"/>
        <v>174.15</v>
      </c>
      <c r="P61" s="1">
        <f t="shared" si="5"/>
        <v>2779.65</v>
      </c>
      <c r="Q61" s="1">
        <v>8600</v>
      </c>
      <c r="R61" s="1">
        <f t="shared" si="4"/>
        <v>348.3</v>
      </c>
      <c r="T61" s="1">
        <f t="shared" si="2"/>
        <v>348.3</v>
      </c>
      <c r="U61" s="1">
        <f t="shared" si="6"/>
        <v>10052.1</v>
      </c>
    </row>
    <row r="62" ht="30" spans="1:10">
      <c r="A62" s="1" t="str">
        <f t="shared" si="0"/>
        <v>3:100111</v>
      </c>
      <c r="B62" s="1">
        <v>3</v>
      </c>
      <c r="C62" s="1">
        <v>100111</v>
      </c>
      <c r="D62" s="3" t="s">
        <v>2116</v>
      </c>
      <c r="E62" s="3" t="s">
        <v>2568</v>
      </c>
      <c r="F62" s="3" t="s">
        <v>2490</v>
      </c>
      <c r="G62" s="3" t="s">
        <v>2580</v>
      </c>
      <c r="J62" s="1">
        <v>81</v>
      </c>
    </row>
    <row r="63" ht="30" spans="1:10">
      <c r="A63" s="1" t="str">
        <f t="shared" si="0"/>
        <v>3:100112</v>
      </c>
      <c r="B63" s="1">
        <v>3</v>
      </c>
      <c r="C63" s="1">
        <v>100112</v>
      </c>
      <c r="D63" s="3" t="s">
        <v>2117</v>
      </c>
      <c r="E63" s="3" t="s">
        <v>2568</v>
      </c>
      <c r="F63" s="3" t="s">
        <v>2490</v>
      </c>
      <c r="G63" s="3" t="s">
        <v>2581</v>
      </c>
      <c r="J63" s="1">
        <v>81</v>
      </c>
    </row>
    <row r="64" ht="30" spans="1:10">
      <c r="A64" s="1" t="str">
        <f t="shared" ref="A64:A127" si="7">B64&amp;":"&amp;C64</f>
        <v>3:100113</v>
      </c>
      <c r="B64" s="1">
        <v>3</v>
      </c>
      <c r="C64" s="1">
        <v>100113</v>
      </c>
      <c r="D64" s="3" t="s">
        <v>2118</v>
      </c>
      <c r="E64" s="3" t="s">
        <v>2568</v>
      </c>
      <c r="F64" s="3" t="s">
        <v>2490</v>
      </c>
      <c r="G64" s="3" t="s">
        <v>2582</v>
      </c>
      <c r="J64" s="1">
        <v>81</v>
      </c>
    </row>
    <row r="65" ht="30" spans="1:10">
      <c r="A65" s="1" t="str">
        <f t="shared" si="7"/>
        <v>3:100114</v>
      </c>
      <c r="B65" s="1">
        <v>3</v>
      </c>
      <c r="C65" s="1">
        <v>100114</v>
      </c>
      <c r="D65" s="3" t="s">
        <v>2119</v>
      </c>
      <c r="E65" s="3" t="s">
        <v>2568</v>
      </c>
      <c r="F65" s="3" t="s">
        <v>2490</v>
      </c>
      <c r="G65" s="3" t="s">
        <v>2583</v>
      </c>
      <c r="J65" s="1">
        <v>81</v>
      </c>
    </row>
    <row r="66" ht="30" spans="1:10">
      <c r="A66" s="1" t="str">
        <f t="shared" si="7"/>
        <v>3:100115</v>
      </c>
      <c r="B66" s="1">
        <v>3</v>
      </c>
      <c r="C66" s="1">
        <v>100115</v>
      </c>
      <c r="D66" s="3" t="s">
        <v>2120</v>
      </c>
      <c r="E66" s="3" t="s">
        <v>2568</v>
      </c>
      <c r="F66" s="3" t="s">
        <v>2490</v>
      </c>
      <c r="G66" s="3" t="s">
        <v>2584</v>
      </c>
      <c r="J66" s="1">
        <v>81</v>
      </c>
    </row>
    <row r="67" ht="30" spans="1:10">
      <c r="A67" s="1" t="str">
        <f t="shared" si="7"/>
        <v>3:100116</v>
      </c>
      <c r="B67" s="1">
        <v>3</v>
      </c>
      <c r="C67" s="1">
        <v>100116</v>
      </c>
      <c r="D67" s="3" t="s">
        <v>2121</v>
      </c>
      <c r="E67" s="3" t="s">
        <v>2568</v>
      </c>
      <c r="F67" s="3" t="s">
        <v>2490</v>
      </c>
      <c r="G67" s="3" t="s">
        <v>2585</v>
      </c>
      <c r="J67" s="1">
        <v>81</v>
      </c>
    </row>
    <row r="68" ht="30" spans="1:10">
      <c r="A68" s="1" t="str">
        <f t="shared" si="7"/>
        <v>3:100117</v>
      </c>
      <c r="B68" s="1">
        <v>3</v>
      </c>
      <c r="C68" s="1">
        <v>100117</v>
      </c>
      <c r="D68" s="3" t="s">
        <v>2122</v>
      </c>
      <c r="E68" s="3" t="s">
        <v>2568</v>
      </c>
      <c r="F68" s="3" t="s">
        <v>2490</v>
      </c>
      <c r="G68" s="3" t="s">
        <v>2586</v>
      </c>
      <c r="J68" s="1">
        <v>81</v>
      </c>
    </row>
    <row r="69" ht="30" spans="1:10">
      <c r="A69" s="1" t="str">
        <f t="shared" si="7"/>
        <v>3:100118</v>
      </c>
      <c r="B69" s="1">
        <v>3</v>
      </c>
      <c r="C69" s="1">
        <v>100118</v>
      </c>
      <c r="D69" s="3" t="s">
        <v>2123</v>
      </c>
      <c r="E69" s="3" t="s">
        <v>2568</v>
      </c>
      <c r="F69" s="3" t="s">
        <v>2490</v>
      </c>
      <c r="G69" s="3" t="s">
        <v>2587</v>
      </c>
      <c r="J69" s="1">
        <v>81</v>
      </c>
    </row>
    <row r="70" ht="30" spans="1:10">
      <c r="A70" s="1" t="str">
        <f t="shared" si="7"/>
        <v>3:100119</v>
      </c>
      <c r="B70" s="1">
        <v>3</v>
      </c>
      <c r="C70" s="1">
        <v>100119</v>
      </c>
      <c r="D70" s="3" t="s">
        <v>2124</v>
      </c>
      <c r="E70" s="3" t="s">
        <v>2568</v>
      </c>
      <c r="F70" s="3" t="s">
        <v>2490</v>
      </c>
      <c r="G70" s="3" t="s">
        <v>2588</v>
      </c>
      <c r="J70" s="1">
        <v>81</v>
      </c>
    </row>
    <row r="71" ht="30" spans="1:10">
      <c r="A71" s="1" t="str">
        <f t="shared" si="7"/>
        <v>3:100120</v>
      </c>
      <c r="B71" s="1">
        <v>3</v>
      </c>
      <c r="C71" s="1">
        <v>100120</v>
      </c>
      <c r="D71" s="3" t="s">
        <v>2125</v>
      </c>
      <c r="E71" s="3" t="s">
        <v>2568</v>
      </c>
      <c r="F71" s="3" t="s">
        <v>2490</v>
      </c>
      <c r="G71" s="3" t="s">
        <v>2589</v>
      </c>
      <c r="J71" s="1">
        <v>81</v>
      </c>
    </row>
    <row r="72" ht="30" spans="1:10">
      <c r="A72" s="1" t="str">
        <f t="shared" si="7"/>
        <v>3:100121</v>
      </c>
      <c r="B72" s="1">
        <v>3</v>
      </c>
      <c r="C72" s="1">
        <v>100121</v>
      </c>
      <c r="D72" s="3" t="s">
        <v>2126</v>
      </c>
      <c r="E72" s="3" t="s">
        <v>2568</v>
      </c>
      <c r="F72" s="3" t="s">
        <v>2490</v>
      </c>
      <c r="G72" s="3" t="s">
        <v>2590</v>
      </c>
      <c r="J72" s="1">
        <v>81</v>
      </c>
    </row>
    <row r="73" ht="30" spans="1:10">
      <c r="A73" s="1" t="str">
        <f t="shared" si="7"/>
        <v>3:100122</v>
      </c>
      <c r="B73" s="1">
        <v>3</v>
      </c>
      <c r="C73" s="1">
        <v>100122</v>
      </c>
      <c r="D73" s="3" t="s">
        <v>2127</v>
      </c>
      <c r="E73" s="3" t="s">
        <v>2568</v>
      </c>
      <c r="F73" s="3" t="s">
        <v>2490</v>
      </c>
      <c r="G73" s="3" t="s">
        <v>2591</v>
      </c>
      <c r="J73" s="1">
        <v>81</v>
      </c>
    </row>
    <row r="74" ht="30" spans="1:10">
      <c r="A74" s="1" t="str">
        <f t="shared" si="7"/>
        <v>3:100123</v>
      </c>
      <c r="B74" s="1">
        <v>3</v>
      </c>
      <c r="C74" s="1">
        <v>100123</v>
      </c>
      <c r="D74" s="3" t="s">
        <v>2128</v>
      </c>
      <c r="E74" s="3" t="s">
        <v>2568</v>
      </c>
      <c r="F74" s="3" t="s">
        <v>2490</v>
      </c>
      <c r="G74" s="3" t="s">
        <v>2592</v>
      </c>
      <c r="J74" s="1">
        <v>81</v>
      </c>
    </row>
    <row r="75" ht="30" spans="1:10">
      <c r="A75" s="1" t="str">
        <f t="shared" si="7"/>
        <v>3:100124</v>
      </c>
      <c r="B75" s="1">
        <v>3</v>
      </c>
      <c r="C75" s="1">
        <v>100124</v>
      </c>
      <c r="D75" s="3" t="s">
        <v>2129</v>
      </c>
      <c r="E75" s="3" t="s">
        <v>2568</v>
      </c>
      <c r="F75" s="3" t="s">
        <v>2490</v>
      </c>
      <c r="G75" s="3" t="s">
        <v>2593</v>
      </c>
      <c r="J75" s="1">
        <v>81</v>
      </c>
    </row>
    <row r="76" ht="30" spans="1:10">
      <c r="A76" s="1" t="str">
        <f t="shared" si="7"/>
        <v>3:100125</v>
      </c>
      <c r="B76" s="1">
        <v>3</v>
      </c>
      <c r="C76" s="1">
        <v>100125</v>
      </c>
      <c r="D76" s="3" t="s">
        <v>2130</v>
      </c>
      <c r="E76" s="3" t="s">
        <v>2568</v>
      </c>
      <c r="F76" s="3" t="s">
        <v>2490</v>
      </c>
      <c r="G76" s="3" t="s">
        <v>2594</v>
      </c>
      <c r="J76" s="1">
        <v>81</v>
      </c>
    </row>
    <row r="77" ht="30" spans="1:10">
      <c r="A77" s="1" t="str">
        <f t="shared" si="7"/>
        <v>3:100126</v>
      </c>
      <c r="B77" s="1">
        <v>3</v>
      </c>
      <c r="C77" s="1">
        <v>100126</v>
      </c>
      <c r="D77" s="3" t="s">
        <v>2131</v>
      </c>
      <c r="E77" s="3" t="s">
        <v>2568</v>
      </c>
      <c r="F77" s="3" t="s">
        <v>2490</v>
      </c>
      <c r="G77" s="3" t="s">
        <v>2595</v>
      </c>
      <c r="J77" s="1">
        <v>81</v>
      </c>
    </row>
    <row r="78" ht="30" spans="1:10">
      <c r="A78" s="1" t="str">
        <f t="shared" si="7"/>
        <v>3:100127</v>
      </c>
      <c r="B78" s="1">
        <v>3</v>
      </c>
      <c r="C78" s="1">
        <v>100127</v>
      </c>
      <c r="D78" s="3" t="s">
        <v>2132</v>
      </c>
      <c r="E78" s="3" t="s">
        <v>2568</v>
      </c>
      <c r="F78" s="3" t="s">
        <v>2490</v>
      </c>
      <c r="G78" s="3" t="s">
        <v>2596</v>
      </c>
      <c r="J78" s="1">
        <v>81</v>
      </c>
    </row>
    <row r="79" ht="30" spans="1:10">
      <c r="A79" s="1" t="str">
        <f t="shared" si="7"/>
        <v>3:100128</v>
      </c>
      <c r="B79" s="1">
        <v>3</v>
      </c>
      <c r="C79" s="1">
        <v>100128</v>
      </c>
      <c r="D79" s="3" t="s">
        <v>2133</v>
      </c>
      <c r="E79" s="3" t="s">
        <v>2568</v>
      </c>
      <c r="F79" s="3" t="s">
        <v>2490</v>
      </c>
      <c r="G79" s="3" t="s">
        <v>2597</v>
      </c>
      <c r="J79" s="1">
        <v>81</v>
      </c>
    </row>
    <row r="80" ht="30" spans="1:10">
      <c r="A80" s="1" t="str">
        <f t="shared" si="7"/>
        <v>3:100129</v>
      </c>
      <c r="B80" s="1">
        <v>3</v>
      </c>
      <c r="C80" s="1">
        <v>100129</v>
      </c>
      <c r="D80" s="3" t="s">
        <v>2134</v>
      </c>
      <c r="E80" s="3" t="s">
        <v>2568</v>
      </c>
      <c r="F80" s="3" t="s">
        <v>2490</v>
      </c>
      <c r="G80" s="3" t="s">
        <v>2598</v>
      </c>
      <c r="J80" s="1">
        <v>81</v>
      </c>
    </row>
    <row r="81" ht="30" spans="1:10">
      <c r="A81" s="1" t="str">
        <f t="shared" si="7"/>
        <v>3:100130</v>
      </c>
      <c r="B81" s="1">
        <v>3</v>
      </c>
      <c r="C81" s="1">
        <v>100130</v>
      </c>
      <c r="D81" s="3" t="s">
        <v>2135</v>
      </c>
      <c r="E81" s="3" t="s">
        <v>2568</v>
      </c>
      <c r="F81" s="3" t="s">
        <v>2490</v>
      </c>
      <c r="G81" s="3" t="s">
        <v>2599</v>
      </c>
      <c r="J81" s="1">
        <v>81</v>
      </c>
    </row>
    <row r="82" ht="30" spans="1:10">
      <c r="A82" s="1" t="str">
        <f t="shared" si="7"/>
        <v>3:100131</v>
      </c>
      <c r="B82" s="1">
        <v>3</v>
      </c>
      <c r="C82" s="1">
        <v>100131</v>
      </c>
      <c r="D82" s="3" t="s">
        <v>2136</v>
      </c>
      <c r="E82" s="3" t="s">
        <v>2568</v>
      </c>
      <c r="F82" s="3" t="s">
        <v>2490</v>
      </c>
      <c r="G82" s="3" t="s">
        <v>2600</v>
      </c>
      <c r="J82" s="1">
        <v>81</v>
      </c>
    </row>
    <row r="83" ht="30" spans="1:10">
      <c r="A83" s="1" t="str">
        <f t="shared" si="7"/>
        <v>3:100132</v>
      </c>
      <c r="B83" s="1">
        <v>3</v>
      </c>
      <c r="C83" s="1">
        <v>100132</v>
      </c>
      <c r="D83" s="3" t="s">
        <v>2137</v>
      </c>
      <c r="E83" s="3" t="s">
        <v>2568</v>
      </c>
      <c r="F83" s="3" t="s">
        <v>2490</v>
      </c>
      <c r="G83" s="3" t="s">
        <v>2601</v>
      </c>
      <c r="J83" s="1">
        <v>81</v>
      </c>
    </row>
    <row r="84" ht="30" spans="1:10">
      <c r="A84" s="1" t="str">
        <f t="shared" si="7"/>
        <v>3:100133</v>
      </c>
      <c r="B84" s="1">
        <v>3</v>
      </c>
      <c r="C84" s="1">
        <v>100133</v>
      </c>
      <c r="D84" s="3" t="s">
        <v>2138</v>
      </c>
      <c r="E84" s="3" t="s">
        <v>2568</v>
      </c>
      <c r="F84" s="3" t="s">
        <v>2490</v>
      </c>
      <c r="G84" s="3" t="s">
        <v>2602</v>
      </c>
      <c r="J84" s="1">
        <v>81</v>
      </c>
    </row>
    <row r="85" ht="30" spans="1:10">
      <c r="A85" s="1" t="str">
        <f t="shared" si="7"/>
        <v>3:100134</v>
      </c>
      <c r="B85" s="1">
        <v>3</v>
      </c>
      <c r="C85" s="1">
        <v>100134</v>
      </c>
      <c r="D85" s="3" t="s">
        <v>2139</v>
      </c>
      <c r="E85" s="3" t="s">
        <v>2568</v>
      </c>
      <c r="F85" s="3" t="s">
        <v>2490</v>
      </c>
      <c r="G85" s="3" t="s">
        <v>2603</v>
      </c>
      <c r="J85" s="1">
        <v>81</v>
      </c>
    </row>
    <row r="86" ht="30" spans="1:10">
      <c r="A86" s="1" t="str">
        <f t="shared" si="7"/>
        <v>3:100135</v>
      </c>
      <c r="B86" s="1">
        <v>3</v>
      </c>
      <c r="C86" s="1">
        <v>100135</v>
      </c>
      <c r="D86" s="3" t="s">
        <v>2140</v>
      </c>
      <c r="E86" s="3" t="s">
        <v>2568</v>
      </c>
      <c r="F86" s="3" t="s">
        <v>2490</v>
      </c>
      <c r="G86" s="3" t="s">
        <v>2604</v>
      </c>
      <c r="J86" s="1">
        <v>81</v>
      </c>
    </row>
    <row r="87" ht="30" spans="1:10">
      <c r="A87" s="1" t="str">
        <f t="shared" si="7"/>
        <v>3:100136</v>
      </c>
      <c r="B87" s="1">
        <v>3</v>
      </c>
      <c r="C87" s="1">
        <v>100136</v>
      </c>
      <c r="D87" s="3" t="s">
        <v>2141</v>
      </c>
      <c r="E87" s="3" t="s">
        <v>2568</v>
      </c>
      <c r="F87" s="3" t="s">
        <v>2490</v>
      </c>
      <c r="G87" s="3" t="s">
        <v>2605</v>
      </c>
      <c r="J87" s="1">
        <v>81</v>
      </c>
    </row>
    <row r="88" ht="30" spans="1:10">
      <c r="A88" s="1" t="str">
        <f t="shared" si="7"/>
        <v>3:100137</v>
      </c>
      <c r="B88" s="1">
        <v>3</v>
      </c>
      <c r="C88" s="1">
        <v>100137</v>
      </c>
      <c r="D88" s="3" t="s">
        <v>2142</v>
      </c>
      <c r="E88" s="3" t="s">
        <v>2568</v>
      </c>
      <c r="F88" s="3" t="s">
        <v>2490</v>
      </c>
      <c r="G88" s="3" t="s">
        <v>2606</v>
      </c>
      <c r="J88" s="1">
        <v>81</v>
      </c>
    </row>
    <row r="89" ht="30" spans="1:10">
      <c r="A89" s="1" t="str">
        <f t="shared" si="7"/>
        <v>3:100138</v>
      </c>
      <c r="B89" s="1">
        <v>3</v>
      </c>
      <c r="C89" s="1">
        <v>100138</v>
      </c>
      <c r="D89" s="3" t="s">
        <v>2143</v>
      </c>
      <c r="E89" s="3" t="s">
        <v>2568</v>
      </c>
      <c r="F89" s="3" t="s">
        <v>2490</v>
      </c>
      <c r="G89" s="3" t="s">
        <v>2607</v>
      </c>
      <c r="J89" s="1">
        <v>81</v>
      </c>
    </row>
    <row r="90" ht="30" spans="1:10">
      <c r="A90" s="1" t="str">
        <f t="shared" si="7"/>
        <v>3:100139</v>
      </c>
      <c r="B90" s="1">
        <v>3</v>
      </c>
      <c r="C90" s="1">
        <v>100139</v>
      </c>
      <c r="D90" s="3" t="s">
        <v>2144</v>
      </c>
      <c r="E90" s="3" t="s">
        <v>2568</v>
      </c>
      <c r="F90" s="3" t="s">
        <v>2490</v>
      </c>
      <c r="G90" s="3" t="s">
        <v>2608</v>
      </c>
      <c r="J90" s="1">
        <v>81</v>
      </c>
    </row>
    <row r="91" ht="30" spans="1:10">
      <c r="A91" s="1" t="str">
        <f t="shared" si="7"/>
        <v>3:100140</v>
      </c>
      <c r="B91" s="1">
        <v>3</v>
      </c>
      <c r="C91" s="1">
        <v>100140</v>
      </c>
      <c r="D91" s="3" t="s">
        <v>2145</v>
      </c>
      <c r="E91" s="3" t="s">
        <v>2568</v>
      </c>
      <c r="F91" s="3" t="s">
        <v>2490</v>
      </c>
      <c r="G91" s="3" t="s">
        <v>2609</v>
      </c>
      <c r="J91" s="1">
        <v>81</v>
      </c>
    </row>
    <row r="92" ht="30" spans="1:10">
      <c r="A92" s="1" t="str">
        <f t="shared" si="7"/>
        <v>3:100141</v>
      </c>
      <c r="B92" s="1">
        <v>3</v>
      </c>
      <c r="C92" s="1">
        <v>100141</v>
      </c>
      <c r="D92" s="3" t="s">
        <v>2146</v>
      </c>
      <c r="E92" s="3" t="s">
        <v>2568</v>
      </c>
      <c r="F92" s="3" t="s">
        <v>2490</v>
      </c>
      <c r="G92" s="3" t="s">
        <v>2610</v>
      </c>
      <c r="J92" s="1">
        <v>81</v>
      </c>
    </row>
    <row r="93" ht="30" spans="1:10">
      <c r="A93" s="1" t="str">
        <f t="shared" si="7"/>
        <v>3:100142</v>
      </c>
      <c r="B93" s="1">
        <v>3</v>
      </c>
      <c r="C93" s="1">
        <v>100142</v>
      </c>
      <c r="D93" s="3" t="s">
        <v>2147</v>
      </c>
      <c r="E93" s="3" t="s">
        <v>2568</v>
      </c>
      <c r="F93" s="3" t="s">
        <v>2490</v>
      </c>
      <c r="G93" s="3" t="s">
        <v>2611</v>
      </c>
      <c r="J93" s="1">
        <v>81</v>
      </c>
    </row>
    <row r="94" ht="30" spans="1:10">
      <c r="A94" s="1" t="str">
        <f t="shared" si="7"/>
        <v>3:100143</v>
      </c>
      <c r="B94" s="1">
        <v>3</v>
      </c>
      <c r="C94" s="1">
        <v>100143</v>
      </c>
      <c r="D94" s="3" t="s">
        <v>2148</v>
      </c>
      <c r="E94" s="3" t="s">
        <v>2568</v>
      </c>
      <c r="F94" s="3" t="s">
        <v>2490</v>
      </c>
      <c r="G94" s="3" t="s">
        <v>2612</v>
      </c>
      <c r="J94" s="1">
        <v>81</v>
      </c>
    </row>
    <row r="95" ht="30" spans="1:10">
      <c r="A95" s="1" t="str">
        <f t="shared" si="7"/>
        <v>3:100144</v>
      </c>
      <c r="B95" s="1">
        <v>3</v>
      </c>
      <c r="C95" s="1">
        <v>100144</v>
      </c>
      <c r="D95" s="3" t="s">
        <v>2149</v>
      </c>
      <c r="E95" s="3" t="s">
        <v>2568</v>
      </c>
      <c r="F95" s="3" t="s">
        <v>2490</v>
      </c>
      <c r="G95" s="3" t="s">
        <v>2613</v>
      </c>
      <c r="J95" s="1">
        <v>81</v>
      </c>
    </row>
    <row r="96" ht="30" spans="1:10">
      <c r="A96" s="1" t="str">
        <f t="shared" si="7"/>
        <v>3:100145</v>
      </c>
      <c r="B96" s="1">
        <v>3</v>
      </c>
      <c r="C96" s="1">
        <v>100145</v>
      </c>
      <c r="D96" s="3" t="s">
        <v>2150</v>
      </c>
      <c r="E96" s="3" t="s">
        <v>2568</v>
      </c>
      <c r="F96" s="3" t="s">
        <v>2490</v>
      </c>
      <c r="G96" s="3" t="s">
        <v>2614</v>
      </c>
      <c r="J96" s="1">
        <v>81</v>
      </c>
    </row>
    <row r="97" ht="15" spans="4:7">
      <c r="D97" s="3"/>
      <c r="E97" s="3"/>
      <c r="F97" s="3"/>
      <c r="G97" s="3"/>
    </row>
    <row r="98" ht="30" spans="1:10">
      <c r="A98" s="1" t="str">
        <f t="shared" si="7"/>
        <v>3:40101</v>
      </c>
      <c r="B98" s="1">
        <v>3</v>
      </c>
      <c r="C98" s="1">
        <v>40101</v>
      </c>
      <c r="D98" s="3" t="s">
        <v>2151</v>
      </c>
      <c r="E98" s="3" t="s">
        <v>2615</v>
      </c>
      <c r="F98" s="3" t="s">
        <v>2616</v>
      </c>
      <c r="G98" s="3" t="s">
        <v>2617</v>
      </c>
      <c r="J98" s="1">
        <v>80</v>
      </c>
    </row>
    <row r="99" ht="30" spans="1:10">
      <c r="A99" s="1" t="str">
        <f t="shared" si="7"/>
        <v>3:40102</v>
      </c>
      <c r="B99" s="1">
        <v>3</v>
      </c>
      <c r="C99" s="1">
        <v>40102</v>
      </c>
      <c r="D99" s="3" t="s">
        <v>2152</v>
      </c>
      <c r="E99" s="3" t="s">
        <v>2615</v>
      </c>
      <c r="F99" s="3" t="s">
        <v>2616</v>
      </c>
      <c r="G99" s="3" t="s">
        <v>2617</v>
      </c>
      <c r="J99" s="1">
        <v>160</v>
      </c>
    </row>
    <row r="100" ht="30" spans="1:10">
      <c r="A100" s="1" t="str">
        <f t="shared" si="7"/>
        <v>3:40103</v>
      </c>
      <c r="B100" s="1">
        <v>3</v>
      </c>
      <c r="C100" s="1">
        <v>40103</v>
      </c>
      <c r="D100" s="3" t="s">
        <v>2153</v>
      </c>
      <c r="E100" s="3" t="s">
        <v>2615</v>
      </c>
      <c r="F100" s="3" t="s">
        <v>2616</v>
      </c>
      <c r="G100" s="3" t="s">
        <v>2617</v>
      </c>
      <c r="J100" s="1">
        <v>320</v>
      </c>
    </row>
    <row r="101" ht="30" spans="1:10">
      <c r="A101" s="1" t="str">
        <f t="shared" si="7"/>
        <v>3:40201</v>
      </c>
      <c r="B101" s="1">
        <v>3</v>
      </c>
      <c r="C101" s="1">
        <v>40201</v>
      </c>
      <c r="D101" s="3" t="s">
        <v>2154</v>
      </c>
      <c r="E101" s="3" t="s">
        <v>2615</v>
      </c>
      <c r="F101" s="3" t="s">
        <v>2616</v>
      </c>
      <c r="G101" s="3" t="s">
        <v>2618</v>
      </c>
      <c r="J101" s="1">
        <v>80</v>
      </c>
    </row>
    <row r="102" ht="30" spans="1:10">
      <c r="A102" s="1" t="str">
        <f t="shared" si="7"/>
        <v>3:40202</v>
      </c>
      <c r="B102" s="1">
        <v>3</v>
      </c>
      <c r="C102" s="1">
        <v>40202</v>
      </c>
      <c r="D102" s="3" t="s">
        <v>2155</v>
      </c>
      <c r="E102" s="3" t="s">
        <v>2615</v>
      </c>
      <c r="F102" s="3" t="s">
        <v>2616</v>
      </c>
      <c r="G102" s="3" t="s">
        <v>2618</v>
      </c>
      <c r="J102" s="1">
        <v>160</v>
      </c>
    </row>
    <row r="103" ht="30" spans="1:10">
      <c r="A103" s="1" t="str">
        <f t="shared" si="7"/>
        <v>3:40203</v>
      </c>
      <c r="B103" s="1">
        <v>3</v>
      </c>
      <c r="C103" s="1">
        <v>40203</v>
      </c>
      <c r="D103" s="3" t="s">
        <v>2156</v>
      </c>
      <c r="E103" s="3" t="s">
        <v>2615</v>
      </c>
      <c r="F103" s="3" t="s">
        <v>2616</v>
      </c>
      <c r="G103" s="3" t="s">
        <v>2618</v>
      </c>
      <c r="J103" s="1">
        <v>320</v>
      </c>
    </row>
    <row r="104" ht="30" spans="1:10">
      <c r="A104" s="1" t="str">
        <f t="shared" si="7"/>
        <v>3:40301</v>
      </c>
      <c r="B104" s="1">
        <v>3</v>
      </c>
      <c r="C104" s="1">
        <v>40301</v>
      </c>
      <c r="D104" s="3" t="s">
        <v>2157</v>
      </c>
      <c r="E104" s="3" t="s">
        <v>2615</v>
      </c>
      <c r="F104" s="3" t="s">
        <v>2616</v>
      </c>
      <c r="G104" s="3" t="s">
        <v>2619</v>
      </c>
      <c r="J104" s="1">
        <v>80</v>
      </c>
    </row>
    <row r="105" ht="30" spans="1:10">
      <c r="A105" s="1" t="str">
        <f t="shared" si="7"/>
        <v>3:40302</v>
      </c>
      <c r="B105" s="1">
        <v>3</v>
      </c>
      <c r="C105" s="1">
        <v>40302</v>
      </c>
      <c r="D105" s="3" t="s">
        <v>2158</v>
      </c>
      <c r="E105" s="3" t="s">
        <v>2615</v>
      </c>
      <c r="F105" s="3" t="s">
        <v>2616</v>
      </c>
      <c r="G105" s="3" t="s">
        <v>2619</v>
      </c>
      <c r="J105" s="1">
        <v>160</v>
      </c>
    </row>
    <row r="106" ht="30" spans="1:10">
      <c r="A106" s="1" t="str">
        <f t="shared" si="7"/>
        <v>3:40303</v>
      </c>
      <c r="B106" s="1">
        <v>3</v>
      </c>
      <c r="C106" s="1">
        <v>40303</v>
      </c>
      <c r="D106" s="3" t="s">
        <v>2159</v>
      </c>
      <c r="E106" s="3" t="s">
        <v>2615</v>
      </c>
      <c r="F106" s="3" t="s">
        <v>2616</v>
      </c>
      <c r="G106" s="3" t="s">
        <v>2619</v>
      </c>
      <c r="J106" s="1">
        <v>320</v>
      </c>
    </row>
    <row r="107" ht="45" spans="1:10">
      <c r="A107" s="1" t="str">
        <f t="shared" si="7"/>
        <v>3:40401</v>
      </c>
      <c r="B107" s="1">
        <v>3</v>
      </c>
      <c r="C107" s="1">
        <v>40401</v>
      </c>
      <c r="D107" s="3" t="s">
        <v>2160</v>
      </c>
      <c r="E107" s="3" t="s">
        <v>2615</v>
      </c>
      <c r="F107" s="3" t="s">
        <v>2616</v>
      </c>
      <c r="G107" s="3" t="s">
        <v>2620</v>
      </c>
      <c r="J107" s="1">
        <v>80</v>
      </c>
    </row>
    <row r="108" ht="45" spans="1:10">
      <c r="A108" s="1" t="str">
        <f t="shared" si="7"/>
        <v>3:40402</v>
      </c>
      <c r="B108" s="1">
        <v>3</v>
      </c>
      <c r="C108" s="1">
        <v>40402</v>
      </c>
      <c r="D108" s="3" t="s">
        <v>2161</v>
      </c>
      <c r="E108" s="3" t="s">
        <v>2615</v>
      </c>
      <c r="F108" s="3" t="s">
        <v>2616</v>
      </c>
      <c r="G108" s="3" t="s">
        <v>2620</v>
      </c>
      <c r="J108" s="1">
        <v>160</v>
      </c>
    </row>
    <row r="109" ht="45" spans="1:10">
      <c r="A109" s="1" t="str">
        <f t="shared" si="7"/>
        <v>3:40403</v>
      </c>
      <c r="B109" s="1">
        <v>3</v>
      </c>
      <c r="C109" s="1">
        <v>40403</v>
      </c>
      <c r="D109" s="3" t="s">
        <v>2162</v>
      </c>
      <c r="E109" s="3" t="s">
        <v>2615</v>
      </c>
      <c r="F109" s="3" t="s">
        <v>2616</v>
      </c>
      <c r="G109" s="3" t="s">
        <v>2620</v>
      </c>
      <c r="J109" s="1">
        <v>320</v>
      </c>
    </row>
    <row r="110" ht="30" spans="1:10">
      <c r="A110" s="1" t="str">
        <f t="shared" si="7"/>
        <v>3:40501</v>
      </c>
      <c r="B110" s="1">
        <v>3</v>
      </c>
      <c r="C110" s="1">
        <v>40501</v>
      </c>
      <c r="D110" s="3" t="s">
        <v>2163</v>
      </c>
      <c r="E110" s="3" t="s">
        <v>2615</v>
      </c>
      <c r="F110" s="3" t="s">
        <v>2616</v>
      </c>
      <c r="G110" s="3" t="s">
        <v>2621</v>
      </c>
      <c r="J110" s="1">
        <v>80</v>
      </c>
    </row>
    <row r="111" ht="30" spans="1:10">
      <c r="A111" s="1" t="str">
        <f t="shared" si="7"/>
        <v>3:40502</v>
      </c>
      <c r="B111" s="1">
        <v>3</v>
      </c>
      <c r="C111" s="1">
        <v>40502</v>
      </c>
      <c r="D111" s="3" t="s">
        <v>2164</v>
      </c>
      <c r="E111" s="3" t="s">
        <v>2615</v>
      </c>
      <c r="F111" s="3" t="s">
        <v>2616</v>
      </c>
      <c r="G111" s="3" t="s">
        <v>2621</v>
      </c>
      <c r="J111" s="1">
        <v>160</v>
      </c>
    </row>
    <row r="112" ht="30" spans="1:10">
      <c r="A112" s="1" t="str">
        <f t="shared" si="7"/>
        <v>3:40503</v>
      </c>
      <c r="B112" s="1">
        <v>3</v>
      </c>
      <c r="C112" s="1">
        <v>40503</v>
      </c>
      <c r="D112" s="3" t="s">
        <v>2165</v>
      </c>
      <c r="E112" s="3" t="s">
        <v>2615</v>
      </c>
      <c r="F112" s="3" t="s">
        <v>2616</v>
      </c>
      <c r="G112" s="3" t="s">
        <v>2621</v>
      </c>
      <c r="J112" s="1">
        <v>320</v>
      </c>
    </row>
    <row r="113" ht="15" spans="4:7">
      <c r="D113" s="3"/>
      <c r="E113" s="3"/>
      <c r="F113" s="3"/>
      <c r="G113" s="3"/>
    </row>
    <row r="114" ht="45" spans="1:10">
      <c r="A114" s="1" t="str">
        <f t="shared" si="7"/>
        <v>3:300001</v>
      </c>
      <c r="B114" s="1">
        <v>3</v>
      </c>
      <c r="C114" s="1">
        <v>300001</v>
      </c>
      <c r="D114" s="3" t="s">
        <v>2166</v>
      </c>
      <c r="E114" s="3" t="s">
        <v>2622</v>
      </c>
      <c r="F114" s="3" t="s">
        <v>2623</v>
      </c>
      <c r="G114" s="3" t="s">
        <v>2624</v>
      </c>
      <c r="J114" s="1">
        <v>100</v>
      </c>
    </row>
    <row r="115" ht="45" spans="1:10">
      <c r="A115" s="1" t="str">
        <f t="shared" si="7"/>
        <v>3:300002</v>
      </c>
      <c r="B115" s="1">
        <v>3</v>
      </c>
      <c r="C115" s="1">
        <v>300002</v>
      </c>
      <c r="D115" s="3" t="s">
        <v>2167</v>
      </c>
      <c r="E115" s="3" t="s">
        <v>2622</v>
      </c>
      <c r="F115" s="3" t="s">
        <v>2623</v>
      </c>
      <c r="G115" s="3" t="s">
        <v>2624</v>
      </c>
      <c r="J115" s="1">
        <v>100</v>
      </c>
    </row>
    <row r="116" ht="45" spans="1:10">
      <c r="A116" s="1" t="str">
        <f t="shared" si="7"/>
        <v>3:300003</v>
      </c>
      <c r="B116" s="1">
        <v>3</v>
      </c>
      <c r="C116" s="1">
        <v>300003</v>
      </c>
      <c r="D116" s="3" t="s">
        <v>2168</v>
      </c>
      <c r="E116" s="3" t="s">
        <v>2622</v>
      </c>
      <c r="F116" s="3" t="s">
        <v>2623</v>
      </c>
      <c r="G116" s="3" t="s">
        <v>2624</v>
      </c>
      <c r="J116" s="1">
        <v>100</v>
      </c>
    </row>
    <row r="117" ht="45" spans="1:10">
      <c r="A117" s="1" t="str">
        <f t="shared" si="7"/>
        <v>3:300004</v>
      </c>
      <c r="B117" s="1">
        <v>3</v>
      </c>
      <c r="C117" s="1">
        <v>300004</v>
      </c>
      <c r="D117" s="3" t="s">
        <v>2169</v>
      </c>
      <c r="E117" s="3" t="s">
        <v>2622</v>
      </c>
      <c r="F117" s="3" t="s">
        <v>2623</v>
      </c>
      <c r="G117" s="3" t="s">
        <v>2624</v>
      </c>
      <c r="J117" s="1">
        <v>100</v>
      </c>
    </row>
    <row r="118" ht="45" spans="1:10">
      <c r="A118" s="1" t="str">
        <f t="shared" si="7"/>
        <v>3:300005</v>
      </c>
      <c r="B118" s="1">
        <v>3</v>
      </c>
      <c r="C118" s="1">
        <v>300005</v>
      </c>
      <c r="D118" s="3" t="s">
        <v>2170</v>
      </c>
      <c r="E118" s="3" t="s">
        <v>2622</v>
      </c>
      <c r="F118" s="3" t="s">
        <v>2623</v>
      </c>
      <c r="G118" s="3" t="s">
        <v>2625</v>
      </c>
      <c r="J118" s="1">
        <v>100</v>
      </c>
    </row>
    <row r="119" ht="45" spans="1:10">
      <c r="A119" s="1" t="str">
        <f t="shared" si="7"/>
        <v>3:300006</v>
      </c>
      <c r="B119" s="1">
        <v>3</v>
      </c>
      <c r="C119" s="1">
        <v>300006</v>
      </c>
      <c r="D119" s="3" t="s">
        <v>2171</v>
      </c>
      <c r="E119" s="3" t="s">
        <v>2622</v>
      </c>
      <c r="F119" s="3" t="s">
        <v>2623</v>
      </c>
      <c r="G119" s="3" t="s">
        <v>2626</v>
      </c>
      <c r="J119" s="1">
        <v>100</v>
      </c>
    </row>
    <row r="120" ht="45" spans="1:10">
      <c r="A120" s="1" t="str">
        <f t="shared" si="7"/>
        <v>3:300007</v>
      </c>
      <c r="B120" s="1">
        <v>3</v>
      </c>
      <c r="C120" s="1">
        <v>300007</v>
      </c>
      <c r="D120" s="3" t="s">
        <v>2172</v>
      </c>
      <c r="E120" s="3" t="s">
        <v>2622</v>
      </c>
      <c r="F120" s="3" t="s">
        <v>2623</v>
      </c>
      <c r="G120" s="3" t="s">
        <v>2627</v>
      </c>
      <c r="J120" s="1">
        <v>100</v>
      </c>
    </row>
    <row r="121" ht="45" spans="1:10">
      <c r="A121" s="1" t="str">
        <f t="shared" si="7"/>
        <v>3:300008</v>
      </c>
      <c r="B121" s="1">
        <v>3</v>
      </c>
      <c r="C121" s="1">
        <v>300008</v>
      </c>
      <c r="D121" s="3" t="s">
        <v>2173</v>
      </c>
      <c r="E121" s="3" t="s">
        <v>2622</v>
      </c>
      <c r="F121" s="3" t="s">
        <v>2623</v>
      </c>
      <c r="G121" s="3" t="s">
        <v>2628</v>
      </c>
      <c r="J121" s="1">
        <v>100</v>
      </c>
    </row>
    <row r="122" ht="45" spans="1:10">
      <c r="A122" s="1" t="str">
        <f t="shared" si="7"/>
        <v>3:300009</v>
      </c>
      <c r="B122" s="1">
        <v>3</v>
      </c>
      <c r="C122" s="1">
        <v>300009</v>
      </c>
      <c r="D122" s="3" t="s">
        <v>2174</v>
      </c>
      <c r="E122" s="3" t="s">
        <v>2622</v>
      </c>
      <c r="F122" s="3" t="s">
        <v>2623</v>
      </c>
      <c r="G122" s="3" t="s">
        <v>2629</v>
      </c>
      <c r="J122" s="1">
        <v>100</v>
      </c>
    </row>
    <row r="123" ht="45" spans="1:10">
      <c r="A123" s="1" t="str">
        <f t="shared" si="7"/>
        <v>3:300010</v>
      </c>
      <c r="B123" s="1">
        <v>3</v>
      </c>
      <c r="C123" s="1">
        <v>300010</v>
      </c>
      <c r="D123" s="3" t="s">
        <v>2175</v>
      </c>
      <c r="E123" s="3" t="s">
        <v>2622</v>
      </c>
      <c r="F123" s="3" t="s">
        <v>2623</v>
      </c>
      <c r="G123" s="3" t="s">
        <v>2630</v>
      </c>
      <c r="J123" s="1">
        <v>100</v>
      </c>
    </row>
    <row r="124" ht="45" spans="1:10">
      <c r="A124" s="1" t="str">
        <f t="shared" si="7"/>
        <v>3:300011</v>
      </c>
      <c r="B124" s="1">
        <v>3</v>
      </c>
      <c r="C124" s="1">
        <v>300011</v>
      </c>
      <c r="D124" s="3" t="s">
        <v>2176</v>
      </c>
      <c r="E124" s="3" t="s">
        <v>2622</v>
      </c>
      <c r="F124" s="3" t="s">
        <v>2623</v>
      </c>
      <c r="G124" s="3" t="s">
        <v>2631</v>
      </c>
      <c r="J124" s="1">
        <v>100</v>
      </c>
    </row>
    <row r="125" ht="45" spans="1:10">
      <c r="A125" s="1" t="str">
        <f t="shared" si="7"/>
        <v>3:300012</v>
      </c>
      <c r="B125" s="1">
        <v>3</v>
      </c>
      <c r="C125" s="1">
        <v>300012</v>
      </c>
      <c r="D125" s="3" t="s">
        <v>2177</v>
      </c>
      <c r="E125" s="3" t="s">
        <v>2622</v>
      </c>
      <c r="F125" s="3" t="s">
        <v>2623</v>
      </c>
      <c r="G125" s="3" t="s">
        <v>2632</v>
      </c>
      <c r="J125" s="1">
        <v>100</v>
      </c>
    </row>
    <row r="126" ht="45" spans="1:10">
      <c r="A126" s="1" t="str">
        <f t="shared" si="7"/>
        <v>3:300013</v>
      </c>
      <c r="B126" s="1">
        <v>3</v>
      </c>
      <c r="C126" s="1">
        <v>300013</v>
      </c>
      <c r="D126" s="3" t="s">
        <v>2178</v>
      </c>
      <c r="E126" s="3" t="s">
        <v>2622</v>
      </c>
      <c r="F126" s="3" t="s">
        <v>2623</v>
      </c>
      <c r="G126" s="3" t="s">
        <v>2633</v>
      </c>
      <c r="J126" s="1">
        <v>100</v>
      </c>
    </row>
    <row r="127" ht="45" spans="1:10">
      <c r="A127" s="1" t="str">
        <f t="shared" si="7"/>
        <v>3:300014</v>
      </c>
      <c r="B127" s="1">
        <v>3</v>
      </c>
      <c r="C127" s="1">
        <v>300014</v>
      </c>
      <c r="D127" s="3" t="s">
        <v>2179</v>
      </c>
      <c r="E127" s="3" t="s">
        <v>2622</v>
      </c>
      <c r="F127" s="3" t="s">
        <v>2623</v>
      </c>
      <c r="G127" s="3" t="s">
        <v>2634</v>
      </c>
      <c r="J127" s="1">
        <v>100</v>
      </c>
    </row>
    <row r="128" ht="45" spans="1:10">
      <c r="A128" s="1" t="str">
        <f t="shared" ref="A128:A191" si="8">B128&amp;":"&amp;C128</f>
        <v>3:300015</v>
      </c>
      <c r="B128" s="1">
        <v>3</v>
      </c>
      <c r="C128" s="1">
        <v>300015</v>
      </c>
      <c r="D128" s="3" t="s">
        <v>2180</v>
      </c>
      <c r="E128" s="3" t="s">
        <v>2622</v>
      </c>
      <c r="F128" s="3" t="s">
        <v>2623</v>
      </c>
      <c r="G128" s="3" t="s">
        <v>2635</v>
      </c>
      <c r="J128" s="1">
        <v>100</v>
      </c>
    </row>
    <row r="129" ht="45" spans="1:10">
      <c r="A129" s="1" t="str">
        <f t="shared" si="8"/>
        <v>3:300016</v>
      </c>
      <c r="B129" s="1">
        <v>3</v>
      </c>
      <c r="C129" s="1">
        <v>300016</v>
      </c>
      <c r="D129" s="3" t="s">
        <v>2181</v>
      </c>
      <c r="E129" s="3" t="s">
        <v>2622</v>
      </c>
      <c r="F129" s="3" t="s">
        <v>2623</v>
      </c>
      <c r="G129" s="3" t="s">
        <v>2636</v>
      </c>
      <c r="J129" s="1">
        <v>100</v>
      </c>
    </row>
    <row r="130" ht="45" spans="1:10">
      <c r="A130" s="1" t="str">
        <f t="shared" si="8"/>
        <v>3:300017</v>
      </c>
      <c r="B130" s="1">
        <v>3</v>
      </c>
      <c r="C130" s="1">
        <v>300017</v>
      </c>
      <c r="D130" s="3" t="s">
        <v>2182</v>
      </c>
      <c r="E130" s="3" t="s">
        <v>2622</v>
      </c>
      <c r="F130" s="3" t="s">
        <v>2623</v>
      </c>
      <c r="G130" s="3" t="s">
        <v>2637</v>
      </c>
      <c r="J130" s="1">
        <v>100</v>
      </c>
    </row>
    <row r="131" ht="45" spans="1:10">
      <c r="A131" s="1" t="str">
        <f t="shared" si="8"/>
        <v>3:300018</v>
      </c>
      <c r="B131" s="1">
        <v>3</v>
      </c>
      <c r="C131" s="1">
        <v>300018</v>
      </c>
      <c r="D131" s="3" t="s">
        <v>2183</v>
      </c>
      <c r="E131" s="3" t="s">
        <v>2622</v>
      </c>
      <c r="F131" s="3" t="s">
        <v>2623</v>
      </c>
      <c r="G131" s="3" t="s">
        <v>2638</v>
      </c>
      <c r="J131" s="1">
        <v>100</v>
      </c>
    </row>
    <row r="132" ht="45" spans="1:10">
      <c r="A132" s="1" t="str">
        <f t="shared" si="8"/>
        <v>3:300019</v>
      </c>
      <c r="B132" s="1">
        <v>3</v>
      </c>
      <c r="C132" s="1">
        <v>300019</v>
      </c>
      <c r="D132" s="3" t="s">
        <v>2184</v>
      </c>
      <c r="E132" s="3" t="s">
        <v>2622</v>
      </c>
      <c r="F132" s="3" t="s">
        <v>2623</v>
      </c>
      <c r="G132" s="3" t="s">
        <v>2639</v>
      </c>
      <c r="J132" s="1">
        <v>100</v>
      </c>
    </row>
    <row r="133" ht="45" spans="1:10">
      <c r="A133" s="1" t="str">
        <f t="shared" si="8"/>
        <v>3:300020</v>
      </c>
      <c r="B133" s="1">
        <v>3</v>
      </c>
      <c r="C133" s="1">
        <v>300020</v>
      </c>
      <c r="D133" s="3" t="s">
        <v>2185</v>
      </c>
      <c r="E133" s="3" t="s">
        <v>2622</v>
      </c>
      <c r="F133" s="3" t="s">
        <v>2623</v>
      </c>
      <c r="G133" s="3" t="s">
        <v>2640</v>
      </c>
      <c r="J133" s="1">
        <v>100</v>
      </c>
    </row>
    <row r="134" ht="45" spans="1:10">
      <c r="A134" s="1" t="str">
        <f t="shared" si="8"/>
        <v>3:300021</v>
      </c>
      <c r="B134" s="1">
        <v>3</v>
      </c>
      <c r="C134" s="1">
        <v>300021</v>
      </c>
      <c r="D134" s="3" t="s">
        <v>2186</v>
      </c>
      <c r="E134" s="3" t="s">
        <v>2622</v>
      </c>
      <c r="F134" s="3" t="s">
        <v>2623</v>
      </c>
      <c r="G134" s="3" t="s">
        <v>2641</v>
      </c>
      <c r="J134" s="1">
        <v>100</v>
      </c>
    </row>
    <row r="135" ht="45" spans="1:10">
      <c r="A135" s="1" t="str">
        <f t="shared" si="8"/>
        <v>3:300022</v>
      </c>
      <c r="B135" s="1">
        <v>3</v>
      </c>
      <c r="C135" s="1">
        <v>300022</v>
      </c>
      <c r="D135" s="3" t="s">
        <v>2187</v>
      </c>
      <c r="E135" s="3" t="s">
        <v>2622</v>
      </c>
      <c r="F135" s="3" t="s">
        <v>2623</v>
      </c>
      <c r="G135" s="3" t="s">
        <v>2642</v>
      </c>
      <c r="J135" s="1">
        <v>100</v>
      </c>
    </row>
    <row r="136" ht="45" spans="1:10">
      <c r="A136" s="1" t="str">
        <f t="shared" si="8"/>
        <v>3:300023</v>
      </c>
      <c r="B136" s="1">
        <v>3</v>
      </c>
      <c r="C136" s="1">
        <v>300023</v>
      </c>
      <c r="D136" s="3" t="s">
        <v>2188</v>
      </c>
      <c r="E136" s="3" t="s">
        <v>2622</v>
      </c>
      <c r="F136" s="3" t="s">
        <v>2623</v>
      </c>
      <c r="G136" s="3" t="s">
        <v>2643</v>
      </c>
      <c r="J136" s="1">
        <v>100</v>
      </c>
    </row>
    <row r="137" ht="45" spans="1:10">
      <c r="A137" s="1" t="str">
        <f t="shared" si="8"/>
        <v>3:300024</v>
      </c>
      <c r="B137" s="1">
        <v>3</v>
      </c>
      <c r="C137" s="1">
        <v>300024</v>
      </c>
      <c r="D137" s="3" t="s">
        <v>2189</v>
      </c>
      <c r="E137" s="3" t="s">
        <v>2622</v>
      </c>
      <c r="F137" s="3" t="s">
        <v>2623</v>
      </c>
      <c r="G137" s="3" t="s">
        <v>2644</v>
      </c>
      <c r="J137" s="1">
        <v>100</v>
      </c>
    </row>
    <row r="138" ht="45" spans="1:10">
      <c r="A138" s="1" t="str">
        <f t="shared" si="8"/>
        <v>3:300025</v>
      </c>
      <c r="B138" s="1">
        <v>3</v>
      </c>
      <c r="C138" s="1">
        <v>300025</v>
      </c>
      <c r="D138" s="3" t="s">
        <v>2190</v>
      </c>
      <c r="E138" s="3" t="s">
        <v>2622</v>
      </c>
      <c r="F138" s="3" t="s">
        <v>2623</v>
      </c>
      <c r="G138" s="3" t="s">
        <v>2645</v>
      </c>
      <c r="J138" s="1">
        <v>100</v>
      </c>
    </row>
    <row r="139" ht="45" spans="1:10">
      <c r="A139" s="1" t="str">
        <f t="shared" si="8"/>
        <v>3:300026</v>
      </c>
      <c r="B139" s="1">
        <v>3</v>
      </c>
      <c r="C139" s="1">
        <v>300026</v>
      </c>
      <c r="D139" s="3" t="s">
        <v>2191</v>
      </c>
      <c r="E139" s="3" t="s">
        <v>2622</v>
      </c>
      <c r="F139" s="3" t="s">
        <v>2623</v>
      </c>
      <c r="G139" s="3" t="s">
        <v>2646</v>
      </c>
      <c r="J139" s="1">
        <v>100</v>
      </c>
    </row>
    <row r="140" ht="45" spans="1:10">
      <c r="A140" s="1" t="str">
        <f t="shared" si="8"/>
        <v>3:300027</v>
      </c>
      <c r="B140" s="1">
        <v>3</v>
      </c>
      <c r="C140" s="1">
        <v>300027</v>
      </c>
      <c r="D140" s="3" t="s">
        <v>2192</v>
      </c>
      <c r="E140" s="3" t="s">
        <v>2622</v>
      </c>
      <c r="F140" s="3" t="s">
        <v>2623</v>
      </c>
      <c r="G140" s="3" t="s">
        <v>2647</v>
      </c>
      <c r="J140" s="1">
        <v>100</v>
      </c>
    </row>
    <row r="141" ht="45" spans="1:10">
      <c r="A141" s="1" t="str">
        <f t="shared" si="8"/>
        <v>3:300028</v>
      </c>
      <c r="B141" s="1">
        <v>3</v>
      </c>
      <c r="C141" s="1">
        <v>300028</v>
      </c>
      <c r="D141" s="3" t="s">
        <v>2193</v>
      </c>
      <c r="E141" s="3" t="s">
        <v>2622</v>
      </c>
      <c r="F141" s="3" t="s">
        <v>2623</v>
      </c>
      <c r="G141" s="3" t="s">
        <v>2648</v>
      </c>
      <c r="J141" s="1">
        <v>100</v>
      </c>
    </row>
    <row r="142" ht="45" spans="1:10">
      <c r="A142" s="1" t="str">
        <f t="shared" si="8"/>
        <v>3:300029</v>
      </c>
      <c r="B142" s="1">
        <v>3</v>
      </c>
      <c r="C142" s="1">
        <v>300029</v>
      </c>
      <c r="D142" s="3" t="s">
        <v>2194</v>
      </c>
      <c r="E142" s="3" t="s">
        <v>2622</v>
      </c>
      <c r="F142" s="3" t="s">
        <v>2623</v>
      </c>
      <c r="G142" s="3" t="s">
        <v>2649</v>
      </c>
      <c r="J142" s="1">
        <v>100</v>
      </c>
    </row>
    <row r="143" ht="45" spans="1:10">
      <c r="A143" s="1" t="str">
        <f t="shared" si="8"/>
        <v>3:300030</v>
      </c>
      <c r="B143" s="1">
        <v>3</v>
      </c>
      <c r="C143" s="1">
        <v>300030</v>
      </c>
      <c r="D143" s="3" t="s">
        <v>2195</v>
      </c>
      <c r="E143" s="3" t="s">
        <v>2622</v>
      </c>
      <c r="F143" s="3" t="s">
        <v>2623</v>
      </c>
      <c r="G143" s="3" t="s">
        <v>2650</v>
      </c>
      <c r="J143" s="1">
        <v>100</v>
      </c>
    </row>
    <row r="144" ht="45" spans="1:10">
      <c r="A144" s="1" t="str">
        <f t="shared" si="8"/>
        <v>3:400001</v>
      </c>
      <c r="B144" s="1">
        <v>3</v>
      </c>
      <c r="C144" s="1">
        <v>400001</v>
      </c>
      <c r="D144" s="3" t="s">
        <v>2196</v>
      </c>
      <c r="E144" s="3" t="s">
        <v>2622</v>
      </c>
      <c r="F144" s="3" t="s">
        <v>2623</v>
      </c>
      <c r="G144" s="3" t="s">
        <v>2651</v>
      </c>
      <c r="J144" s="1">
        <v>100</v>
      </c>
    </row>
    <row r="145" ht="45" spans="1:10">
      <c r="A145" s="1" t="str">
        <f t="shared" si="8"/>
        <v>3:400002</v>
      </c>
      <c r="B145" s="1">
        <v>3</v>
      </c>
      <c r="C145" s="1">
        <v>400002</v>
      </c>
      <c r="D145" s="3" t="s">
        <v>2197</v>
      </c>
      <c r="E145" s="3" t="s">
        <v>2622</v>
      </c>
      <c r="F145" s="3" t="s">
        <v>2623</v>
      </c>
      <c r="G145" s="3" t="s">
        <v>2651</v>
      </c>
      <c r="J145" s="1">
        <v>100</v>
      </c>
    </row>
    <row r="146" ht="45" spans="1:10">
      <c r="A146" s="1" t="str">
        <f t="shared" si="8"/>
        <v>3:400003</v>
      </c>
      <c r="B146" s="1">
        <v>3</v>
      </c>
      <c r="C146" s="1">
        <v>400003</v>
      </c>
      <c r="D146" s="3" t="s">
        <v>2198</v>
      </c>
      <c r="E146" s="3" t="s">
        <v>2622</v>
      </c>
      <c r="F146" s="3" t="s">
        <v>2623</v>
      </c>
      <c r="G146" s="3" t="s">
        <v>2651</v>
      </c>
      <c r="J146" s="1">
        <v>100</v>
      </c>
    </row>
    <row r="147" ht="45" spans="1:10">
      <c r="A147" s="1" t="str">
        <f t="shared" si="8"/>
        <v>3:400004</v>
      </c>
      <c r="B147" s="1">
        <v>3</v>
      </c>
      <c r="C147" s="1">
        <v>400004</v>
      </c>
      <c r="D147" s="3" t="s">
        <v>2199</v>
      </c>
      <c r="E147" s="3" t="s">
        <v>2622</v>
      </c>
      <c r="F147" s="3" t="s">
        <v>2623</v>
      </c>
      <c r="G147" s="3" t="s">
        <v>2651</v>
      </c>
      <c r="J147" s="1">
        <v>100</v>
      </c>
    </row>
    <row r="148" ht="45" spans="1:10">
      <c r="A148" s="1" t="str">
        <f t="shared" si="8"/>
        <v>3:400005</v>
      </c>
      <c r="B148" s="1">
        <v>3</v>
      </c>
      <c r="C148" s="1">
        <v>400005</v>
      </c>
      <c r="D148" s="3" t="s">
        <v>2200</v>
      </c>
      <c r="E148" s="3" t="s">
        <v>2622</v>
      </c>
      <c r="F148" s="3" t="s">
        <v>2623</v>
      </c>
      <c r="G148" s="3" t="s">
        <v>2652</v>
      </c>
      <c r="J148" s="1">
        <v>100</v>
      </c>
    </row>
    <row r="149" ht="45" spans="1:10">
      <c r="A149" s="1" t="str">
        <f t="shared" si="8"/>
        <v>3:400006</v>
      </c>
      <c r="B149" s="1">
        <v>3</v>
      </c>
      <c r="C149" s="1">
        <v>400006</v>
      </c>
      <c r="D149" s="3" t="s">
        <v>2201</v>
      </c>
      <c r="E149" s="3" t="s">
        <v>2622</v>
      </c>
      <c r="F149" s="3" t="s">
        <v>2623</v>
      </c>
      <c r="G149" s="3" t="s">
        <v>2653</v>
      </c>
      <c r="J149" s="1">
        <v>100</v>
      </c>
    </row>
    <row r="150" ht="45" spans="1:10">
      <c r="A150" s="1" t="str">
        <f t="shared" si="8"/>
        <v>3:400007</v>
      </c>
      <c r="B150" s="1">
        <v>3</v>
      </c>
      <c r="C150" s="1">
        <v>400007</v>
      </c>
      <c r="D150" s="3" t="s">
        <v>2202</v>
      </c>
      <c r="E150" s="3" t="s">
        <v>2622</v>
      </c>
      <c r="F150" s="3" t="s">
        <v>2623</v>
      </c>
      <c r="G150" s="3" t="s">
        <v>2654</v>
      </c>
      <c r="J150" s="1">
        <v>100</v>
      </c>
    </row>
    <row r="151" ht="45" spans="1:10">
      <c r="A151" s="1" t="str">
        <f t="shared" si="8"/>
        <v>3:400008</v>
      </c>
      <c r="B151" s="1">
        <v>3</v>
      </c>
      <c r="C151" s="1">
        <v>400008</v>
      </c>
      <c r="D151" s="3" t="s">
        <v>2203</v>
      </c>
      <c r="E151" s="3" t="s">
        <v>2622</v>
      </c>
      <c r="F151" s="3" t="s">
        <v>2623</v>
      </c>
      <c r="G151" s="3" t="s">
        <v>2655</v>
      </c>
      <c r="J151" s="1">
        <v>100</v>
      </c>
    </row>
    <row r="152" ht="45" spans="1:10">
      <c r="A152" s="1" t="str">
        <f t="shared" si="8"/>
        <v>3:400009</v>
      </c>
      <c r="B152" s="1">
        <v>3</v>
      </c>
      <c r="C152" s="1">
        <v>400009</v>
      </c>
      <c r="D152" s="3" t="s">
        <v>2204</v>
      </c>
      <c r="E152" s="3" t="s">
        <v>2622</v>
      </c>
      <c r="F152" s="3" t="s">
        <v>2623</v>
      </c>
      <c r="G152" s="3" t="s">
        <v>2656</v>
      </c>
      <c r="J152" s="1">
        <v>100</v>
      </c>
    </row>
    <row r="153" ht="45" spans="1:10">
      <c r="A153" s="1" t="str">
        <f t="shared" si="8"/>
        <v>3:400010</v>
      </c>
      <c r="B153" s="1">
        <v>3</v>
      </c>
      <c r="C153" s="1">
        <v>400010</v>
      </c>
      <c r="D153" s="3" t="s">
        <v>2205</v>
      </c>
      <c r="E153" s="3" t="s">
        <v>2622</v>
      </c>
      <c r="F153" s="3" t="s">
        <v>2623</v>
      </c>
      <c r="G153" s="3" t="s">
        <v>2657</v>
      </c>
      <c r="J153" s="1">
        <v>100</v>
      </c>
    </row>
    <row r="154" ht="45" spans="1:10">
      <c r="A154" s="1" t="str">
        <f t="shared" si="8"/>
        <v>3:400011</v>
      </c>
      <c r="B154" s="1">
        <v>3</v>
      </c>
      <c r="C154" s="1">
        <v>400011</v>
      </c>
      <c r="D154" s="3" t="s">
        <v>2206</v>
      </c>
      <c r="E154" s="3" t="s">
        <v>2622</v>
      </c>
      <c r="F154" s="3" t="s">
        <v>2623</v>
      </c>
      <c r="G154" s="3" t="s">
        <v>2658</v>
      </c>
      <c r="J154" s="1">
        <v>100</v>
      </c>
    </row>
    <row r="155" ht="45" spans="1:10">
      <c r="A155" s="1" t="str">
        <f t="shared" si="8"/>
        <v>3:400012</v>
      </c>
      <c r="B155" s="1">
        <v>3</v>
      </c>
      <c r="C155" s="1">
        <v>400012</v>
      </c>
      <c r="D155" s="3" t="s">
        <v>2207</v>
      </c>
      <c r="E155" s="3" t="s">
        <v>2622</v>
      </c>
      <c r="F155" s="3" t="s">
        <v>2623</v>
      </c>
      <c r="G155" s="3" t="s">
        <v>2659</v>
      </c>
      <c r="J155" s="1">
        <v>100</v>
      </c>
    </row>
    <row r="156" ht="45" spans="1:10">
      <c r="A156" s="1" t="str">
        <f t="shared" si="8"/>
        <v>3:400013</v>
      </c>
      <c r="B156" s="1">
        <v>3</v>
      </c>
      <c r="C156" s="1">
        <v>400013</v>
      </c>
      <c r="D156" s="3" t="s">
        <v>2208</v>
      </c>
      <c r="E156" s="3" t="s">
        <v>2622</v>
      </c>
      <c r="F156" s="3" t="s">
        <v>2623</v>
      </c>
      <c r="G156" s="3" t="s">
        <v>2660</v>
      </c>
      <c r="J156" s="1">
        <v>100</v>
      </c>
    </row>
    <row r="157" ht="45" spans="1:10">
      <c r="A157" s="1" t="str">
        <f t="shared" si="8"/>
        <v>3:400014</v>
      </c>
      <c r="B157" s="1">
        <v>3</v>
      </c>
      <c r="C157" s="1">
        <v>400014</v>
      </c>
      <c r="D157" s="3" t="s">
        <v>2209</v>
      </c>
      <c r="E157" s="3" t="s">
        <v>2622</v>
      </c>
      <c r="F157" s="3" t="s">
        <v>2623</v>
      </c>
      <c r="G157" s="3" t="s">
        <v>2661</v>
      </c>
      <c r="J157" s="1">
        <v>100</v>
      </c>
    </row>
    <row r="158" ht="45" spans="1:10">
      <c r="A158" s="1" t="str">
        <f t="shared" si="8"/>
        <v>3:400015</v>
      </c>
      <c r="B158" s="1">
        <v>3</v>
      </c>
      <c r="C158" s="1">
        <v>400015</v>
      </c>
      <c r="D158" s="3" t="s">
        <v>2210</v>
      </c>
      <c r="E158" s="3" t="s">
        <v>2622</v>
      </c>
      <c r="F158" s="3" t="s">
        <v>2623</v>
      </c>
      <c r="G158" s="3" t="s">
        <v>2662</v>
      </c>
      <c r="J158" s="1">
        <v>100</v>
      </c>
    </row>
    <row r="159" ht="45" spans="1:10">
      <c r="A159" s="1" t="str">
        <f t="shared" si="8"/>
        <v>3:400016</v>
      </c>
      <c r="B159" s="1">
        <v>3</v>
      </c>
      <c r="C159" s="1">
        <v>400016</v>
      </c>
      <c r="D159" s="3" t="s">
        <v>2211</v>
      </c>
      <c r="E159" s="3" t="s">
        <v>2622</v>
      </c>
      <c r="F159" s="3" t="s">
        <v>2623</v>
      </c>
      <c r="G159" s="3" t="s">
        <v>2663</v>
      </c>
      <c r="J159" s="1">
        <v>100</v>
      </c>
    </row>
    <row r="160" ht="45" spans="1:10">
      <c r="A160" s="1" t="str">
        <f t="shared" si="8"/>
        <v>3:400017</v>
      </c>
      <c r="B160" s="1">
        <v>3</v>
      </c>
      <c r="C160" s="1">
        <v>400017</v>
      </c>
      <c r="D160" s="3" t="s">
        <v>2212</v>
      </c>
      <c r="E160" s="3" t="s">
        <v>2622</v>
      </c>
      <c r="F160" s="3" t="s">
        <v>2623</v>
      </c>
      <c r="G160" s="3" t="s">
        <v>2664</v>
      </c>
      <c r="J160" s="1">
        <v>100</v>
      </c>
    </row>
    <row r="161" ht="45" spans="1:10">
      <c r="A161" s="1" t="str">
        <f t="shared" si="8"/>
        <v>3:400018</v>
      </c>
      <c r="B161" s="1">
        <v>3</v>
      </c>
      <c r="C161" s="1">
        <v>400018</v>
      </c>
      <c r="D161" s="3" t="s">
        <v>2213</v>
      </c>
      <c r="E161" s="3" t="s">
        <v>2622</v>
      </c>
      <c r="F161" s="3" t="s">
        <v>2623</v>
      </c>
      <c r="G161" s="3" t="s">
        <v>2665</v>
      </c>
      <c r="J161" s="1">
        <v>100</v>
      </c>
    </row>
    <row r="162" ht="45" spans="1:10">
      <c r="A162" s="1" t="str">
        <f t="shared" si="8"/>
        <v>3:400019</v>
      </c>
      <c r="B162" s="1">
        <v>3</v>
      </c>
      <c r="C162" s="1">
        <v>400019</v>
      </c>
      <c r="D162" s="3" t="s">
        <v>2214</v>
      </c>
      <c r="E162" s="3" t="s">
        <v>2622</v>
      </c>
      <c r="F162" s="3" t="s">
        <v>2623</v>
      </c>
      <c r="G162" s="3" t="s">
        <v>2666</v>
      </c>
      <c r="J162" s="1">
        <v>100</v>
      </c>
    </row>
    <row r="163" ht="45" spans="1:10">
      <c r="A163" s="1" t="str">
        <f t="shared" si="8"/>
        <v>3:400020</v>
      </c>
      <c r="B163" s="1">
        <v>3</v>
      </c>
      <c r="C163" s="1">
        <v>400020</v>
      </c>
      <c r="D163" s="3" t="s">
        <v>2215</v>
      </c>
      <c r="E163" s="3" t="s">
        <v>2622</v>
      </c>
      <c r="F163" s="3" t="s">
        <v>2623</v>
      </c>
      <c r="G163" s="3" t="s">
        <v>2667</v>
      </c>
      <c r="J163" s="1">
        <v>100</v>
      </c>
    </row>
    <row r="164" ht="45" spans="1:10">
      <c r="A164" s="1" t="str">
        <f t="shared" si="8"/>
        <v>3:400021</v>
      </c>
      <c r="B164" s="1">
        <v>3</v>
      </c>
      <c r="C164" s="1">
        <v>400021</v>
      </c>
      <c r="D164" s="3" t="s">
        <v>2216</v>
      </c>
      <c r="E164" s="3" t="s">
        <v>2622</v>
      </c>
      <c r="F164" s="3" t="s">
        <v>2623</v>
      </c>
      <c r="G164" s="3" t="s">
        <v>2668</v>
      </c>
      <c r="J164" s="1">
        <v>100</v>
      </c>
    </row>
    <row r="165" ht="45" spans="1:10">
      <c r="A165" s="1" t="str">
        <f t="shared" si="8"/>
        <v>3:400022</v>
      </c>
      <c r="B165" s="1">
        <v>3</v>
      </c>
      <c r="C165" s="1">
        <v>400022</v>
      </c>
      <c r="D165" s="3" t="s">
        <v>2217</v>
      </c>
      <c r="E165" s="3" t="s">
        <v>2622</v>
      </c>
      <c r="F165" s="3" t="s">
        <v>2623</v>
      </c>
      <c r="G165" s="3" t="s">
        <v>2669</v>
      </c>
      <c r="J165" s="1">
        <v>100</v>
      </c>
    </row>
    <row r="166" ht="45" spans="1:10">
      <c r="A166" s="1" t="str">
        <f t="shared" si="8"/>
        <v>3:400023</v>
      </c>
      <c r="B166" s="1">
        <v>3</v>
      </c>
      <c r="C166" s="1">
        <v>400023</v>
      </c>
      <c r="D166" s="3" t="s">
        <v>2218</v>
      </c>
      <c r="E166" s="3" t="s">
        <v>2622</v>
      </c>
      <c r="F166" s="3" t="s">
        <v>2623</v>
      </c>
      <c r="G166" s="3" t="s">
        <v>2670</v>
      </c>
      <c r="J166" s="1">
        <v>100</v>
      </c>
    </row>
    <row r="167" ht="45" spans="1:10">
      <c r="A167" s="1" t="str">
        <f t="shared" si="8"/>
        <v>3:400024</v>
      </c>
      <c r="B167" s="1">
        <v>3</v>
      </c>
      <c r="C167" s="1">
        <v>400024</v>
      </c>
      <c r="D167" s="3" t="s">
        <v>2219</v>
      </c>
      <c r="E167" s="3" t="s">
        <v>2622</v>
      </c>
      <c r="F167" s="3" t="s">
        <v>2623</v>
      </c>
      <c r="G167" s="3" t="s">
        <v>2654</v>
      </c>
      <c r="J167" s="1">
        <v>100</v>
      </c>
    </row>
    <row r="168" ht="45" spans="1:10">
      <c r="A168" s="1" t="str">
        <f t="shared" si="8"/>
        <v>3:400025</v>
      </c>
      <c r="B168" s="1">
        <v>3</v>
      </c>
      <c r="C168" s="1">
        <v>400025</v>
      </c>
      <c r="D168" s="3" t="s">
        <v>2220</v>
      </c>
      <c r="E168" s="3" t="s">
        <v>2622</v>
      </c>
      <c r="F168" s="3" t="s">
        <v>2623</v>
      </c>
      <c r="G168" s="3" t="s">
        <v>2671</v>
      </c>
      <c r="J168" s="1">
        <v>100</v>
      </c>
    </row>
    <row r="169" ht="45" spans="1:10">
      <c r="A169" s="1" t="str">
        <f t="shared" si="8"/>
        <v>3:400026</v>
      </c>
      <c r="B169" s="1">
        <v>3</v>
      </c>
      <c r="C169" s="1">
        <v>400026</v>
      </c>
      <c r="D169" s="3" t="s">
        <v>2220</v>
      </c>
      <c r="E169" s="3" t="s">
        <v>2622</v>
      </c>
      <c r="F169" s="3" t="s">
        <v>2623</v>
      </c>
      <c r="G169" s="3" t="s">
        <v>2672</v>
      </c>
      <c r="J169" s="1">
        <v>100</v>
      </c>
    </row>
    <row r="170" ht="45" spans="1:10">
      <c r="A170" s="1" t="str">
        <f t="shared" si="8"/>
        <v>3:400027</v>
      </c>
      <c r="B170" s="1">
        <v>3</v>
      </c>
      <c r="C170" s="1">
        <v>400027</v>
      </c>
      <c r="D170" s="3" t="s">
        <v>2220</v>
      </c>
      <c r="E170" s="3" t="s">
        <v>2622</v>
      </c>
      <c r="F170" s="3" t="s">
        <v>2623</v>
      </c>
      <c r="G170" s="3" t="s">
        <v>2673</v>
      </c>
      <c r="J170" s="1">
        <v>100</v>
      </c>
    </row>
    <row r="171" ht="45" spans="1:10">
      <c r="A171" s="1" t="str">
        <f t="shared" si="8"/>
        <v>3:400028</v>
      </c>
      <c r="B171" s="1">
        <v>3</v>
      </c>
      <c r="C171" s="1">
        <v>400028</v>
      </c>
      <c r="D171" s="3" t="s">
        <v>2220</v>
      </c>
      <c r="E171" s="3" t="s">
        <v>2622</v>
      </c>
      <c r="F171" s="3" t="s">
        <v>2623</v>
      </c>
      <c r="G171" s="3" t="s">
        <v>2674</v>
      </c>
      <c r="J171" s="1">
        <v>100</v>
      </c>
    </row>
    <row r="172" ht="45" spans="1:10">
      <c r="A172" s="1" t="str">
        <f t="shared" si="8"/>
        <v>3:400029</v>
      </c>
      <c r="B172" s="1">
        <v>3</v>
      </c>
      <c r="C172" s="1">
        <v>400029</v>
      </c>
      <c r="D172" s="3" t="s">
        <v>2220</v>
      </c>
      <c r="E172" s="3" t="s">
        <v>2622</v>
      </c>
      <c r="F172" s="3" t="s">
        <v>2623</v>
      </c>
      <c r="G172" s="3" t="s">
        <v>2675</v>
      </c>
      <c r="J172" s="1">
        <v>100</v>
      </c>
    </row>
    <row r="173" ht="45" spans="1:10">
      <c r="A173" s="1" t="str">
        <f t="shared" si="8"/>
        <v>3:400030</v>
      </c>
      <c r="B173" s="1">
        <v>3</v>
      </c>
      <c r="C173" s="1">
        <v>400030</v>
      </c>
      <c r="D173" s="3" t="s">
        <v>2220</v>
      </c>
      <c r="E173" s="3" t="s">
        <v>2622</v>
      </c>
      <c r="F173" s="3" t="s">
        <v>2623</v>
      </c>
      <c r="G173" s="3" t="s">
        <v>2676</v>
      </c>
      <c r="J173" s="1">
        <v>100</v>
      </c>
    </row>
    <row r="174" ht="45" spans="1:10">
      <c r="A174" s="1" t="str">
        <f t="shared" si="8"/>
        <v>3:400031</v>
      </c>
      <c r="B174" s="1">
        <v>3</v>
      </c>
      <c r="C174" s="1">
        <v>400031</v>
      </c>
      <c r="D174" s="3" t="s">
        <v>2221</v>
      </c>
      <c r="E174" s="3" t="s">
        <v>2622</v>
      </c>
      <c r="F174" s="3" t="s">
        <v>2623</v>
      </c>
      <c r="G174" s="3" t="s">
        <v>2677</v>
      </c>
      <c r="J174" s="1">
        <v>100</v>
      </c>
    </row>
    <row r="175" ht="45" spans="1:10">
      <c r="A175" s="1" t="str">
        <f t="shared" si="8"/>
        <v>3:400032</v>
      </c>
      <c r="B175" s="1">
        <v>3</v>
      </c>
      <c r="C175" s="1">
        <v>400032</v>
      </c>
      <c r="D175" s="3" t="s">
        <v>2222</v>
      </c>
      <c r="E175" s="3" t="s">
        <v>2622</v>
      </c>
      <c r="F175" s="3" t="s">
        <v>2623</v>
      </c>
      <c r="G175" s="3" t="s">
        <v>2678</v>
      </c>
      <c r="J175" s="1">
        <v>100</v>
      </c>
    </row>
    <row r="176" ht="45" spans="1:10">
      <c r="A176" s="1" t="str">
        <f t="shared" si="8"/>
        <v>3:400033</v>
      </c>
      <c r="B176" s="1">
        <v>3</v>
      </c>
      <c r="C176" s="1">
        <v>400033</v>
      </c>
      <c r="D176" s="3" t="s">
        <v>2223</v>
      </c>
      <c r="E176" s="3" t="s">
        <v>2622</v>
      </c>
      <c r="F176" s="3" t="s">
        <v>2623</v>
      </c>
      <c r="G176" s="3" t="s">
        <v>2679</v>
      </c>
      <c r="J176" s="1">
        <v>100</v>
      </c>
    </row>
    <row r="177" ht="45" spans="1:10">
      <c r="A177" s="1" t="str">
        <f t="shared" si="8"/>
        <v>3:400034</v>
      </c>
      <c r="B177" s="1">
        <v>3</v>
      </c>
      <c r="C177" s="1">
        <v>400034</v>
      </c>
      <c r="D177" s="3" t="s">
        <v>2224</v>
      </c>
      <c r="E177" s="3" t="s">
        <v>2622</v>
      </c>
      <c r="F177" s="3" t="s">
        <v>2623</v>
      </c>
      <c r="G177" s="3" t="s">
        <v>2680</v>
      </c>
      <c r="J177" s="1">
        <v>100</v>
      </c>
    </row>
    <row r="178" ht="45" spans="1:10">
      <c r="A178" s="1" t="str">
        <f t="shared" si="8"/>
        <v>3:400035</v>
      </c>
      <c r="B178" s="1">
        <v>3</v>
      </c>
      <c r="C178" s="1">
        <v>400035</v>
      </c>
      <c r="D178" s="3" t="s">
        <v>2225</v>
      </c>
      <c r="E178" s="3" t="s">
        <v>2622</v>
      </c>
      <c r="F178" s="3" t="s">
        <v>2623</v>
      </c>
      <c r="G178" s="3" t="s">
        <v>2681</v>
      </c>
      <c r="J178" s="1">
        <v>100</v>
      </c>
    </row>
    <row r="179" ht="45" spans="1:10">
      <c r="A179" s="1" t="str">
        <f t="shared" si="8"/>
        <v>3:400036</v>
      </c>
      <c r="B179" s="1">
        <v>3</v>
      </c>
      <c r="C179" s="1">
        <v>400036</v>
      </c>
      <c r="D179" s="3" t="s">
        <v>2226</v>
      </c>
      <c r="E179" s="3" t="s">
        <v>2622</v>
      </c>
      <c r="F179" s="3" t="s">
        <v>2623</v>
      </c>
      <c r="G179" s="3" t="s">
        <v>2682</v>
      </c>
      <c r="J179" s="1">
        <v>100</v>
      </c>
    </row>
    <row r="180" ht="45" spans="1:10">
      <c r="A180" s="1" t="str">
        <f t="shared" si="8"/>
        <v>3:400037</v>
      </c>
      <c r="B180" s="1">
        <v>3</v>
      </c>
      <c r="C180" s="1">
        <v>400037</v>
      </c>
      <c r="D180" s="3" t="s">
        <v>2227</v>
      </c>
      <c r="E180" s="3" t="s">
        <v>2622</v>
      </c>
      <c r="F180" s="3" t="s">
        <v>2623</v>
      </c>
      <c r="G180" s="3" t="s">
        <v>2683</v>
      </c>
      <c r="J180" s="1">
        <v>100</v>
      </c>
    </row>
    <row r="181" ht="45" spans="1:10">
      <c r="A181" s="1" t="str">
        <f t="shared" si="8"/>
        <v>3:400038</v>
      </c>
      <c r="B181" s="1">
        <v>3</v>
      </c>
      <c r="C181" s="1">
        <v>400038</v>
      </c>
      <c r="D181" s="3" t="s">
        <v>2228</v>
      </c>
      <c r="E181" s="3" t="s">
        <v>2622</v>
      </c>
      <c r="F181" s="3" t="s">
        <v>2623</v>
      </c>
      <c r="G181" s="3" t="s">
        <v>2684</v>
      </c>
      <c r="J181" s="1">
        <v>100</v>
      </c>
    </row>
    <row r="182" ht="45" spans="1:10">
      <c r="A182" s="1" t="str">
        <f t="shared" si="8"/>
        <v>3:400039</v>
      </c>
      <c r="B182" s="1">
        <v>3</v>
      </c>
      <c r="C182" s="1">
        <v>400039</v>
      </c>
      <c r="D182" s="3" t="s">
        <v>2229</v>
      </c>
      <c r="E182" s="3" t="s">
        <v>2622</v>
      </c>
      <c r="F182" s="3" t="s">
        <v>2623</v>
      </c>
      <c r="G182" s="3" t="s">
        <v>2685</v>
      </c>
      <c r="J182" s="1">
        <v>100</v>
      </c>
    </row>
    <row r="183" ht="45" spans="1:10">
      <c r="A183" s="1" t="str">
        <f t="shared" si="8"/>
        <v>3:400040</v>
      </c>
      <c r="B183" s="1">
        <v>3</v>
      </c>
      <c r="C183" s="1">
        <v>400040</v>
      </c>
      <c r="D183" s="3" t="s">
        <v>2230</v>
      </c>
      <c r="E183" s="3" t="s">
        <v>2622</v>
      </c>
      <c r="F183" s="3" t="s">
        <v>2623</v>
      </c>
      <c r="G183" s="3" t="s">
        <v>2686</v>
      </c>
      <c r="J183" s="1">
        <v>100</v>
      </c>
    </row>
    <row r="184" ht="45" spans="1:10">
      <c r="A184" s="1" t="str">
        <f t="shared" si="8"/>
        <v>3:400041</v>
      </c>
      <c r="B184" s="1">
        <v>3</v>
      </c>
      <c r="C184" s="1">
        <v>400041</v>
      </c>
      <c r="D184" s="3" t="s">
        <v>2231</v>
      </c>
      <c r="E184" s="3" t="s">
        <v>2622</v>
      </c>
      <c r="F184" s="3" t="s">
        <v>2623</v>
      </c>
      <c r="G184" s="3" t="s">
        <v>2687</v>
      </c>
      <c r="J184" s="1">
        <v>100</v>
      </c>
    </row>
    <row r="185" ht="45" spans="1:10">
      <c r="A185" s="1" t="str">
        <f t="shared" si="8"/>
        <v>3:400042</v>
      </c>
      <c r="B185" s="1">
        <v>3</v>
      </c>
      <c r="C185" s="1">
        <v>400042</v>
      </c>
      <c r="D185" s="3" t="s">
        <v>2232</v>
      </c>
      <c r="E185" s="3" t="s">
        <v>2622</v>
      </c>
      <c r="F185" s="3" t="s">
        <v>2623</v>
      </c>
      <c r="G185" s="3" t="s">
        <v>2688</v>
      </c>
      <c r="J185" s="1">
        <v>100</v>
      </c>
    </row>
    <row r="186" ht="45" spans="1:10">
      <c r="A186" s="1" t="str">
        <f t="shared" si="8"/>
        <v>3:400043</v>
      </c>
      <c r="B186" s="1">
        <v>3</v>
      </c>
      <c r="C186" s="1">
        <v>400043</v>
      </c>
      <c r="D186" s="3" t="s">
        <v>2233</v>
      </c>
      <c r="E186" s="3" t="s">
        <v>2622</v>
      </c>
      <c r="F186" s="3" t="s">
        <v>2623</v>
      </c>
      <c r="G186" s="3" t="s">
        <v>2689</v>
      </c>
      <c r="J186" s="1">
        <v>100</v>
      </c>
    </row>
    <row r="187" ht="45" spans="1:10">
      <c r="A187" s="1" t="str">
        <f t="shared" si="8"/>
        <v>3:400044</v>
      </c>
      <c r="B187" s="1">
        <v>3</v>
      </c>
      <c r="C187" s="1">
        <v>400044</v>
      </c>
      <c r="D187" s="3" t="s">
        <v>2234</v>
      </c>
      <c r="E187" s="3" t="s">
        <v>2622</v>
      </c>
      <c r="F187" s="3" t="s">
        <v>2623</v>
      </c>
      <c r="G187" s="3" t="s">
        <v>2690</v>
      </c>
      <c r="J187" s="1">
        <v>100</v>
      </c>
    </row>
    <row r="188" ht="45" spans="1:10">
      <c r="A188" s="1" t="str">
        <f t="shared" si="8"/>
        <v>3:400045</v>
      </c>
      <c r="B188" s="1">
        <v>3</v>
      </c>
      <c r="C188" s="1">
        <v>400045</v>
      </c>
      <c r="D188" s="3" t="s">
        <v>2235</v>
      </c>
      <c r="E188" s="3" t="s">
        <v>2622</v>
      </c>
      <c r="F188" s="3" t="s">
        <v>2623</v>
      </c>
      <c r="G188" s="3" t="s">
        <v>2691</v>
      </c>
      <c r="J188" s="1">
        <v>100</v>
      </c>
    </row>
    <row r="189" ht="45" spans="1:10">
      <c r="A189" s="1" t="str">
        <f t="shared" si="8"/>
        <v>3:500001</v>
      </c>
      <c r="B189" s="1">
        <v>3</v>
      </c>
      <c r="C189" s="1">
        <v>500001</v>
      </c>
      <c r="D189" s="3" t="s">
        <v>2236</v>
      </c>
      <c r="E189" s="3" t="s">
        <v>2622</v>
      </c>
      <c r="F189" s="3" t="s">
        <v>2623</v>
      </c>
      <c r="G189" s="3" t="s">
        <v>2692</v>
      </c>
      <c r="J189" s="1">
        <v>100</v>
      </c>
    </row>
    <row r="190" ht="45" spans="1:10">
      <c r="A190" s="1" t="str">
        <f t="shared" si="8"/>
        <v>3:500002</v>
      </c>
      <c r="B190" s="1">
        <v>3</v>
      </c>
      <c r="C190" s="1">
        <v>500002</v>
      </c>
      <c r="D190" s="3" t="s">
        <v>2237</v>
      </c>
      <c r="E190" s="3" t="s">
        <v>2622</v>
      </c>
      <c r="F190" s="3" t="s">
        <v>2623</v>
      </c>
      <c r="G190" s="3" t="s">
        <v>2692</v>
      </c>
      <c r="J190" s="1">
        <v>100</v>
      </c>
    </row>
    <row r="191" ht="45" spans="1:10">
      <c r="A191" s="1" t="str">
        <f t="shared" si="8"/>
        <v>3:500003</v>
      </c>
      <c r="B191" s="1">
        <v>3</v>
      </c>
      <c r="C191" s="1">
        <v>500003</v>
      </c>
      <c r="D191" s="3" t="s">
        <v>2238</v>
      </c>
      <c r="E191" s="3" t="s">
        <v>2622</v>
      </c>
      <c r="F191" s="3" t="s">
        <v>2623</v>
      </c>
      <c r="G191" s="3" t="s">
        <v>2692</v>
      </c>
      <c r="J191" s="1">
        <v>100</v>
      </c>
    </row>
    <row r="192" ht="45" spans="1:10">
      <c r="A192" s="1" t="str">
        <f t="shared" ref="A192:A255" si="9">B192&amp;":"&amp;C192</f>
        <v>3:500004</v>
      </c>
      <c r="B192" s="1">
        <v>3</v>
      </c>
      <c r="C192" s="1">
        <v>500004</v>
      </c>
      <c r="D192" s="3" t="s">
        <v>2239</v>
      </c>
      <c r="E192" s="3" t="s">
        <v>2622</v>
      </c>
      <c r="F192" s="3" t="s">
        <v>2623</v>
      </c>
      <c r="G192" s="3" t="s">
        <v>2693</v>
      </c>
      <c r="J192" s="1">
        <v>100</v>
      </c>
    </row>
    <row r="193" ht="45" spans="1:10">
      <c r="A193" s="1" t="str">
        <f t="shared" si="9"/>
        <v>3:500005</v>
      </c>
      <c r="B193" s="1">
        <v>3</v>
      </c>
      <c r="C193" s="1">
        <v>500005</v>
      </c>
      <c r="D193" s="3" t="s">
        <v>2240</v>
      </c>
      <c r="E193" s="3" t="s">
        <v>2622</v>
      </c>
      <c r="F193" s="3" t="s">
        <v>2623</v>
      </c>
      <c r="G193" s="3" t="s">
        <v>2694</v>
      </c>
      <c r="J193" s="1">
        <v>100</v>
      </c>
    </row>
    <row r="194" ht="45" spans="1:10">
      <c r="A194" s="1" t="str">
        <f t="shared" si="9"/>
        <v>3:500006</v>
      </c>
      <c r="B194" s="1">
        <v>3</v>
      </c>
      <c r="C194" s="1">
        <v>500006</v>
      </c>
      <c r="D194" s="3" t="s">
        <v>2241</v>
      </c>
      <c r="E194" s="3" t="s">
        <v>2622</v>
      </c>
      <c r="F194" s="3" t="s">
        <v>2623</v>
      </c>
      <c r="G194" s="3" t="s">
        <v>2695</v>
      </c>
      <c r="J194" s="1">
        <v>100</v>
      </c>
    </row>
    <row r="195" ht="45" spans="1:10">
      <c r="A195" s="1" t="str">
        <f t="shared" si="9"/>
        <v>3:500007</v>
      </c>
      <c r="B195" s="1">
        <v>3</v>
      </c>
      <c r="C195" s="1">
        <v>500007</v>
      </c>
      <c r="D195" s="3" t="s">
        <v>2242</v>
      </c>
      <c r="E195" s="3" t="s">
        <v>2622</v>
      </c>
      <c r="F195" s="3" t="s">
        <v>2623</v>
      </c>
      <c r="G195" s="3" t="s">
        <v>2696</v>
      </c>
      <c r="J195" s="1">
        <v>100</v>
      </c>
    </row>
    <row r="196" ht="45" spans="1:10">
      <c r="A196" s="1" t="str">
        <f t="shared" si="9"/>
        <v>3:500008</v>
      </c>
      <c r="B196" s="1">
        <v>3</v>
      </c>
      <c r="C196" s="1">
        <v>500008</v>
      </c>
      <c r="D196" s="3" t="s">
        <v>2243</v>
      </c>
      <c r="E196" s="3" t="s">
        <v>2622</v>
      </c>
      <c r="F196" s="3" t="s">
        <v>2623</v>
      </c>
      <c r="G196" s="3" t="s">
        <v>2697</v>
      </c>
      <c r="J196" s="1">
        <v>100</v>
      </c>
    </row>
    <row r="197" ht="45" spans="1:10">
      <c r="A197" s="1" t="str">
        <f t="shared" si="9"/>
        <v>3:500009</v>
      </c>
      <c r="B197" s="1">
        <v>3</v>
      </c>
      <c r="C197" s="1">
        <v>500009</v>
      </c>
      <c r="D197" s="3" t="s">
        <v>2244</v>
      </c>
      <c r="E197" s="3" t="s">
        <v>2622</v>
      </c>
      <c r="F197" s="3" t="s">
        <v>2623</v>
      </c>
      <c r="G197" s="3" t="s">
        <v>2698</v>
      </c>
      <c r="J197" s="1">
        <v>100</v>
      </c>
    </row>
    <row r="198" ht="45" spans="1:10">
      <c r="A198" s="1" t="str">
        <f t="shared" si="9"/>
        <v>3:500010</v>
      </c>
      <c r="B198" s="1">
        <v>3</v>
      </c>
      <c r="C198" s="1">
        <v>500010</v>
      </c>
      <c r="D198" s="3" t="s">
        <v>2245</v>
      </c>
      <c r="E198" s="3" t="s">
        <v>2622</v>
      </c>
      <c r="F198" s="3" t="s">
        <v>2623</v>
      </c>
      <c r="G198" s="3" t="s">
        <v>2699</v>
      </c>
      <c r="J198" s="1">
        <v>100</v>
      </c>
    </row>
    <row r="199" ht="45" spans="1:10">
      <c r="A199" s="1" t="str">
        <f t="shared" si="9"/>
        <v>3:500011</v>
      </c>
      <c r="B199" s="1">
        <v>3</v>
      </c>
      <c r="C199" s="1">
        <v>500011</v>
      </c>
      <c r="D199" s="3" t="s">
        <v>2246</v>
      </c>
      <c r="E199" s="3" t="s">
        <v>2622</v>
      </c>
      <c r="F199" s="3" t="s">
        <v>2623</v>
      </c>
      <c r="G199" s="3" t="s">
        <v>2700</v>
      </c>
      <c r="J199" s="1">
        <v>100</v>
      </c>
    </row>
    <row r="200" ht="45" spans="1:10">
      <c r="A200" s="1" t="str">
        <f t="shared" si="9"/>
        <v>3:500012</v>
      </c>
      <c r="B200" s="1">
        <v>3</v>
      </c>
      <c r="C200" s="1">
        <v>500012</v>
      </c>
      <c r="D200" s="3" t="s">
        <v>2247</v>
      </c>
      <c r="E200" s="3" t="s">
        <v>2622</v>
      </c>
      <c r="F200" s="3" t="s">
        <v>2623</v>
      </c>
      <c r="G200" s="3" t="s">
        <v>2701</v>
      </c>
      <c r="J200" s="1">
        <v>100</v>
      </c>
    </row>
    <row r="201" ht="45" spans="1:10">
      <c r="A201" s="1" t="str">
        <f t="shared" si="9"/>
        <v>3:500013</v>
      </c>
      <c r="B201" s="1">
        <v>3</v>
      </c>
      <c r="C201" s="1">
        <v>500013</v>
      </c>
      <c r="D201" s="3" t="s">
        <v>2248</v>
      </c>
      <c r="E201" s="3" t="s">
        <v>2622</v>
      </c>
      <c r="F201" s="3" t="s">
        <v>2623</v>
      </c>
      <c r="G201" s="3" t="s">
        <v>2702</v>
      </c>
      <c r="J201" s="1">
        <v>100</v>
      </c>
    </row>
    <row r="202" ht="45" spans="1:10">
      <c r="A202" s="1" t="str">
        <f t="shared" si="9"/>
        <v>3:500014</v>
      </c>
      <c r="B202" s="1">
        <v>3</v>
      </c>
      <c r="C202" s="1">
        <v>500014</v>
      </c>
      <c r="D202" s="3" t="s">
        <v>2249</v>
      </c>
      <c r="E202" s="3" t="s">
        <v>2622</v>
      </c>
      <c r="F202" s="3" t="s">
        <v>2623</v>
      </c>
      <c r="G202" s="3" t="s">
        <v>2703</v>
      </c>
      <c r="J202" s="1">
        <v>100</v>
      </c>
    </row>
    <row r="203" ht="45" spans="1:10">
      <c r="A203" s="1" t="str">
        <f t="shared" si="9"/>
        <v>3:500015</v>
      </c>
      <c r="B203" s="1">
        <v>3</v>
      </c>
      <c r="C203" s="1">
        <v>500015</v>
      </c>
      <c r="D203" s="3" t="s">
        <v>2250</v>
      </c>
      <c r="E203" s="3" t="s">
        <v>2622</v>
      </c>
      <c r="F203" s="3" t="s">
        <v>2623</v>
      </c>
      <c r="G203" s="3" t="s">
        <v>2704</v>
      </c>
      <c r="J203" s="1">
        <v>100</v>
      </c>
    </row>
    <row r="204" ht="45" spans="1:10">
      <c r="A204" s="1" t="str">
        <f t="shared" si="9"/>
        <v>3:500016</v>
      </c>
      <c r="B204" s="1">
        <v>3</v>
      </c>
      <c r="C204" s="1">
        <v>500016</v>
      </c>
      <c r="D204" s="3" t="s">
        <v>2251</v>
      </c>
      <c r="E204" s="3" t="s">
        <v>2622</v>
      </c>
      <c r="F204" s="3" t="s">
        <v>2623</v>
      </c>
      <c r="G204" s="3" t="s">
        <v>2705</v>
      </c>
      <c r="J204" s="1">
        <v>100</v>
      </c>
    </row>
    <row r="205" ht="45" spans="1:10">
      <c r="A205" s="1" t="str">
        <f t="shared" si="9"/>
        <v>3:500017</v>
      </c>
      <c r="B205" s="1">
        <v>3</v>
      </c>
      <c r="C205" s="1">
        <v>500017</v>
      </c>
      <c r="D205" s="3" t="s">
        <v>2252</v>
      </c>
      <c r="E205" s="3" t="s">
        <v>2622</v>
      </c>
      <c r="F205" s="3" t="s">
        <v>2623</v>
      </c>
      <c r="G205" s="3" t="s">
        <v>2706</v>
      </c>
      <c r="J205" s="1">
        <v>100</v>
      </c>
    </row>
    <row r="206" ht="45" spans="1:10">
      <c r="A206" s="1" t="str">
        <f t="shared" si="9"/>
        <v>3:500018</v>
      </c>
      <c r="B206" s="1">
        <v>3</v>
      </c>
      <c r="C206" s="1">
        <v>500018</v>
      </c>
      <c r="D206" s="3" t="s">
        <v>2253</v>
      </c>
      <c r="E206" s="3" t="s">
        <v>2622</v>
      </c>
      <c r="F206" s="3" t="s">
        <v>2623</v>
      </c>
      <c r="G206" s="3" t="s">
        <v>2707</v>
      </c>
      <c r="J206" s="1">
        <v>100</v>
      </c>
    </row>
    <row r="207" ht="45" spans="1:10">
      <c r="A207" s="1" t="str">
        <f t="shared" si="9"/>
        <v>3:500019</v>
      </c>
      <c r="B207" s="1">
        <v>3</v>
      </c>
      <c r="C207" s="1">
        <v>500019</v>
      </c>
      <c r="D207" s="3" t="s">
        <v>2251</v>
      </c>
      <c r="E207" s="3" t="s">
        <v>2622</v>
      </c>
      <c r="F207" s="3" t="s">
        <v>2623</v>
      </c>
      <c r="G207" s="3" t="s">
        <v>2705</v>
      </c>
      <c r="J207" s="1">
        <v>100</v>
      </c>
    </row>
    <row r="208" ht="45" spans="1:10">
      <c r="A208" s="1" t="str">
        <f t="shared" si="9"/>
        <v>3:500020</v>
      </c>
      <c r="B208" s="1">
        <v>3</v>
      </c>
      <c r="C208" s="1">
        <v>500020</v>
      </c>
      <c r="D208" s="3" t="s">
        <v>2254</v>
      </c>
      <c r="E208" s="3" t="s">
        <v>2622</v>
      </c>
      <c r="F208" s="3" t="s">
        <v>2623</v>
      </c>
      <c r="G208" s="3" t="s">
        <v>2708</v>
      </c>
      <c r="J208" s="1">
        <v>100</v>
      </c>
    </row>
    <row r="209" ht="45" spans="1:10">
      <c r="A209" s="1" t="str">
        <f t="shared" si="9"/>
        <v>3:500021</v>
      </c>
      <c r="B209" s="1">
        <v>3</v>
      </c>
      <c r="C209" s="1">
        <v>500021</v>
      </c>
      <c r="D209" s="3" t="s">
        <v>2248</v>
      </c>
      <c r="E209" s="3" t="s">
        <v>2622</v>
      </c>
      <c r="F209" s="3" t="s">
        <v>2623</v>
      </c>
      <c r="G209" s="3" t="s">
        <v>2702</v>
      </c>
      <c r="J209" s="1">
        <v>100</v>
      </c>
    </row>
    <row r="210" ht="45" spans="1:10">
      <c r="A210" s="1" t="str">
        <f t="shared" si="9"/>
        <v>3:500022</v>
      </c>
      <c r="B210" s="1">
        <v>3</v>
      </c>
      <c r="C210" s="1">
        <v>500022</v>
      </c>
      <c r="D210" s="3" t="s">
        <v>2255</v>
      </c>
      <c r="E210" s="3" t="s">
        <v>2622</v>
      </c>
      <c r="F210" s="3" t="s">
        <v>2623</v>
      </c>
      <c r="G210" s="3" t="s">
        <v>2709</v>
      </c>
      <c r="J210" s="1">
        <v>100</v>
      </c>
    </row>
    <row r="211" ht="45" spans="1:10">
      <c r="A211" s="1" t="str">
        <f t="shared" si="9"/>
        <v>3:500023</v>
      </c>
      <c r="B211" s="1">
        <v>3</v>
      </c>
      <c r="C211" s="1">
        <v>500023</v>
      </c>
      <c r="D211" s="3" t="s">
        <v>2256</v>
      </c>
      <c r="E211" s="3" t="s">
        <v>2622</v>
      </c>
      <c r="F211" s="3" t="s">
        <v>2623</v>
      </c>
      <c r="G211" s="3" t="s">
        <v>2710</v>
      </c>
      <c r="J211" s="1">
        <v>100</v>
      </c>
    </row>
    <row r="212" ht="45" spans="1:10">
      <c r="A212" s="1" t="str">
        <f t="shared" si="9"/>
        <v>3:500024</v>
      </c>
      <c r="B212" s="1">
        <v>3</v>
      </c>
      <c r="C212" s="1">
        <v>500024</v>
      </c>
      <c r="D212" s="3" t="s">
        <v>2257</v>
      </c>
      <c r="E212" s="3" t="s">
        <v>2622</v>
      </c>
      <c r="F212" s="3" t="s">
        <v>2623</v>
      </c>
      <c r="G212" s="3" t="s">
        <v>2710</v>
      </c>
      <c r="J212" s="1">
        <v>100</v>
      </c>
    </row>
    <row r="213" ht="45" spans="1:10">
      <c r="A213" s="1" t="str">
        <f t="shared" si="9"/>
        <v>3:500025</v>
      </c>
      <c r="B213" s="1">
        <v>3</v>
      </c>
      <c r="C213" s="1">
        <v>500025</v>
      </c>
      <c r="D213" s="3" t="s">
        <v>2258</v>
      </c>
      <c r="E213" s="3" t="s">
        <v>2622</v>
      </c>
      <c r="F213" s="3" t="s">
        <v>2623</v>
      </c>
      <c r="G213" s="3" t="s">
        <v>2711</v>
      </c>
      <c r="J213" s="1">
        <v>100</v>
      </c>
    </row>
    <row r="214" ht="45" spans="1:10">
      <c r="A214" s="1" t="str">
        <f t="shared" si="9"/>
        <v>3:500026</v>
      </c>
      <c r="B214" s="1">
        <v>3</v>
      </c>
      <c r="C214" s="1">
        <v>500026</v>
      </c>
      <c r="D214" s="3" t="s">
        <v>2259</v>
      </c>
      <c r="E214" s="3" t="s">
        <v>2622</v>
      </c>
      <c r="F214" s="3" t="s">
        <v>2623</v>
      </c>
      <c r="G214" s="3" t="s">
        <v>2712</v>
      </c>
      <c r="J214" s="1">
        <v>100</v>
      </c>
    </row>
    <row r="215" ht="45" spans="1:10">
      <c r="A215" s="1" t="str">
        <f t="shared" si="9"/>
        <v>3:500027</v>
      </c>
      <c r="B215" s="1">
        <v>3</v>
      </c>
      <c r="C215" s="1">
        <v>500027</v>
      </c>
      <c r="D215" s="3" t="s">
        <v>2260</v>
      </c>
      <c r="E215" s="3" t="s">
        <v>2622</v>
      </c>
      <c r="F215" s="3" t="s">
        <v>2623</v>
      </c>
      <c r="G215" s="3" t="s">
        <v>2712</v>
      </c>
      <c r="J215" s="1">
        <v>100</v>
      </c>
    </row>
    <row r="216" ht="45" spans="1:10">
      <c r="A216" s="1" t="str">
        <f t="shared" si="9"/>
        <v>3:500028</v>
      </c>
      <c r="B216" s="1">
        <v>3</v>
      </c>
      <c r="C216" s="1">
        <v>500028</v>
      </c>
      <c r="D216" s="3" t="s">
        <v>2229</v>
      </c>
      <c r="E216" s="3" t="s">
        <v>2622</v>
      </c>
      <c r="F216" s="3" t="s">
        <v>2623</v>
      </c>
      <c r="G216" s="3" t="s">
        <v>2713</v>
      </c>
      <c r="J216" s="1">
        <v>100</v>
      </c>
    </row>
    <row r="217" ht="45" spans="1:10">
      <c r="A217" s="1" t="str">
        <f t="shared" si="9"/>
        <v>3:500029</v>
      </c>
      <c r="B217" s="1">
        <v>3</v>
      </c>
      <c r="C217" s="1">
        <v>500029</v>
      </c>
      <c r="D217" s="3" t="s">
        <v>2247</v>
      </c>
      <c r="E217" s="3" t="s">
        <v>2622</v>
      </c>
      <c r="F217" s="3" t="s">
        <v>2623</v>
      </c>
      <c r="G217" s="3" t="s">
        <v>2701</v>
      </c>
      <c r="J217" s="1">
        <v>100</v>
      </c>
    </row>
    <row r="218" ht="45" spans="1:10">
      <c r="A218" s="1" t="str">
        <f t="shared" si="9"/>
        <v>3:500030</v>
      </c>
      <c r="B218" s="1">
        <v>3</v>
      </c>
      <c r="C218" s="1">
        <v>500030</v>
      </c>
      <c r="D218" s="3" t="s">
        <v>2249</v>
      </c>
      <c r="E218" s="3" t="s">
        <v>2622</v>
      </c>
      <c r="F218" s="3" t="s">
        <v>2623</v>
      </c>
      <c r="G218" s="3" t="s">
        <v>2703</v>
      </c>
      <c r="J218" s="1">
        <v>100</v>
      </c>
    </row>
    <row r="219" ht="45" spans="1:10">
      <c r="A219" s="1" t="str">
        <f t="shared" si="9"/>
        <v>3:500031</v>
      </c>
      <c r="B219" s="1">
        <v>3</v>
      </c>
      <c r="C219" s="1">
        <v>500031</v>
      </c>
      <c r="D219" s="3" t="s">
        <v>2261</v>
      </c>
      <c r="E219" s="3" t="s">
        <v>2622</v>
      </c>
      <c r="F219" s="3" t="s">
        <v>2623</v>
      </c>
      <c r="G219" s="3" t="s">
        <v>2714</v>
      </c>
      <c r="J219" s="1">
        <v>100</v>
      </c>
    </row>
    <row r="220" ht="45" spans="1:10">
      <c r="A220" s="1" t="str">
        <f t="shared" si="9"/>
        <v>3:500032</v>
      </c>
      <c r="B220" s="1">
        <v>3</v>
      </c>
      <c r="C220" s="1">
        <v>500032</v>
      </c>
      <c r="D220" s="3" t="s">
        <v>2262</v>
      </c>
      <c r="E220" s="3" t="s">
        <v>2622</v>
      </c>
      <c r="F220" s="3" t="s">
        <v>2623</v>
      </c>
      <c r="G220" s="3" t="s">
        <v>2715</v>
      </c>
      <c r="J220" s="1">
        <v>100</v>
      </c>
    </row>
    <row r="221" ht="45" spans="1:10">
      <c r="A221" s="1" t="str">
        <f t="shared" si="9"/>
        <v>3:500033</v>
      </c>
      <c r="B221" s="1">
        <v>3</v>
      </c>
      <c r="C221" s="1">
        <v>500033</v>
      </c>
      <c r="D221" s="3" t="s">
        <v>2263</v>
      </c>
      <c r="E221" s="3" t="s">
        <v>2622</v>
      </c>
      <c r="F221" s="3" t="s">
        <v>2623</v>
      </c>
      <c r="G221" s="3" t="s">
        <v>2716</v>
      </c>
      <c r="J221" s="1">
        <v>100</v>
      </c>
    </row>
    <row r="222" ht="45" spans="1:10">
      <c r="A222" s="1" t="str">
        <f t="shared" si="9"/>
        <v>3:500034</v>
      </c>
      <c r="B222" s="1">
        <v>3</v>
      </c>
      <c r="C222" s="1">
        <v>500034</v>
      </c>
      <c r="D222" s="3" t="s">
        <v>2264</v>
      </c>
      <c r="E222" s="3" t="s">
        <v>2622</v>
      </c>
      <c r="F222" s="3" t="s">
        <v>2623</v>
      </c>
      <c r="G222" s="3" t="s">
        <v>2717</v>
      </c>
      <c r="J222" s="1">
        <v>100</v>
      </c>
    </row>
    <row r="223" ht="45" spans="1:10">
      <c r="A223" s="1" t="str">
        <f t="shared" si="9"/>
        <v>3:500035</v>
      </c>
      <c r="B223" s="1">
        <v>3</v>
      </c>
      <c r="C223" s="1">
        <v>500035</v>
      </c>
      <c r="D223" s="3" t="s">
        <v>2265</v>
      </c>
      <c r="E223" s="3" t="s">
        <v>2622</v>
      </c>
      <c r="F223" s="3" t="s">
        <v>2623</v>
      </c>
      <c r="G223" s="3" t="s">
        <v>2718</v>
      </c>
      <c r="J223" s="1">
        <v>100</v>
      </c>
    </row>
    <row r="224" ht="45" spans="1:10">
      <c r="A224" s="1" t="str">
        <f t="shared" si="9"/>
        <v>3:500036</v>
      </c>
      <c r="B224" s="1">
        <v>3</v>
      </c>
      <c r="C224" s="1">
        <v>500036</v>
      </c>
      <c r="D224" s="3" t="s">
        <v>2266</v>
      </c>
      <c r="E224" s="3" t="s">
        <v>2622</v>
      </c>
      <c r="F224" s="3" t="s">
        <v>2623</v>
      </c>
      <c r="G224" s="3" t="s">
        <v>2719</v>
      </c>
      <c r="J224" s="1">
        <v>100</v>
      </c>
    </row>
    <row r="225" ht="45" spans="1:10">
      <c r="A225" s="1" t="str">
        <f t="shared" si="9"/>
        <v>3:500037</v>
      </c>
      <c r="B225" s="1">
        <v>3</v>
      </c>
      <c r="C225" s="1">
        <v>500037</v>
      </c>
      <c r="D225" s="3" t="s">
        <v>2267</v>
      </c>
      <c r="E225" s="3" t="s">
        <v>2622</v>
      </c>
      <c r="F225" s="3" t="s">
        <v>2623</v>
      </c>
      <c r="G225" s="3" t="s">
        <v>2720</v>
      </c>
      <c r="J225" s="1">
        <v>100</v>
      </c>
    </row>
    <row r="226" ht="45" spans="1:10">
      <c r="A226" s="1" t="str">
        <f t="shared" si="9"/>
        <v>3:500038</v>
      </c>
      <c r="B226" s="1">
        <v>3</v>
      </c>
      <c r="C226" s="1">
        <v>500038</v>
      </c>
      <c r="D226" s="3" t="s">
        <v>2268</v>
      </c>
      <c r="E226" s="3" t="s">
        <v>2622</v>
      </c>
      <c r="F226" s="3" t="s">
        <v>2623</v>
      </c>
      <c r="G226" s="3" t="s">
        <v>2721</v>
      </c>
      <c r="J226" s="1">
        <v>100</v>
      </c>
    </row>
    <row r="227" ht="45" spans="1:10">
      <c r="A227" s="1" t="str">
        <f t="shared" si="9"/>
        <v>3:500039</v>
      </c>
      <c r="B227" s="1">
        <v>3</v>
      </c>
      <c r="C227" s="1">
        <v>500039</v>
      </c>
      <c r="D227" s="3" t="s">
        <v>2269</v>
      </c>
      <c r="E227" s="3" t="s">
        <v>2622</v>
      </c>
      <c r="F227" s="3" t="s">
        <v>2623</v>
      </c>
      <c r="G227" s="3" t="s">
        <v>2722</v>
      </c>
      <c r="J227" s="1">
        <v>100</v>
      </c>
    </row>
    <row r="228" ht="45" spans="1:10">
      <c r="A228" s="1" t="str">
        <f t="shared" si="9"/>
        <v>3:500040</v>
      </c>
      <c r="B228" s="1">
        <v>3</v>
      </c>
      <c r="C228" s="1">
        <v>500040</v>
      </c>
      <c r="D228" s="3" t="s">
        <v>2270</v>
      </c>
      <c r="E228" s="3" t="s">
        <v>2622</v>
      </c>
      <c r="F228" s="3" t="s">
        <v>2623</v>
      </c>
      <c r="G228" s="3" t="s">
        <v>2723</v>
      </c>
      <c r="J228" s="1">
        <v>100</v>
      </c>
    </row>
    <row r="229" ht="45" spans="1:10">
      <c r="A229" s="1" t="str">
        <f t="shared" si="9"/>
        <v>3:500041</v>
      </c>
      <c r="B229" s="1">
        <v>3</v>
      </c>
      <c r="C229" s="1">
        <v>500041</v>
      </c>
      <c r="D229" s="3" t="s">
        <v>2271</v>
      </c>
      <c r="E229" s="3" t="s">
        <v>2622</v>
      </c>
      <c r="F229" s="3" t="s">
        <v>2623</v>
      </c>
      <c r="G229" s="3" t="s">
        <v>2724</v>
      </c>
      <c r="J229" s="1">
        <v>100</v>
      </c>
    </row>
    <row r="230" ht="45" spans="1:10">
      <c r="A230" s="1" t="str">
        <f t="shared" si="9"/>
        <v>3:500042</v>
      </c>
      <c r="B230" s="1">
        <v>3</v>
      </c>
      <c r="C230" s="1">
        <v>500042</v>
      </c>
      <c r="D230" s="3" t="s">
        <v>2260</v>
      </c>
      <c r="E230" s="3" t="s">
        <v>2622</v>
      </c>
      <c r="F230" s="3" t="s">
        <v>2623</v>
      </c>
      <c r="G230" s="3" t="s">
        <v>2725</v>
      </c>
      <c r="J230" s="1">
        <v>100</v>
      </c>
    </row>
    <row r="231" ht="45" spans="1:10">
      <c r="A231" s="1" t="str">
        <f t="shared" si="9"/>
        <v>3:500043</v>
      </c>
      <c r="B231" s="1">
        <v>3</v>
      </c>
      <c r="C231" s="1">
        <v>500043</v>
      </c>
      <c r="D231" s="3" t="s">
        <v>2272</v>
      </c>
      <c r="E231" s="3" t="s">
        <v>2622</v>
      </c>
      <c r="F231" s="3" t="s">
        <v>2623</v>
      </c>
      <c r="G231" s="3" t="s">
        <v>2712</v>
      </c>
      <c r="J231" s="1">
        <v>100</v>
      </c>
    </row>
    <row r="232" ht="45" spans="1:10">
      <c r="A232" s="1" t="str">
        <f t="shared" si="9"/>
        <v>3:500044</v>
      </c>
      <c r="B232" s="1">
        <v>3</v>
      </c>
      <c r="C232" s="1">
        <v>500044</v>
      </c>
      <c r="D232" s="3" t="s">
        <v>2273</v>
      </c>
      <c r="E232" s="3" t="s">
        <v>2622</v>
      </c>
      <c r="F232" s="3" t="s">
        <v>2623</v>
      </c>
      <c r="G232" s="3" t="s">
        <v>2726</v>
      </c>
      <c r="J232" s="1">
        <v>100</v>
      </c>
    </row>
    <row r="233" ht="45" spans="1:10">
      <c r="A233" s="1" t="str">
        <f t="shared" si="9"/>
        <v>3:500045</v>
      </c>
      <c r="B233" s="1">
        <v>3</v>
      </c>
      <c r="C233" s="1">
        <v>500045</v>
      </c>
      <c r="D233" s="3" t="s">
        <v>2274</v>
      </c>
      <c r="E233" s="3" t="s">
        <v>2622</v>
      </c>
      <c r="F233" s="3" t="s">
        <v>2623</v>
      </c>
      <c r="G233" s="3" t="s">
        <v>2727</v>
      </c>
      <c r="J233" s="1">
        <v>100</v>
      </c>
    </row>
    <row r="234" ht="45" spans="1:10">
      <c r="A234" s="1" t="str">
        <f t="shared" si="9"/>
        <v>3:500046</v>
      </c>
      <c r="B234" s="1">
        <v>3</v>
      </c>
      <c r="C234" s="1">
        <v>500046</v>
      </c>
      <c r="D234" s="3" t="s">
        <v>2275</v>
      </c>
      <c r="E234" s="3" t="s">
        <v>2622</v>
      </c>
      <c r="F234" s="3" t="s">
        <v>2623</v>
      </c>
      <c r="G234" s="3" t="s">
        <v>2728</v>
      </c>
      <c r="J234" s="1">
        <v>100</v>
      </c>
    </row>
    <row r="235" ht="45" spans="1:10">
      <c r="A235" s="1" t="str">
        <f t="shared" si="9"/>
        <v>3:500047</v>
      </c>
      <c r="B235" s="1">
        <v>3</v>
      </c>
      <c r="C235" s="1">
        <v>500047</v>
      </c>
      <c r="D235" s="3" t="s">
        <v>2260</v>
      </c>
      <c r="E235" s="3" t="s">
        <v>2622</v>
      </c>
      <c r="F235" s="3" t="s">
        <v>2623</v>
      </c>
      <c r="G235" s="3" t="s">
        <v>2729</v>
      </c>
      <c r="J235" s="1">
        <v>100</v>
      </c>
    </row>
    <row r="236" ht="45" spans="1:10">
      <c r="A236" s="1" t="str">
        <f t="shared" si="9"/>
        <v>3:500048</v>
      </c>
      <c r="B236" s="1">
        <v>3</v>
      </c>
      <c r="C236" s="1">
        <v>500048</v>
      </c>
      <c r="D236" s="3" t="s">
        <v>2260</v>
      </c>
      <c r="E236" s="3" t="s">
        <v>2622</v>
      </c>
      <c r="F236" s="3" t="s">
        <v>2623</v>
      </c>
      <c r="G236" s="3" t="s">
        <v>2729</v>
      </c>
      <c r="J236" s="1">
        <v>100</v>
      </c>
    </row>
    <row r="237" ht="45" spans="1:10">
      <c r="A237" s="1" t="str">
        <f t="shared" si="9"/>
        <v>3:500049</v>
      </c>
      <c r="B237" s="1">
        <v>3</v>
      </c>
      <c r="C237" s="1">
        <v>500049</v>
      </c>
      <c r="D237" s="3" t="s">
        <v>2260</v>
      </c>
      <c r="E237" s="3" t="s">
        <v>2622</v>
      </c>
      <c r="F237" s="3" t="s">
        <v>2623</v>
      </c>
      <c r="G237" s="3" t="s">
        <v>2729</v>
      </c>
      <c r="J237" s="1">
        <v>100</v>
      </c>
    </row>
    <row r="238" ht="45" spans="1:10">
      <c r="A238" s="1" t="str">
        <f t="shared" si="9"/>
        <v>3:500050</v>
      </c>
      <c r="B238" s="1">
        <v>3</v>
      </c>
      <c r="C238" s="1">
        <v>500050</v>
      </c>
      <c r="D238" s="3" t="s">
        <v>2260</v>
      </c>
      <c r="E238" s="3" t="s">
        <v>2622</v>
      </c>
      <c r="F238" s="3" t="s">
        <v>2623</v>
      </c>
      <c r="G238" s="3" t="s">
        <v>2729</v>
      </c>
      <c r="J238" s="1">
        <v>100</v>
      </c>
    </row>
    <row r="239" ht="45" spans="1:10">
      <c r="A239" s="1" t="str">
        <f t="shared" si="9"/>
        <v>3:500052</v>
      </c>
      <c r="B239" s="1">
        <v>3</v>
      </c>
      <c r="C239" s="1">
        <v>500052</v>
      </c>
      <c r="D239" s="3" t="s">
        <v>2276</v>
      </c>
      <c r="E239" s="3" t="s">
        <v>2622</v>
      </c>
      <c r="F239" s="3" t="s">
        <v>2623</v>
      </c>
      <c r="G239" s="3" t="s">
        <v>2730</v>
      </c>
      <c r="J239" s="1">
        <v>100</v>
      </c>
    </row>
    <row r="240" ht="45" spans="1:10">
      <c r="A240" s="1" t="str">
        <f t="shared" si="9"/>
        <v>3:500053</v>
      </c>
      <c r="B240" s="1">
        <v>3</v>
      </c>
      <c r="C240" s="1">
        <v>500053</v>
      </c>
      <c r="D240" s="3" t="s">
        <v>2277</v>
      </c>
      <c r="E240" s="3" t="s">
        <v>2622</v>
      </c>
      <c r="F240" s="3" t="s">
        <v>2623</v>
      </c>
      <c r="G240" s="3" t="s">
        <v>2709</v>
      </c>
      <c r="J240" s="1">
        <v>100</v>
      </c>
    </row>
    <row r="241" ht="45" spans="1:10">
      <c r="A241" s="1" t="str">
        <f t="shared" si="9"/>
        <v>3:500054</v>
      </c>
      <c r="B241" s="1">
        <v>3</v>
      </c>
      <c r="C241" s="1">
        <v>500054</v>
      </c>
      <c r="D241" s="3" t="s">
        <v>2244</v>
      </c>
      <c r="E241" s="3" t="s">
        <v>2622</v>
      </c>
      <c r="F241" s="3" t="s">
        <v>2623</v>
      </c>
      <c r="G241" s="3" t="s">
        <v>2698</v>
      </c>
      <c r="J241" s="1">
        <v>100</v>
      </c>
    </row>
    <row r="242" ht="45" spans="1:10">
      <c r="A242" s="1" t="str">
        <f t="shared" si="9"/>
        <v>3:560001</v>
      </c>
      <c r="B242" s="1">
        <v>3</v>
      </c>
      <c r="C242" s="1">
        <v>560001</v>
      </c>
      <c r="D242" s="3" t="s">
        <v>2278</v>
      </c>
      <c r="E242" s="3" t="s">
        <v>2731</v>
      </c>
      <c r="F242" s="3" t="s">
        <v>2623</v>
      </c>
      <c r="G242" s="3" t="s">
        <v>2732</v>
      </c>
      <c r="J242" s="1">
        <v>100</v>
      </c>
    </row>
    <row r="243" ht="30" spans="1:10">
      <c r="A243" s="1" t="str">
        <f t="shared" si="9"/>
        <v>3:560002</v>
      </c>
      <c r="B243" s="1">
        <v>3</v>
      </c>
      <c r="C243" s="1">
        <v>560002</v>
      </c>
      <c r="D243" s="3" t="s">
        <v>2279</v>
      </c>
      <c r="E243" s="3" t="s">
        <v>2733</v>
      </c>
      <c r="F243" s="3" t="s">
        <v>2623</v>
      </c>
      <c r="G243" s="3" t="s">
        <v>2734</v>
      </c>
      <c r="J243" s="1">
        <v>100</v>
      </c>
    </row>
    <row r="244" ht="60" spans="1:10">
      <c r="A244" s="1" t="str">
        <f t="shared" si="9"/>
        <v>3:570001</v>
      </c>
      <c r="B244" s="1">
        <v>3</v>
      </c>
      <c r="C244" s="1">
        <v>570001</v>
      </c>
      <c r="D244" s="3" t="s">
        <v>2280</v>
      </c>
      <c r="E244" s="3" t="s">
        <v>2735</v>
      </c>
      <c r="F244" s="3" t="s">
        <v>2623</v>
      </c>
      <c r="G244" s="3" t="s">
        <v>2736</v>
      </c>
      <c r="J244" s="1">
        <v>100</v>
      </c>
    </row>
    <row r="245" ht="15" spans="4:7">
      <c r="D245" s="3"/>
      <c r="E245" s="3"/>
      <c r="F245" s="3"/>
      <c r="G245" s="3"/>
    </row>
    <row r="246" ht="30" spans="1:10">
      <c r="A246" s="1" t="str">
        <f t="shared" si="9"/>
        <v>3:100005</v>
      </c>
      <c r="B246" s="1">
        <v>3</v>
      </c>
      <c r="C246" s="1">
        <v>100005</v>
      </c>
      <c r="D246" s="3" t="s">
        <v>2281</v>
      </c>
      <c r="E246" s="3" t="s">
        <v>2737</v>
      </c>
      <c r="F246" s="3" t="s">
        <v>2738</v>
      </c>
      <c r="G246" s="3" t="s">
        <v>2739</v>
      </c>
      <c r="J246" s="1">
        <v>3</v>
      </c>
    </row>
    <row r="247" ht="30" spans="1:10">
      <c r="A247" s="1" t="str">
        <f t="shared" si="9"/>
        <v>3:100006</v>
      </c>
      <c r="B247" s="1">
        <v>3</v>
      </c>
      <c r="C247" s="1">
        <v>100006</v>
      </c>
      <c r="D247" s="3" t="s">
        <v>2282</v>
      </c>
      <c r="E247" s="3" t="s">
        <v>2740</v>
      </c>
      <c r="F247" s="3" t="s">
        <v>2738</v>
      </c>
      <c r="G247" s="3" t="s">
        <v>2741</v>
      </c>
      <c r="J247" s="1">
        <v>10</v>
      </c>
    </row>
    <row r="248" ht="45" spans="1:10">
      <c r="A248" s="1" t="str">
        <f t="shared" si="9"/>
        <v>3:100021</v>
      </c>
      <c r="B248" s="1">
        <v>3</v>
      </c>
      <c r="C248" s="1">
        <v>100021</v>
      </c>
      <c r="D248" s="3" t="s">
        <v>2283</v>
      </c>
      <c r="E248" s="3" t="s">
        <v>2561</v>
      </c>
      <c r="F248" s="3" t="s">
        <v>2738</v>
      </c>
      <c r="G248" s="3" t="s">
        <v>2742</v>
      </c>
      <c r="J248" s="1">
        <v>1</v>
      </c>
    </row>
    <row r="249" ht="30" spans="1:10">
      <c r="A249" s="1" t="str">
        <f t="shared" si="9"/>
        <v>3:100022</v>
      </c>
      <c r="B249" s="1">
        <v>3</v>
      </c>
      <c r="C249" s="1">
        <v>100022</v>
      </c>
      <c r="D249" s="3" t="s">
        <v>2284</v>
      </c>
      <c r="E249" s="3" t="s">
        <v>2561</v>
      </c>
      <c r="F249" s="3" t="s">
        <v>2738</v>
      </c>
      <c r="G249" s="3" t="s">
        <v>2743</v>
      </c>
      <c r="J249" s="1">
        <f>648/80</f>
        <v>8.1</v>
      </c>
    </row>
    <row r="250" ht="45" spans="1:10">
      <c r="A250" s="1" t="str">
        <f t="shared" si="9"/>
        <v>3:100023</v>
      </c>
      <c r="B250" s="1">
        <v>3</v>
      </c>
      <c r="C250" s="1">
        <v>100023</v>
      </c>
      <c r="D250" s="3" t="s">
        <v>2285</v>
      </c>
      <c r="E250" s="3" t="s">
        <v>2744</v>
      </c>
      <c r="F250" s="3" t="s">
        <v>2738</v>
      </c>
      <c r="G250" s="3" t="s">
        <v>2745</v>
      </c>
      <c r="J250" s="1">
        <v>0.001</v>
      </c>
    </row>
    <row r="251" ht="45" spans="1:10">
      <c r="A251" s="1" t="str">
        <f t="shared" si="9"/>
        <v>3:100027</v>
      </c>
      <c r="B251" s="1">
        <v>3</v>
      </c>
      <c r="C251" s="1">
        <v>100027</v>
      </c>
      <c r="D251" s="3" t="s">
        <v>2286</v>
      </c>
      <c r="E251" s="3" t="s">
        <v>2746</v>
      </c>
      <c r="F251" s="3" t="s">
        <v>2738</v>
      </c>
      <c r="G251" s="3" t="s">
        <v>2747</v>
      </c>
      <c r="J251" s="1">
        <f>1/2000</f>
        <v>0.0005</v>
      </c>
    </row>
    <row r="252" ht="30" spans="1:10">
      <c r="A252" s="1" t="str">
        <f t="shared" si="9"/>
        <v>3:100037</v>
      </c>
      <c r="B252" s="1">
        <v>3</v>
      </c>
      <c r="C252" s="1">
        <v>100037</v>
      </c>
      <c r="D252" s="3" t="s">
        <v>2287</v>
      </c>
      <c r="E252" s="3" t="s">
        <v>2748</v>
      </c>
      <c r="F252" s="3" t="s">
        <v>2738</v>
      </c>
      <c r="G252" s="3" t="s">
        <v>2749</v>
      </c>
      <c r="J252" s="1">
        <v>1</v>
      </c>
    </row>
    <row r="253" ht="45" spans="1:10">
      <c r="A253" s="1" t="str">
        <f t="shared" si="9"/>
        <v>3:100038</v>
      </c>
      <c r="B253" s="1">
        <v>3</v>
      </c>
      <c r="C253" s="1">
        <v>100038</v>
      </c>
      <c r="D253" s="3" t="s">
        <v>2288</v>
      </c>
      <c r="E253" s="3" t="s">
        <v>2750</v>
      </c>
      <c r="F253" s="3" t="s">
        <v>2738</v>
      </c>
      <c r="G253" s="3" t="s">
        <v>2751</v>
      </c>
      <c r="J253" s="1">
        <v>1</v>
      </c>
    </row>
    <row r="254" ht="45" spans="1:10">
      <c r="A254" s="1" t="str">
        <f t="shared" si="9"/>
        <v>3:100039</v>
      </c>
      <c r="B254" s="1">
        <v>3</v>
      </c>
      <c r="C254" s="1">
        <v>100039</v>
      </c>
      <c r="D254" s="3" t="s">
        <v>2289</v>
      </c>
      <c r="E254" s="3" t="s">
        <v>2750</v>
      </c>
      <c r="F254" s="3" t="s">
        <v>2738</v>
      </c>
      <c r="G254" s="3" t="s">
        <v>2751</v>
      </c>
      <c r="J254" s="1">
        <v>1</v>
      </c>
    </row>
    <row r="255" ht="30" spans="1:10">
      <c r="A255" s="1" t="str">
        <f t="shared" si="9"/>
        <v>3:100044</v>
      </c>
      <c r="B255" s="1">
        <v>3</v>
      </c>
      <c r="C255" s="1">
        <v>100044</v>
      </c>
      <c r="D255" s="3" t="s">
        <v>2290</v>
      </c>
      <c r="E255" s="3" t="s">
        <v>2561</v>
      </c>
      <c r="F255" s="3" t="s">
        <v>2738</v>
      </c>
      <c r="G255" s="3" t="s">
        <v>2752</v>
      </c>
      <c r="J255" s="1">
        <v>8.1</v>
      </c>
    </row>
    <row r="256" ht="30" spans="1:10">
      <c r="A256" s="1" t="str">
        <f t="shared" ref="A256:A288" si="10">B256&amp;":"&amp;C256</f>
        <v>3:100058</v>
      </c>
      <c r="B256" s="1">
        <v>3</v>
      </c>
      <c r="C256" s="1">
        <v>100058</v>
      </c>
      <c r="D256" s="3" t="s">
        <v>2291</v>
      </c>
      <c r="E256" s="3" t="s">
        <v>2561</v>
      </c>
      <c r="F256" s="3" t="s">
        <v>2738</v>
      </c>
      <c r="G256" s="3" t="s">
        <v>2753</v>
      </c>
      <c r="J256" s="1">
        <v>1</v>
      </c>
    </row>
    <row r="257" ht="30" spans="1:10">
      <c r="A257" s="1" t="str">
        <f t="shared" si="10"/>
        <v>3:100061</v>
      </c>
      <c r="B257" s="1">
        <v>3</v>
      </c>
      <c r="C257" s="1">
        <v>100061</v>
      </c>
      <c r="D257" s="3" t="s">
        <v>2292</v>
      </c>
      <c r="E257" s="3" t="s">
        <v>2561</v>
      </c>
      <c r="F257" s="3" t="s">
        <v>2738</v>
      </c>
      <c r="G257" s="3" t="s">
        <v>2754</v>
      </c>
      <c r="J257" s="1">
        <v>1</v>
      </c>
    </row>
    <row r="258" ht="30" spans="1:10">
      <c r="A258" s="1" t="str">
        <f t="shared" si="10"/>
        <v>3:100062</v>
      </c>
      <c r="B258" s="1">
        <v>3</v>
      </c>
      <c r="C258" s="1">
        <v>100062</v>
      </c>
      <c r="D258" s="3" t="s">
        <v>2293</v>
      </c>
      <c r="E258" s="3" t="s">
        <v>2755</v>
      </c>
      <c r="F258" s="3" t="s">
        <v>2738</v>
      </c>
      <c r="G258" s="3" t="s">
        <v>2756</v>
      </c>
      <c r="J258" s="1">
        <v>1</v>
      </c>
    </row>
    <row r="259" ht="30" spans="1:10">
      <c r="A259" s="1" t="str">
        <f t="shared" si="10"/>
        <v>3:100063</v>
      </c>
      <c r="B259" s="1">
        <v>3</v>
      </c>
      <c r="C259" s="1">
        <v>100063</v>
      </c>
      <c r="D259" s="3" t="s">
        <v>2294</v>
      </c>
      <c r="E259" s="3" t="s">
        <v>2757</v>
      </c>
      <c r="F259" s="3" t="s">
        <v>2738</v>
      </c>
      <c r="G259" s="3" t="s">
        <v>2758</v>
      </c>
      <c r="J259" s="1">
        <v>1</v>
      </c>
    </row>
    <row r="260" ht="30" spans="1:10">
      <c r="A260" s="1" t="str">
        <f t="shared" si="10"/>
        <v>3:100064</v>
      </c>
      <c r="B260" s="1">
        <v>3</v>
      </c>
      <c r="C260" s="1">
        <v>100064</v>
      </c>
      <c r="D260" s="3" t="s">
        <v>2295</v>
      </c>
      <c r="E260" s="3" t="s">
        <v>2561</v>
      </c>
      <c r="F260" s="3" t="s">
        <v>2738</v>
      </c>
      <c r="G260" s="3" t="s">
        <v>2759</v>
      </c>
      <c r="J260" s="1">
        <v>1</v>
      </c>
    </row>
    <row r="261" ht="30" spans="1:10">
      <c r="A261" s="1" t="str">
        <f t="shared" si="10"/>
        <v>3:100065</v>
      </c>
      <c r="B261" s="1">
        <v>3</v>
      </c>
      <c r="C261" s="1">
        <v>100065</v>
      </c>
      <c r="D261" s="3" t="s">
        <v>1377</v>
      </c>
      <c r="E261" s="3" t="s">
        <v>2561</v>
      </c>
      <c r="F261" s="3" t="s">
        <v>2738</v>
      </c>
      <c r="G261" s="3" t="s">
        <v>2760</v>
      </c>
      <c r="J261" s="1">
        <v>1</v>
      </c>
    </row>
    <row r="262" ht="30" spans="1:10">
      <c r="A262" s="1" t="str">
        <f t="shared" si="10"/>
        <v>3:100072</v>
      </c>
      <c r="B262" s="1">
        <v>3</v>
      </c>
      <c r="C262" s="1">
        <v>100072</v>
      </c>
      <c r="D262" s="3" t="s">
        <v>2296</v>
      </c>
      <c r="E262" s="3" t="s">
        <v>2561</v>
      </c>
      <c r="F262" s="3" t="s">
        <v>2738</v>
      </c>
      <c r="G262" s="3" t="s">
        <v>2761</v>
      </c>
      <c r="J262" s="1">
        <v>1</v>
      </c>
    </row>
    <row r="263" ht="30" spans="1:10">
      <c r="A263" s="1" t="str">
        <f t="shared" si="10"/>
        <v>3:100073</v>
      </c>
      <c r="B263" s="1">
        <v>3</v>
      </c>
      <c r="C263" s="1">
        <v>100073</v>
      </c>
      <c r="D263" s="3" t="s">
        <v>2297</v>
      </c>
      <c r="E263" s="3" t="s">
        <v>2762</v>
      </c>
      <c r="F263" s="3" t="s">
        <v>2738</v>
      </c>
      <c r="G263" s="3" t="s">
        <v>2763</v>
      </c>
      <c r="J263" s="1">
        <v>1</v>
      </c>
    </row>
    <row r="264" ht="15" spans="1:10">
      <c r="A264" s="1" t="str">
        <f t="shared" si="10"/>
        <v>3:100074</v>
      </c>
      <c r="B264" s="1">
        <v>3</v>
      </c>
      <c r="C264" s="1">
        <v>100074</v>
      </c>
      <c r="D264" s="3" t="s">
        <v>2298</v>
      </c>
      <c r="E264" s="3" t="s">
        <v>2755</v>
      </c>
      <c r="F264" s="3" t="s">
        <v>2738</v>
      </c>
      <c r="G264" s="3" t="s">
        <v>2764</v>
      </c>
      <c r="J264" s="1">
        <v>1</v>
      </c>
    </row>
    <row r="265" ht="30" spans="1:10">
      <c r="A265" s="1" t="str">
        <f t="shared" si="10"/>
        <v>3:100075</v>
      </c>
      <c r="B265" s="1">
        <v>3</v>
      </c>
      <c r="C265" s="1">
        <v>100075</v>
      </c>
      <c r="D265" s="3" t="s">
        <v>2299</v>
      </c>
      <c r="E265" s="3" t="s">
        <v>2561</v>
      </c>
      <c r="F265" s="3" t="s">
        <v>2738</v>
      </c>
      <c r="G265" s="3" t="s">
        <v>2765</v>
      </c>
      <c r="J265" s="1">
        <v>1</v>
      </c>
    </row>
    <row r="266" ht="30" spans="1:10">
      <c r="A266" s="1" t="str">
        <f t="shared" si="10"/>
        <v>3:100077</v>
      </c>
      <c r="B266" s="1">
        <v>3</v>
      </c>
      <c r="C266" s="1">
        <v>100077</v>
      </c>
      <c r="D266" s="3" t="s">
        <v>2300</v>
      </c>
      <c r="E266" s="3" t="s">
        <v>2561</v>
      </c>
      <c r="F266" s="3" t="s">
        <v>2738</v>
      </c>
      <c r="G266" s="3" t="s">
        <v>2766</v>
      </c>
      <c r="J266" s="1">
        <v>1</v>
      </c>
    </row>
    <row r="267" ht="45" spans="1:10">
      <c r="A267" s="1" t="str">
        <f t="shared" si="10"/>
        <v>3:100084</v>
      </c>
      <c r="B267" s="1">
        <v>3</v>
      </c>
      <c r="C267" s="1">
        <v>100084</v>
      </c>
      <c r="D267" s="3" t="s">
        <v>2301</v>
      </c>
      <c r="E267" s="3" t="s">
        <v>2767</v>
      </c>
      <c r="F267" s="3" t="s">
        <v>2738</v>
      </c>
      <c r="G267" s="3" t="s">
        <v>2768</v>
      </c>
      <c r="J267" s="1">
        <v>1</v>
      </c>
    </row>
    <row r="268" ht="30" spans="1:10">
      <c r="A268" s="1" t="str">
        <f t="shared" si="10"/>
        <v>3:100089</v>
      </c>
      <c r="B268" s="1">
        <v>3</v>
      </c>
      <c r="C268" s="1">
        <v>100089</v>
      </c>
      <c r="D268" s="3" t="s">
        <v>2302</v>
      </c>
      <c r="E268" s="3" t="s">
        <v>2769</v>
      </c>
      <c r="F268" s="3" t="s">
        <v>2738</v>
      </c>
      <c r="G268" s="3" t="s">
        <v>2770</v>
      </c>
      <c r="J268" s="1">
        <v>1</v>
      </c>
    </row>
    <row r="269" ht="30" spans="1:10">
      <c r="A269" s="1" t="str">
        <f t="shared" si="10"/>
        <v>3:100098</v>
      </c>
      <c r="B269" s="1">
        <v>3</v>
      </c>
      <c r="C269" s="1">
        <v>100098</v>
      </c>
      <c r="D269" s="3" t="s">
        <v>2303</v>
      </c>
      <c r="E269" s="3" t="s">
        <v>2771</v>
      </c>
      <c r="F269" s="3" t="s">
        <v>2738</v>
      </c>
      <c r="G269" s="3" t="s">
        <v>2772</v>
      </c>
      <c r="J269" s="1">
        <v>1</v>
      </c>
    </row>
    <row r="270" ht="30" spans="1:10">
      <c r="A270" s="1" t="str">
        <f t="shared" si="10"/>
        <v>3:100208</v>
      </c>
      <c r="B270" s="1">
        <v>3</v>
      </c>
      <c r="C270" s="1">
        <v>100208</v>
      </c>
      <c r="D270" s="3" t="s">
        <v>2304</v>
      </c>
      <c r="E270" s="3" t="s">
        <v>2773</v>
      </c>
      <c r="F270" s="3" t="s">
        <v>2738</v>
      </c>
      <c r="G270" s="3" t="s">
        <v>2774</v>
      </c>
      <c r="J270" s="1">
        <v>0.001</v>
      </c>
    </row>
    <row r="271" ht="30" spans="1:10">
      <c r="A271" s="1" t="str">
        <f t="shared" si="10"/>
        <v>3:100209</v>
      </c>
      <c r="B271" s="1">
        <v>3</v>
      </c>
      <c r="C271" s="1">
        <v>100209</v>
      </c>
      <c r="D271" s="3" t="s">
        <v>2305</v>
      </c>
      <c r="E271" s="3" t="s">
        <v>2773</v>
      </c>
      <c r="F271" s="3" t="s">
        <v>2738</v>
      </c>
      <c r="G271" s="3" t="s">
        <v>2775</v>
      </c>
      <c r="J271" s="1">
        <v>0.001</v>
      </c>
    </row>
    <row r="272" ht="30" spans="1:10">
      <c r="A272" s="1" t="str">
        <f t="shared" si="10"/>
        <v>3:100211</v>
      </c>
      <c r="B272" s="1">
        <v>3</v>
      </c>
      <c r="C272" s="1">
        <v>100211</v>
      </c>
      <c r="D272" s="3" t="s">
        <v>2306</v>
      </c>
      <c r="E272" s="3" t="s">
        <v>2306</v>
      </c>
      <c r="F272" s="3" t="s">
        <v>2738</v>
      </c>
      <c r="G272" s="3" t="s">
        <v>2776</v>
      </c>
      <c r="J272" s="1">
        <v>0.001</v>
      </c>
    </row>
    <row r="273" ht="30" spans="1:10">
      <c r="A273" s="1" t="str">
        <f t="shared" si="10"/>
        <v>3:100219</v>
      </c>
      <c r="B273" s="1">
        <v>3</v>
      </c>
      <c r="C273" s="1">
        <v>100219</v>
      </c>
      <c r="D273" s="3" t="s">
        <v>2307</v>
      </c>
      <c r="E273" s="3" t="s">
        <v>2777</v>
      </c>
      <c r="F273" s="3" t="s">
        <v>2738</v>
      </c>
      <c r="G273" s="3" t="s">
        <v>2778</v>
      </c>
      <c r="J273" s="1">
        <v>0.001</v>
      </c>
    </row>
    <row r="274" ht="30" spans="1:10">
      <c r="A274" s="1" t="str">
        <f t="shared" si="10"/>
        <v>3:100222</v>
      </c>
      <c r="B274" s="1">
        <v>3</v>
      </c>
      <c r="C274" s="1">
        <v>100222</v>
      </c>
      <c r="D274" s="3" t="s">
        <v>2308</v>
      </c>
      <c r="E274" s="3" t="s">
        <v>2308</v>
      </c>
      <c r="F274" s="3" t="s">
        <v>2738</v>
      </c>
      <c r="G274" s="3" t="s">
        <v>2779</v>
      </c>
      <c r="J274" s="1">
        <v>0.001</v>
      </c>
    </row>
    <row r="275" ht="30" spans="1:10">
      <c r="A275" s="1" t="str">
        <f t="shared" si="10"/>
        <v>3:100226</v>
      </c>
      <c r="B275" s="1">
        <v>3</v>
      </c>
      <c r="C275" s="1">
        <v>100226</v>
      </c>
      <c r="D275" s="3" t="s">
        <v>2309</v>
      </c>
      <c r="E275" s="3" t="s">
        <v>2780</v>
      </c>
      <c r="F275" s="3" t="s">
        <v>2738</v>
      </c>
      <c r="G275" s="3" t="s">
        <v>2781</v>
      </c>
      <c r="J275" s="1">
        <v>0.001</v>
      </c>
    </row>
    <row r="276" ht="30" spans="1:10">
      <c r="A276" s="1" t="str">
        <f t="shared" si="10"/>
        <v>3:1000010</v>
      </c>
      <c r="B276" s="1">
        <v>3</v>
      </c>
      <c r="C276" s="1">
        <v>1000010</v>
      </c>
      <c r="D276" s="3" t="s">
        <v>2310</v>
      </c>
      <c r="E276" s="3" t="s">
        <v>2497</v>
      </c>
      <c r="F276" s="3" t="s">
        <v>2782</v>
      </c>
      <c r="G276" s="3" t="s">
        <v>2783</v>
      </c>
      <c r="J276" s="1">
        <v>1</v>
      </c>
    </row>
    <row r="277" ht="30" spans="1:10">
      <c r="A277" s="1" t="str">
        <f t="shared" si="10"/>
        <v>3:1000011</v>
      </c>
      <c r="B277" s="1">
        <v>3</v>
      </c>
      <c r="C277" s="1">
        <v>1000011</v>
      </c>
      <c r="D277" s="3" t="s">
        <v>2311</v>
      </c>
      <c r="E277" s="3" t="s">
        <v>2497</v>
      </c>
      <c r="F277" s="3" t="s">
        <v>2782</v>
      </c>
      <c r="G277" s="3" t="s">
        <v>2784</v>
      </c>
      <c r="J277" s="1">
        <v>1</v>
      </c>
    </row>
    <row r="278" ht="30" spans="1:10">
      <c r="A278" s="1" t="str">
        <f t="shared" si="10"/>
        <v>3:1000012</v>
      </c>
      <c r="B278" s="1">
        <v>3</v>
      </c>
      <c r="C278" s="1">
        <v>1000012</v>
      </c>
      <c r="D278" s="3" t="s">
        <v>2312</v>
      </c>
      <c r="E278" s="3" t="s">
        <v>2497</v>
      </c>
      <c r="F278" s="3" t="s">
        <v>2782</v>
      </c>
      <c r="G278" s="3" t="s">
        <v>2785</v>
      </c>
      <c r="J278" s="1">
        <v>1</v>
      </c>
    </row>
    <row r="279" ht="30" spans="1:10">
      <c r="A279" s="1" t="str">
        <f t="shared" si="10"/>
        <v>3:1000013</v>
      </c>
      <c r="B279" s="1">
        <v>3</v>
      </c>
      <c r="C279" s="1">
        <v>1000013</v>
      </c>
      <c r="D279" s="3" t="s">
        <v>2313</v>
      </c>
      <c r="E279" s="3" t="s">
        <v>2497</v>
      </c>
      <c r="F279" s="3" t="s">
        <v>2782</v>
      </c>
      <c r="G279" s="3" t="s">
        <v>2786</v>
      </c>
      <c r="J279" s="1">
        <v>1</v>
      </c>
    </row>
    <row r="280" ht="30" spans="1:10">
      <c r="A280" s="1" t="str">
        <f t="shared" si="10"/>
        <v>3:1000014</v>
      </c>
      <c r="B280" s="1">
        <v>3</v>
      </c>
      <c r="C280" s="1">
        <v>1000014</v>
      </c>
      <c r="D280" s="3" t="s">
        <v>2314</v>
      </c>
      <c r="E280" s="3" t="s">
        <v>2497</v>
      </c>
      <c r="F280" s="3" t="s">
        <v>2782</v>
      </c>
      <c r="G280" s="3" t="s">
        <v>2787</v>
      </c>
      <c r="J280" s="1">
        <v>1</v>
      </c>
    </row>
    <row r="281" ht="30" spans="1:10">
      <c r="A281" s="1" t="str">
        <f t="shared" si="10"/>
        <v>3:1000015</v>
      </c>
      <c r="B281" s="1">
        <v>3</v>
      </c>
      <c r="C281" s="1">
        <v>1000015</v>
      </c>
      <c r="D281" s="3" t="s">
        <v>2315</v>
      </c>
      <c r="E281" s="3" t="s">
        <v>2497</v>
      </c>
      <c r="F281" s="3" t="s">
        <v>2782</v>
      </c>
      <c r="G281" s="3" t="s">
        <v>2788</v>
      </c>
      <c r="J281" s="1">
        <v>1</v>
      </c>
    </row>
    <row r="282" ht="30" spans="1:10">
      <c r="A282" s="1" t="str">
        <f t="shared" si="10"/>
        <v>3:1000016</v>
      </c>
      <c r="B282" s="1">
        <v>3</v>
      </c>
      <c r="C282" s="1">
        <v>1000016</v>
      </c>
      <c r="D282" s="3" t="s">
        <v>2316</v>
      </c>
      <c r="E282" s="3" t="s">
        <v>2497</v>
      </c>
      <c r="F282" s="3" t="s">
        <v>2782</v>
      </c>
      <c r="G282" s="3" t="s">
        <v>2783</v>
      </c>
      <c r="J282" s="1">
        <v>1</v>
      </c>
    </row>
    <row r="283" ht="30" spans="1:10">
      <c r="A283" s="1" t="str">
        <f t="shared" si="10"/>
        <v>3:1000017</v>
      </c>
      <c r="B283" s="1">
        <v>3</v>
      </c>
      <c r="C283" s="1">
        <v>1000017</v>
      </c>
      <c r="D283" s="3" t="s">
        <v>2317</v>
      </c>
      <c r="E283" s="3" t="s">
        <v>2497</v>
      </c>
      <c r="F283" s="3" t="s">
        <v>2782</v>
      </c>
      <c r="G283" s="3" t="s">
        <v>2784</v>
      </c>
      <c r="J283" s="1">
        <v>1</v>
      </c>
    </row>
    <row r="284" ht="30" spans="1:10">
      <c r="A284" s="1" t="str">
        <f t="shared" si="10"/>
        <v>3:1000018</v>
      </c>
      <c r="B284" s="1">
        <v>3</v>
      </c>
      <c r="C284" s="1">
        <v>1000018</v>
      </c>
      <c r="D284" s="3" t="s">
        <v>2318</v>
      </c>
      <c r="E284" s="3" t="s">
        <v>2497</v>
      </c>
      <c r="F284" s="3" t="s">
        <v>2782</v>
      </c>
      <c r="G284" s="3" t="s">
        <v>2785</v>
      </c>
      <c r="J284" s="1">
        <v>1</v>
      </c>
    </row>
    <row r="285" ht="30" spans="1:10">
      <c r="A285" s="1" t="str">
        <f t="shared" si="10"/>
        <v>3:1000019</v>
      </c>
      <c r="B285" s="1">
        <v>3</v>
      </c>
      <c r="C285" s="1">
        <v>1000019</v>
      </c>
      <c r="D285" s="3" t="s">
        <v>2319</v>
      </c>
      <c r="E285" s="3" t="s">
        <v>2497</v>
      </c>
      <c r="F285" s="3" t="s">
        <v>2782</v>
      </c>
      <c r="G285" s="3" t="s">
        <v>2786</v>
      </c>
      <c r="J285" s="1">
        <v>1</v>
      </c>
    </row>
    <row r="286" ht="30" spans="1:10">
      <c r="A286" s="1" t="str">
        <f t="shared" si="10"/>
        <v>3:1000020</v>
      </c>
      <c r="B286" s="1">
        <v>3</v>
      </c>
      <c r="C286" s="1">
        <v>1000020</v>
      </c>
      <c r="D286" s="3" t="s">
        <v>2320</v>
      </c>
      <c r="E286" s="3" t="s">
        <v>2497</v>
      </c>
      <c r="F286" s="3" t="s">
        <v>2782</v>
      </c>
      <c r="G286" s="3" t="s">
        <v>2787</v>
      </c>
      <c r="J286" s="1">
        <v>1</v>
      </c>
    </row>
    <row r="287" ht="30" spans="1:10">
      <c r="A287" s="1" t="str">
        <f t="shared" si="10"/>
        <v>3:1000021</v>
      </c>
      <c r="B287" s="1">
        <v>3</v>
      </c>
      <c r="C287" s="1">
        <v>1000021</v>
      </c>
      <c r="D287" s="3" t="s">
        <v>2321</v>
      </c>
      <c r="E287" s="3" t="s">
        <v>2497</v>
      </c>
      <c r="F287" s="3" t="s">
        <v>2782</v>
      </c>
      <c r="G287" s="3" t="s">
        <v>2788</v>
      </c>
      <c r="J287" s="1">
        <v>1</v>
      </c>
    </row>
    <row r="288" ht="30" spans="1:10">
      <c r="A288" s="1" t="str">
        <f t="shared" si="10"/>
        <v>3:1000022</v>
      </c>
      <c r="B288" s="1">
        <v>3</v>
      </c>
      <c r="C288" s="1">
        <v>1000022</v>
      </c>
      <c r="D288" s="3" t="s">
        <v>2322</v>
      </c>
      <c r="E288" s="3" t="s">
        <v>2497</v>
      </c>
      <c r="F288" s="3" t="s">
        <v>2782</v>
      </c>
      <c r="G288" s="3" t="s">
        <v>2783</v>
      </c>
      <c r="J288" s="1">
        <v>1</v>
      </c>
    </row>
    <row r="289" ht="15" spans="4:7">
      <c r="D289" s="3"/>
      <c r="E289" s="3"/>
      <c r="F289" s="3"/>
      <c r="G289" s="3"/>
    </row>
    <row r="290" ht="15" spans="4:7">
      <c r="D290" s="3"/>
      <c r="E290" s="3"/>
      <c r="F290" s="3"/>
      <c r="G290" s="3"/>
    </row>
    <row r="291" ht="45" spans="1:10">
      <c r="A291" s="1" t="str">
        <f t="shared" ref="A291:A354" si="11">B291&amp;":"&amp;C291</f>
        <v>3:100040</v>
      </c>
      <c r="B291" s="1">
        <v>3</v>
      </c>
      <c r="C291" s="1">
        <v>100040</v>
      </c>
      <c r="D291" s="3" t="s">
        <v>2323</v>
      </c>
      <c r="E291" s="3" t="s">
        <v>2789</v>
      </c>
      <c r="F291" s="3" t="s">
        <v>2790</v>
      </c>
      <c r="G291" s="3" t="s">
        <v>2791</v>
      </c>
      <c r="J291" s="1">
        <v>68</v>
      </c>
    </row>
    <row r="292" ht="45" spans="1:10">
      <c r="A292" s="1" t="str">
        <f t="shared" si="11"/>
        <v>3:100041</v>
      </c>
      <c r="B292" s="1">
        <v>3</v>
      </c>
      <c r="C292" s="1">
        <v>100041</v>
      </c>
      <c r="D292" s="3" t="s">
        <v>2324</v>
      </c>
      <c r="E292" s="3" t="s">
        <v>2789</v>
      </c>
      <c r="F292" s="3" t="s">
        <v>2790</v>
      </c>
      <c r="G292" s="3" t="s">
        <v>2792</v>
      </c>
      <c r="J292" s="1">
        <v>30</v>
      </c>
    </row>
    <row r="293" ht="45" spans="1:10">
      <c r="A293" s="1" t="str">
        <f t="shared" si="11"/>
        <v>3:100042</v>
      </c>
      <c r="B293" s="1">
        <v>3</v>
      </c>
      <c r="C293" s="1">
        <v>100042</v>
      </c>
      <c r="D293" s="3" t="s">
        <v>2325</v>
      </c>
      <c r="E293" s="3" t="s">
        <v>2789</v>
      </c>
      <c r="F293" s="3" t="s">
        <v>2790</v>
      </c>
      <c r="G293" s="3" t="s">
        <v>2793</v>
      </c>
      <c r="J293" s="1">
        <v>9.8</v>
      </c>
    </row>
    <row r="294" ht="45" spans="1:10">
      <c r="A294" s="1" t="str">
        <f t="shared" si="11"/>
        <v>3:100043</v>
      </c>
      <c r="B294" s="1">
        <v>3</v>
      </c>
      <c r="C294" s="1">
        <v>100043</v>
      </c>
      <c r="D294" s="3" t="s">
        <v>2326</v>
      </c>
      <c r="E294" s="3" t="s">
        <v>2789</v>
      </c>
      <c r="F294" s="3" t="s">
        <v>2790</v>
      </c>
      <c r="G294" s="3" t="s">
        <v>2794</v>
      </c>
      <c r="J294" s="1">
        <v>19.8</v>
      </c>
    </row>
    <row r="295" ht="30" spans="1:10">
      <c r="A295" s="1" t="str">
        <f t="shared" si="11"/>
        <v>3:100045</v>
      </c>
      <c r="B295" s="1">
        <v>3</v>
      </c>
      <c r="C295" s="1">
        <v>100045</v>
      </c>
      <c r="D295" s="3" t="s">
        <v>2327</v>
      </c>
      <c r="E295" s="3" t="s">
        <v>2795</v>
      </c>
      <c r="F295" s="3" t="s">
        <v>2790</v>
      </c>
      <c r="G295" s="3" t="s">
        <v>2796</v>
      </c>
      <c r="J295" s="1">
        <v>1</v>
      </c>
    </row>
    <row r="296" ht="30" spans="1:10">
      <c r="A296" s="1" t="str">
        <f t="shared" si="11"/>
        <v>3:100046</v>
      </c>
      <c r="B296" s="1">
        <v>3</v>
      </c>
      <c r="C296" s="1">
        <v>100046</v>
      </c>
      <c r="D296" s="3" t="s">
        <v>2328</v>
      </c>
      <c r="E296" s="3" t="s">
        <v>2797</v>
      </c>
      <c r="F296" s="3" t="s">
        <v>2790</v>
      </c>
      <c r="G296" s="3" t="s">
        <v>2798</v>
      </c>
      <c r="J296" s="1">
        <v>1</v>
      </c>
    </row>
    <row r="297" ht="30" spans="1:10">
      <c r="A297" s="1" t="str">
        <f t="shared" si="11"/>
        <v>3:1000001</v>
      </c>
      <c r="B297" s="1">
        <v>3</v>
      </c>
      <c r="C297" s="1">
        <v>1000001</v>
      </c>
      <c r="D297" s="3" t="s">
        <v>2329</v>
      </c>
      <c r="E297" s="3" t="s">
        <v>2799</v>
      </c>
      <c r="F297" s="3" t="s">
        <v>2790</v>
      </c>
      <c r="G297" s="3" t="s">
        <v>2800</v>
      </c>
      <c r="J297" s="1">
        <v>1</v>
      </c>
    </row>
    <row r="298" ht="30" spans="1:10">
      <c r="A298" s="1" t="str">
        <f t="shared" si="11"/>
        <v>3:1000002</v>
      </c>
      <c r="B298" s="1">
        <v>3</v>
      </c>
      <c r="C298" s="1">
        <v>1000002</v>
      </c>
      <c r="D298" s="3" t="s">
        <v>2330</v>
      </c>
      <c r="E298" s="3" t="s">
        <v>2799</v>
      </c>
      <c r="F298" s="3" t="s">
        <v>2790</v>
      </c>
      <c r="G298" s="3" t="s">
        <v>2801</v>
      </c>
      <c r="J298" s="1">
        <v>1</v>
      </c>
    </row>
    <row r="299" ht="30" spans="1:10">
      <c r="A299" s="1" t="str">
        <f t="shared" si="11"/>
        <v>3:100053</v>
      </c>
      <c r="B299" s="1">
        <v>3</v>
      </c>
      <c r="C299" s="1">
        <v>100053</v>
      </c>
      <c r="D299" s="3" t="s">
        <v>2331</v>
      </c>
      <c r="E299" s="3" t="s">
        <v>2802</v>
      </c>
      <c r="F299" s="3" t="s">
        <v>2335</v>
      </c>
      <c r="G299" s="3" t="s">
        <v>2803</v>
      </c>
      <c r="J299" s="1">
        <v>0.2</v>
      </c>
    </row>
    <row r="300" ht="30" spans="1:10">
      <c r="A300" s="1" t="str">
        <f t="shared" si="11"/>
        <v>3:100054</v>
      </c>
      <c r="B300" s="1">
        <v>3</v>
      </c>
      <c r="C300" s="1">
        <v>100054</v>
      </c>
      <c r="D300" s="3" t="s">
        <v>2332</v>
      </c>
      <c r="E300" s="3" t="s">
        <v>2802</v>
      </c>
      <c r="F300" s="3" t="s">
        <v>2335</v>
      </c>
      <c r="G300" s="3" t="s">
        <v>2804</v>
      </c>
      <c r="J300" s="1">
        <v>0.4</v>
      </c>
    </row>
    <row r="301" ht="15" spans="1:10">
      <c r="A301" s="1" t="str">
        <f t="shared" si="11"/>
        <v>3:100055</v>
      </c>
      <c r="B301" s="1">
        <v>3</v>
      </c>
      <c r="C301" s="1">
        <v>100055</v>
      </c>
      <c r="D301" s="3" t="s">
        <v>2333</v>
      </c>
      <c r="E301" s="3" t="s">
        <v>2802</v>
      </c>
      <c r="F301" s="3" t="s">
        <v>2335</v>
      </c>
      <c r="G301" s="3" t="s">
        <v>2805</v>
      </c>
      <c r="J301" s="1">
        <v>0.6</v>
      </c>
    </row>
    <row r="302" ht="30" spans="1:10">
      <c r="A302" s="1" t="str">
        <f t="shared" si="11"/>
        <v>3:100056</v>
      </c>
      <c r="B302" s="1">
        <v>3</v>
      </c>
      <c r="C302" s="1">
        <v>100056</v>
      </c>
      <c r="D302" s="3" t="s">
        <v>2334</v>
      </c>
      <c r="E302" s="3" t="s">
        <v>2802</v>
      </c>
      <c r="F302" s="3" t="s">
        <v>2335</v>
      </c>
      <c r="G302" s="3" t="s">
        <v>2806</v>
      </c>
      <c r="J302" s="1">
        <v>0.8</v>
      </c>
    </row>
    <row r="303" ht="30" spans="1:10">
      <c r="A303" s="1" t="str">
        <f t="shared" si="11"/>
        <v>3:10022</v>
      </c>
      <c r="B303" s="1">
        <v>3</v>
      </c>
      <c r="C303" s="1">
        <v>10022</v>
      </c>
      <c r="D303" s="3" t="s">
        <v>2335</v>
      </c>
      <c r="E303" s="3" t="s">
        <v>2807</v>
      </c>
      <c r="F303" s="3" t="s">
        <v>2807</v>
      </c>
      <c r="G303" s="3" t="s">
        <v>2808</v>
      </c>
      <c r="J303" s="1">
        <v>0.1</v>
      </c>
    </row>
    <row r="304" ht="45" spans="1:7">
      <c r="A304" s="1" t="str">
        <f t="shared" si="11"/>
        <v>3:200001</v>
      </c>
      <c r="B304" s="1">
        <v>3</v>
      </c>
      <c r="C304" s="1">
        <v>200001</v>
      </c>
      <c r="D304" s="3" t="s">
        <v>1745</v>
      </c>
      <c r="E304" s="3" t="s">
        <v>2809</v>
      </c>
      <c r="F304" s="3" t="s">
        <v>2810</v>
      </c>
      <c r="G304" s="3" t="s">
        <v>2811</v>
      </c>
    </row>
    <row r="305" ht="30" spans="1:7">
      <c r="A305" s="1" t="str">
        <f t="shared" si="11"/>
        <v>3:200002</v>
      </c>
      <c r="B305" s="1">
        <v>3</v>
      </c>
      <c r="C305" s="1">
        <v>200002</v>
      </c>
      <c r="D305" s="3" t="s">
        <v>1746</v>
      </c>
      <c r="E305" s="3" t="s">
        <v>2812</v>
      </c>
      <c r="F305" s="3" t="s">
        <v>2810</v>
      </c>
      <c r="G305" s="3" t="s">
        <v>2813</v>
      </c>
    </row>
    <row r="306" ht="15" spans="1:7">
      <c r="A306" s="1" t="str">
        <f t="shared" si="11"/>
        <v>3:200003</v>
      </c>
      <c r="B306" s="1">
        <v>3</v>
      </c>
      <c r="C306" s="1">
        <v>200003</v>
      </c>
      <c r="D306" s="3" t="s">
        <v>1742</v>
      </c>
      <c r="E306" s="3" t="s">
        <v>2814</v>
      </c>
      <c r="F306" s="3" t="s">
        <v>2810</v>
      </c>
      <c r="G306" s="3" t="s">
        <v>2815</v>
      </c>
    </row>
    <row r="307" ht="30" spans="1:7">
      <c r="A307" s="1" t="str">
        <f t="shared" si="11"/>
        <v>3:200004</v>
      </c>
      <c r="B307" s="1">
        <v>3</v>
      </c>
      <c r="C307" s="1">
        <v>200004</v>
      </c>
      <c r="D307" s="3" t="s">
        <v>1743</v>
      </c>
      <c r="E307" s="3" t="s">
        <v>2816</v>
      </c>
      <c r="F307" s="3" t="s">
        <v>2810</v>
      </c>
      <c r="G307" s="3" t="s">
        <v>2817</v>
      </c>
    </row>
    <row r="308" ht="45" spans="1:7">
      <c r="A308" s="1" t="str">
        <f t="shared" si="11"/>
        <v>3:200005</v>
      </c>
      <c r="B308" s="1">
        <v>3</v>
      </c>
      <c r="C308" s="1">
        <v>200005</v>
      </c>
      <c r="D308" s="3" t="s">
        <v>1756</v>
      </c>
      <c r="E308" s="3" t="s">
        <v>2818</v>
      </c>
      <c r="F308" s="3" t="s">
        <v>2810</v>
      </c>
      <c r="G308" s="3" t="s">
        <v>2819</v>
      </c>
    </row>
    <row r="309" ht="30" spans="1:7">
      <c r="A309" s="1" t="str">
        <f t="shared" si="11"/>
        <v>3:200006</v>
      </c>
      <c r="B309" s="1">
        <v>3</v>
      </c>
      <c r="C309" s="1">
        <v>200006</v>
      </c>
      <c r="D309" s="3" t="s">
        <v>1753</v>
      </c>
      <c r="E309" s="3" t="s">
        <v>2820</v>
      </c>
      <c r="F309" s="3" t="s">
        <v>2810</v>
      </c>
      <c r="G309" s="3" t="s">
        <v>2821</v>
      </c>
    </row>
    <row r="310" ht="30" spans="1:7">
      <c r="A310" s="1" t="str">
        <f t="shared" si="11"/>
        <v>3:200007</v>
      </c>
      <c r="B310" s="1">
        <v>3</v>
      </c>
      <c r="C310" s="1">
        <v>200007</v>
      </c>
      <c r="D310" s="3" t="s">
        <v>1747</v>
      </c>
      <c r="E310" s="3" t="s">
        <v>2822</v>
      </c>
      <c r="F310" s="3" t="s">
        <v>2810</v>
      </c>
      <c r="G310" s="3" t="s">
        <v>2823</v>
      </c>
    </row>
    <row r="311" ht="30" spans="1:7">
      <c r="A311" s="1" t="str">
        <f t="shared" si="11"/>
        <v>3:200008</v>
      </c>
      <c r="B311" s="1">
        <v>3</v>
      </c>
      <c r="C311" s="1">
        <v>200008</v>
      </c>
      <c r="D311" s="3" t="s">
        <v>2824</v>
      </c>
      <c r="E311" s="3" t="s">
        <v>2519</v>
      </c>
      <c r="F311" s="3" t="s">
        <v>2810</v>
      </c>
      <c r="G311" s="3" t="s">
        <v>2825</v>
      </c>
    </row>
    <row r="312" ht="30" spans="1:7">
      <c r="A312" s="1" t="str">
        <f t="shared" si="11"/>
        <v>3:200009</v>
      </c>
      <c r="B312" s="1">
        <v>3</v>
      </c>
      <c r="C312" s="1">
        <v>200009</v>
      </c>
      <c r="D312" s="3" t="s">
        <v>1755</v>
      </c>
      <c r="E312" s="3" t="s">
        <v>2519</v>
      </c>
      <c r="F312" s="3" t="s">
        <v>2810</v>
      </c>
      <c r="G312" s="3" t="s">
        <v>2826</v>
      </c>
    </row>
    <row r="313" ht="30" spans="1:7">
      <c r="A313" s="1" t="str">
        <f t="shared" si="11"/>
        <v>3:200010</v>
      </c>
      <c r="B313" s="1">
        <v>3</v>
      </c>
      <c r="C313" s="1">
        <v>200010</v>
      </c>
      <c r="D313" s="3" t="s">
        <v>2827</v>
      </c>
      <c r="E313" s="3" t="s">
        <v>2519</v>
      </c>
      <c r="F313" s="3" t="s">
        <v>2810</v>
      </c>
      <c r="G313" s="3" t="s">
        <v>2828</v>
      </c>
    </row>
    <row r="314" ht="45" spans="1:7">
      <c r="A314" s="1" t="str">
        <f t="shared" si="11"/>
        <v>3:200011</v>
      </c>
      <c r="B314" s="1">
        <v>3</v>
      </c>
      <c r="C314" s="1">
        <v>200011</v>
      </c>
      <c r="D314" s="3" t="s">
        <v>2829</v>
      </c>
      <c r="E314" s="3" t="s">
        <v>2830</v>
      </c>
      <c r="F314" s="3" t="s">
        <v>2810</v>
      </c>
      <c r="G314" s="3" t="s">
        <v>2831</v>
      </c>
    </row>
    <row r="315" ht="30" spans="1:7">
      <c r="A315" s="1" t="str">
        <f t="shared" si="11"/>
        <v>3:200012</v>
      </c>
      <c r="B315" s="1">
        <v>3</v>
      </c>
      <c r="C315" s="1">
        <v>200012</v>
      </c>
      <c r="D315" s="3" t="s">
        <v>2484</v>
      </c>
      <c r="E315" s="3" t="s">
        <v>2519</v>
      </c>
      <c r="F315" s="3" t="s">
        <v>2810</v>
      </c>
      <c r="G315" s="3" t="s">
        <v>2832</v>
      </c>
    </row>
    <row r="316" ht="30" spans="1:7">
      <c r="A316" s="1" t="str">
        <f t="shared" si="11"/>
        <v>3:200013</v>
      </c>
      <c r="B316" s="1">
        <v>3</v>
      </c>
      <c r="C316" s="1">
        <v>200013</v>
      </c>
      <c r="D316" s="3" t="s">
        <v>1754</v>
      </c>
      <c r="E316" s="3" t="s">
        <v>2519</v>
      </c>
      <c r="F316" s="3" t="s">
        <v>2810</v>
      </c>
      <c r="G316" s="3" t="s">
        <v>2833</v>
      </c>
    </row>
    <row r="317" ht="30" spans="1:7">
      <c r="A317" s="1" t="str">
        <f t="shared" si="11"/>
        <v>3:200014</v>
      </c>
      <c r="B317" s="1">
        <v>3</v>
      </c>
      <c r="C317" s="1">
        <v>200014</v>
      </c>
      <c r="D317" s="3" t="s">
        <v>48</v>
      </c>
      <c r="E317" s="3" t="s">
        <v>2519</v>
      </c>
      <c r="F317" s="3" t="s">
        <v>2810</v>
      </c>
      <c r="G317" s="3" t="s">
        <v>2834</v>
      </c>
    </row>
    <row r="318" ht="30" spans="1:7">
      <c r="A318" s="1" t="str">
        <f t="shared" si="11"/>
        <v>3:200015</v>
      </c>
      <c r="B318" s="1">
        <v>3</v>
      </c>
      <c r="C318" s="1">
        <v>200015</v>
      </c>
      <c r="D318" s="3" t="s">
        <v>2835</v>
      </c>
      <c r="E318" s="3" t="s">
        <v>2836</v>
      </c>
      <c r="F318" s="3" t="s">
        <v>2810</v>
      </c>
      <c r="G318" s="3" t="s">
        <v>2837</v>
      </c>
    </row>
    <row r="319" ht="30" spans="1:7">
      <c r="A319" s="1" t="str">
        <f t="shared" si="11"/>
        <v>3:200016</v>
      </c>
      <c r="B319" s="1">
        <v>3</v>
      </c>
      <c r="C319" s="1">
        <v>200016</v>
      </c>
      <c r="D319" s="3" t="s">
        <v>1757</v>
      </c>
      <c r="E319" s="3" t="s">
        <v>2838</v>
      </c>
      <c r="F319" s="3" t="s">
        <v>2810</v>
      </c>
      <c r="G319" s="3" t="s">
        <v>2839</v>
      </c>
    </row>
    <row r="320" ht="15" spans="1:7">
      <c r="A320" s="1" t="str">
        <f t="shared" si="11"/>
        <v>3:200017</v>
      </c>
      <c r="B320" s="1">
        <v>3</v>
      </c>
      <c r="C320" s="1">
        <v>200017</v>
      </c>
      <c r="D320" s="3" t="s">
        <v>1750</v>
      </c>
      <c r="E320" s="3" t="s">
        <v>1750</v>
      </c>
      <c r="F320" s="3" t="s">
        <v>2810</v>
      </c>
      <c r="G320" s="3" t="s">
        <v>2840</v>
      </c>
    </row>
    <row r="321" ht="15" spans="1:7">
      <c r="A321" s="1" t="str">
        <f t="shared" si="11"/>
        <v>3:200018</v>
      </c>
      <c r="B321" s="1">
        <v>3</v>
      </c>
      <c r="C321" s="1">
        <v>200018</v>
      </c>
      <c r="D321" s="3" t="s">
        <v>2841</v>
      </c>
      <c r="E321" s="3" t="s">
        <v>2841</v>
      </c>
      <c r="F321" s="3" t="s">
        <v>2810</v>
      </c>
      <c r="G321" s="3" t="s">
        <v>2842</v>
      </c>
    </row>
    <row r="322" ht="30" spans="1:7">
      <c r="A322" s="1" t="str">
        <f t="shared" si="11"/>
        <v>3:200020</v>
      </c>
      <c r="B322" s="1">
        <v>3</v>
      </c>
      <c r="C322" s="1">
        <v>200020</v>
      </c>
      <c r="D322" s="3" t="s">
        <v>2843</v>
      </c>
      <c r="E322" s="3" t="s">
        <v>2843</v>
      </c>
      <c r="F322" s="3" t="s">
        <v>2810</v>
      </c>
      <c r="G322" s="3" t="s">
        <v>2844</v>
      </c>
    </row>
    <row r="323" ht="45" spans="1:7">
      <c r="A323" s="1" t="str">
        <f t="shared" si="11"/>
        <v>3:200021</v>
      </c>
      <c r="B323" s="1">
        <v>3</v>
      </c>
      <c r="C323" s="1">
        <v>200021</v>
      </c>
      <c r="D323" s="3" t="s">
        <v>1758</v>
      </c>
      <c r="E323" s="3" t="s">
        <v>2818</v>
      </c>
      <c r="F323" s="3" t="s">
        <v>2810</v>
      </c>
      <c r="G323" s="3" t="s">
        <v>2845</v>
      </c>
    </row>
    <row r="324" ht="45" spans="1:7">
      <c r="A324" s="1" t="str">
        <f t="shared" si="11"/>
        <v>3:200022</v>
      </c>
      <c r="B324" s="1">
        <v>3</v>
      </c>
      <c r="C324" s="1">
        <v>200022</v>
      </c>
      <c r="D324" s="3" t="s">
        <v>2846</v>
      </c>
      <c r="E324" s="3" t="s">
        <v>2847</v>
      </c>
      <c r="F324" s="3" t="s">
        <v>2810</v>
      </c>
      <c r="G324" s="3" t="s">
        <v>2847</v>
      </c>
    </row>
    <row r="325" ht="45" spans="1:7">
      <c r="A325" s="1" t="str">
        <f t="shared" si="11"/>
        <v>3:200023</v>
      </c>
      <c r="B325" s="1">
        <v>3</v>
      </c>
      <c r="C325" s="1">
        <v>200023</v>
      </c>
      <c r="D325" s="3" t="s">
        <v>2848</v>
      </c>
      <c r="E325" s="3" t="s">
        <v>2849</v>
      </c>
      <c r="F325" s="3" t="s">
        <v>2810</v>
      </c>
      <c r="G325" s="3" t="s">
        <v>2849</v>
      </c>
    </row>
    <row r="326" ht="45" spans="1:7">
      <c r="A326" s="1" t="str">
        <f t="shared" si="11"/>
        <v>3:200024</v>
      </c>
      <c r="B326" s="1">
        <v>3</v>
      </c>
      <c r="C326" s="1">
        <v>200024</v>
      </c>
      <c r="D326" s="3" t="s">
        <v>2850</v>
      </c>
      <c r="E326" s="3" t="s">
        <v>2851</v>
      </c>
      <c r="F326" s="3" t="s">
        <v>2810</v>
      </c>
      <c r="G326" s="3" t="s">
        <v>2851</v>
      </c>
    </row>
    <row r="327" ht="30" spans="1:7">
      <c r="A327" s="1" t="str">
        <f t="shared" si="11"/>
        <v>3:200025</v>
      </c>
      <c r="B327" s="1">
        <v>3</v>
      </c>
      <c r="C327" s="1">
        <v>200025</v>
      </c>
      <c r="D327" s="3" t="s">
        <v>2852</v>
      </c>
      <c r="E327" s="3" t="s">
        <v>2852</v>
      </c>
      <c r="F327" s="3" t="s">
        <v>2810</v>
      </c>
      <c r="G327" s="3" t="s">
        <v>2853</v>
      </c>
    </row>
    <row r="328" ht="30" spans="1:7">
      <c r="A328" s="1" t="str">
        <f t="shared" si="11"/>
        <v>3:200026</v>
      </c>
      <c r="B328" s="1">
        <v>3</v>
      </c>
      <c r="C328" s="1">
        <v>200026</v>
      </c>
      <c r="D328" s="3" t="s">
        <v>2854</v>
      </c>
      <c r="E328" s="3" t="s">
        <v>2855</v>
      </c>
      <c r="F328" s="3" t="s">
        <v>2810</v>
      </c>
      <c r="G328" s="3" t="s">
        <v>2856</v>
      </c>
    </row>
    <row r="329" ht="30" spans="1:10">
      <c r="A329" s="1" t="str">
        <f t="shared" si="11"/>
        <v>3:200027</v>
      </c>
      <c r="B329" s="1">
        <v>3</v>
      </c>
      <c r="C329" s="1">
        <v>200027</v>
      </c>
      <c r="D329" s="3" t="s">
        <v>2336</v>
      </c>
      <c r="E329" s="3" t="s">
        <v>2857</v>
      </c>
      <c r="F329" s="3" t="s">
        <v>2810</v>
      </c>
      <c r="G329" s="3" t="s">
        <v>2857</v>
      </c>
      <c r="J329" s="1">
        <f>1/2000</f>
        <v>0.0005</v>
      </c>
    </row>
    <row r="330" ht="45" spans="1:10">
      <c r="A330" s="1" t="str">
        <f t="shared" si="11"/>
        <v>3:200028</v>
      </c>
      <c r="B330" s="1">
        <v>3</v>
      </c>
      <c r="C330" s="1">
        <v>200028</v>
      </c>
      <c r="D330" s="3" t="s">
        <v>2337</v>
      </c>
      <c r="E330" s="3" t="s">
        <v>2858</v>
      </c>
      <c r="F330" s="3" t="s">
        <v>2810</v>
      </c>
      <c r="G330" s="3" t="s">
        <v>2858</v>
      </c>
      <c r="J330" s="1">
        <f t="shared" ref="J330:J340" si="12">1/2000</f>
        <v>0.0005</v>
      </c>
    </row>
    <row r="331" ht="30" spans="1:10">
      <c r="A331" s="1" t="str">
        <f t="shared" si="11"/>
        <v>3:200029</v>
      </c>
      <c r="B331" s="1">
        <v>3</v>
      </c>
      <c r="C331" s="1">
        <v>200029</v>
      </c>
      <c r="D331" s="3" t="s">
        <v>2338</v>
      </c>
      <c r="E331" s="3" t="s">
        <v>2859</v>
      </c>
      <c r="F331" s="3" t="s">
        <v>2810</v>
      </c>
      <c r="G331" s="3" t="s">
        <v>2859</v>
      </c>
      <c r="J331" s="1">
        <f t="shared" si="12"/>
        <v>0.0005</v>
      </c>
    </row>
    <row r="332" ht="30" spans="1:10">
      <c r="A332" s="1" t="str">
        <f t="shared" si="11"/>
        <v>3:200030</v>
      </c>
      <c r="B332" s="1">
        <v>3</v>
      </c>
      <c r="C332" s="1">
        <v>200030</v>
      </c>
      <c r="D332" s="3" t="s">
        <v>2339</v>
      </c>
      <c r="E332" s="3" t="s">
        <v>2860</v>
      </c>
      <c r="F332" s="3" t="s">
        <v>2810</v>
      </c>
      <c r="G332" s="3" t="s">
        <v>2860</v>
      </c>
      <c r="J332" s="1">
        <f t="shared" si="12"/>
        <v>0.0005</v>
      </c>
    </row>
    <row r="333" ht="45" spans="1:10">
      <c r="A333" s="1" t="str">
        <f t="shared" si="11"/>
        <v>3:200031</v>
      </c>
      <c r="B333" s="1">
        <v>3</v>
      </c>
      <c r="C333" s="1">
        <v>200031</v>
      </c>
      <c r="D333" s="3" t="s">
        <v>2340</v>
      </c>
      <c r="E333" s="3" t="s">
        <v>2861</v>
      </c>
      <c r="F333" s="3" t="s">
        <v>2810</v>
      </c>
      <c r="G333" s="3" t="s">
        <v>2862</v>
      </c>
      <c r="J333" s="1">
        <f t="shared" si="12"/>
        <v>0.0005</v>
      </c>
    </row>
    <row r="334" ht="30" spans="1:10">
      <c r="A334" s="1" t="str">
        <f t="shared" si="11"/>
        <v>3:200032</v>
      </c>
      <c r="B334" s="1">
        <v>3</v>
      </c>
      <c r="C334" s="1">
        <v>200032</v>
      </c>
      <c r="D334" s="3" t="s">
        <v>2341</v>
      </c>
      <c r="E334" s="3" t="s">
        <v>2863</v>
      </c>
      <c r="F334" s="3" t="s">
        <v>2810</v>
      </c>
      <c r="G334" s="3" t="s">
        <v>2864</v>
      </c>
      <c r="J334" s="1">
        <f t="shared" si="12"/>
        <v>0.0005</v>
      </c>
    </row>
    <row r="335" ht="45" spans="1:10">
      <c r="A335" s="1" t="str">
        <f t="shared" si="11"/>
        <v>3:200035</v>
      </c>
      <c r="B335" s="1">
        <v>3</v>
      </c>
      <c r="C335" s="1">
        <v>200035</v>
      </c>
      <c r="D335" s="3" t="s">
        <v>2342</v>
      </c>
      <c r="E335" s="3" t="s">
        <v>2865</v>
      </c>
      <c r="F335" s="3" t="s">
        <v>2810</v>
      </c>
      <c r="G335" s="3" t="s">
        <v>2865</v>
      </c>
      <c r="J335" s="1">
        <f t="shared" si="12"/>
        <v>0.0005</v>
      </c>
    </row>
    <row r="336" ht="45" spans="1:10">
      <c r="A336" s="1" t="str">
        <f t="shared" si="11"/>
        <v>3:200036</v>
      </c>
      <c r="B336" s="1">
        <v>3</v>
      </c>
      <c r="C336" s="1">
        <v>200036</v>
      </c>
      <c r="D336" s="3" t="s">
        <v>2343</v>
      </c>
      <c r="E336" s="3" t="s">
        <v>2866</v>
      </c>
      <c r="F336" s="3" t="s">
        <v>2810</v>
      </c>
      <c r="G336" s="3" t="s">
        <v>2866</v>
      </c>
      <c r="J336" s="1">
        <f t="shared" si="12"/>
        <v>0.0005</v>
      </c>
    </row>
    <row r="337" ht="45" spans="1:10">
      <c r="A337" s="1" t="str">
        <f t="shared" si="11"/>
        <v>3:200037</v>
      </c>
      <c r="B337" s="1">
        <v>3</v>
      </c>
      <c r="C337" s="1">
        <v>200037</v>
      </c>
      <c r="D337" s="3" t="s">
        <v>1475</v>
      </c>
      <c r="E337" s="3" t="s">
        <v>2867</v>
      </c>
      <c r="F337" s="3" t="s">
        <v>2810</v>
      </c>
      <c r="G337" s="3" t="s">
        <v>2867</v>
      </c>
      <c r="J337" s="1">
        <f t="shared" si="12"/>
        <v>0.0005</v>
      </c>
    </row>
    <row r="338" ht="45" spans="1:10">
      <c r="A338" s="1" t="str">
        <f t="shared" si="11"/>
        <v>3:200038</v>
      </c>
      <c r="B338" s="1">
        <v>3</v>
      </c>
      <c r="C338" s="1">
        <v>200038</v>
      </c>
      <c r="D338" s="3" t="s">
        <v>2344</v>
      </c>
      <c r="E338" s="3" t="s">
        <v>2868</v>
      </c>
      <c r="F338" s="3" t="s">
        <v>2810</v>
      </c>
      <c r="G338" s="3" t="s">
        <v>2869</v>
      </c>
      <c r="J338" s="1">
        <f t="shared" si="12"/>
        <v>0.0005</v>
      </c>
    </row>
    <row r="339" ht="45" spans="1:10">
      <c r="A339" s="1" t="str">
        <f t="shared" si="11"/>
        <v>3:200039</v>
      </c>
      <c r="B339" s="1">
        <v>3</v>
      </c>
      <c r="C339" s="1">
        <v>200039</v>
      </c>
      <c r="D339" s="3" t="s">
        <v>2345</v>
      </c>
      <c r="E339" s="3" t="s">
        <v>2870</v>
      </c>
      <c r="F339" s="3" t="s">
        <v>2810</v>
      </c>
      <c r="G339" s="3" t="s">
        <v>2870</v>
      </c>
      <c r="J339" s="1">
        <f t="shared" si="12"/>
        <v>0.0005</v>
      </c>
    </row>
    <row r="340" ht="30" spans="1:10">
      <c r="A340" s="1" t="str">
        <f t="shared" si="11"/>
        <v>3:200040</v>
      </c>
      <c r="B340" s="1">
        <v>3</v>
      </c>
      <c r="C340" s="1">
        <v>200040</v>
      </c>
      <c r="D340" s="3" t="s">
        <v>2346</v>
      </c>
      <c r="E340" s="3" t="s">
        <v>2871</v>
      </c>
      <c r="F340" s="3" t="s">
        <v>2810</v>
      </c>
      <c r="G340" s="3" t="s">
        <v>2871</v>
      </c>
      <c r="J340" s="1">
        <f t="shared" si="12"/>
        <v>0.0005</v>
      </c>
    </row>
    <row r="341" ht="15" spans="4:7">
      <c r="D341" s="3"/>
      <c r="E341" s="3"/>
      <c r="F341" s="3"/>
      <c r="G341" s="3"/>
    </row>
    <row r="342" ht="30" spans="1:10">
      <c r="A342" s="1" t="str">
        <f t="shared" si="11"/>
        <v>3:900001</v>
      </c>
      <c r="B342" s="1">
        <v>3</v>
      </c>
      <c r="C342" s="1">
        <v>900001</v>
      </c>
      <c r="D342" s="3" t="s">
        <v>2347</v>
      </c>
      <c r="E342" s="3" t="s">
        <v>2872</v>
      </c>
      <c r="F342" s="3" t="s">
        <v>2873</v>
      </c>
      <c r="G342" s="3" t="s">
        <v>2874</v>
      </c>
      <c r="J342" s="1">
        <v>1</v>
      </c>
    </row>
    <row r="343" ht="30" spans="1:10">
      <c r="A343" s="1" t="str">
        <f t="shared" si="11"/>
        <v>3:900002</v>
      </c>
      <c r="B343" s="1">
        <v>3</v>
      </c>
      <c r="C343" s="1">
        <v>900002</v>
      </c>
      <c r="D343" s="3" t="s">
        <v>2348</v>
      </c>
      <c r="E343" s="3" t="s">
        <v>2872</v>
      </c>
      <c r="F343" s="3" t="s">
        <v>2873</v>
      </c>
      <c r="G343" s="3" t="s">
        <v>2875</v>
      </c>
      <c r="J343" s="1">
        <v>1</v>
      </c>
    </row>
    <row r="344" ht="30" spans="1:10">
      <c r="A344" s="1" t="str">
        <f t="shared" si="11"/>
        <v>3:900003</v>
      </c>
      <c r="B344" s="1">
        <v>3</v>
      </c>
      <c r="C344" s="1">
        <v>900003</v>
      </c>
      <c r="D344" s="3" t="s">
        <v>2349</v>
      </c>
      <c r="E344" s="3" t="s">
        <v>2872</v>
      </c>
      <c r="F344" s="3" t="s">
        <v>2873</v>
      </c>
      <c r="G344" s="3" t="s">
        <v>2876</v>
      </c>
      <c r="J344" s="1">
        <v>1</v>
      </c>
    </row>
    <row r="345" ht="30" spans="1:10">
      <c r="A345" s="1" t="str">
        <f t="shared" si="11"/>
        <v>3:900004</v>
      </c>
      <c r="B345" s="1">
        <v>3</v>
      </c>
      <c r="C345" s="1">
        <v>900004</v>
      </c>
      <c r="D345" s="3" t="s">
        <v>2350</v>
      </c>
      <c r="E345" s="3" t="s">
        <v>2872</v>
      </c>
      <c r="F345" s="3" t="s">
        <v>2873</v>
      </c>
      <c r="G345" s="3" t="s">
        <v>2877</v>
      </c>
      <c r="J345" s="1">
        <v>1</v>
      </c>
    </row>
    <row r="346" ht="30" spans="1:10">
      <c r="A346" s="1" t="str">
        <f t="shared" si="11"/>
        <v>3:900005</v>
      </c>
      <c r="B346" s="1">
        <v>3</v>
      </c>
      <c r="C346" s="1">
        <v>900005</v>
      </c>
      <c r="D346" s="3" t="s">
        <v>2351</v>
      </c>
      <c r="E346" s="3" t="s">
        <v>2872</v>
      </c>
      <c r="F346" s="3" t="s">
        <v>2873</v>
      </c>
      <c r="G346" s="3" t="s">
        <v>2878</v>
      </c>
      <c r="J346" s="1">
        <v>1</v>
      </c>
    </row>
    <row r="347" ht="30" spans="1:10">
      <c r="A347" s="1" t="str">
        <f t="shared" si="11"/>
        <v>3:900006</v>
      </c>
      <c r="B347" s="1">
        <v>3</v>
      </c>
      <c r="C347" s="1">
        <v>900006</v>
      </c>
      <c r="D347" s="3" t="s">
        <v>2352</v>
      </c>
      <c r="E347" s="3" t="s">
        <v>2872</v>
      </c>
      <c r="F347" s="3" t="s">
        <v>2873</v>
      </c>
      <c r="G347" s="3" t="s">
        <v>2879</v>
      </c>
      <c r="J347" s="1">
        <v>1</v>
      </c>
    </row>
    <row r="348" ht="30" spans="1:10">
      <c r="A348" s="1" t="str">
        <f t="shared" si="11"/>
        <v>3:900007</v>
      </c>
      <c r="B348" s="1">
        <v>3</v>
      </c>
      <c r="C348" s="1">
        <v>900007</v>
      </c>
      <c r="D348" s="3" t="s">
        <v>2353</v>
      </c>
      <c r="E348" s="3" t="s">
        <v>2872</v>
      </c>
      <c r="F348" s="3" t="s">
        <v>2873</v>
      </c>
      <c r="G348" s="3" t="s">
        <v>2880</v>
      </c>
      <c r="J348" s="1">
        <v>1</v>
      </c>
    </row>
    <row r="349" ht="30" spans="1:10">
      <c r="A349" s="1" t="str">
        <f t="shared" si="11"/>
        <v>3:900008</v>
      </c>
      <c r="B349" s="1">
        <v>3</v>
      </c>
      <c r="C349" s="1">
        <v>900008</v>
      </c>
      <c r="D349" s="3" t="s">
        <v>2354</v>
      </c>
      <c r="E349" s="3" t="s">
        <v>2872</v>
      </c>
      <c r="F349" s="3" t="s">
        <v>2873</v>
      </c>
      <c r="G349" s="3" t="s">
        <v>2881</v>
      </c>
      <c r="J349" s="1">
        <v>1</v>
      </c>
    </row>
    <row r="350" ht="30" spans="1:10">
      <c r="A350" s="1" t="str">
        <f t="shared" si="11"/>
        <v>3:900009</v>
      </c>
      <c r="B350" s="1">
        <v>3</v>
      </c>
      <c r="C350" s="1">
        <v>900009</v>
      </c>
      <c r="D350" s="3" t="s">
        <v>2355</v>
      </c>
      <c r="E350" s="3" t="s">
        <v>2872</v>
      </c>
      <c r="F350" s="3" t="s">
        <v>2873</v>
      </c>
      <c r="G350" s="3" t="s">
        <v>2882</v>
      </c>
      <c r="J350" s="1">
        <v>1</v>
      </c>
    </row>
    <row r="351" ht="30" spans="1:10">
      <c r="A351" s="1" t="str">
        <f t="shared" si="11"/>
        <v>3:900010</v>
      </c>
      <c r="B351" s="1">
        <v>3</v>
      </c>
      <c r="C351" s="1">
        <v>900010</v>
      </c>
      <c r="D351" s="3" t="s">
        <v>2356</v>
      </c>
      <c r="E351" s="3" t="s">
        <v>2872</v>
      </c>
      <c r="F351" s="3" t="s">
        <v>2873</v>
      </c>
      <c r="G351" s="3" t="s">
        <v>2883</v>
      </c>
      <c r="J351" s="1">
        <v>1</v>
      </c>
    </row>
    <row r="352" ht="30" spans="1:10">
      <c r="A352" s="1" t="str">
        <f t="shared" si="11"/>
        <v>3:900011</v>
      </c>
      <c r="B352" s="1">
        <v>3</v>
      </c>
      <c r="C352" s="1">
        <v>900011</v>
      </c>
      <c r="D352" s="3" t="s">
        <v>2356</v>
      </c>
      <c r="E352" s="3" t="s">
        <v>2872</v>
      </c>
      <c r="F352" s="3" t="s">
        <v>2873</v>
      </c>
      <c r="G352" s="3" t="s">
        <v>2884</v>
      </c>
      <c r="J352" s="1">
        <v>1</v>
      </c>
    </row>
    <row r="353" ht="30" spans="1:10">
      <c r="A353" s="1" t="str">
        <f t="shared" si="11"/>
        <v>3:900012</v>
      </c>
      <c r="B353" s="1">
        <v>3</v>
      </c>
      <c r="C353" s="1">
        <v>900012</v>
      </c>
      <c r="D353" s="3" t="s">
        <v>2357</v>
      </c>
      <c r="E353" s="3" t="s">
        <v>2872</v>
      </c>
      <c r="F353" s="3" t="s">
        <v>2873</v>
      </c>
      <c r="G353" s="3" t="s">
        <v>2885</v>
      </c>
      <c r="J353" s="1">
        <v>1</v>
      </c>
    </row>
    <row r="354" ht="30" spans="1:10">
      <c r="A354" s="1" t="str">
        <f t="shared" si="11"/>
        <v>3:900013</v>
      </c>
      <c r="B354" s="1">
        <v>3</v>
      </c>
      <c r="C354" s="1">
        <v>900013</v>
      </c>
      <c r="D354" s="3" t="s">
        <v>2358</v>
      </c>
      <c r="E354" s="3" t="s">
        <v>2872</v>
      </c>
      <c r="F354" s="3" t="s">
        <v>2873</v>
      </c>
      <c r="G354" s="3" t="s">
        <v>2886</v>
      </c>
      <c r="J354" s="1">
        <v>1</v>
      </c>
    </row>
    <row r="355" ht="30" spans="1:10">
      <c r="A355" s="1" t="str">
        <f t="shared" ref="A355:A418" si="13">B355&amp;":"&amp;C355</f>
        <v>3:900014</v>
      </c>
      <c r="B355" s="1">
        <v>3</v>
      </c>
      <c r="C355" s="1">
        <v>900014</v>
      </c>
      <c r="D355" s="3" t="s">
        <v>2359</v>
      </c>
      <c r="E355" s="3" t="s">
        <v>2872</v>
      </c>
      <c r="F355" s="3" t="s">
        <v>2873</v>
      </c>
      <c r="G355" s="3" t="s">
        <v>2887</v>
      </c>
      <c r="J355" s="1">
        <v>1</v>
      </c>
    </row>
    <row r="356" ht="30" spans="1:10">
      <c r="A356" s="1" t="str">
        <f t="shared" si="13"/>
        <v>3:900015</v>
      </c>
      <c r="B356" s="1">
        <v>3</v>
      </c>
      <c r="C356" s="1">
        <v>900015</v>
      </c>
      <c r="D356" s="3" t="s">
        <v>2360</v>
      </c>
      <c r="E356" s="3" t="s">
        <v>2872</v>
      </c>
      <c r="F356" s="3" t="s">
        <v>2873</v>
      </c>
      <c r="G356" s="3" t="s">
        <v>2888</v>
      </c>
      <c r="J356" s="1">
        <v>1</v>
      </c>
    </row>
    <row r="357" ht="30" spans="1:10">
      <c r="A357" s="1" t="str">
        <f t="shared" si="13"/>
        <v>3:900016</v>
      </c>
      <c r="B357" s="1">
        <v>3</v>
      </c>
      <c r="C357" s="1">
        <v>900016</v>
      </c>
      <c r="D357" s="3" t="s">
        <v>2361</v>
      </c>
      <c r="E357" s="3" t="s">
        <v>2872</v>
      </c>
      <c r="F357" s="3" t="s">
        <v>2873</v>
      </c>
      <c r="G357" s="3" t="s">
        <v>2889</v>
      </c>
      <c r="J357" s="1">
        <v>1</v>
      </c>
    </row>
    <row r="358" ht="30" spans="1:10">
      <c r="A358" s="1" t="str">
        <f t="shared" si="13"/>
        <v>3:900017</v>
      </c>
      <c r="B358" s="1">
        <v>3</v>
      </c>
      <c r="C358" s="1">
        <v>900017</v>
      </c>
      <c r="D358" s="3" t="s">
        <v>2362</v>
      </c>
      <c r="E358" s="3" t="s">
        <v>2872</v>
      </c>
      <c r="F358" s="3" t="s">
        <v>2873</v>
      </c>
      <c r="G358" s="3" t="s">
        <v>2890</v>
      </c>
      <c r="J358" s="1">
        <v>1</v>
      </c>
    </row>
    <row r="359" ht="30" spans="1:10">
      <c r="A359" s="1" t="str">
        <f t="shared" si="13"/>
        <v>3:900018</v>
      </c>
      <c r="B359" s="1">
        <v>3</v>
      </c>
      <c r="C359" s="1">
        <v>900018</v>
      </c>
      <c r="D359" s="3" t="s">
        <v>2363</v>
      </c>
      <c r="E359" s="3" t="s">
        <v>2872</v>
      </c>
      <c r="F359" s="3" t="s">
        <v>2873</v>
      </c>
      <c r="G359" s="3" t="s">
        <v>2891</v>
      </c>
      <c r="J359" s="1">
        <v>1</v>
      </c>
    </row>
    <row r="360" ht="30" spans="1:10">
      <c r="A360" s="1" t="str">
        <f t="shared" si="13"/>
        <v>3:900019</v>
      </c>
      <c r="B360" s="1">
        <v>3</v>
      </c>
      <c r="C360" s="1">
        <v>900019</v>
      </c>
      <c r="D360" s="3" t="s">
        <v>2364</v>
      </c>
      <c r="E360" s="3" t="s">
        <v>2872</v>
      </c>
      <c r="F360" s="3" t="s">
        <v>2873</v>
      </c>
      <c r="G360" s="3" t="s">
        <v>2892</v>
      </c>
      <c r="J360" s="1">
        <v>1</v>
      </c>
    </row>
    <row r="361" ht="30" spans="1:10">
      <c r="A361" s="1" t="str">
        <f t="shared" si="13"/>
        <v>3:900020</v>
      </c>
      <c r="B361" s="1">
        <v>3</v>
      </c>
      <c r="C361" s="1">
        <v>900020</v>
      </c>
      <c r="D361" s="3" t="s">
        <v>1520</v>
      </c>
      <c r="E361" s="3" t="s">
        <v>2872</v>
      </c>
      <c r="F361" s="3" t="s">
        <v>2873</v>
      </c>
      <c r="G361" s="3" t="s">
        <v>2893</v>
      </c>
      <c r="J361" s="1">
        <v>1</v>
      </c>
    </row>
    <row r="362" ht="30" spans="1:10">
      <c r="A362" s="1" t="str">
        <f t="shared" si="13"/>
        <v>3:900021</v>
      </c>
      <c r="B362" s="1">
        <v>3</v>
      </c>
      <c r="C362" s="1">
        <v>900021</v>
      </c>
      <c r="D362" s="3" t="s">
        <v>1522</v>
      </c>
      <c r="E362" s="3" t="s">
        <v>2872</v>
      </c>
      <c r="F362" s="3" t="s">
        <v>2873</v>
      </c>
      <c r="G362" s="3" t="s">
        <v>2894</v>
      </c>
      <c r="J362" s="1">
        <v>1</v>
      </c>
    </row>
    <row r="363" ht="30" spans="1:10">
      <c r="A363" s="1" t="str">
        <f t="shared" si="13"/>
        <v>3:900022</v>
      </c>
      <c r="B363" s="1">
        <v>3</v>
      </c>
      <c r="C363" s="1">
        <v>900022</v>
      </c>
      <c r="D363" s="3" t="s">
        <v>2365</v>
      </c>
      <c r="E363" s="3" t="s">
        <v>2872</v>
      </c>
      <c r="F363" s="3" t="s">
        <v>2873</v>
      </c>
      <c r="G363" s="3" t="s">
        <v>2895</v>
      </c>
      <c r="J363" s="1">
        <v>1</v>
      </c>
    </row>
    <row r="364" ht="30" spans="1:10">
      <c r="A364" s="1" t="str">
        <f t="shared" si="13"/>
        <v>3:900023</v>
      </c>
      <c r="B364" s="1">
        <v>3</v>
      </c>
      <c r="C364" s="1">
        <v>900023</v>
      </c>
      <c r="D364" s="3" t="s">
        <v>1526</v>
      </c>
      <c r="E364" s="3" t="s">
        <v>2872</v>
      </c>
      <c r="F364" s="3" t="s">
        <v>2873</v>
      </c>
      <c r="G364" s="3" t="s">
        <v>2896</v>
      </c>
      <c r="J364" s="1">
        <v>1</v>
      </c>
    </row>
    <row r="365" ht="30" spans="1:10">
      <c r="A365" s="1" t="str">
        <f t="shared" si="13"/>
        <v>3:900024</v>
      </c>
      <c r="B365" s="1">
        <v>3</v>
      </c>
      <c r="C365" s="1">
        <v>900024</v>
      </c>
      <c r="D365" s="3" t="s">
        <v>2366</v>
      </c>
      <c r="E365" s="3" t="s">
        <v>2872</v>
      </c>
      <c r="F365" s="3" t="s">
        <v>2873</v>
      </c>
      <c r="G365" s="3" t="s">
        <v>2897</v>
      </c>
      <c r="J365" s="1">
        <v>1</v>
      </c>
    </row>
    <row r="366" ht="30" spans="1:10">
      <c r="A366" s="1" t="str">
        <f t="shared" si="13"/>
        <v>3:900025</v>
      </c>
      <c r="B366" s="1">
        <v>3</v>
      </c>
      <c r="C366" s="1">
        <v>900025</v>
      </c>
      <c r="D366" s="3" t="s">
        <v>2367</v>
      </c>
      <c r="E366" s="3" t="s">
        <v>2872</v>
      </c>
      <c r="F366" s="3" t="s">
        <v>2873</v>
      </c>
      <c r="G366" s="3" t="s">
        <v>2898</v>
      </c>
      <c r="J366" s="1">
        <v>1</v>
      </c>
    </row>
    <row r="367" ht="30" spans="1:10">
      <c r="A367" s="1" t="str">
        <f t="shared" si="13"/>
        <v>3:900026</v>
      </c>
      <c r="B367" s="1">
        <v>3</v>
      </c>
      <c r="C367" s="1">
        <v>900026</v>
      </c>
      <c r="D367" s="3" t="s">
        <v>2368</v>
      </c>
      <c r="E367" s="3" t="s">
        <v>2872</v>
      </c>
      <c r="F367" s="3" t="s">
        <v>2873</v>
      </c>
      <c r="G367" s="3" t="s">
        <v>2899</v>
      </c>
      <c r="J367" s="1">
        <v>1</v>
      </c>
    </row>
    <row r="368" ht="30" spans="1:10">
      <c r="A368" s="1" t="str">
        <f t="shared" si="13"/>
        <v>3:900027</v>
      </c>
      <c r="B368" s="1">
        <v>3</v>
      </c>
      <c r="C368" s="1">
        <v>900027</v>
      </c>
      <c r="D368" s="3" t="s">
        <v>2369</v>
      </c>
      <c r="E368" s="3" t="s">
        <v>2872</v>
      </c>
      <c r="F368" s="3" t="s">
        <v>2873</v>
      </c>
      <c r="G368" s="3" t="s">
        <v>2900</v>
      </c>
      <c r="J368" s="1">
        <v>1</v>
      </c>
    </row>
    <row r="369" ht="45" spans="1:10">
      <c r="A369" s="1" t="str">
        <f t="shared" si="13"/>
        <v>3:1200001</v>
      </c>
      <c r="B369" s="1">
        <v>3</v>
      </c>
      <c r="C369" s="1">
        <v>1200001</v>
      </c>
      <c r="D369" s="3" t="s">
        <v>2370</v>
      </c>
      <c r="E369" s="3" t="s">
        <v>2901</v>
      </c>
      <c r="F369" s="3" t="s">
        <v>2873</v>
      </c>
      <c r="G369" s="3" t="s">
        <v>2902</v>
      </c>
      <c r="J369" s="1">
        <v>1</v>
      </c>
    </row>
    <row r="370" ht="45" spans="1:10">
      <c r="A370" s="1" t="str">
        <f t="shared" si="13"/>
        <v>3:1200002</v>
      </c>
      <c r="B370" s="1">
        <v>3</v>
      </c>
      <c r="C370" s="1">
        <v>1200002</v>
      </c>
      <c r="D370" s="3" t="s">
        <v>2371</v>
      </c>
      <c r="E370" s="3" t="s">
        <v>2901</v>
      </c>
      <c r="F370" s="3" t="s">
        <v>2873</v>
      </c>
      <c r="G370" s="3" t="s">
        <v>2903</v>
      </c>
      <c r="J370" s="1">
        <v>1</v>
      </c>
    </row>
    <row r="371" ht="45" spans="1:10">
      <c r="A371" s="1" t="str">
        <f t="shared" si="13"/>
        <v>3:1200003</v>
      </c>
      <c r="B371" s="1">
        <v>3</v>
      </c>
      <c r="C371" s="1">
        <v>1200003</v>
      </c>
      <c r="D371" s="3" t="s">
        <v>2372</v>
      </c>
      <c r="E371" s="3" t="s">
        <v>2901</v>
      </c>
      <c r="F371" s="3" t="s">
        <v>2873</v>
      </c>
      <c r="G371" s="3" t="s">
        <v>2904</v>
      </c>
      <c r="J371" s="1">
        <v>1</v>
      </c>
    </row>
    <row r="372" ht="45" spans="1:10">
      <c r="A372" s="1" t="str">
        <f t="shared" si="13"/>
        <v>3:800001</v>
      </c>
      <c r="B372" s="1">
        <v>3</v>
      </c>
      <c r="C372" s="1">
        <v>800001</v>
      </c>
      <c r="D372" s="3" t="s">
        <v>2373</v>
      </c>
      <c r="E372" s="3" t="s">
        <v>2905</v>
      </c>
      <c r="F372" s="3" t="s">
        <v>2906</v>
      </c>
      <c r="G372" s="3"/>
      <c r="J372" s="1">
        <v>1</v>
      </c>
    </row>
    <row r="373" ht="45" spans="1:10">
      <c r="A373" s="1" t="str">
        <f t="shared" si="13"/>
        <v>3:800002</v>
      </c>
      <c r="B373" s="1">
        <v>3</v>
      </c>
      <c r="C373" s="1">
        <v>800002</v>
      </c>
      <c r="D373" s="3" t="s">
        <v>2374</v>
      </c>
      <c r="E373" s="3" t="s">
        <v>2905</v>
      </c>
      <c r="F373" s="3" t="s">
        <v>2906</v>
      </c>
      <c r="G373" s="3" t="s">
        <v>2907</v>
      </c>
      <c r="J373" s="1">
        <v>1</v>
      </c>
    </row>
    <row r="374" ht="45" spans="1:10">
      <c r="A374" s="1" t="str">
        <f t="shared" si="13"/>
        <v>3:800003</v>
      </c>
      <c r="B374" s="1">
        <v>3</v>
      </c>
      <c r="C374" s="1">
        <v>800003</v>
      </c>
      <c r="D374" s="3" t="s">
        <v>2352</v>
      </c>
      <c r="E374" s="3" t="s">
        <v>2905</v>
      </c>
      <c r="F374" s="3" t="s">
        <v>2906</v>
      </c>
      <c r="G374" s="3" t="s">
        <v>2908</v>
      </c>
      <c r="J374" s="1">
        <v>1</v>
      </c>
    </row>
    <row r="375" ht="45" spans="1:10">
      <c r="A375" s="1" t="str">
        <f t="shared" si="13"/>
        <v>3:800004</v>
      </c>
      <c r="B375" s="1">
        <v>3</v>
      </c>
      <c r="C375" s="1">
        <v>800004</v>
      </c>
      <c r="D375" s="3" t="s">
        <v>2357</v>
      </c>
      <c r="E375" s="3" t="s">
        <v>2905</v>
      </c>
      <c r="F375" s="3" t="s">
        <v>2906</v>
      </c>
      <c r="G375" s="3" t="s">
        <v>2909</v>
      </c>
      <c r="J375" s="1">
        <v>1</v>
      </c>
    </row>
    <row r="376" ht="45" spans="1:10">
      <c r="A376" s="1" t="str">
        <f t="shared" si="13"/>
        <v>3:800005</v>
      </c>
      <c r="B376" s="1">
        <v>3</v>
      </c>
      <c r="C376" s="1">
        <v>800005</v>
      </c>
      <c r="D376" s="3" t="s">
        <v>2363</v>
      </c>
      <c r="E376" s="3" t="s">
        <v>2905</v>
      </c>
      <c r="F376" s="3" t="s">
        <v>2906</v>
      </c>
      <c r="G376" s="3" t="s">
        <v>2910</v>
      </c>
      <c r="J376" s="1">
        <v>1</v>
      </c>
    </row>
    <row r="377" ht="45" spans="1:10">
      <c r="A377" s="1" t="str">
        <f t="shared" si="13"/>
        <v>3:800006</v>
      </c>
      <c r="B377" s="1">
        <v>3</v>
      </c>
      <c r="C377" s="1">
        <v>800006</v>
      </c>
      <c r="D377" s="3" t="s">
        <v>2375</v>
      </c>
      <c r="E377" s="3" t="s">
        <v>2905</v>
      </c>
      <c r="F377" s="3" t="s">
        <v>2906</v>
      </c>
      <c r="G377" s="3" t="s">
        <v>2911</v>
      </c>
      <c r="J377" s="1">
        <v>1</v>
      </c>
    </row>
    <row r="378" ht="45" spans="1:10">
      <c r="A378" s="1" t="str">
        <f t="shared" si="13"/>
        <v>3:800007</v>
      </c>
      <c r="B378" s="1">
        <v>3</v>
      </c>
      <c r="C378" s="1">
        <v>800007</v>
      </c>
      <c r="D378" s="3" t="s">
        <v>2376</v>
      </c>
      <c r="E378" s="3" t="s">
        <v>2905</v>
      </c>
      <c r="F378" s="3" t="s">
        <v>2906</v>
      </c>
      <c r="G378" s="3" t="s">
        <v>2912</v>
      </c>
      <c r="J378" s="1">
        <v>1</v>
      </c>
    </row>
    <row r="379" ht="45" spans="1:10">
      <c r="A379" s="1" t="str">
        <f t="shared" si="13"/>
        <v>3:800008</v>
      </c>
      <c r="B379" s="1">
        <v>3</v>
      </c>
      <c r="C379" s="1">
        <v>800008</v>
      </c>
      <c r="D379" s="3" t="s">
        <v>2377</v>
      </c>
      <c r="E379" s="3" t="s">
        <v>2905</v>
      </c>
      <c r="F379" s="3" t="s">
        <v>2906</v>
      </c>
      <c r="G379" s="3" t="s">
        <v>2913</v>
      </c>
      <c r="J379" s="1">
        <v>1</v>
      </c>
    </row>
    <row r="380" ht="45" spans="1:10">
      <c r="A380" s="1" t="str">
        <f t="shared" si="13"/>
        <v>3:800009</v>
      </c>
      <c r="B380" s="1">
        <v>3</v>
      </c>
      <c r="C380" s="1">
        <v>800009</v>
      </c>
      <c r="D380" s="3" t="s">
        <v>2378</v>
      </c>
      <c r="E380" s="3" t="s">
        <v>2905</v>
      </c>
      <c r="F380" s="3" t="s">
        <v>2906</v>
      </c>
      <c r="G380" s="3" t="s">
        <v>2914</v>
      </c>
      <c r="J380" s="1">
        <v>1</v>
      </c>
    </row>
    <row r="381" ht="45" spans="1:10">
      <c r="A381" s="1" t="str">
        <f t="shared" si="13"/>
        <v>3:800010</v>
      </c>
      <c r="B381" s="1">
        <v>3</v>
      </c>
      <c r="C381" s="1">
        <v>800010</v>
      </c>
      <c r="D381" s="3" t="s">
        <v>2379</v>
      </c>
      <c r="E381" s="3" t="s">
        <v>2905</v>
      </c>
      <c r="F381" s="3" t="s">
        <v>2906</v>
      </c>
      <c r="G381" s="3" t="s">
        <v>2915</v>
      </c>
      <c r="J381" s="1">
        <v>1</v>
      </c>
    </row>
    <row r="382" ht="45" spans="1:10">
      <c r="A382" s="1" t="str">
        <f t="shared" si="13"/>
        <v>3:800011</v>
      </c>
      <c r="B382" s="1">
        <v>3</v>
      </c>
      <c r="C382" s="1">
        <v>800011</v>
      </c>
      <c r="D382" s="3" t="s">
        <v>2380</v>
      </c>
      <c r="E382" s="3" t="s">
        <v>2905</v>
      </c>
      <c r="F382" s="3" t="s">
        <v>2906</v>
      </c>
      <c r="G382" s="3" t="s">
        <v>2916</v>
      </c>
      <c r="J382" s="1">
        <v>1</v>
      </c>
    </row>
    <row r="383" ht="45" spans="1:10">
      <c r="A383" s="1" t="str">
        <f t="shared" si="13"/>
        <v>3:800012</v>
      </c>
      <c r="B383" s="1">
        <v>3</v>
      </c>
      <c r="C383" s="1">
        <v>800012</v>
      </c>
      <c r="D383" s="3" t="s">
        <v>1561</v>
      </c>
      <c r="E383" s="3" t="s">
        <v>2905</v>
      </c>
      <c r="F383" s="3" t="s">
        <v>2906</v>
      </c>
      <c r="G383" s="3" t="s">
        <v>2917</v>
      </c>
      <c r="J383" s="1">
        <v>1</v>
      </c>
    </row>
    <row r="384" ht="45" spans="1:10">
      <c r="A384" s="1" t="str">
        <f t="shared" si="13"/>
        <v>3:800013</v>
      </c>
      <c r="B384" s="1">
        <v>3</v>
      </c>
      <c r="C384" s="1">
        <v>800013</v>
      </c>
      <c r="D384" s="3" t="s">
        <v>2381</v>
      </c>
      <c r="E384" s="3" t="s">
        <v>2905</v>
      </c>
      <c r="F384" s="3" t="s">
        <v>2906</v>
      </c>
      <c r="G384" s="3" t="s">
        <v>2918</v>
      </c>
      <c r="J384" s="1">
        <v>1</v>
      </c>
    </row>
    <row r="385" ht="45" spans="1:10">
      <c r="A385" s="1" t="str">
        <f t="shared" si="13"/>
        <v>3:800014</v>
      </c>
      <c r="B385" s="1">
        <v>3</v>
      </c>
      <c r="C385" s="1">
        <v>800014</v>
      </c>
      <c r="D385" s="3" t="s">
        <v>2382</v>
      </c>
      <c r="E385" s="3" t="s">
        <v>2905</v>
      </c>
      <c r="F385" s="3" t="s">
        <v>2906</v>
      </c>
      <c r="G385" s="3" t="s">
        <v>2919</v>
      </c>
      <c r="J385" s="1">
        <v>1</v>
      </c>
    </row>
    <row r="386" ht="45" spans="1:10">
      <c r="A386" s="1" t="str">
        <f t="shared" si="13"/>
        <v>3:800015</v>
      </c>
      <c r="B386" s="1">
        <v>3</v>
      </c>
      <c r="C386" s="1">
        <v>800015</v>
      </c>
      <c r="D386" s="3" t="s">
        <v>2383</v>
      </c>
      <c r="E386" s="3" t="s">
        <v>2905</v>
      </c>
      <c r="F386" s="3" t="s">
        <v>2906</v>
      </c>
      <c r="G386" s="3" t="s">
        <v>2920</v>
      </c>
      <c r="J386" s="1">
        <v>1</v>
      </c>
    </row>
    <row r="387" ht="45" spans="1:10">
      <c r="A387" s="1" t="str">
        <f t="shared" si="13"/>
        <v>3:800016</v>
      </c>
      <c r="B387" s="1">
        <v>3</v>
      </c>
      <c r="C387" s="1">
        <v>800016</v>
      </c>
      <c r="D387" s="3" t="s">
        <v>2384</v>
      </c>
      <c r="E387" s="3" t="s">
        <v>2905</v>
      </c>
      <c r="F387" s="3" t="s">
        <v>2906</v>
      </c>
      <c r="G387" s="3" t="s">
        <v>2921</v>
      </c>
      <c r="J387" s="1">
        <v>1</v>
      </c>
    </row>
    <row r="388" ht="45" spans="1:10">
      <c r="A388" s="1" t="str">
        <f t="shared" si="13"/>
        <v>3:800017</v>
      </c>
      <c r="B388" s="1">
        <v>3</v>
      </c>
      <c r="C388" s="1">
        <v>800017</v>
      </c>
      <c r="D388" s="3" t="s">
        <v>2385</v>
      </c>
      <c r="E388" s="3" t="s">
        <v>2905</v>
      </c>
      <c r="F388" s="3" t="s">
        <v>2906</v>
      </c>
      <c r="G388" s="3" t="s">
        <v>2922</v>
      </c>
      <c r="J388" s="1">
        <v>1</v>
      </c>
    </row>
    <row r="389" ht="45" spans="1:10">
      <c r="A389" s="1" t="str">
        <f t="shared" si="13"/>
        <v>3:800018</v>
      </c>
      <c r="B389" s="1">
        <v>3</v>
      </c>
      <c r="C389" s="1">
        <v>800018</v>
      </c>
      <c r="D389" s="3" t="s">
        <v>2386</v>
      </c>
      <c r="E389" s="3" t="s">
        <v>2905</v>
      </c>
      <c r="F389" s="3" t="s">
        <v>2906</v>
      </c>
      <c r="G389" s="3" t="s">
        <v>2923</v>
      </c>
      <c r="J389" s="1">
        <v>1</v>
      </c>
    </row>
    <row r="390" ht="45" spans="1:10">
      <c r="A390" s="1" t="str">
        <f t="shared" si="13"/>
        <v>3:800019</v>
      </c>
      <c r="B390" s="1">
        <v>3</v>
      </c>
      <c r="C390" s="1">
        <v>800019</v>
      </c>
      <c r="D390" s="3" t="s">
        <v>2387</v>
      </c>
      <c r="E390" s="3" t="s">
        <v>2905</v>
      </c>
      <c r="F390" s="3" t="s">
        <v>2906</v>
      </c>
      <c r="G390" s="3" t="s">
        <v>2924</v>
      </c>
      <c r="J390" s="1">
        <v>1</v>
      </c>
    </row>
    <row r="391" ht="45" spans="1:10">
      <c r="A391" s="1" t="str">
        <f t="shared" si="13"/>
        <v>3:800020</v>
      </c>
      <c r="B391" s="1">
        <v>3</v>
      </c>
      <c r="C391" s="1">
        <v>800020</v>
      </c>
      <c r="D391" s="3" t="s">
        <v>2388</v>
      </c>
      <c r="E391" s="3" t="s">
        <v>2905</v>
      </c>
      <c r="F391" s="3" t="s">
        <v>2906</v>
      </c>
      <c r="G391" s="3" t="s">
        <v>2925</v>
      </c>
      <c r="J391" s="1">
        <v>1</v>
      </c>
    </row>
    <row r="392" ht="45" spans="1:10">
      <c r="A392" s="1" t="str">
        <f t="shared" si="13"/>
        <v>3:800021</v>
      </c>
      <c r="B392" s="1">
        <v>3</v>
      </c>
      <c r="C392" s="1">
        <v>800021</v>
      </c>
      <c r="D392" s="3" t="s">
        <v>2389</v>
      </c>
      <c r="E392" s="3" t="s">
        <v>2905</v>
      </c>
      <c r="F392" s="3" t="s">
        <v>2906</v>
      </c>
      <c r="G392" s="3" t="s">
        <v>2926</v>
      </c>
      <c r="J392" s="1">
        <v>1</v>
      </c>
    </row>
    <row r="393" ht="45" spans="1:10">
      <c r="A393" s="1" t="str">
        <f t="shared" si="13"/>
        <v>3:800022</v>
      </c>
      <c r="B393" s="1">
        <v>3</v>
      </c>
      <c r="C393" s="1">
        <v>800022</v>
      </c>
      <c r="D393" s="3" t="s">
        <v>2390</v>
      </c>
      <c r="E393" s="3" t="s">
        <v>2905</v>
      </c>
      <c r="F393" s="3" t="s">
        <v>2906</v>
      </c>
      <c r="G393" s="3" t="s">
        <v>2927</v>
      </c>
      <c r="J393" s="1">
        <v>1</v>
      </c>
    </row>
    <row r="394" ht="45" spans="1:10">
      <c r="A394" s="1" t="str">
        <f t="shared" si="13"/>
        <v>3:800032</v>
      </c>
      <c r="B394" s="1">
        <v>3</v>
      </c>
      <c r="C394" s="1">
        <v>800032</v>
      </c>
      <c r="D394" s="3" t="s">
        <v>2391</v>
      </c>
      <c r="E394" s="3" t="s">
        <v>2905</v>
      </c>
      <c r="F394" s="3" t="s">
        <v>2906</v>
      </c>
      <c r="G394" s="3" t="s">
        <v>2928</v>
      </c>
      <c r="J394" s="1">
        <v>1</v>
      </c>
    </row>
    <row r="395" ht="45" spans="1:10">
      <c r="A395" s="1" t="str">
        <f t="shared" si="13"/>
        <v>3:1100001</v>
      </c>
      <c r="B395" s="1">
        <v>3</v>
      </c>
      <c r="C395" s="1">
        <v>1100001</v>
      </c>
      <c r="D395" s="3" t="s">
        <v>2392</v>
      </c>
      <c r="E395" s="3" t="s">
        <v>2905</v>
      </c>
      <c r="F395" s="3" t="s">
        <v>2906</v>
      </c>
      <c r="G395" s="3" t="s">
        <v>2929</v>
      </c>
      <c r="J395" s="1">
        <v>1</v>
      </c>
    </row>
    <row r="396" ht="45" spans="1:10">
      <c r="A396" s="1" t="str">
        <f t="shared" si="13"/>
        <v>3:1100002</v>
      </c>
      <c r="B396" s="1">
        <v>3</v>
      </c>
      <c r="C396" s="1">
        <v>1100002</v>
      </c>
      <c r="D396" s="3" t="s">
        <v>2393</v>
      </c>
      <c r="E396" s="3" t="s">
        <v>2905</v>
      </c>
      <c r="F396" s="3" t="s">
        <v>2906</v>
      </c>
      <c r="G396" s="3" t="s">
        <v>2930</v>
      </c>
      <c r="J396" s="1">
        <v>1</v>
      </c>
    </row>
    <row r="397" ht="45" spans="1:10">
      <c r="A397" s="1" t="str">
        <f t="shared" si="13"/>
        <v>3:1100003</v>
      </c>
      <c r="B397" s="1">
        <v>3</v>
      </c>
      <c r="C397" s="1">
        <v>1100003</v>
      </c>
      <c r="D397" s="3" t="s">
        <v>2394</v>
      </c>
      <c r="E397" s="3" t="s">
        <v>2905</v>
      </c>
      <c r="F397" s="3" t="s">
        <v>2906</v>
      </c>
      <c r="G397" s="3" t="s">
        <v>2931</v>
      </c>
      <c r="J397" s="1">
        <v>1</v>
      </c>
    </row>
    <row r="398" ht="45" spans="1:10">
      <c r="A398" s="1" t="str">
        <f t="shared" si="13"/>
        <v>3:1300001</v>
      </c>
      <c r="B398" s="1">
        <v>3</v>
      </c>
      <c r="C398" s="1">
        <v>1300001</v>
      </c>
      <c r="D398" s="3" t="s">
        <v>2395</v>
      </c>
      <c r="E398" s="3" t="s">
        <v>2905</v>
      </c>
      <c r="F398" s="3" t="s">
        <v>2906</v>
      </c>
      <c r="G398" s="3" t="s">
        <v>2932</v>
      </c>
      <c r="J398" s="1">
        <v>1</v>
      </c>
    </row>
    <row r="399" ht="45" spans="1:10">
      <c r="A399" s="1" t="str">
        <f t="shared" si="13"/>
        <v>3:1300002</v>
      </c>
      <c r="B399" s="1">
        <v>3</v>
      </c>
      <c r="C399" s="1">
        <v>1300002</v>
      </c>
      <c r="D399" s="3" t="s">
        <v>2396</v>
      </c>
      <c r="E399" s="3" t="s">
        <v>2905</v>
      </c>
      <c r="F399" s="3" t="s">
        <v>2906</v>
      </c>
      <c r="G399" s="3" t="s">
        <v>2933</v>
      </c>
      <c r="J399" s="1">
        <v>1</v>
      </c>
    </row>
    <row r="400" ht="45" spans="1:10">
      <c r="A400" s="1" t="str">
        <f t="shared" si="13"/>
        <v>3:1300003</v>
      </c>
      <c r="B400" s="1">
        <v>3</v>
      </c>
      <c r="C400" s="1">
        <v>1300003</v>
      </c>
      <c r="D400" s="3" t="s">
        <v>2397</v>
      </c>
      <c r="E400" s="3" t="s">
        <v>2905</v>
      </c>
      <c r="F400" s="3" t="s">
        <v>2906</v>
      </c>
      <c r="G400" s="3" t="s">
        <v>2934</v>
      </c>
      <c r="J400" s="1">
        <v>1</v>
      </c>
    </row>
    <row r="401" ht="30" spans="1:10">
      <c r="A401" s="1" t="str">
        <f t="shared" si="13"/>
        <v>3:700001</v>
      </c>
      <c r="B401" s="1">
        <v>3</v>
      </c>
      <c r="C401" s="1">
        <v>700001</v>
      </c>
      <c r="D401" s="3" t="s">
        <v>2398</v>
      </c>
      <c r="E401" s="3" t="s">
        <v>2935</v>
      </c>
      <c r="F401" s="3" t="s">
        <v>2936</v>
      </c>
      <c r="G401" s="3" t="s">
        <v>2937</v>
      </c>
      <c r="J401" s="1">
        <v>1</v>
      </c>
    </row>
    <row r="402" ht="30" spans="1:10">
      <c r="A402" s="1" t="str">
        <f t="shared" si="13"/>
        <v>3:700002</v>
      </c>
      <c r="B402" s="1">
        <v>3</v>
      </c>
      <c r="C402" s="1">
        <v>700002</v>
      </c>
      <c r="D402" s="3" t="s">
        <v>2398</v>
      </c>
      <c r="E402" s="3" t="s">
        <v>2935</v>
      </c>
      <c r="F402" s="3" t="s">
        <v>2936</v>
      </c>
      <c r="G402" s="3" t="s">
        <v>2938</v>
      </c>
      <c r="J402" s="1">
        <v>1</v>
      </c>
    </row>
    <row r="403" ht="30" spans="1:10">
      <c r="A403" s="1" t="str">
        <f t="shared" si="13"/>
        <v>3:700003</v>
      </c>
      <c r="B403" s="1">
        <v>3</v>
      </c>
      <c r="C403" s="1">
        <v>700003</v>
      </c>
      <c r="D403" s="3" t="s">
        <v>2399</v>
      </c>
      <c r="E403" s="3" t="s">
        <v>2935</v>
      </c>
      <c r="F403" s="3" t="s">
        <v>2936</v>
      </c>
      <c r="G403" s="3" t="s">
        <v>2939</v>
      </c>
      <c r="J403" s="1">
        <v>1</v>
      </c>
    </row>
    <row r="404" ht="30" spans="1:10">
      <c r="A404" s="1" t="str">
        <f t="shared" si="13"/>
        <v>3:700004</v>
      </c>
      <c r="B404" s="1">
        <v>3</v>
      </c>
      <c r="C404" s="1">
        <v>700004</v>
      </c>
      <c r="D404" s="3" t="s">
        <v>2399</v>
      </c>
      <c r="E404" s="3" t="s">
        <v>2935</v>
      </c>
      <c r="F404" s="3" t="s">
        <v>2936</v>
      </c>
      <c r="G404" s="3" t="s">
        <v>2940</v>
      </c>
      <c r="J404" s="1">
        <v>1</v>
      </c>
    </row>
    <row r="405" ht="30" spans="1:10">
      <c r="A405" s="1" t="str">
        <f t="shared" si="13"/>
        <v>3:700005</v>
      </c>
      <c r="B405" s="1">
        <v>3</v>
      </c>
      <c r="C405" s="1">
        <v>700005</v>
      </c>
      <c r="D405" s="3" t="s">
        <v>2400</v>
      </c>
      <c r="E405" s="3" t="s">
        <v>2935</v>
      </c>
      <c r="F405" s="3" t="s">
        <v>2936</v>
      </c>
      <c r="G405" s="3" t="s">
        <v>2941</v>
      </c>
      <c r="J405" s="1">
        <v>1</v>
      </c>
    </row>
    <row r="406" ht="30" spans="1:10">
      <c r="A406" s="1" t="str">
        <f t="shared" si="13"/>
        <v>3:700006</v>
      </c>
      <c r="B406" s="1">
        <v>3</v>
      </c>
      <c r="C406" s="1">
        <v>700006</v>
      </c>
      <c r="D406" s="3" t="s">
        <v>2401</v>
      </c>
      <c r="E406" s="3" t="s">
        <v>2935</v>
      </c>
      <c r="F406" s="3" t="s">
        <v>2936</v>
      </c>
      <c r="G406" s="3" t="s">
        <v>2942</v>
      </c>
      <c r="J406" s="1">
        <v>1</v>
      </c>
    </row>
    <row r="407" ht="30" spans="1:10">
      <c r="A407" s="1" t="str">
        <f t="shared" si="13"/>
        <v>3:700007</v>
      </c>
      <c r="B407" s="1">
        <v>3</v>
      </c>
      <c r="C407" s="1">
        <v>700007</v>
      </c>
      <c r="D407" s="3" t="s">
        <v>2402</v>
      </c>
      <c r="E407" s="3" t="s">
        <v>2935</v>
      </c>
      <c r="F407" s="3" t="s">
        <v>2936</v>
      </c>
      <c r="G407" s="3" t="s">
        <v>2943</v>
      </c>
      <c r="J407" s="1">
        <v>1</v>
      </c>
    </row>
    <row r="408" ht="30" spans="1:10">
      <c r="A408" s="1" t="str">
        <f t="shared" si="13"/>
        <v>3:700008</v>
      </c>
      <c r="B408" s="1">
        <v>3</v>
      </c>
      <c r="C408" s="1">
        <v>700008</v>
      </c>
      <c r="D408" s="3" t="s">
        <v>2403</v>
      </c>
      <c r="E408" s="3" t="s">
        <v>2935</v>
      </c>
      <c r="F408" s="3" t="s">
        <v>2936</v>
      </c>
      <c r="G408" s="3" t="s">
        <v>2944</v>
      </c>
      <c r="J408" s="1">
        <v>1</v>
      </c>
    </row>
    <row r="409" ht="30" spans="1:10">
      <c r="A409" s="1" t="str">
        <f t="shared" si="13"/>
        <v>3:700009</v>
      </c>
      <c r="B409" s="1">
        <v>3</v>
      </c>
      <c r="C409" s="1">
        <v>700009</v>
      </c>
      <c r="D409" s="3" t="s">
        <v>2404</v>
      </c>
      <c r="E409" s="3" t="s">
        <v>2935</v>
      </c>
      <c r="F409" s="3" t="s">
        <v>2936</v>
      </c>
      <c r="G409" s="3" t="s">
        <v>2945</v>
      </c>
      <c r="J409" s="1">
        <v>1</v>
      </c>
    </row>
    <row r="410" ht="30" spans="1:10">
      <c r="A410" s="1" t="str">
        <f t="shared" si="13"/>
        <v>3:700010</v>
      </c>
      <c r="B410" s="1">
        <v>3</v>
      </c>
      <c r="C410" s="1">
        <v>700010</v>
      </c>
      <c r="D410" s="3" t="s">
        <v>2405</v>
      </c>
      <c r="E410" s="3" t="s">
        <v>2935</v>
      </c>
      <c r="F410" s="3" t="s">
        <v>2936</v>
      </c>
      <c r="G410" s="3" t="s">
        <v>2946</v>
      </c>
      <c r="J410" s="1">
        <v>1</v>
      </c>
    </row>
    <row r="411" ht="30" spans="1:10">
      <c r="A411" s="1" t="str">
        <f t="shared" si="13"/>
        <v>3:700011</v>
      </c>
      <c r="B411" s="1">
        <v>3</v>
      </c>
      <c r="C411" s="1">
        <v>700011</v>
      </c>
      <c r="D411" s="3" t="s">
        <v>2406</v>
      </c>
      <c r="E411" s="3" t="s">
        <v>2935</v>
      </c>
      <c r="F411" s="3" t="s">
        <v>2936</v>
      </c>
      <c r="G411" s="3" t="s">
        <v>2947</v>
      </c>
      <c r="J411" s="1">
        <v>1</v>
      </c>
    </row>
    <row r="412" ht="30" spans="1:10">
      <c r="A412" s="1" t="str">
        <f t="shared" si="13"/>
        <v>3:700012</v>
      </c>
      <c r="B412" s="1">
        <v>3</v>
      </c>
      <c r="C412" s="1">
        <v>700012</v>
      </c>
      <c r="D412" s="3" t="s">
        <v>2407</v>
      </c>
      <c r="E412" s="3" t="s">
        <v>2935</v>
      </c>
      <c r="F412" s="3" t="s">
        <v>2936</v>
      </c>
      <c r="G412" s="3" t="s">
        <v>2948</v>
      </c>
      <c r="J412" s="1">
        <v>1</v>
      </c>
    </row>
    <row r="413" ht="30" spans="1:10">
      <c r="A413" s="1" t="str">
        <f t="shared" si="13"/>
        <v>3:700013</v>
      </c>
      <c r="B413" s="1">
        <v>3</v>
      </c>
      <c r="C413" s="1">
        <v>700013</v>
      </c>
      <c r="D413" s="3" t="s">
        <v>2408</v>
      </c>
      <c r="E413" s="3" t="s">
        <v>2935</v>
      </c>
      <c r="F413" s="3" t="s">
        <v>2936</v>
      </c>
      <c r="G413" s="3" t="s">
        <v>2949</v>
      </c>
      <c r="J413" s="1">
        <v>1</v>
      </c>
    </row>
    <row r="414" ht="30" spans="1:10">
      <c r="A414" s="1" t="str">
        <f t="shared" si="13"/>
        <v>3:700014</v>
      </c>
      <c r="B414" s="1">
        <v>3</v>
      </c>
      <c r="C414" s="1">
        <v>700014</v>
      </c>
      <c r="D414" s="3" t="s">
        <v>2409</v>
      </c>
      <c r="E414" s="3" t="s">
        <v>2935</v>
      </c>
      <c r="F414" s="3" t="s">
        <v>2936</v>
      </c>
      <c r="G414" s="3" t="s">
        <v>2950</v>
      </c>
      <c r="J414" s="1">
        <v>1</v>
      </c>
    </row>
    <row r="415" ht="30" spans="1:10">
      <c r="A415" s="1" t="str">
        <f t="shared" si="13"/>
        <v>3:700015</v>
      </c>
      <c r="B415" s="1">
        <v>3</v>
      </c>
      <c r="C415" s="1">
        <v>700015</v>
      </c>
      <c r="D415" s="3" t="s">
        <v>1623</v>
      </c>
      <c r="E415" s="3" t="s">
        <v>2935</v>
      </c>
      <c r="F415" s="3" t="s">
        <v>2936</v>
      </c>
      <c r="G415" s="3" t="s">
        <v>2951</v>
      </c>
      <c r="J415" s="1">
        <v>1</v>
      </c>
    </row>
    <row r="416" ht="30" spans="1:10">
      <c r="A416" s="1" t="str">
        <f t="shared" si="13"/>
        <v>3:700016</v>
      </c>
      <c r="B416" s="1">
        <v>3</v>
      </c>
      <c r="C416" s="1">
        <v>700016</v>
      </c>
      <c r="D416" s="3" t="s">
        <v>2410</v>
      </c>
      <c r="E416" s="3" t="s">
        <v>2935</v>
      </c>
      <c r="F416" s="3" t="s">
        <v>2936</v>
      </c>
      <c r="G416" s="3" t="s">
        <v>2952</v>
      </c>
      <c r="J416" s="1">
        <v>1</v>
      </c>
    </row>
    <row r="417" ht="30" spans="1:10">
      <c r="A417" s="1" t="str">
        <f t="shared" si="13"/>
        <v>3:700017</v>
      </c>
      <c r="B417" s="1">
        <v>3</v>
      </c>
      <c r="C417" s="1">
        <v>700017</v>
      </c>
      <c r="D417" s="3" t="s">
        <v>2411</v>
      </c>
      <c r="E417" s="3" t="s">
        <v>2935</v>
      </c>
      <c r="F417" s="3" t="s">
        <v>2936</v>
      </c>
      <c r="G417" s="3" t="s">
        <v>2953</v>
      </c>
      <c r="J417" s="1">
        <v>1</v>
      </c>
    </row>
    <row r="418" ht="45" spans="1:10">
      <c r="A418" s="1" t="str">
        <f t="shared" si="13"/>
        <v>3:720001</v>
      </c>
      <c r="B418" s="1">
        <v>3</v>
      </c>
      <c r="C418" s="1">
        <v>720001</v>
      </c>
      <c r="D418" s="3" t="s">
        <v>2412</v>
      </c>
      <c r="E418" s="3" t="s">
        <v>2935</v>
      </c>
      <c r="F418" s="3" t="s">
        <v>2936</v>
      </c>
      <c r="G418" s="3" t="s">
        <v>2954</v>
      </c>
      <c r="J418" s="1">
        <v>1</v>
      </c>
    </row>
    <row r="419" ht="45" spans="1:10">
      <c r="A419" s="1" t="str">
        <f t="shared" ref="A419:A474" si="14">B419&amp;":"&amp;C419</f>
        <v>3:720002</v>
      </c>
      <c r="B419" s="1">
        <v>3</v>
      </c>
      <c r="C419" s="1">
        <v>720002</v>
      </c>
      <c r="D419" s="3" t="s">
        <v>2413</v>
      </c>
      <c r="E419" s="3" t="s">
        <v>2935</v>
      </c>
      <c r="F419" s="3" t="s">
        <v>2936</v>
      </c>
      <c r="G419" s="3" t="s">
        <v>2955</v>
      </c>
      <c r="J419" s="1">
        <v>1</v>
      </c>
    </row>
    <row r="420" ht="45" spans="1:10">
      <c r="A420" s="1" t="str">
        <f t="shared" si="14"/>
        <v>3:720003</v>
      </c>
      <c r="B420" s="1">
        <v>3</v>
      </c>
      <c r="C420" s="1">
        <v>720003</v>
      </c>
      <c r="D420" s="3" t="s">
        <v>2414</v>
      </c>
      <c r="E420" s="3" t="s">
        <v>2935</v>
      </c>
      <c r="F420" s="3" t="s">
        <v>2936</v>
      </c>
      <c r="G420" s="3" t="s">
        <v>2956</v>
      </c>
      <c r="J420" s="1">
        <v>1</v>
      </c>
    </row>
    <row r="421" ht="30" spans="1:10">
      <c r="A421" s="1" t="str">
        <f t="shared" si="14"/>
        <v>3:720004</v>
      </c>
      <c r="B421" s="1">
        <v>3</v>
      </c>
      <c r="C421" s="1">
        <v>720004</v>
      </c>
      <c r="D421" s="3" t="s">
        <v>2415</v>
      </c>
      <c r="E421" s="3" t="s">
        <v>2935</v>
      </c>
      <c r="F421" s="3" t="s">
        <v>2936</v>
      </c>
      <c r="G421" s="3" t="s">
        <v>2957</v>
      </c>
      <c r="J421" s="1">
        <v>1</v>
      </c>
    </row>
    <row r="422" ht="30" spans="1:10">
      <c r="A422" s="1" t="str">
        <f t="shared" si="14"/>
        <v>3:720005</v>
      </c>
      <c r="B422" s="1">
        <v>3</v>
      </c>
      <c r="C422" s="1">
        <v>720005</v>
      </c>
      <c r="D422" s="3" t="s">
        <v>2416</v>
      </c>
      <c r="E422" s="3" t="s">
        <v>2935</v>
      </c>
      <c r="F422" s="3" t="s">
        <v>2936</v>
      </c>
      <c r="G422" s="3" t="s">
        <v>2958</v>
      </c>
      <c r="J422" s="1">
        <v>1</v>
      </c>
    </row>
    <row r="423" ht="45" spans="1:10">
      <c r="A423" s="1" t="str">
        <f t="shared" si="14"/>
        <v>3:720006</v>
      </c>
      <c r="B423" s="1">
        <v>3</v>
      </c>
      <c r="C423" s="1">
        <v>720006</v>
      </c>
      <c r="D423" s="3" t="s">
        <v>2417</v>
      </c>
      <c r="E423" s="3" t="s">
        <v>2935</v>
      </c>
      <c r="F423" s="3" t="s">
        <v>2936</v>
      </c>
      <c r="G423" s="3" t="s">
        <v>2959</v>
      </c>
      <c r="J423" s="1">
        <v>1</v>
      </c>
    </row>
    <row r="424" ht="30" spans="1:10">
      <c r="A424" s="1" t="str">
        <f t="shared" si="14"/>
        <v>3:720007</v>
      </c>
      <c r="B424" s="1">
        <v>3</v>
      </c>
      <c r="C424" s="1">
        <v>720007</v>
      </c>
      <c r="D424" s="3" t="s">
        <v>2418</v>
      </c>
      <c r="E424" s="3" t="s">
        <v>2935</v>
      </c>
      <c r="F424" s="3" t="s">
        <v>2936</v>
      </c>
      <c r="G424" s="3" t="s">
        <v>2960</v>
      </c>
      <c r="J424" s="1">
        <v>1</v>
      </c>
    </row>
    <row r="425" ht="45" spans="1:10">
      <c r="A425" s="1" t="str">
        <f t="shared" si="14"/>
        <v>3:720008</v>
      </c>
      <c r="B425" s="1">
        <v>3</v>
      </c>
      <c r="C425" s="1">
        <v>720008</v>
      </c>
      <c r="D425" s="3" t="s">
        <v>2419</v>
      </c>
      <c r="E425" s="3" t="s">
        <v>2935</v>
      </c>
      <c r="F425" s="3" t="s">
        <v>2936</v>
      </c>
      <c r="G425" s="3" t="s">
        <v>2961</v>
      </c>
      <c r="J425" s="1">
        <v>1</v>
      </c>
    </row>
    <row r="426" ht="30" spans="1:10">
      <c r="A426" s="1" t="str">
        <f t="shared" si="14"/>
        <v>3:720009</v>
      </c>
      <c r="B426" s="1">
        <v>3</v>
      </c>
      <c r="C426" s="1">
        <v>720009</v>
      </c>
      <c r="D426" s="3" t="s">
        <v>2420</v>
      </c>
      <c r="E426" s="3" t="s">
        <v>2935</v>
      </c>
      <c r="F426" s="3" t="s">
        <v>2936</v>
      </c>
      <c r="G426" s="3" t="s">
        <v>2962</v>
      </c>
      <c r="J426" s="1">
        <v>1</v>
      </c>
    </row>
    <row r="427" ht="45" spans="1:10">
      <c r="A427" s="1" t="str">
        <f t="shared" si="14"/>
        <v>3:720010</v>
      </c>
      <c r="B427" s="1">
        <v>3</v>
      </c>
      <c r="C427" s="1">
        <v>720010</v>
      </c>
      <c r="D427" s="3" t="s">
        <v>2421</v>
      </c>
      <c r="E427" s="3" t="s">
        <v>2935</v>
      </c>
      <c r="F427" s="3" t="s">
        <v>2936</v>
      </c>
      <c r="G427" s="3" t="s">
        <v>2963</v>
      </c>
      <c r="J427" s="1">
        <v>1</v>
      </c>
    </row>
    <row r="428" ht="30" spans="1:10">
      <c r="A428" s="1" t="str">
        <f t="shared" si="14"/>
        <v>3:720011</v>
      </c>
      <c r="B428" s="1">
        <v>3</v>
      </c>
      <c r="C428" s="1">
        <v>720011</v>
      </c>
      <c r="D428" s="3" t="s">
        <v>2422</v>
      </c>
      <c r="E428" s="3" t="s">
        <v>2935</v>
      </c>
      <c r="F428" s="3" t="s">
        <v>2936</v>
      </c>
      <c r="G428" s="3" t="s">
        <v>2964</v>
      </c>
      <c r="J428" s="1">
        <v>1</v>
      </c>
    </row>
    <row r="429" ht="45" spans="1:10">
      <c r="A429" s="1" t="str">
        <f t="shared" si="14"/>
        <v>3:720012</v>
      </c>
      <c r="B429" s="1">
        <v>3</v>
      </c>
      <c r="C429" s="1">
        <v>720012</v>
      </c>
      <c r="D429" s="3" t="s">
        <v>2423</v>
      </c>
      <c r="E429" s="3" t="s">
        <v>2935</v>
      </c>
      <c r="F429" s="3" t="s">
        <v>2936</v>
      </c>
      <c r="G429" s="3" t="s">
        <v>2965</v>
      </c>
      <c r="J429" s="1">
        <v>1</v>
      </c>
    </row>
    <row r="430" ht="30" spans="1:10">
      <c r="A430" s="1" t="str">
        <f t="shared" si="14"/>
        <v>3:720013</v>
      </c>
      <c r="B430" s="1">
        <v>3</v>
      </c>
      <c r="C430" s="1">
        <v>720013</v>
      </c>
      <c r="D430" s="3" t="s">
        <v>1653</v>
      </c>
      <c r="E430" s="3" t="s">
        <v>2935</v>
      </c>
      <c r="F430" s="3" t="s">
        <v>2936</v>
      </c>
      <c r="G430" s="3" t="s">
        <v>2951</v>
      </c>
      <c r="J430" s="1">
        <v>1</v>
      </c>
    </row>
    <row r="431" ht="45" spans="1:10">
      <c r="A431" s="1" t="str">
        <f t="shared" si="14"/>
        <v>3:710005</v>
      </c>
      <c r="B431" s="1">
        <v>3</v>
      </c>
      <c r="C431" s="1">
        <v>710005</v>
      </c>
      <c r="D431" s="3" t="s">
        <v>2424</v>
      </c>
      <c r="E431" s="3" t="s">
        <v>2966</v>
      </c>
      <c r="F431" s="3" t="s">
        <v>2076</v>
      </c>
      <c r="G431" s="3" t="s">
        <v>2967</v>
      </c>
      <c r="J431" s="1">
        <v>1</v>
      </c>
    </row>
    <row r="432" ht="45" spans="1:10">
      <c r="A432" s="1" t="str">
        <f t="shared" si="14"/>
        <v>3:710006</v>
      </c>
      <c r="B432" s="1">
        <v>3</v>
      </c>
      <c r="C432" s="1">
        <v>710006</v>
      </c>
      <c r="D432" s="3" t="s">
        <v>2425</v>
      </c>
      <c r="E432" s="3" t="s">
        <v>2966</v>
      </c>
      <c r="F432" s="3" t="s">
        <v>2076</v>
      </c>
      <c r="G432" s="3" t="s">
        <v>2968</v>
      </c>
      <c r="J432" s="1">
        <v>1</v>
      </c>
    </row>
    <row r="433" ht="45" spans="1:10">
      <c r="A433" s="1" t="str">
        <f t="shared" si="14"/>
        <v>3:710007</v>
      </c>
      <c r="B433" s="1">
        <v>3</v>
      </c>
      <c r="C433" s="1">
        <v>710007</v>
      </c>
      <c r="D433" s="3" t="s">
        <v>2426</v>
      </c>
      <c r="E433" s="3" t="s">
        <v>2966</v>
      </c>
      <c r="F433" s="3" t="s">
        <v>2076</v>
      </c>
      <c r="G433" s="3" t="s">
        <v>2969</v>
      </c>
      <c r="J433" s="1">
        <v>1</v>
      </c>
    </row>
    <row r="434" ht="15" spans="4:7">
      <c r="D434" s="3"/>
      <c r="E434" s="3"/>
      <c r="F434" s="3"/>
      <c r="G434" s="3"/>
    </row>
    <row r="435" ht="30" spans="1:10">
      <c r="A435" s="1" t="str">
        <f t="shared" si="14"/>
        <v>3:100052</v>
      </c>
      <c r="B435" s="1">
        <v>3</v>
      </c>
      <c r="C435" s="1">
        <v>100052</v>
      </c>
      <c r="D435" s="3" t="s">
        <v>2427</v>
      </c>
      <c r="E435" s="3" t="s">
        <v>2970</v>
      </c>
      <c r="F435" s="3" t="s">
        <v>2490</v>
      </c>
      <c r="G435" s="3" t="s">
        <v>2971</v>
      </c>
      <c r="J435" s="1">
        <f>1/2000</f>
        <v>0.0005</v>
      </c>
    </row>
    <row r="436" ht="30" spans="1:10">
      <c r="A436" s="1" t="str">
        <f t="shared" si="14"/>
        <v>3:100060</v>
      </c>
      <c r="B436" s="1">
        <v>3</v>
      </c>
      <c r="C436" s="1">
        <v>100060</v>
      </c>
      <c r="D436" s="3" t="s">
        <v>2428</v>
      </c>
      <c r="E436" s="3" t="s">
        <v>2972</v>
      </c>
      <c r="F436" s="3" t="s">
        <v>2490</v>
      </c>
      <c r="G436" s="3" t="s">
        <v>2973</v>
      </c>
      <c r="J436" s="1">
        <f t="shared" ref="J436:J474" si="15">1/2000</f>
        <v>0.0005</v>
      </c>
    </row>
    <row r="437" ht="30" spans="1:10">
      <c r="A437" s="1" t="str">
        <f t="shared" si="14"/>
        <v>3:100066</v>
      </c>
      <c r="B437" s="1">
        <v>3</v>
      </c>
      <c r="C437" s="1">
        <v>100066</v>
      </c>
      <c r="D437" s="3" t="s">
        <v>2429</v>
      </c>
      <c r="E437" s="3" t="s">
        <v>2970</v>
      </c>
      <c r="F437" s="3" t="s">
        <v>2490</v>
      </c>
      <c r="G437" s="3" t="s">
        <v>2974</v>
      </c>
      <c r="J437" s="1">
        <f t="shared" si="15"/>
        <v>0.0005</v>
      </c>
    </row>
    <row r="438" ht="30" spans="1:10">
      <c r="A438" s="1" t="str">
        <f t="shared" si="14"/>
        <v>3:100067</v>
      </c>
      <c r="B438" s="1">
        <v>3</v>
      </c>
      <c r="C438" s="1">
        <v>100067</v>
      </c>
      <c r="D438" s="3" t="s">
        <v>2430</v>
      </c>
      <c r="E438" s="3" t="s">
        <v>2970</v>
      </c>
      <c r="F438" s="3" t="s">
        <v>2490</v>
      </c>
      <c r="G438" s="3" t="s">
        <v>2974</v>
      </c>
      <c r="J438" s="1">
        <f t="shared" si="15"/>
        <v>0.0005</v>
      </c>
    </row>
    <row r="439" ht="30" spans="1:10">
      <c r="A439" s="1" t="str">
        <f t="shared" si="14"/>
        <v>3:100068</v>
      </c>
      <c r="B439" s="1">
        <v>3</v>
      </c>
      <c r="C439" s="1">
        <v>100068</v>
      </c>
      <c r="D439" s="3" t="s">
        <v>2431</v>
      </c>
      <c r="E439" s="3" t="s">
        <v>2970</v>
      </c>
      <c r="F439" s="3" t="s">
        <v>2490</v>
      </c>
      <c r="G439" s="3" t="s">
        <v>2974</v>
      </c>
      <c r="J439" s="1">
        <f t="shared" si="15"/>
        <v>0.0005</v>
      </c>
    </row>
    <row r="440" ht="30" spans="1:10">
      <c r="A440" s="1" t="str">
        <f t="shared" si="14"/>
        <v>3:100069</v>
      </c>
      <c r="B440" s="1">
        <v>3</v>
      </c>
      <c r="C440" s="1">
        <v>100069</v>
      </c>
      <c r="D440" s="3" t="s">
        <v>2432</v>
      </c>
      <c r="E440" s="3" t="s">
        <v>2970</v>
      </c>
      <c r="F440" s="3" t="s">
        <v>2490</v>
      </c>
      <c r="G440" s="3" t="s">
        <v>2974</v>
      </c>
      <c r="J440" s="1">
        <f t="shared" si="15"/>
        <v>0.0005</v>
      </c>
    </row>
    <row r="441" ht="30" spans="1:10">
      <c r="A441" s="1" t="str">
        <f t="shared" si="14"/>
        <v>3:100070</v>
      </c>
      <c r="B441" s="1">
        <v>3</v>
      </c>
      <c r="C441" s="1">
        <v>100070</v>
      </c>
      <c r="D441" s="3" t="s">
        <v>2433</v>
      </c>
      <c r="E441" s="3" t="s">
        <v>2970</v>
      </c>
      <c r="F441" s="3" t="s">
        <v>2490</v>
      </c>
      <c r="G441" s="3" t="s">
        <v>2974</v>
      </c>
      <c r="J441" s="1">
        <f t="shared" si="15"/>
        <v>0.0005</v>
      </c>
    </row>
    <row r="442" ht="30" spans="1:10">
      <c r="A442" s="1" t="str">
        <f t="shared" si="14"/>
        <v>3:100071</v>
      </c>
      <c r="B442" s="1">
        <v>3</v>
      </c>
      <c r="C442" s="1">
        <v>100071</v>
      </c>
      <c r="D442" s="3" t="s">
        <v>2434</v>
      </c>
      <c r="E442" s="3" t="s">
        <v>2975</v>
      </c>
      <c r="F442" s="3" t="s">
        <v>2490</v>
      </c>
      <c r="G442" s="3" t="s">
        <v>2976</v>
      </c>
      <c r="J442" s="1">
        <f t="shared" si="15"/>
        <v>0.0005</v>
      </c>
    </row>
    <row r="443" ht="30" spans="1:10">
      <c r="A443" s="1" t="str">
        <f t="shared" si="14"/>
        <v>3:100076</v>
      </c>
      <c r="B443" s="1">
        <v>3</v>
      </c>
      <c r="C443" s="1">
        <v>100076</v>
      </c>
      <c r="D443" s="3" t="s">
        <v>2435</v>
      </c>
      <c r="E443" s="3" t="s">
        <v>2977</v>
      </c>
      <c r="F443" s="3" t="s">
        <v>2490</v>
      </c>
      <c r="G443" s="3" t="s">
        <v>2978</v>
      </c>
      <c r="J443" s="1">
        <f t="shared" si="15"/>
        <v>0.0005</v>
      </c>
    </row>
    <row r="444" ht="30" spans="1:10">
      <c r="A444" s="1" t="str">
        <f t="shared" si="14"/>
        <v>3:100078</v>
      </c>
      <c r="B444" s="1">
        <v>3</v>
      </c>
      <c r="C444" s="1">
        <v>100078</v>
      </c>
      <c r="D444" s="3" t="s">
        <v>2436</v>
      </c>
      <c r="E444" s="3" t="s">
        <v>2977</v>
      </c>
      <c r="F444" s="3" t="s">
        <v>2490</v>
      </c>
      <c r="G444" s="3" t="s">
        <v>2979</v>
      </c>
      <c r="J444" s="1">
        <f t="shared" si="15"/>
        <v>0.0005</v>
      </c>
    </row>
    <row r="445" ht="30" spans="1:10">
      <c r="A445" s="1" t="str">
        <f t="shared" si="14"/>
        <v>3:100079</v>
      </c>
      <c r="B445" s="1">
        <v>3</v>
      </c>
      <c r="C445" s="1">
        <v>100079</v>
      </c>
      <c r="D445" s="3" t="s">
        <v>2437</v>
      </c>
      <c r="E445" s="3" t="s">
        <v>2977</v>
      </c>
      <c r="F445" s="3" t="s">
        <v>2490</v>
      </c>
      <c r="G445" s="3" t="s">
        <v>2979</v>
      </c>
      <c r="J445" s="1">
        <f t="shared" si="15"/>
        <v>0.0005</v>
      </c>
    </row>
    <row r="446" ht="30" spans="1:10">
      <c r="A446" s="1" t="str">
        <f t="shared" si="14"/>
        <v>3:100080</v>
      </c>
      <c r="B446" s="1">
        <v>3</v>
      </c>
      <c r="C446" s="1">
        <v>100080</v>
      </c>
      <c r="D446" s="3" t="s">
        <v>2438</v>
      </c>
      <c r="E446" s="3" t="s">
        <v>2977</v>
      </c>
      <c r="F446" s="3" t="s">
        <v>2490</v>
      </c>
      <c r="G446" s="3" t="s">
        <v>2979</v>
      </c>
      <c r="J446" s="1">
        <f t="shared" si="15"/>
        <v>0.0005</v>
      </c>
    </row>
    <row r="447" ht="30" spans="1:10">
      <c r="A447" s="1" t="str">
        <f t="shared" si="14"/>
        <v>3:100081</v>
      </c>
      <c r="B447" s="1">
        <v>3</v>
      </c>
      <c r="C447" s="1">
        <v>100081</v>
      </c>
      <c r="D447" s="3" t="s">
        <v>2439</v>
      </c>
      <c r="E447" s="3" t="s">
        <v>2977</v>
      </c>
      <c r="F447" s="3" t="s">
        <v>2490</v>
      </c>
      <c r="G447" s="3" t="s">
        <v>2979</v>
      </c>
      <c r="J447" s="1">
        <f t="shared" si="15"/>
        <v>0.0005</v>
      </c>
    </row>
    <row r="448" ht="30" spans="1:10">
      <c r="A448" s="1" t="str">
        <f t="shared" si="14"/>
        <v>3:100082</v>
      </c>
      <c r="B448" s="1">
        <v>3</v>
      </c>
      <c r="C448" s="1">
        <v>100082</v>
      </c>
      <c r="D448" s="3" t="s">
        <v>2440</v>
      </c>
      <c r="E448" s="3" t="s">
        <v>2561</v>
      </c>
      <c r="F448" s="3" t="s">
        <v>2490</v>
      </c>
      <c r="G448" s="3" t="s">
        <v>2980</v>
      </c>
      <c r="J448" s="1">
        <f t="shared" si="15"/>
        <v>0.0005</v>
      </c>
    </row>
    <row r="449" ht="30" spans="1:10">
      <c r="A449" s="1" t="str">
        <f t="shared" si="14"/>
        <v>3:100083</v>
      </c>
      <c r="B449" s="1">
        <v>3</v>
      </c>
      <c r="C449" s="1">
        <v>100083</v>
      </c>
      <c r="D449" s="3" t="s">
        <v>2441</v>
      </c>
      <c r="E449" s="3" t="s">
        <v>2981</v>
      </c>
      <c r="F449" s="3" t="s">
        <v>2490</v>
      </c>
      <c r="G449" s="3" t="s">
        <v>2982</v>
      </c>
      <c r="J449" s="1">
        <f t="shared" si="15"/>
        <v>0.0005</v>
      </c>
    </row>
    <row r="450" ht="30" spans="1:10">
      <c r="A450" s="1" t="str">
        <f t="shared" si="14"/>
        <v>3:100085</v>
      </c>
      <c r="B450" s="1">
        <v>3</v>
      </c>
      <c r="C450" s="1">
        <v>100085</v>
      </c>
      <c r="D450" s="3" t="s">
        <v>2442</v>
      </c>
      <c r="E450" s="3" t="s">
        <v>2981</v>
      </c>
      <c r="F450" s="3" t="s">
        <v>2490</v>
      </c>
      <c r="G450" s="3" t="s">
        <v>2983</v>
      </c>
      <c r="J450" s="1">
        <f t="shared" si="15"/>
        <v>0.0005</v>
      </c>
    </row>
    <row r="451" ht="15" spans="1:10">
      <c r="A451" s="1" t="str">
        <f t="shared" si="14"/>
        <v>3:100086</v>
      </c>
      <c r="B451" s="1">
        <v>3</v>
      </c>
      <c r="C451" s="1">
        <v>100086</v>
      </c>
      <c r="D451" s="3" t="s">
        <v>2443</v>
      </c>
      <c r="E451" s="3" t="s">
        <v>2984</v>
      </c>
      <c r="F451" s="3" t="s">
        <v>2490</v>
      </c>
      <c r="G451" s="3" t="s">
        <v>2985</v>
      </c>
      <c r="J451" s="1">
        <f t="shared" si="15"/>
        <v>0.0005</v>
      </c>
    </row>
    <row r="452" ht="30" spans="1:10">
      <c r="A452" s="1" t="str">
        <f t="shared" si="14"/>
        <v>3:100087</v>
      </c>
      <c r="B452" s="1">
        <v>3</v>
      </c>
      <c r="C452" s="1">
        <v>100087</v>
      </c>
      <c r="D452" s="3" t="s">
        <v>1695</v>
      </c>
      <c r="E452" s="3" t="s">
        <v>2986</v>
      </c>
      <c r="F452" s="3" t="s">
        <v>2490</v>
      </c>
      <c r="G452" s="3" t="s">
        <v>2987</v>
      </c>
      <c r="J452" s="1">
        <f t="shared" si="15"/>
        <v>0.0005</v>
      </c>
    </row>
    <row r="453" ht="30" spans="1:10">
      <c r="A453" s="1" t="str">
        <f t="shared" si="14"/>
        <v>3:100088</v>
      </c>
      <c r="B453" s="1">
        <v>3</v>
      </c>
      <c r="C453" s="1">
        <v>100088</v>
      </c>
      <c r="D453" s="3" t="s">
        <v>2444</v>
      </c>
      <c r="E453" s="3" t="s">
        <v>2981</v>
      </c>
      <c r="F453" s="3" t="s">
        <v>2490</v>
      </c>
      <c r="G453" s="3" t="s">
        <v>2988</v>
      </c>
      <c r="J453" s="1">
        <f t="shared" si="15"/>
        <v>0.0005</v>
      </c>
    </row>
    <row r="454" ht="30" spans="1:10">
      <c r="A454" s="1" t="str">
        <f t="shared" si="14"/>
        <v>3:100090</v>
      </c>
      <c r="B454" s="1">
        <v>3</v>
      </c>
      <c r="C454" s="1">
        <v>100090</v>
      </c>
      <c r="D454" s="3" t="s">
        <v>2445</v>
      </c>
      <c r="E454" s="3" t="s">
        <v>2977</v>
      </c>
      <c r="F454" s="3" t="s">
        <v>2490</v>
      </c>
      <c r="G454" s="3" t="s">
        <v>2989</v>
      </c>
      <c r="J454" s="1">
        <f t="shared" si="15"/>
        <v>0.0005</v>
      </c>
    </row>
    <row r="455" ht="30" spans="1:10">
      <c r="A455" s="1" t="str">
        <f t="shared" si="14"/>
        <v>3:100091</v>
      </c>
      <c r="B455" s="1">
        <v>3</v>
      </c>
      <c r="C455" s="1">
        <v>100091</v>
      </c>
      <c r="D455" s="3" t="s">
        <v>2446</v>
      </c>
      <c r="E455" s="3" t="s">
        <v>2977</v>
      </c>
      <c r="F455" s="3" t="s">
        <v>2490</v>
      </c>
      <c r="G455" s="3" t="s">
        <v>2989</v>
      </c>
      <c r="J455" s="1">
        <f t="shared" si="15"/>
        <v>0.0005</v>
      </c>
    </row>
    <row r="456" ht="30" spans="1:10">
      <c r="A456" s="1" t="str">
        <f t="shared" si="14"/>
        <v>3:100092</v>
      </c>
      <c r="B456" s="1">
        <v>3</v>
      </c>
      <c r="C456" s="1">
        <v>100092</v>
      </c>
      <c r="D456" s="3" t="s">
        <v>2447</v>
      </c>
      <c r="E456" s="3" t="s">
        <v>2977</v>
      </c>
      <c r="F456" s="3" t="s">
        <v>2490</v>
      </c>
      <c r="G456" s="3" t="s">
        <v>2989</v>
      </c>
      <c r="J456" s="1">
        <f t="shared" si="15"/>
        <v>0.0005</v>
      </c>
    </row>
    <row r="457" ht="30" spans="1:10">
      <c r="A457" s="1" t="str">
        <f t="shared" si="14"/>
        <v>3:100093</v>
      </c>
      <c r="B457" s="1">
        <v>3</v>
      </c>
      <c r="C457" s="1">
        <v>100093</v>
      </c>
      <c r="D457" s="3" t="s">
        <v>2448</v>
      </c>
      <c r="E457" s="3" t="s">
        <v>2977</v>
      </c>
      <c r="F457" s="3" t="s">
        <v>2490</v>
      </c>
      <c r="G457" s="3" t="s">
        <v>2990</v>
      </c>
      <c r="J457" s="1">
        <f t="shared" si="15"/>
        <v>0.0005</v>
      </c>
    </row>
    <row r="458" ht="30" spans="1:10">
      <c r="A458" s="1" t="str">
        <f t="shared" si="14"/>
        <v>3:100094</v>
      </c>
      <c r="B458" s="1">
        <v>3</v>
      </c>
      <c r="C458" s="1">
        <v>100094</v>
      </c>
      <c r="D458" s="3" t="s">
        <v>2449</v>
      </c>
      <c r="E458" s="3" t="s">
        <v>2977</v>
      </c>
      <c r="F458" s="3" t="s">
        <v>2490</v>
      </c>
      <c r="G458" s="3" t="s">
        <v>2990</v>
      </c>
      <c r="J458" s="1">
        <f t="shared" si="15"/>
        <v>0.0005</v>
      </c>
    </row>
    <row r="459" ht="30" spans="1:10">
      <c r="A459" s="1" t="str">
        <f t="shared" si="14"/>
        <v>3:100095</v>
      </c>
      <c r="B459" s="1">
        <v>3</v>
      </c>
      <c r="C459" s="1">
        <v>100095</v>
      </c>
      <c r="D459" s="3" t="s">
        <v>2450</v>
      </c>
      <c r="E459" s="3" t="s">
        <v>2977</v>
      </c>
      <c r="F459" s="3" t="s">
        <v>2490</v>
      </c>
      <c r="G459" s="3" t="s">
        <v>2990</v>
      </c>
      <c r="J459" s="1">
        <f t="shared" si="15"/>
        <v>0.0005</v>
      </c>
    </row>
    <row r="460" ht="30" spans="1:10">
      <c r="A460" s="1" t="str">
        <f t="shared" si="14"/>
        <v>3:100097</v>
      </c>
      <c r="B460" s="1">
        <v>3</v>
      </c>
      <c r="C460" s="1">
        <v>100097</v>
      </c>
      <c r="D460" s="3" t="s">
        <v>2451</v>
      </c>
      <c r="E460" s="3" t="s">
        <v>2561</v>
      </c>
      <c r="F460" s="3" t="s">
        <v>2490</v>
      </c>
      <c r="G460" s="3" t="s">
        <v>2991</v>
      </c>
      <c r="J460" s="1">
        <f t="shared" si="15"/>
        <v>0.0005</v>
      </c>
    </row>
    <row r="461" ht="30" spans="1:10">
      <c r="A461" s="1" t="str">
        <f t="shared" si="14"/>
        <v>3:100099</v>
      </c>
      <c r="B461" s="1">
        <v>3</v>
      </c>
      <c r="C461" s="1">
        <v>100099</v>
      </c>
      <c r="D461" s="3" t="s">
        <v>2452</v>
      </c>
      <c r="E461" s="3" t="s">
        <v>2977</v>
      </c>
      <c r="F461" s="3" t="s">
        <v>2490</v>
      </c>
      <c r="G461" s="3" t="s">
        <v>2992</v>
      </c>
      <c r="J461" s="1">
        <f t="shared" si="15"/>
        <v>0.0005</v>
      </c>
    </row>
    <row r="462" ht="30" spans="1:10">
      <c r="A462" s="1" t="str">
        <f t="shared" si="14"/>
        <v>3:100201</v>
      </c>
      <c r="B462" s="1">
        <v>3</v>
      </c>
      <c r="C462" s="1">
        <v>100201</v>
      </c>
      <c r="D462" s="3" t="s">
        <v>2453</v>
      </c>
      <c r="E462" s="3" t="s">
        <v>2970</v>
      </c>
      <c r="F462" s="3" t="s">
        <v>2490</v>
      </c>
      <c r="G462" s="3" t="s">
        <v>2993</v>
      </c>
      <c r="J462" s="1">
        <f t="shared" si="15"/>
        <v>0.0005</v>
      </c>
    </row>
    <row r="463" ht="30" spans="1:10">
      <c r="A463" s="1" t="str">
        <f t="shared" si="14"/>
        <v>3:100202</v>
      </c>
      <c r="B463" s="1">
        <v>3</v>
      </c>
      <c r="C463" s="1">
        <v>100202</v>
      </c>
      <c r="D463" s="3" t="s">
        <v>2454</v>
      </c>
      <c r="E463" s="3" t="s">
        <v>2970</v>
      </c>
      <c r="F463" s="3" t="s">
        <v>2490</v>
      </c>
      <c r="G463" s="3" t="s">
        <v>2993</v>
      </c>
      <c r="J463" s="1">
        <f t="shared" si="15"/>
        <v>0.0005</v>
      </c>
    </row>
    <row r="464" ht="30" spans="1:10">
      <c r="A464" s="1" t="str">
        <f t="shared" si="14"/>
        <v>3:100203</v>
      </c>
      <c r="B464" s="1">
        <v>3</v>
      </c>
      <c r="C464" s="1">
        <v>100203</v>
      </c>
      <c r="D464" s="3" t="s">
        <v>2455</v>
      </c>
      <c r="E464" s="3" t="s">
        <v>2970</v>
      </c>
      <c r="F464" s="3" t="s">
        <v>2490</v>
      </c>
      <c r="G464" s="3" t="s">
        <v>2993</v>
      </c>
      <c r="J464" s="1">
        <f t="shared" si="15"/>
        <v>0.0005</v>
      </c>
    </row>
    <row r="465" ht="30" spans="1:10">
      <c r="A465" s="1" t="str">
        <f t="shared" si="14"/>
        <v>3:100204</v>
      </c>
      <c r="B465" s="1">
        <v>3</v>
      </c>
      <c r="C465" s="1">
        <v>100204</v>
      </c>
      <c r="D465" s="3" t="s">
        <v>2456</v>
      </c>
      <c r="E465" s="3" t="s">
        <v>2970</v>
      </c>
      <c r="F465" s="3" t="s">
        <v>2490</v>
      </c>
      <c r="G465" s="3" t="s">
        <v>2993</v>
      </c>
      <c r="J465" s="1">
        <f t="shared" si="15"/>
        <v>0.0005</v>
      </c>
    </row>
    <row r="466" ht="30" spans="1:10">
      <c r="A466" s="1" t="str">
        <f t="shared" si="14"/>
        <v>3:100205</v>
      </c>
      <c r="B466" s="1">
        <v>3</v>
      </c>
      <c r="C466" s="1">
        <v>100205</v>
      </c>
      <c r="D466" s="3" t="s">
        <v>1723</v>
      </c>
      <c r="E466" s="3" t="s">
        <v>2970</v>
      </c>
      <c r="F466" s="3" t="s">
        <v>2490</v>
      </c>
      <c r="G466" s="3" t="s">
        <v>2993</v>
      </c>
      <c r="J466" s="1">
        <f t="shared" si="15"/>
        <v>0.0005</v>
      </c>
    </row>
    <row r="467" ht="30" spans="1:10">
      <c r="A467" s="1" t="str">
        <f t="shared" si="14"/>
        <v>3:100206</v>
      </c>
      <c r="B467" s="1">
        <v>3</v>
      </c>
      <c r="C467" s="1">
        <v>100206</v>
      </c>
      <c r="D467" s="3" t="s">
        <v>2457</v>
      </c>
      <c r="E467" s="3" t="s">
        <v>2970</v>
      </c>
      <c r="F467" s="3" t="s">
        <v>2490</v>
      </c>
      <c r="G467" s="3" t="s">
        <v>2993</v>
      </c>
      <c r="J467" s="1">
        <f t="shared" si="15"/>
        <v>0.0005</v>
      </c>
    </row>
    <row r="468" ht="30" spans="1:10">
      <c r="A468" s="1" t="str">
        <f t="shared" si="14"/>
        <v>3:100207</v>
      </c>
      <c r="B468" s="1">
        <v>3</v>
      </c>
      <c r="C468" s="1">
        <v>100207</v>
      </c>
      <c r="D468" s="3" t="s">
        <v>2458</v>
      </c>
      <c r="E468" s="3" t="s">
        <v>2970</v>
      </c>
      <c r="F468" s="3" t="s">
        <v>2490</v>
      </c>
      <c r="G468" s="3" t="s">
        <v>2993</v>
      </c>
      <c r="J468" s="1">
        <f t="shared" si="15"/>
        <v>0.0005</v>
      </c>
    </row>
    <row r="469" ht="15" spans="1:10">
      <c r="A469" s="1" t="str">
        <f t="shared" si="14"/>
        <v>3:100218</v>
      </c>
      <c r="B469" s="1">
        <v>3</v>
      </c>
      <c r="C469" s="1">
        <v>100218</v>
      </c>
      <c r="D469" s="3" t="s">
        <v>2459</v>
      </c>
      <c r="E469" s="3" t="s">
        <v>2994</v>
      </c>
      <c r="F469" s="3" t="s">
        <v>2490</v>
      </c>
      <c r="G469" s="3" t="s">
        <v>2995</v>
      </c>
      <c r="J469" s="1">
        <f t="shared" si="15"/>
        <v>0.0005</v>
      </c>
    </row>
    <row r="470" ht="15" spans="1:10">
      <c r="A470" s="1" t="str">
        <f t="shared" si="14"/>
        <v>3:100220</v>
      </c>
      <c r="B470" s="1">
        <v>3</v>
      </c>
      <c r="C470" s="1">
        <v>100220</v>
      </c>
      <c r="D470" s="3" t="s">
        <v>2460</v>
      </c>
      <c r="E470" s="3" t="s">
        <v>2994</v>
      </c>
      <c r="F470" s="3" t="s">
        <v>2490</v>
      </c>
      <c r="G470" s="3" t="s">
        <v>2996</v>
      </c>
      <c r="J470" s="1">
        <f t="shared" si="15"/>
        <v>0.0005</v>
      </c>
    </row>
    <row r="471" ht="15" spans="1:10">
      <c r="A471" s="1" t="str">
        <f t="shared" si="14"/>
        <v>3:100221</v>
      </c>
      <c r="B471" s="1">
        <v>3</v>
      </c>
      <c r="C471" s="1">
        <v>100221</v>
      </c>
      <c r="D471" s="3" t="s">
        <v>2461</v>
      </c>
      <c r="E471" s="3" t="s">
        <v>2994</v>
      </c>
      <c r="F471" s="3" t="s">
        <v>2490</v>
      </c>
      <c r="G471" s="3" t="s">
        <v>2997</v>
      </c>
      <c r="J471" s="1">
        <f t="shared" si="15"/>
        <v>0.0005</v>
      </c>
    </row>
    <row r="472" ht="15" spans="1:10">
      <c r="A472" s="1" t="str">
        <f t="shared" si="14"/>
        <v>3:100223</v>
      </c>
      <c r="B472" s="1">
        <v>3</v>
      </c>
      <c r="C472" s="1">
        <v>100223</v>
      </c>
      <c r="D472" s="3" t="s">
        <v>2462</v>
      </c>
      <c r="E472" s="3" t="s">
        <v>2994</v>
      </c>
      <c r="F472" s="3" t="s">
        <v>2490</v>
      </c>
      <c r="G472" s="3" t="s">
        <v>2998</v>
      </c>
      <c r="J472" s="1">
        <f t="shared" si="15"/>
        <v>0.0005</v>
      </c>
    </row>
    <row r="473" ht="45" spans="1:10">
      <c r="A473" s="1" t="str">
        <f t="shared" si="14"/>
        <v>3:500051</v>
      </c>
      <c r="B473" s="1">
        <v>3</v>
      </c>
      <c r="C473" s="1">
        <v>500051</v>
      </c>
      <c r="D473" s="3" t="s">
        <v>2463</v>
      </c>
      <c r="E473" s="3" t="s">
        <v>2999</v>
      </c>
      <c r="F473" s="3" t="s">
        <v>3000</v>
      </c>
      <c r="G473" s="3" t="s">
        <v>3001</v>
      </c>
      <c r="J473" s="1">
        <f t="shared" si="15"/>
        <v>0.0005</v>
      </c>
    </row>
    <row r="474" ht="30" spans="1:10">
      <c r="A474" s="1" t="str">
        <f t="shared" si="14"/>
        <v>3:200033</v>
      </c>
      <c r="B474" s="1">
        <v>3</v>
      </c>
      <c r="C474" s="1">
        <v>200033</v>
      </c>
      <c r="D474" s="3" t="s">
        <v>2464</v>
      </c>
      <c r="E474" s="3" t="s">
        <v>3002</v>
      </c>
      <c r="F474" s="3" t="s">
        <v>3003</v>
      </c>
      <c r="G474" s="3" t="s">
        <v>3004</v>
      </c>
      <c r="J474" s="1">
        <f t="shared" si="15"/>
        <v>0.0005</v>
      </c>
    </row>
  </sheetData>
  <pageMargins left="0.7" right="0.7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价值</vt:lpstr>
      <vt:lpstr>Sheet3</vt:lpstr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</cp:lastModifiedBy>
  <dcterms:created xsi:type="dcterms:W3CDTF">2015-06-05T18:19:00Z</dcterms:created>
  <dcterms:modified xsi:type="dcterms:W3CDTF">2023-10-21T05:03:18Z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454C15ECFF0C4C0EBD1235BD666854B4_12</vt:lpwstr>
  </property>
  <property fmtid="{D5CDD505-2E9C-101B-9397-08002B2CF9AE}" pid="3" name="KSOProductBuildVer">
    <vt:lpwstr>1033-12.2.0.13266</vt:lpwstr>
  </property>
</Properties>
</file>