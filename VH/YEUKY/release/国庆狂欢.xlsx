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F65B62E3-B009-4DBC-AE25-C96492600FCE}" xr6:coauthVersionLast="47" xr6:coauthVersionMax="47" xr10:uidLastSave="{00000000-0000-0000-0000-000000000000}"/>
  <bookViews>
    <workbookView xWindow="30750" yWindow="1950" windowWidth="22545" windowHeight="12990" xr2:uid="{00000000-000D-0000-FFFF-FFFF00000000}"/>
  </bookViews>
  <sheets>
    <sheet name="国庆狂欢基础" sheetId="1" r:id="rId1"/>
    <sheet name="国庆大促" sheetId="3" r:id="rId2"/>
    <sheet name="国庆狂欢登陆好礼" sheetId="2" r:id="rId3"/>
    <sheet name="Sheet1" sheetId="4" r:id="rId4"/>
  </sheets>
  <calcPr calcId="191029"/>
</workbook>
</file>

<file path=xl/calcChain.xml><?xml version="1.0" encoding="utf-8"?>
<calcChain xmlns="http://schemas.openxmlformats.org/spreadsheetml/2006/main">
  <c r="C4" i="4" l="1"/>
  <c r="C5" i="4" s="1"/>
  <c r="C3" i="4"/>
  <c r="B3" i="4"/>
  <c r="A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H1" authorId="0" shapeId="0" xr:uid="{00000000-0006-0000-0000-000001000000}">
      <text>
        <r>
          <rPr>
            <b/>
            <sz val="9"/>
            <rFont val="宋体"/>
            <charset val="134"/>
          </rPr>
          <t>作者:</t>
        </r>
        <r>
          <rPr>
            <sz val="9"/>
            <rFont val="宋体"/>
            <charset val="134"/>
          </rPr>
          <t xml:space="preserve">
道具会进背包</t>
        </r>
      </text>
    </comment>
  </commentList>
</comments>
</file>

<file path=xl/sharedStrings.xml><?xml version="1.0" encoding="utf-8"?>
<sst xmlns="http://schemas.openxmlformats.org/spreadsheetml/2006/main" count="378" uniqueCount="171">
  <si>
    <t>活动ID</t>
  </si>
  <si>
    <t>分组</t>
  </si>
  <si>
    <t>开服天数</t>
  </si>
  <si>
    <t>活动名称</t>
  </si>
  <si>
    <t>开启时间</t>
  </si>
  <si>
    <t>结束时间</t>
  </si>
  <si>
    <t>掉落结束天数</t>
  </si>
  <si>
    <t>掉落道具ID</t>
  </si>
  <si>
    <t>掉落间隔</t>
  </si>
  <si>
    <t>掉落配置</t>
  </si>
  <si>
    <t>掉落说明</t>
  </si>
  <si>
    <t>邮件ID</t>
  </si>
  <si>
    <t>道具展示</t>
  </si>
  <si>
    <t>掉落道具展示</t>
  </si>
  <si>
    <t>兑换道具展示</t>
  </si>
  <si>
    <r>
      <rPr>
        <sz val="10.5"/>
        <color rgb="FF000000"/>
        <rFont val="Helvetica"/>
        <charset val="134"/>
      </rPr>
      <t>Quốc Khánh cuồng hoan</t>
    </r>
  </si>
  <si>
    <t>0:0#1:100</t>
  </si>
  <si>
    <t>每18分钟随机一次，100%概率掉1个</t>
  </si>
  <si>
    <t>3:700006#3:700007#3:900023#3:900024</t>
  </si>
  <si>
    <r>
      <rPr>
        <sz val="10.5"/>
        <color rgb="FF000000"/>
        <rFont val="Helvetica"/>
        <charset val="134"/>
      </rPr>
      <t>Thiên Diệp công xưởng</t>
    </r>
  </si>
  <si>
    <t>3:800009#3:700012#3:900023#3:900024</t>
  </si>
  <si>
    <t>100090#100091#100092</t>
  </si>
  <si>
    <t>100093#100094#100095</t>
  </si>
  <si>
    <r>
      <rPr>
        <sz val="10.5"/>
        <color rgb="FF000000"/>
        <rFont val="Helvetica"/>
        <charset val="134"/>
      </rPr>
      <t>Lễ Giáng Sinh</t>
    </r>
  </si>
  <si>
    <t>4:608003#3:1200016#5:20001#4:604019</t>
  </si>
  <si>
    <r>
      <rPr>
        <sz val="10.5"/>
        <color rgb="FF000000"/>
        <rFont val="Helvetica"/>
        <charset val="134"/>
      </rPr>
      <t>Vào đông hệ liệt</t>
    </r>
  </si>
  <si>
    <t>4:606011#4:606012#3:100025#3:100022</t>
  </si>
  <si>
    <t>100238#100239#100240#100241</t>
  </si>
  <si>
    <r>
      <rPr>
        <sz val="10.5"/>
        <color rgb="FF000000"/>
        <rFont val="Helvetica"/>
        <charset val="134"/>
      </rPr>
      <t>Xuân về hoa nở</t>
    </r>
  </si>
  <si>
    <t>100246#100247#100248#100249</t>
  </si>
  <si>
    <t>ID</t>
  </si>
  <si>
    <t>商品</t>
  </si>
  <si>
    <t>价格</t>
  </si>
  <si>
    <t>限购数量</t>
  </si>
  <si>
    <t>周期</t>
  </si>
  <si>
    <t>排序</t>
  </si>
  <si>
    <t>充值项ID</t>
  </si>
  <si>
    <t>*备注</t>
  </si>
  <si>
    <t>0:1:60#3:100006:1#3:1000002:2#3:500044:100</t>
  </si>
  <si>
    <t>元宝*60，经验袋*2，高级寻宝*1，月饼*100</t>
  </si>
  <si>
    <t>0:1:60#3:100025:1#3:100022:10#3:1000001:1</t>
  </si>
  <si>
    <t>元宝*120，高抽*3，命签*1，金币袋*1</t>
  </si>
  <si>
    <t>0:1:300#3:100006:2#3:100022:10#3:500044:150</t>
  </si>
  <si>
    <t>元宝*120，高寻*2，命签*1，月饼*150</t>
  </si>
  <si>
    <t>0:1:500#3:1000010:1#3:100025:3#3:100022:5</t>
  </si>
  <si>
    <t>元宝*500，通用英魂*1，高抽*5，命签*3</t>
  </si>
  <si>
    <t>0:1:500#3:100025:3#3:100022:20#3:500044:300</t>
  </si>
  <si>
    <t>元宝*500，高抽*20，命签*3，月饼*300</t>
  </si>
  <si>
    <t>0:1:1280#3:100046:1#3:100004:11250#0:0:10000000</t>
  </si>
  <si>
    <t>元宝*1280，重铸丹*1，鎏金粉*11250，金币*1000w</t>
  </si>
  <si>
    <t>0:1:1280#3:100216:10000#0:0:10000000#3:500044:600</t>
  </si>
  <si>
    <t>元宝*1280，麒麟仙玉*1w，金币*1000w，月饼*600</t>
  </si>
  <si>
    <t>0:1:3280#3:500015:15#3:100001:1500#3:500044:1300</t>
  </si>
  <si>
    <t>元宝*3280，灌魔之瓶*15，进阶石*1500，月饼*1300</t>
  </si>
  <si>
    <t>0:1:6480#3:500014:1#3:100031:1000#0:0:10000000</t>
  </si>
  <si>
    <t>元宝*6480，天级兽魂自选，洗练石*1000，金币*1000w</t>
  </si>
  <si>
    <t>0:1:6480#5:5:1#3:100004:7000#5:20001:4</t>
  </si>
  <si>
    <t>元宝*6480，红色玺印*1，重铸丹*1，龙魂*2</t>
  </si>
  <si>
    <t>0:1:6480#3:500015:30#3:100001:3000#3:500044:2600</t>
  </si>
  <si>
    <t>元宝*6480，灌魔之瓶*30，进阶石*3000，月饼*2600</t>
  </si>
  <si>
    <t>0:1:60#3:100006:1#3:1000002:2#3:500052:100</t>
  </si>
  <si>
    <t>0:1:300#3:100006:2#3:100022:10#3:500052:150</t>
  </si>
  <si>
    <t>0:1:500#3:1000010:1#3:100025:2#3:100022:10</t>
  </si>
  <si>
    <t>元宝*500，通用英魂*1，高抽*10，命签*2</t>
  </si>
  <si>
    <t>0:1:500#3:100025:2#3:100022:20#3:500052:300</t>
  </si>
  <si>
    <t>元宝*500，高抽*20，命签*2，月饼*300</t>
  </si>
  <si>
    <t>0:1:1280#3:100216:10000#0:0:10000000#3:500052:600</t>
  </si>
  <si>
    <t>0:1:3280#3:500015:15#3:100001:1500#3:500052:1300</t>
  </si>
  <si>
    <t>0:1:6480#5:5:1#3:100004:7000#5:20001:5</t>
  </si>
  <si>
    <t>0:1:6480#3:500015:30#3:100001:3000#3:500052:2600</t>
  </si>
  <si>
    <t>0:1:120#3:100006:2#3:100504:20</t>
  </si>
  <si>
    <t>0:1:300#3:100006:5#3:100504:90</t>
  </si>
  <si>
    <t>0:1:500#3:100025:1#3:100022:6#3:100504:150</t>
  </si>
  <si>
    <t>0:1:1280#3:100025:2#3:100022:12#3:100504:330</t>
  </si>
  <si>
    <t>0:1:3280#3:100025:4#3:100022:30#3:100504:1000</t>
  </si>
  <si>
    <t>0:1:6480#3:100025:10#3:100022:65#3:100504:2000</t>
  </si>
  <si>
    <t>0:1:60#3:100006:1#3:1000002:2#3:500058:100</t>
  </si>
  <si>
    <t>元宝*60，经验袋*2，高级寻宝*1，汤圆*100</t>
  </si>
  <si>
    <t>0:1:300#3:100006:2#3:100022:10#3:500058:150</t>
  </si>
  <si>
    <t>元宝*120，高寻*2，命签*1，汤圆*150</t>
  </si>
  <si>
    <t>0:1:500#3:100025:2#3:100022:20#3:500058:300</t>
  </si>
  <si>
    <t>元宝*500，高抽*20，命签*2，汤圆*300</t>
  </si>
  <si>
    <t>0:1:1280#3:100046:1#3:100004:13000#0:0:10000000</t>
  </si>
  <si>
    <t>0:1:1280#3:100216:13000#0:0:10000000#3:500058:600</t>
  </si>
  <si>
    <t>元宝*1280，麒麟仙玉*1w，金币*1000w，汤圆*600</t>
  </si>
  <si>
    <t>0:1:3280#3:500015:15#3:100001:1500#3:500058:1300</t>
  </si>
  <si>
    <t>元宝*3280，灌魔之瓶*15，进阶石*1500，汤圆*1300</t>
  </si>
  <si>
    <t>0:1:6480#3:500014:1#3:100031:1300#0:0:10000000</t>
  </si>
  <si>
    <t>0:1:6480#5:5:1#3:100004:8000#5:20001:6</t>
  </si>
  <si>
    <t>0:1:6480#3:500015:30#3:100001:3500#3:500058:2600</t>
  </si>
  <si>
    <t>元宝*6480，灌魔之瓶*30，进阶石*3000，汤圆*2600</t>
  </si>
  <si>
    <t>0:1:60#3:100006:1#3:1000002:2#3:500060:100</t>
  </si>
  <si>
    <t>元宝*60，经验袋*2，高级寻宝*1，花卉*100</t>
  </si>
  <si>
    <t>0:1:300#3:100006:2#3:100022:10#3:500060:150</t>
  </si>
  <si>
    <t>元宝*120，高寻*2，命签*1，花卉*150</t>
  </si>
  <si>
    <t>0:1:500#3:1000010:1#3:100025:3#3:100022:10</t>
  </si>
  <si>
    <t>0:1:500#3:100025:3#3:100022:20#3:500060:300</t>
  </si>
  <si>
    <t>元宝*500，高抽*20，命签*2，花卉*300</t>
  </si>
  <si>
    <t>0:1:1280#3:100046:1#3:100004:15000#0:0:10000000</t>
  </si>
  <si>
    <t>0:1:1280#3:100216:13000#0:0:10000000#3:500060:600</t>
  </si>
  <si>
    <t>元宝*1280，麒麟仙玉*1w，金币*1000w，花卉*600</t>
  </si>
  <si>
    <t>0:1:3280#3:500015:15#3:100001:1500#3:500060:1300</t>
  </si>
  <si>
    <t>元宝*3280，灌魔之瓶*15，进阶石*1500，花卉*1300</t>
  </si>
  <si>
    <t>0:1:6480#3:500015:30#3:100001:3500#3:500060:2600</t>
  </si>
  <si>
    <t>元宝*6480，灌魔之瓶*30，进阶石*3000，花卉*2600</t>
  </si>
  <si>
    <t>签到天数</t>
  </si>
  <si>
    <t>签到奖励</t>
  </si>
  <si>
    <t>追加奖励</t>
  </si>
  <si>
    <t>追加奖励价格</t>
  </si>
  <si>
    <t>3:100022:2#0:1:100#3:100001:200#0:4:50000</t>
  </si>
  <si>
    <t>3:800009:1#3:100025:2#3:100044:10#3:100022:10</t>
  </si>
  <si>
    <t>10000</t>
  </si>
  <si>
    <t>51201</t>
  </si>
  <si>
    <r>
      <rPr>
        <sz val="11"/>
        <color theme="1"/>
        <rFont val="Arial"/>
        <charset val="134"/>
        <scheme val="minor"/>
      </rPr>
      <t>高抽*</t>
    </r>
    <r>
      <rPr>
        <sz val="11"/>
        <color theme="1"/>
        <rFont val="Arial"/>
        <charset val="134"/>
        <scheme val="minor"/>
      </rPr>
      <t>2</t>
    </r>
  </si>
  <si>
    <t>命签*2，精英抽*10，高抽*10，头像</t>
  </si>
  <si>
    <t>3:100004:200#3:100001:200#3:100059:5#0:0:50000</t>
  </si>
  <si>
    <t>3:100025:2#3:100044:10#3:100022:10#3:1000001:4</t>
  </si>
  <si>
    <r>
      <rPr>
        <sz val="11"/>
        <color theme="1"/>
        <rFont val="Arial"/>
        <charset val="134"/>
        <scheme val="minor"/>
      </rPr>
      <t>鎏金粉*</t>
    </r>
    <r>
      <rPr>
        <sz val="11"/>
        <color theme="1"/>
        <rFont val="Arial"/>
        <charset val="134"/>
        <scheme val="minor"/>
      </rPr>
      <t>200</t>
    </r>
  </si>
  <si>
    <t>命签*2，精英抽*10，高抽*10，金币袋*4</t>
  </si>
  <si>
    <t>3:100022:2#0:1:100#3:100059:5#0:4:50000</t>
  </si>
  <si>
    <t>高抽*1</t>
  </si>
  <si>
    <t>3:100002:50#3:100022:1#3:100031:16#0:0:50000</t>
  </si>
  <si>
    <t>太乙精金*50</t>
  </si>
  <si>
    <t>3:100022:1#3:100031:16#3:100001:200#0:4:50000</t>
  </si>
  <si>
    <t>3:100005:2#3:100023:3#3:100001:200#0:0:50000</t>
  </si>
  <si>
    <t>普通寻宝券*2</t>
  </si>
  <si>
    <t>3:100001:200#3:100059:5#3:100023:3#0:0:50000</t>
  </si>
  <si>
    <t>进阶石*200</t>
  </si>
  <si>
    <t>0:1:500#3:100027:2#3:100023:3#0:4:50000</t>
  </si>
  <si>
    <t>元宝*500</t>
  </si>
  <si>
    <t>51401</t>
  </si>
  <si>
    <t>51402</t>
  </si>
  <si>
    <t>51403</t>
  </si>
  <si>
    <t>51404</t>
  </si>
  <si>
    <t>51405</t>
  </si>
  <si>
    <t>51406</t>
  </si>
  <si>
    <t>51407</t>
  </si>
  <si>
    <t>3:100025:2#3:100044:5#3:100022:10#0:0:2000000</t>
  </si>
  <si>
    <t>51501</t>
  </si>
  <si>
    <t>51502</t>
  </si>
  <si>
    <t>51503</t>
  </si>
  <si>
    <t>51504</t>
  </si>
  <si>
    <t>51505</t>
  </si>
  <si>
    <t>51506</t>
  </si>
  <si>
    <t>51507</t>
  </si>
  <si>
    <t>51521</t>
  </si>
  <si>
    <t>51522</t>
  </si>
  <si>
    <t>51523</t>
  </si>
  <si>
    <t>51524</t>
  </si>
  <si>
    <t>51525</t>
  </si>
  <si>
    <t>51526</t>
  </si>
  <si>
    <t>51527</t>
  </si>
  <si>
    <t>3:100025:2#3:100022:10#3:1000001:4#3:1000002:4</t>
  </si>
  <si>
    <t>51531</t>
  </si>
  <si>
    <t>命签*2，精英抽*10，经验丹*4，金币袋*4</t>
  </si>
  <si>
    <t>51532</t>
  </si>
  <si>
    <t>51533</t>
  </si>
  <si>
    <t>51534</t>
  </si>
  <si>
    <t>51535</t>
  </si>
  <si>
    <t>51536</t>
  </si>
  <si>
    <t>51537</t>
  </si>
  <si>
    <t>2025-10-20 00:00:00</t>
  </si>
  <si>
    <t>2025-10-27 00:00:00</t>
  </si>
  <si>
    <t>2025-11-03 00:00:00</t>
  </si>
  <si>
    <t>2025-11-10 00:00:00</t>
  </si>
  <si>
    <t>2025-11-17 00:00:00</t>
  </si>
  <si>
    <t>2025-10-26 23:59:59</t>
  </si>
  <si>
    <t>2025-11-02 23:59:59</t>
  </si>
  <si>
    <t>2025-11-09 23:59:59</t>
  </si>
  <si>
    <t>2025-11-16 23:59:59</t>
  </si>
  <si>
    <t>2025-11-23 23:59:59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</si>
</sst>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2"/>
      <color theme="1"/>
      <name val="Arial"/>
      <charset val="134"/>
      <scheme val="minor"/>
    </font>
    <font>
      <sz val="10.5"/>
      <color rgb="FF000000"/>
      <name val="Helvetica"/>
      <charset val="134"/>
    </font>
    <font>
      <sz val="9"/>
      <name val="宋体"/>
      <charset val="134"/>
    </font>
    <font>
      <b/>
      <sz val="9"/>
      <name val="宋体"/>
      <charset val="134"/>
    </font>
    <font>
      <sz val="8"/>
      <name val="Arial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/>
    </xf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right"/>
    </xf>
    <xf numFmtId="0" fontId="1" fillId="2" borderId="0" xfId="0" applyFont="1" applyFill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horizontal="right"/>
    </xf>
    <xf numFmtId="0" fontId="1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49" fontId="1" fillId="3" borderId="0" xfId="0" applyNumberFormat="1" applyFont="1" applyFill="1" applyAlignment="1">
      <alignment horizontal="center"/>
    </xf>
    <xf numFmtId="0" fontId="0" fillId="3" borderId="0" xfId="0" applyFill="1"/>
    <xf numFmtId="0" fontId="1" fillId="4" borderId="0" xfId="0" applyFont="1" applyFill="1" applyAlignment="1">
      <alignment horizontal="center"/>
    </xf>
    <xf numFmtId="49" fontId="1" fillId="4" borderId="0" xfId="0" applyNumberFormat="1" applyFont="1" applyFill="1" applyAlignment="1">
      <alignment horizontal="center"/>
    </xf>
    <xf numFmtId="49" fontId="1" fillId="4" borderId="0" xfId="0" applyNumberFormat="1" applyFont="1" applyFill="1" applyAlignment="1">
      <alignment horizontal="right"/>
    </xf>
    <xf numFmtId="0" fontId="0" fillId="4" borderId="0" xfId="0" applyFill="1"/>
    <xf numFmtId="0" fontId="0" fillId="0" borderId="0" xfId="0" applyAlignment="1">
      <alignment horizontal="right"/>
    </xf>
    <xf numFmtId="0" fontId="2" fillId="0" borderId="0" xfId="0" applyFont="1"/>
    <xf numFmtId="49" fontId="1" fillId="0" borderId="0" xfId="0" applyNumberFormat="1" applyFont="1" applyAlignment="1">
      <alignment horizontal="right" vertical="center"/>
    </xf>
    <xf numFmtId="0" fontId="3" fillId="5" borderId="0" xfId="0" applyFont="1" applyFill="1" applyAlignment="1">
      <alignment wrapText="1"/>
    </xf>
    <xf numFmtId="49" fontId="0" fillId="2" borderId="0" xfId="0" applyNumberFormat="1" applyFill="1"/>
    <xf numFmtId="0" fontId="0" fillId="2" borderId="0" xfId="0" applyFill="1" applyAlignment="1">
      <alignment horizontal="left"/>
    </xf>
  </cellXfs>
  <cellStyles count="1">
    <cellStyle name="Normal" xfId="0" builtinId="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O6"/>
  <sheetViews>
    <sheetView tabSelected="1" workbookViewId="0">
      <selection activeCell="L15" sqref="L15"/>
    </sheetView>
  </sheetViews>
  <sheetFormatPr defaultColWidth="9" defaultRowHeight="14.25"/>
  <cols>
    <col min="1" max="1" width="7.625" customWidth="1"/>
    <col min="2" max="2" width="5.25" customWidth="1"/>
    <col min="4" max="4" width="9.375" customWidth="1"/>
    <col min="5" max="6" width="19.75" customWidth="1"/>
    <col min="7" max="7" width="13" customWidth="1"/>
    <col min="8" max="8" width="10.875" customWidth="1"/>
    <col min="10" max="10" width="9.375" customWidth="1"/>
    <col min="11" max="11" width="33.25" customWidth="1"/>
    <col min="12" max="12" width="7" customWidth="1"/>
    <col min="13" max="13" width="37" customWidth="1"/>
    <col min="14" max="14" width="27.625" customWidth="1"/>
    <col min="15" max="15" width="23" customWidth="1"/>
  </cols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t="54">
      <c r="A2">
        <v>100001</v>
      </c>
      <c r="B2">
        <v>1</v>
      </c>
      <c r="C2">
        <v>0</v>
      </c>
      <c r="D2" s="19" t="s">
        <v>15</v>
      </c>
      <c r="E2" s="20" t="s">
        <v>161</v>
      </c>
      <c r="F2" s="20" t="s">
        <v>166</v>
      </c>
      <c r="G2">
        <v>8</v>
      </c>
      <c r="H2">
        <v>500044</v>
      </c>
      <c r="I2">
        <v>18</v>
      </c>
      <c r="J2" t="s">
        <v>16</v>
      </c>
      <c r="K2" t="s">
        <v>17</v>
      </c>
      <c r="L2">
        <v>40008</v>
      </c>
      <c r="M2" t="s">
        <v>18</v>
      </c>
    </row>
    <row r="3" spans="1:15" s="1" customFormat="1" ht="40.5">
      <c r="A3" s="1">
        <v>100002</v>
      </c>
      <c r="B3" s="1">
        <v>2</v>
      </c>
      <c r="C3">
        <v>0</v>
      </c>
      <c r="D3" s="19" t="s">
        <v>19</v>
      </c>
      <c r="E3" s="20" t="s">
        <v>162</v>
      </c>
      <c r="F3" s="20" t="s">
        <v>167</v>
      </c>
      <c r="G3">
        <v>8</v>
      </c>
      <c r="H3" s="1">
        <v>500052</v>
      </c>
      <c r="I3" s="1">
        <v>18</v>
      </c>
      <c r="J3" s="1" t="s">
        <v>16</v>
      </c>
      <c r="K3" s="1" t="s">
        <v>17</v>
      </c>
      <c r="L3" s="1">
        <v>40010</v>
      </c>
      <c r="M3" s="1" t="s">
        <v>20</v>
      </c>
      <c r="N3" s="1" t="s">
        <v>21</v>
      </c>
      <c r="O3" s="1" t="s">
        <v>22</v>
      </c>
    </row>
    <row r="4" spans="1:15" s="1" customFormat="1" ht="27">
      <c r="A4" s="1">
        <v>100003</v>
      </c>
      <c r="B4" s="1">
        <v>3</v>
      </c>
      <c r="C4">
        <v>0</v>
      </c>
      <c r="D4" s="19" t="s">
        <v>23</v>
      </c>
      <c r="E4" s="20" t="s">
        <v>163</v>
      </c>
      <c r="F4" s="20" t="s">
        <v>168</v>
      </c>
      <c r="G4">
        <v>8</v>
      </c>
      <c r="H4" s="1">
        <v>100099</v>
      </c>
      <c r="I4" s="1">
        <v>18</v>
      </c>
      <c r="J4" s="1" t="s">
        <v>16</v>
      </c>
      <c r="K4" s="1" t="s">
        <v>17</v>
      </c>
      <c r="L4" s="1">
        <v>40012</v>
      </c>
      <c r="M4" s="1" t="s">
        <v>24</v>
      </c>
      <c r="N4" s="21">
        <v>100099</v>
      </c>
      <c r="O4" s="21">
        <v>100099</v>
      </c>
    </row>
    <row r="5" spans="1:15" s="1" customFormat="1" ht="27">
      <c r="A5" s="1">
        <v>100004</v>
      </c>
      <c r="B5" s="1">
        <v>4</v>
      </c>
      <c r="C5">
        <v>0</v>
      </c>
      <c r="D5" s="19" t="s">
        <v>25</v>
      </c>
      <c r="E5" s="20" t="s">
        <v>164</v>
      </c>
      <c r="F5" s="20" t="s">
        <v>169</v>
      </c>
      <c r="G5">
        <v>8</v>
      </c>
      <c r="H5" s="1">
        <v>500058</v>
      </c>
      <c r="I5" s="1">
        <v>18</v>
      </c>
      <c r="J5" s="1" t="s">
        <v>16</v>
      </c>
      <c r="K5" s="1" t="s">
        <v>17</v>
      </c>
      <c r="L5" s="1">
        <v>40012</v>
      </c>
      <c r="M5" s="1" t="s">
        <v>26</v>
      </c>
      <c r="N5" s="21" t="s">
        <v>27</v>
      </c>
      <c r="O5" s="21" t="s">
        <v>27</v>
      </c>
    </row>
    <row r="6" spans="1:15" s="1" customFormat="1" ht="27">
      <c r="A6" s="1">
        <v>100005</v>
      </c>
      <c r="B6" s="1">
        <v>5</v>
      </c>
      <c r="C6">
        <v>0</v>
      </c>
      <c r="D6" s="19" t="s">
        <v>28</v>
      </c>
      <c r="E6" s="20" t="s">
        <v>165</v>
      </c>
      <c r="F6" s="20" t="s">
        <v>170</v>
      </c>
      <c r="G6">
        <v>8</v>
      </c>
      <c r="H6" s="1">
        <v>500060</v>
      </c>
      <c r="I6" s="1">
        <v>18</v>
      </c>
      <c r="J6" s="1" t="s">
        <v>16</v>
      </c>
      <c r="K6" s="1" t="s">
        <v>17</v>
      </c>
      <c r="L6" s="1">
        <v>40012</v>
      </c>
      <c r="M6" s="1" t="s">
        <v>26</v>
      </c>
      <c r="N6" s="21" t="s">
        <v>29</v>
      </c>
      <c r="O6" s="21" t="s">
        <v>29</v>
      </c>
    </row>
  </sheetData>
  <phoneticPr fontId="6" type="noConversion"/>
  <pageMargins left="0.7" right="0.7" top="0.75" bottom="0.75" header="0.3" footer="0.3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I51"/>
  <sheetViews>
    <sheetView topLeftCell="A33" workbookViewId="0">
      <selection activeCell="A51" sqref="A51"/>
    </sheetView>
  </sheetViews>
  <sheetFormatPr defaultColWidth="9" defaultRowHeight="14.25"/>
  <cols>
    <col min="1" max="1" width="8.625" customWidth="1"/>
    <col min="2" max="2" width="53.125" customWidth="1"/>
    <col min="3" max="3" width="32" customWidth="1"/>
    <col min="5" max="6" width="5.25" customWidth="1"/>
    <col min="7" max="7" width="8.875" customWidth="1"/>
    <col min="8" max="8" width="5.25" customWidth="1"/>
    <col min="9" max="9" width="53.625" customWidth="1"/>
  </cols>
  <sheetData>
    <row r="1" spans="1:9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  <c r="H1" t="s">
        <v>1</v>
      </c>
      <c r="I1" t="s">
        <v>37</v>
      </c>
    </row>
    <row r="2" spans="1:9" ht="16.5">
      <c r="A2">
        <v>100001</v>
      </c>
      <c r="B2" s="16" t="s">
        <v>38</v>
      </c>
      <c r="C2">
        <v>2000</v>
      </c>
      <c r="D2">
        <v>1</v>
      </c>
      <c r="E2">
        <v>1</v>
      </c>
      <c r="F2">
        <v>1</v>
      </c>
      <c r="G2">
        <v>52201</v>
      </c>
      <c r="H2">
        <v>1</v>
      </c>
      <c r="I2" s="18" t="s">
        <v>39</v>
      </c>
    </row>
    <row r="3" spans="1:9" ht="16.5">
      <c r="A3">
        <v>100002</v>
      </c>
      <c r="B3" s="16" t="s">
        <v>40</v>
      </c>
      <c r="C3">
        <v>2000</v>
      </c>
      <c r="D3">
        <v>1</v>
      </c>
      <c r="E3">
        <v>1</v>
      </c>
      <c r="F3">
        <v>2</v>
      </c>
      <c r="G3">
        <v>52202</v>
      </c>
      <c r="H3">
        <v>1</v>
      </c>
      <c r="I3" s="18" t="s">
        <v>41</v>
      </c>
    </row>
    <row r="4" spans="1:9" ht="16.5">
      <c r="A4">
        <v>100003</v>
      </c>
      <c r="B4" s="16" t="s">
        <v>42</v>
      </c>
      <c r="C4">
        <v>10000</v>
      </c>
      <c r="D4">
        <v>3</v>
      </c>
      <c r="E4">
        <v>1</v>
      </c>
      <c r="F4">
        <v>3</v>
      </c>
      <c r="G4">
        <v>52203</v>
      </c>
      <c r="H4">
        <v>1</v>
      </c>
      <c r="I4" s="18" t="s">
        <v>43</v>
      </c>
    </row>
    <row r="5" spans="1:9" ht="16.5">
      <c r="A5">
        <v>100004</v>
      </c>
      <c r="B5" s="16" t="s">
        <v>44</v>
      </c>
      <c r="C5">
        <v>20000</v>
      </c>
      <c r="D5">
        <v>3</v>
      </c>
      <c r="E5">
        <v>1</v>
      </c>
      <c r="F5">
        <v>4</v>
      </c>
      <c r="G5">
        <v>52204</v>
      </c>
      <c r="H5">
        <v>1</v>
      </c>
      <c r="I5" s="18" t="s">
        <v>45</v>
      </c>
    </row>
    <row r="6" spans="1:9" ht="16.5">
      <c r="A6">
        <v>100005</v>
      </c>
      <c r="B6" s="16" t="s">
        <v>46</v>
      </c>
      <c r="C6">
        <v>20000</v>
      </c>
      <c r="D6">
        <v>3</v>
      </c>
      <c r="E6">
        <v>1</v>
      </c>
      <c r="F6">
        <v>4</v>
      </c>
      <c r="G6">
        <v>52205</v>
      </c>
      <c r="H6">
        <v>1</v>
      </c>
      <c r="I6" s="18" t="s">
        <v>47</v>
      </c>
    </row>
    <row r="7" spans="1:9" ht="16.5">
      <c r="A7">
        <v>100006</v>
      </c>
      <c r="B7" s="16" t="s">
        <v>48</v>
      </c>
      <c r="C7">
        <v>45000</v>
      </c>
      <c r="D7">
        <v>3</v>
      </c>
      <c r="E7">
        <v>1</v>
      </c>
      <c r="F7">
        <v>5</v>
      </c>
      <c r="G7">
        <v>52206</v>
      </c>
      <c r="H7">
        <v>1</v>
      </c>
      <c r="I7" s="18" t="s">
        <v>49</v>
      </c>
    </row>
    <row r="8" spans="1:9" ht="16.5">
      <c r="A8">
        <v>100007</v>
      </c>
      <c r="B8" s="16" t="s">
        <v>50</v>
      </c>
      <c r="C8">
        <v>45000</v>
      </c>
      <c r="D8">
        <v>3</v>
      </c>
      <c r="E8">
        <v>1</v>
      </c>
      <c r="F8">
        <v>6</v>
      </c>
      <c r="G8">
        <v>52207</v>
      </c>
      <c r="H8">
        <v>1</v>
      </c>
      <c r="I8" s="18" t="s">
        <v>51</v>
      </c>
    </row>
    <row r="9" spans="1:9" ht="16.5">
      <c r="A9">
        <v>100008</v>
      </c>
      <c r="B9" s="16" t="s">
        <v>52</v>
      </c>
      <c r="C9">
        <v>115000</v>
      </c>
      <c r="D9">
        <v>3</v>
      </c>
      <c r="E9">
        <v>1</v>
      </c>
      <c r="F9">
        <v>7</v>
      </c>
      <c r="G9">
        <v>52208</v>
      </c>
      <c r="H9">
        <v>1</v>
      </c>
      <c r="I9" s="18" t="s">
        <v>53</v>
      </c>
    </row>
    <row r="10" spans="1:9" ht="16.5">
      <c r="A10">
        <v>100009</v>
      </c>
      <c r="B10" s="16" t="s">
        <v>54</v>
      </c>
      <c r="C10">
        <v>215000</v>
      </c>
      <c r="D10">
        <v>3</v>
      </c>
      <c r="E10">
        <v>1</v>
      </c>
      <c r="F10">
        <v>8</v>
      </c>
      <c r="G10">
        <v>52209</v>
      </c>
      <c r="H10">
        <v>1</v>
      </c>
      <c r="I10" s="18" t="s">
        <v>55</v>
      </c>
    </row>
    <row r="11" spans="1:9" ht="16.5">
      <c r="A11">
        <v>100010</v>
      </c>
      <c r="B11" s="16" t="s">
        <v>56</v>
      </c>
      <c r="C11">
        <v>215000</v>
      </c>
      <c r="D11">
        <v>3</v>
      </c>
      <c r="E11">
        <v>1</v>
      </c>
      <c r="F11">
        <v>9</v>
      </c>
      <c r="G11">
        <v>52210</v>
      </c>
      <c r="H11">
        <v>1</v>
      </c>
      <c r="I11" s="18" t="s">
        <v>57</v>
      </c>
    </row>
    <row r="12" spans="1:9" ht="16.5">
      <c r="A12">
        <v>100011</v>
      </c>
      <c r="B12" s="16" t="s">
        <v>58</v>
      </c>
      <c r="C12">
        <v>215000</v>
      </c>
      <c r="D12">
        <v>3</v>
      </c>
      <c r="E12">
        <v>1</v>
      </c>
      <c r="F12">
        <v>10</v>
      </c>
      <c r="G12">
        <v>52211</v>
      </c>
      <c r="H12">
        <v>1</v>
      </c>
      <c r="I12" s="18" t="s">
        <v>59</v>
      </c>
    </row>
    <row r="13" spans="1:9">
      <c r="A13" s="1">
        <v>110001</v>
      </c>
      <c r="B13" s="1" t="s">
        <v>60</v>
      </c>
      <c r="C13" s="1">
        <v>2000</v>
      </c>
      <c r="D13" s="1">
        <v>1</v>
      </c>
      <c r="E13" s="1">
        <v>1</v>
      </c>
      <c r="F13" s="1">
        <v>1</v>
      </c>
      <c r="G13" s="1">
        <v>52401</v>
      </c>
      <c r="H13" s="1">
        <v>2</v>
      </c>
      <c r="I13" s="1" t="s">
        <v>39</v>
      </c>
    </row>
    <row r="14" spans="1:9">
      <c r="A14" s="1">
        <v>110002</v>
      </c>
      <c r="B14" s="1" t="s">
        <v>40</v>
      </c>
      <c r="C14" s="1">
        <v>2000</v>
      </c>
      <c r="D14" s="1">
        <v>1</v>
      </c>
      <c r="E14" s="1">
        <v>1</v>
      </c>
      <c r="F14" s="1">
        <v>2</v>
      </c>
      <c r="G14" s="1">
        <v>52402</v>
      </c>
      <c r="H14" s="1">
        <v>2</v>
      </c>
      <c r="I14" s="1" t="s">
        <v>41</v>
      </c>
    </row>
    <row r="15" spans="1:9">
      <c r="A15" s="1">
        <v>110003</v>
      </c>
      <c r="B15" s="1" t="s">
        <v>61</v>
      </c>
      <c r="C15" s="1">
        <v>10000</v>
      </c>
      <c r="D15" s="1">
        <v>3</v>
      </c>
      <c r="E15" s="1">
        <v>1</v>
      </c>
      <c r="F15" s="1">
        <v>3</v>
      </c>
      <c r="G15" s="1">
        <v>52403</v>
      </c>
      <c r="H15" s="1">
        <v>2</v>
      </c>
      <c r="I15" s="1" t="s">
        <v>43</v>
      </c>
    </row>
    <row r="16" spans="1:9">
      <c r="A16" s="1">
        <v>110004</v>
      </c>
      <c r="B16" s="1" t="s">
        <v>62</v>
      </c>
      <c r="C16" s="1">
        <v>20000</v>
      </c>
      <c r="D16" s="1">
        <v>3</v>
      </c>
      <c r="E16" s="1">
        <v>1</v>
      </c>
      <c r="F16" s="1">
        <v>4</v>
      </c>
      <c r="G16" s="1">
        <v>52404</v>
      </c>
      <c r="H16" s="1">
        <v>2</v>
      </c>
      <c r="I16" s="1" t="s">
        <v>63</v>
      </c>
    </row>
    <row r="17" spans="1:9">
      <c r="A17" s="1">
        <v>110005</v>
      </c>
      <c r="B17" s="1" t="s">
        <v>64</v>
      </c>
      <c r="C17" s="1">
        <v>20000</v>
      </c>
      <c r="D17" s="1">
        <v>3</v>
      </c>
      <c r="E17" s="1">
        <v>1</v>
      </c>
      <c r="F17" s="1">
        <v>4</v>
      </c>
      <c r="G17" s="1">
        <v>52405</v>
      </c>
      <c r="H17" s="1">
        <v>2</v>
      </c>
      <c r="I17" s="1" t="s">
        <v>65</v>
      </c>
    </row>
    <row r="18" spans="1:9">
      <c r="A18" s="1">
        <v>110006</v>
      </c>
      <c r="B18" s="1" t="s">
        <v>48</v>
      </c>
      <c r="C18" s="1">
        <v>45000</v>
      </c>
      <c r="D18" s="1">
        <v>3</v>
      </c>
      <c r="E18" s="1">
        <v>1</v>
      </c>
      <c r="F18" s="1">
        <v>5</v>
      </c>
      <c r="G18" s="1">
        <v>52406</v>
      </c>
      <c r="H18" s="1">
        <v>2</v>
      </c>
      <c r="I18" s="1" t="s">
        <v>49</v>
      </c>
    </row>
    <row r="19" spans="1:9">
      <c r="A19" s="1">
        <v>110007</v>
      </c>
      <c r="B19" s="1" t="s">
        <v>66</v>
      </c>
      <c r="C19" s="1">
        <v>45000</v>
      </c>
      <c r="D19" s="1">
        <v>3</v>
      </c>
      <c r="E19" s="1">
        <v>1</v>
      </c>
      <c r="F19" s="1">
        <v>6</v>
      </c>
      <c r="G19" s="1">
        <v>52407</v>
      </c>
      <c r="H19" s="1">
        <v>2</v>
      </c>
      <c r="I19" s="1" t="s">
        <v>51</v>
      </c>
    </row>
    <row r="20" spans="1:9">
      <c r="A20" s="1">
        <v>110008</v>
      </c>
      <c r="B20" s="1" t="s">
        <v>67</v>
      </c>
      <c r="C20" s="1">
        <v>115000</v>
      </c>
      <c r="D20" s="1">
        <v>3</v>
      </c>
      <c r="E20" s="1">
        <v>1</v>
      </c>
      <c r="F20" s="1">
        <v>7</v>
      </c>
      <c r="G20" s="1">
        <v>52408</v>
      </c>
      <c r="H20" s="1">
        <v>2</v>
      </c>
      <c r="I20" s="1" t="s">
        <v>53</v>
      </c>
    </row>
    <row r="21" spans="1:9">
      <c r="A21" s="1">
        <v>110009</v>
      </c>
      <c r="B21" s="1" t="s">
        <v>54</v>
      </c>
      <c r="C21" s="1">
        <v>215000</v>
      </c>
      <c r="D21" s="1">
        <v>3</v>
      </c>
      <c r="E21" s="1">
        <v>1</v>
      </c>
      <c r="F21" s="1">
        <v>8</v>
      </c>
      <c r="G21" s="1">
        <v>52409</v>
      </c>
      <c r="H21" s="1">
        <v>2</v>
      </c>
      <c r="I21" s="1" t="s">
        <v>55</v>
      </c>
    </row>
    <row r="22" spans="1:9">
      <c r="A22" s="1">
        <v>110010</v>
      </c>
      <c r="B22" s="1" t="s">
        <v>68</v>
      </c>
      <c r="C22" s="1">
        <v>215000</v>
      </c>
      <c r="D22" s="1">
        <v>3</v>
      </c>
      <c r="E22" s="1">
        <v>1</v>
      </c>
      <c r="F22" s="1">
        <v>9</v>
      </c>
      <c r="G22" s="1">
        <v>52410</v>
      </c>
      <c r="H22" s="1">
        <v>2</v>
      </c>
      <c r="I22" s="1" t="s">
        <v>57</v>
      </c>
    </row>
    <row r="23" spans="1:9">
      <c r="A23" s="1">
        <v>110011</v>
      </c>
      <c r="B23" s="1" t="s">
        <v>69</v>
      </c>
      <c r="C23" s="1">
        <v>215000</v>
      </c>
      <c r="D23" s="1">
        <v>3</v>
      </c>
      <c r="E23" s="1">
        <v>1</v>
      </c>
      <c r="F23" s="1">
        <v>10</v>
      </c>
      <c r="G23" s="1">
        <v>52411</v>
      </c>
      <c r="H23" s="1">
        <v>2</v>
      </c>
      <c r="I23" s="1" t="s">
        <v>59</v>
      </c>
    </row>
    <row r="24" spans="1:9" ht="15">
      <c r="A24" s="11">
        <v>120002</v>
      </c>
      <c r="B24" s="17" t="s">
        <v>70</v>
      </c>
      <c r="C24" s="11">
        <v>2000</v>
      </c>
      <c r="D24" s="11">
        <v>1</v>
      </c>
      <c r="E24" s="11">
        <v>1</v>
      </c>
      <c r="F24" s="11">
        <v>2</v>
      </c>
      <c r="G24" s="11">
        <v>52502</v>
      </c>
      <c r="H24" s="11">
        <v>3</v>
      </c>
      <c r="I24" s="11" t="s">
        <v>41</v>
      </c>
    </row>
    <row r="25" spans="1:9" ht="15">
      <c r="A25" s="11">
        <v>120003</v>
      </c>
      <c r="B25" s="17" t="s">
        <v>71</v>
      </c>
      <c r="C25" s="11">
        <v>10000</v>
      </c>
      <c r="D25" s="11">
        <v>3</v>
      </c>
      <c r="E25" s="11">
        <v>1</v>
      </c>
      <c r="F25" s="11">
        <v>3</v>
      </c>
      <c r="G25" s="11">
        <v>52503</v>
      </c>
      <c r="H25" s="11">
        <v>3</v>
      </c>
      <c r="I25" s="11" t="s">
        <v>43</v>
      </c>
    </row>
    <row r="26" spans="1:9" ht="15">
      <c r="A26" s="11">
        <v>120005</v>
      </c>
      <c r="B26" s="17" t="s">
        <v>72</v>
      </c>
      <c r="C26" s="11">
        <v>20000</v>
      </c>
      <c r="D26" s="11">
        <v>3</v>
      </c>
      <c r="E26" s="11">
        <v>1</v>
      </c>
      <c r="F26" s="11">
        <v>4</v>
      </c>
      <c r="G26" s="11">
        <v>52505</v>
      </c>
      <c r="H26" s="11">
        <v>3</v>
      </c>
      <c r="I26" s="11" t="s">
        <v>65</v>
      </c>
    </row>
    <row r="27" spans="1:9" ht="15">
      <c r="A27" s="11">
        <v>120006</v>
      </c>
      <c r="B27" s="17" t="s">
        <v>73</v>
      </c>
      <c r="C27" s="11">
        <v>45000</v>
      </c>
      <c r="D27" s="11">
        <v>3</v>
      </c>
      <c r="E27" s="11">
        <v>1</v>
      </c>
      <c r="F27" s="11">
        <v>5</v>
      </c>
      <c r="G27" s="11">
        <v>52506</v>
      </c>
      <c r="H27" s="11">
        <v>3</v>
      </c>
      <c r="I27" s="11" t="s">
        <v>49</v>
      </c>
    </row>
    <row r="28" spans="1:9" ht="15">
      <c r="A28" s="11">
        <v>120008</v>
      </c>
      <c r="B28" s="17" t="s">
        <v>74</v>
      </c>
      <c r="C28" s="11">
        <v>115000</v>
      </c>
      <c r="D28" s="11">
        <v>3</v>
      </c>
      <c r="E28" s="11">
        <v>1</v>
      </c>
      <c r="F28" s="11">
        <v>7</v>
      </c>
      <c r="G28" s="11">
        <v>52508</v>
      </c>
      <c r="H28" s="11">
        <v>3</v>
      </c>
      <c r="I28" s="11" t="s">
        <v>53</v>
      </c>
    </row>
    <row r="29" spans="1:9" ht="15">
      <c r="A29" s="11">
        <v>120009</v>
      </c>
      <c r="B29" s="17" t="s">
        <v>75</v>
      </c>
      <c r="C29" s="11">
        <v>215000</v>
      </c>
      <c r="D29" s="11">
        <v>10</v>
      </c>
      <c r="E29" s="11">
        <v>1</v>
      </c>
      <c r="F29" s="11">
        <v>8</v>
      </c>
      <c r="G29" s="11">
        <v>52509</v>
      </c>
      <c r="H29" s="11">
        <v>3</v>
      </c>
      <c r="I29" s="11" t="s">
        <v>55</v>
      </c>
    </row>
    <row r="30" spans="1:9">
      <c r="A30" s="15">
        <v>130001</v>
      </c>
      <c r="B30" s="15" t="s">
        <v>76</v>
      </c>
      <c r="C30" s="15">
        <v>2000</v>
      </c>
      <c r="D30" s="15">
        <v>1</v>
      </c>
      <c r="E30" s="15">
        <v>1</v>
      </c>
      <c r="F30" s="15">
        <v>1</v>
      </c>
      <c r="G30" s="15">
        <v>52541</v>
      </c>
      <c r="H30" s="15">
        <v>4</v>
      </c>
      <c r="I30" s="15" t="s">
        <v>77</v>
      </c>
    </row>
    <row r="31" spans="1:9">
      <c r="A31" s="15">
        <v>130002</v>
      </c>
      <c r="B31" s="15" t="s">
        <v>40</v>
      </c>
      <c r="C31" s="15">
        <v>2000</v>
      </c>
      <c r="D31" s="15">
        <v>1</v>
      </c>
      <c r="E31" s="15">
        <v>1</v>
      </c>
      <c r="F31" s="15">
        <v>2</v>
      </c>
      <c r="G31" s="15">
        <v>52542</v>
      </c>
      <c r="H31" s="15">
        <v>4</v>
      </c>
      <c r="I31" s="15" t="s">
        <v>41</v>
      </c>
    </row>
    <row r="32" spans="1:9">
      <c r="A32" s="15">
        <v>130003</v>
      </c>
      <c r="B32" s="15" t="s">
        <v>78</v>
      </c>
      <c r="C32" s="15">
        <v>10000</v>
      </c>
      <c r="D32" s="15">
        <v>3</v>
      </c>
      <c r="E32" s="15">
        <v>1</v>
      </c>
      <c r="F32" s="15">
        <v>3</v>
      </c>
      <c r="G32" s="15">
        <v>52543</v>
      </c>
      <c r="H32" s="15">
        <v>4</v>
      </c>
      <c r="I32" s="15" t="s">
        <v>79</v>
      </c>
    </row>
    <row r="33" spans="1:9">
      <c r="A33" s="15">
        <v>130004</v>
      </c>
      <c r="B33" s="15" t="s">
        <v>62</v>
      </c>
      <c r="C33" s="15">
        <v>20000</v>
      </c>
      <c r="D33" s="15">
        <v>3</v>
      </c>
      <c r="E33" s="15">
        <v>1</v>
      </c>
      <c r="F33" s="15">
        <v>4</v>
      </c>
      <c r="G33" s="15">
        <v>52544</v>
      </c>
      <c r="H33" s="15">
        <v>4</v>
      </c>
      <c r="I33" s="15" t="s">
        <v>63</v>
      </c>
    </row>
    <row r="34" spans="1:9">
      <c r="A34" s="15">
        <v>130005</v>
      </c>
      <c r="B34" s="15" t="s">
        <v>80</v>
      </c>
      <c r="C34" s="15">
        <v>20000</v>
      </c>
      <c r="D34" s="15">
        <v>3</v>
      </c>
      <c r="E34" s="15">
        <v>1</v>
      </c>
      <c r="F34" s="15">
        <v>4</v>
      </c>
      <c r="G34" s="15">
        <v>52545</v>
      </c>
      <c r="H34" s="15">
        <v>4</v>
      </c>
      <c r="I34" s="15" t="s">
        <v>81</v>
      </c>
    </row>
    <row r="35" spans="1:9">
      <c r="A35" s="15">
        <v>130006</v>
      </c>
      <c r="B35" s="15" t="s">
        <v>82</v>
      </c>
      <c r="C35" s="15">
        <v>45000</v>
      </c>
      <c r="D35" s="15">
        <v>3</v>
      </c>
      <c r="E35" s="15">
        <v>1</v>
      </c>
      <c r="F35" s="15">
        <v>5</v>
      </c>
      <c r="G35" s="15">
        <v>52546</v>
      </c>
      <c r="H35" s="15">
        <v>4</v>
      </c>
      <c r="I35" s="15" t="s">
        <v>49</v>
      </c>
    </row>
    <row r="36" spans="1:9">
      <c r="A36" s="15">
        <v>130007</v>
      </c>
      <c r="B36" s="15" t="s">
        <v>83</v>
      </c>
      <c r="C36" s="15">
        <v>45000</v>
      </c>
      <c r="D36" s="15">
        <v>3</v>
      </c>
      <c r="E36" s="15">
        <v>1</v>
      </c>
      <c r="F36" s="15">
        <v>6</v>
      </c>
      <c r="G36" s="15">
        <v>52547</v>
      </c>
      <c r="H36" s="15">
        <v>4</v>
      </c>
      <c r="I36" s="15" t="s">
        <v>84</v>
      </c>
    </row>
    <row r="37" spans="1:9">
      <c r="A37" s="15">
        <v>130008</v>
      </c>
      <c r="B37" s="15" t="s">
        <v>85</v>
      </c>
      <c r="C37" s="15">
        <v>115000</v>
      </c>
      <c r="D37" s="15">
        <v>3</v>
      </c>
      <c r="E37" s="15">
        <v>1</v>
      </c>
      <c r="F37" s="15">
        <v>7</v>
      </c>
      <c r="G37" s="15">
        <v>52548</v>
      </c>
      <c r="H37" s="15">
        <v>4</v>
      </c>
      <c r="I37" s="15" t="s">
        <v>86</v>
      </c>
    </row>
    <row r="38" spans="1:9">
      <c r="A38" s="15">
        <v>130009</v>
      </c>
      <c r="B38" s="15" t="s">
        <v>87</v>
      </c>
      <c r="C38" s="15">
        <v>215000</v>
      </c>
      <c r="D38" s="15">
        <v>3</v>
      </c>
      <c r="E38" s="15">
        <v>1</v>
      </c>
      <c r="F38" s="15">
        <v>8</v>
      </c>
      <c r="G38" s="15">
        <v>52549</v>
      </c>
      <c r="H38" s="15">
        <v>4</v>
      </c>
      <c r="I38" s="15" t="s">
        <v>55</v>
      </c>
    </row>
    <row r="39" spans="1:9">
      <c r="A39" s="15">
        <v>130010</v>
      </c>
      <c r="B39" s="15" t="s">
        <v>88</v>
      </c>
      <c r="C39" s="15">
        <v>215000</v>
      </c>
      <c r="D39" s="15">
        <v>3</v>
      </c>
      <c r="E39" s="15">
        <v>1</v>
      </c>
      <c r="F39" s="15">
        <v>9</v>
      </c>
      <c r="G39" s="15">
        <v>52550</v>
      </c>
      <c r="H39" s="15">
        <v>4</v>
      </c>
      <c r="I39" s="15" t="s">
        <v>57</v>
      </c>
    </row>
    <row r="40" spans="1:9">
      <c r="A40" s="15">
        <v>130011</v>
      </c>
      <c r="B40" s="15" t="s">
        <v>89</v>
      </c>
      <c r="C40" s="15">
        <v>215000</v>
      </c>
      <c r="D40" s="15">
        <v>3</v>
      </c>
      <c r="E40" s="15">
        <v>1</v>
      </c>
      <c r="F40" s="15">
        <v>10</v>
      </c>
      <c r="G40" s="15">
        <v>52551</v>
      </c>
      <c r="H40" s="15">
        <v>4</v>
      </c>
      <c r="I40" s="15" t="s">
        <v>90</v>
      </c>
    </row>
    <row r="41" spans="1:9">
      <c r="A41" s="1">
        <v>140001</v>
      </c>
      <c r="B41" s="1" t="s">
        <v>91</v>
      </c>
      <c r="C41" s="1">
        <v>2000</v>
      </c>
      <c r="D41" s="1">
        <v>1</v>
      </c>
      <c r="E41" s="1">
        <v>1</v>
      </c>
      <c r="F41" s="1">
        <v>1</v>
      </c>
      <c r="G41" s="1">
        <v>52571</v>
      </c>
      <c r="H41" s="1">
        <v>5</v>
      </c>
      <c r="I41" s="1" t="s">
        <v>92</v>
      </c>
    </row>
    <row r="42" spans="1:9">
      <c r="A42" s="1">
        <v>140002</v>
      </c>
      <c r="B42" s="1" t="s">
        <v>40</v>
      </c>
      <c r="C42" s="1">
        <v>2000</v>
      </c>
      <c r="D42" s="1">
        <v>1</v>
      </c>
      <c r="E42" s="1">
        <v>1</v>
      </c>
      <c r="F42" s="1">
        <v>2</v>
      </c>
      <c r="G42" s="1">
        <v>52572</v>
      </c>
      <c r="H42" s="1">
        <v>5</v>
      </c>
      <c r="I42" s="1" t="s">
        <v>41</v>
      </c>
    </row>
    <row r="43" spans="1:9">
      <c r="A43" s="1">
        <v>140003</v>
      </c>
      <c r="B43" s="1" t="s">
        <v>93</v>
      </c>
      <c r="C43" s="1">
        <v>10000</v>
      </c>
      <c r="D43" s="1">
        <v>3</v>
      </c>
      <c r="E43" s="1">
        <v>1</v>
      </c>
      <c r="F43" s="1">
        <v>3</v>
      </c>
      <c r="G43" s="1">
        <v>52573</v>
      </c>
      <c r="H43" s="1">
        <v>5</v>
      </c>
      <c r="I43" s="1" t="s">
        <v>94</v>
      </c>
    </row>
    <row r="44" spans="1:9">
      <c r="A44" s="1">
        <v>140004</v>
      </c>
      <c r="B44" s="1" t="s">
        <v>95</v>
      </c>
      <c r="C44" s="1">
        <v>20000</v>
      </c>
      <c r="D44" s="1">
        <v>3</v>
      </c>
      <c r="E44" s="1">
        <v>1</v>
      </c>
      <c r="F44" s="1">
        <v>4</v>
      </c>
      <c r="G44" s="1">
        <v>52574</v>
      </c>
      <c r="H44" s="1">
        <v>5</v>
      </c>
      <c r="I44" s="1" t="s">
        <v>63</v>
      </c>
    </row>
    <row r="45" spans="1:9">
      <c r="A45" s="1">
        <v>140005</v>
      </c>
      <c r="B45" s="1" t="s">
        <v>96</v>
      </c>
      <c r="C45" s="1">
        <v>20000</v>
      </c>
      <c r="D45" s="1">
        <v>3</v>
      </c>
      <c r="E45" s="1">
        <v>1</v>
      </c>
      <c r="F45" s="1">
        <v>4</v>
      </c>
      <c r="G45" s="1">
        <v>52575</v>
      </c>
      <c r="H45" s="1">
        <v>5</v>
      </c>
      <c r="I45" s="1" t="s">
        <v>97</v>
      </c>
    </row>
    <row r="46" spans="1:9">
      <c r="A46" s="1">
        <v>140006</v>
      </c>
      <c r="B46" s="1" t="s">
        <v>98</v>
      </c>
      <c r="C46" s="1">
        <v>45000</v>
      </c>
      <c r="D46" s="1">
        <v>3</v>
      </c>
      <c r="E46" s="1">
        <v>1</v>
      </c>
      <c r="F46" s="1">
        <v>5</v>
      </c>
      <c r="G46" s="1">
        <v>52576</v>
      </c>
      <c r="H46" s="1">
        <v>5</v>
      </c>
      <c r="I46" s="1" t="s">
        <v>49</v>
      </c>
    </row>
    <row r="47" spans="1:9">
      <c r="A47" s="1">
        <v>140007</v>
      </c>
      <c r="B47" s="1" t="s">
        <v>99</v>
      </c>
      <c r="C47" s="1">
        <v>45000</v>
      </c>
      <c r="D47" s="1">
        <v>3</v>
      </c>
      <c r="E47" s="1">
        <v>1</v>
      </c>
      <c r="F47" s="1">
        <v>6</v>
      </c>
      <c r="G47" s="1">
        <v>52577</v>
      </c>
      <c r="H47" s="1">
        <v>5</v>
      </c>
      <c r="I47" s="1" t="s">
        <v>100</v>
      </c>
    </row>
    <row r="48" spans="1:9">
      <c r="A48" s="1">
        <v>140008</v>
      </c>
      <c r="B48" s="1" t="s">
        <v>101</v>
      </c>
      <c r="C48" s="1">
        <v>115000</v>
      </c>
      <c r="D48" s="1">
        <v>3</v>
      </c>
      <c r="E48" s="1">
        <v>1</v>
      </c>
      <c r="F48" s="1">
        <v>7</v>
      </c>
      <c r="G48" s="1">
        <v>52578</v>
      </c>
      <c r="H48" s="1">
        <v>5</v>
      </c>
      <c r="I48" s="1" t="s">
        <v>102</v>
      </c>
    </row>
    <row r="49" spans="1:9">
      <c r="A49" s="1">
        <v>140009</v>
      </c>
      <c r="B49" s="1" t="s">
        <v>87</v>
      </c>
      <c r="C49" s="1">
        <v>215000</v>
      </c>
      <c r="D49" s="1">
        <v>3</v>
      </c>
      <c r="E49" s="1">
        <v>1</v>
      </c>
      <c r="F49" s="1">
        <v>8</v>
      </c>
      <c r="G49" s="1">
        <v>52579</v>
      </c>
      <c r="H49" s="1">
        <v>5</v>
      </c>
      <c r="I49" s="1" t="s">
        <v>55</v>
      </c>
    </row>
    <row r="50" spans="1:9">
      <c r="A50" s="1">
        <v>140010</v>
      </c>
      <c r="B50" s="1" t="s">
        <v>88</v>
      </c>
      <c r="C50" s="1">
        <v>215000</v>
      </c>
      <c r="D50" s="1">
        <v>3</v>
      </c>
      <c r="E50" s="1">
        <v>1</v>
      </c>
      <c r="F50" s="1">
        <v>9</v>
      </c>
      <c r="G50" s="1">
        <v>52580</v>
      </c>
      <c r="H50" s="1">
        <v>5</v>
      </c>
      <c r="I50" s="1" t="s">
        <v>57</v>
      </c>
    </row>
    <row r="51" spans="1:9">
      <c r="A51" s="1">
        <v>140011</v>
      </c>
      <c r="B51" s="1" t="s">
        <v>103</v>
      </c>
      <c r="C51" s="1">
        <v>215000</v>
      </c>
      <c r="D51" s="1">
        <v>3</v>
      </c>
      <c r="E51" s="1">
        <v>1</v>
      </c>
      <c r="F51" s="1">
        <v>10</v>
      </c>
      <c r="G51" s="1">
        <v>52581</v>
      </c>
      <c r="H51" s="1">
        <v>5</v>
      </c>
      <c r="I51" s="1" t="s">
        <v>104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I37"/>
  <sheetViews>
    <sheetView topLeftCell="A13" workbookViewId="0">
      <selection activeCell="E2" sqref="E2:E37"/>
    </sheetView>
  </sheetViews>
  <sheetFormatPr defaultColWidth="9" defaultRowHeight="14.25"/>
  <cols>
    <col min="1" max="1" width="8.625" customWidth="1"/>
    <col min="2" max="2" width="9.25" customWidth="1"/>
    <col min="3" max="3" width="53.125" customWidth="1"/>
    <col min="4" max="4" width="55.625" customWidth="1"/>
    <col min="5" max="5" width="13.25" customWidth="1"/>
    <col min="6" max="6" width="9.25" customWidth="1"/>
    <col min="7" max="7" width="5.625" customWidth="1"/>
    <col min="8" max="8" width="12.875" customWidth="1"/>
    <col min="9" max="9" width="47.25" customWidth="1"/>
  </cols>
  <sheetData>
    <row r="1" spans="1:9" ht="16.5">
      <c r="A1" s="2" t="s">
        <v>30</v>
      </c>
      <c r="B1" s="2" t="s">
        <v>105</v>
      </c>
      <c r="C1" s="2" t="s">
        <v>106</v>
      </c>
      <c r="D1" s="2" t="s">
        <v>107</v>
      </c>
      <c r="E1" s="2" t="s">
        <v>108</v>
      </c>
      <c r="F1" s="2" t="s">
        <v>36</v>
      </c>
      <c r="G1" s="2" t="s">
        <v>1</v>
      </c>
      <c r="H1" s="2" t="s">
        <v>37</v>
      </c>
      <c r="I1" s="2" t="s">
        <v>37</v>
      </c>
    </row>
    <row r="2" spans="1:9" ht="16.5">
      <c r="A2" s="2">
        <v>10001</v>
      </c>
      <c r="B2" s="2">
        <v>1</v>
      </c>
      <c r="C2" s="3" t="s">
        <v>109</v>
      </c>
      <c r="D2" s="4" t="s">
        <v>110</v>
      </c>
      <c r="E2" s="3" t="s">
        <v>111</v>
      </c>
      <c r="F2" s="3" t="s">
        <v>112</v>
      </c>
      <c r="G2">
        <v>1</v>
      </c>
      <c r="H2" t="s">
        <v>113</v>
      </c>
      <c r="I2" t="s">
        <v>114</v>
      </c>
    </row>
    <row r="3" spans="1:9" ht="16.5">
      <c r="A3" s="2">
        <v>10002</v>
      </c>
      <c r="B3" s="2">
        <v>2</v>
      </c>
      <c r="C3" s="3" t="s">
        <v>115</v>
      </c>
      <c r="D3" s="4" t="s">
        <v>116</v>
      </c>
      <c r="E3" s="3" t="s">
        <v>111</v>
      </c>
      <c r="F3" s="3">
        <v>51202</v>
      </c>
      <c r="G3">
        <v>1</v>
      </c>
      <c r="H3" t="s">
        <v>117</v>
      </c>
      <c r="I3" t="s">
        <v>118</v>
      </c>
    </row>
    <row r="4" spans="1:9" ht="16.5">
      <c r="A4" s="2">
        <v>10003</v>
      </c>
      <c r="B4" s="2">
        <v>3</v>
      </c>
      <c r="C4" s="3" t="s">
        <v>119</v>
      </c>
      <c r="D4" s="4" t="s">
        <v>116</v>
      </c>
      <c r="E4" s="3" t="s">
        <v>111</v>
      </c>
      <c r="F4" s="3">
        <v>51203</v>
      </c>
      <c r="G4">
        <v>1</v>
      </c>
      <c r="H4" t="s">
        <v>120</v>
      </c>
      <c r="I4" t="s">
        <v>118</v>
      </c>
    </row>
    <row r="5" spans="1:9" ht="16.5">
      <c r="A5" s="2">
        <v>10004</v>
      </c>
      <c r="B5" s="2">
        <v>4</v>
      </c>
      <c r="C5" s="3" t="s">
        <v>121</v>
      </c>
      <c r="D5" s="4" t="s">
        <v>116</v>
      </c>
      <c r="E5" s="3" t="s">
        <v>111</v>
      </c>
      <c r="F5" s="3">
        <v>51204</v>
      </c>
      <c r="G5">
        <v>1</v>
      </c>
      <c r="H5" t="s">
        <v>122</v>
      </c>
      <c r="I5" t="s">
        <v>118</v>
      </c>
    </row>
    <row r="6" spans="1:9" ht="16.5">
      <c r="A6" s="2">
        <v>10005</v>
      </c>
      <c r="B6" s="2">
        <v>5</v>
      </c>
      <c r="C6" s="3" t="s">
        <v>123</v>
      </c>
      <c r="D6" s="4" t="s">
        <v>116</v>
      </c>
      <c r="E6" s="3" t="s">
        <v>111</v>
      </c>
      <c r="F6" s="3">
        <v>51205</v>
      </c>
      <c r="G6">
        <v>1</v>
      </c>
      <c r="H6" t="s">
        <v>120</v>
      </c>
      <c r="I6" t="s">
        <v>118</v>
      </c>
    </row>
    <row r="7" spans="1:9" ht="16.5">
      <c r="A7" s="2">
        <v>10006</v>
      </c>
      <c r="B7" s="2">
        <v>6</v>
      </c>
      <c r="C7" s="3" t="s">
        <v>124</v>
      </c>
      <c r="D7" s="4" t="s">
        <v>116</v>
      </c>
      <c r="E7" s="3" t="s">
        <v>111</v>
      </c>
      <c r="F7" s="3">
        <v>51206</v>
      </c>
      <c r="G7">
        <v>1</v>
      </c>
      <c r="H7" t="s">
        <v>125</v>
      </c>
      <c r="I7" t="s">
        <v>118</v>
      </c>
    </row>
    <row r="8" spans="1:9" ht="16.5">
      <c r="A8" s="2">
        <v>10007</v>
      </c>
      <c r="B8" s="2">
        <v>7</v>
      </c>
      <c r="C8" s="3" t="s">
        <v>126</v>
      </c>
      <c r="D8" s="4" t="s">
        <v>116</v>
      </c>
      <c r="E8" s="3" t="s">
        <v>111</v>
      </c>
      <c r="F8" s="3">
        <v>51207</v>
      </c>
      <c r="G8">
        <v>1</v>
      </c>
      <c r="H8" t="s">
        <v>127</v>
      </c>
      <c r="I8" t="s">
        <v>118</v>
      </c>
    </row>
    <row r="9" spans="1:9" ht="16.5">
      <c r="A9" s="2">
        <v>10008</v>
      </c>
      <c r="B9" s="2">
        <v>8</v>
      </c>
      <c r="C9" s="3" t="s">
        <v>128</v>
      </c>
      <c r="D9" s="4" t="s">
        <v>116</v>
      </c>
      <c r="E9" s="3" t="s">
        <v>111</v>
      </c>
      <c r="F9" s="3">
        <v>51208</v>
      </c>
      <c r="G9">
        <v>1</v>
      </c>
      <c r="H9" t="s">
        <v>129</v>
      </c>
      <c r="I9" t="s">
        <v>118</v>
      </c>
    </row>
    <row r="10" spans="1:9" ht="16.5">
      <c r="A10" s="5">
        <v>11001</v>
      </c>
      <c r="B10" s="5">
        <v>1</v>
      </c>
      <c r="C10" s="6" t="s">
        <v>109</v>
      </c>
      <c r="D10" s="7" t="s">
        <v>116</v>
      </c>
      <c r="E10" s="3" t="s">
        <v>111</v>
      </c>
      <c r="F10" s="6" t="s">
        <v>130</v>
      </c>
      <c r="G10" s="1">
        <v>2</v>
      </c>
      <c r="H10" s="1" t="s">
        <v>113</v>
      </c>
      <c r="I10" s="1" t="s">
        <v>114</v>
      </c>
    </row>
    <row r="11" spans="1:9" ht="16.5">
      <c r="A11" s="5">
        <v>11002</v>
      </c>
      <c r="B11" s="5">
        <v>2</v>
      </c>
      <c r="C11" s="6" t="s">
        <v>115</v>
      </c>
      <c r="D11" s="7" t="s">
        <v>116</v>
      </c>
      <c r="E11" s="3" t="s">
        <v>111</v>
      </c>
      <c r="F11" s="6" t="s">
        <v>131</v>
      </c>
      <c r="G11" s="1">
        <v>2</v>
      </c>
      <c r="H11" s="1" t="s">
        <v>117</v>
      </c>
      <c r="I11" s="1" t="s">
        <v>118</v>
      </c>
    </row>
    <row r="12" spans="1:9" ht="16.5">
      <c r="A12" s="5">
        <v>11003</v>
      </c>
      <c r="B12" s="5">
        <v>3</v>
      </c>
      <c r="C12" s="6" t="s">
        <v>119</v>
      </c>
      <c r="D12" s="7" t="s">
        <v>116</v>
      </c>
      <c r="E12" s="3" t="s">
        <v>111</v>
      </c>
      <c r="F12" s="6" t="s">
        <v>132</v>
      </c>
      <c r="G12" s="1">
        <v>2</v>
      </c>
      <c r="H12" s="1" t="s">
        <v>120</v>
      </c>
      <c r="I12" s="1" t="s">
        <v>118</v>
      </c>
    </row>
    <row r="13" spans="1:9" ht="16.5">
      <c r="A13" s="5">
        <v>11004</v>
      </c>
      <c r="B13" s="5">
        <v>4</v>
      </c>
      <c r="C13" s="6" t="s">
        <v>121</v>
      </c>
      <c r="D13" s="7" t="s">
        <v>116</v>
      </c>
      <c r="E13" s="3" t="s">
        <v>111</v>
      </c>
      <c r="F13" s="6" t="s">
        <v>133</v>
      </c>
      <c r="G13" s="1">
        <v>2</v>
      </c>
      <c r="H13" s="1" t="s">
        <v>122</v>
      </c>
      <c r="I13" s="1" t="s">
        <v>118</v>
      </c>
    </row>
    <row r="14" spans="1:9" ht="16.5">
      <c r="A14" s="5">
        <v>11005</v>
      </c>
      <c r="B14" s="5">
        <v>5</v>
      </c>
      <c r="C14" s="6" t="s">
        <v>123</v>
      </c>
      <c r="D14" s="7" t="s">
        <v>116</v>
      </c>
      <c r="E14" s="3" t="s">
        <v>111</v>
      </c>
      <c r="F14" s="6" t="s">
        <v>134</v>
      </c>
      <c r="G14" s="1">
        <v>2</v>
      </c>
      <c r="H14" s="1" t="s">
        <v>120</v>
      </c>
      <c r="I14" s="1" t="s">
        <v>118</v>
      </c>
    </row>
    <row r="15" spans="1:9" ht="16.5">
      <c r="A15" s="5">
        <v>11006</v>
      </c>
      <c r="B15" s="5">
        <v>6</v>
      </c>
      <c r="C15" s="6" t="s">
        <v>124</v>
      </c>
      <c r="D15" s="7" t="s">
        <v>116</v>
      </c>
      <c r="E15" s="3" t="s">
        <v>111</v>
      </c>
      <c r="F15" s="6" t="s">
        <v>135</v>
      </c>
      <c r="G15" s="1">
        <v>2</v>
      </c>
      <c r="H15" s="1" t="s">
        <v>125</v>
      </c>
      <c r="I15" s="1" t="s">
        <v>118</v>
      </c>
    </row>
    <row r="16" spans="1:9" ht="16.5">
      <c r="A16" s="5">
        <v>11007</v>
      </c>
      <c r="B16" s="5">
        <v>7</v>
      </c>
      <c r="C16" s="6" t="s">
        <v>126</v>
      </c>
      <c r="D16" s="7" t="s">
        <v>116</v>
      </c>
      <c r="E16" s="3" t="s">
        <v>111</v>
      </c>
      <c r="F16" s="6" t="s">
        <v>136</v>
      </c>
      <c r="G16" s="1">
        <v>2</v>
      </c>
      <c r="H16" s="1" t="s">
        <v>127</v>
      </c>
      <c r="I16" s="1" t="s">
        <v>118</v>
      </c>
    </row>
    <row r="17" spans="1:9" ht="16.5">
      <c r="A17" s="8">
        <v>12001</v>
      </c>
      <c r="B17" s="8">
        <v>1</v>
      </c>
      <c r="C17" s="6" t="s">
        <v>109</v>
      </c>
      <c r="D17" s="9" t="s">
        <v>137</v>
      </c>
      <c r="E17" s="3" t="s">
        <v>111</v>
      </c>
      <c r="F17" s="10" t="s">
        <v>138</v>
      </c>
      <c r="G17" s="11">
        <v>3</v>
      </c>
      <c r="H17" s="11" t="s">
        <v>113</v>
      </c>
      <c r="I17" s="11" t="s">
        <v>114</v>
      </c>
    </row>
    <row r="18" spans="1:9" ht="16.5">
      <c r="A18" s="8">
        <v>12002</v>
      </c>
      <c r="B18" s="8">
        <v>2</v>
      </c>
      <c r="C18" s="6" t="s">
        <v>115</v>
      </c>
      <c r="D18" s="9" t="s">
        <v>137</v>
      </c>
      <c r="E18" s="3" t="s">
        <v>111</v>
      </c>
      <c r="F18" s="10" t="s">
        <v>139</v>
      </c>
      <c r="G18" s="11">
        <v>3</v>
      </c>
      <c r="H18" s="11" t="s">
        <v>117</v>
      </c>
      <c r="I18" s="11" t="s">
        <v>118</v>
      </c>
    </row>
    <row r="19" spans="1:9" ht="16.5">
      <c r="A19" s="8">
        <v>12003</v>
      </c>
      <c r="B19" s="8">
        <v>3</v>
      </c>
      <c r="C19" s="6" t="s">
        <v>119</v>
      </c>
      <c r="D19" s="9" t="s">
        <v>137</v>
      </c>
      <c r="E19" s="3" t="s">
        <v>111</v>
      </c>
      <c r="F19" s="10" t="s">
        <v>140</v>
      </c>
      <c r="G19" s="11">
        <v>3</v>
      </c>
      <c r="H19" s="11" t="s">
        <v>120</v>
      </c>
      <c r="I19" s="11" t="s">
        <v>118</v>
      </c>
    </row>
    <row r="20" spans="1:9" ht="16.5">
      <c r="A20" s="8">
        <v>12004</v>
      </c>
      <c r="B20" s="8">
        <v>4</v>
      </c>
      <c r="C20" s="6" t="s">
        <v>121</v>
      </c>
      <c r="D20" s="9" t="s">
        <v>137</v>
      </c>
      <c r="E20" s="3" t="s">
        <v>111</v>
      </c>
      <c r="F20" s="10" t="s">
        <v>141</v>
      </c>
      <c r="G20" s="11">
        <v>3</v>
      </c>
      <c r="H20" s="11" t="s">
        <v>122</v>
      </c>
      <c r="I20" s="11" t="s">
        <v>118</v>
      </c>
    </row>
    <row r="21" spans="1:9" ht="16.5">
      <c r="A21" s="8">
        <v>12005</v>
      </c>
      <c r="B21" s="8">
        <v>5</v>
      </c>
      <c r="C21" s="6" t="s">
        <v>123</v>
      </c>
      <c r="D21" s="9" t="s">
        <v>137</v>
      </c>
      <c r="E21" s="3" t="s">
        <v>111</v>
      </c>
      <c r="F21" s="10" t="s">
        <v>142</v>
      </c>
      <c r="G21" s="11">
        <v>3</v>
      </c>
      <c r="H21" s="11" t="s">
        <v>120</v>
      </c>
      <c r="I21" s="11" t="s">
        <v>118</v>
      </c>
    </row>
    <row r="22" spans="1:9" ht="16.5">
      <c r="A22" s="8">
        <v>12006</v>
      </c>
      <c r="B22" s="8">
        <v>6</v>
      </c>
      <c r="C22" s="6" t="s">
        <v>124</v>
      </c>
      <c r="D22" s="9" t="s">
        <v>137</v>
      </c>
      <c r="E22" s="3" t="s">
        <v>111</v>
      </c>
      <c r="F22" s="10" t="s">
        <v>143</v>
      </c>
      <c r="G22" s="11">
        <v>3</v>
      </c>
      <c r="H22" s="11" t="s">
        <v>125</v>
      </c>
      <c r="I22" s="11" t="s">
        <v>118</v>
      </c>
    </row>
    <row r="23" spans="1:9" ht="16.5">
      <c r="A23" s="8">
        <v>12007</v>
      </c>
      <c r="B23" s="8">
        <v>7</v>
      </c>
      <c r="C23" s="6" t="s">
        <v>126</v>
      </c>
      <c r="D23" s="9" t="s">
        <v>137</v>
      </c>
      <c r="E23" s="3" t="s">
        <v>111</v>
      </c>
      <c r="F23" s="10" t="s">
        <v>144</v>
      </c>
      <c r="G23" s="11">
        <v>3</v>
      </c>
      <c r="H23" s="11" t="s">
        <v>127</v>
      </c>
      <c r="I23" s="11" t="s">
        <v>118</v>
      </c>
    </row>
    <row r="24" spans="1:9" ht="16.5">
      <c r="A24" s="12">
        <v>13001</v>
      </c>
      <c r="B24" s="12">
        <v>1</v>
      </c>
      <c r="C24" s="13" t="s">
        <v>109</v>
      </c>
      <c r="D24" s="14" t="s">
        <v>116</v>
      </c>
      <c r="E24" s="3" t="s">
        <v>111</v>
      </c>
      <c r="F24" s="13" t="s">
        <v>145</v>
      </c>
      <c r="G24" s="15">
        <v>4</v>
      </c>
      <c r="H24" s="15" t="s">
        <v>113</v>
      </c>
      <c r="I24" s="15" t="s">
        <v>118</v>
      </c>
    </row>
    <row r="25" spans="1:9" ht="16.5">
      <c r="A25" s="12">
        <v>13002</v>
      </c>
      <c r="B25" s="12">
        <v>2</v>
      </c>
      <c r="C25" s="13" t="s">
        <v>115</v>
      </c>
      <c r="D25" s="14" t="s">
        <v>116</v>
      </c>
      <c r="E25" s="3" t="s">
        <v>111</v>
      </c>
      <c r="F25" s="13" t="s">
        <v>146</v>
      </c>
      <c r="G25" s="15">
        <v>4</v>
      </c>
      <c r="H25" s="15" t="s">
        <v>117</v>
      </c>
      <c r="I25" s="15" t="s">
        <v>118</v>
      </c>
    </row>
    <row r="26" spans="1:9" ht="16.5">
      <c r="A26" s="12">
        <v>13003</v>
      </c>
      <c r="B26" s="12">
        <v>3</v>
      </c>
      <c r="C26" s="13" t="s">
        <v>119</v>
      </c>
      <c r="D26" s="14" t="s">
        <v>116</v>
      </c>
      <c r="E26" s="3" t="s">
        <v>111</v>
      </c>
      <c r="F26" s="13" t="s">
        <v>147</v>
      </c>
      <c r="G26" s="15">
        <v>4</v>
      </c>
      <c r="H26" s="15" t="s">
        <v>120</v>
      </c>
      <c r="I26" s="15" t="s">
        <v>118</v>
      </c>
    </row>
    <row r="27" spans="1:9" ht="16.5">
      <c r="A27" s="12">
        <v>13004</v>
      </c>
      <c r="B27" s="12">
        <v>4</v>
      </c>
      <c r="C27" s="13" t="s">
        <v>121</v>
      </c>
      <c r="D27" s="14" t="s">
        <v>116</v>
      </c>
      <c r="E27" s="3" t="s">
        <v>111</v>
      </c>
      <c r="F27" s="13" t="s">
        <v>148</v>
      </c>
      <c r="G27" s="15">
        <v>4</v>
      </c>
      <c r="H27" s="15" t="s">
        <v>122</v>
      </c>
      <c r="I27" s="15" t="s">
        <v>118</v>
      </c>
    </row>
    <row r="28" spans="1:9" ht="16.5">
      <c r="A28" s="12">
        <v>13005</v>
      </c>
      <c r="B28" s="12">
        <v>5</v>
      </c>
      <c r="C28" s="13" t="s">
        <v>123</v>
      </c>
      <c r="D28" s="14" t="s">
        <v>116</v>
      </c>
      <c r="E28" s="3" t="s">
        <v>111</v>
      </c>
      <c r="F28" s="13" t="s">
        <v>149</v>
      </c>
      <c r="G28" s="15">
        <v>4</v>
      </c>
      <c r="H28" s="15" t="s">
        <v>120</v>
      </c>
      <c r="I28" s="15" t="s">
        <v>118</v>
      </c>
    </row>
    <row r="29" spans="1:9" ht="16.5">
      <c r="A29" s="12">
        <v>13006</v>
      </c>
      <c r="B29" s="12">
        <v>6</v>
      </c>
      <c r="C29" s="13" t="s">
        <v>124</v>
      </c>
      <c r="D29" s="14" t="s">
        <v>116</v>
      </c>
      <c r="E29" s="3" t="s">
        <v>111</v>
      </c>
      <c r="F29" s="13" t="s">
        <v>150</v>
      </c>
      <c r="G29" s="15">
        <v>4</v>
      </c>
      <c r="H29" s="15" t="s">
        <v>125</v>
      </c>
      <c r="I29" s="15" t="s">
        <v>118</v>
      </c>
    </row>
    <row r="30" spans="1:9" ht="16.5">
      <c r="A30" s="12">
        <v>13007</v>
      </c>
      <c r="B30" s="12">
        <v>7</v>
      </c>
      <c r="C30" s="13" t="s">
        <v>126</v>
      </c>
      <c r="D30" s="14" t="s">
        <v>116</v>
      </c>
      <c r="E30" s="3" t="s">
        <v>111</v>
      </c>
      <c r="F30" s="13" t="s">
        <v>151</v>
      </c>
      <c r="G30" s="15">
        <v>4</v>
      </c>
      <c r="H30" s="15" t="s">
        <v>127</v>
      </c>
      <c r="I30" s="15" t="s">
        <v>118</v>
      </c>
    </row>
    <row r="31" spans="1:9" s="1" customFormat="1" ht="16.5">
      <c r="A31" s="5">
        <v>14001</v>
      </c>
      <c r="B31" s="5">
        <v>1</v>
      </c>
      <c r="C31" s="6" t="s">
        <v>109</v>
      </c>
      <c r="D31" s="7" t="s">
        <v>152</v>
      </c>
      <c r="E31" s="3" t="s">
        <v>111</v>
      </c>
      <c r="F31" s="6" t="s">
        <v>153</v>
      </c>
      <c r="G31" s="1">
        <v>5</v>
      </c>
      <c r="H31" s="1" t="s">
        <v>113</v>
      </c>
      <c r="I31" s="1" t="s">
        <v>154</v>
      </c>
    </row>
    <row r="32" spans="1:9" s="1" customFormat="1" ht="16.5">
      <c r="A32" s="5">
        <v>14002</v>
      </c>
      <c r="B32" s="5">
        <v>2</v>
      </c>
      <c r="C32" s="6" t="s">
        <v>115</v>
      </c>
      <c r="D32" s="7" t="s">
        <v>152</v>
      </c>
      <c r="E32" s="3" t="s">
        <v>111</v>
      </c>
      <c r="F32" s="6" t="s">
        <v>155</v>
      </c>
      <c r="G32" s="1">
        <v>5</v>
      </c>
      <c r="H32" s="1" t="s">
        <v>117</v>
      </c>
      <c r="I32" s="1" t="s">
        <v>154</v>
      </c>
    </row>
    <row r="33" spans="1:9" s="1" customFormat="1" ht="16.5">
      <c r="A33" s="5">
        <v>14003</v>
      </c>
      <c r="B33" s="5">
        <v>3</v>
      </c>
      <c r="C33" s="6" t="s">
        <v>119</v>
      </c>
      <c r="D33" s="7" t="s">
        <v>152</v>
      </c>
      <c r="E33" s="3" t="s">
        <v>111</v>
      </c>
      <c r="F33" s="6" t="s">
        <v>156</v>
      </c>
      <c r="G33" s="1">
        <v>5</v>
      </c>
      <c r="H33" s="1" t="s">
        <v>120</v>
      </c>
      <c r="I33" s="1" t="s">
        <v>154</v>
      </c>
    </row>
    <row r="34" spans="1:9" s="1" customFormat="1" ht="16.5">
      <c r="A34" s="5">
        <v>14004</v>
      </c>
      <c r="B34" s="5">
        <v>4</v>
      </c>
      <c r="C34" s="6" t="s">
        <v>121</v>
      </c>
      <c r="D34" s="7" t="s">
        <v>152</v>
      </c>
      <c r="E34" s="3" t="s">
        <v>111</v>
      </c>
      <c r="F34" s="6" t="s">
        <v>157</v>
      </c>
      <c r="G34" s="1">
        <v>5</v>
      </c>
      <c r="H34" s="1" t="s">
        <v>122</v>
      </c>
      <c r="I34" s="1" t="s">
        <v>154</v>
      </c>
    </row>
    <row r="35" spans="1:9" s="1" customFormat="1" ht="16.5">
      <c r="A35" s="5">
        <v>14005</v>
      </c>
      <c r="B35" s="5">
        <v>5</v>
      </c>
      <c r="C35" s="6" t="s">
        <v>123</v>
      </c>
      <c r="D35" s="7" t="s">
        <v>152</v>
      </c>
      <c r="E35" s="3" t="s">
        <v>111</v>
      </c>
      <c r="F35" s="6" t="s">
        <v>158</v>
      </c>
      <c r="G35" s="1">
        <v>5</v>
      </c>
      <c r="H35" s="1" t="s">
        <v>120</v>
      </c>
      <c r="I35" s="1" t="s">
        <v>154</v>
      </c>
    </row>
    <row r="36" spans="1:9" s="1" customFormat="1" ht="16.5">
      <c r="A36" s="5">
        <v>14006</v>
      </c>
      <c r="B36" s="5">
        <v>6</v>
      </c>
      <c r="C36" s="6" t="s">
        <v>124</v>
      </c>
      <c r="D36" s="7" t="s">
        <v>152</v>
      </c>
      <c r="E36" s="3" t="s">
        <v>111</v>
      </c>
      <c r="F36" s="6" t="s">
        <v>159</v>
      </c>
      <c r="G36" s="1">
        <v>5</v>
      </c>
      <c r="H36" s="1" t="s">
        <v>125</v>
      </c>
      <c r="I36" s="1" t="s">
        <v>154</v>
      </c>
    </row>
    <row r="37" spans="1:9" s="1" customFormat="1" ht="16.5">
      <c r="A37" s="5">
        <v>14007</v>
      </c>
      <c r="B37" s="5">
        <v>7</v>
      </c>
      <c r="C37" s="6" t="s">
        <v>126</v>
      </c>
      <c r="D37" s="7" t="s">
        <v>152</v>
      </c>
      <c r="E37" s="3" t="s">
        <v>111</v>
      </c>
      <c r="F37" s="6" t="s">
        <v>160</v>
      </c>
      <c r="G37" s="1">
        <v>5</v>
      </c>
      <c r="H37" s="1" t="s">
        <v>127</v>
      </c>
      <c r="I37" s="1" t="s">
        <v>154</v>
      </c>
    </row>
  </sheetData>
  <conditionalFormatting sqref="F31:F37">
    <cfRule type="duplicateValues" dxfId="1" priority="1"/>
    <cfRule type="cellIs" dxfId="0" priority="2" operator="equal">
      <formula>110509</formula>
    </cfRule>
  </conditionalFormatting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C5"/>
  <sheetViews>
    <sheetView workbookViewId="0">
      <selection activeCell="K11" sqref="K11:K12"/>
    </sheetView>
  </sheetViews>
  <sheetFormatPr defaultColWidth="9" defaultRowHeight="14.25"/>
  <sheetData>
    <row r="1" spans="1:3">
      <c r="A1">
        <v>60</v>
      </c>
      <c r="B1">
        <v>7</v>
      </c>
    </row>
    <row r="2" spans="1:3">
      <c r="A2">
        <v>24</v>
      </c>
    </row>
    <row r="3" spans="1:3">
      <c r="A3">
        <f>A1*A2</f>
        <v>1440</v>
      </c>
      <c r="B3">
        <f>A3*B1</f>
        <v>10080</v>
      </c>
      <c r="C3">
        <f>120*14*7</f>
        <v>11760</v>
      </c>
    </row>
    <row r="4" spans="1:3">
      <c r="C4">
        <f>B3+C3</f>
        <v>21840</v>
      </c>
    </row>
    <row r="5" spans="1:3">
      <c r="C5">
        <f>C4/14</f>
        <v>1560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国庆狂欢基础</vt:lpstr>
      <vt:lpstr>国庆大促</vt:lpstr>
      <vt:lpstr>国庆狂欢登陆好礼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2015-06-05T18:19:00Z</dcterms:created>
  <dcterms:modified xsi:type="dcterms:W3CDTF">2025-10-17T04:11:41Z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B9851FBABA90417D9DB1B706F6E6F546</vt:lpwstr>
  </property>
  <property fmtid="{D5CDD505-2E9C-101B-9397-08002B2CF9AE}" pid="3" name="KSOProductBuildVer">
    <vt:lpwstr>1033-12.2.0.13215</vt:lpwstr>
  </property>
</Properties>
</file>