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release\"/>
    </mc:Choice>
  </mc:AlternateContent>
  <xr:revisionPtr revIDLastSave="0" documentId="13_ncr:1_{564569F3-BACB-4D58-B8C2-2F0E055EF07D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国战阵营" sheetId="1" r:id="rId1"/>
    <sheet name="国战城池" sheetId="2" r:id="rId2"/>
    <sheet name="国战随机奖励" sheetId="4" r:id="rId3"/>
    <sheet name="国战随机商店" sheetId="5" r:id="rId4"/>
    <sheet name="国战排行榜奖励" sheetId="3" r:id="rId5"/>
    <sheet name="国战特殊道具" sheetId="6" r:id="rId6"/>
    <sheet name="国战阵营属性" sheetId="7" r:id="rId7"/>
    <sheet name="国战名望任务" sheetId="8" r:id="rId8"/>
    <sheet name="国战名望奖励" sheetId="9" r:id="rId9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9" i="4" l="1"/>
  <c r="F29" i="4" s="1"/>
  <c r="E28" i="4"/>
  <c r="F28" i="4" s="1"/>
  <c r="E27" i="4"/>
  <c r="F27" i="4" s="1"/>
  <c r="E25" i="4"/>
  <c r="E26" i="4"/>
  <c r="F26" i="4" s="1"/>
  <c r="G3" i="4" l="1"/>
  <c r="G2" i="4"/>
  <c r="F25" i="4" l="1"/>
  <c r="E24" i="4"/>
  <c r="F24" i="4" s="1"/>
  <c r="E23" i="4"/>
  <c r="F23" i="4" s="1"/>
  <c r="E22" i="4"/>
  <c r="F22" i="4" s="1"/>
  <c r="E21" i="4"/>
  <c r="F21" i="4" s="1"/>
  <c r="E20" i="4"/>
  <c r="F20" i="4" s="1"/>
  <c r="E19" i="4"/>
  <c r="F19" i="4" s="1"/>
  <c r="E18" i="4"/>
  <c r="F18" i="4" s="1"/>
  <c r="E17" i="4"/>
  <c r="F17" i="4" s="1"/>
  <c r="E16" i="4"/>
  <c r="F16" i="4" s="1"/>
  <c r="E15" i="4"/>
  <c r="F15" i="4" s="1"/>
  <c r="E14" i="4"/>
  <c r="F14" i="4" s="1"/>
  <c r="E13" i="4"/>
  <c r="F13" i="4" s="1"/>
  <c r="E12" i="4"/>
  <c r="F12" i="4" s="1"/>
  <c r="E11" i="4"/>
  <c r="F11" i="4" s="1"/>
  <c r="E10" i="4"/>
  <c r="F10" i="4" s="1"/>
  <c r="E9" i="4"/>
  <c r="F9" i="4" s="1"/>
  <c r="E8" i="4"/>
  <c r="F8" i="4" s="1"/>
  <c r="E7" i="4"/>
  <c r="F7" i="4" s="1"/>
  <c r="E6" i="4"/>
  <c r="F6" i="4" s="1"/>
  <c r="E5" i="4"/>
  <c r="F5" i="4" s="1"/>
  <c r="E4" i="4"/>
  <c r="F4" i="4" s="1"/>
  <c r="E3" i="4"/>
  <c r="F3" i="4" s="1"/>
  <c r="E2" i="4"/>
  <c r="F2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HMT</author>
  </authors>
  <commentList>
    <comment ref="C1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HMT:</t>
        </r>
        <r>
          <rPr>
            <sz val="9"/>
            <rFont val="宋体"/>
            <family val="3"/>
            <charset val="134"/>
          </rPr>
          <t xml:space="preserve">
1、初始大本营
2、中立大本营
3、普通城池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HMT</author>
  </authors>
  <commentList>
    <comment ref="A1" authorId="0" shapeId="0" xr:uid="{00000000-0006-0000-0400-000001000000}">
      <text>
        <r>
          <rPr>
            <b/>
            <sz val="9"/>
            <rFont val="宋体"/>
            <family val="3"/>
            <charset val="134"/>
          </rPr>
          <t>HMT:</t>
        </r>
        <r>
          <rPr>
            <sz val="9"/>
            <rFont val="宋体"/>
            <family val="3"/>
            <charset val="134"/>
          </rPr>
          <t xml:space="preserve">
这个ID可以改</t>
        </r>
      </text>
    </comment>
    <comment ref="B1" authorId="0" shapeId="0" xr:uid="{00000000-0006-0000-0400-000002000000}">
      <text>
        <r>
          <rPr>
            <b/>
            <sz val="9"/>
            <rFont val="宋体"/>
            <family val="3"/>
            <charset val="134"/>
          </rPr>
          <t>HMT:</t>
        </r>
        <r>
          <rPr>
            <sz val="9"/>
            <rFont val="宋体"/>
            <family val="3"/>
            <charset val="134"/>
          </rPr>
          <t xml:space="preserve">
1、阵营积分
2、占领城池
3、击败玩家
4、伤害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zfw</author>
    <author>admin</author>
  </authors>
  <commentList>
    <comment ref="C1" authorId="0" shapeId="0" xr:uid="{00000000-0006-0000-0800-000001000000}">
      <text>
        <r>
          <rPr>
            <b/>
            <sz val="9"/>
            <color indexed="81"/>
            <rFont val="宋体"/>
            <family val="3"/>
            <charset val="134"/>
          </rPr>
          <t>zfw:</t>
        </r>
        <r>
          <rPr>
            <sz val="9"/>
            <color indexed="81"/>
            <rFont val="宋体"/>
            <family val="3"/>
            <charset val="134"/>
          </rPr>
          <t xml:space="preserve">
累加</t>
        </r>
      </text>
    </comment>
    <comment ref="D1" authorId="1" shapeId="0" xr:uid="{00000000-0006-0000-0800-000002000000}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其实没用到</t>
        </r>
      </text>
    </comment>
  </commentList>
</comments>
</file>

<file path=xl/sharedStrings.xml><?xml version="1.0" encoding="utf-8"?>
<sst xmlns="http://schemas.openxmlformats.org/spreadsheetml/2006/main" count="386" uniqueCount="271">
  <si>
    <t>阵营ID</t>
  </si>
  <si>
    <t>阵营名称</t>
  </si>
  <si>
    <t>大本营城池</t>
  </si>
  <si>
    <t>是否中立</t>
  </si>
  <si>
    <r>
      <rPr>
        <sz val="11"/>
        <color theme="1"/>
        <rFont val="Arial"/>
        <family val="3"/>
        <charset val="134"/>
        <scheme val="minor"/>
      </rPr>
      <t>旗帜图片I</t>
    </r>
    <r>
      <rPr>
        <sz val="11"/>
        <color theme="1"/>
        <rFont val="Arial"/>
        <family val="3"/>
        <charset val="134"/>
        <scheme val="minor"/>
      </rPr>
      <t>D</t>
    </r>
  </si>
  <si>
    <t>城池ID</t>
  </si>
  <si>
    <t>城池名称</t>
  </si>
  <si>
    <t>城池类型</t>
  </si>
  <si>
    <r>
      <rPr>
        <sz val="11"/>
        <color rgb="FFCE9178"/>
        <rFont val="宋体"/>
        <family val="3"/>
        <charset val="134"/>
      </rPr>
      <t>城池图片</t>
    </r>
    <r>
      <rPr>
        <sz val="11"/>
        <color rgb="FFCE9178"/>
        <rFont val="Consolas"/>
        <family val="3"/>
      </rPr>
      <t>ID</t>
    </r>
  </si>
  <si>
    <r>
      <rPr>
        <sz val="11"/>
        <color rgb="FFCE9178"/>
        <rFont val="宋体"/>
        <family val="3"/>
        <charset val="134"/>
      </rPr>
      <t>内城图片</t>
    </r>
    <r>
      <rPr>
        <sz val="11"/>
        <color rgb="FFCE9178"/>
        <rFont val="Consolas"/>
        <family val="3"/>
      </rPr>
      <t>ID</t>
    </r>
  </si>
  <si>
    <t>城池位置X</t>
  </si>
  <si>
    <t>城池位置Y</t>
  </si>
  <si>
    <t>相邻城池</t>
  </si>
  <si>
    <t>整点积分</t>
  </si>
  <si>
    <t>整点奖励</t>
  </si>
  <si>
    <t>初始防守怪物</t>
  </si>
  <si>
    <t>首次占领积分</t>
  </si>
  <si>
    <t>战斗胜利奖励</t>
  </si>
  <si>
    <t>战斗失败奖励</t>
  </si>
  <si>
    <t>最大容纳人数</t>
  </si>
  <si>
    <t>防守属性</t>
  </si>
  <si>
    <t>孤立无援属性</t>
  </si>
  <si>
    <t>随机奖励权重</t>
  </si>
  <si>
    <t>随机商店权重</t>
  </si>
  <si>
    <r>
      <rPr>
        <sz val="11"/>
        <color theme="1"/>
        <rFont val="Arial"/>
        <family val="3"/>
        <charset val="134"/>
        <scheme val="minor"/>
      </rPr>
      <t>1</t>
    </r>
    <r>
      <rPr>
        <sz val="11"/>
        <color theme="1"/>
        <rFont val="Arial"/>
        <family val="3"/>
        <charset val="134"/>
        <scheme val="minor"/>
      </rPr>
      <t>000#2#9</t>
    </r>
  </si>
  <si>
    <t>3:100084:10</t>
  </si>
  <si>
    <t>14:1000</t>
  </si>
  <si>
    <t>1003:-3000#1004:-3000</t>
  </si>
  <si>
    <r>
      <rPr>
        <sz val="11"/>
        <color theme="1"/>
        <rFont val="Arial"/>
        <family val="3"/>
        <charset val="134"/>
        <scheme val="minor"/>
      </rPr>
      <t>1</t>
    </r>
    <r>
      <rPr>
        <sz val="11"/>
        <color theme="1"/>
        <rFont val="Arial"/>
        <family val="3"/>
        <charset val="134"/>
        <scheme val="minor"/>
      </rPr>
      <t>000#1#4#5</t>
    </r>
  </si>
  <si>
    <t>14:1500</t>
  </si>
  <si>
    <r>
      <rPr>
        <sz val="11"/>
        <color theme="1"/>
        <rFont val="Arial"/>
        <family val="3"/>
        <charset val="134"/>
        <scheme val="minor"/>
      </rPr>
      <t>1</t>
    </r>
    <r>
      <rPr>
        <sz val="11"/>
        <color theme="1"/>
        <rFont val="Arial"/>
        <family val="3"/>
        <charset val="134"/>
        <scheme val="minor"/>
      </rPr>
      <t>000#4</t>
    </r>
  </si>
  <si>
    <t>14:2000</t>
  </si>
  <si>
    <r>
      <rPr>
        <sz val="11"/>
        <color theme="1"/>
        <rFont val="Arial"/>
        <family val="3"/>
        <charset val="134"/>
        <scheme val="minor"/>
      </rPr>
      <t>2#</t>
    </r>
    <r>
      <rPr>
        <sz val="11"/>
        <color theme="1"/>
        <rFont val="Arial"/>
        <family val="3"/>
        <charset val="134"/>
        <scheme val="minor"/>
      </rPr>
      <t>3#5#6</t>
    </r>
  </si>
  <si>
    <t>14:2500</t>
  </si>
  <si>
    <r>
      <rPr>
        <sz val="11"/>
        <color theme="1"/>
        <rFont val="Arial"/>
        <family val="3"/>
        <charset val="134"/>
        <scheme val="minor"/>
      </rPr>
      <t>2#</t>
    </r>
    <r>
      <rPr>
        <sz val="11"/>
        <color theme="1"/>
        <rFont val="Arial"/>
        <family val="3"/>
        <charset val="134"/>
        <scheme val="minor"/>
      </rPr>
      <t>4#9#7</t>
    </r>
  </si>
  <si>
    <t>15:1000</t>
  </si>
  <si>
    <t>4#7#22#100</t>
  </si>
  <si>
    <t>15:1500</t>
  </si>
  <si>
    <t>5#8#6#100#22</t>
  </si>
  <si>
    <t>3:100084:100</t>
  </si>
  <si>
    <t>15:2000</t>
  </si>
  <si>
    <t>9#12#7#100#20</t>
  </si>
  <si>
    <t>15:2500</t>
  </si>
  <si>
    <r>
      <rPr>
        <sz val="11"/>
        <color theme="1"/>
        <rFont val="Arial"/>
        <family val="3"/>
        <charset val="134"/>
        <scheme val="minor"/>
      </rPr>
      <t>1#</t>
    </r>
    <r>
      <rPr>
        <sz val="11"/>
        <color theme="1"/>
        <rFont val="Arial"/>
        <family val="3"/>
        <charset val="134"/>
        <scheme val="minor"/>
      </rPr>
      <t>10#11#12#8#5</t>
    </r>
  </si>
  <si>
    <t>15:3000</t>
  </si>
  <si>
    <r>
      <rPr>
        <sz val="11"/>
        <color theme="1"/>
        <rFont val="Arial"/>
        <family val="3"/>
        <charset val="134"/>
        <scheme val="minor"/>
      </rPr>
      <t>2</t>
    </r>
    <r>
      <rPr>
        <sz val="11"/>
        <color theme="1"/>
        <rFont val="Arial"/>
        <family val="3"/>
        <charset val="134"/>
        <scheme val="minor"/>
      </rPr>
      <t>000#11#9</t>
    </r>
  </si>
  <si>
    <r>
      <rPr>
        <sz val="11"/>
        <color theme="1"/>
        <rFont val="Arial"/>
        <family val="3"/>
        <charset val="134"/>
        <scheme val="minor"/>
      </rPr>
      <t>2</t>
    </r>
    <r>
      <rPr>
        <sz val="11"/>
        <color theme="1"/>
        <rFont val="Arial"/>
        <family val="3"/>
        <charset val="134"/>
        <scheme val="minor"/>
      </rPr>
      <t>000#13#9#10</t>
    </r>
  </si>
  <si>
    <t>13#9#8</t>
  </si>
  <si>
    <r>
      <rPr>
        <sz val="11"/>
        <color theme="1"/>
        <rFont val="Arial"/>
        <family val="3"/>
        <charset val="134"/>
        <scheme val="minor"/>
      </rPr>
      <t>1</t>
    </r>
    <r>
      <rPr>
        <sz val="11"/>
        <color theme="1"/>
        <rFont val="Arial"/>
        <family val="3"/>
        <charset val="134"/>
        <scheme val="minor"/>
      </rPr>
      <t>1#12#14#15</t>
    </r>
  </si>
  <si>
    <r>
      <rPr>
        <sz val="11"/>
        <color theme="1"/>
        <rFont val="Arial"/>
        <family val="3"/>
        <charset val="134"/>
        <scheme val="minor"/>
      </rPr>
      <t>1</t>
    </r>
    <r>
      <rPr>
        <sz val="11"/>
        <color theme="1"/>
        <rFont val="Arial"/>
        <family val="3"/>
        <charset val="134"/>
        <scheme val="minor"/>
      </rPr>
      <t>3#15#20</t>
    </r>
  </si>
  <si>
    <r>
      <rPr>
        <sz val="11"/>
        <color theme="1"/>
        <rFont val="Arial"/>
        <family val="3"/>
        <charset val="134"/>
        <scheme val="minor"/>
      </rPr>
      <t>1</t>
    </r>
    <r>
      <rPr>
        <sz val="11"/>
        <color theme="1"/>
        <rFont val="Arial"/>
        <family val="3"/>
        <charset val="134"/>
        <scheme val="minor"/>
      </rPr>
      <t>3#14#3000#18</t>
    </r>
  </si>
  <si>
    <r>
      <rPr>
        <sz val="11"/>
        <color theme="1"/>
        <rFont val="Arial"/>
        <family val="3"/>
        <charset val="134"/>
        <scheme val="minor"/>
      </rPr>
      <t>3</t>
    </r>
    <r>
      <rPr>
        <sz val="11"/>
        <color theme="1"/>
        <rFont val="Arial"/>
        <family val="3"/>
        <charset val="134"/>
        <scheme val="minor"/>
      </rPr>
      <t>000#18#19#17</t>
    </r>
  </si>
  <si>
    <r>
      <rPr>
        <sz val="11"/>
        <color theme="1"/>
        <rFont val="Arial"/>
        <family val="3"/>
        <charset val="134"/>
        <scheme val="minor"/>
      </rPr>
      <t>1</t>
    </r>
    <r>
      <rPr>
        <sz val="11"/>
        <color theme="1"/>
        <rFont val="Arial"/>
        <family val="3"/>
        <charset val="134"/>
        <scheme val="minor"/>
      </rPr>
      <t>6#18#19#23</t>
    </r>
  </si>
  <si>
    <r>
      <rPr>
        <sz val="11"/>
        <color theme="1"/>
        <rFont val="Arial"/>
        <family val="3"/>
        <charset val="134"/>
        <scheme val="minor"/>
      </rPr>
      <t>1</t>
    </r>
    <r>
      <rPr>
        <sz val="11"/>
        <color theme="1"/>
        <rFont val="Arial"/>
        <family val="3"/>
        <charset val="134"/>
        <scheme val="minor"/>
      </rPr>
      <t>5#16#17#19#20#21</t>
    </r>
  </si>
  <si>
    <t>21#18#16#17#23#25#27</t>
  </si>
  <si>
    <r>
      <rPr>
        <sz val="11"/>
        <color theme="1"/>
        <rFont val="Arial"/>
        <family val="3"/>
        <charset val="134"/>
        <scheme val="minor"/>
      </rPr>
      <t>1</t>
    </r>
    <r>
      <rPr>
        <sz val="11"/>
        <color theme="1"/>
        <rFont val="Arial"/>
        <family val="3"/>
        <charset val="134"/>
        <scheme val="minor"/>
      </rPr>
      <t>4#18#21#200#100#8</t>
    </r>
  </si>
  <si>
    <r>
      <rPr>
        <sz val="11"/>
        <color theme="1"/>
        <rFont val="Arial"/>
        <family val="3"/>
        <charset val="134"/>
        <scheme val="minor"/>
      </rPr>
      <t>2</t>
    </r>
    <r>
      <rPr>
        <sz val="11"/>
        <color theme="1"/>
        <rFont val="Arial"/>
        <family val="3"/>
        <charset val="134"/>
        <scheme val="minor"/>
      </rPr>
      <t>0#18#19#27#200</t>
    </r>
  </si>
  <si>
    <r>
      <rPr>
        <sz val="11"/>
        <color theme="1"/>
        <rFont val="Arial"/>
        <family val="3"/>
        <charset val="134"/>
        <scheme val="minor"/>
      </rPr>
      <t>6</t>
    </r>
    <r>
      <rPr>
        <sz val="11"/>
        <color theme="1"/>
        <rFont val="Arial"/>
        <family val="3"/>
        <charset val="134"/>
        <scheme val="minor"/>
      </rPr>
      <t>#7#100#200</t>
    </r>
  </si>
  <si>
    <r>
      <rPr>
        <sz val="11"/>
        <color theme="1"/>
        <rFont val="Arial"/>
        <family val="3"/>
        <charset val="134"/>
        <scheme val="minor"/>
      </rPr>
      <t>1</t>
    </r>
    <r>
      <rPr>
        <sz val="11"/>
        <color theme="1"/>
        <rFont val="Arial"/>
        <family val="3"/>
        <charset val="134"/>
        <scheme val="minor"/>
      </rPr>
      <t>9#17#24</t>
    </r>
  </si>
  <si>
    <r>
      <rPr>
        <sz val="11"/>
        <color theme="1"/>
        <rFont val="Arial"/>
        <family val="3"/>
        <charset val="134"/>
        <scheme val="minor"/>
      </rPr>
      <t>2</t>
    </r>
    <r>
      <rPr>
        <sz val="11"/>
        <color theme="1"/>
        <rFont val="Arial"/>
        <family val="3"/>
        <charset val="134"/>
        <scheme val="minor"/>
      </rPr>
      <t>3#25</t>
    </r>
  </si>
  <si>
    <r>
      <rPr>
        <sz val="11"/>
        <color theme="1"/>
        <rFont val="Arial"/>
        <family val="3"/>
        <charset val="134"/>
        <scheme val="minor"/>
      </rPr>
      <t>2</t>
    </r>
    <r>
      <rPr>
        <sz val="11"/>
        <color theme="1"/>
        <rFont val="Arial"/>
        <family val="3"/>
        <charset val="134"/>
        <scheme val="minor"/>
      </rPr>
      <t>7#19#24#26</t>
    </r>
  </si>
  <si>
    <r>
      <rPr>
        <sz val="11"/>
        <color theme="1"/>
        <rFont val="Arial"/>
        <family val="3"/>
        <charset val="134"/>
        <scheme val="minor"/>
      </rPr>
      <t>2</t>
    </r>
    <r>
      <rPr>
        <sz val="11"/>
        <color theme="1"/>
        <rFont val="Arial"/>
        <family val="3"/>
        <charset val="134"/>
        <scheme val="minor"/>
      </rPr>
      <t>5#4000</t>
    </r>
  </si>
  <si>
    <r>
      <rPr>
        <sz val="11"/>
        <color theme="1"/>
        <rFont val="Arial"/>
        <family val="3"/>
        <charset val="134"/>
        <scheme val="minor"/>
      </rPr>
      <t>2</t>
    </r>
    <r>
      <rPr>
        <sz val="11"/>
        <color theme="1"/>
        <rFont val="Arial"/>
        <family val="3"/>
        <charset val="134"/>
        <scheme val="minor"/>
      </rPr>
      <t>1#19#25#28</t>
    </r>
  </si>
  <si>
    <r>
      <rPr>
        <sz val="11"/>
        <color theme="1"/>
        <rFont val="Arial"/>
        <family val="3"/>
        <charset val="134"/>
        <scheme val="minor"/>
      </rPr>
      <t>4</t>
    </r>
    <r>
      <rPr>
        <sz val="11"/>
        <color theme="1"/>
        <rFont val="Arial"/>
        <family val="3"/>
        <charset val="134"/>
        <scheme val="minor"/>
      </rPr>
      <t>000#27</t>
    </r>
  </si>
  <si>
    <r>
      <rPr>
        <sz val="11"/>
        <color theme="1"/>
        <rFont val="Arial"/>
        <family val="3"/>
        <charset val="134"/>
        <scheme val="minor"/>
      </rPr>
      <t>6</t>
    </r>
    <r>
      <rPr>
        <sz val="11"/>
        <color theme="1"/>
        <rFont val="Arial"/>
        <family val="3"/>
        <charset val="134"/>
        <scheme val="minor"/>
      </rPr>
      <t>#7#8#20#200#22</t>
    </r>
  </si>
  <si>
    <t>3:100084:200</t>
  </si>
  <si>
    <t>6:1000</t>
  </si>
  <si>
    <r>
      <rPr>
        <sz val="11"/>
        <color theme="1"/>
        <rFont val="Arial"/>
        <family val="3"/>
        <charset val="134"/>
        <scheme val="minor"/>
      </rPr>
      <t>2</t>
    </r>
    <r>
      <rPr>
        <sz val="11"/>
        <color theme="1"/>
        <rFont val="Arial"/>
        <family val="3"/>
        <charset val="134"/>
        <scheme val="minor"/>
      </rPr>
      <t>2#100#20#21</t>
    </r>
  </si>
  <si>
    <t>8:2000</t>
  </si>
  <si>
    <t>1#2#3</t>
  </si>
  <si>
    <r>
      <rPr>
        <sz val="11"/>
        <color theme="1"/>
        <rFont val="Arial"/>
        <family val="3"/>
        <charset val="134"/>
        <scheme val="minor"/>
      </rPr>
      <t>1</t>
    </r>
    <r>
      <rPr>
        <sz val="11"/>
        <color theme="1"/>
        <rFont val="Arial"/>
        <family val="3"/>
        <charset val="134"/>
        <scheme val="minor"/>
      </rPr>
      <t>0#11</t>
    </r>
  </si>
  <si>
    <r>
      <rPr>
        <sz val="11"/>
        <color theme="1"/>
        <rFont val="Arial"/>
        <family val="3"/>
        <charset val="134"/>
        <scheme val="minor"/>
      </rPr>
      <t>1</t>
    </r>
    <r>
      <rPr>
        <sz val="11"/>
        <color theme="1"/>
        <rFont val="Arial"/>
        <family val="3"/>
        <charset val="134"/>
        <scheme val="minor"/>
      </rPr>
      <t>5#16</t>
    </r>
  </si>
  <si>
    <r>
      <rPr>
        <sz val="11"/>
        <color theme="1"/>
        <rFont val="Arial"/>
        <family val="3"/>
        <charset val="134"/>
        <scheme val="minor"/>
      </rPr>
      <t>2</t>
    </r>
    <r>
      <rPr>
        <sz val="11"/>
        <color theme="1"/>
        <rFont val="Arial"/>
        <family val="3"/>
        <charset val="134"/>
        <scheme val="minor"/>
      </rPr>
      <t>8#26</t>
    </r>
  </si>
  <si>
    <t>奖励ID</t>
  </si>
  <si>
    <t>奖励</t>
  </si>
  <si>
    <t>权重</t>
  </si>
  <si>
    <t>3:100006:1</t>
  </si>
  <si>
    <t>3:100025:1</t>
  </si>
  <si>
    <t>3:100217:1</t>
  </si>
  <si>
    <t>3:1000010:1</t>
  </si>
  <si>
    <t>3:400040:1</t>
  </si>
  <si>
    <t>3:100059:1</t>
  </si>
  <si>
    <t>3:100023:1</t>
  </si>
  <si>
    <t>3:100027:1</t>
  </si>
  <si>
    <t>商品ID</t>
  </si>
  <si>
    <t>商品内容</t>
  </si>
  <si>
    <t>价格</t>
  </si>
  <si>
    <t>限购数量</t>
  </si>
  <si>
    <t>3:400040:5</t>
  </si>
  <si>
    <r>
      <rPr>
        <sz val="11"/>
        <color theme="1"/>
        <rFont val="Arial"/>
        <family val="3"/>
        <charset val="134"/>
        <scheme val="minor"/>
      </rPr>
      <t>0:1:</t>
    </r>
    <r>
      <rPr>
        <sz val="11"/>
        <color theme="1"/>
        <rFont val="Arial"/>
        <family val="3"/>
        <charset val="134"/>
        <scheme val="minor"/>
      </rPr>
      <t>500</t>
    </r>
  </si>
  <si>
    <r>
      <rPr>
        <sz val="11"/>
        <color theme="1"/>
        <rFont val="Arial"/>
        <family val="3"/>
        <charset val="134"/>
        <scheme val="minor"/>
      </rPr>
      <t>3</t>
    </r>
    <r>
      <rPr>
        <sz val="11"/>
        <color theme="1"/>
        <rFont val="Arial"/>
        <family val="3"/>
        <charset val="134"/>
        <scheme val="minor"/>
      </rPr>
      <t>:</t>
    </r>
    <r>
      <rPr>
        <sz val="11"/>
        <color theme="1"/>
        <rFont val="Arial"/>
        <family val="3"/>
        <charset val="134"/>
        <scheme val="minor"/>
      </rPr>
      <t>100022</t>
    </r>
    <r>
      <rPr>
        <sz val="11"/>
        <color theme="1"/>
        <rFont val="Arial"/>
        <family val="3"/>
        <charset val="134"/>
        <scheme val="minor"/>
      </rPr>
      <t>:1</t>
    </r>
    <r>
      <rPr>
        <sz val="11"/>
        <color theme="1"/>
        <rFont val="Arial"/>
        <family val="3"/>
        <charset val="134"/>
        <scheme val="minor"/>
      </rPr>
      <t>0</t>
    </r>
  </si>
  <si>
    <r>
      <rPr>
        <sz val="11"/>
        <color theme="1"/>
        <rFont val="Arial"/>
        <family val="3"/>
        <charset val="134"/>
        <scheme val="minor"/>
      </rPr>
      <t>0:1:1</t>
    </r>
    <r>
      <rPr>
        <sz val="11"/>
        <color theme="1"/>
        <rFont val="Arial"/>
        <family val="3"/>
        <charset val="134"/>
        <scheme val="minor"/>
      </rPr>
      <t>5</t>
    </r>
    <r>
      <rPr>
        <sz val="11"/>
        <color theme="1"/>
        <rFont val="Arial"/>
        <family val="3"/>
        <charset val="134"/>
        <scheme val="minor"/>
      </rPr>
      <t>00</t>
    </r>
  </si>
  <si>
    <t>4:606002:50</t>
  </si>
  <si>
    <r>
      <rPr>
        <sz val="11"/>
        <color theme="1"/>
        <rFont val="Arial"/>
        <family val="3"/>
        <charset val="134"/>
        <scheme val="minor"/>
      </rPr>
      <t>0:1:</t>
    </r>
    <r>
      <rPr>
        <sz val="11"/>
        <color theme="1"/>
        <rFont val="Arial"/>
        <family val="3"/>
        <charset val="134"/>
        <scheme val="minor"/>
      </rPr>
      <t>2500</t>
    </r>
  </si>
  <si>
    <r>
      <rPr>
        <sz val="11"/>
        <color theme="1"/>
        <rFont val="Arial"/>
        <family val="3"/>
        <charset val="134"/>
        <scheme val="minor"/>
      </rPr>
      <t>3</t>
    </r>
    <r>
      <rPr>
        <sz val="11"/>
        <color theme="1"/>
        <rFont val="Arial"/>
        <family val="3"/>
        <charset val="134"/>
        <scheme val="minor"/>
      </rPr>
      <t>:</t>
    </r>
    <r>
      <rPr>
        <sz val="11"/>
        <color theme="1"/>
        <rFont val="Arial"/>
        <family val="3"/>
        <charset val="134"/>
        <scheme val="minor"/>
      </rPr>
      <t>100001</t>
    </r>
    <r>
      <rPr>
        <sz val="11"/>
        <color theme="1"/>
        <rFont val="Arial"/>
        <family val="3"/>
        <charset val="134"/>
        <scheme val="minor"/>
      </rPr>
      <t>:</t>
    </r>
    <r>
      <rPr>
        <sz val="11"/>
        <color theme="1"/>
        <rFont val="Arial"/>
        <family val="3"/>
        <charset val="134"/>
        <scheme val="minor"/>
      </rPr>
      <t>3000</t>
    </r>
  </si>
  <si>
    <t>0:1:2000</t>
  </si>
  <si>
    <t>3:100217:2</t>
  </si>
  <si>
    <r>
      <rPr>
        <sz val="11"/>
        <color theme="1"/>
        <rFont val="Arial"/>
        <family val="3"/>
        <charset val="134"/>
        <scheme val="minor"/>
      </rPr>
      <t>0:1:</t>
    </r>
    <r>
      <rPr>
        <sz val="11"/>
        <color theme="1"/>
        <rFont val="Arial"/>
        <family val="3"/>
        <charset val="134"/>
        <scheme val="minor"/>
      </rPr>
      <t>2</t>
    </r>
    <r>
      <rPr>
        <sz val="11"/>
        <color theme="1"/>
        <rFont val="Arial"/>
        <family val="3"/>
        <charset val="134"/>
        <scheme val="minor"/>
      </rPr>
      <t>00</t>
    </r>
  </si>
  <si>
    <r>
      <rPr>
        <sz val="11"/>
        <color theme="1"/>
        <rFont val="Arial"/>
        <family val="3"/>
        <charset val="134"/>
        <scheme val="minor"/>
      </rPr>
      <t>3</t>
    </r>
    <r>
      <rPr>
        <sz val="11"/>
        <color theme="1"/>
        <rFont val="Arial"/>
        <family val="3"/>
        <charset val="134"/>
        <scheme val="minor"/>
      </rPr>
      <t>:</t>
    </r>
    <r>
      <rPr>
        <sz val="11"/>
        <color theme="1"/>
        <rFont val="Arial"/>
        <family val="3"/>
        <charset val="134"/>
        <scheme val="minor"/>
      </rPr>
      <t>100025</t>
    </r>
    <r>
      <rPr>
        <sz val="11"/>
        <color theme="1"/>
        <rFont val="Arial"/>
        <family val="3"/>
        <charset val="134"/>
        <scheme val="minor"/>
      </rPr>
      <t>:</t>
    </r>
    <r>
      <rPr>
        <sz val="11"/>
        <color theme="1"/>
        <rFont val="Arial"/>
        <family val="3"/>
        <charset val="134"/>
        <scheme val="minor"/>
      </rPr>
      <t>2</t>
    </r>
  </si>
  <si>
    <t>0:1:1200</t>
  </si>
  <si>
    <t>排行榜类型</t>
  </si>
  <si>
    <t>排名起始</t>
  </si>
  <si>
    <t>排名结束</t>
  </si>
  <si>
    <t>奖励内容</t>
  </si>
  <si>
    <t>3:1000001:2#0:1:500#3:100084:5000</t>
  </si>
  <si>
    <t>0:1:300#3:100084:2000</t>
  </si>
  <si>
    <t>0:1:200#3:100084:1000</t>
  </si>
  <si>
    <t>0:1:100#3:100084:500</t>
  </si>
  <si>
    <t>3:1100001:1#3:400040:50#0:1:1000#3:100084:30000</t>
  </si>
  <si>
    <t>3:400040:30#0:1:500#3:100084:20000</t>
  </si>
  <si>
    <t>3:400040:20#0:1:350#3:100084:10000</t>
  </si>
  <si>
    <t>3:1100002:1#3:100006:2#0:1:1000#3:100084:30000</t>
  </si>
  <si>
    <t>3:100005:10#0:1:500#3:100084:20000</t>
  </si>
  <si>
    <t>3:1100003:1#3:100022:10#0:1:1000#3:100084:30000</t>
  </si>
  <si>
    <t>ID</t>
  </si>
  <si>
    <t>名称</t>
  </si>
  <si>
    <t>初始数量</t>
  </si>
  <si>
    <t>数量上限</t>
  </si>
  <si>
    <t>刷新小时数</t>
  </si>
  <si>
    <t>购买价格</t>
  </si>
  <si>
    <t>每天限购</t>
  </si>
  <si>
    <t>道具ID</t>
  </si>
  <si>
    <t>攻城令</t>
  </si>
  <si>
    <t>0:1:100</t>
  </si>
  <si>
    <t>迁移令</t>
  </si>
  <si>
    <r>
      <rPr>
        <sz val="11"/>
        <color theme="1"/>
        <rFont val="Arial"/>
        <family val="3"/>
        <charset val="134"/>
        <scheme val="minor"/>
      </rPr>
      <t>I</t>
    </r>
    <r>
      <rPr>
        <sz val="11"/>
        <color theme="1"/>
        <rFont val="Arial"/>
        <family val="3"/>
        <charset val="134"/>
        <scheme val="minor"/>
      </rPr>
      <t>D</t>
    </r>
  </si>
  <si>
    <t>阵营排名</t>
  </si>
  <si>
    <t>属性类型</t>
  </si>
  <si>
    <t>属性加成系数</t>
  </si>
  <si>
    <t>属性最大值</t>
  </si>
  <si>
    <t>任务ID</t>
  </si>
  <si>
    <t>任务类型</t>
  </si>
  <si>
    <t>同类型排序</t>
  </si>
  <si>
    <t>任务目标值</t>
  </si>
  <si>
    <t>完成积分奖励</t>
  </si>
  <si>
    <t>总积分</t>
  </si>
  <si>
    <t>任务描述</t>
    <phoneticPr fontId="8" type="noConversion"/>
  </si>
  <si>
    <t>前端显示图标</t>
    <phoneticPr fontId="8" type="noConversion"/>
  </si>
  <si>
    <r>
      <rPr>
        <sz val="11"/>
        <color theme="1"/>
        <rFont val="Arial"/>
        <family val="3"/>
        <charset val="134"/>
        <scheme val="minor"/>
      </rPr>
      <t>3</t>
    </r>
    <r>
      <rPr>
        <sz val="11"/>
        <color theme="1"/>
        <rFont val="Arial"/>
        <family val="3"/>
        <charset val="134"/>
        <scheme val="minor"/>
      </rPr>
      <t>:</t>
    </r>
    <r>
      <rPr>
        <sz val="11"/>
        <color theme="1"/>
        <rFont val="Arial"/>
        <family val="3"/>
        <charset val="134"/>
        <scheme val="minor"/>
      </rPr>
      <t>100022</t>
    </r>
    <r>
      <rPr>
        <sz val="11"/>
        <color theme="1"/>
        <rFont val="Arial"/>
        <family val="3"/>
        <charset val="134"/>
        <scheme val="minor"/>
      </rPr>
      <t>:1</t>
    </r>
    <phoneticPr fontId="8" type="noConversion"/>
  </si>
  <si>
    <t>3:100005:2#0:0:500000</t>
    <phoneticPr fontId="8" type="noConversion"/>
  </si>
  <si>
    <t>3:100031:20#0:0:1000000</t>
    <phoneticPr fontId="8" type="noConversion"/>
  </si>
  <si>
    <t>3:100022:2#0:0:2000000</t>
    <phoneticPr fontId="8" type="noConversion"/>
  </si>
  <si>
    <t>mwt_1</t>
    <phoneticPr fontId="8" type="noConversion"/>
  </si>
  <si>
    <t>mwt_2</t>
    <phoneticPr fontId="8" type="noConversion"/>
  </si>
  <si>
    <t>mwt_3</t>
    <phoneticPr fontId="8" type="noConversion"/>
  </si>
  <si>
    <t>福地珍藏</t>
    <phoneticPr fontId="8" type="noConversion"/>
  </si>
  <si>
    <t>军功</t>
    <phoneticPr fontId="8" type="noConversion"/>
  </si>
  <si>
    <t>3:400040:5#0:1:100#3:100084:2000</t>
    <phoneticPr fontId="8" type="noConversion"/>
  </si>
  <si>
    <t>3:400040:10#0:1:200#3:100084:5000</t>
    <phoneticPr fontId="8" type="noConversion"/>
  </si>
  <si>
    <t>3:400040:8#0:1:150#3:100084:3000</t>
    <phoneticPr fontId="8" type="noConversion"/>
  </si>
  <si>
    <t>普通寻宝券</t>
    <phoneticPr fontId="8" type="noConversion"/>
  </si>
  <si>
    <t>3:100022:8#0:1:500#3:100084:20000</t>
    <phoneticPr fontId="8" type="noConversion"/>
  </si>
  <si>
    <t>3:100022:5#0:1:350#3:100084:10000</t>
    <phoneticPr fontId="8" type="noConversion"/>
  </si>
  <si>
    <t>3:100022:4#0:1:200#3:100084:5000</t>
    <phoneticPr fontId="8" type="noConversion"/>
  </si>
  <si>
    <t>3:100022:3#0:1:150#3:100084:3000</t>
    <phoneticPr fontId="8" type="noConversion"/>
  </si>
  <si>
    <t>3:100022:2#0:1:100#3:100084:2000</t>
    <phoneticPr fontId="8" type="noConversion"/>
  </si>
  <si>
    <t>3:100022:1#0:1:50#3:100084:1000</t>
    <phoneticPr fontId="8" type="noConversion"/>
  </si>
  <si>
    <t>3:400040:2#0:1:50#3:100084:1000</t>
    <phoneticPr fontId="8" type="noConversion"/>
  </si>
  <si>
    <t>3:100005:8#0:1:350#3:100084:10000</t>
    <phoneticPr fontId="8" type="noConversion"/>
  </si>
  <si>
    <t>3:100005:6#0:1:200#3:100084:5000</t>
    <phoneticPr fontId="8" type="noConversion"/>
  </si>
  <si>
    <t>3:100005:3#0:1:100#3:100084:2000</t>
    <phoneticPr fontId="8" type="noConversion"/>
  </si>
  <si>
    <t>3:100005:2#0:1:50#3:100084:1000</t>
    <phoneticPr fontId="8" type="noConversion"/>
  </si>
  <si>
    <t>3:100005:4#0:1:150#3:100084:3000</t>
    <phoneticPr fontId="8" type="noConversion"/>
  </si>
  <si>
    <t>3:100084:5</t>
    <phoneticPr fontId="8" type="noConversion"/>
  </si>
  <si>
    <t>3:100084:15</t>
    <phoneticPr fontId="8" type="noConversion"/>
  </si>
  <si>
    <t>0:0:3000</t>
    <phoneticPr fontId="8" type="noConversion"/>
  </si>
  <si>
    <t>3:100001:8</t>
    <phoneticPr fontId="8" type="noConversion"/>
  </si>
  <si>
    <t>3:100004:8</t>
    <phoneticPr fontId="8" type="noConversion"/>
  </si>
  <si>
    <t>3:100005:1</t>
    <phoneticPr fontId="8" type="noConversion"/>
  </si>
  <si>
    <t>3:100029:1</t>
    <phoneticPr fontId="8" type="noConversion"/>
  </si>
  <si>
    <t>3:100031:2</t>
    <phoneticPr fontId="8" type="noConversion"/>
  </si>
  <si>
    <t>3:100084:10</t>
    <phoneticPr fontId="8" type="noConversion"/>
  </si>
  <si>
    <t>4:606002:1</t>
    <phoneticPr fontId="8" type="noConversion"/>
  </si>
  <si>
    <t>4:606008:1</t>
    <phoneticPr fontId="8" type="noConversion"/>
  </si>
  <si>
    <t>4:606009:1</t>
    <phoneticPr fontId="8" type="noConversion"/>
  </si>
  <si>
    <t>4:606010:1</t>
    <phoneticPr fontId="8" type="noConversion"/>
  </si>
  <si>
    <t>4:606011:1</t>
    <phoneticPr fontId="8" type="noConversion"/>
  </si>
  <si>
    <t>4:606012:1</t>
    <phoneticPr fontId="8" type="noConversion"/>
  </si>
  <si>
    <t>0:4:3000</t>
    <phoneticPr fontId="8" type="noConversion"/>
  </si>
  <si>
    <t>3:100030:1</t>
    <phoneticPr fontId="8" type="noConversion"/>
  </si>
  <si>
    <r>
      <t>0</t>
    </r>
    <r>
      <rPr>
        <sz val="11"/>
        <color theme="1"/>
        <rFont val="Arial"/>
        <family val="3"/>
        <charset val="134"/>
        <scheme val="minor"/>
      </rPr>
      <t>:1:10</t>
    </r>
    <phoneticPr fontId="8" type="noConversion"/>
  </si>
  <si>
    <t>3:100098:10</t>
    <phoneticPr fontId="8" type="noConversion"/>
  </si>
  <si>
    <t>3:100225:1</t>
    <phoneticPr fontId="8" type="noConversion"/>
  </si>
  <si>
    <t>3:100224:2</t>
    <phoneticPr fontId="8" type="noConversion"/>
  </si>
  <si>
    <t>Nội Chiến</t>
  </si>
  <si>
    <t>Nam Ban</t>
  </si>
  <si>
    <t>Đông Lư</t>
  </si>
  <si>
    <t>Phía Bắc</t>
  </si>
  <si>
    <t>Trung Lập</t>
  </si>
  <si>
    <t>Điếu Ngư Đài</t>
  </si>
  <si>
    <t>Lâm Đồng</t>
  </si>
  <si>
    <t>Tây Kỳ</t>
  </si>
  <si>
    <t>Lạc Ấp</t>
  </si>
  <si>
    <t>Thủ Dương Sơn</t>
  </si>
  <si>
    <t>Kim Kê Lĩnh</t>
  </si>
  <si>
    <t>Dũ bên trong</t>
  </si>
  <si>
    <t>Giới bài</t>
  </si>
  <si>
    <t>Tỷ nước</t>
  </si>
  <si>
    <t>Trác hươu</t>
  </si>
  <si>
    <t>Lê Dương</t>
  </si>
  <si>
    <t>Phản Tuyền</t>
  </si>
  <si>
    <t>Tuyệt Long Lĩnh</t>
  </si>
  <si>
    <t>Tam Sơn Quan</t>
  </si>
  <si>
    <t>Du hồn quan</t>
  </si>
  <si>
    <t>Nói chuyện</t>
  </si>
  <si>
    <t>Hổ phương</t>
  </si>
  <si>
    <t>Hội Kê</t>
  </si>
  <si>
    <t>Cự lộc</t>
  </si>
  <si>
    <t>Trần Đường quan</t>
  </si>
  <si>
    <t>Vũ vương đài</t>
  </si>
  <si>
    <t>Nữ Oa miếu</t>
  </si>
  <si>
    <t>Đế Lăng</t>
  </si>
  <si>
    <t>Thành trì</t>
  </si>
  <si>
    <t>Xuyên Vân Quan</t>
  </si>
  <si>
    <t>Yến Sơn</t>
  </si>
  <si>
    <t>Thiên Trì Sơn</t>
  </si>
  <si>
    <t>Bích Du Cung</t>
  </si>
  <si>
    <t>Ngọc Hư Cung</t>
  </si>
  <si>
    <t>Mục Dã</t>
  </si>
  <si>
    <t>Triều Ca</t>
  </si>
  <si>
    <t>Nam Man</t>
  </si>
  <si>
    <t>Đông lỗ</t>
  </si>
  <si>
    <t>Bắc Hải</t>
  </si>
  <si>
    <t>Tiến giai thạch</t>
  </si>
  <si>
    <t>Mạ vàng phấn</t>
  </si>
  <si>
    <t>Phổ thông tầm bảo khoán</t>
  </si>
  <si>
    <t>Cao cấp tầm bảo khoán</t>
  </si>
  <si>
    <t>Mệnh ký</t>
  </si>
  <si>
    <t>Làn da mảnh vỡ</t>
  </si>
  <si>
    <t>Tẩy luyện thạch</t>
  </si>
  <si>
    <t>Tiên Khí tinh hoa</t>
  </si>
  <si>
    <t>Quân công</t>
  </si>
  <si>
    <t>5 Tinh thông dụng mảnh vỡ</t>
  </si>
  <si>
    <t>5 Tinh thông dụng anh linh</t>
  </si>
  <si>
    <t>Cao cấp điểm tướng khoán</t>
  </si>
  <si>
    <t>Phúc địa trân tàng</t>
  </si>
  <si>
    <t>Máu anh thạch</t>
  </si>
  <si>
    <t>Hồn đan</t>
  </si>
  <si>
    <t>Diễn võ trường khiêu chiến khoán</t>
  </si>
  <si>
    <t>Treo thưởng đổi mới khoán</t>
  </si>
  <si>
    <t>Long châu</t>
  </si>
  <si>
    <t>Tu vi đan</t>
  </si>
  <si>
    <t>Bí kíp</t>
  </si>
  <si>
    <t>Mở ra phục chiến bảng 1 Lần</t>
  </si>
  <si>
    <t>Công kích địch nhân 3 Lần, vô luận thắng bại</t>
  </si>
  <si>
    <t>Công kích địch nhân 5 Lần, vô luận thắng bại</t>
  </si>
  <si>
    <t>Công kích địch nhân 10 Lần, vô luận thắng bại</t>
  </si>
  <si>
    <t>Đánh bại địch nhân 1 Lần</t>
  </si>
  <si>
    <t>Đánh bại địch nhân 3 Lần</t>
  </si>
  <si>
    <t>Đánh bại địch nhân 5 Lần</t>
  </si>
  <si>
    <t>Đơn cuộc chiến đấu tạo thành 100 Vạn tổn thương, vô luận thắng bại</t>
  </si>
  <si>
    <t>Đơn cuộc chiến đấu tạo thành 300 Vạn tổn thương, vô luận thắng bại</t>
  </si>
  <si>
    <t>Đơn cuộc chiến đấu tạo thành 500 Vạn tổn thương, vô luận thắng bại</t>
  </si>
  <si>
    <t>Hôm nay chung tạo thành 1000 Vạn điểm tổn thương</t>
  </si>
  <si>
    <t>Hôm nay chung tạo thành 2000 Vạn điểm tổn thương</t>
  </si>
  <si>
    <t>Hôm nay chung tạo thành 3000 Vạn điểm tổn thương</t>
  </si>
  <si>
    <t>Công chiếm thành trì 3 Cái</t>
  </si>
  <si>
    <t>Công chiếm thành trì 5 Cái</t>
  </si>
  <si>
    <t>Công chiếm thành trì 10 Cái</t>
  </si>
  <si>
    <t>Di chuyển thành trì 3 Lần</t>
  </si>
  <si>
    <t>Di chuyển thành trì 5 Lần</t>
  </si>
  <si>
    <t>Di chuyển thành trì 10 Lần</t>
  </si>
  <si>
    <t>Tiêu hao di chuyển khiến 3 Lần</t>
  </si>
  <si>
    <t>Tiêu hao di chuyển khiến 5 Lần</t>
  </si>
  <si>
    <t>Tiêu hao di chuyển khiến 10 Lần</t>
  </si>
  <si>
    <t>Ngẫu nhiên cửa hàng hối đoái 1 Lần</t>
  </si>
  <si>
    <t>Di chuyển đến trung lập đại bản doanh 1 Lần</t>
  </si>
  <si>
    <t>Trong công kích lập đại bản doanh 1 Lần</t>
  </si>
  <si>
    <t>Trong công kích lập đại bản doanh 2 Lần</t>
  </si>
  <si>
    <t>Trong công kích lập đại bản doanh 3 Lần</t>
  </si>
  <si>
    <t>Cao cấp điểm vé xổ số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</si>
</sst>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14">
    <font>
      <sz val="11"/>
      <color theme="1"/>
      <name val="Arial"/>
      <charset val="134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3"/>
      <charset val="134"/>
      <scheme val="minor"/>
    </font>
    <font>
      <sz val="10"/>
      <color theme="1"/>
      <name val="微软雅黑"/>
      <family val="2"/>
      <charset val="134"/>
    </font>
    <font>
      <sz val="11"/>
      <color rgb="FFCE9178"/>
      <name val="Consolas"/>
      <family val="3"/>
    </font>
    <font>
      <sz val="11"/>
      <color rgb="FFCE9178"/>
      <name val="宋体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Arial"/>
      <family val="3"/>
      <charset val="134"/>
      <scheme val="minor"/>
    </font>
    <font>
      <sz val="11"/>
      <color theme="1"/>
      <name val="Arial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name val="微软雅黑"/>
      <family val="2"/>
      <charset val="134"/>
    </font>
    <font>
      <sz val="11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49" fontId="2" fillId="0" borderId="0" xfId="0" applyNumberFormat="1" applyFont="1">
      <alignment vertical="center"/>
    </xf>
    <xf numFmtId="164" fontId="3" fillId="2" borderId="0" xfId="0" applyNumberFormat="1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0" fillId="0" borderId="0" xfId="0" applyFont="1" applyFill="1" applyAlignment="1">
      <alignment vertical="center"/>
    </xf>
    <xf numFmtId="0" fontId="0" fillId="3" borderId="0" xfId="0" applyFont="1" applyFill="1" applyAlignment="1">
      <alignment vertical="center"/>
    </xf>
    <xf numFmtId="49" fontId="2" fillId="3" borderId="0" xfId="0" applyNumberFormat="1" applyFont="1" applyFill="1" applyAlignment="1">
      <alignment vertical="center"/>
    </xf>
    <xf numFmtId="49" fontId="2" fillId="3" borderId="0" xfId="0" applyNumberFormat="1" applyFont="1" applyFill="1">
      <alignment vertical="center"/>
    </xf>
    <xf numFmtId="49" fontId="0" fillId="3" borderId="0" xfId="0" applyNumberFormat="1" applyFill="1">
      <alignment vertical="center"/>
    </xf>
    <xf numFmtId="0" fontId="2" fillId="0" borderId="0" xfId="0" applyFont="1">
      <alignment vertical="center"/>
    </xf>
    <xf numFmtId="49" fontId="0" fillId="3" borderId="0" xfId="0" applyNumberFormat="1" applyFont="1" applyFill="1">
      <alignment vertical="center"/>
    </xf>
    <xf numFmtId="164" fontId="3" fillId="0" borderId="0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0" borderId="0" xfId="0" applyFill="1">
      <alignment vertical="center"/>
    </xf>
    <xf numFmtId="0" fontId="4" fillId="0" borderId="0" xfId="0" applyFont="1">
      <alignment vertical="center"/>
    </xf>
    <xf numFmtId="0" fontId="4" fillId="0" borderId="0" xfId="0" applyFont="1" applyFill="1">
      <alignment vertical="center"/>
    </xf>
    <xf numFmtId="0" fontId="0" fillId="5" borderId="0" xfId="0" applyFill="1" applyAlignment="1">
      <alignment horizontal="center" vertical="center"/>
    </xf>
    <xf numFmtId="0" fontId="2" fillId="5" borderId="0" xfId="0" applyFont="1" applyFill="1">
      <alignment vertical="center"/>
    </xf>
    <xf numFmtId="0" fontId="2" fillId="4" borderId="0" xfId="0" applyFont="1" applyFill="1">
      <alignment vertical="center"/>
    </xf>
    <xf numFmtId="0" fontId="0" fillId="5" borderId="0" xfId="0" applyFont="1" applyFill="1" applyAlignment="1"/>
    <xf numFmtId="0" fontId="0" fillId="0" borderId="0" xfId="0" applyFont="1" applyFill="1" applyAlignment="1"/>
    <xf numFmtId="0" fontId="2" fillId="5" borderId="0" xfId="0" applyFont="1" applyFill="1" applyAlignment="1"/>
    <xf numFmtId="0" fontId="2" fillId="3" borderId="0" xfId="0" applyFont="1" applyFill="1">
      <alignment vertical="center"/>
    </xf>
    <xf numFmtId="0" fontId="0" fillId="0" borderId="0" xfId="0" applyFont="1">
      <alignment vertical="center"/>
    </xf>
    <xf numFmtId="0" fontId="0" fillId="4" borderId="0" xfId="0" applyFont="1" applyFill="1" applyAlignment="1"/>
    <xf numFmtId="0" fontId="0" fillId="3" borderId="0" xfId="0" applyFont="1" applyFill="1" applyAlignment="1"/>
    <xf numFmtId="49" fontId="0" fillId="3" borderId="0" xfId="0" applyNumberFormat="1" applyFont="1" applyFill="1" applyAlignment="1"/>
    <xf numFmtId="0" fontId="9" fillId="0" borderId="0" xfId="0" applyFont="1">
      <alignment vertical="center"/>
    </xf>
    <xf numFmtId="0" fontId="0" fillId="0" borderId="0" xfId="0" applyFill="1" applyAlignment="1">
      <alignment horizontal="center"/>
    </xf>
    <xf numFmtId="0" fontId="9" fillId="0" borderId="0" xfId="0" applyFont="1" applyAlignment="1">
      <alignment horizontal="center" vertical="center"/>
    </xf>
    <xf numFmtId="49" fontId="0" fillId="0" borderId="0" xfId="0" applyNumberFormat="1" applyFont="1" applyFill="1">
      <alignment vertical="center"/>
    </xf>
    <xf numFmtId="0" fontId="0" fillId="0" borderId="0" xfId="0" applyFill="1" applyAlignment="1">
      <alignment horizontal="center" vertical="center"/>
    </xf>
    <xf numFmtId="49" fontId="0" fillId="0" borderId="0" xfId="0" applyNumberFormat="1" applyFill="1">
      <alignment vertical="center"/>
    </xf>
    <xf numFmtId="49" fontId="2" fillId="0" borderId="0" xfId="0" applyNumberFormat="1" applyFont="1" applyFill="1">
      <alignment vertical="center"/>
    </xf>
    <xf numFmtId="2" fontId="0" fillId="0" borderId="0" xfId="0" applyNumberFormat="1" applyFill="1">
      <alignment vertical="center"/>
    </xf>
    <xf numFmtId="164" fontId="12" fillId="6" borderId="0" xfId="0" applyNumberFormat="1" applyFont="1" applyFill="1" applyBorder="1" applyAlignment="1">
      <alignment horizontal="center" vertical="center"/>
    </xf>
    <xf numFmtId="0" fontId="1" fillId="5" borderId="0" xfId="0" applyFont="1" applyFill="1">
      <alignment vertical="center"/>
    </xf>
    <xf numFmtId="0" fontId="1" fillId="0" borderId="0" xfId="0" applyFont="1">
      <alignment vertical="center"/>
    </xf>
    <xf numFmtId="0" fontId="13" fillId="7" borderId="0" xfId="0" applyFont="1" applyFill="1" applyAlignment="1">
      <alignment vertical="center" wrapText="1"/>
    </xf>
  </cellXfs>
  <cellStyles count="1">
    <cellStyle name="Bình thường" xfId="0" builtinId="0"/>
  </cellStyles>
  <dxfs count="56"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B6" sqref="B6"/>
    </sheetView>
  </sheetViews>
  <sheetFormatPr defaultColWidth="9" defaultRowHeight="14.25"/>
  <cols>
    <col min="3" max="3" width="10.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s="14" t="s">
        <v>4</v>
      </c>
    </row>
    <row r="2" spans="1:5">
      <c r="A2">
        <v>1</v>
      </c>
      <c r="B2" s="42" t="s">
        <v>184</v>
      </c>
      <c r="C2">
        <v>1000</v>
      </c>
      <c r="D2">
        <v>0</v>
      </c>
      <c r="E2">
        <v>1</v>
      </c>
    </row>
    <row r="3" spans="1:5">
      <c r="A3">
        <v>2</v>
      </c>
      <c r="B3" s="42" t="s">
        <v>185</v>
      </c>
      <c r="C3">
        <v>2000</v>
      </c>
      <c r="D3">
        <v>0</v>
      </c>
      <c r="E3">
        <v>2</v>
      </c>
    </row>
    <row r="4" spans="1:5">
      <c r="A4">
        <v>3</v>
      </c>
      <c r="B4" s="23" t="s">
        <v>186</v>
      </c>
      <c r="C4">
        <v>3000</v>
      </c>
      <c r="D4">
        <v>0</v>
      </c>
      <c r="E4">
        <v>3</v>
      </c>
    </row>
    <row r="5" spans="1:5">
      <c r="A5">
        <v>4</v>
      </c>
      <c r="B5" s="23" t="s">
        <v>187</v>
      </c>
      <c r="C5">
        <v>4000</v>
      </c>
      <c r="D5">
        <v>0</v>
      </c>
      <c r="E5">
        <v>4</v>
      </c>
    </row>
    <row r="6" spans="1:5">
      <c r="A6">
        <v>5</v>
      </c>
      <c r="B6" s="43" t="s">
        <v>188</v>
      </c>
      <c r="D6">
        <v>1</v>
      </c>
      <c r="E6">
        <v>5</v>
      </c>
    </row>
  </sheetData>
  <phoneticPr fontId="8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5"/>
  <sheetViews>
    <sheetView workbookViewId="0">
      <pane xSplit="1" ySplit="1" topLeftCell="B23" activePane="bottomRight" state="frozen"/>
      <selection pane="topRight"/>
      <selection pane="bottomLeft"/>
      <selection pane="bottomRight" activeCell="B2" sqref="B2:B35"/>
    </sheetView>
  </sheetViews>
  <sheetFormatPr defaultColWidth="9" defaultRowHeight="14.25"/>
  <cols>
    <col min="2" max="3" width="9" customWidth="1"/>
    <col min="4" max="5" width="12.875" customWidth="1"/>
    <col min="6" max="6" width="12.5" style="19" customWidth="1"/>
    <col min="7" max="7" width="11.75" style="19" customWidth="1"/>
    <col min="8" max="8" width="17.125" customWidth="1"/>
    <col min="9" max="9" width="9" style="8" customWidth="1"/>
    <col min="10" max="10" width="13.875" style="13" customWidth="1"/>
    <col min="11" max="11" width="12.875" customWidth="1"/>
    <col min="12" max="13" width="12.875" style="8" customWidth="1"/>
    <col min="14" max="15" width="12.875" customWidth="1"/>
    <col min="16" max="16" width="12.625" style="13" customWidth="1"/>
    <col min="17" max="17" width="23.875" style="8" customWidth="1"/>
    <col min="18" max="19" width="12.875" style="8" customWidth="1"/>
  </cols>
  <sheetData>
    <row r="1" spans="1:19" ht="15">
      <c r="A1" t="s">
        <v>5</v>
      </c>
      <c r="B1" t="s">
        <v>6</v>
      </c>
      <c r="C1" t="s">
        <v>7</v>
      </c>
      <c r="D1" s="20" t="s">
        <v>8</v>
      </c>
      <c r="E1" s="20" t="s">
        <v>9</v>
      </c>
      <c r="F1" s="21" t="s">
        <v>10</v>
      </c>
      <c r="G1" s="21" t="s">
        <v>11</v>
      </c>
      <c r="H1" s="2" t="s">
        <v>12</v>
      </c>
      <c r="I1" s="8" t="s">
        <v>13</v>
      </c>
      <c r="J1" s="13" t="s">
        <v>14</v>
      </c>
      <c r="K1" t="s">
        <v>15</v>
      </c>
      <c r="L1" s="8" t="s">
        <v>16</v>
      </c>
      <c r="M1" s="8" t="s">
        <v>17</v>
      </c>
      <c r="N1" t="s">
        <v>18</v>
      </c>
      <c r="O1" t="s">
        <v>19</v>
      </c>
      <c r="P1" s="13" t="s">
        <v>20</v>
      </c>
      <c r="Q1" s="8" t="s">
        <v>21</v>
      </c>
      <c r="R1" s="28" t="s">
        <v>22</v>
      </c>
      <c r="S1" s="8" t="s">
        <v>23</v>
      </c>
    </row>
    <row r="2" spans="1:19" ht="28.5">
      <c r="A2" s="22">
        <v>1</v>
      </c>
      <c r="B2" s="44" t="s">
        <v>189</v>
      </c>
      <c r="C2">
        <v>3</v>
      </c>
      <c r="D2">
        <v>8</v>
      </c>
      <c r="E2">
        <v>2</v>
      </c>
      <c r="F2" s="19">
        <v>293</v>
      </c>
      <c r="G2" s="19">
        <v>593</v>
      </c>
      <c r="H2" s="23" t="s">
        <v>24</v>
      </c>
      <c r="I2" s="8">
        <v>10</v>
      </c>
      <c r="J2" s="12" t="s">
        <v>163</v>
      </c>
      <c r="L2" s="8">
        <v>200</v>
      </c>
      <c r="M2" s="28" t="s">
        <v>25</v>
      </c>
      <c r="N2" s="29"/>
      <c r="O2">
        <v>30</v>
      </c>
      <c r="P2" s="12" t="s">
        <v>26</v>
      </c>
      <c r="Q2" s="28" t="s">
        <v>27</v>
      </c>
      <c r="R2" s="8">
        <v>100</v>
      </c>
      <c r="S2" s="8">
        <v>100</v>
      </c>
    </row>
    <row r="3" spans="1:19">
      <c r="A3" s="22">
        <v>2</v>
      </c>
      <c r="B3" s="44" t="s">
        <v>192</v>
      </c>
      <c r="C3">
        <v>3</v>
      </c>
      <c r="D3">
        <v>8</v>
      </c>
      <c r="E3">
        <v>2</v>
      </c>
      <c r="F3" s="19">
        <v>496</v>
      </c>
      <c r="G3" s="19">
        <v>534</v>
      </c>
      <c r="H3" s="23" t="s">
        <v>28</v>
      </c>
      <c r="I3" s="8">
        <v>10</v>
      </c>
      <c r="J3" s="12" t="s">
        <v>163</v>
      </c>
      <c r="L3" s="8">
        <v>200</v>
      </c>
      <c r="M3" s="28" t="s">
        <v>25</v>
      </c>
      <c r="N3" s="29"/>
      <c r="O3">
        <v>30</v>
      </c>
      <c r="P3" s="12" t="s">
        <v>29</v>
      </c>
      <c r="Q3" s="28" t="s">
        <v>27</v>
      </c>
      <c r="R3" s="8">
        <v>100</v>
      </c>
      <c r="S3" s="8">
        <v>100</v>
      </c>
    </row>
    <row r="4" spans="1:19" ht="42.75">
      <c r="A4" s="22">
        <v>3</v>
      </c>
      <c r="B4" s="44" t="s">
        <v>193</v>
      </c>
      <c r="C4">
        <v>3</v>
      </c>
      <c r="D4">
        <v>8</v>
      </c>
      <c r="E4">
        <v>2</v>
      </c>
      <c r="F4" s="19">
        <v>561</v>
      </c>
      <c r="G4" s="19">
        <v>252</v>
      </c>
      <c r="H4" s="23" t="s">
        <v>30</v>
      </c>
      <c r="I4" s="8">
        <v>10</v>
      </c>
      <c r="J4" s="12" t="s">
        <v>163</v>
      </c>
      <c r="L4" s="8">
        <v>200</v>
      </c>
      <c r="M4" s="28" t="s">
        <v>25</v>
      </c>
      <c r="N4" s="29"/>
      <c r="O4">
        <v>30</v>
      </c>
      <c r="P4" s="12" t="s">
        <v>31</v>
      </c>
      <c r="Q4" s="28" t="s">
        <v>27</v>
      </c>
      <c r="R4" s="8">
        <v>100</v>
      </c>
      <c r="S4" s="8">
        <v>100</v>
      </c>
    </row>
    <row r="5" spans="1:19" ht="28.5">
      <c r="A5" s="22">
        <v>4</v>
      </c>
      <c r="B5" s="44" t="s">
        <v>194</v>
      </c>
      <c r="C5">
        <v>3</v>
      </c>
      <c r="D5">
        <v>8</v>
      </c>
      <c r="E5">
        <v>2</v>
      </c>
      <c r="F5" s="19">
        <v>646</v>
      </c>
      <c r="G5" s="19">
        <v>390</v>
      </c>
      <c r="H5" s="23" t="s">
        <v>32</v>
      </c>
      <c r="I5" s="8">
        <v>10</v>
      </c>
      <c r="J5" s="12" t="s">
        <v>163</v>
      </c>
      <c r="L5" s="8">
        <v>200</v>
      </c>
      <c r="M5" s="28" t="s">
        <v>25</v>
      </c>
      <c r="N5" s="29"/>
      <c r="O5">
        <v>30</v>
      </c>
      <c r="P5" s="12" t="s">
        <v>33</v>
      </c>
      <c r="Q5" s="28" t="s">
        <v>27</v>
      </c>
      <c r="R5" s="8">
        <v>100</v>
      </c>
      <c r="S5" s="8">
        <v>100</v>
      </c>
    </row>
    <row r="6" spans="1:19" ht="28.5">
      <c r="A6" s="22">
        <v>5</v>
      </c>
      <c r="B6" s="44" t="s">
        <v>195</v>
      </c>
      <c r="C6">
        <v>3</v>
      </c>
      <c r="D6">
        <v>8</v>
      </c>
      <c r="E6">
        <v>2</v>
      </c>
      <c r="F6" s="19">
        <v>754</v>
      </c>
      <c r="G6" s="19">
        <v>542</v>
      </c>
      <c r="H6" s="23" t="s">
        <v>34</v>
      </c>
      <c r="I6" s="8">
        <v>10</v>
      </c>
      <c r="J6" s="12" t="s">
        <v>163</v>
      </c>
      <c r="L6" s="8">
        <v>200</v>
      </c>
      <c r="M6" s="28" t="s">
        <v>25</v>
      </c>
      <c r="N6" s="29"/>
      <c r="O6">
        <v>30</v>
      </c>
      <c r="P6" s="12" t="s">
        <v>35</v>
      </c>
      <c r="Q6" s="28" t="s">
        <v>27</v>
      </c>
      <c r="R6" s="8">
        <v>100</v>
      </c>
      <c r="S6" s="8">
        <v>100</v>
      </c>
    </row>
    <row r="7" spans="1:19">
      <c r="A7" s="22">
        <v>6</v>
      </c>
      <c r="B7" s="44" t="s">
        <v>196</v>
      </c>
      <c r="C7">
        <v>3</v>
      </c>
      <c r="D7">
        <v>9</v>
      </c>
      <c r="E7">
        <v>3</v>
      </c>
      <c r="F7" s="18">
        <v>1001</v>
      </c>
      <c r="G7" s="18">
        <v>475</v>
      </c>
      <c r="H7" s="23" t="s">
        <v>36</v>
      </c>
      <c r="I7" s="8">
        <v>10</v>
      </c>
      <c r="J7" s="12" t="s">
        <v>163</v>
      </c>
      <c r="L7" s="8">
        <v>200</v>
      </c>
      <c r="M7" s="28" t="s">
        <v>25</v>
      </c>
      <c r="N7" s="29"/>
      <c r="O7">
        <v>30</v>
      </c>
      <c r="P7" s="12" t="s">
        <v>37</v>
      </c>
      <c r="Q7" s="28" t="s">
        <v>27</v>
      </c>
      <c r="R7" s="8">
        <v>100</v>
      </c>
      <c r="S7" s="8">
        <v>100</v>
      </c>
    </row>
    <row r="8" spans="1:19">
      <c r="A8" s="22">
        <v>7</v>
      </c>
      <c r="B8" s="44" t="s">
        <v>197</v>
      </c>
      <c r="C8">
        <v>3</v>
      </c>
      <c r="D8">
        <v>9</v>
      </c>
      <c r="E8">
        <v>3</v>
      </c>
      <c r="F8" s="19">
        <v>947</v>
      </c>
      <c r="G8" s="19">
        <v>634</v>
      </c>
      <c r="H8" s="23" t="s">
        <v>38</v>
      </c>
      <c r="I8" s="8">
        <v>10</v>
      </c>
      <c r="J8" s="12" t="s">
        <v>163</v>
      </c>
      <c r="L8" s="8">
        <v>200</v>
      </c>
      <c r="M8" s="28" t="s">
        <v>39</v>
      </c>
      <c r="N8" s="29"/>
      <c r="O8">
        <v>30</v>
      </c>
      <c r="P8" s="12" t="s">
        <v>40</v>
      </c>
      <c r="Q8" s="28" t="s">
        <v>27</v>
      </c>
      <c r="R8" s="8">
        <v>100</v>
      </c>
      <c r="S8" s="8">
        <v>100</v>
      </c>
    </row>
    <row r="9" spans="1:19" ht="28.5">
      <c r="A9" s="22">
        <v>8</v>
      </c>
      <c r="B9" s="44" t="s">
        <v>190</v>
      </c>
      <c r="C9">
        <v>3</v>
      </c>
      <c r="D9">
        <v>8</v>
      </c>
      <c r="E9">
        <v>2</v>
      </c>
      <c r="F9" s="19">
        <v>821</v>
      </c>
      <c r="G9" s="19">
        <v>865</v>
      </c>
      <c r="H9" s="14" t="s">
        <v>41</v>
      </c>
      <c r="I9" s="8">
        <v>10</v>
      </c>
      <c r="J9" s="12" t="s">
        <v>163</v>
      </c>
      <c r="L9" s="8">
        <v>200</v>
      </c>
      <c r="M9" s="28" t="s">
        <v>39</v>
      </c>
      <c r="N9" s="29"/>
      <c r="O9">
        <v>30</v>
      </c>
      <c r="P9" s="12" t="s">
        <v>42</v>
      </c>
      <c r="Q9" s="28" t="s">
        <v>27</v>
      </c>
      <c r="R9" s="8">
        <v>100</v>
      </c>
      <c r="S9" s="8">
        <v>100</v>
      </c>
    </row>
    <row r="10" spans="1:19" ht="28.5">
      <c r="A10" s="22">
        <v>9</v>
      </c>
      <c r="B10" s="44" t="s">
        <v>198</v>
      </c>
      <c r="C10">
        <v>3</v>
      </c>
      <c r="D10">
        <v>8</v>
      </c>
      <c r="E10">
        <v>2</v>
      </c>
      <c r="F10" s="19">
        <v>561</v>
      </c>
      <c r="G10" s="19">
        <v>937</v>
      </c>
      <c r="H10" s="14" t="s">
        <v>43</v>
      </c>
      <c r="I10" s="8">
        <v>10</v>
      </c>
      <c r="J10" s="12" t="s">
        <v>163</v>
      </c>
      <c r="L10" s="8">
        <v>200</v>
      </c>
      <c r="M10" s="28" t="s">
        <v>39</v>
      </c>
      <c r="N10" s="29"/>
      <c r="O10">
        <v>30</v>
      </c>
      <c r="P10" s="12" t="s">
        <v>44</v>
      </c>
      <c r="Q10" s="28" t="s">
        <v>27</v>
      </c>
      <c r="R10" s="8">
        <v>100</v>
      </c>
      <c r="S10" s="8">
        <v>100</v>
      </c>
    </row>
    <row r="11" spans="1:19" ht="28.5">
      <c r="A11" s="22">
        <v>10</v>
      </c>
      <c r="B11" s="44" t="s">
        <v>199</v>
      </c>
      <c r="C11">
        <v>3</v>
      </c>
      <c r="D11">
        <v>8</v>
      </c>
      <c r="E11">
        <v>2</v>
      </c>
      <c r="F11" s="19">
        <v>224</v>
      </c>
      <c r="G11" s="19">
        <v>1157</v>
      </c>
      <c r="H11" s="14" t="s">
        <v>45</v>
      </c>
      <c r="I11" s="8">
        <v>10</v>
      </c>
      <c r="J11" s="12" t="s">
        <v>163</v>
      </c>
      <c r="L11" s="8">
        <v>200</v>
      </c>
      <c r="M11" s="28" t="s">
        <v>39</v>
      </c>
      <c r="N11" s="29"/>
      <c r="O11">
        <v>30</v>
      </c>
      <c r="P11" s="12" t="s">
        <v>26</v>
      </c>
      <c r="Q11" s="28" t="s">
        <v>27</v>
      </c>
      <c r="R11" s="8">
        <v>100</v>
      </c>
      <c r="S11" s="8">
        <v>100</v>
      </c>
    </row>
    <row r="12" spans="1:19" ht="28.5">
      <c r="A12" s="22">
        <v>11</v>
      </c>
      <c r="B12" s="44" t="s">
        <v>200</v>
      </c>
      <c r="C12">
        <v>3</v>
      </c>
      <c r="D12">
        <v>8</v>
      </c>
      <c r="E12">
        <v>2</v>
      </c>
      <c r="F12" s="19">
        <v>545</v>
      </c>
      <c r="G12" s="19">
        <v>1273</v>
      </c>
      <c r="H12" s="23" t="s">
        <v>46</v>
      </c>
      <c r="I12" s="8">
        <v>10</v>
      </c>
      <c r="J12" s="12" t="s">
        <v>163</v>
      </c>
      <c r="L12" s="8">
        <v>200</v>
      </c>
      <c r="M12" s="28" t="s">
        <v>39</v>
      </c>
      <c r="N12" s="29"/>
      <c r="O12">
        <v>30</v>
      </c>
      <c r="P12" s="12" t="s">
        <v>29</v>
      </c>
      <c r="Q12" s="28" t="s">
        <v>27</v>
      </c>
      <c r="R12" s="8">
        <v>100</v>
      </c>
      <c r="S12" s="8">
        <v>100</v>
      </c>
    </row>
    <row r="13" spans="1:19" ht="28.5">
      <c r="A13" s="22">
        <v>12</v>
      </c>
      <c r="B13" s="44" t="s">
        <v>201</v>
      </c>
      <c r="C13">
        <v>3</v>
      </c>
      <c r="D13">
        <v>8</v>
      </c>
      <c r="E13">
        <v>2</v>
      </c>
      <c r="F13" s="18">
        <v>862</v>
      </c>
      <c r="G13" s="18">
        <v>1118</v>
      </c>
      <c r="H13" s="23" t="s">
        <v>47</v>
      </c>
      <c r="I13" s="8">
        <v>10</v>
      </c>
      <c r="J13" s="12" t="s">
        <v>163</v>
      </c>
      <c r="L13" s="8">
        <v>200</v>
      </c>
      <c r="M13" s="28" t="s">
        <v>39</v>
      </c>
      <c r="N13" s="29"/>
      <c r="O13">
        <v>30</v>
      </c>
      <c r="P13" s="12" t="s">
        <v>31</v>
      </c>
      <c r="Q13" s="28" t="s">
        <v>27</v>
      </c>
      <c r="R13" s="8">
        <v>100</v>
      </c>
      <c r="S13" s="8">
        <v>100</v>
      </c>
    </row>
    <row r="14" spans="1:19" ht="28.5">
      <c r="A14" s="22">
        <v>13</v>
      </c>
      <c r="B14" s="44" t="s">
        <v>202</v>
      </c>
      <c r="C14">
        <v>3</v>
      </c>
      <c r="D14">
        <v>8</v>
      </c>
      <c r="E14">
        <v>2</v>
      </c>
      <c r="F14" s="18">
        <v>957</v>
      </c>
      <c r="G14" s="18">
        <v>1274</v>
      </c>
      <c r="H14" s="14" t="s">
        <v>48</v>
      </c>
      <c r="I14" s="8">
        <v>10</v>
      </c>
      <c r="J14" s="12" t="s">
        <v>163</v>
      </c>
      <c r="L14" s="8">
        <v>200</v>
      </c>
      <c r="M14" s="28" t="s">
        <v>39</v>
      </c>
      <c r="N14" s="29"/>
      <c r="O14">
        <v>30</v>
      </c>
      <c r="P14" s="12" t="s">
        <v>33</v>
      </c>
      <c r="Q14" s="28" t="s">
        <v>27</v>
      </c>
      <c r="R14" s="8">
        <v>100</v>
      </c>
      <c r="S14" s="8">
        <v>100</v>
      </c>
    </row>
    <row r="15" spans="1:19" ht="28.5">
      <c r="A15" s="22">
        <v>14</v>
      </c>
      <c r="B15" s="44" t="s">
        <v>203</v>
      </c>
      <c r="C15">
        <v>3</v>
      </c>
      <c r="D15">
        <v>8</v>
      </c>
      <c r="E15">
        <v>2</v>
      </c>
      <c r="F15" s="19">
        <v>1221</v>
      </c>
      <c r="G15" s="19">
        <v>1204</v>
      </c>
      <c r="H15" s="14" t="s">
        <v>49</v>
      </c>
      <c r="I15" s="8">
        <v>10</v>
      </c>
      <c r="J15" s="12" t="s">
        <v>163</v>
      </c>
      <c r="L15" s="8">
        <v>200</v>
      </c>
      <c r="M15" s="28" t="s">
        <v>39</v>
      </c>
      <c r="N15" s="29"/>
      <c r="O15">
        <v>30</v>
      </c>
      <c r="P15" s="12" t="s">
        <v>35</v>
      </c>
      <c r="Q15" s="28" t="s">
        <v>27</v>
      </c>
      <c r="R15" s="8">
        <v>100</v>
      </c>
      <c r="S15" s="8">
        <v>100</v>
      </c>
    </row>
    <row r="16" spans="1:19" ht="28.5">
      <c r="A16" s="22">
        <v>15</v>
      </c>
      <c r="B16" s="44" t="s">
        <v>204</v>
      </c>
      <c r="C16">
        <v>3</v>
      </c>
      <c r="D16">
        <v>8</v>
      </c>
      <c r="E16">
        <v>2</v>
      </c>
      <c r="F16" s="19">
        <v>1452</v>
      </c>
      <c r="G16" s="19">
        <v>1508</v>
      </c>
      <c r="H16" s="14" t="s">
        <v>50</v>
      </c>
      <c r="I16" s="8">
        <v>10</v>
      </c>
      <c r="J16" s="12" t="s">
        <v>163</v>
      </c>
      <c r="L16" s="8">
        <v>200</v>
      </c>
      <c r="M16" s="28" t="s">
        <v>39</v>
      </c>
      <c r="N16" s="29"/>
      <c r="O16">
        <v>30</v>
      </c>
      <c r="P16" s="12" t="s">
        <v>26</v>
      </c>
      <c r="Q16" s="28" t="s">
        <v>27</v>
      </c>
      <c r="R16" s="8">
        <v>100</v>
      </c>
      <c r="S16" s="8">
        <v>100</v>
      </c>
    </row>
    <row r="17" spans="1:19" ht="28.5">
      <c r="A17" s="22">
        <v>16</v>
      </c>
      <c r="B17" s="44" t="s">
        <v>205</v>
      </c>
      <c r="C17">
        <v>3</v>
      </c>
      <c r="D17">
        <v>8</v>
      </c>
      <c r="E17">
        <v>2</v>
      </c>
      <c r="F17" s="19">
        <v>1826</v>
      </c>
      <c r="G17" s="19">
        <v>1271</v>
      </c>
      <c r="H17" s="14" t="s">
        <v>51</v>
      </c>
      <c r="I17" s="8">
        <v>10</v>
      </c>
      <c r="J17" s="12" t="s">
        <v>163</v>
      </c>
      <c r="L17" s="8">
        <v>200</v>
      </c>
      <c r="M17" s="28" t="s">
        <v>39</v>
      </c>
      <c r="N17" s="29"/>
      <c r="O17">
        <v>30</v>
      </c>
      <c r="P17" s="12" t="s">
        <v>29</v>
      </c>
      <c r="Q17" s="28" t="s">
        <v>27</v>
      </c>
      <c r="R17" s="8">
        <v>100</v>
      </c>
      <c r="S17" s="8">
        <v>100</v>
      </c>
    </row>
    <row r="18" spans="1:19">
      <c r="A18" s="22">
        <v>17</v>
      </c>
      <c r="B18" s="44" t="s">
        <v>206</v>
      </c>
      <c r="C18">
        <v>3</v>
      </c>
      <c r="D18">
        <v>8</v>
      </c>
      <c r="E18">
        <v>2</v>
      </c>
      <c r="F18" s="19">
        <v>2079</v>
      </c>
      <c r="G18" s="19">
        <v>1159</v>
      </c>
      <c r="H18" s="14" t="s">
        <v>52</v>
      </c>
      <c r="I18" s="8">
        <v>10</v>
      </c>
      <c r="J18" s="12" t="s">
        <v>163</v>
      </c>
      <c r="L18" s="8">
        <v>200</v>
      </c>
      <c r="M18" s="28" t="s">
        <v>39</v>
      </c>
      <c r="N18" s="29"/>
      <c r="O18">
        <v>30</v>
      </c>
      <c r="P18" s="12" t="s">
        <v>31</v>
      </c>
      <c r="Q18" s="28" t="s">
        <v>27</v>
      </c>
      <c r="R18" s="8">
        <v>100</v>
      </c>
      <c r="S18" s="8">
        <v>100</v>
      </c>
    </row>
    <row r="19" spans="1:19">
      <c r="A19" s="22">
        <v>18</v>
      </c>
      <c r="B19" s="44" t="s">
        <v>207</v>
      </c>
      <c r="C19">
        <v>3</v>
      </c>
      <c r="D19">
        <v>8</v>
      </c>
      <c r="E19">
        <v>2</v>
      </c>
      <c r="F19" s="19">
        <v>1706</v>
      </c>
      <c r="G19" s="19">
        <v>1070</v>
      </c>
      <c r="H19" s="14" t="s">
        <v>53</v>
      </c>
      <c r="I19" s="8">
        <v>10</v>
      </c>
      <c r="J19" s="12" t="s">
        <v>163</v>
      </c>
      <c r="L19" s="8">
        <v>200</v>
      </c>
      <c r="M19" s="28" t="s">
        <v>39</v>
      </c>
      <c r="N19" s="29"/>
      <c r="O19">
        <v>30</v>
      </c>
      <c r="P19" s="12" t="s">
        <v>33</v>
      </c>
      <c r="Q19" s="28" t="s">
        <v>27</v>
      </c>
      <c r="R19" s="8">
        <v>100</v>
      </c>
      <c r="S19" s="8">
        <v>100</v>
      </c>
    </row>
    <row r="20" spans="1:19" ht="42.75">
      <c r="A20" s="22">
        <v>19</v>
      </c>
      <c r="B20" s="44" t="s">
        <v>208</v>
      </c>
      <c r="C20">
        <v>3</v>
      </c>
      <c r="D20">
        <v>8</v>
      </c>
      <c r="E20">
        <v>2</v>
      </c>
      <c r="F20" s="19">
        <v>1860</v>
      </c>
      <c r="G20" s="19">
        <v>950</v>
      </c>
      <c r="H20" s="14" t="s">
        <v>54</v>
      </c>
      <c r="I20" s="8">
        <v>10</v>
      </c>
      <c r="J20" s="12" t="s">
        <v>163</v>
      </c>
      <c r="L20" s="8">
        <v>200</v>
      </c>
      <c r="M20" s="28" t="s">
        <v>39</v>
      </c>
      <c r="N20" s="29"/>
      <c r="O20">
        <v>30</v>
      </c>
      <c r="P20" s="12" t="s">
        <v>35</v>
      </c>
      <c r="Q20" s="28" t="s">
        <v>27</v>
      </c>
      <c r="R20" s="8">
        <v>100</v>
      </c>
      <c r="S20" s="8">
        <v>100</v>
      </c>
    </row>
    <row r="21" spans="1:19" ht="28.5">
      <c r="A21" s="22">
        <v>20</v>
      </c>
      <c r="B21" s="44" t="s">
        <v>209</v>
      </c>
      <c r="C21">
        <v>3</v>
      </c>
      <c r="D21">
        <v>9</v>
      </c>
      <c r="E21">
        <v>3</v>
      </c>
      <c r="F21" s="19">
        <v>1393</v>
      </c>
      <c r="G21" s="19">
        <v>849</v>
      </c>
      <c r="H21" s="14" t="s">
        <v>55</v>
      </c>
      <c r="I21" s="8">
        <v>10</v>
      </c>
      <c r="J21" s="12" t="s">
        <v>163</v>
      </c>
      <c r="L21" s="8">
        <v>200</v>
      </c>
      <c r="M21" s="28" t="s">
        <v>39</v>
      </c>
      <c r="N21" s="29"/>
      <c r="O21">
        <v>30</v>
      </c>
      <c r="P21" s="12" t="s">
        <v>37</v>
      </c>
      <c r="Q21" s="28" t="s">
        <v>27</v>
      </c>
      <c r="R21" s="8">
        <v>100</v>
      </c>
      <c r="S21" s="8">
        <v>100</v>
      </c>
    </row>
    <row r="22" spans="1:19" ht="28.5">
      <c r="A22" s="22">
        <v>21</v>
      </c>
      <c r="B22" s="44" t="s">
        <v>210</v>
      </c>
      <c r="C22">
        <v>3</v>
      </c>
      <c r="D22">
        <v>9</v>
      </c>
      <c r="E22">
        <v>3</v>
      </c>
      <c r="F22" s="19">
        <v>1673</v>
      </c>
      <c r="G22" s="19">
        <v>828</v>
      </c>
      <c r="H22" s="14" t="s">
        <v>56</v>
      </c>
      <c r="I22" s="8">
        <v>10</v>
      </c>
      <c r="J22" s="12" t="s">
        <v>163</v>
      </c>
      <c r="L22" s="8">
        <v>200</v>
      </c>
      <c r="M22" s="28" t="s">
        <v>39</v>
      </c>
      <c r="N22" s="29"/>
      <c r="O22">
        <v>30</v>
      </c>
      <c r="P22" s="12" t="s">
        <v>40</v>
      </c>
      <c r="Q22" s="28" t="s">
        <v>27</v>
      </c>
      <c r="R22" s="8">
        <v>100</v>
      </c>
      <c r="S22" s="8">
        <v>100</v>
      </c>
    </row>
    <row r="23" spans="1:19">
      <c r="A23" s="22">
        <v>22</v>
      </c>
      <c r="B23" s="44" t="s">
        <v>211</v>
      </c>
      <c r="C23">
        <v>3</v>
      </c>
      <c r="D23">
        <v>9</v>
      </c>
      <c r="E23">
        <v>3</v>
      </c>
      <c r="F23" s="18">
        <v>1367</v>
      </c>
      <c r="G23" s="18">
        <v>521</v>
      </c>
      <c r="H23" s="14" t="s">
        <v>57</v>
      </c>
      <c r="I23" s="8">
        <v>10</v>
      </c>
      <c r="J23" s="12" t="s">
        <v>163</v>
      </c>
      <c r="L23" s="8">
        <v>200</v>
      </c>
      <c r="M23" s="28" t="s">
        <v>39</v>
      </c>
      <c r="N23" s="29"/>
      <c r="O23">
        <v>30</v>
      </c>
      <c r="P23" s="12" t="s">
        <v>42</v>
      </c>
      <c r="Q23" s="28" t="s">
        <v>27</v>
      </c>
      <c r="R23" s="8">
        <v>100</v>
      </c>
      <c r="S23" s="8">
        <v>100</v>
      </c>
    </row>
    <row r="24" spans="1:19">
      <c r="A24" s="22">
        <v>23</v>
      </c>
      <c r="B24" s="44" t="s">
        <v>212</v>
      </c>
      <c r="C24">
        <v>3</v>
      </c>
      <c r="D24">
        <v>8</v>
      </c>
      <c r="E24">
        <v>2</v>
      </c>
      <c r="F24" s="19">
        <v>2118</v>
      </c>
      <c r="G24" s="19">
        <v>879</v>
      </c>
      <c r="H24" s="14" t="s">
        <v>58</v>
      </c>
      <c r="I24" s="8">
        <v>10</v>
      </c>
      <c r="J24" s="12" t="s">
        <v>163</v>
      </c>
      <c r="L24" s="8">
        <v>200</v>
      </c>
      <c r="M24" s="28" t="s">
        <v>39</v>
      </c>
      <c r="N24" s="29"/>
      <c r="O24">
        <v>30</v>
      </c>
      <c r="P24" s="12" t="s">
        <v>35</v>
      </c>
      <c r="Q24" s="28" t="s">
        <v>27</v>
      </c>
      <c r="R24" s="8">
        <v>100</v>
      </c>
      <c r="S24" s="8">
        <v>100</v>
      </c>
    </row>
    <row r="25" spans="1:19" ht="28.5">
      <c r="A25" s="22">
        <v>24</v>
      </c>
      <c r="B25" s="44" t="s">
        <v>213</v>
      </c>
      <c r="C25">
        <v>3</v>
      </c>
      <c r="D25">
        <v>3</v>
      </c>
      <c r="E25">
        <v>3</v>
      </c>
      <c r="F25" s="19">
        <v>2392</v>
      </c>
      <c r="G25" s="19">
        <v>814</v>
      </c>
      <c r="H25" s="14" t="s">
        <v>59</v>
      </c>
      <c r="I25" s="8">
        <v>10</v>
      </c>
      <c r="J25" s="12" t="s">
        <v>163</v>
      </c>
      <c r="L25" s="8">
        <v>200</v>
      </c>
      <c r="M25" s="28" t="s">
        <v>39</v>
      </c>
      <c r="N25" s="29"/>
      <c r="O25">
        <v>30</v>
      </c>
      <c r="P25" s="12" t="s">
        <v>37</v>
      </c>
      <c r="Q25" s="28" t="s">
        <v>27</v>
      </c>
      <c r="R25" s="8">
        <v>100</v>
      </c>
      <c r="S25" s="8">
        <v>100</v>
      </c>
    </row>
    <row r="26" spans="1:19">
      <c r="A26" s="22">
        <v>25</v>
      </c>
      <c r="B26" s="44" t="s">
        <v>214</v>
      </c>
      <c r="C26">
        <v>3</v>
      </c>
      <c r="D26">
        <v>3</v>
      </c>
      <c r="E26">
        <v>3</v>
      </c>
      <c r="F26" s="19">
        <v>2305</v>
      </c>
      <c r="G26" s="19">
        <v>550</v>
      </c>
      <c r="H26" s="14" t="s">
        <v>60</v>
      </c>
      <c r="I26" s="8">
        <v>10</v>
      </c>
      <c r="J26" s="12" t="s">
        <v>163</v>
      </c>
      <c r="L26" s="8">
        <v>200</v>
      </c>
      <c r="M26" s="28" t="s">
        <v>39</v>
      </c>
      <c r="N26" s="29"/>
      <c r="O26">
        <v>30</v>
      </c>
      <c r="P26" s="12" t="s">
        <v>26</v>
      </c>
      <c r="Q26" s="28" t="s">
        <v>27</v>
      </c>
      <c r="R26" s="8">
        <v>100</v>
      </c>
      <c r="S26" s="8">
        <v>100</v>
      </c>
    </row>
    <row r="27" spans="1:19" ht="28.5">
      <c r="A27" s="22">
        <v>26</v>
      </c>
      <c r="B27" s="44" t="s">
        <v>215</v>
      </c>
      <c r="C27">
        <v>3</v>
      </c>
      <c r="D27">
        <v>2</v>
      </c>
      <c r="E27">
        <v>2</v>
      </c>
      <c r="F27" s="19">
        <v>2098</v>
      </c>
      <c r="G27" s="19">
        <v>400</v>
      </c>
      <c r="H27" s="14" t="s">
        <v>61</v>
      </c>
      <c r="I27" s="8">
        <v>10</v>
      </c>
      <c r="J27" s="12" t="s">
        <v>163</v>
      </c>
      <c r="L27" s="8">
        <v>200</v>
      </c>
      <c r="M27" s="28" t="s">
        <v>39</v>
      </c>
      <c r="N27" s="29"/>
      <c r="O27">
        <v>30</v>
      </c>
      <c r="P27" s="12" t="s">
        <v>29</v>
      </c>
      <c r="Q27" s="28" t="s">
        <v>27</v>
      </c>
      <c r="R27" s="8">
        <v>100</v>
      </c>
      <c r="S27" s="8">
        <v>100</v>
      </c>
    </row>
    <row r="28" spans="1:19" ht="28.5">
      <c r="A28" s="22">
        <v>27</v>
      </c>
      <c r="B28" s="44" t="s">
        <v>216</v>
      </c>
      <c r="C28">
        <v>3</v>
      </c>
      <c r="D28">
        <v>2</v>
      </c>
      <c r="E28">
        <v>2</v>
      </c>
      <c r="F28" s="19">
        <v>1949</v>
      </c>
      <c r="G28" s="19">
        <v>521</v>
      </c>
      <c r="H28" s="14" t="s">
        <v>62</v>
      </c>
      <c r="I28" s="8">
        <v>10</v>
      </c>
      <c r="J28" s="12" t="s">
        <v>163</v>
      </c>
      <c r="L28" s="8">
        <v>200</v>
      </c>
      <c r="M28" s="28" t="s">
        <v>39</v>
      </c>
      <c r="N28" s="29"/>
      <c r="O28">
        <v>30</v>
      </c>
      <c r="P28" s="12" t="s">
        <v>31</v>
      </c>
      <c r="Q28" s="28" t="s">
        <v>27</v>
      </c>
      <c r="R28" s="8">
        <v>100</v>
      </c>
      <c r="S28" s="8">
        <v>100</v>
      </c>
    </row>
    <row r="29" spans="1:19" ht="28.5">
      <c r="A29" s="22">
        <v>28</v>
      </c>
      <c r="B29" s="44" t="s">
        <v>217</v>
      </c>
      <c r="C29">
        <v>3</v>
      </c>
      <c r="D29">
        <v>2</v>
      </c>
      <c r="E29">
        <v>2</v>
      </c>
      <c r="F29" s="19">
        <v>1848</v>
      </c>
      <c r="G29" s="19">
        <v>394</v>
      </c>
      <c r="H29" s="14" t="s">
        <v>63</v>
      </c>
      <c r="I29" s="8">
        <v>10</v>
      </c>
      <c r="J29" s="12" t="s">
        <v>163</v>
      </c>
      <c r="L29" s="8">
        <v>200</v>
      </c>
      <c r="M29" s="28" t="s">
        <v>39</v>
      </c>
      <c r="N29" s="29"/>
      <c r="O29">
        <v>30</v>
      </c>
      <c r="P29" s="12" t="s">
        <v>33</v>
      </c>
      <c r="Q29" s="28" t="s">
        <v>27</v>
      </c>
      <c r="R29" s="8">
        <v>100</v>
      </c>
      <c r="S29" s="8">
        <v>100</v>
      </c>
    </row>
    <row r="30" spans="1:19" s="17" customFormat="1">
      <c r="A30" s="22">
        <v>100</v>
      </c>
      <c r="B30" s="44" t="s">
        <v>218</v>
      </c>
      <c r="C30" s="17">
        <v>2</v>
      </c>
      <c r="D30" s="17">
        <v>4</v>
      </c>
      <c r="E30" s="17">
        <v>1</v>
      </c>
      <c r="F30" s="17">
        <v>1200</v>
      </c>
      <c r="G30" s="17">
        <v>648</v>
      </c>
      <c r="H30" s="24" t="s">
        <v>64</v>
      </c>
      <c r="I30" s="8">
        <v>30</v>
      </c>
      <c r="J30" s="12" t="s">
        <v>164</v>
      </c>
      <c r="K30" s="30">
        <v>10001</v>
      </c>
      <c r="L30" s="8">
        <v>500</v>
      </c>
      <c r="M30" s="28" t="s">
        <v>65</v>
      </c>
      <c r="N30" s="29"/>
      <c r="O30" s="17">
        <v>30</v>
      </c>
      <c r="P30" s="12" t="s">
        <v>66</v>
      </c>
      <c r="Q30" s="28" t="s">
        <v>27</v>
      </c>
      <c r="R30" s="8">
        <v>1000</v>
      </c>
      <c r="S30" s="8">
        <v>100</v>
      </c>
    </row>
    <row r="31" spans="1:19" s="17" customFormat="1">
      <c r="A31" s="22">
        <v>200</v>
      </c>
      <c r="B31" s="44" t="s">
        <v>219</v>
      </c>
      <c r="C31" s="17">
        <v>2</v>
      </c>
      <c r="D31" s="17">
        <v>4</v>
      </c>
      <c r="E31" s="17">
        <v>1</v>
      </c>
      <c r="F31" s="17">
        <v>1529</v>
      </c>
      <c r="G31" s="17">
        <v>697</v>
      </c>
      <c r="H31" s="24" t="s">
        <v>67</v>
      </c>
      <c r="I31" s="8">
        <v>30</v>
      </c>
      <c r="J31" s="12" t="s">
        <v>164</v>
      </c>
      <c r="K31" s="30">
        <v>10001</v>
      </c>
      <c r="L31" s="8">
        <v>500</v>
      </c>
      <c r="M31" s="28" t="s">
        <v>65</v>
      </c>
      <c r="N31" s="29"/>
      <c r="O31" s="17">
        <v>30</v>
      </c>
      <c r="P31" s="12" t="s">
        <v>68</v>
      </c>
      <c r="Q31" s="28" t="s">
        <v>27</v>
      </c>
      <c r="R31" s="8">
        <v>1000</v>
      </c>
      <c r="S31" s="8">
        <v>100</v>
      </c>
    </row>
    <row r="32" spans="1:19" s="18" customFormat="1">
      <c r="A32" s="22">
        <v>1000</v>
      </c>
      <c r="B32" s="44" t="s">
        <v>191</v>
      </c>
      <c r="C32" s="25">
        <v>1</v>
      </c>
      <c r="D32" s="25">
        <v>7</v>
      </c>
      <c r="E32" s="17">
        <v>1</v>
      </c>
      <c r="F32" s="26">
        <v>300</v>
      </c>
      <c r="G32" s="26">
        <v>376</v>
      </c>
      <c r="H32" s="27" t="s">
        <v>69</v>
      </c>
      <c r="I32" s="31"/>
      <c r="J32" s="32"/>
      <c r="L32" s="8"/>
      <c r="M32" s="8"/>
      <c r="N32" s="29"/>
      <c r="O32" s="18">
        <v>10000</v>
      </c>
      <c r="P32" s="13"/>
      <c r="Q32" s="8"/>
      <c r="R32" s="8"/>
      <c r="S32" s="8"/>
    </row>
    <row r="33" spans="1:19" s="18" customFormat="1">
      <c r="A33" s="22">
        <v>2000</v>
      </c>
      <c r="B33" s="44" t="s">
        <v>220</v>
      </c>
      <c r="C33" s="18">
        <v>1</v>
      </c>
      <c r="D33" s="25">
        <v>7</v>
      </c>
      <c r="E33" s="17">
        <v>1</v>
      </c>
      <c r="F33" s="19">
        <v>311</v>
      </c>
      <c r="G33" s="19">
        <v>1449</v>
      </c>
      <c r="H33" s="23" t="s">
        <v>70</v>
      </c>
      <c r="I33" s="8"/>
      <c r="J33" s="13"/>
      <c r="L33" s="8"/>
      <c r="M33" s="8"/>
      <c r="O33" s="18">
        <v>10000</v>
      </c>
      <c r="P33" s="15"/>
      <c r="Q33" s="8"/>
      <c r="R33" s="8"/>
      <c r="S33" s="8"/>
    </row>
    <row r="34" spans="1:19" s="18" customFormat="1">
      <c r="A34" s="22">
        <v>3000</v>
      </c>
      <c r="B34" s="44" t="s">
        <v>221</v>
      </c>
      <c r="C34" s="18">
        <v>1</v>
      </c>
      <c r="D34" s="25">
        <v>7</v>
      </c>
      <c r="E34" s="17">
        <v>1</v>
      </c>
      <c r="F34" s="19">
        <v>1720</v>
      </c>
      <c r="G34" s="19">
        <v>1449</v>
      </c>
      <c r="H34" s="23" t="s">
        <v>71</v>
      </c>
      <c r="I34" s="8"/>
      <c r="J34" s="13"/>
      <c r="L34" s="8"/>
      <c r="M34" s="8"/>
      <c r="O34" s="18">
        <v>10000</v>
      </c>
      <c r="P34" s="15"/>
      <c r="Q34" s="8"/>
      <c r="R34" s="8"/>
      <c r="S34" s="8"/>
    </row>
    <row r="35" spans="1:19" s="18" customFormat="1">
      <c r="A35" s="22">
        <v>4000</v>
      </c>
      <c r="B35" s="44" t="s">
        <v>222</v>
      </c>
      <c r="C35" s="18">
        <v>1</v>
      </c>
      <c r="D35" s="25">
        <v>7</v>
      </c>
      <c r="E35" s="17">
        <v>1</v>
      </c>
      <c r="F35" s="19">
        <v>1749</v>
      </c>
      <c r="G35" s="19">
        <v>238</v>
      </c>
      <c r="H35" s="23" t="s">
        <v>72</v>
      </c>
      <c r="I35" s="8"/>
      <c r="J35" s="13"/>
      <c r="L35" s="8"/>
      <c r="M35" s="8"/>
      <c r="O35" s="18">
        <v>10000</v>
      </c>
      <c r="P35" s="13"/>
      <c r="Q35" s="8"/>
      <c r="R35" s="8"/>
      <c r="S35" s="8"/>
    </row>
  </sheetData>
  <phoneticPr fontId="8" type="noConversion"/>
  <conditionalFormatting sqref="K30">
    <cfRule type="duplicateValues" dxfId="55" priority="1"/>
    <cfRule type="duplicateValues" dxfId="54" priority="2"/>
    <cfRule type="duplicateValues" dxfId="53" priority="3"/>
    <cfRule type="duplicateValues" dxfId="52" priority="4"/>
    <cfRule type="duplicateValues" dxfId="51" priority="5"/>
    <cfRule type="duplicateValues" dxfId="50" priority="6"/>
    <cfRule type="duplicateValues" dxfId="49" priority="7"/>
    <cfRule type="duplicateValues" priority="8"/>
    <cfRule type="duplicateValues" dxfId="48" priority="9"/>
  </conditionalFormatting>
  <conditionalFormatting sqref="K31">
    <cfRule type="duplicateValues" dxfId="47" priority="10"/>
    <cfRule type="duplicateValues" dxfId="46" priority="11"/>
    <cfRule type="duplicateValues" dxfId="45" priority="12"/>
    <cfRule type="duplicateValues" dxfId="44" priority="13"/>
    <cfRule type="duplicateValues" dxfId="43" priority="14"/>
    <cfRule type="duplicateValues" dxfId="42" priority="15"/>
    <cfRule type="duplicateValues" dxfId="41" priority="16"/>
    <cfRule type="duplicateValues" priority="17"/>
    <cfRule type="duplicateValues" dxfId="40" priority="18"/>
  </conditionalFormatting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9"/>
  <sheetViews>
    <sheetView workbookViewId="0">
      <selection activeCell="D3" sqref="D3:D29"/>
    </sheetView>
  </sheetViews>
  <sheetFormatPr defaultColWidth="9" defaultRowHeight="14.25"/>
  <cols>
    <col min="1" max="1" width="9" style="19"/>
    <col min="2" max="2" width="13.875" style="38" customWidth="1"/>
    <col min="3" max="3" width="9" style="19"/>
    <col min="4" max="4" width="11" style="19" customWidth="1"/>
    <col min="5" max="16384" width="9" style="19"/>
  </cols>
  <sheetData>
    <row r="1" spans="1:7">
      <c r="A1" s="19" t="s">
        <v>73</v>
      </c>
      <c r="B1" s="38" t="s">
        <v>74</v>
      </c>
      <c r="C1" s="19" t="s">
        <v>75</v>
      </c>
    </row>
    <row r="2" spans="1:7">
      <c r="A2" s="19">
        <v>1</v>
      </c>
      <c r="B2" s="39" t="s">
        <v>165</v>
      </c>
      <c r="C2" s="19">
        <v>1500</v>
      </c>
      <c r="E2" s="19">
        <f>C2/SUM(C$2:C$99)</f>
        <v>0.353440150801131</v>
      </c>
      <c r="F2" s="40">
        <f>(24*7-1)*E2*12</f>
        <v>708.2940622054665</v>
      </c>
      <c r="G2" s="19">
        <f>40000/12</f>
        <v>3333.3333333333335</v>
      </c>
    </row>
    <row r="3" spans="1:7" ht="28.5">
      <c r="A3" s="19">
        <v>2</v>
      </c>
      <c r="B3" s="39" t="s">
        <v>166</v>
      </c>
      <c r="C3" s="19">
        <v>100</v>
      </c>
      <c r="D3" s="44" t="s">
        <v>223</v>
      </c>
      <c r="E3" s="19">
        <f t="shared" ref="E3:E24" si="0">C3/SUM(C$2:C$99)</f>
        <v>2.35626767200754E-2</v>
      </c>
      <c r="F3" s="40">
        <f t="shared" ref="F3:F25" si="1">(24*7-1)*E3*12</f>
        <v>47.219604147031099</v>
      </c>
      <c r="G3" s="19">
        <f>100/12</f>
        <v>8.3333333333333339</v>
      </c>
    </row>
    <row r="4" spans="1:7" ht="28.5">
      <c r="A4" s="19">
        <v>3</v>
      </c>
      <c r="B4" s="39" t="s">
        <v>167</v>
      </c>
      <c r="C4" s="19">
        <v>100</v>
      </c>
      <c r="D4" s="44" t="s">
        <v>224</v>
      </c>
      <c r="E4" s="19">
        <f t="shared" si="0"/>
        <v>2.35626767200754E-2</v>
      </c>
      <c r="F4" s="40">
        <f t="shared" si="1"/>
        <v>47.219604147031099</v>
      </c>
    </row>
    <row r="5" spans="1:7" ht="42.75">
      <c r="A5" s="19">
        <v>4</v>
      </c>
      <c r="B5" s="39" t="s">
        <v>168</v>
      </c>
      <c r="C5" s="19">
        <v>15</v>
      </c>
      <c r="D5" s="44" t="s">
        <v>225</v>
      </c>
      <c r="E5" s="19">
        <f t="shared" si="0"/>
        <v>3.5344015080113101E-3</v>
      </c>
      <c r="F5" s="40">
        <f t="shared" si="1"/>
        <v>7.0829406220546653</v>
      </c>
    </row>
    <row r="6" spans="1:7" ht="42.75">
      <c r="A6" s="19">
        <v>5</v>
      </c>
      <c r="B6" s="39" t="s">
        <v>76</v>
      </c>
      <c r="C6" s="19">
        <v>0</v>
      </c>
      <c r="D6" s="44" t="s">
        <v>226</v>
      </c>
      <c r="E6" s="19">
        <f t="shared" si="0"/>
        <v>0</v>
      </c>
      <c r="F6" s="40">
        <f t="shared" si="1"/>
        <v>0</v>
      </c>
    </row>
    <row r="7" spans="1:7">
      <c r="A7" s="19">
        <v>6</v>
      </c>
      <c r="B7" s="39" t="s">
        <v>77</v>
      </c>
      <c r="C7" s="19">
        <v>0</v>
      </c>
      <c r="D7" s="44" t="s">
        <v>227</v>
      </c>
      <c r="E7" s="19">
        <f t="shared" si="0"/>
        <v>0</v>
      </c>
      <c r="F7" s="40">
        <f t="shared" si="1"/>
        <v>0</v>
      </c>
    </row>
    <row r="8" spans="1:7" ht="28.5">
      <c r="A8" s="19">
        <v>7</v>
      </c>
      <c r="B8" s="39" t="s">
        <v>169</v>
      </c>
      <c r="C8" s="19">
        <v>0</v>
      </c>
      <c r="D8" s="44" t="s">
        <v>228</v>
      </c>
      <c r="E8" s="19">
        <f t="shared" si="0"/>
        <v>0</v>
      </c>
      <c r="F8" s="40">
        <f t="shared" si="1"/>
        <v>0</v>
      </c>
    </row>
    <row r="9" spans="1:7" ht="28.5">
      <c r="A9" s="19">
        <v>8</v>
      </c>
      <c r="B9" s="39" t="s">
        <v>170</v>
      </c>
      <c r="C9" s="19">
        <v>80</v>
      </c>
      <c r="D9" s="44" t="s">
        <v>229</v>
      </c>
      <c r="E9" s="19">
        <f t="shared" si="0"/>
        <v>1.8850141376060319E-2</v>
      </c>
      <c r="F9" s="40">
        <f t="shared" si="1"/>
        <v>37.775683317624882</v>
      </c>
    </row>
    <row r="10" spans="1:7" ht="28.5">
      <c r="A10" s="19">
        <v>9</v>
      </c>
      <c r="B10" s="39" t="s">
        <v>78</v>
      </c>
      <c r="C10" s="19">
        <v>0</v>
      </c>
      <c r="D10" s="44" t="s">
        <v>230</v>
      </c>
      <c r="E10" s="19">
        <f t="shared" si="0"/>
        <v>0</v>
      </c>
      <c r="F10" s="40">
        <f t="shared" si="1"/>
        <v>0</v>
      </c>
    </row>
    <row r="11" spans="1:7">
      <c r="A11" s="19">
        <v>10</v>
      </c>
      <c r="B11" s="39" t="s">
        <v>171</v>
      </c>
      <c r="C11" s="19">
        <v>200</v>
      </c>
      <c r="D11" s="44" t="s">
        <v>231</v>
      </c>
      <c r="E11" s="19">
        <f t="shared" si="0"/>
        <v>4.71253534401508E-2</v>
      </c>
      <c r="F11" s="40">
        <f t="shared" si="1"/>
        <v>94.439208294062198</v>
      </c>
    </row>
    <row r="12" spans="1:7" ht="42.75">
      <c r="A12" s="19">
        <v>11</v>
      </c>
      <c r="B12" s="39" t="s">
        <v>172</v>
      </c>
      <c r="C12" s="19">
        <v>30</v>
      </c>
      <c r="D12" s="44" t="s">
        <v>232</v>
      </c>
      <c r="E12" s="19">
        <f t="shared" si="0"/>
        <v>7.0688030160226201E-3</v>
      </c>
      <c r="F12" s="40">
        <f t="shared" si="1"/>
        <v>14.165881244109331</v>
      </c>
    </row>
    <row r="13" spans="1:7">
      <c r="A13" s="19">
        <v>12</v>
      </c>
      <c r="B13" s="39" t="s">
        <v>173</v>
      </c>
      <c r="C13" s="19">
        <v>20</v>
      </c>
      <c r="D13" s="44"/>
      <c r="E13" s="19">
        <f t="shared" si="0"/>
        <v>4.7125353440150798E-3</v>
      </c>
      <c r="F13" s="40">
        <f t="shared" si="1"/>
        <v>9.4439208294062205</v>
      </c>
    </row>
    <row r="14" spans="1:7">
      <c r="A14" s="19">
        <v>13</v>
      </c>
      <c r="B14" s="39" t="s">
        <v>174</v>
      </c>
      <c r="C14" s="19">
        <v>20</v>
      </c>
      <c r="D14" s="44"/>
      <c r="E14" s="19">
        <f t="shared" si="0"/>
        <v>4.7125353440150798E-3</v>
      </c>
      <c r="F14" s="40">
        <f t="shared" si="1"/>
        <v>9.4439208294062205</v>
      </c>
    </row>
    <row r="15" spans="1:7">
      <c r="A15" s="19">
        <v>14</v>
      </c>
      <c r="B15" s="39" t="s">
        <v>175</v>
      </c>
      <c r="C15" s="19">
        <v>20</v>
      </c>
      <c r="D15" s="44"/>
      <c r="E15" s="19">
        <f t="shared" si="0"/>
        <v>4.7125353440150798E-3</v>
      </c>
      <c r="F15" s="40">
        <f t="shared" si="1"/>
        <v>9.4439208294062205</v>
      </c>
    </row>
    <row r="16" spans="1:7">
      <c r="A16" s="19">
        <v>15</v>
      </c>
      <c r="B16" s="39" t="s">
        <v>176</v>
      </c>
      <c r="C16" s="19">
        <v>5</v>
      </c>
      <c r="D16" s="44"/>
      <c r="E16" s="19">
        <f t="shared" si="0"/>
        <v>1.1781338360037699E-3</v>
      </c>
      <c r="F16" s="40">
        <f t="shared" si="1"/>
        <v>2.3609802073515551</v>
      </c>
    </row>
    <row r="17" spans="1:8">
      <c r="A17" s="19">
        <v>16</v>
      </c>
      <c r="B17" s="39" t="s">
        <v>177</v>
      </c>
      <c r="C17" s="19">
        <v>5</v>
      </c>
      <c r="D17" s="44"/>
      <c r="E17" s="19">
        <f t="shared" si="0"/>
        <v>1.1781338360037699E-3</v>
      </c>
      <c r="F17" s="40">
        <f t="shared" si="1"/>
        <v>2.3609802073515551</v>
      </c>
    </row>
    <row r="18" spans="1:8" ht="42.75">
      <c r="A18" s="19">
        <v>17</v>
      </c>
      <c r="B18" s="39" t="s">
        <v>79</v>
      </c>
      <c r="C18" s="19">
        <v>0</v>
      </c>
      <c r="D18" s="44" t="s">
        <v>233</v>
      </c>
      <c r="E18" s="19">
        <f t="shared" si="0"/>
        <v>0</v>
      </c>
      <c r="F18" s="40">
        <f t="shared" si="1"/>
        <v>0</v>
      </c>
    </row>
    <row r="19" spans="1:8" ht="42.75">
      <c r="A19" s="19">
        <v>18</v>
      </c>
      <c r="B19" s="36" t="s">
        <v>138</v>
      </c>
      <c r="C19" s="19">
        <v>0</v>
      </c>
      <c r="D19" s="44" t="s">
        <v>234</v>
      </c>
      <c r="E19" s="19">
        <f t="shared" si="0"/>
        <v>0</v>
      </c>
      <c r="F19" s="40">
        <f t="shared" si="1"/>
        <v>0</v>
      </c>
    </row>
    <row r="20" spans="1:8">
      <c r="A20" s="19">
        <v>19</v>
      </c>
      <c r="B20" s="39" t="s">
        <v>178</v>
      </c>
      <c r="C20" s="19">
        <v>1500</v>
      </c>
      <c r="D20" s="44"/>
      <c r="E20" s="19">
        <f t="shared" si="0"/>
        <v>0.353440150801131</v>
      </c>
      <c r="F20" s="40">
        <f t="shared" si="1"/>
        <v>708.2940622054665</v>
      </c>
    </row>
    <row r="21" spans="1:8" ht="28.5">
      <c r="A21" s="19">
        <v>20</v>
      </c>
      <c r="B21" s="39" t="s">
        <v>80</v>
      </c>
      <c r="C21" s="19">
        <v>0</v>
      </c>
      <c r="D21" s="44" t="s">
        <v>235</v>
      </c>
      <c r="E21" s="19">
        <f t="shared" si="0"/>
        <v>0</v>
      </c>
      <c r="F21" s="40">
        <f t="shared" si="1"/>
        <v>0</v>
      </c>
    </row>
    <row r="22" spans="1:8" ht="28.5">
      <c r="A22" s="19">
        <v>21</v>
      </c>
      <c r="B22" s="39" t="s">
        <v>179</v>
      </c>
      <c r="C22" s="19">
        <v>200</v>
      </c>
      <c r="D22" s="44" t="s">
        <v>236</v>
      </c>
      <c r="E22" s="19">
        <f t="shared" si="0"/>
        <v>4.71253534401508E-2</v>
      </c>
      <c r="F22" s="40">
        <f t="shared" si="1"/>
        <v>94.439208294062198</v>
      </c>
    </row>
    <row r="23" spans="1:8">
      <c r="A23" s="19">
        <v>22</v>
      </c>
      <c r="B23" s="39" t="s">
        <v>81</v>
      </c>
      <c r="C23" s="19">
        <v>10</v>
      </c>
      <c r="D23" s="44" t="s">
        <v>237</v>
      </c>
      <c r="E23" s="19">
        <f t="shared" si="0"/>
        <v>2.3562676720075399E-3</v>
      </c>
      <c r="F23" s="40">
        <f t="shared" si="1"/>
        <v>4.7219604147031102</v>
      </c>
    </row>
    <row r="24" spans="1:8" ht="57">
      <c r="A24" s="19">
        <v>23</v>
      </c>
      <c r="B24" s="39" t="s">
        <v>82</v>
      </c>
      <c r="C24" s="16">
        <v>100</v>
      </c>
      <c r="D24" s="44" t="s">
        <v>238</v>
      </c>
      <c r="E24" s="19">
        <f t="shared" si="0"/>
        <v>2.35626767200754E-2</v>
      </c>
      <c r="F24" s="40">
        <f t="shared" si="1"/>
        <v>47.219604147031099</v>
      </c>
    </row>
    <row r="25" spans="1:8" ht="42.75">
      <c r="A25" s="19">
        <v>24</v>
      </c>
      <c r="B25" s="39" t="s">
        <v>83</v>
      </c>
      <c r="C25" s="16">
        <v>300</v>
      </c>
      <c r="D25" s="44" t="s">
        <v>239</v>
      </c>
      <c r="E25" s="19">
        <f>C25/SUM(C$2:C$99)</f>
        <v>7.0688030160226206E-2</v>
      </c>
      <c r="F25" s="40">
        <f t="shared" si="1"/>
        <v>141.65881244109332</v>
      </c>
    </row>
    <row r="26" spans="1:8">
      <c r="A26" s="19">
        <v>25</v>
      </c>
      <c r="B26" s="39" t="s">
        <v>180</v>
      </c>
      <c r="C26" s="19">
        <v>15</v>
      </c>
      <c r="D26" s="44"/>
      <c r="E26" s="19">
        <f t="shared" ref="E26:E29" si="2">C26/SUM(C$2:C$99)</f>
        <v>3.5344015080113101E-3</v>
      </c>
      <c r="F26" s="40">
        <f>(24*7-1)*E26*12</f>
        <v>7.0829406220546653</v>
      </c>
    </row>
    <row r="27" spans="1:8" ht="16.5">
      <c r="A27" s="19">
        <v>26</v>
      </c>
      <c r="B27" s="39" t="s">
        <v>181</v>
      </c>
      <c r="C27" s="19">
        <v>8</v>
      </c>
      <c r="D27" s="44" t="s">
        <v>240</v>
      </c>
      <c r="E27" s="19">
        <f t="shared" si="2"/>
        <v>1.885014137606032E-3</v>
      </c>
      <c r="F27" s="40">
        <f>(24*7-1)*E27*12</f>
        <v>3.7775683317624882</v>
      </c>
      <c r="H27" s="41"/>
    </row>
    <row r="28" spans="1:8" ht="16.5">
      <c r="A28" s="19">
        <v>27</v>
      </c>
      <c r="B28" s="39" t="s">
        <v>183</v>
      </c>
      <c r="C28" s="19">
        <v>12</v>
      </c>
      <c r="D28" s="44" t="s">
        <v>241</v>
      </c>
      <c r="E28" s="19">
        <f t="shared" si="2"/>
        <v>2.8275212064090482E-3</v>
      </c>
      <c r="F28" s="40">
        <f>(24*7-1)*E28*12</f>
        <v>5.6663524976437332</v>
      </c>
      <c r="H28" s="41"/>
    </row>
    <row r="29" spans="1:8">
      <c r="A29" s="19">
        <v>28</v>
      </c>
      <c r="B29" s="39" t="s">
        <v>182</v>
      </c>
      <c r="C29" s="19">
        <v>4</v>
      </c>
      <c r="D29" s="44" t="s">
        <v>242</v>
      </c>
      <c r="E29" s="19">
        <f t="shared" si="2"/>
        <v>9.42507068803016E-4</v>
      </c>
      <c r="F29" s="40">
        <f>(24*7-1)*E29*12</f>
        <v>1.8887841658812441</v>
      </c>
    </row>
  </sheetData>
  <phoneticPr fontId="8" type="noConversion"/>
  <conditionalFormatting sqref="C24">
    <cfRule type="duplicateValues" dxfId="39" priority="19"/>
    <cfRule type="duplicateValues" dxfId="38" priority="20"/>
    <cfRule type="duplicateValues" dxfId="37" priority="21"/>
    <cfRule type="duplicateValues" dxfId="36" priority="22"/>
    <cfRule type="duplicateValues" dxfId="35" priority="23"/>
    <cfRule type="duplicateValues" dxfId="34" priority="24"/>
  </conditionalFormatting>
  <conditionalFormatting sqref="C24">
    <cfRule type="duplicateValues" priority="25"/>
  </conditionalFormatting>
  <conditionalFormatting sqref="C25">
    <cfRule type="duplicateValues" dxfId="33" priority="12"/>
    <cfRule type="duplicateValues" dxfId="32" priority="13"/>
    <cfRule type="duplicateValues" dxfId="31" priority="14"/>
    <cfRule type="duplicateValues" dxfId="30" priority="15"/>
    <cfRule type="duplicateValues" dxfId="29" priority="16"/>
    <cfRule type="duplicateValues" dxfId="28" priority="17"/>
  </conditionalFormatting>
  <conditionalFormatting sqref="C25">
    <cfRule type="duplicateValues" priority="18"/>
  </conditionalFormatting>
  <conditionalFormatting sqref="H27">
    <cfRule type="duplicateValues" dxfId="27" priority="3"/>
    <cfRule type="duplicateValues" priority="5"/>
    <cfRule type="duplicateValues" dxfId="26" priority="7"/>
    <cfRule type="duplicateValues" dxfId="25" priority="9"/>
    <cfRule type="duplicateValues" dxfId="24" priority="11"/>
  </conditionalFormatting>
  <conditionalFormatting sqref="H28">
    <cfRule type="duplicateValues" dxfId="23" priority="2"/>
    <cfRule type="duplicateValues" priority="4"/>
    <cfRule type="duplicateValues" dxfId="22" priority="6"/>
    <cfRule type="duplicateValues" dxfId="21" priority="8"/>
    <cfRule type="duplicateValues" dxfId="20" priority="10"/>
  </conditionalFormatting>
  <conditionalFormatting sqref="H27:H28">
    <cfRule type="duplicateValues" dxfId="19" priority="1"/>
  </conditionalFormatting>
  <pageMargins left="0.75" right="0.75" top="1" bottom="1" header="0.5" footer="0.5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selection activeCell="E2" sqref="E2:E7"/>
    </sheetView>
  </sheetViews>
  <sheetFormatPr defaultColWidth="9" defaultRowHeight="14.25"/>
  <cols>
    <col min="2" max="2" width="15" style="13" customWidth="1"/>
    <col min="3" max="4" width="9" style="8"/>
  </cols>
  <sheetData>
    <row r="1" spans="1:5">
      <c r="A1" t="s">
        <v>84</v>
      </c>
      <c r="B1" s="13" t="s">
        <v>85</v>
      </c>
      <c r="C1" s="8" t="s">
        <v>86</v>
      </c>
      <c r="D1" s="8" t="s">
        <v>87</v>
      </c>
    </row>
    <row r="2" spans="1:5" ht="28.5">
      <c r="A2">
        <v>1</v>
      </c>
      <c r="B2" s="12" t="s">
        <v>88</v>
      </c>
      <c r="C2" s="12" t="s">
        <v>89</v>
      </c>
      <c r="D2" s="8">
        <v>1</v>
      </c>
      <c r="E2" s="44" t="s">
        <v>235</v>
      </c>
    </row>
    <row r="3" spans="1:5" ht="57">
      <c r="A3">
        <v>2</v>
      </c>
      <c r="B3" s="12" t="s">
        <v>90</v>
      </c>
      <c r="C3" s="12" t="s">
        <v>91</v>
      </c>
      <c r="D3" s="8">
        <v>1</v>
      </c>
      <c r="E3" s="44" t="s">
        <v>234</v>
      </c>
    </row>
    <row r="4" spans="1:5" ht="57">
      <c r="A4">
        <v>3</v>
      </c>
      <c r="B4" s="12" t="s">
        <v>92</v>
      </c>
      <c r="C4" s="12" t="s">
        <v>93</v>
      </c>
      <c r="D4" s="8">
        <v>1</v>
      </c>
      <c r="E4" s="44" t="s">
        <v>232</v>
      </c>
    </row>
    <row r="5" spans="1:5" ht="28.5">
      <c r="A5">
        <v>4</v>
      </c>
      <c r="B5" s="12" t="s">
        <v>94</v>
      </c>
      <c r="C5" s="15" t="s">
        <v>95</v>
      </c>
      <c r="D5" s="8">
        <v>1</v>
      </c>
      <c r="E5" s="44" t="s">
        <v>223</v>
      </c>
    </row>
    <row r="6" spans="1:5" ht="28.5">
      <c r="A6">
        <v>5</v>
      </c>
      <c r="B6" s="12" t="s">
        <v>96</v>
      </c>
      <c r="C6" s="12" t="s">
        <v>97</v>
      </c>
      <c r="D6" s="8">
        <v>1</v>
      </c>
      <c r="E6" s="44" t="s">
        <v>230</v>
      </c>
    </row>
    <row r="7" spans="1:5">
      <c r="A7">
        <v>6</v>
      </c>
      <c r="B7" s="12" t="s">
        <v>98</v>
      </c>
      <c r="C7" s="15" t="s">
        <v>99</v>
      </c>
      <c r="D7" s="8">
        <v>1</v>
      </c>
      <c r="E7" s="44" t="s">
        <v>227</v>
      </c>
    </row>
  </sheetData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6"/>
  <sheetViews>
    <sheetView workbookViewId="0">
      <selection activeCell="E31" sqref="E31"/>
    </sheetView>
  </sheetViews>
  <sheetFormatPr defaultColWidth="9" defaultRowHeight="14.25"/>
  <cols>
    <col min="2" max="2" width="10.875" customWidth="1"/>
    <col min="3" max="4" width="9" style="8"/>
    <col min="5" max="5" width="52.75" style="8" bestFit="1" customWidth="1"/>
  </cols>
  <sheetData>
    <row r="1" spans="1:7">
      <c r="A1" s="9" t="s">
        <v>73</v>
      </c>
      <c r="B1" s="9" t="s">
        <v>100</v>
      </c>
      <c r="C1" s="10" t="s">
        <v>101</v>
      </c>
      <c r="D1" s="10" t="s">
        <v>102</v>
      </c>
      <c r="E1" s="10" t="s">
        <v>103</v>
      </c>
    </row>
    <row r="2" spans="1:7">
      <c r="A2">
        <v>1</v>
      </c>
      <c r="B2">
        <v>1</v>
      </c>
      <c r="C2" s="8">
        <v>1</v>
      </c>
      <c r="D2" s="8">
        <v>1</v>
      </c>
      <c r="E2" s="11" t="s">
        <v>104</v>
      </c>
    </row>
    <row r="3" spans="1:7">
      <c r="A3">
        <v>2</v>
      </c>
      <c r="B3">
        <v>1</v>
      </c>
      <c r="C3" s="8">
        <v>2</v>
      </c>
      <c r="D3" s="8">
        <v>2</v>
      </c>
      <c r="E3" s="12" t="s">
        <v>105</v>
      </c>
    </row>
    <row r="4" spans="1:7">
      <c r="A4">
        <v>3</v>
      </c>
      <c r="B4">
        <v>1</v>
      </c>
      <c r="C4" s="8">
        <v>3</v>
      </c>
      <c r="D4" s="8">
        <v>3</v>
      </c>
      <c r="E4" s="12" t="s">
        <v>106</v>
      </c>
    </row>
    <row r="5" spans="1:7">
      <c r="A5">
        <v>4</v>
      </c>
      <c r="B5">
        <v>1</v>
      </c>
      <c r="C5" s="8">
        <v>4</v>
      </c>
      <c r="D5" s="8">
        <v>4</v>
      </c>
      <c r="E5" s="12" t="s">
        <v>107</v>
      </c>
    </row>
    <row r="6" spans="1:7">
      <c r="A6">
        <v>5</v>
      </c>
      <c r="B6">
        <v>2</v>
      </c>
      <c r="C6" s="8">
        <v>1</v>
      </c>
      <c r="D6" s="8">
        <v>1</v>
      </c>
      <c r="E6" s="12" t="s">
        <v>108</v>
      </c>
    </row>
    <row r="7" spans="1:7">
      <c r="A7">
        <v>6</v>
      </c>
      <c r="B7">
        <v>2</v>
      </c>
      <c r="C7" s="8">
        <v>2</v>
      </c>
      <c r="D7" s="8">
        <v>2</v>
      </c>
      <c r="E7" s="12" t="s">
        <v>109</v>
      </c>
    </row>
    <row r="8" spans="1:7">
      <c r="A8">
        <v>7</v>
      </c>
      <c r="B8">
        <v>2</v>
      </c>
      <c r="C8" s="8">
        <v>3</v>
      </c>
      <c r="D8" s="8">
        <v>3</v>
      </c>
      <c r="E8" s="12" t="s">
        <v>110</v>
      </c>
    </row>
    <row r="9" spans="1:7">
      <c r="A9">
        <v>8</v>
      </c>
      <c r="B9">
        <v>2</v>
      </c>
      <c r="C9" s="8">
        <v>4</v>
      </c>
      <c r="D9" s="8">
        <v>10</v>
      </c>
      <c r="E9" s="12" t="s">
        <v>148</v>
      </c>
      <c r="F9" s="14" t="s">
        <v>145</v>
      </c>
      <c r="G9" s="14" t="s">
        <v>146</v>
      </c>
    </row>
    <row r="10" spans="1:7">
      <c r="A10">
        <v>9</v>
      </c>
      <c r="B10">
        <v>2</v>
      </c>
      <c r="C10" s="8">
        <v>11</v>
      </c>
      <c r="D10" s="8">
        <v>20</v>
      </c>
      <c r="E10" s="12" t="s">
        <v>149</v>
      </c>
    </row>
    <row r="11" spans="1:7">
      <c r="A11">
        <v>10</v>
      </c>
      <c r="B11">
        <v>2</v>
      </c>
      <c r="C11" s="8">
        <v>21</v>
      </c>
      <c r="D11" s="8">
        <v>50</v>
      </c>
      <c r="E11" s="12" t="s">
        <v>147</v>
      </c>
    </row>
    <row r="12" spans="1:7">
      <c r="A12">
        <v>11</v>
      </c>
      <c r="B12">
        <v>2</v>
      </c>
      <c r="C12" s="8">
        <v>51</v>
      </c>
      <c r="D12" s="8">
        <v>100</v>
      </c>
      <c r="E12" s="12" t="s">
        <v>157</v>
      </c>
    </row>
    <row r="13" spans="1:7">
      <c r="A13">
        <v>13</v>
      </c>
      <c r="B13">
        <v>3</v>
      </c>
      <c r="C13" s="8">
        <v>1</v>
      </c>
      <c r="D13" s="8">
        <v>1</v>
      </c>
      <c r="E13" s="12" t="s">
        <v>111</v>
      </c>
    </row>
    <row r="14" spans="1:7">
      <c r="A14">
        <v>14</v>
      </c>
      <c r="B14">
        <v>3</v>
      </c>
      <c r="C14" s="8">
        <v>2</v>
      </c>
      <c r="D14" s="8">
        <v>2</v>
      </c>
      <c r="E14" s="12" t="s">
        <v>112</v>
      </c>
    </row>
    <row r="15" spans="1:7">
      <c r="A15">
        <v>15</v>
      </c>
      <c r="B15">
        <v>3</v>
      </c>
      <c r="C15" s="8">
        <v>3</v>
      </c>
      <c r="D15" s="8">
        <v>3</v>
      </c>
      <c r="E15" s="12" t="s">
        <v>158</v>
      </c>
    </row>
    <row r="16" spans="1:7">
      <c r="A16">
        <v>16</v>
      </c>
      <c r="B16">
        <v>3</v>
      </c>
      <c r="C16" s="8">
        <v>4</v>
      </c>
      <c r="D16" s="8">
        <v>10</v>
      </c>
      <c r="E16" s="12" t="s">
        <v>159</v>
      </c>
      <c r="F16" s="14" t="s">
        <v>150</v>
      </c>
    </row>
    <row r="17" spans="1:7">
      <c r="A17">
        <v>17</v>
      </c>
      <c r="B17">
        <v>3</v>
      </c>
      <c r="C17" s="8">
        <v>11</v>
      </c>
      <c r="D17" s="8">
        <v>20</v>
      </c>
      <c r="E17" s="12" t="s">
        <v>162</v>
      </c>
    </row>
    <row r="18" spans="1:7">
      <c r="A18">
        <v>18</v>
      </c>
      <c r="B18">
        <v>3</v>
      </c>
      <c r="C18" s="8">
        <v>21</v>
      </c>
      <c r="D18" s="8">
        <v>50</v>
      </c>
      <c r="E18" s="12" t="s">
        <v>160</v>
      </c>
    </row>
    <row r="19" spans="1:7">
      <c r="A19">
        <v>19</v>
      </c>
      <c r="B19">
        <v>3</v>
      </c>
      <c r="C19" s="8">
        <v>51</v>
      </c>
      <c r="D19" s="8">
        <v>100</v>
      </c>
      <c r="E19" s="12" t="s">
        <v>161</v>
      </c>
    </row>
    <row r="20" spans="1:7" ht="16.5">
      <c r="A20">
        <v>21</v>
      </c>
      <c r="B20">
        <v>4</v>
      </c>
      <c r="C20" s="8">
        <v>1</v>
      </c>
      <c r="D20" s="8">
        <v>1</v>
      </c>
      <c r="E20" s="12" t="s">
        <v>113</v>
      </c>
      <c r="G20" s="16"/>
    </row>
    <row r="21" spans="1:7">
      <c r="A21">
        <v>22</v>
      </c>
      <c r="B21">
        <v>4</v>
      </c>
      <c r="C21" s="8">
        <v>2</v>
      </c>
      <c r="D21" s="8">
        <v>2</v>
      </c>
      <c r="E21" s="12" t="s">
        <v>151</v>
      </c>
    </row>
    <row r="22" spans="1:7">
      <c r="A22">
        <v>23</v>
      </c>
      <c r="B22">
        <v>4</v>
      </c>
      <c r="C22" s="8">
        <v>3</v>
      </c>
      <c r="D22" s="8">
        <v>3</v>
      </c>
      <c r="E22" s="12" t="s">
        <v>152</v>
      </c>
    </row>
    <row r="23" spans="1:7">
      <c r="A23">
        <v>24</v>
      </c>
      <c r="B23">
        <v>4</v>
      </c>
      <c r="C23" s="8">
        <v>4</v>
      </c>
      <c r="D23" s="8">
        <v>10</v>
      </c>
      <c r="E23" s="12" t="s">
        <v>153</v>
      </c>
    </row>
    <row r="24" spans="1:7">
      <c r="A24">
        <v>25</v>
      </c>
      <c r="B24">
        <v>4</v>
      </c>
      <c r="C24" s="8">
        <v>11</v>
      </c>
      <c r="D24" s="8">
        <v>20</v>
      </c>
      <c r="E24" s="12" t="s">
        <v>154</v>
      </c>
    </row>
    <row r="25" spans="1:7">
      <c r="A25">
        <v>26</v>
      </c>
      <c r="B25">
        <v>4</v>
      </c>
      <c r="C25" s="8">
        <v>21</v>
      </c>
      <c r="D25" s="8">
        <v>50</v>
      </c>
      <c r="E25" s="12" t="s">
        <v>155</v>
      </c>
    </row>
    <row r="26" spans="1:7">
      <c r="A26">
        <v>27</v>
      </c>
      <c r="B26">
        <v>4</v>
      </c>
      <c r="C26" s="8">
        <v>51</v>
      </c>
      <c r="D26" s="8">
        <v>100</v>
      </c>
      <c r="E26" s="12" t="s">
        <v>156</v>
      </c>
    </row>
  </sheetData>
  <phoneticPr fontId="8" type="noConversion"/>
  <conditionalFormatting sqref="G20">
    <cfRule type="duplicateValues" dxfId="18" priority="3"/>
  </conditionalFormatting>
  <conditionalFormatting sqref="G20">
    <cfRule type="duplicateValues" dxfId="17" priority="7"/>
  </conditionalFormatting>
  <conditionalFormatting sqref="G20">
    <cfRule type="duplicateValues" dxfId="16" priority="6"/>
  </conditionalFormatting>
  <conditionalFormatting sqref="G20">
    <cfRule type="duplicateValues" dxfId="15" priority="5"/>
  </conditionalFormatting>
  <conditionalFormatting sqref="G20">
    <cfRule type="duplicateValues" dxfId="14" priority="4"/>
  </conditionalFormatting>
  <conditionalFormatting sqref="G20">
    <cfRule type="duplicateValues" dxfId="13" priority="2"/>
  </conditionalFormatting>
  <conditionalFormatting sqref="G20">
    <cfRule type="duplicateValues" priority="8"/>
  </conditionalFormatting>
  <conditionalFormatting sqref="G20">
    <cfRule type="duplicateValues" dxfId="12" priority="1"/>
  </conditionalFormatting>
  <pageMargins left="0.7" right="0.7" top="0.75" bottom="0.75" header="0.3" footer="0.3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"/>
  <sheetViews>
    <sheetView workbookViewId="0">
      <selection activeCell="G21" sqref="G21"/>
    </sheetView>
  </sheetViews>
  <sheetFormatPr defaultColWidth="9" defaultRowHeight="14.25"/>
  <cols>
    <col min="5" max="5" width="10.875" customWidth="1"/>
    <col min="6" max="6" width="9" style="1"/>
  </cols>
  <sheetData>
    <row r="1" spans="1:8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s="1" t="s">
        <v>119</v>
      </c>
      <c r="G1" t="s">
        <v>120</v>
      </c>
      <c r="H1" t="s">
        <v>121</v>
      </c>
    </row>
    <row r="2" spans="1:8" ht="16.5">
      <c r="A2">
        <v>1</v>
      </c>
      <c r="B2" t="s">
        <v>122</v>
      </c>
      <c r="C2">
        <v>5</v>
      </c>
      <c r="D2">
        <v>20</v>
      </c>
      <c r="E2">
        <v>1</v>
      </c>
      <c r="F2" s="6" t="s">
        <v>123</v>
      </c>
      <c r="G2">
        <v>5</v>
      </c>
      <c r="H2" s="7">
        <v>200031</v>
      </c>
    </row>
    <row r="3" spans="1:8" ht="16.5">
      <c r="A3">
        <v>2</v>
      </c>
      <c r="B3" t="s">
        <v>124</v>
      </c>
      <c r="C3">
        <v>5</v>
      </c>
      <c r="D3">
        <v>20</v>
      </c>
      <c r="E3">
        <v>3</v>
      </c>
      <c r="F3" s="6" t="s">
        <v>123</v>
      </c>
      <c r="G3">
        <v>5</v>
      </c>
      <c r="H3" s="7">
        <v>200032</v>
      </c>
    </row>
  </sheetData>
  <phoneticPr fontId="8" type="noConversion"/>
  <conditionalFormatting sqref="H2">
    <cfRule type="duplicateValues" dxfId="11" priority="8"/>
    <cfRule type="duplicateValues" dxfId="10" priority="9"/>
    <cfRule type="duplicateValues" dxfId="9" priority="10"/>
    <cfRule type="duplicateValues" dxfId="8" priority="11"/>
    <cfRule type="duplicateValues" dxfId="7" priority="12"/>
    <cfRule type="duplicateValues" dxfId="6" priority="13"/>
    <cfRule type="duplicateValues" priority="14"/>
  </conditionalFormatting>
  <conditionalFormatting sqref="H3">
    <cfRule type="duplicateValues" dxfId="5" priority="1"/>
    <cfRule type="duplicateValues" dxfId="4" priority="2"/>
    <cfRule type="duplicateValues" dxfId="3" priority="3"/>
    <cfRule type="duplicateValues" dxfId="2" priority="4"/>
    <cfRule type="duplicateValues" dxfId="1" priority="5"/>
    <cfRule type="duplicateValues" dxfId="0" priority="6"/>
    <cfRule type="duplicateValues" priority="7"/>
  </conditionalFormatting>
  <pageMargins left="0.75" right="0.75" top="1" bottom="1" header="0.5" footer="0.5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9"/>
  <sheetViews>
    <sheetView workbookViewId="0">
      <selection activeCell="G23" sqref="G23"/>
    </sheetView>
  </sheetViews>
  <sheetFormatPr defaultColWidth="9" defaultRowHeight="14.25"/>
  <cols>
    <col min="1" max="2" width="9" style="2"/>
    <col min="3" max="3" width="12.625" style="2"/>
    <col min="4" max="4" width="18.375" style="2" customWidth="1"/>
    <col min="5" max="5" width="12.125" style="2" customWidth="1"/>
    <col min="6" max="16384" width="9" style="2"/>
  </cols>
  <sheetData>
    <row r="1" spans="1:8">
      <c r="A1" s="3" t="s">
        <v>125</v>
      </c>
      <c r="B1" s="3" t="s">
        <v>126</v>
      </c>
      <c r="C1" s="3" t="s">
        <v>127</v>
      </c>
      <c r="D1" s="3" t="s">
        <v>128</v>
      </c>
      <c r="E1" s="3" t="s">
        <v>129</v>
      </c>
    </row>
    <row r="2" spans="1:8">
      <c r="A2" s="2">
        <v>1</v>
      </c>
      <c r="B2" s="2">
        <v>2</v>
      </c>
      <c r="C2" s="4">
        <v>1001</v>
      </c>
      <c r="D2" s="2">
        <v>6000</v>
      </c>
      <c r="E2" s="2">
        <v>4000</v>
      </c>
    </row>
    <row r="3" spans="1:8">
      <c r="A3" s="2">
        <v>2</v>
      </c>
      <c r="B3" s="2">
        <v>2</v>
      </c>
      <c r="C3" s="2">
        <v>1003</v>
      </c>
      <c r="D3" s="2">
        <v>4500</v>
      </c>
      <c r="E3" s="2">
        <v>3000</v>
      </c>
    </row>
    <row r="4" spans="1:8">
      <c r="A4" s="2">
        <v>3</v>
      </c>
      <c r="B4" s="2">
        <v>2</v>
      </c>
      <c r="C4" s="2">
        <v>1004</v>
      </c>
      <c r="D4" s="2">
        <v>3000</v>
      </c>
      <c r="E4" s="2">
        <v>2000</v>
      </c>
    </row>
    <row r="5" spans="1:8">
      <c r="A5" s="2">
        <v>4</v>
      </c>
      <c r="B5" s="2">
        <v>3</v>
      </c>
      <c r="C5" s="4">
        <v>1001</v>
      </c>
      <c r="D5" s="2">
        <v>6750</v>
      </c>
      <c r="E5" s="2">
        <v>4500</v>
      </c>
    </row>
    <row r="6" spans="1:8">
      <c r="A6" s="2">
        <v>5</v>
      </c>
      <c r="B6" s="2">
        <v>3</v>
      </c>
      <c r="C6" s="2">
        <v>1003</v>
      </c>
      <c r="D6" s="2">
        <v>5250</v>
      </c>
      <c r="E6" s="2">
        <v>3500</v>
      </c>
    </row>
    <row r="7" spans="1:8">
      <c r="A7" s="2">
        <v>6</v>
      </c>
      <c r="B7" s="2">
        <v>3</v>
      </c>
      <c r="C7" s="2">
        <v>1004</v>
      </c>
      <c r="D7" s="2">
        <v>3750</v>
      </c>
      <c r="E7" s="2">
        <v>2500</v>
      </c>
    </row>
    <row r="8" spans="1:8">
      <c r="A8" s="2">
        <v>7</v>
      </c>
      <c r="B8" s="2">
        <v>4</v>
      </c>
      <c r="C8" s="4">
        <v>1001</v>
      </c>
      <c r="D8" s="2">
        <v>7500</v>
      </c>
      <c r="E8" s="2">
        <v>5000</v>
      </c>
    </row>
    <row r="9" spans="1:8">
      <c r="A9" s="2">
        <v>8</v>
      </c>
      <c r="B9" s="2">
        <v>4</v>
      </c>
      <c r="C9" s="2">
        <v>1003</v>
      </c>
      <c r="D9" s="2">
        <v>6000</v>
      </c>
      <c r="E9" s="2">
        <v>4000</v>
      </c>
      <c r="H9" s="5"/>
    </row>
    <row r="10" spans="1:8">
      <c r="A10" s="2">
        <v>9</v>
      </c>
      <c r="B10" s="2">
        <v>4</v>
      </c>
      <c r="C10" s="2">
        <v>1004</v>
      </c>
      <c r="D10" s="2">
        <v>4500</v>
      </c>
      <c r="E10" s="2">
        <v>3000</v>
      </c>
      <c r="H10" s="5"/>
    </row>
    <row r="11" spans="1:8">
      <c r="H11" s="5"/>
    </row>
    <row r="12" spans="1:8">
      <c r="H12" s="5"/>
    </row>
    <row r="13" spans="1:8">
      <c r="H13" s="5"/>
    </row>
    <row r="14" spans="1:8">
      <c r="H14" s="5"/>
    </row>
    <row r="15" spans="1:8">
      <c r="H15" s="5"/>
    </row>
    <row r="16" spans="1:8">
      <c r="H16" s="5"/>
    </row>
    <row r="17" spans="8:8">
      <c r="H17" s="5"/>
    </row>
    <row r="18" spans="8:8">
      <c r="H18" s="5"/>
    </row>
    <row r="19" spans="8:8">
      <c r="H19" s="5"/>
    </row>
  </sheetData>
  <phoneticPr fontId="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8"/>
  <sheetViews>
    <sheetView workbookViewId="0">
      <selection activeCell="F2" sqref="F2:F28"/>
    </sheetView>
  </sheetViews>
  <sheetFormatPr defaultColWidth="9" defaultRowHeight="14.25"/>
  <cols>
    <col min="3" max="4" width="10.875" customWidth="1"/>
    <col min="5" max="5" width="12.875" customWidth="1"/>
    <col min="6" max="6" width="39.375" customWidth="1"/>
  </cols>
  <sheetData>
    <row r="1" spans="1:9">
      <c r="A1" t="s">
        <v>130</v>
      </c>
      <c r="B1" t="s">
        <v>131</v>
      </c>
      <c r="C1" t="s">
        <v>132</v>
      </c>
      <c r="D1" t="s">
        <v>133</v>
      </c>
      <c r="E1" t="s">
        <v>134</v>
      </c>
      <c r="F1" s="33" t="s">
        <v>136</v>
      </c>
    </row>
    <row r="2" spans="1:9">
      <c r="A2">
        <v>100</v>
      </c>
      <c r="B2">
        <v>1</v>
      </c>
      <c r="C2">
        <v>1</v>
      </c>
      <c r="D2">
        <v>1</v>
      </c>
      <c r="E2">
        <v>10</v>
      </c>
      <c r="F2" s="44" t="s">
        <v>243</v>
      </c>
      <c r="G2" s="33"/>
    </row>
    <row r="3" spans="1:9">
      <c r="A3">
        <v>200</v>
      </c>
      <c r="B3">
        <v>2</v>
      </c>
      <c r="C3">
        <v>1</v>
      </c>
      <c r="D3">
        <v>3</v>
      </c>
      <c r="E3">
        <v>10</v>
      </c>
      <c r="F3" s="44" t="s">
        <v>244</v>
      </c>
      <c r="G3" s="33"/>
      <c r="H3" s="33"/>
      <c r="I3" s="33"/>
    </row>
    <row r="4" spans="1:9">
      <c r="A4">
        <v>201</v>
      </c>
      <c r="B4">
        <v>2</v>
      </c>
      <c r="C4">
        <v>2</v>
      </c>
      <c r="D4">
        <v>5</v>
      </c>
      <c r="E4">
        <v>20</v>
      </c>
      <c r="F4" s="44" t="s">
        <v>245</v>
      </c>
      <c r="G4" s="33"/>
      <c r="H4" s="33"/>
      <c r="I4" s="33"/>
    </row>
    <row r="5" spans="1:9">
      <c r="A5">
        <v>202</v>
      </c>
      <c r="B5">
        <v>2</v>
      </c>
      <c r="C5">
        <v>3</v>
      </c>
      <c r="D5">
        <v>10</v>
      </c>
      <c r="E5">
        <v>30</v>
      </c>
      <c r="F5" s="44" t="s">
        <v>246</v>
      </c>
      <c r="G5" s="33"/>
      <c r="H5" s="33"/>
      <c r="I5" s="33"/>
    </row>
    <row r="6" spans="1:9">
      <c r="A6">
        <v>300</v>
      </c>
      <c r="B6">
        <v>3</v>
      </c>
      <c r="C6">
        <v>1</v>
      </c>
      <c r="D6">
        <v>1</v>
      </c>
      <c r="E6">
        <v>10</v>
      </c>
      <c r="F6" s="44" t="s">
        <v>247</v>
      </c>
      <c r="G6" s="33"/>
      <c r="H6" s="33"/>
      <c r="I6" s="33"/>
    </row>
    <row r="7" spans="1:9">
      <c r="A7">
        <v>301</v>
      </c>
      <c r="B7">
        <v>3</v>
      </c>
      <c r="C7">
        <v>2</v>
      </c>
      <c r="D7">
        <v>3</v>
      </c>
      <c r="E7">
        <v>20</v>
      </c>
      <c r="F7" s="44" t="s">
        <v>248</v>
      </c>
      <c r="G7" s="33"/>
      <c r="H7" s="33"/>
      <c r="I7" s="33"/>
    </row>
    <row r="8" spans="1:9">
      <c r="A8">
        <v>302</v>
      </c>
      <c r="B8">
        <v>3</v>
      </c>
      <c r="C8">
        <v>3</v>
      </c>
      <c r="D8">
        <v>5</v>
      </c>
      <c r="E8">
        <v>30</v>
      </c>
      <c r="F8" s="44" t="s">
        <v>249</v>
      </c>
      <c r="G8" s="33"/>
      <c r="H8" s="33"/>
      <c r="I8" s="33"/>
    </row>
    <row r="9" spans="1:9" ht="28.5">
      <c r="A9">
        <v>400</v>
      </c>
      <c r="B9">
        <v>4</v>
      </c>
      <c r="C9">
        <v>1</v>
      </c>
      <c r="D9">
        <v>1000000</v>
      </c>
      <c r="E9">
        <v>10</v>
      </c>
      <c r="F9" s="44" t="s">
        <v>250</v>
      </c>
      <c r="G9" s="33"/>
      <c r="H9" s="33"/>
      <c r="I9" s="33"/>
    </row>
    <row r="10" spans="1:9" ht="28.5">
      <c r="A10">
        <v>401</v>
      </c>
      <c r="B10">
        <v>4</v>
      </c>
      <c r="C10">
        <v>2</v>
      </c>
      <c r="D10">
        <v>3000000</v>
      </c>
      <c r="E10">
        <v>20</v>
      </c>
      <c r="F10" s="44" t="s">
        <v>251</v>
      </c>
      <c r="G10" s="33"/>
    </row>
    <row r="11" spans="1:9" ht="28.5">
      <c r="A11">
        <v>402</v>
      </c>
      <c r="B11">
        <v>4</v>
      </c>
      <c r="C11">
        <v>3</v>
      </c>
      <c r="D11">
        <v>5000000</v>
      </c>
      <c r="E11">
        <v>30</v>
      </c>
      <c r="F11" s="44" t="s">
        <v>252</v>
      </c>
    </row>
    <row r="12" spans="1:9" ht="28.5">
      <c r="A12">
        <v>500</v>
      </c>
      <c r="B12">
        <v>5</v>
      </c>
      <c r="C12">
        <v>1</v>
      </c>
      <c r="D12">
        <v>10000000</v>
      </c>
      <c r="E12">
        <v>10</v>
      </c>
      <c r="F12" s="44" t="s">
        <v>253</v>
      </c>
      <c r="G12" s="33"/>
      <c r="H12" s="33"/>
      <c r="I12" s="33"/>
    </row>
    <row r="13" spans="1:9" ht="28.5">
      <c r="A13">
        <v>501</v>
      </c>
      <c r="B13">
        <v>5</v>
      </c>
      <c r="C13">
        <v>2</v>
      </c>
      <c r="D13">
        <v>20000000</v>
      </c>
      <c r="E13">
        <v>20</v>
      </c>
      <c r="F13" s="44" t="s">
        <v>254</v>
      </c>
    </row>
    <row r="14" spans="1:9" ht="28.5">
      <c r="A14">
        <v>502</v>
      </c>
      <c r="B14">
        <v>5</v>
      </c>
      <c r="C14">
        <v>3</v>
      </c>
      <c r="D14">
        <v>30000000</v>
      </c>
      <c r="E14">
        <v>30</v>
      </c>
      <c r="F14" s="44" t="s">
        <v>255</v>
      </c>
    </row>
    <row r="15" spans="1:9">
      <c r="A15">
        <v>600</v>
      </c>
      <c r="B15">
        <v>6</v>
      </c>
      <c r="C15">
        <v>1</v>
      </c>
      <c r="D15">
        <v>3</v>
      </c>
      <c r="E15">
        <v>10</v>
      </c>
      <c r="F15" s="44" t="s">
        <v>256</v>
      </c>
    </row>
    <row r="16" spans="1:9">
      <c r="A16">
        <v>601</v>
      </c>
      <c r="B16">
        <v>6</v>
      </c>
      <c r="C16">
        <v>2</v>
      </c>
      <c r="D16">
        <v>5</v>
      </c>
      <c r="E16">
        <v>20</v>
      </c>
      <c r="F16" s="44" t="s">
        <v>257</v>
      </c>
    </row>
    <row r="17" spans="1:9">
      <c r="A17">
        <v>602</v>
      </c>
      <c r="B17">
        <v>6</v>
      </c>
      <c r="C17">
        <v>3</v>
      </c>
      <c r="D17">
        <v>10</v>
      </c>
      <c r="E17">
        <v>30</v>
      </c>
      <c r="F17" s="44" t="s">
        <v>258</v>
      </c>
    </row>
    <row r="18" spans="1:9">
      <c r="A18">
        <v>700</v>
      </c>
      <c r="B18">
        <v>11</v>
      </c>
      <c r="C18">
        <v>1</v>
      </c>
      <c r="D18">
        <v>3</v>
      </c>
      <c r="E18">
        <v>10</v>
      </c>
      <c r="F18" s="44" t="s">
        <v>259</v>
      </c>
    </row>
    <row r="19" spans="1:9">
      <c r="A19">
        <v>701</v>
      </c>
      <c r="B19">
        <v>11</v>
      </c>
      <c r="C19">
        <v>2</v>
      </c>
      <c r="D19">
        <v>5</v>
      </c>
      <c r="E19">
        <v>20</v>
      </c>
      <c r="F19" s="44" t="s">
        <v>260</v>
      </c>
      <c r="G19" s="33"/>
      <c r="H19" s="33"/>
      <c r="I19" s="33"/>
    </row>
    <row r="20" spans="1:9">
      <c r="A20">
        <v>702</v>
      </c>
      <c r="B20">
        <v>11</v>
      </c>
      <c r="C20">
        <v>3</v>
      </c>
      <c r="D20">
        <v>10</v>
      </c>
      <c r="E20">
        <v>30</v>
      </c>
      <c r="F20" s="44" t="s">
        <v>261</v>
      </c>
    </row>
    <row r="21" spans="1:9">
      <c r="A21">
        <v>800</v>
      </c>
      <c r="B21">
        <v>12</v>
      </c>
      <c r="C21">
        <v>1</v>
      </c>
      <c r="D21">
        <v>3</v>
      </c>
      <c r="E21">
        <v>10</v>
      </c>
      <c r="F21" s="44" t="s">
        <v>262</v>
      </c>
      <c r="G21" s="33"/>
      <c r="H21" s="33"/>
      <c r="I21" s="33"/>
    </row>
    <row r="22" spans="1:9">
      <c r="A22">
        <v>801</v>
      </c>
      <c r="B22">
        <v>12</v>
      </c>
      <c r="C22">
        <v>2</v>
      </c>
      <c r="D22">
        <v>5</v>
      </c>
      <c r="E22">
        <v>20</v>
      </c>
      <c r="F22" s="44" t="s">
        <v>263</v>
      </c>
    </row>
    <row r="23" spans="1:9">
      <c r="A23">
        <v>802</v>
      </c>
      <c r="B23">
        <v>12</v>
      </c>
      <c r="C23">
        <v>3</v>
      </c>
      <c r="D23">
        <v>10</v>
      </c>
      <c r="E23">
        <v>30</v>
      </c>
      <c r="F23" s="44" t="s">
        <v>264</v>
      </c>
    </row>
    <row r="24" spans="1:9">
      <c r="A24">
        <v>900</v>
      </c>
      <c r="B24">
        <v>7</v>
      </c>
      <c r="C24">
        <v>1</v>
      </c>
      <c r="D24">
        <v>1</v>
      </c>
      <c r="E24">
        <v>10</v>
      </c>
      <c r="F24" s="44" t="s">
        <v>265</v>
      </c>
    </row>
    <row r="25" spans="1:9">
      <c r="A25">
        <v>1000</v>
      </c>
      <c r="B25">
        <v>8</v>
      </c>
      <c r="C25">
        <v>1</v>
      </c>
      <c r="D25">
        <v>1</v>
      </c>
      <c r="E25">
        <v>30</v>
      </c>
      <c r="F25" s="44" t="s">
        <v>266</v>
      </c>
    </row>
    <row r="26" spans="1:9">
      <c r="A26">
        <v>1101</v>
      </c>
      <c r="B26">
        <v>9</v>
      </c>
      <c r="C26">
        <v>1</v>
      </c>
      <c r="D26">
        <v>1</v>
      </c>
      <c r="E26">
        <v>10</v>
      </c>
      <c r="F26" s="44" t="s">
        <v>267</v>
      </c>
    </row>
    <row r="27" spans="1:9">
      <c r="A27">
        <v>1102</v>
      </c>
      <c r="B27">
        <v>9</v>
      </c>
      <c r="C27">
        <v>2</v>
      </c>
      <c r="D27">
        <v>2</v>
      </c>
      <c r="E27">
        <v>20</v>
      </c>
      <c r="F27" s="44" t="s">
        <v>268</v>
      </c>
    </row>
    <row r="28" spans="1:9">
      <c r="A28">
        <v>1103</v>
      </c>
      <c r="B28">
        <v>9</v>
      </c>
      <c r="C28">
        <v>3</v>
      </c>
      <c r="D28">
        <v>3</v>
      </c>
      <c r="E28">
        <v>30</v>
      </c>
      <c r="F28" s="44" t="s">
        <v>269</v>
      </c>
    </row>
  </sheetData>
  <phoneticPr fontId="8" type="noConversion"/>
  <pageMargins left="0.75" right="0.75" top="1" bottom="1" header="0.5" footer="0.5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1"/>
  <sheetViews>
    <sheetView tabSelected="1" workbookViewId="0">
      <selection activeCell="E2" sqref="E2:E4"/>
    </sheetView>
  </sheetViews>
  <sheetFormatPr defaultColWidth="9" defaultRowHeight="14.25"/>
  <cols>
    <col min="2" max="2" width="26.125" bestFit="1" customWidth="1"/>
    <col min="4" max="4" width="13" bestFit="1" customWidth="1"/>
  </cols>
  <sheetData>
    <row r="1" spans="1:5">
      <c r="A1" s="34" t="s">
        <v>73</v>
      </c>
      <c r="B1" s="34" t="s">
        <v>74</v>
      </c>
      <c r="C1" s="2" t="s">
        <v>135</v>
      </c>
      <c r="D1" s="35" t="s">
        <v>137</v>
      </c>
    </row>
    <row r="2" spans="1:5" ht="57">
      <c r="A2" s="2">
        <v>1</v>
      </c>
      <c r="B2" s="36" t="s">
        <v>139</v>
      </c>
      <c r="C2" s="37">
        <v>50</v>
      </c>
      <c r="D2" s="2" t="s">
        <v>142</v>
      </c>
      <c r="E2" s="44" t="s">
        <v>225</v>
      </c>
    </row>
    <row r="3" spans="1:5" ht="28.5">
      <c r="A3" s="2">
        <v>2</v>
      </c>
      <c r="B3" s="36" t="s">
        <v>140</v>
      </c>
      <c r="C3" s="37">
        <v>150</v>
      </c>
      <c r="D3" s="37" t="s">
        <v>143</v>
      </c>
      <c r="E3" s="44" t="s">
        <v>229</v>
      </c>
    </row>
    <row r="4" spans="1:5" ht="42.75">
      <c r="A4" s="2">
        <v>3</v>
      </c>
      <c r="B4" s="36" t="s">
        <v>141</v>
      </c>
      <c r="C4" s="37">
        <v>300</v>
      </c>
      <c r="D4" s="37" t="s">
        <v>144</v>
      </c>
      <c r="E4" s="44" t="s">
        <v>270</v>
      </c>
    </row>
    <row r="5" spans="1:5">
      <c r="B5" s="19"/>
      <c r="C5" s="19"/>
      <c r="D5" s="19"/>
      <c r="E5" s="19"/>
    </row>
    <row r="6" spans="1:5">
      <c r="B6" s="19"/>
      <c r="C6" s="19"/>
      <c r="D6" s="19"/>
      <c r="E6" s="19"/>
    </row>
    <row r="7" spans="1:5">
      <c r="B7" s="19"/>
      <c r="C7" s="19"/>
      <c r="D7" s="36"/>
      <c r="E7" s="19"/>
    </row>
    <row r="8" spans="1:5">
      <c r="B8" s="19"/>
      <c r="C8" s="19"/>
      <c r="D8" s="19"/>
      <c r="E8" s="19"/>
    </row>
    <row r="9" spans="1:5">
      <c r="B9" s="19"/>
      <c r="C9" s="19"/>
      <c r="D9" s="19"/>
      <c r="E9" s="19"/>
    </row>
    <row r="10" spans="1:5">
      <c r="B10" s="19"/>
      <c r="C10" s="19"/>
    </row>
    <row r="11" spans="1:5">
      <c r="B11" s="19"/>
      <c r="C11" s="19"/>
    </row>
  </sheetData>
  <phoneticPr fontId="8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9</vt:i4>
      </vt:variant>
    </vt:vector>
  </HeadingPairs>
  <TitlesOfParts>
    <vt:vector size="9" baseType="lpstr">
      <vt:lpstr>国战阵营</vt:lpstr>
      <vt:lpstr>国战城池</vt:lpstr>
      <vt:lpstr>国战随机奖励</vt:lpstr>
      <vt:lpstr>国战随机商店</vt:lpstr>
      <vt:lpstr>国战排行榜奖励</vt:lpstr>
      <vt:lpstr>国战特殊道具</vt:lpstr>
      <vt:lpstr>国战阵营属性</vt:lpstr>
      <vt:lpstr>国战名望任务</vt:lpstr>
      <vt:lpstr>国战名望奖励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KEnDoan</cp:lastModifiedBy>
  <dcterms:created xsi:type="dcterms:W3CDTF">2020-10-15T06:47:00Z</dcterms:created>
  <dcterms:modified xsi:type="dcterms:W3CDTF">2022-11-30T08:01:03Z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