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C3E966EC-5BD0-48C7-BF00-A2DE925D683B}" xr6:coauthVersionLast="47" xr6:coauthVersionMax="47" xr10:uidLastSave="{00000000-0000-0000-0000-000000000000}"/>
  <bookViews>
    <workbookView xWindow="5250" yWindow="2775" windowWidth="22545" windowHeight="11925" tabRatio="796" firstSheet="10" activeTab="18" xr2:uid="{00000000-000D-0000-FFFF-FFFF00000000}"/>
  </bookViews>
  <sheets>
    <sheet name="挂机掉落活动" sheetId="1" r:id="rId1"/>
    <sheet name="挂机掉落商店" sheetId="2" r:id="rId2"/>
    <sheet name="任务比拼活动" sheetId="3" r:id="rId3"/>
    <sheet name="任务比拼详情" sheetId="4" r:id="rId4"/>
    <sheet name="任务比拼排行榜" sheetId="5" r:id="rId5"/>
    <sheet name="限时活动排序" sheetId="6" r:id="rId6"/>
    <sheet name="精英召唤活动" sheetId="8" r:id="rId7"/>
    <sheet name="精英召唤方式" sheetId="10" r:id="rId8"/>
    <sheet name="精英召唤奖励" sheetId="11" r:id="rId9"/>
    <sheet name="精英召唤商店" sheetId="23" r:id="rId10"/>
    <sheet name="精英召唤商品" sheetId="20" r:id="rId11"/>
    <sheet name="每日限购活动" sheetId="21" r:id="rId12"/>
    <sheet name="每日限购活动商店" sheetId="22" r:id="rId13"/>
    <sheet name="战令活动基础" sheetId="17" r:id="rId14"/>
    <sheet name="战令积分奖励" sheetId="16" r:id="rId15"/>
    <sheet name="战令任务" sheetId="14" r:id="rId16"/>
    <sheet name="迷宫战令基础" sheetId="18" r:id="rId17"/>
    <sheet name="迷宫战令积分奖励" sheetId="19" r:id="rId18"/>
    <sheet name="Sheet1" sheetId="24" r:id="rId19"/>
  </sheets>
  <definedNames>
    <definedName name="_xlnm._FilterDatabase" localSheetId="2" hidden="1">任务比拼活动!$A$1:$R$724</definedName>
  </definedNames>
  <calcPr calcId="191029"/>
</workbook>
</file>

<file path=xl/calcChain.xml><?xml version="1.0" encoding="utf-8"?>
<calcChain xmlns="http://schemas.openxmlformats.org/spreadsheetml/2006/main">
  <c r="E22" i="18" l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C22" i="18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J217" i="16"/>
  <c r="J216" i="16"/>
  <c r="J215" i="16"/>
  <c r="J214" i="16"/>
  <c r="J213" i="16"/>
  <c r="J212" i="16"/>
  <c r="J211" i="16"/>
  <c r="J210" i="16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J189" i="16"/>
  <c r="J188" i="16"/>
  <c r="C32" i="17"/>
  <c r="C33" i="17" s="1"/>
  <c r="C34" i="17" s="1"/>
  <c r="C35" i="17" s="1"/>
  <c r="C36" i="17" s="1"/>
  <c r="C37" i="17" s="1"/>
  <c r="C38" i="17" s="1"/>
  <c r="C39" i="17" s="1"/>
  <c r="C40" i="17" s="1"/>
  <c r="C41" i="17" s="1"/>
  <c r="E18" i="17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17" i="17"/>
  <c r="E16" i="17"/>
  <c r="C16" i="17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B46" i="2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B149" i="21" s="1"/>
  <c r="B150" i="21" s="1"/>
  <c r="B151" i="21" s="1"/>
  <c r="B152" i="21" s="1"/>
  <c r="B153" i="21" s="1"/>
  <c r="B154" i="21" s="1"/>
  <c r="B155" i="21" s="1"/>
  <c r="D44" i="21"/>
  <c r="D45" i="21" s="1"/>
  <c r="D46" i="21" s="1"/>
  <c r="D47" i="21" s="1"/>
  <c r="D48" i="21" s="1"/>
  <c r="D49" i="21" s="1"/>
  <c r="D50" i="21" s="1"/>
  <c r="D51" i="21" s="1"/>
  <c r="D52" i="21" s="1"/>
  <c r="D53" i="21" s="1"/>
  <c r="D54" i="21" s="1"/>
  <c r="D55" i="21" s="1"/>
  <c r="D56" i="21" s="1"/>
  <c r="D57" i="21" s="1"/>
  <c r="D58" i="21" s="1"/>
  <c r="D59" i="21" s="1"/>
  <c r="D60" i="21" s="1"/>
  <c r="D61" i="21" s="1"/>
  <c r="D62" i="21" s="1"/>
  <c r="D63" i="21" s="1"/>
  <c r="D64" i="21" s="1"/>
  <c r="D65" i="21" s="1"/>
  <c r="D66" i="21" s="1"/>
  <c r="D67" i="21" s="1"/>
  <c r="D68" i="21" s="1"/>
  <c r="D69" i="21" s="1"/>
  <c r="D70" i="21" s="1"/>
  <c r="D71" i="21" s="1"/>
  <c r="D72" i="21" s="1"/>
  <c r="D73" i="21" s="1"/>
  <c r="D74" i="21" s="1"/>
  <c r="D75" i="21" s="1"/>
  <c r="D76" i="21" s="1"/>
  <c r="D77" i="21" s="1"/>
  <c r="D78" i="21" s="1"/>
  <c r="D79" i="21" s="1"/>
  <c r="D80" i="21" s="1"/>
  <c r="D81" i="21" s="1"/>
  <c r="D82" i="21" s="1"/>
  <c r="D83" i="21" s="1"/>
  <c r="D84" i="21" s="1"/>
  <c r="D85" i="21" s="1"/>
  <c r="D86" i="21" s="1"/>
  <c r="D87" i="21" s="1"/>
  <c r="D88" i="21" s="1"/>
  <c r="D89" i="21" s="1"/>
  <c r="D90" i="21" s="1"/>
  <c r="D91" i="21" s="1"/>
  <c r="D92" i="21" s="1"/>
  <c r="D93" i="21" s="1"/>
  <c r="D94" i="21" s="1"/>
  <c r="D95" i="21" s="1"/>
  <c r="D96" i="21" s="1"/>
  <c r="D97" i="21" s="1"/>
  <c r="D98" i="21" s="1"/>
  <c r="D99" i="21" s="1"/>
  <c r="D100" i="21" s="1"/>
  <c r="D101" i="21" s="1"/>
  <c r="D102" i="21" s="1"/>
  <c r="D103" i="21" s="1"/>
  <c r="D104" i="21" s="1"/>
  <c r="D105" i="21" s="1"/>
  <c r="D106" i="21" s="1"/>
  <c r="D107" i="21" s="1"/>
  <c r="D108" i="21" s="1"/>
  <c r="D109" i="21" s="1"/>
  <c r="D110" i="21" s="1"/>
  <c r="D111" i="21" s="1"/>
  <c r="D112" i="21" s="1"/>
  <c r="D113" i="21" s="1"/>
  <c r="D114" i="21" s="1"/>
  <c r="D115" i="21" s="1"/>
  <c r="D116" i="21" s="1"/>
  <c r="D117" i="21" s="1"/>
  <c r="D118" i="21" s="1"/>
  <c r="D119" i="21" s="1"/>
  <c r="D120" i="21" s="1"/>
  <c r="D121" i="21" s="1"/>
  <c r="D122" i="21" s="1"/>
  <c r="D123" i="21" s="1"/>
  <c r="D124" i="21" s="1"/>
  <c r="D125" i="21" s="1"/>
  <c r="D126" i="21" s="1"/>
  <c r="D127" i="21" s="1"/>
  <c r="D128" i="21" s="1"/>
  <c r="D129" i="21" s="1"/>
  <c r="D130" i="21" s="1"/>
  <c r="D131" i="21" s="1"/>
  <c r="D132" i="21" s="1"/>
  <c r="D133" i="21" s="1"/>
  <c r="D134" i="21" s="1"/>
  <c r="D135" i="21" s="1"/>
  <c r="D136" i="21" s="1"/>
  <c r="D137" i="21" s="1"/>
  <c r="D138" i="21" s="1"/>
  <c r="D139" i="21" s="1"/>
  <c r="D140" i="21" s="1"/>
  <c r="D141" i="21" s="1"/>
  <c r="D142" i="21" s="1"/>
  <c r="D143" i="21" s="1"/>
  <c r="D144" i="21" s="1"/>
  <c r="D145" i="21" s="1"/>
  <c r="D146" i="21" s="1"/>
  <c r="D147" i="21" s="1"/>
  <c r="D148" i="21" s="1"/>
  <c r="D149" i="21" s="1"/>
  <c r="D150" i="21" s="1"/>
  <c r="D151" i="21" s="1"/>
  <c r="D152" i="21" s="1"/>
  <c r="D153" i="21" s="1"/>
  <c r="D154" i="21" s="1"/>
  <c r="D155" i="21" s="1"/>
  <c r="D41" i="21"/>
  <c r="D42" i="21" s="1"/>
  <c r="D43" i="21" s="1"/>
  <c r="B41" i="21"/>
  <c r="B42" i="21" s="1"/>
  <c r="B43" i="21" s="1"/>
  <c r="B44" i="21" s="1"/>
  <c r="B45" i="21" s="1"/>
  <c r="E3" i="8"/>
  <c r="E4" i="8" s="1"/>
  <c r="E5" i="8" s="1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C3" i="8"/>
  <c r="C4" i="8" s="1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F412" i="3"/>
  <c r="D412" i="3"/>
  <c r="F370" i="3"/>
  <c r="D370" i="3"/>
  <c r="F353" i="3"/>
  <c r="D353" i="3"/>
  <c r="F348" i="3"/>
  <c r="D348" i="3"/>
  <c r="F343" i="3"/>
  <c r="D343" i="3"/>
  <c r="F338" i="3"/>
  <c r="D338" i="3"/>
  <c r="F333" i="3"/>
  <c r="D333" i="3"/>
  <c r="F328" i="3"/>
  <c r="D328" i="3"/>
  <c r="F323" i="3"/>
  <c r="D323" i="3"/>
  <c r="F318" i="3"/>
  <c r="D318" i="3"/>
  <c r="F303" i="3"/>
  <c r="D303" i="3"/>
  <c r="F293" i="3"/>
  <c r="D293" i="3"/>
  <c r="F283" i="3"/>
  <c r="D283" i="3"/>
  <c r="F263" i="3"/>
  <c r="D263" i="3"/>
  <c r="D243" i="3"/>
  <c r="F238" i="3"/>
  <c r="D238" i="3"/>
  <c r="A19" i="1"/>
  <c r="A23" i="1" s="1"/>
  <c r="A27" i="1" s="1"/>
  <c r="A31" i="1" s="1"/>
  <c r="A35" i="1" s="1"/>
  <c r="A39" i="1" s="1"/>
  <c r="A43" i="1" s="1"/>
  <c r="A47" i="1" s="1"/>
  <c r="A51" i="1" s="1"/>
  <c r="A55" i="1" s="1"/>
  <c r="A59" i="1" s="1"/>
  <c r="A63" i="1" s="1"/>
  <c r="A67" i="1" s="1"/>
  <c r="A71" i="1" s="1"/>
  <c r="A75" i="1" s="1"/>
  <c r="A79" i="1" s="1"/>
  <c r="A83" i="1" s="1"/>
  <c r="A87" i="1" s="1"/>
  <c r="A91" i="1" s="1"/>
  <c r="A95" i="1" s="1"/>
  <c r="A99" i="1" s="1"/>
  <c r="A103" i="1" s="1"/>
  <c r="A107" i="1" s="1"/>
  <c r="A111" i="1" s="1"/>
  <c r="A16" i="1"/>
  <c r="A20" i="1" s="1"/>
  <c r="A24" i="1" s="1"/>
  <c r="A28" i="1" s="1"/>
  <c r="A32" i="1" s="1"/>
  <c r="A36" i="1" s="1"/>
  <c r="A40" i="1" s="1"/>
  <c r="A44" i="1" s="1"/>
  <c r="A48" i="1" s="1"/>
  <c r="A52" i="1" s="1"/>
  <c r="A56" i="1" s="1"/>
  <c r="A60" i="1" s="1"/>
  <c r="A64" i="1" s="1"/>
  <c r="A68" i="1" s="1"/>
  <c r="A72" i="1" s="1"/>
  <c r="A76" i="1" s="1"/>
  <c r="A80" i="1" s="1"/>
  <c r="A84" i="1" s="1"/>
  <c r="A88" i="1" s="1"/>
  <c r="A92" i="1" s="1"/>
  <c r="A96" i="1" s="1"/>
  <c r="A100" i="1" s="1"/>
  <c r="A104" i="1" s="1"/>
  <c r="A108" i="1" s="1"/>
  <c r="A112" i="1" s="1"/>
  <c r="A13" i="1"/>
  <c r="A17" i="1" s="1"/>
  <c r="A21" i="1" s="1"/>
  <c r="A25" i="1" s="1"/>
  <c r="A29" i="1" s="1"/>
  <c r="A33" i="1" s="1"/>
  <c r="A37" i="1" s="1"/>
  <c r="A41" i="1" s="1"/>
  <c r="A45" i="1" s="1"/>
  <c r="A49" i="1" s="1"/>
  <c r="A53" i="1" s="1"/>
  <c r="A57" i="1" s="1"/>
  <c r="A61" i="1" s="1"/>
  <c r="A65" i="1" s="1"/>
  <c r="A69" i="1" s="1"/>
  <c r="A73" i="1" s="1"/>
  <c r="A77" i="1" s="1"/>
  <c r="A81" i="1" s="1"/>
  <c r="A85" i="1" s="1"/>
  <c r="A89" i="1" s="1"/>
  <c r="A93" i="1" s="1"/>
  <c r="A97" i="1" s="1"/>
  <c r="A101" i="1" s="1"/>
  <c r="A105" i="1" s="1"/>
  <c r="A109" i="1" s="1"/>
  <c r="A113" i="1" s="1"/>
  <c r="F12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A10" i="1"/>
  <c r="A14" i="1" s="1"/>
  <c r="A18" i="1" s="1"/>
  <c r="A22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70" i="1" s="1"/>
  <c r="A74" i="1" s="1"/>
  <c r="A78" i="1" s="1"/>
  <c r="A82" i="1" s="1"/>
  <c r="A86" i="1" s="1"/>
  <c r="A90" i="1" s="1"/>
  <c r="A94" i="1" s="1"/>
  <c r="A98" i="1" s="1"/>
  <c r="A102" i="1" s="1"/>
  <c r="A106" i="1" s="1"/>
  <c r="A110" i="1" s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F9" i="1"/>
  <c r="F10" i="1" s="1"/>
  <c r="F11" i="1" s="1"/>
  <c r="A9" i="1"/>
  <c r="A8" i="1"/>
  <c r="A12" i="1" s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A7" i="1"/>
  <c r="A11" i="1" s="1"/>
  <c r="A15" i="1" s="1"/>
  <c r="H6" i="1"/>
  <c r="H7" i="1" s="1"/>
  <c r="H8" i="1" s="1"/>
  <c r="F6" i="1"/>
  <c r="F7" i="1" s="1"/>
  <c r="F8" i="1" s="1"/>
  <c r="D6" i="1"/>
  <c r="A6" i="1"/>
  <c r="D373" i="3" l="1"/>
  <c r="D376" i="3" s="1"/>
  <c r="D372" i="3"/>
  <c r="D375" i="3" s="1"/>
  <c r="D371" i="3"/>
  <c r="D374" i="3" s="1"/>
  <c r="F373" i="3"/>
  <c r="F376" i="3" s="1"/>
  <c r="F372" i="3"/>
  <c r="F375" i="3" s="1"/>
  <c r="F371" i="3"/>
  <c r="F374" i="3" s="1"/>
  <c r="F415" i="3"/>
  <c r="F414" i="3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501" i="3" s="1"/>
  <c r="F502" i="3" s="1"/>
  <c r="F503" i="3" s="1"/>
  <c r="F504" i="3" s="1"/>
  <c r="F505" i="3" s="1"/>
  <c r="F506" i="3" s="1"/>
  <c r="F507" i="3" s="1"/>
  <c r="F508" i="3" s="1"/>
  <c r="F509" i="3" s="1"/>
  <c r="F510" i="3" s="1"/>
  <c r="F511" i="3" s="1"/>
  <c r="F512" i="3" s="1"/>
  <c r="F513" i="3" s="1"/>
  <c r="F514" i="3" s="1"/>
  <c r="F515" i="3" s="1"/>
  <c r="F516" i="3" s="1"/>
  <c r="F517" i="3" s="1"/>
  <c r="F518" i="3" s="1"/>
  <c r="F519" i="3" s="1"/>
  <c r="F520" i="3" s="1"/>
  <c r="F521" i="3" s="1"/>
  <c r="F522" i="3" s="1"/>
  <c r="F523" i="3" s="1"/>
  <c r="F524" i="3" s="1"/>
  <c r="F525" i="3" s="1"/>
  <c r="F526" i="3" s="1"/>
  <c r="F527" i="3" s="1"/>
  <c r="F528" i="3" s="1"/>
  <c r="F529" i="3" s="1"/>
  <c r="F530" i="3" s="1"/>
  <c r="F531" i="3" s="1"/>
  <c r="F532" i="3" s="1"/>
  <c r="F533" i="3" s="1"/>
  <c r="F534" i="3" s="1"/>
  <c r="F535" i="3" s="1"/>
  <c r="F536" i="3" s="1"/>
  <c r="F537" i="3" s="1"/>
  <c r="F538" i="3" s="1"/>
  <c r="F539" i="3" s="1"/>
  <c r="F540" i="3" s="1"/>
  <c r="F541" i="3" s="1"/>
  <c r="F542" i="3" s="1"/>
  <c r="F543" i="3" s="1"/>
  <c r="F544" i="3" s="1"/>
  <c r="F545" i="3" s="1"/>
  <c r="F546" i="3" s="1"/>
  <c r="F547" i="3" s="1"/>
  <c r="F548" i="3" s="1"/>
  <c r="F549" i="3" s="1"/>
  <c r="F550" i="3" s="1"/>
  <c r="F551" i="3" s="1"/>
  <c r="F552" i="3" s="1"/>
  <c r="F553" i="3" s="1"/>
  <c r="F554" i="3" s="1"/>
  <c r="F555" i="3" s="1"/>
  <c r="F556" i="3" s="1"/>
  <c r="F557" i="3" s="1"/>
  <c r="F558" i="3" s="1"/>
  <c r="F559" i="3" s="1"/>
  <c r="F560" i="3" s="1"/>
  <c r="F561" i="3" s="1"/>
  <c r="F562" i="3" s="1"/>
  <c r="F563" i="3" s="1"/>
  <c r="F564" i="3" s="1"/>
  <c r="F565" i="3" s="1"/>
  <c r="F566" i="3" s="1"/>
  <c r="F567" i="3" s="1"/>
  <c r="F568" i="3" s="1"/>
  <c r="F569" i="3" s="1"/>
  <c r="F570" i="3" s="1"/>
  <c r="F571" i="3" s="1"/>
  <c r="F572" i="3" s="1"/>
  <c r="F573" i="3" s="1"/>
  <c r="F574" i="3" s="1"/>
  <c r="F575" i="3" s="1"/>
  <c r="F576" i="3" s="1"/>
  <c r="F577" i="3" s="1"/>
  <c r="F578" i="3" s="1"/>
  <c r="F579" i="3" s="1"/>
  <c r="F580" i="3" s="1"/>
  <c r="F581" i="3" s="1"/>
  <c r="F582" i="3" s="1"/>
  <c r="F583" i="3" s="1"/>
  <c r="F584" i="3" s="1"/>
  <c r="F585" i="3" s="1"/>
  <c r="F586" i="3" s="1"/>
  <c r="F587" i="3" s="1"/>
  <c r="F588" i="3" s="1"/>
  <c r="F589" i="3" s="1"/>
  <c r="F590" i="3" s="1"/>
  <c r="F591" i="3" s="1"/>
  <c r="F592" i="3" s="1"/>
  <c r="F593" i="3" s="1"/>
  <c r="F594" i="3" s="1"/>
  <c r="F595" i="3" s="1"/>
  <c r="F596" i="3" s="1"/>
  <c r="F597" i="3" s="1"/>
  <c r="F598" i="3" s="1"/>
  <c r="F599" i="3" s="1"/>
  <c r="F600" i="3" s="1"/>
  <c r="F601" i="3" s="1"/>
  <c r="F602" i="3" s="1"/>
  <c r="F603" i="3" s="1"/>
  <c r="F604" i="3" s="1"/>
  <c r="F605" i="3" s="1"/>
  <c r="F606" i="3" s="1"/>
  <c r="F607" i="3" s="1"/>
  <c r="F608" i="3" s="1"/>
  <c r="F609" i="3" s="1"/>
  <c r="F610" i="3" s="1"/>
  <c r="F611" i="3" s="1"/>
  <c r="F612" i="3" s="1"/>
  <c r="F613" i="3" s="1"/>
  <c r="F614" i="3" s="1"/>
  <c r="F615" i="3" s="1"/>
  <c r="F616" i="3" s="1"/>
  <c r="F617" i="3" s="1"/>
  <c r="F618" i="3" s="1"/>
  <c r="F619" i="3" s="1"/>
  <c r="F620" i="3" s="1"/>
  <c r="F621" i="3" s="1"/>
  <c r="F622" i="3" s="1"/>
  <c r="F623" i="3" s="1"/>
  <c r="F624" i="3" s="1"/>
  <c r="F625" i="3" s="1"/>
  <c r="F626" i="3" s="1"/>
  <c r="F627" i="3" s="1"/>
  <c r="F628" i="3" s="1"/>
  <c r="F629" i="3" s="1"/>
  <c r="F630" i="3" s="1"/>
  <c r="F631" i="3" s="1"/>
  <c r="F632" i="3" s="1"/>
  <c r="F633" i="3" s="1"/>
  <c r="F634" i="3" s="1"/>
  <c r="F635" i="3" s="1"/>
  <c r="F636" i="3" s="1"/>
  <c r="F637" i="3" s="1"/>
  <c r="F638" i="3" s="1"/>
  <c r="F639" i="3" s="1"/>
  <c r="F640" i="3" s="1"/>
  <c r="F641" i="3" s="1"/>
  <c r="F642" i="3" s="1"/>
  <c r="F643" i="3" s="1"/>
  <c r="F644" i="3" s="1"/>
  <c r="F645" i="3" s="1"/>
  <c r="F646" i="3" s="1"/>
  <c r="F647" i="3" s="1"/>
  <c r="F648" i="3" s="1"/>
  <c r="F649" i="3" s="1"/>
  <c r="F650" i="3" s="1"/>
  <c r="F651" i="3" s="1"/>
  <c r="F652" i="3" s="1"/>
  <c r="F653" i="3" s="1"/>
  <c r="F654" i="3" s="1"/>
  <c r="F655" i="3" s="1"/>
  <c r="F656" i="3" s="1"/>
  <c r="F657" i="3" s="1"/>
  <c r="F658" i="3" s="1"/>
  <c r="F659" i="3" s="1"/>
  <c r="F660" i="3" s="1"/>
  <c r="F661" i="3" s="1"/>
  <c r="F662" i="3" s="1"/>
  <c r="F663" i="3" s="1"/>
  <c r="F664" i="3" s="1"/>
  <c r="F665" i="3" s="1"/>
  <c r="F666" i="3" s="1"/>
  <c r="F667" i="3" s="1"/>
  <c r="F668" i="3" s="1"/>
  <c r="F669" i="3" s="1"/>
  <c r="F670" i="3" s="1"/>
  <c r="F671" i="3" s="1"/>
  <c r="F672" i="3" s="1"/>
  <c r="F673" i="3" s="1"/>
  <c r="F674" i="3" s="1"/>
  <c r="F675" i="3" s="1"/>
  <c r="F676" i="3" s="1"/>
  <c r="F677" i="3" s="1"/>
  <c r="F678" i="3" s="1"/>
  <c r="F679" i="3" s="1"/>
  <c r="F680" i="3" s="1"/>
  <c r="F681" i="3" s="1"/>
  <c r="F682" i="3" s="1"/>
  <c r="F683" i="3" s="1"/>
  <c r="F684" i="3" s="1"/>
  <c r="F685" i="3" s="1"/>
  <c r="F686" i="3" s="1"/>
  <c r="F687" i="3" s="1"/>
  <c r="F688" i="3" s="1"/>
  <c r="F689" i="3" s="1"/>
  <c r="F690" i="3" s="1"/>
  <c r="F691" i="3" s="1"/>
  <c r="F692" i="3" s="1"/>
  <c r="F693" i="3" s="1"/>
  <c r="F694" i="3" s="1"/>
  <c r="F695" i="3" s="1"/>
  <c r="F696" i="3" s="1"/>
  <c r="F697" i="3" s="1"/>
  <c r="F698" i="3" s="1"/>
  <c r="F699" i="3" s="1"/>
  <c r="F700" i="3" s="1"/>
  <c r="F701" i="3" s="1"/>
  <c r="F702" i="3" s="1"/>
  <c r="F703" i="3" s="1"/>
  <c r="F704" i="3" s="1"/>
  <c r="F705" i="3" s="1"/>
  <c r="F706" i="3" s="1"/>
  <c r="F707" i="3" s="1"/>
  <c r="F708" i="3" s="1"/>
  <c r="F709" i="3" s="1"/>
  <c r="F710" i="3" s="1"/>
  <c r="F711" i="3" s="1"/>
  <c r="F712" i="3" s="1"/>
  <c r="F713" i="3" s="1"/>
  <c r="F714" i="3" s="1"/>
  <c r="F715" i="3" s="1"/>
  <c r="F716" i="3" s="1"/>
  <c r="F717" i="3" s="1"/>
  <c r="F413" i="3"/>
  <c r="F416" i="3" s="1"/>
  <c r="D415" i="3"/>
  <c r="D414" i="3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D582" i="3" s="1"/>
  <c r="D583" i="3" s="1"/>
  <c r="D584" i="3" s="1"/>
  <c r="D585" i="3" s="1"/>
  <c r="D586" i="3" s="1"/>
  <c r="D587" i="3" s="1"/>
  <c r="D588" i="3" s="1"/>
  <c r="D589" i="3" s="1"/>
  <c r="D590" i="3" s="1"/>
  <c r="D591" i="3" s="1"/>
  <c r="D592" i="3" s="1"/>
  <c r="D593" i="3" s="1"/>
  <c r="D594" i="3" s="1"/>
  <c r="D595" i="3" s="1"/>
  <c r="D596" i="3" s="1"/>
  <c r="D597" i="3" s="1"/>
  <c r="D598" i="3" s="1"/>
  <c r="D599" i="3" s="1"/>
  <c r="D600" i="3" s="1"/>
  <c r="D601" i="3" s="1"/>
  <c r="D602" i="3" s="1"/>
  <c r="D603" i="3" s="1"/>
  <c r="D604" i="3" s="1"/>
  <c r="D605" i="3" s="1"/>
  <c r="D606" i="3" s="1"/>
  <c r="D607" i="3" s="1"/>
  <c r="D608" i="3" s="1"/>
  <c r="D609" i="3" s="1"/>
  <c r="D610" i="3" s="1"/>
  <c r="D611" i="3" s="1"/>
  <c r="D612" i="3" s="1"/>
  <c r="D613" i="3" s="1"/>
  <c r="D614" i="3" s="1"/>
  <c r="D615" i="3" s="1"/>
  <c r="D616" i="3" s="1"/>
  <c r="D617" i="3" s="1"/>
  <c r="D618" i="3" s="1"/>
  <c r="D619" i="3" s="1"/>
  <c r="D620" i="3" s="1"/>
  <c r="D621" i="3" s="1"/>
  <c r="D622" i="3" s="1"/>
  <c r="D623" i="3" s="1"/>
  <c r="D624" i="3" s="1"/>
  <c r="D625" i="3" s="1"/>
  <c r="D626" i="3" s="1"/>
  <c r="D627" i="3" s="1"/>
  <c r="D628" i="3" s="1"/>
  <c r="D629" i="3" s="1"/>
  <c r="D630" i="3" s="1"/>
  <c r="D631" i="3" s="1"/>
  <c r="D632" i="3" s="1"/>
  <c r="D633" i="3" s="1"/>
  <c r="D634" i="3" s="1"/>
  <c r="D635" i="3" s="1"/>
  <c r="D636" i="3" s="1"/>
  <c r="D637" i="3" s="1"/>
  <c r="D638" i="3" s="1"/>
  <c r="D639" i="3" s="1"/>
  <c r="D640" i="3" s="1"/>
  <c r="D641" i="3" s="1"/>
  <c r="D642" i="3" s="1"/>
  <c r="D643" i="3" s="1"/>
  <c r="D644" i="3" s="1"/>
  <c r="D645" i="3" s="1"/>
  <c r="D646" i="3" s="1"/>
  <c r="D647" i="3" s="1"/>
  <c r="D648" i="3" s="1"/>
  <c r="D649" i="3" s="1"/>
  <c r="D650" i="3" s="1"/>
  <c r="D651" i="3" s="1"/>
  <c r="D652" i="3" s="1"/>
  <c r="D653" i="3" s="1"/>
  <c r="D654" i="3" s="1"/>
  <c r="D655" i="3" s="1"/>
  <c r="D656" i="3" s="1"/>
  <c r="D657" i="3" s="1"/>
  <c r="D658" i="3" s="1"/>
  <c r="D659" i="3" s="1"/>
  <c r="D660" i="3" s="1"/>
  <c r="D661" i="3" s="1"/>
  <c r="D662" i="3" s="1"/>
  <c r="D663" i="3" s="1"/>
  <c r="D664" i="3" s="1"/>
  <c r="D665" i="3" s="1"/>
  <c r="D666" i="3" s="1"/>
  <c r="D667" i="3" s="1"/>
  <c r="D668" i="3" s="1"/>
  <c r="D669" i="3" s="1"/>
  <c r="D670" i="3" s="1"/>
  <c r="D671" i="3" s="1"/>
  <c r="D672" i="3" s="1"/>
  <c r="D673" i="3" s="1"/>
  <c r="D674" i="3" s="1"/>
  <c r="D675" i="3" s="1"/>
  <c r="D676" i="3" s="1"/>
  <c r="D677" i="3" s="1"/>
  <c r="D678" i="3" s="1"/>
  <c r="D679" i="3" s="1"/>
  <c r="D680" i="3" s="1"/>
  <c r="D681" i="3" s="1"/>
  <c r="D682" i="3" s="1"/>
  <c r="D683" i="3" s="1"/>
  <c r="D684" i="3" s="1"/>
  <c r="D685" i="3" s="1"/>
  <c r="D686" i="3" s="1"/>
  <c r="D687" i="3" s="1"/>
  <c r="D688" i="3" s="1"/>
  <c r="D689" i="3" s="1"/>
  <c r="D690" i="3" s="1"/>
  <c r="D691" i="3" s="1"/>
  <c r="D692" i="3" s="1"/>
  <c r="D693" i="3" s="1"/>
  <c r="D694" i="3" s="1"/>
  <c r="D695" i="3" s="1"/>
  <c r="D696" i="3" s="1"/>
  <c r="D697" i="3" s="1"/>
  <c r="D698" i="3" s="1"/>
  <c r="D699" i="3" s="1"/>
  <c r="D700" i="3" s="1"/>
  <c r="D701" i="3" s="1"/>
  <c r="D702" i="3" s="1"/>
  <c r="D703" i="3" s="1"/>
  <c r="D704" i="3" s="1"/>
  <c r="D705" i="3" s="1"/>
  <c r="D706" i="3" s="1"/>
  <c r="D707" i="3" s="1"/>
  <c r="D708" i="3" s="1"/>
  <c r="D709" i="3" s="1"/>
  <c r="D710" i="3" s="1"/>
  <c r="D711" i="3" s="1"/>
  <c r="D712" i="3" s="1"/>
  <c r="D713" i="3" s="1"/>
  <c r="D714" i="3" s="1"/>
  <c r="D715" i="3" s="1"/>
  <c r="D716" i="3" s="1"/>
  <c r="D717" i="3" s="1"/>
  <c r="D413" i="3"/>
  <c r="D416" i="3" s="1"/>
  <c r="D379" i="3" l="1"/>
  <c r="D382" i="3" s="1"/>
  <c r="D378" i="3"/>
  <c r="D381" i="3" s="1"/>
  <c r="D377" i="3"/>
  <c r="D380" i="3" s="1"/>
  <c r="F379" i="3"/>
  <c r="F382" i="3" s="1"/>
  <c r="F378" i="3"/>
  <c r="F381" i="3" s="1"/>
  <c r="F377" i="3"/>
  <c r="F380" i="3" s="1"/>
  <c r="D385" i="3" l="1"/>
  <c r="D388" i="3" s="1"/>
  <c r="D384" i="3"/>
  <c r="D387" i="3" s="1"/>
  <c r="D383" i="3"/>
  <c r="D386" i="3" s="1"/>
  <c r="F385" i="3"/>
  <c r="F388" i="3" s="1"/>
  <c r="F384" i="3"/>
  <c r="F387" i="3" s="1"/>
  <c r="F383" i="3"/>
  <c r="F386" i="3" s="1"/>
  <c r="D391" i="3" l="1"/>
  <c r="D394" i="3" s="1"/>
  <c r="D390" i="3"/>
  <c r="D393" i="3" s="1"/>
  <c r="D389" i="3"/>
  <c r="D392" i="3" s="1"/>
  <c r="F391" i="3"/>
  <c r="F394" i="3" s="1"/>
  <c r="F390" i="3"/>
  <c r="F393" i="3" s="1"/>
  <c r="F389" i="3"/>
  <c r="F392" i="3" s="1"/>
  <c r="D397" i="3" l="1"/>
  <c r="D396" i="3"/>
  <c r="D399" i="3" s="1"/>
  <c r="D395" i="3"/>
  <c r="D398" i="3" s="1"/>
  <c r="F397" i="3"/>
  <c r="F396" i="3"/>
  <c r="F399" i="3" s="1"/>
  <c r="F395" i="3"/>
  <c r="F398" i="3" s="1"/>
</calcChain>
</file>

<file path=xl/sharedStrings.xml><?xml version="1.0" encoding="utf-8"?>
<sst xmlns="http://schemas.openxmlformats.org/spreadsheetml/2006/main" count="7649" uniqueCount="772">
  <si>
    <t>活动ID</t>
  </si>
  <si>
    <t>商店分组</t>
  </si>
  <si>
    <t>活动名称</t>
  </si>
  <si>
    <t>开启天数</t>
  </si>
  <si>
    <t>开启时间</t>
  </si>
  <si>
    <t>结束天数</t>
  </si>
  <si>
    <t>结束时间</t>
  </si>
  <si>
    <t>掉落结束天数</t>
  </si>
  <si>
    <t>掉落结束时间</t>
  </si>
  <si>
    <t>掉落道具ID</t>
  </si>
  <si>
    <t>掉落间隔</t>
  </si>
  <si>
    <t>掉落配置</t>
  </si>
  <si>
    <t>掉落说明</t>
  </si>
  <si>
    <t>邮件ID</t>
  </si>
  <si>
    <t>道具展示</t>
  </si>
  <si>
    <t>活动图标</t>
  </si>
  <si>
    <t>底图</t>
  </si>
  <si>
    <t>活动tips</t>
  </si>
  <si>
    <t>Đông Hải trải qua nguy hiểm</t>
  </si>
  <si>
    <t>00:00:00</t>
  </si>
  <si>
    <t>23:59:59</t>
  </si>
  <si>
    <t>0:0#1:100</t>
  </si>
  <si>
    <t>Mỗi 18 Phút ngẫu nhiên một lần, 100% Xác suất rơi 1 cái</t>
  </si>
  <si>
    <t>4:602020#4:606002#3:100025#3:100022</t>
  </si>
  <si>
    <t>bg1001</t>
  </si>
  <si>
    <r>
      <rPr>
        <sz val="10.5"/>
        <color rgb="FF000000"/>
        <rFont val="Helvetica"/>
        <charset val="134"/>
      </rPr>
      <t>· Hoạt động trong lúc đó treo máy chiến đấu, có xác suất rơi xuống [ Thất thải vảy rồng ]( Ngậm nhanh chóng chiến đấu )#·[ Thất thải vảy rồng ] Nhưng tại hoạt động cửa hàng hối đoái siêu giá trị ban thưởng #· Hoạt động kết thúc sau cửa hàng sẽ ngoài định mức mở ra 2 Nhật, nhưng không thể thu được đến [ Thất thải vảy rồng ]#· Hoạt động cửa hàng quan bế sau [ Thất thải vảy rồng ] Đem không cách nào tiếp tục sử dụng!</t>
    </r>
  </si>
  <si>
    <t>Minh Ngục trải qua nguy hiểm</t>
  </si>
  <si>
    <t>4:603019#4:606002#3:100025#3:100022</t>
  </si>
  <si>
    <t>bg1002</t>
  </si>
  <si>
    <r>
      <rPr>
        <sz val="10.5"/>
        <color rgb="FF000000"/>
        <rFont val="Helvetica"/>
        <charset val="134"/>
      </rPr>
      <t>· Hoạt động trong lúc đó treo máy chiến đấu, có xác suất rơi xuống [ Mạn Đà La ]( Ngậm nhanh chóng chiến đấu )#·[ Mạn Đà La ] Nhưng tại hoạt động cửa hàng hối đoái siêu giá trị ban thưởng #· Hoạt động kết thúc sau cửa hàng sẽ ngoài định mức mở ra 2 Nhật, nhưng không thể thu được đến [ Mạn Đà La ]#· Hoạt động cửa hàng quan bế sau [ Mạn Đà La ] Đem không cách nào tiếp tục sử dụng!</t>
    </r>
  </si>
  <si>
    <t>Thiên Cung trải qua nguy hiểm</t>
  </si>
  <si>
    <t>4:601022#4:606002#3:100025#3:100022</t>
  </si>
  <si>
    <t>bg1003</t>
  </si>
  <si>
    <r>
      <rPr>
        <sz val="10.5"/>
        <color rgb="FF000000"/>
        <rFont val="Helvetica"/>
        <charset val="134"/>
      </rPr>
      <t>· Hoạt động trong lúc đó treo máy chiến đấu, có xác suất rơi xuống [ Thiên Sơn tuyết liên ]( Ngậm nhanh chóng chiến đấu )#·[ Thiên Sơn tuyết liên ] Nhưng tại hoạt động cửa hàng hối đoái siêu giá trị ban thưởng #· Hoạt động kết thúc sau cửa hàng sẽ ngoài định mức mở ra 2 Nhật, nhưng không thể thu được đến [ Thiên Sơn tuyết liên ]#· Hoạt động cửa hàng quan bế sau [ Thiên Sơn tuyết liên ] Đem không cách nào tiếp tục sử dụng!</t>
    </r>
  </si>
  <si>
    <t>Đào nguyên trải qua nguy hiểm</t>
  </si>
  <si>
    <t>4:602022#4:606002#3:100025#3:100022</t>
  </si>
  <si>
    <t>bg1004</t>
  </si>
  <si>
    <r>
      <rPr>
        <sz val="10.5"/>
        <color rgb="FF000000"/>
        <rFont val="Helvetica"/>
        <charset val="134"/>
      </rPr>
      <t>· Hoạt động trong lúc đó treo máy chiến đấu, có xác suất rơi xuống [ Bàn đào ]( Ngậm nhanh chóng chiến đấu )#·[ Bàn đào ] Nhưng tại hoạt động cửa hàng hối đoái siêu giá trị ban thưởng #· Hoạt động kết thúc sau cửa hàng sẽ ngoài định mức mở ra 2 Nhật, nhưng không thể thu được đến [ Bàn đào ]#· Hoạt động cửa hàng quan bế sau [ Bàn đào ] Đem không cách nào tiếp tục sử dụng!</t>
    </r>
  </si>
  <si>
    <t>商品ID</t>
  </si>
  <si>
    <t>商品</t>
  </si>
  <si>
    <t>道具消耗数量</t>
  </si>
  <si>
    <t>限购个数</t>
  </si>
  <si>
    <t>是否超值</t>
  </si>
  <si>
    <t>奖励详情</t>
  </si>
  <si>
    <t>3:100025:1</t>
  </si>
  <si>
    <t>先祖水晶</t>
  </si>
  <si>
    <t>3:100022:1</t>
  </si>
  <si>
    <t>高级点将卷</t>
  </si>
  <si>
    <t>3:100006:1</t>
  </si>
  <si>
    <t>高级寻宝卷</t>
  </si>
  <si>
    <t>4:602020:50</t>
  </si>
  <si>
    <t>通天教主碎片</t>
  </si>
  <si>
    <t>4:606002:50</t>
  </si>
  <si>
    <t>5星随机碎片</t>
  </si>
  <si>
    <t>3:100001:10</t>
  </si>
  <si>
    <t>进阶石</t>
  </si>
  <si>
    <t>3:100002:10</t>
  </si>
  <si>
    <t>太乙精金</t>
  </si>
  <si>
    <t>3:100005:1</t>
  </si>
  <si>
    <t>寻宝卷</t>
  </si>
  <si>
    <t>0:0:50000</t>
  </si>
  <si>
    <t>金币</t>
  </si>
  <si>
    <t>0:4:10000</t>
  </si>
  <si>
    <t>英雄经验</t>
  </si>
  <si>
    <t>4:603019:50</t>
  </si>
  <si>
    <t>金乌碎片</t>
  </si>
  <si>
    <t>4:601022:50</t>
  </si>
  <si>
    <t>雷震子碎片</t>
  </si>
  <si>
    <t>4:602022:50</t>
  </si>
  <si>
    <t>云中子碎片</t>
  </si>
  <si>
    <t>功能ID</t>
  </si>
  <si>
    <t>*排行榜事件类型</t>
  </si>
  <si>
    <t>*排行榜事件参数</t>
  </si>
  <si>
    <t>*排行榜最大数量</t>
  </si>
  <si>
    <t>横幅图标</t>
  </si>
  <si>
    <t>*排行榜邮件ID</t>
  </si>
  <si>
    <t>*任务邮件ID</t>
  </si>
  <si>
    <t>任务分组</t>
  </si>
  <si>
    <t>排行榜奖励分组</t>
  </si>
  <si>
    <t>*排行参与条件</t>
  </si>
  <si>
    <t>每日提醒</t>
  </si>
  <si>
    <t>Sửa đá thành vàng</t>
  </si>
  <si>
    <t>10010.jpg</t>
  </si>
  <si>
    <t>Bò tháp khiêu chiến</t>
  </si>
  <si>
    <t>10001.png</t>
  </si>
  <si>
    <t>Hạn lúc mệt mỏi mạo xưng</t>
  </si>
  <si>
    <t>10009.jpg</t>
  </si>
  <si>
    <t>Thăng tinh hào lễ</t>
  </si>
  <si>
    <t>10003.png</t>
  </si>
  <si>
    <t>Đánh dấu hảo lễ</t>
  </si>
  <si>
    <t>10002.png</t>
  </si>
  <si>
    <t>Treo thưởng truy nã</t>
  </si>
  <si>
    <t>10006.png</t>
  </si>
  <si>
    <t>Tỉ ấn đúc lại</t>
  </si>
  <si>
    <t>10011.jpg</t>
  </si>
  <si>
    <t>Anh hùng tập kết</t>
  </si>
  <si>
    <t>10062.jpg</t>
  </si>
  <si>
    <t>Sơn hà trải qua nguy hiểm</t>
  </si>
  <si>
    <t>10004.png</t>
  </si>
  <si>
    <t>Thú hồn cầu nguyện</t>
  </si>
  <si>
    <t>100</t>
  </si>
  <si>
    <t>1019</t>
  </si>
  <si>
    <t>10012.jpg</t>
  </si>
  <si>
    <t>52010</t>
  </si>
  <si>
    <t>Thú linh bồi dưỡng</t>
  </si>
  <si>
    <t>10055.jpg</t>
  </si>
  <si>
    <t>Trang bị mua</t>
  </si>
  <si>
    <t>10056.jpg</t>
  </si>
  <si>
    <t>Vô tận luân hồi</t>
  </si>
  <si>
    <t>10005.png</t>
  </si>
  <si>
    <t>Vượt phục lôi đài</t>
  </si>
  <si>
    <t>10063.jpg</t>
  </si>
  <si>
    <t>Lôi đài tranh bá</t>
  </si>
  <si>
    <t>10007.png</t>
  </si>
  <si>
    <t>Cao cấp tầm bảo</t>
  </si>
  <si>
    <t>10060.jpg</t>
  </si>
  <si>
    <t>Triện ấn mua</t>
  </si>
  <si>
    <t>10061.jpg</t>
  </si>
  <si>
    <t>Nhanh chóng tác chiến</t>
  </si>
  <si>
    <t>10008.png</t>
  </si>
  <si>
    <t>Trang bị hợp thành</t>
  </si>
  <si>
    <t>10057.jpg</t>
  </si>
  <si>
    <t>Anh hùng hiến tế</t>
  </si>
  <si>
    <t>10058.jpg</t>
  </si>
  <si>
    <t>Tiên minh chiến</t>
  </si>
  <si>
    <t>10059.jpg</t>
  </si>
  <si>
    <t>ID</t>
  </si>
  <si>
    <t>任务ID</t>
  </si>
  <si>
    <t>奖励ID</t>
  </si>
  <si>
    <t>排名起始</t>
  </si>
  <si>
    <t>排名结束</t>
  </si>
  <si>
    <t>奖励内容</t>
  </si>
  <si>
    <t>5:3:2#3:100006:10#0:1:1000</t>
  </si>
  <si>
    <t>高级寻宝卷，钻石，铭文</t>
  </si>
  <si>
    <t>5:3:1#3:100006:8#0:1:800</t>
  </si>
  <si>
    <t>5:3:1#3:100006:7#0:1:500</t>
  </si>
  <si>
    <t>3:100006:6#0:1:300</t>
  </si>
  <si>
    <t>高级寻宝卷，钻石</t>
  </si>
  <si>
    <t>3:100006:5#0:1:150</t>
  </si>
  <si>
    <t>3:100006:4#0:1:100</t>
  </si>
  <si>
    <t>6:30002:2#3:100006:10#0:1:1000</t>
  </si>
  <si>
    <t>6:30002:1#3:100006:8#0:1:800</t>
  </si>
  <si>
    <t>6:30002:1#3:100006:7#0:1:500</t>
  </si>
  <si>
    <t>0:1:1000#5:20001:3#3:100022:10</t>
  </si>
  <si>
    <t>元宝*1000，龙魂*3，高级点将券*10</t>
  </si>
  <si>
    <t>0:1:800#5:20001:2#3:100022:8</t>
  </si>
  <si>
    <t>元宝*800，龙魂*2，高级点将券*8</t>
  </si>
  <si>
    <t>0:1:500#5:20001:1#3:100022:7</t>
  </si>
  <si>
    <t>元宝*500，龙魂*1，高级点将券*7</t>
  </si>
  <si>
    <t>0:1:300#3:100022:6</t>
  </si>
  <si>
    <t>元宝*300，高级点将券*6</t>
  </si>
  <si>
    <t>0:1:150#3:100022:5</t>
  </si>
  <si>
    <t>元宝*150，高级点将券*5</t>
  </si>
  <si>
    <t>0:1:150#3:100022:4</t>
  </si>
  <si>
    <t>元宝*150，高级点将券*4</t>
  </si>
  <si>
    <t>0:1:1000#3:400035:1#3:100006:10</t>
  </si>
  <si>
    <t>元宝*1000，红3装备随机*1，高级寻宝券*10</t>
  </si>
  <si>
    <t>0:1:800#3:400033:1#3:100006:8</t>
  </si>
  <si>
    <t>元宝*800，红2装备随机*1，高级寻宝券*8</t>
  </si>
  <si>
    <t>0:1:500#3:400033:1#3:100006:7</t>
  </si>
  <si>
    <t>元宝*500，红2装备随机*1，高级寻宝券*7</t>
  </si>
  <si>
    <t>0:1:500#3:100006:6</t>
  </si>
  <si>
    <t>元宝*300，高级寻宝券*6</t>
  </si>
  <si>
    <t>0:1:150#3:100006:5</t>
  </si>
  <si>
    <t>元宝*150，高级寻宝券*5</t>
  </si>
  <si>
    <t>0:1:150#3:100006:4</t>
  </si>
  <si>
    <t>元宝*150，高级寻宝券*4</t>
  </si>
  <si>
    <t>0:1:1000#3:590002:1#3:100006:10</t>
  </si>
  <si>
    <t>元宝*1000，青年龙自选*1，高级寻宝券*10</t>
  </si>
  <si>
    <t>0:1:800#3:590001:1#3:100006:8</t>
  </si>
  <si>
    <t>元宝*800，幼龙自选*1，高级寻宝券*8</t>
  </si>
  <si>
    <t>0:1:500#3:590001:1#3:100006:7</t>
  </si>
  <si>
    <t>元宝*500，幼龙自选*1，高级寻宝券*7</t>
  </si>
  <si>
    <t>0:1:300#3:100006:6</t>
  </si>
  <si>
    <t>0:1:1000#5:5:1#3:100006:10</t>
  </si>
  <si>
    <t>元宝*1000，龙雀印*1，高级寻宝券*10</t>
  </si>
  <si>
    <t>0:1:800#5:4:1#3:100006:8</t>
  </si>
  <si>
    <t>元宝*800，玄武印*2，高级寻宝券*8</t>
  </si>
  <si>
    <t>0:1:500#5:3:1#3:100006:7</t>
  </si>
  <si>
    <t>元宝*500，白泽印*3，高级寻宝券*7</t>
  </si>
  <si>
    <t>0:1:1000#3:1000010:4#3:100022:10</t>
  </si>
  <si>
    <t>元宝*1000，5星英魂通用*4，高级点将券*10</t>
  </si>
  <si>
    <t>0:1:800#3:1000010:3#3:100022:8</t>
  </si>
  <si>
    <t>元宝*800，5星英魂通用*3，高级点将券*8</t>
  </si>
  <si>
    <t>0:1:500#3:1000010:2#3:100022:7</t>
  </si>
  <si>
    <t>元宝*500，5星英魂通用*2，高级点将券*7</t>
  </si>
  <si>
    <t>0:1:1000#3:400038:4#3:100022:10</t>
  </si>
  <si>
    <t>元宝*1000，高级附魔自选*4，高级点将券*10</t>
  </si>
  <si>
    <t>0:1:800#3:400038:3#3:100022:8</t>
  </si>
  <si>
    <t>元宝*800，高级附魔自选*3，高级点将券*8</t>
  </si>
  <si>
    <t>0:1:500#3:400038:2#3:100022:7</t>
  </si>
  <si>
    <t>元宝*500，高级附魔自选*2，高级点将券*7</t>
  </si>
  <si>
    <t>排序ID</t>
  </si>
  <si>
    <t>*备注</t>
  </si>
  <si>
    <t>Đồ cất giữ thiết lập lại</t>
  </si>
  <si>
    <t>Anh hùng kế thừa</t>
  </si>
  <si>
    <t>Chỉ định anh hùng triệu hoán</t>
  </si>
  <si>
    <t>Chỉ định anh hùng triệu hoán cửa hàng</t>
  </si>
  <si>
    <t>Chỉ định anh hùng thăng tinh</t>
  </si>
  <si>
    <t>Tiên Khí kế thừa</t>
  </si>
  <si>
    <t>Miễn phí lui trở về</t>
  </si>
  <si>
    <t>Miễn phí phong ấn</t>
  </si>
  <si>
    <t>Tiên Khí đổi thành</t>
  </si>
  <si>
    <t>Tiên Khí up</t>
  </si>
  <si>
    <t>Cuối tuần gói quà</t>
  </si>
  <si>
    <t>Tư nhân định chế</t>
  </si>
  <si>
    <t>Bí chìa gói quà</t>
  </si>
  <si>
    <t>Đồ đằng gói quà</t>
  </si>
  <si>
    <t>Nhiệm vụ so đấu hoạt động chi thăng tinh hào lễ</t>
  </si>
  <si>
    <t>Tuần hoàn hoạt động Chi tinh anh triệu hoán</t>
  </si>
  <si>
    <t>Tuần hoàn hoạt động Chi Đoan Ngọ gói quà</t>
  </si>
  <si>
    <t>Tuần hoàn hoạt động Chi Hạn lúc hối đoái</t>
  </si>
  <si>
    <t>Tuần hoàn hoạt động Chi tinh anh triệu hoán cửa hàng</t>
  </si>
  <si>
    <t>Hạn lúc lui trở về</t>
  </si>
  <si>
    <t>Hạn lúc đổi thành</t>
  </si>
  <si>
    <t>Pháp bảo tăng lên</t>
  </si>
  <si>
    <t>Tuần hoàn hoạt động Chi Mỗi ngày hạn mua</t>
  </si>
  <si>
    <t>Nhiệm vụ so đấu hoạt động chi sửa đá thành vàng</t>
  </si>
  <si>
    <t>Treo máy rơi xuống hoạt động</t>
  </si>
  <si>
    <t>Nhiệm vụ so đấu hoạt động chi bò tháp khiêu chiến</t>
  </si>
  <si>
    <t>Nhiệm vụ so đấu hoạt động chi thú hồn cầu nguyện</t>
  </si>
  <si>
    <t>Nhiệm vụ so đấu hoạt động chi tính gộp lại nạp tiền</t>
  </si>
  <si>
    <t>Nhiệm vụ so đấu hoạt động chi thú linh bồi dưỡng</t>
  </si>
  <si>
    <t>Nhiệm vụ so đấu hoạt động chi trang bị tăng lên</t>
  </si>
  <si>
    <t>Nhiệm vụ so đấu hoạt động chi trang bị cùng thành</t>
  </si>
  <si>
    <t>Mới chỉ định anh hùng triệu hoán</t>
  </si>
  <si>
    <t>Mới chỉ định anh hùng triệu hoán cửa hàng</t>
  </si>
  <si>
    <t>Mới chỉ định anh hùng thăng tinh</t>
  </si>
  <si>
    <t>Tỉ ấn thương thành</t>
  </si>
  <si>
    <t>Trợ lực hoạt động ( Vứt bỏ )</t>
  </si>
  <si>
    <t>Trợ lực thú linh Nguyên bảo</t>
  </si>
  <si>
    <t>Trợ lực anh hùng vượt phục</t>
  </si>
  <si>
    <t>Trợ lực tầm bảo triện ấn</t>
  </si>
  <si>
    <t>Kéo lên biết võ</t>
  </si>
  <si>
    <t>本期推荐英雄</t>
  </si>
  <si>
    <t>必出指定阵营英雄次数</t>
  </si>
  <si>
    <t>正常星组</t>
  </si>
  <si>
    <t>幸运星组</t>
  </si>
  <si>
    <t>不幸星组</t>
  </si>
  <si>
    <t>召唤次数奖励分组</t>
  </si>
  <si>
    <t>商店ID</t>
  </si>
  <si>
    <t>Tinh anh triệu hoán 1 Kỳ</t>
  </si>
  <si>
    <t>102001:500#201801:500#302001:500</t>
  </si>
  <si>
    <t>1:120#2:120#3:120#4:150#5:150</t>
  </si>
  <si>
    <t>哪吒，猴子，敖丙</t>
  </si>
  <si>
    <t>Tinh anh triệu hoán 2 Kỳ</t>
  </si>
  <si>
    <t>400901:500#401201:500#501001:500#500701:500</t>
  </si>
  <si>
    <t>鲲，共工，黄泉，孟婆</t>
  </si>
  <si>
    <t>Tinh anh triệu hoán 3 Kỳ</t>
  </si>
  <si>
    <t>101701:500#101601:500#201701:500</t>
  </si>
  <si>
    <t>后羿，嫦娥，禄缘上仙</t>
  </si>
  <si>
    <t>Tinh anh triệu hoán 4 Kỳ</t>
  </si>
  <si>
    <t>102101:500#401401:500#500801:500#500901:500#301601:500</t>
  </si>
  <si>
    <t>浑天大圣，魔悟空，姜子牙，九天玄女，刑天</t>
  </si>
  <si>
    <t>Tinh anh triệu hoán 5 Kỳ</t>
  </si>
  <si>
    <t>102001:500#500901:500#500601:500#400601:500#301501:500</t>
  </si>
  <si>
    <t>Tinh anh triệu hoán 6 Kỳ</t>
  </si>
  <si>
    <t>501001:500#500901:500#101701:500</t>
  </si>
  <si>
    <t>黄泉，后羿，魔悟空</t>
  </si>
  <si>
    <t>Tinh anh triệu hoán 7 Kỳ</t>
  </si>
  <si>
    <t>301401:500#400901:500#500701:500</t>
  </si>
  <si>
    <t>红孩儿，鲲，孟婆</t>
  </si>
  <si>
    <t>Tinh anh triệu hoán 8 Kỳ</t>
  </si>
  <si>
    <t>400701:500#401301:500#301501:500</t>
  </si>
  <si>
    <t>神农，祝融，石矶</t>
  </si>
  <si>
    <t>Tinh anh triệu hoán 9 Kỳ</t>
  </si>
  <si>
    <t>400801:500#101601:500#102001:500</t>
  </si>
  <si>
    <t>女娲，嫦娥，哪吒</t>
  </si>
  <si>
    <t>Tinh anh triệu hoán 10 Kỳ</t>
  </si>
  <si>
    <t>401201:500#401301:500#401401:500</t>
  </si>
  <si>
    <t>共工，祝融，九天玄女</t>
  </si>
  <si>
    <t>Tinh anh triệu hoán 11 Kỳ</t>
  </si>
  <si>
    <t>500801:500#400601:500#500601:500#301401:500#201501:500</t>
  </si>
  <si>
    <t>刑天，盘古，蚩尤，红孩儿，卷帘大将</t>
  </si>
  <si>
    <t>Tinh anh triệu hoán 12 Kỳ</t>
  </si>
  <si>
    <t>301501:500#101601:500#201701:500#400901:500#500701:500</t>
  </si>
  <si>
    <t>石矶，嫦娥，禄缘上仙，鲲，孟婆</t>
  </si>
  <si>
    <t>Tinh anh triệu hoán 13 Kỳ</t>
  </si>
  <si>
    <t>101701:500#101601:500#102001:500#102101:500</t>
  </si>
  <si>
    <t>后羿，哪吒，嫦娥，姜子牙</t>
  </si>
  <si>
    <t>Tinh anh triệu hoán 14 Kỳ</t>
  </si>
  <si>
    <t>301501:500#400901:500#500701:500#400601:500#500601:500</t>
  </si>
  <si>
    <t>石矶，蚩尤，盘古，鲲，孟婆</t>
  </si>
  <si>
    <t>Tinh anh triệu hoán 15 Kỳ</t>
  </si>
  <si>
    <t>400701:500#400901:500#401001:500</t>
  </si>
  <si>
    <t>玉帝，神农，鲲</t>
  </si>
  <si>
    <t>Tinh anh triệu hoán 16 Kỳ</t>
  </si>
  <si>
    <t>400701:500#500801:500#500901:500</t>
  </si>
  <si>
    <t>魔悟空，神农，刑天</t>
  </si>
  <si>
    <t>Tinh anh triệu hoán 17 Kỳ</t>
  </si>
  <si>
    <t>Tinh anh triệu hoán 18 Kỳ</t>
  </si>
  <si>
    <t>Tinh anh triệu hoán 19 Kỳ</t>
  </si>
  <si>
    <t>Tinh anh triệu hoán 20 Kỳ</t>
  </si>
  <si>
    <t>Tinh anh triệu hoán 21 Kỳ</t>
  </si>
  <si>
    <t>401001:500#501001:500#401201:500#401401:500</t>
  </si>
  <si>
    <t>玉帝，黄泉，共工，九天玄女</t>
  </si>
  <si>
    <t>Tinh anh triệu hoán 22 Kỳ</t>
  </si>
  <si>
    <t>501301:500#401301:500#500601:500#102301:500</t>
  </si>
  <si>
    <t>烛龙，蚩尤，祝融，花木兰</t>
  </si>
  <si>
    <t>Tinh anh triệu hoán 23 Kỳ</t>
  </si>
  <si>
    <t>500801:500#501001:500#401401:500#401201:500</t>
  </si>
  <si>
    <t>刑天，黄泉，九天玄女，花木兰</t>
  </si>
  <si>
    <t>Tinh anh triệu hoán 24 Kỳ</t>
  </si>
  <si>
    <t>102301:500#201501:500#301601:500#400601:500#500601:500</t>
  </si>
  <si>
    <t>浑天大圣，卷帘大将，盘古，蚩尤，花木兰</t>
  </si>
  <si>
    <t>Tinh anh triệu hoán 25 Kỳ</t>
  </si>
  <si>
    <t>202001:500#202301:500#500701:500#400901:500</t>
  </si>
  <si>
    <t>白龙，通天教主，孟婆，鲲</t>
  </si>
  <si>
    <t>Tinh anh triệu hoán 26 Kỳ</t>
  </si>
  <si>
    <t>共工，九天玄女，烛龙，魔悟空</t>
  </si>
  <si>
    <t>Tinh anh triệu hoán 27 Kỳ</t>
  </si>
  <si>
    <t>玉帝，神农，黄泉，刑天</t>
  </si>
  <si>
    <t>Tinh anh triệu hoán 28 Kỳ</t>
  </si>
  <si>
    <t>400901:500#501201:500#501401:500</t>
  </si>
  <si>
    <t>Tinh anh triệu hoán 29 Kỳ</t>
  </si>
  <si>
    <t>302401:500#302201:500#301601:500#401301:500</t>
  </si>
  <si>
    <t>Tinh anh triệu hoán 30 Kỳ</t>
  </si>
  <si>
    <t>401201:500#501401:500#202101:500#202001:500</t>
  </si>
  <si>
    <t>Tinh anh triệu hoán 31 Kỳ</t>
  </si>
  <si>
    <t>401001:500#501501:500#301601:500#401501:500</t>
  </si>
  <si>
    <t>Tinh anh triệu hoán 32 Kỳ</t>
  </si>
  <si>
    <t>401701:500#301401:500#501301:500#401601:500</t>
  </si>
  <si>
    <t>Tinh anh triệu hoán 33 Kỳ</t>
  </si>
  <si>
    <t>101401:500#501701:500#102001:500#401801:500</t>
  </si>
  <si>
    <t>Tinh anh triệu hoán 34 Kỳ</t>
  </si>
  <si>
    <t>500801:500#500901:500#102301:500#201501:500</t>
  </si>
  <si>
    <t>Tinh anh triệu hoán 35 Kỳ</t>
  </si>
  <si>
    <t>401201:500#401401:500#501301:500#500901:500</t>
  </si>
  <si>
    <t>Tinh anh triệu hoán 36 Kỳ</t>
  </si>
  <si>
    <t>401001:500#400701:500#500801:500#501001:500</t>
  </si>
  <si>
    <t>夜魅，灵媒魔女，烛龙</t>
  </si>
  <si>
    <t>Tinh anh triệu hoán 37 Kỳ</t>
  </si>
  <si>
    <t>301601:500#501501:500#202101:500#202001:500</t>
  </si>
  <si>
    <t>Tinh anh triệu hoán 38 Kỳ</t>
  </si>
  <si>
    <t>201801:500#102301:500#501301:500#400901:500</t>
  </si>
  <si>
    <t>Tinh anh triệu hoán 39 Kỳ</t>
  </si>
  <si>
    <t>500801:500#500901:500#201501:500</t>
  </si>
  <si>
    <t>Tinh anh triệu hoán 40 Kỳ</t>
  </si>
  <si>
    <t>Tinh anh triệu hoán 41 Kỳ</t>
  </si>
  <si>
    <t>Tinh anh triệu hoán 42 Kỳ</t>
  </si>
  <si>
    <t>Tinh anh triệu hoán 43 Kỳ</t>
  </si>
  <si>
    <t>Tinh anh triệu hoán 44 Kỳ</t>
  </si>
  <si>
    <t>Tinh anh triệu hoán 45 Kỳ</t>
  </si>
  <si>
    <t>Tinh anh triệu hoán 46 Kỳ</t>
  </si>
  <si>
    <t>冥河，灵媒魔女，杨戬，</t>
  </si>
  <si>
    <t>Tinh anh triệu hoán 47 Kỳ</t>
  </si>
  <si>
    <t>Tinh anh triệu hoán 48 Kỳ</t>
  </si>
  <si>
    <t>Tinh anh triệu hoán 49 Kỳ</t>
  </si>
  <si>
    <t>Tinh anh triệu hoán 50 Kỳ</t>
  </si>
  <si>
    <t>Tinh anh triệu hoán 51 Kỳ</t>
  </si>
  <si>
    <t>Tinh anh triệu hoán 52 Kỳ</t>
  </si>
  <si>
    <t>Tinh anh triệu hoán 53 Kỳ</t>
  </si>
  <si>
    <t>Tinh anh triệu hoán 54 Kỳ</t>
  </si>
  <si>
    <t>Tinh anh triệu hoán 55 Kỳ</t>
  </si>
  <si>
    <t>冥河，灵媒魔女，杨戬</t>
  </si>
  <si>
    <t>Tinh anh triệu hoán 56 Kỳ</t>
  </si>
  <si>
    <t>妈祖，三圣母，无天</t>
  </si>
  <si>
    <t>Tinh anh triệu hoán 57 Kỳ</t>
  </si>
  <si>
    <t>Tinh anh triệu hoán 58 Kỳ</t>
  </si>
  <si>
    <t>Tinh anh triệu hoán 59 Kỳ</t>
  </si>
  <si>
    <t>Tinh anh triệu hoán 60 Kỳ</t>
  </si>
  <si>
    <t>Tinh anh triệu hoán 61 Kỳ</t>
  </si>
  <si>
    <t>Tinh anh triệu hoán 62 Kỳ</t>
  </si>
  <si>
    <t>Tinh anh triệu hoán 63 Kỳ</t>
  </si>
  <si>
    <t>Tinh anh triệu hoán 64 Kỳ</t>
  </si>
  <si>
    <t>Tinh anh triệu hoán 65 Kỳ</t>
  </si>
  <si>
    <t>Tinh anh triệu hoán 66 Kỳ</t>
  </si>
  <si>
    <t>401501:500#501501:500#501601:500</t>
  </si>
  <si>
    <t>Tinh anh triệu hoán 67 Kỳ</t>
  </si>
  <si>
    <t>Tinh anh triệu hoán 68 Kỳ</t>
  </si>
  <si>
    <t>Tinh anh triệu hoán 69 Kỳ</t>
  </si>
  <si>
    <t>鲲、东皇太一、夜魅</t>
  </si>
  <si>
    <t>Tinh anh triệu hoán 70 Kỳ</t>
  </si>
  <si>
    <t>曼珠、妲己、混天大圣、神农、祝融</t>
  </si>
  <si>
    <t>Tinh anh triệu hoán 71 Kỳ</t>
  </si>
  <si>
    <t>共工、夜魅、元始天尊、通天教主</t>
  </si>
  <si>
    <t>Tinh anh triệu hoán 72 Kỳ</t>
  </si>
  <si>
    <t>Tinh anh triệu hoán 73 Kỳ</t>
  </si>
  <si>
    <t>Tinh anh triệu hoán 74 Kỳ</t>
  </si>
  <si>
    <t>Tinh anh triệu hoán 75 Kỳ</t>
  </si>
  <si>
    <t>Tinh anh triệu hoán 76 Kỳ</t>
  </si>
  <si>
    <t>Tinh anh triệu hoán 77 Kỳ</t>
  </si>
  <si>
    <t>Tinh anh triệu hoán 78 Kỳ</t>
  </si>
  <si>
    <t>Tinh anh triệu hoán 79 Kỳ</t>
  </si>
  <si>
    <t>Tinh anh triệu hoán 80 Kỳ</t>
  </si>
  <si>
    <t>501801:500#400601:500#301401:500#201501:500</t>
  </si>
  <si>
    <t>修罗，盘古、红孩儿、卷帘大将</t>
  </si>
  <si>
    <t>Tinh anh triệu hoán 81 Kỳ</t>
  </si>
  <si>
    <t>401801:500#501601:500#501501:500</t>
  </si>
  <si>
    <t>珀龙、冥河、灵媒魔女</t>
  </si>
  <si>
    <t>401501:500#500901:500#500701:500#500601:500</t>
  </si>
  <si>
    <t>Tinh anh triệu hoán 82 Kỳ</t>
  </si>
  <si>
    <t>曼珠、妲己、混天大圣、祝融</t>
  </si>
  <si>
    <t>Tinh anh triệu hoán 83 Kỳ</t>
  </si>
  <si>
    <t>401001:500#401601:500#201701:500#201801:500</t>
  </si>
  <si>
    <t>玉帝、妈祖、福禄上仙、玄奘</t>
  </si>
  <si>
    <t>Tinh anh triệu hoán 84 Kỳ</t>
  </si>
  <si>
    <t>401201:500#501701:500#101601:500#102301:500</t>
  </si>
  <si>
    <t>共工、无天、嫦娥、花木兰</t>
  </si>
  <si>
    <t>Tinh anh triệu hoán 85 Kỳ</t>
  </si>
  <si>
    <t>501401:500#501301:500#202001:500#202301:500</t>
  </si>
  <si>
    <t>夜魅、烛龙、通天教主、小白龙</t>
  </si>
  <si>
    <t>Tinh anh triệu hoán 86 Kỳ</t>
  </si>
  <si>
    <t>400601:500#501301:500#101401:500#301401:500</t>
  </si>
  <si>
    <t>盘古、烛龙、李靖、红孩儿</t>
  </si>
  <si>
    <t>Tinh anh triệu hoán 87 Kỳ</t>
  </si>
  <si>
    <t>500601:500#401501:500#102001:500#302001:500</t>
  </si>
  <si>
    <t>蚩尤、杨戬、哪吒、敖柄</t>
  </si>
  <si>
    <t>Tinh anh triệu hoán 88 Kỳ</t>
  </si>
  <si>
    <t>400801:500#101601:500#102001:500#102301:500</t>
  </si>
  <si>
    <t>女娲，嫦娥，哪吒，花木兰</t>
  </si>
  <si>
    <t>Tinh anh triệu hoán 89 Kỳ</t>
  </si>
  <si>
    <t>501501:500#501401:500#201801:500#101401:500</t>
  </si>
  <si>
    <t>灵媒魔女，夜魅，斗战圣佛，李靖</t>
  </si>
  <si>
    <t>Tinh anh triệu hoán 90 Kỳ</t>
  </si>
  <si>
    <t>201801:500#301401:500#400801:500#500701:500</t>
  </si>
  <si>
    <t>斗战胜佛，红孩儿，女娲，孟婆</t>
  </si>
  <si>
    <t>Tinh anh triệu hoán 91 Kỳ</t>
  </si>
  <si>
    <t>101401:500#202401:500#401301:500#501501:500</t>
  </si>
  <si>
    <t>李靖，玄奘，祝融，灵媒魔女</t>
  </si>
  <si>
    <t>Tinh anh triệu hoán 92 Kỳ</t>
  </si>
  <si>
    <t>101701:500#301501:500#401401:500#501601:500</t>
  </si>
  <si>
    <t>后羿，石矶，九天玄女，冥河</t>
  </si>
  <si>
    <t>Tinh anh triệu hoán 93 Kỳ</t>
  </si>
  <si>
    <t>202001:500#301601:500#401501:500#501701:500</t>
  </si>
  <si>
    <t>通天教主，混天大圣，杨戬，无天</t>
  </si>
  <si>
    <t>备注</t>
  </si>
  <si>
    <t>召唤次数</t>
  </si>
  <si>
    <t>消耗道具</t>
  </si>
  <si>
    <t>元宝消耗</t>
  </si>
  <si>
    <t>元宝送经验</t>
  </si>
  <si>
    <t>启用保底</t>
  </si>
  <si>
    <t>启用防脸白</t>
  </si>
  <si>
    <t>Quất 1</t>
  </si>
  <si>
    <t>Quất 10</t>
  </si>
  <si>
    <t>奖励</t>
  </si>
  <si>
    <t>分组</t>
  </si>
  <si>
    <t>0:1:400</t>
  </si>
  <si>
    <t>4:606015:50</t>
  </si>
  <si>
    <t>4:606002:100</t>
  </si>
  <si>
    <t>价格</t>
  </si>
  <si>
    <t>商品内容</t>
  </si>
  <si>
    <t>每日限购</t>
  </si>
  <si>
    <t>充值项ID</t>
  </si>
  <si>
    <t>0:1:20#3:100044:1#0:0:1000000#0:4:1000000</t>
  </si>
  <si>
    <t>0:1:120#3:100044:2#0:0:2000000#0:4:2000000</t>
  </si>
  <si>
    <t>0:1:300#3:100044:7#0:0:3000000#0:4:3000000</t>
  </si>
  <si>
    <t>商品分组</t>
  </si>
  <si>
    <t>限购数量</t>
  </si>
  <si>
    <t>排序</t>
  </si>
  <si>
    <t>0:1:120#3:100044:2#3:100027:6#0:0:100000</t>
  </si>
  <si>
    <t>元宝*120,精英点将券*2,悬赏刷新券*6,金币*100000</t>
  </si>
  <si>
    <t>0:1:500#3:100044:10#3:100001:500#0:0:1000000</t>
  </si>
  <si>
    <t>元宝*500,精英点将券*10,进阶石*500,金币*1000000</t>
  </si>
  <si>
    <t>0:1:1280#3:100044:30#3:100001:1000#0:4:8000000</t>
  </si>
  <si>
    <t>元宝*1280,精英点将券*30,进阶石*1000,英雄经验*8000000</t>
  </si>
  <si>
    <t>0:1:1280#3:100046:1#3:100210:10#0:0:8000000</t>
  </si>
  <si>
    <t>元宝*1280,重铸丹*1,时光沙漏*10,金币*8000000</t>
  </si>
  <si>
    <t>0:1:1980#3:100044:50#0:0:10000000#0:4:10000000</t>
  </si>
  <si>
    <t>元宝*1980,精英点将券*50,金币*10000000,英雄经验*10000000</t>
  </si>
  <si>
    <t>0:1:3280#3:100046:3#3:100004:10000#0:0:10000000</t>
  </si>
  <si>
    <t>元宝*3280,重铸丹*3,鎏金粉*10000,金币*10000000</t>
  </si>
  <si>
    <t>0:1:6480#3:100044:150#0:0:30000000#0:4:30000000</t>
  </si>
  <si>
    <t>元宝*6480,精英点将券*150,金币*30000000,英雄经验*30000000</t>
  </si>
  <si>
    <t>0:1:6480#3:400052:1#3:100004:10000#0:0:30000000</t>
  </si>
  <si>
    <t>元宝*6480,橙色玺印礼包*1,鎏金粉*10000,金币*30000000</t>
  </si>
  <si>
    <r>
      <rPr>
        <sz val="11"/>
        <color rgb="FF000000"/>
        <rFont val="微软雅黑"/>
        <charset val="134"/>
      </rPr>
      <t>0:1:</t>
    </r>
    <r>
      <rPr>
        <sz val="11"/>
        <color rgb="FFFF0000"/>
        <rFont val="微软雅黑"/>
        <charset val="134"/>
      </rPr>
      <t>1980</t>
    </r>
    <r>
      <rPr>
        <sz val="11"/>
        <color rgb="FF000000"/>
        <rFont val="微软雅黑"/>
        <charset val="134"/>
      </rPr>
      <t>#3:</t>
    </r>
    <r>
      <rPr>
        <sz val="11"/>
        <color rgb="FFFF0000"/>
        <rFont val="微软雅黑"/>
        <charset val="134"/>
      </rPr>
      <t>100255</t>
    </r>
    <r>
      <rPr>
        <sz val="11"/>
        <color rgb="FF000000"/>
        <rFont val="微软雅黑"/>
        <charset val="134"/>
      </rPr>
      <t>:</t>
    </r>
    <r>
      <rPr>
        <sz val="11"/>
        <color rgb="FFFF0000"/>
        <rFont val="微软雅黑"/>
        <charset val="134"/>
      </rPr>
      <t>25</t>
    </r>
    <r>
      <rPr>
        <sz val="11"/>
        <color rgb="FF000000"/>
        <rFont val="微软雅黑"/>
        <charset val="134"/>
      </rPr>
      <t>#0:0:10000000#0:4:10000000</t>
    </r>
  </si>
  <si>
    <t>元宝*1980,兽灵技能书*25,金币*10000000,英雄经验*10000000</t>
  </si>
  <si>
    <r>
      <rPr>
        <sz val="11"/>
        <color rgb="FF000000"/>
        <rFont val="微软雅黑"/>
        <charset val="134"/>
      </rPr>
      <t>0:1:</t>
    </r>
    <r>
      <rPr>
        <sz val="11"/>
        <color rgb="FFFF0000"/>
        <rFont val="微软雅黑"/>
        <charset val="134"/>
      </rPr>
      <t>3280</t>
    </r>
    <r>
      <rPr>
        <sz val="11"/>
        <color rgb="FF000000"/>
        <rFont val="微软雅黑"/>
        <charset val="134"/>
      </rPr>
      <t>#3:</t>
    </r>
    <r>
      <rPr>
        <sz val="11"/>
        <color rgb="FFFF0000"/>
        <rFont val="微软雅黑"/>
        <charset val="134"/>
      </rPr>
      <t>100253</t>
    </r>
    <r>
      <rPr>
        <sz val="11"/>
        <color rgb="FF000000"/>
        <rFont val="微软雅黑"/>
        <charset val="134"/>
      </rPr>
      <t>:</t>
    </r>
    <r>
      <rPr>
        <sz val="11"/>
        <color rgb="FFFF0000"/>
        <rFont val="微软雅黑"/>
        <charset val="134"/>
      </rPr>
      <t>550</t>
    </r>
    <r>
      <rPr>
        <sz val="11"/>
        <color rgb="FF000000"/>
        <rFont val="微软雅黑"/>
        <charset val="134"/>
      </rPr>
      <t>#0:0:10000000#0:4:10000000</t>
    </r>
  </si>
  <si>
    <t>元宝*3280,布偶*550,金币*10000000,英雄经验*10000000</t>
  </si>
  <si>
    <r>
      <rPr>
        <sz val="11"/>
        <color rgb="FF000000"/>
        <rFont val="微软雅黑"/>
        <charset val="134"/>
      </rPr>
      <t>0:1:6480</t>
    </r>
    <r>
      <rPr>
        <sz val="11"/>
        <color rgb="FF000000"/>
        <rFont val="微软雅黑"/>
        <charset val="134"/>
      </rPr>
      <t>#3:100146:15#</t>
    </r>
    <r>
      <rPr>
        <sz val="11"/>
        <color rgb="FF000000"/>
        <rFont val="微软雅黑"/>
        <charset val="134"/>
      </rPr>
      <t>0:0:30000000#0:4:30000000</t>
    </r>
  </si>
  <si>
    <t>元宝*6480,灌魔之瓶·混沌*15,金币*30000000,英雄经验*30000000</t>
  </si>
  <si>
    <t>0:1:1280#3:500016:1#3:100018:100#0:0:8000000</t>
  </si>
  <si>
    <t>元宝*1280,遗物自选礼包*1,信仰之力*100,金币*8000000</t>
  </si>
  <si>
    <t>0:1:120#3:100059:20#0:0:2000000</t>
  </si>
  <si>
    <t>元宝*120,魂丹*20,金币*2000000</t>
  </si>
  <si>
    <t>0:1:500#3:100036:200#3:100059:80#0:0:5000000</t>
  </si>
  <si>
    <t>元宝*500,兽魂碎片*200,魂丹*80,金币*5000000</t>
  </si>
  <si>
    <t>0:1:1280#3:100036:300#3:100059:120#0:0:8000000</t>
  </si>
  <si>
    <t>元宝*1280,兽魂碎片*300,魂丹*120,金币*8000000</t>
  </si>
  <si>
    <t>0:1:1980#3:100036:400#3:100059:150#0:0:10000000</t>
  </si>
  <si>
    <t>元宝*1980,兽魂碎片*400,魂丹*150,金币*10000000</t>
  </si>
  <si>
    <t>0:1:3280#3:100036:600#3:100059:200#0:0:15000000</t>
  </si>
  <si>
    <t>元宝*3280,兽魂碎片*600,魂丹*200,金币*15000000</t>
  </si>
  <si>
    <t>0:1:6480#3:100036:1500#3:100059:300#0:0:25000000</t>
  </si>
  <si>
    <t>元宝*6480,兽魂碎片*1500,魂丹*300,金币*25000000</t>
  </si>
  <si>
    <t>0:1:500#3:100044:10#3:100001:1000#0:0:1000000</t>
  </si>
  <si>
    <t>元宝*500,精英点将券*10,进阶石*1000,金币*1000000</t>
  </si>
  <si>
    <t>0:1:1280#3:100044:30#3:100001:2000#0:4:8000000</t>
  </si>
  <si>
    <t>元宝*1280,精英点将券*30,进阶石*2000,英雄经验*8000000</t>
  </si>
  <si>
    <r>
      <rPr>
        <sz val="11"/>
        <color rgb="FF000000"/>
        <rFont val="微软雅黑"/>
        <charset val="134"/>
      </rPr>
      <t>0:1:</t>
    </r>
    <r>
      <rPr>
        <sz val="11"/>
        <color rgb="FFFF0000"/>
        <rFont val="微软雅黑"/>
        <charset val="134"/>
      </rPr>
      <t>3280</t>
    </r>
    <r>
      <rPr>
        <sz val="11"/>
        <color rgb="FF000000"/>
        <rFont val="微软雅黑"/>
        <charset val="134"/>
      </rPr>
      <t>#3:</t>
    </r>
    <r>
      <rPr>
        <sz val="11"/>
        <color rgb="FFFF0000"/>
        <rFont val="微软雅黑"/>
        <charset val="134"/>
      </rPr>
      <t>100253</t>
    </r>
    <r>
      <rPr>
        <sz val="11"/>
        <color rgb="FF000000"/>
        <rFont val="微软雅黑"/>
        <charset val="134"/>
      </rPr>
      <t>:</t>
    </r>
    <r>
      <rPr>
        <sz val="11"/>
        <color rgb="FFFF0000"/>
        <rFont val="微软雅黑"/>
        <charset val="134"/>
      </rPr>
      <t>550</t>
    </r>
    <r>
      <rPr>
        <sz val="11"/>
        <color rgb="FF000000"/>
        <rFont val="微软雅黑"/>
        <charset val="134"/>
      </rPr>
      <t>#0:0:15000000#0:4:15000000</t>
    </r>
  </si>
  <si>
    <t>元宝*3280,布偶*550,金币*15000000,英雄经验*15000000</t>
  </si>
  <si>
    <t>0:1:6480#3:500026:1#3:100216:30000#0:0:20000000</t>
  </si>
  <si>
    <t>元宝*6480,专属仙器自选*1,麒麟仙玉*30000,金币*20000000</t>
  </si>
  <si>
    <t>0:1:120#3:100098:100#0:0:100000#0:4:100000</t>
  </si>
  <si>
    <t>元宝*120,龙珠*100,金币*100000,英雄经验*100000</t>
  </si>
  <si>
    <t>0:1:1280#3:100098:700#0:0:8000000#0:4:8000000</t>
  </si>
  <si>
    <t>元宝*1280,龙珠*700,金币*8000000,英雄经验*8000000</t>
  </si>
  <si>
    <t>0:1:3280#3:100098:2000#0:0:10000000#0:4:10000000</t>
  </si>
  <si>
    <t>元宝*3280,龙珠*2000,金币*10000000,英雄经验*10000000</t>
  </si>
  <si>
    <t>0:1:6480#3:100098:4000#0:0:20000000#0:4:20000000</t>
  </si>
  <si>
    <t>元宝*6480,龙珠*4000,金币*20000000,英雄经验*20000000</t>
  </si>
  <si>
    <t>0:1:3280#3:100224:600#0:12:10000#0:0:15000000</t>
  </si>
  <si>
    <t>元宝*3280,修为丹*600,仙盟贡献*10000,金币*15000000</t>
  </si>
  <si>
    <t>0:1:3280#3:100225:300#0:12:10000#0:0:15000000</t>
  </si>
  <si>
    <t>元宝*3280,秘笈*300,仙盟贡献*10000,金币*15000000</t>
  </si>
  <si>
    <t>0:1:6480#3:400045:1#6:30002:5#3:100059:200</t>
  </si>
  <si>
    <t>元宝*6480,兽魂进阶礼包*1,兽魂经验(大)*5,魂丹*200</t>
  </si>
  <si>
    <t>0:1:1980#3:100256:10#0:0:10000000#0:4:10000000</t>
  </si>
  <si>
    <t>元宝*1980,下品升阶石*10,金币*10000000,英雄经验*10000000</t>
  </si>
  <si>
    <t>0:1:3280#3:100257:10#0:0:15000000#0:4:15000000</t>
  </si>
  <si>
    <t>元宝*3280,中品升阶石*10,金币*15000000,英雄经验*15000000</t>
  </si>
  <si>
    <t>0:1:6480#3:100258:10#0:0:20000000#0:4:20000000</t>
  </si>
  <si>
    <t>元宝*6480,上品升阶石*10,金币*20000000,英雄经验*20000000</t>
  </si>
  <si>
    <t>0:1:6480#3:500061:50#0:0:20000000#0:4:20000000</t>
  </si>
  <si>
    <t>元宝*6480,兵书自选礼盒*50,金币*20000000,英雄经验*20000000</t>
  </si>
  <si>
    <t>奖励分组</t>
  </si>
  <si>
    <t>进阶赠礼</t>
  </si>
  <si>
    <t>进阶赠礼积分</t>
  </si>
  <si>
    <t>进阶赠礼价格</t>
  </si>
  <si>
    <t>战令1期</t>
  </si>
  <si>
    <t>3:900005:1#0:1:1980#3:100022:10#4:606002:140</t>
  </si>
  <si>
    <r>
      <rPr>
        <sz val="11"/>
        <color theme="1"/>
        <rFont val="Arial"/>
        <charset val="134"/>
        <scheme val="minor"/>
      </rPr>
      <t>元宝1980、高级点将10、称号1、</t>
    </r>
    <r>
      <rPr>
        <sz val="11"/>
        <color theme="1"/>
        <rFont val="Arial"/>
        <charset val="134"/>
        <scheme val="minor"/>
      </rPr>
      <t>5星随机碎片140</t>
    </r>
  </si>
  <si>
    <t>战令2期</t>
  </si>
  <si>
    <t>3:900005:1#0:1:1980#5:3:2#3:100046:1</t>
  </si>
  <si>
    <r>
      <rPr>
        <sz val="11"/>
        <color theme="1"/>
        <rFont val="Arial"/>
        <charset val="134"/>
        <scheme val="minor"/>
      </rPr>
      <t>元宝1980、高级点将10、称号1、红色玺印</t>
    </r>
    <r>
      <rPr>
        <sz val="11"/>
        <color theme="1"/>
        <rFont val="Arial"/>
        <charset val="134"/>
        <scheme val="minor"/>
      </rPr>
      <t>1</t>
    </r>
  </si>
  <si>
    <t>战令3期</t>
  </si>
  <si>
    <t>3:900005:1#0:1:1980#3:100022:10#3:400015:1</t>
  </si>
  <si>
    <t>元宝1980、高级点将10、称号1、地级兽魂1</t>
  </si>
  <si>
    <t>战令4期</t>
  </si>
  <si>
    <t>战令5期</t>
  </si>
  <si>
    <t>3:900005:1#0:1:1980#3:100022:10#3:500042:1</t>
  </si>
  <si>
    <t>元宝1980、高级点将10、称号1、通用仙器碎片自选</t>
  </si>
  <si>
    <t>战令6期</t>
  </si>
  <si>
    <t>3:900005:1#0:1:1980#3:100022:20#3:100044:30</t>
  </si>
  <si>
    <t>高级点将卷*20、元宝1980、精英点将30、称号1、</t>
  </si>
  <si>
    <t>战令7期</t>
  </si>
  <si>
    <t>战令8期</t>
  </si>
  <si>
    <t>战令9期</t>
  </si>
  <si>
    <t>3:900005:1#0:1:1980#3:100022:10#3:100098:1000</t>
  </si>
  <si>
    <t>元宝1980、高级点将10、称号1、藏品币</t>
  </si>
  <si>
    <t>战令10期</t>
  </si>
  <si>
    <t>3:900005:1#0:1:1980#3:100022:10#3:100036:1200</t>
  </si>
  <si>
    <t>元宝1980、高级点将10、称号1、兽魂碎片*1200</t>
  </si>
  <si>
    <t>战令11期</t>
  </si>
  <si>
    <t>战令12期</t>
  </si>
  <si>
    <t>战令13期</t>
  </si>
  <si>
    <t>战令14期</t>
  </si>
  <si>
    <t>战令15期</t>
  </si>
  <si>
    <t>战令16期</t>
  </si>
  <si>
    <t>战令17期</t>
  </si>
  <si>
    <t>战令18期</t>
  </si>
  <si>
    <t>战令19期</t>
  </si>
  <si>
    <t>战令20期</t>
  </si>
  <si>
    <t>战令21期</t>
  </si>
  <si>
    <t>战令22期</t>
  </si>
  <si>
    <t>战令23期</t>
  </si>
  <si>
    <t>战令24期</t>
  </si>
  <si>
    <t>战令25期</t>
  </si>
  <si>
    <t>战令26期</t>
  </si>
  <si>
    <t>战令27期</t>
  </si>
  <si>
    <t>战令28期</t>
  </si>
  <si>
    <t>战令29期</t>
  </si>
  <si>
    <t>战令30期</t>
  </si>
  <si>
    <t>战令31期</t>
  </si>
  <si>
    <t>战令32期</t>
  </si>
  <si>
    <t>战令33期</t>
  </si>
  <si>
    <t>战令34期</t>
  </si>
  <si>
    <t>战令35期</t>
  </si>
  <si>
    <t>战令36期</t>
  </si>
  <si>
    <t>战令37期</t>
  </si>
  <si>
    <t>战令38期</t>
  </si>
  <si>
    <t>战令39期</t>
  </si>
  <si>
    <t>战令40期</t>
  </si>
  <si>
    <t>积分</t>
  </si>
  <si>
    <t>基础奖励</t>
  </si>
  <si>
    <t>进阶奖励</t>
  </si>
  <si>
    <t>*基础奖励备注</t>
  </si>
  <si>
    <t>*进阶奖励备注</t>
  </si>
  <si>
    <t>3:100022:3</t>
  </si>
  <si>
    <t>4:606002:50#0:1:1000</t>
  </si>
  <si>
    <t>高级点将卷3</t>
  </si>
  <si>
    <t>5星随机碎片50元宝1000</t>
  </si>
  <si>
    <t>4:606002:10#0:1:200</t>
  </si>
  <si>
    <t>高级点将卷1</t>
  </si>
  <si>
    <t>5星随机碎片10元宝200</t>
  </si>
  <si>
    <t>3:100022:5</t>
  </si>
  <si>
    <t>4:606002:50#3:100022:10</t>
  </si>
  <si>
    <t>高级点将卷5</t>
  </si>
  <si>
    <t>5星随机碎片50高级点将卷10</t>
  </si>
  <si>
    <t>命签1</t>
  </si>
  <si>
    <t>5星随机碎片50</t>
  </si>
  <si>
    <t>三系自选礼包1高级点将卷10</t>
  </si>
  <si>
    <t>5:1:2</t>
  </si>
  <si>
    <t>绿色玺印-2</t>
  </si>
  <si>
    <t>5星随机碎片-50#元宝-1000</t>
  </si>
  <si>
    <t>3:100004:100</t>
  </si>
  <si>
    <t>5:1:4#0:1:200</t>
  </si>
  <si>
    <t>鎏金粉-100</t>
  </si>
  <si>
    <t>绿色玺印-4#元宝-200</t>
  </si>
  <si>
    <t>3:100004:1000#0:1:200</t>
  </si>
  <si>
    <t>鎏金粉-1000#元宝-200</t>
  </si>
  <si>
    <t>5:2:1#0:1:200</t>
  </si>
  <si>
    <t>蓝色玺印-1#元宝-200</t>
  </si>
  <si>
    <t>3:100004:1500#0:1:200</t>
  </si>
  <si>
    <t>鎏金粉-1500#元宝-200</t>
  </si>
  <si>
    <t>5:1:1</t>
  </si>
  <si>
    <t>4:606002:50#3:400017:1</t>
  </si>
  <si>
    <t>绿色玺印-1</t>
  </si>
  <si>
    <t>5星随机碎片-50#天赋随机礼包-1</t>
  </si>
  <si>
    <t>4:606002:50#3:500011:1</t>
  </si>
  <si>
    <t>5星随机碎片-50#天赋自选礼包-1</t>
  </si>
  <si>
    <t>5:2:2#0:1:200</t>
  </si>
  <si>
    <t>蓝色玺印-2#元宝-200</t>
  </si>
  <si>
    <t>命签-1</t>
  </si>
  <si>
    <t>5:2:3#0:1:200</t>
  </si>
  <si>
    <t>蓝色玺印-3#元宝-200</t>
  </si>
  <si>
    <t>5:4:1#3:500011:1</t>
  </si>
  <si>
    <t>5星随机碎片-50</t>
  </si>
  <si>
    <t>金色玺印-1#天赋自选礼包-1</t>
  </si>
  <si>
    <t>3:100059:3</t>
  </si>
  <si>
    <t>魂丹:3</t>
  </si>
  <si>
    <t>3:100036:10</t>
  </si>
  <si>
    <t>3:100059:15#0:1:200</t>
  </si>
  <si>
    <t>兽魂碎片:10</t>
  </si>
  <si>
    <t>魂丹-15#元宝-200</t>
  </si>
  <si>
    <t>3:100059:5</t>
  </si>
  <si>
    <t>4:606002:50#3:100036:70</t>
  </si>
  <si>
    <t>魂丹:5</t>
  </si>
  <si>
    <t>5星随机碎片-50#兽魂碎片-70</t>
  </si>
  <si>
    <t>命签:1</t>
  </si>
  <si>
    <t>3:500013:1#3:100036:70</t>
  </si>
  <si>
    <t>5星随机碎片:50</t>
  </si>
  <si>
    <t>天级兽魂随机礼包-1#兽魂碎片-70</t>
  </si>
  <si>
    <t>3:100044:3</t>
  </si>
  <si>
    <t>精英点将券3</t>
  </si>
  <si>
    <t>3:100044:1</t>
  </si>
  <si>
    <t>精英点将券1</t>
  </si>
  <si>
    <t>3:100044:5</t>
  </si>
  <si>
    <t>4:606002:50#3:100044:10</t>
  </si>
  <si>
    <t>精英点将券5</t>
  </si>
  <si>
    <t>5星随机碎片50精英点将券10</t>
  </si>
  <si>
    <t>三系自选礼包1精英点将券10</t>
  </si>
  <si>
    <t>3:100217:5</t>
  </si>
  <si>
    <t>4:606002:50#3:100216:10000</t>
  </si>
  <si>
    <t>仙器精华*5</t>
  </si>
  <si>
    <t>5星随机碎片*50#麒麟仙玉*10000</t>
  </si>
  <si>
    <t>3:100216:100</t>
  </si>
  <si>
    <t>3:100217:10#0:1:200</t>
  </si>
  <si>
    <t>麒麟仙玉*100</t>
  </si>
  <si>
    <t>仙器精华*10#元宝200</t>
  </si>
  <si>
    <t>4:606002:50#3:100216:5000</t>
  </si>
  <si>
    <t>5星随机碎片*50#麒麟仙玉*5000</t>
  </si>
  <si>
    <t>3:400039:1#3:100216:5000</t>
  </si>
  <si>
    <t>5星随机碎片*50</t>
  </si>
  <si>
    <t>天级碎片随机(专属)#麒麟仙玉*5000</t>
  </si>
  <si>
    <t>3:100022:10#3:100044:10</t>
  </si>
  <si>
    <t>高级点将卷10#精英点将卷10</t>
  </si>
  <si>
    <t>3:100022:5#3:100022:1</t>
  </si>
  <si>
    <t>高级点将卷5#高级点将卷1</t>
  </si>
  <si>
    <t>3:100044:5#3:100022:1</t>
  </si>
  <si>
    <t>精英点将卷5#高级点将卷1</t>
  </si>
  <si>
    <t>3:100022:10#3:100025:2</t>
  </si>
  <si>
    <t>高级点将卷10#命签2</t>
  </si>
  <si>
    <t>3:100022:10</t>
  </si>
  <si>
    <t>3:100025:10#3:100044:10</t>
  </si>
  <si>
    <t>高级点将卷10</t>
  </si>
  <si>
    <t>命签10#精英点将卷10</t>
  </si>
  <si>
    <t>3:100087:50</t>
  </si>
  <si>
    <t>3:100217:50#3:100216:10000</t>
  </si>
  <si>
    <t>南红玛瑙*5</t>
  </si>
  <si>
    <t>3:100087:100#0:1:200</t>
  </si>
  <si>
    <t>南红玛瑙*10#元宝200</t>
  </si>
  <si>
    <t>3:100217:50#3:100216:5000</t>
  </si>
  <si>
    <t>3:100217:100#3:100216:5000</t>
  </si>
  <si>
    <t>3:100217:100</t>
  </si>
  <si>
    <t>3:100098:50</t>
  </si>
  <si>
    <t>4:606002:50#3:100098:550</t>
  </si>
  <si>
    <t>藏品币*1</t>
  </si>
  <si>
    <t>5星碎片*50+藏品币*9</t>
  </si>
  <si>
    <t>3:100098:50#0:1:200</t>
  </si>
  <si>
    <t>藏品币*1+元宝*200</t>
  </si>
  <si>
    <t>3:100098:100</t>
  </si>
  <si>
    <t>4:606002:50#3:100098:200</t>
  </si>
  <si>
    <t>高抽*2</t>
  </si>
  <si>
    <t>5星碎片*50+藏品币*5</t>
  </si>
  <si>
    <t>高抽*3</t>
  </si>
  <si>
    <t>高抽*4</t>
  </si>
  <si>
    <t>高抽*5</t>
  </si>
  <si>
    <t>高抽*6</t>
  </si>
  <si>
    <t>3:100098:150</t>
  </si>
  <si>
    <t>3:100233:1#3:100098:250</t>
  </si>
  <si>
    <t>命签*1</t>
  </si>
  <si>
    <t>红色藏品*1+藏品币*5</t>
  </si>
  <si>
    <t>3:100230:100</t>
  </si>
  <si>
    <t>4:606002:50#3:100230:100</t>
  </si>
  <si>
    <t>共鸣水晶*100</t>
  </si>
  <si>
    <t>5星碎片*50+共鸣水晶*100</t>
  </si>
  <si>
    <t>6:30001:10</t>
  </si>
  <si>
    <t>6:30001:20#0:1:200</t>
  </si>
  <si>
    <t>兽魂经验小*10</t>
  </si>
  <si>
    <t>兽魂经验小*20+元宝*200</t>
  </si>
  <si>
    <t>6:30001:20</t>
  </si>
  <si>
    <t>4:606002:50#6:30002:1</t>
  </si>
  <si>
    <t>兽魂经验小*20</t>
  </si>
  <si>
    <t>5星碎片*50+兽魂经验大*1</t>
  </si>
  <si>
    <t>6:30001:50</t>
  </si>
  <si>
    <t>兽魂经验小*50</t>
  </si>
  <si>
    <t>6:30002:1</t>
  </si>
  <si>
    <t>兽魂经验大*1</t>
  </si>
  <si>
    <t>3:100036:300</t>
  </si>
  <si>
    <t>3:400045:1#6:30002:1</t>
  </si>
  <si>
    <t>兽魂碎片*300</t>
  </si>
  <si>
    <t>兽魂进阶礼包*1+兽魂经验大*1</t>
  </si>
  <si>
    <t>类型</t>
  </si>
  <si>
    <t>类型说明</t>
  </si>
  <si>
    <t>1：每日任务</t>
  </si>
  <si>
    <t>2：每周任务</t>
  </si>
  <si>
    <t>迷宫战令1期</t>
  </si>
  <si>
    <t>3:900015:1#0:1:1980#3:100022:10#4:606002:140</t>
  </si>
  <si>
    <t>元宝1980、高级点将10、称号1、5星随机碎片</t>
  </si>
  <si>
    <t>迷宫战令2期</t>
  </si>
  <si>
    <t>迷宫战令3期</t>
  </si>
  <si>
    <t>迷宫战令4期</t>
  </si>
  <si>
    <t>迷宫战令5期</t>
  </si>
  <si>
    <t>迷宫战令6期</t>
  </si>
  <si>
    <t>迷宫战令7期</t>
  </si>
  <si>
    <t>迷宫战令8期</t>
  </si>
  <si>
    <t>迷宫战令9期</t>
  </si>
  <si>
    <t>迷宫战令10期</t>
  </si>
  <si>
    <t>迷宫战令11期</t>
  </si>
  <si>
    <t>迷宫战令12期</t>
  </si>
  <si>
    <t>迷宫战令13期</t>
  </si>
  <si>
    <t>迷宫战令14期</t>
  </si>
  <si>
    <t>迷宫战令15期</t>
  </si>
  <si>
    <t>迷宫战令16期</t>
  </si>
  <si>
    <t>迷宫战令17期</t>
  </si>
  <si>
    <t>迷宫战令18期</t>
  </si>
  <si>
    <t>迷宫战令19期</t>
  </si>
  <si>
    <t>迷宫战令20期</t>
  </si>
  <si>
    <t>迷宫战令21期</t>
  </si>
  <si>
    <t>迷宫战令22期</t>
  </si>
  <si>
    <t>迷宫战令23期</t>
  </si>
  <si>
    <t>迷宫战令24期</t>
  </si>
  <si>
    <t>迷宫战令25期</t>
  </si>
  <si>
    <t>迷宫战令26期</t>
  </si>
  <si>
    <t>迷宫战令27期</t>
  </si>
  <si>
    <t>迷宫战令28期</t>
  </si>
  <si>
    <t>迷宫战令29期</t>
  </si>
  <si>
    <t>迷宫战令30期</t>
  </si>
  <si>
    <t>迷宫战令31期</t>
  </si>
  <si>
    <t>迷宫战令32期</t>
  </si>
  <si>
    <t>迷宫战令33期</t>
  </si>
  <si>
    <t>迷宫战令34期</t>
  </si>
  <si>
    <t>迷宫战令35期</t>
  </si>
  <si>
    <t>迷宫战令36期</t>
  </si>
  <si>
    <t>迷宫战令37期</t>
  </si>
  <si>
    <t>高级点将卷-3</t>
  </si>
  <si>
    <t>5星随机碎片50#元宝1000</t>
  </si>
  <si>
    <t>3:200018:250</t>
  </si>
  <si>
    <t>3:100022:2#0:1:200</t>
  </si>
  <si>
    <t>迷雾之尘-250</t>
  </si>
  <si>
    <t>高级点将卷2#元宝200</t>
  </si>
  <si>
    <t>4:606002:50#3:200018:4500</t>
  </si>
  <si>
    <t>高级点将卷-5</t>
  </si>
  <si>
    <t>5星随机碎片50#迷雾之尘4500</t>
  </si>
  <si>
    <t>三系自选礼包1#迷雾之尘4500</t>
  </si>
  <si>
    <r>
      <rPr>
        <sz val="11"/>
        <color theme="1"/>
        <rFont val="微软雅黑"/>
        <charset val="134"/>
      </rPr>
      <t>0:1:300#3:</t>
    </r>
    <r>
      <rPr>
        <sz val="11"/>
        <color rgb="FFFF0000"/>
        <rFont val="微软雅黑"/>
        <charset val="134"/>
      </rPr>
      <t>100255</t>
    </r>
    <r>
      <rPr>
        <sz val="11"/>
        <color theme="1"/>
        <rFont val="微软雅黑"/>
        <charset val="134"/>
      </rPr>
      <t>:</t>
    </r>
    <r>
      <rPr>
        <sz val="11"/>
        <color rgb="FFFF0000"/>
        <rFont val="微软雅黑"/>
        <charset val="134"/>
      </rPr>
      <t>50</t>
    </r>
    <r>
      <rPr>
        <sz val="11"/>
        <color theme="1"/>
        <rFont val="微软雅黑"/>
        <charset val="134"/>
      </rPr>
      <t>#0:0:3000000#0:4:3000000</t>
    </r>
  </si>
  <si>
    <r>
      <rPr>
        <sz val="11"/>
        <color theme="1"/>
        <rFont val="微软雅黑"/>
        <charset val="134"/>
      </rPr>
      <t>0:1:1980#3:</t>
    </r>
    <r>
      <rPr>
        <sz val="11"/>
        <color rgb="FFFF0000"/>
        <rFont val="微软雅黑"/>
        <charset val="134"/>
      </rPr>
      <t>100253</t>
    </r>
    <r>
      <rPr>
        <sz val="11"/>
        <color theme="1"/>
        <rFont val="微软雅黑"/>
        <charset val="134"/>
      </rPr>
      <t>:</t>
    </r>
    <r>
      <rPr>
        <sz val="11"/>
        <color rgb="FFFF0000"/>
        <rFont val="微软雅黑"/>
        <charset val="134"/>
      </rPr>
      <t>500</t>
    </r>
    <r>
      <rPr>
        <sz val="11"/>
        <color theme="1"/>
        <rFont val="微软雅黑"/>
        <charset val="134"/>
      </rPr>
      <t>#0:0:10000000#0:4:10000000</t>
    </r>
  </si>
  <si>
    <t>3:500022:1#3:100022:10</t>
  </si>
  <si>
    <t>3:500022:1#3:100044:10</t>
  </si>
  <si>
    <t>3:500022:1#3:200018:4500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</si>
</sst>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_);[Red]\(0\)"/>
  </numFmts>
  <fonts count="15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sz val="11"/>
      <color rgb="FF000000"/>
      <name val="微软雅黑"/>
      <charset val="134"/>
    </font>
    <font>
      <b/>
      <sz val="11"/>
      <color theme="1"/>
      <name val="Arial"/>
      <charset val="134"/>
      <scheme val="minor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2"/>
      <color theme="1"/>
      <name val="Arial"/>
      <charset val="134"/>
      <scheme val="minor"/>
    </font>
    <font>
      <sz val="10.5"/>
      <color theme="1"/>
      <name val="微软雅黑"/>
      <charset val="134"/>
    </font>
    <font>
      <sz val="11"/>
      <color rgb="FF000000"/>
      <name val="Arial"/>
      <charset val="134"/>
      <scheme val="minor"/>
    </font>
    <font>
      <sz val="10.5"/>
      <color rgb="FF000000"/>
      <name val="Helvetica"/>
      <charset val="134"/>
    </font>
    <font>
      <sz val="11"/>
      <color theme="1"/>
      <name val="Arial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6704000976592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6704000976592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4" fillId="3" borderId="1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163">
    <xf numFmtId="0" fontId="0" fillId="0" borderId="0" xfId="0"/>
    <xf numFmtId="0" fontId="0" fillId="2" borderId="0" xfId="0" applyFill="1"/>
    <xf numFmtId="0" fontId="1" fillId="2" borderId="0" xfId="2" applyFont="1" applyFill="1" applyAlignment="1">
      <alignment horizontal="center"/>
    </xf>
    <xf numFmtId="49" fontId="1" fillId="2" borderId="0" xfId="2" applyNumberFormat="1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3" fillId="2" borderId="0" xfId="2" applyFont="1" applyFill="1" applyAlignment="1"/>
    <xf numFmtId="0" fontId="2" fillId="2" borderId="0" xfId="2" applyFont="1" applyFill="1" applyAlignment="1">
      <alignment horizontal="center"/>
    </xf>
    <xf numFmtId="0" fontId="4" fillId="3" borderId="1" xfId="1" applyAlignment="1">
      <alignment horizontal="center"/>
    </xf>
    <xf numFmtId="0" fontId="4" fillId="3" borderId="1" xfId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2" applyFont="1" applyAlignment="1">
      <alignment horizontal="right" vertical="center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3" borderId="1" xfId="1" applyAlignment="1">
      <alignment horizontal="right" vertical="center"/>
    </xf>
    <xf numFmtId="0" fontId="1" fillId="0" borderId="0" xfId="2" applyFont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5" borderId="0" xfId="2" applyFont="1" applyFill="1" applyAlignment="1">
      <alignment horizontal="center" vertical="center"/>
    </xf>
    <xf numFmtId="0" fontId="1" fillId="5" borderId="0" xfId="2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49" fontId="5" fillId="2" borderId="0" xfId="0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0" fontId="1" fillId="6" borderId="0" xfId="3" applyFont="1" applyFill="1" applyAlignment="1">
      <alignment horizontal="center" vertical="center"/>
    </xf>
    <xf numFmtId="49" fontId="5" fillId="6" borderId="0" xfId="0" applyNumberFormat="1" applyFont="1" applyFill="1" applyAlignment="1">
      <alignment horizontal="right"/>
    </xf>
    <xf numFmtId="0" fontId="1" fillId="6" borderId="0" xfId="3" applyFont="1" applyFill="1" applyAlignment="1">
      <alignment horizontal="right" vertical="center"/>
    </xf>
    <xf numFmtId="0" fontId="0" fillId="5" borderId="0" xfId="0" applyFill="1"/>
    <xf numFmtId="0" fontId="0" fillId="5" borderId="0" xfId="0" applyFill="1" applyAlignment="1">
      <alignment horizontal="right"/>
    </xf>
    <xf numFmtId="0" fontId="1" fillId="2" borderId="0" xfId="3" applyFont="1" applyFill="1" applyAlignment="1">
      <alignment horizontal="center" vertical="center"/>
    </xf>
    <xf numFmtId="0" fontId="1" fillId="2" borderId="0" xfId="3" applyFont="1" applyFill="1" applyAlignment="1">
      <alignment horizontal="right" vertical="center"/>
    </xf>
    <xf numFmtId="0" fontId="1" fillId="7" borderId="0" xfId="3" applyFont="1" applyFill="1" applyAlignment="1">
      <alignment horizontal="center" vertical="center"/>
    </xf>
    <xf numFmtId="49" fontId="5" fillId="7" borderId="0" xfId="0" applyNumberFormat="1" applyFont="1" applyFill="1" applyAlignment="1">
      <alignment horizontal="right"/>
    </xf>
    <xf numFmtId="0" fontId="1" fillId="7" borderId="0" xfId="3" applyFont="1" applyFill="1" applyAlignment="1">
      <alignment horizontal="right" vertical="center"/>
    </xf>
    <xf numFmtId="0" fontId="1" fillId="8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1" fillId="8" borderId="0" xfId="0" applyNumberFormat="1" applyFont="1" applyFill="1" applyAlignment="1">
      <alignment horizontal="right"/>
    </xf>
    <xf numFmtId="0" fontId="0" fillId="8" borderId="0" xfId="0" applyFill="1"/>
    <xf numFmtId="0" fontId="0" fillId="8" borderId="0" xfId="0" applyFill="1" applyAlignment="1">
      <alignment horizontal="center"/>
    </xf>
    <xf numFmtId="49" fontId="1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/>
    </xf>
    <xf numFmtId="0" fontId="1" fillId="0" borderId="0" xfId="2" applyFont="1" applyAlignment="1">
      <alignment horizontal="center"/>
    </xf>
    <xf numFmtId="49" fontId="1" fillId="0" borderId="0" xfId="2" applyNumberFormat="1" applyFont="1" applyAlignment="1">
      <alignment horizontal="right"/>
    </xf>
    <xf numFmtId="0" fontId="14" fillId="0" borderId="0" xfId="2" applyAlignment="1"/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7" fillId="0" borderId="0" xfId="0" applyFont="1"/>
    <xf numFmtId="0" fontId="5" fillId="2" borderId="0" xfId="0" applyFont="1" applyFill="1" applyAlignment="1">
      <alignment horizontal="center"/>
    </xf>
    <xf numFmtId="49" fontId="8" fillId="2" borderId="2" xfId="0" applyNumberFormat="1" applyFont="1" applyFill="1" applyBorder="1" applyAlignment="1">
      <alignment horizontal="left"/>
    </xf>
    <xf numFmtId="0" fontId="7" fillId="2" borderId="0" xfId="0" applyFont="1" applyFill="1"/>
    <xf numFmtId="49" fontId="1" fillId="0" borderId="3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49" fontId="1" fillId="0" borderId="5" xfId="0" applyNumberFormat="1" applyFont="1" applyBorder="1" applyAlignment="1">
      <alignment horizontal="right"/>
    </xf>
    <xf numFmtId="49" fontId="1" fillId="0" borderId="6" xfId="0" applyNumberFormat="1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49" fontId="9" fillId="2" borderId="2" xfId="0" applyNumberFormat="1" applyFont="1" applyFill="1" applyBorder="1" applyAlignment="1">
      <alignment horizontal="left"/>
    </xf>
    <xf numFmtId="0" fontId="10" fillId="0" borderId="0" xfId="0" applyFont="1"/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49" fontId="0" fillId="0" borderId="0" xfId="0" applyNumberFormat="1" applyAlignment="1">
      <alignment horizontal="right"/>
    </xf>
    <xf numFmtId="0" fontId="1" fillId="0" borderId="8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9" borderId="0" xfId="0" applyFill="1"/>
    <xf numFmtId="0" fontId="0" fillId="11" borderId="0" xfId="0" applyFill="1"/>
    <xf numFmtId="0" fontId="0" fillId="12" borderId="0" xfId="0" applyFill="1"/>
    <xf numFmtId="49" fontId="0" fillId="0" borderId="0" xfId="0" applyNumberFormat="1"/>
    <xf numFmtId="0" fontId="1" fillId="0" borderId="2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2" fillId="14" borderId="0" xfId="0" applyFont="1" applyFill="1" applyAlignment="1">
      <alignment vertical="center" wrapText="1"/>
    </xf>
    <xf numFmtId="49" fontId="1" fillId="13" borderId="2" xfId="0" applyNumberFormat="1" applyFont="1" applyFill="1" applyBorder="1" applyAlignment="1">
      <alignment horizontal="center"/>
    </xf>
    <xf numFmtId="0" fontId="1" fillId="13" borderId="2" xfId="0" applyFont="1" applyFill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13" borderId="8" xfId="0" applyFont="1" applyFill="1" applyBorder="1" applyAlignment="1">
      <alignment horizontal="center"/>
    </xf>
    <xf numFmtId="0" fontId="1" fillId="13" borderId="8" xfId="0" applyFont="1" applyFill="1" applyBorder="1" applyAlignment="1">
      <alignment horizontal="right"/>
    </xf>
    <xf numFmtId="0" fontId="1" fillId="9" borderId="8" xfId="0" applyFont="1" applyFill="1" applyBorder="1" applyAlignment="1">
      <alignment horizontal="center"/>
    </xf>
    <xf numFmtId="49" fontId="1" fillId="9" borderId="2" xfId="0" applyNumberFormat="1" applyFont="1" applyFill="1" applyBorder="1" applyAlignment="1">
      <alignment horizontal="center"/>
    </xf>
    <xf numFmtId="0" fontId="1" fillId="9" borderId="8" xfId="0" applyFont="1" applyFill="1" applyBorder="1" applyAlignment="1">
      <alignment horizontal="right"/>
    </xf>
    <xf numFmtId="0" fontId="1" fillId="9" borderId="2" xfId="0" applyFont="1" applyFill="1" applyBorder="1" applyAlignment="1">
      <alignment horizontal="right"/>
    </xf>
    <xf numFmtId="0" fontId="1" fillId="11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9" borderId="2" xfId="0" applyFont="1" applyFill="1" applyBorder="1" applyAlignment="1">
      <alignment horizontal="center"/>
    </xf>
    <xf numFmtId="0" fontId="0" fillId="9" borderId="0" xfId="0" applyFill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0" fontId="1" fillId="11" borderId="2" xfId="0" applyFont="1" applyFill="1" applyBorder="1" applyAlignment="1">
      <alignment horizontal="center"/>
    </xf>
    <xf numFmtId="49" fontId="1" fillId="11" borderId="2" xfId="0" applyNumberFormat="1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49" fontId="1" fillId="12" borderId="2" xfId="0" applyNumberFormat="1" applyFont="1" applyFill="1" applyBorder="1" applyAlignment="1">
      <alignment horizontal="center"/>
    </xf>
    <xf numFmtId="0" fontId="1" fillId="12" borderId="2" xfId="0" applyFont="1" applyFill="1" applyBorder="1" applyAlignment="1">
      <alignment horizontal="right"/>
    </xf>
    <xf numFmtId="0" fontId="1" fillId="11" borderId="8" xfId="0" applyFont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1" fillId="11" borderId="8" xfId="0" applyFont="1" applyFill="1" applyBorder="1" applyAlignment="1">
      <alignment horizontal="left"/>
    </xf>
    <xf numFmtId="0" fontId="1" fillId="12" borderId="8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12" fillId="14" borderId="0" xfId="0" applyFont="1" applyFill="1" applyAlignment="1">
      <alignment horizontal="left" vertical="center" wrapText="1"/>
    </xf>
    <xf numFmtId="0" fontId="0" fillId="15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16" borderId="0" xfId="0" applyFont="1" applyFill="1" applyAlignment="1">
      <alignment horizontal="center"/>
    </xf>
    <xf numFmtId="0" fontId="1" fillId="16" borderId="0" xfId="0" applyFont="1" applyFill="1" applyAlignment="1">
      <alignment horizontal="center" vertical="center"/>
    </xf>
    <xf numFmtId="49" fontId="1" fillId="16" borderId="0" xfId="0" applyNumberFormat="1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1" fillId="17" borderId="0" xfId="0" applyFont="1" applyFill="1" applyAlignment="1">
      <alignment horizontal="center" vertical="center"/>
    </xf>
    <xf numFmtId="49" fontId="1" fillId="17" borderId="0" xfId="0" applyNumberFormat="1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0" fontId="1" fillId="18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1" fillId="0" borderId="0" xfId="0" applyFont="1"/>
    <xf numFmtId="0" fontId="1" fillId="2" borderId="0" xfId="0" applyFont="1" applyFill="1"/>
    <xf numFmtId="0" fontId="1" fillId="9" borderId="0" xfId="0" applyFont="1" applyFill="1"/>
    <xf numFmtId="0" fontId="1" fillId="16" borderId="0" xfId="0" applyFont="1" applyFill="1"/>
    <xf numFmtId="0" fontId="0" fillId="12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1" fillId="20" borderId="0" xfId="0" applyFont="1" applyFill="1" applyAlignment="1">
      <alignment horizontal="center"/>
    </xf>
    <xf numFmtId="0" fontId="0" fillId="20" borderId="0" xfId="0" applyFill="1" applyAlignment="1">
      <alignment horizontal="center"/>
    </xf>
    <xf numFmtId="0" fontId="1" fillId="20" borderId="0" xfId="0" applyFont="1" applyFill="1"/>
    <xf numFmtId="0" fontId="0" fillId="17" borderId="0" xfId="0" applyFill="1" applyAlignment="1">
      <alignment horizontal="center"/>
    </xf>
    <xf numFmtId="0" fontId="1" fillId="17" borderId="0" xfId="0" applyFont="1" applyFill="1"/>
    <xf numFmtId="0" fontId="0" fillId="18" borderId="0" xfId="0" applyFill="1" applyAlignment="1">
      <alignment horizontal="center"/>
    </xf>
    <xf numFmtId="0" fontId="1" fillId="18" borderId="0" xfId="0" applyFont="1" applyFill="1"/>
    <xf numFmtId="0" fontId="0" fillId="21" borderId="0" xfId="0" applyFill="1"/>
    <xf numFmtId="0" fontId="0" fillId="10" borderId="0" xfId="0" applyFill="1"/>
    <xf numFmtId="0" fontId="0" fillId="22" borderId="0" xfId="0" applyFill="1"/>
    <xf numFmtId="0" fontId="0" fillId="16" borderId="0" xfId="0" applyFill="1"/>
    <xf numFmtId="0" fontId="1" fillId="7" borderId="0" xfId="0" applyFont="1" applyFill="1" applyAlignment="1">
      <alignment horizontal="center"/>
    </xf>
    <xf numFmtId="49" fontId="1" fillId="7" borderId="0" xfId="0" applyNumberFormat="1" applyFont="1" applyFill="1" applyAlignment="1">
      <alignment horizontal="center"/>
    </xf>
    <xf numFmtId="0" fontId="0" fillId="7" borderId="0" xfId="0" applyFill="1"/>
    <xf numFmtId="49" fontId="1" fillId="9" borderId="0" xfId="0" applyNumberFormat="1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49" fontId="1" fillId="21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3" borderId="0" xfId="0" applyFont="1" applyFill="1" applyAlignment="1">
      <alignment horizontal="center"/>
    </xf>
    <xf numFmtId="49" fontId="1" fillId="23" borderId="0" xfId="0" applyNumberFormat="1" applyFont="1" applyFill="1" applyAlignment="1">
      <alignment horizontal="center"/>
    </xf>
    <xf numFmtId="0" fontId="0" fillId="23" borderId="0" xfId="0" applyFill="1"/>
    <xf numFmtId="0" fontId="1" fillId="24" borderId="0" xfId="0" applyFont="1" applyFill="1" applyAlignment="1">
      <alignment horizontal="center"/>
    </xf>
    <xf numFmtId="49" fontId="1" fillId="24" borderId="0" xfId="0" applyNumberFormat="1" applyFont="1" applyFill="1" applyAlignment="1">
      <alignment horizontal="center"/>
    </xf>
    <xf numFmtId="0" fontId="0" fillId="24" borderId="0" xfId="0" applyFill="1"/>
    <xf numFmtId="49" fontId="1" fillId="10" borderId="0" xfId="0" applyNumberFormat="1" applyFont="1" applyFill="1" applyAlignment="1">
      <alignment horizontal="center"/>
    </xf>
    <xf numFmtId="0" fontId="1" fillId="22" borderId="0" xfId="0" applyFont="1" applyFill="1" applyAlignment="1">
      <alignment horizontal="center"/>
    </xf>
    <xf numFmtId="49" fontId="1" fillId="22" borderId="0" xfId="0" applyNumberFormat="1" applyFont="1" applyFill="1" applyAlignment="1">
      <alignment horizontal="center"/>
    </xf>
    <xf numFmtId="0" fontId="0" fillId="25" borderId="0" xfId="0" applyFill="1"/>
    <xf numFmtId="0" fontId="1" fillId="25" borderId="0" xfId="0" applyFont="1" applyFill="1" applyAlignment="1">
      <alignment horizontal="center"/>
    </xf>
    <xf numFmtId="49" fontId="1" fillId="25" borderId="0" xfId="0" applyNumberFormat="1" applyFont="1" applyFill="1" applyAlignment="1">
      <alignment horizontal="center"/>
    </xf>
    <xf numFmtId="168" fontId="1" fillId="16" borderId="0" xfId="0" applyNumberFormat="1" applyFont="1" applyFill="1" applyAlignment="1">
      <alignment horizontal="center" vertical="center"/>
    </xf>
    <xf numFmtId="0" fontId="13" fillId="14" borderId="0" xfId="0" applyFont="1" applyFill="1" applyAlignment="1">
      <alignment wrapText="1"/>
    </xf>
    <xf numFmtId="168" fontId="1" fillId="25" borderId="0" xfId="0" applyNumberFormat="1" applyFont="1" applyFill="1" applyAlignment="1">
      <alignment horizontal="center" vertical="center"/>
    </xf>
  </cellXfs>
  <cellStyles count="4">
    <cellStyle name="Calculation" xfId="1" builtinId="22"/>
    <cellStyle name="Normal" xfId="0" builtinId="0"/>
    <cellStyle name="常规 2" xfId="2" xr:uid="{00000000-0005-0000-0000-000031000000}"/>
    <cellStyle name="常规 2 2" xfId="3" xr:uid="{00000000-0005-0000-0000-000032000000}"/>
  </cellStyles>
  <dxfs count="66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Medium9"/>
  <colors>
    <mruColors>
      <color rgb="FFFFCC9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13"/>
  <sheetViews>
    <sheetView topLeftCell="J1" workbookViewId="0">
      <selection activeCell="N5" sqref="N5"/>
    </sheetView>
  </sheetViews>
  <sheetFormatPr defaultColWidth="9" defaultRowHeight="16.5"/>
  <cols>
    <col min="1" max="1" width="9.625" customWidth="1"/>
    <col min="3" max="3" width="15.75" customWidth="1"/>
    <col min="4" max="5" width="13.125" customWidth="1"/>
    <col min="6" max="7" width="16.375" customWidth="1"/>
    <col min="8" max="9" width="15.5" customWidth="1"/>
    <col min="10" max="10" width="14.125" customWidth="1"/>
    <col min="11" max="12" width="16.125" customWidth="1"/>
    <col min="13" max="13" width="17.125" customWidth="1"/>
    <col min="14" max="14" width="21" customWidth="1"/>
    <col min="15" max="15" width="42.125" customWidth="1"/>
    <col min="16" max="16" width="22" customWidth="1"/>
    <col min="17" max="17" width="9" style="12"/>
    <col min="18" max="18" width="106.25" style="12" customWidth="1"/>
  </cols>
  <sheetData>
    <row r="1" spans="1:1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</row>
    <row r="2" spans="1:18" s="140" customFormat="1" ht="55.5">
      <c r="A2" s="115">
        <v>100001</v>
      </c>
      <c r="B2" s="115">
        <v>1</v>
      </c>
      <c r="C2" s="75" t="s">
        <v>18</v>
      </c>
      <c r="D2" s="115">
        <v>1</v>
      </c>
      <c r="E2" s="117" t="s">
        <v>19</v>
      </c>
      <c r="F2" s="115">
        <v>9</v>
      </c>
      <c r="G2" s="117" t="s">
        <v>20</v>
      </c>
      <c r="H2" s="115">
        <v>7</v>
      </c>
      <c r="I2" s="117" t="s">
        <v>20</v>
      </c>
      <c r="J2" s="160">
        <v>100201</v>
      </c>
      <c r="K2" s="115">
        <v>18</v>
      </c>
      <c r="L2" s="115" t="s">
        <v>21</v>
      </c>
      <c r="M2" s="161" t="s">
        <v>22</v>
      </c>
      <c r="N2" s="115">
        <v>40001</v>
      </c>
      <c r="O2" s="115" t="s">
        <v>23</v>
      </c>
      <c r="P2" s="115">
        <v>1001</v>
      </c>
      <c r="Q2" s="12" t="s">
        <v>24</v>
      </c>
      <c r="R2" s="161" t="s">
        <v>25</v>
      </c>
    </row>
    <row r="3" spans="1:18" s="140" customFormat="1" ht="55.5">
      <c r="A3" s="115">
        <v>100002</v>
      </c>
      <c r="B3" s="115">
        <v>2</v>
      </c>
      <c r="C3" s="75" t="s">
        <v>26</v>
      </c>
      <c r="D3" s="115">
        <v>10</v>
      </c>
      <c r="E3" s="117" t="s">
        <v>19</v>
      </c>
      <c r="F3" s="115">
        <v>18</v>
      </c>
      <c r="G3" s="117" t="s">
        <v>20</v>
      </c>
      <c r="H3" s="115">
        <v>16</v>
      </c>
      <c r="I3" s="117" t="s">
        <v>20</v>
      </c>
      <c r="J3" s="160">
        <v>100205</v>
      </c>
      <c r="K3" s="115">
        <v>18</v>
      </c>
      <c r="L3" s="115" t="s">
        <v>21</v>
      </c>
      <c r="M3" s="161"/>
      <c r="N3" s="115">
        <v>40002</v>
      </c>
      <c r="O3" s="115" t="s">
        <v>27</v>
      </c>
      <c r="P3" s="115">
        <v>1005</v>
      </c>
      <c r="Q3" s="12" t="s">
        <v>28</v>
      </c>
      <c r="R3" s="161" t="s">
        <v>29</v>
      </c>
    </row>
    <row r="4" spans="1:18" s="140" customFormat="1" ht="55.5">
      <c r="A4" s="115">
        <v>100003</v>
      </c>
      <c r="B4" s="115">
        <v>3</v>
      </c>
      <c r="C4" s="75" t="s">
        <v>30</v>
      </c>
      <c r="D4" s="115">
        <v>19</v>
      </c>
      <c r="E4" s="117" t="s">
        <v>19</v>
      </c>
      <c r="F4" s="115">
        <v>27</v>
      </c>
      <c r="G4" s="117" t="s">
        <v>20</v>
      </c>
      <c r="H4" s="115">
        <v>25</v>
      </c>
      <c r="I4" s="117" t="s">
        <v>20</v>
      </c>
      <c r="J4" s="160">
        <v>100206</v>
      </c>
      <c r="K4" s="115">
        <v>18</v>
      </c>
      <c r="L4" s="115" t="s">
        <v>21</v>
      </c>
      <c r="M4" s="161"/>
      <c r="N4" s="115">
        <v>40003</v>
      </c>
      <c r="O4" s="115" t="s">
        <v>31</v>
      </c>
      <c r="P4" s="115">
        <v>1006</v>
      </c>
      <c r="Q4" s="12" t="s">
        <v>32</v>
      </c>
      <c r="R4" s="161" t="s">
        <v>33</v>
      </c>
    </row>
    <row r="5" spans="1:18" s="140" customFormat="1" ht="55.5">
      <c r="A5" s="115">
        <v>100004</v>
      </c>
      <c r="B5" s="115">
        <v>4</v>
      </c>
      <c r="C5" s="75" t="s">
        <v>34</v>
      </c>
      <c r="D5" s="115">
        <v>28</v>
      </c>
      <c r="E5" s="117" t="s">
        <v>19</v>
      </c>
      <c r="F5" s="115">
        <v>36</v>
      </c>
      <c r="G5" s="117" t="s">
        <v>20</v>
      </c>
      <c r="H5" s="115">
        <v>34</v>
      </c>
      <c r="I5" s="117" t="s">
        <v>20</v>
      </c>
      <c r="J5" s="160">
        <v>100207</v>
      </c>
      <c r="K5" s="115">
        <v>18</v>
      </c>
      <c r="L5" s="115" t="s">
        <v>21</v>
      </c>
      <c r="M5" s="161"/>
      <c r="N5" s="115">
        <v>40004</v>
      </c>
      <c r="O5" s="115" t="s">
        <v>35</v>
      </c>
      <c r="P5" s="115">
        <v>1007</v>
      </c>
      <c r="Q5" s="12" t="s">
        <v>36</v>
      </c>
      <c r="R5" s="161" t="s">
        <v>37</v>
      </c>
    </row>
    <row r="6" spans="1:18" s="157" customFormat="1" ht="55.5">
      <c r="A6" s="158">
        <f>A2+1000</f>
        <v>101001</v>
      </c>
      <c r="B6" s="158">
        <v>1</v>
      </c>
      <c r="C6" s="75" t="s">
        <v>18</v>
      </c>
      <c r="D6" s="158">
        <f>D5+9</f>
        <v>37</v>
      </c>
      <c r="E6" s="159" t="s">
        <v>19</v>
      </c>
      <c r="F6" s="158">
        <f>F5+9</f>
        <v>45</v>
      </c>
      <c r="G6" s="159" t="s">
        <v>20</v>
      </c>
      <c r="H6" s="158">
        <f>H5+9</f>
        <v>43</v>
      </c>
      <c r="I6" s="159" t="s">
        <v>20</v>
      </c>
      <c r="J6" s="162">
        <v>100201</v>
      </c>
      <c r="K6" s="158">
        <v>18</v>
      </c>
      <c r="L6" s="158" t="s">
        <v>21</v>
      </c>
      <c r="M6" s="161" t="s">
        <v>22</v>
      </c>
      <c r="N6" s="158">
        <v>40001</v>
      </c>
      <c r="O6" s="158" t="s">
        <v>23</v>
      </c>
      <c r="P6" s="158">
        <v>1001</v>
      </c>
      <c r="Q6" s="158" t="s">
        <v>24</v>
      </c>
      <c r="R6" s="161" t="s">
        <v>25</v>
      </c>
    </row>
    <row r="7" spans="1:18" s="157" customFormat="1" ht="55.5">
      <c r="A7" s="158">
        <f t="shared" ref="A7:A70" si="0">A3+1000</f>
        <v>101002</v>
      </c>
      <c r="B7" s="158">
        <v>2</v>
      </c>
      <c r="C7" s="75" t="s">
        <v>26</v>
      </c>
      <c r="D7" s="158">
        <f t="shared" ref="D7:D70" si="1">D6+9</f>
        <v>46</v>
      </c>
      <c r="E7" s="159" t="s">
        <v>19</v>
      </c>
      <c r="F7" s="158">
        <f t="shared" ref="F7:F70" si="2">F6+9</f>
        <v>54</v>
      </c>
      <c r="G7" s="159" t="s">
        <v>20</v>
      </c>
      <c r="H7" s="158">
        <f t="shared" ref="H7:H70" si="3">H6+9</f>
        <v>52</v>
      </c>
      <c r="I7" s="159" t="s">
        <v>20</v>
      </c>
      <c r="J7" s="162">
        <v>100205</v>
      </c>
      <c r="K7" s="158">
        <v>18</v>
      </c>
      <c r="L7" s="158" t="s">
        <v>21</v>
      </c>
      <c r="M7" s="161"/>
      <c r="N7" s="158">
        <v>40002</v>
      </c>
      <c r="O7" s="158" t="s">
        <v>27</v>
      </c>
      <c r="P7" s="158">
        <v>1005</v>
      </c>
      <c r="Q7" s="158" t="s">
        <v>28</v>
      </c>
      <c r="R7" s="161" t="s">
        <v>29</v>
      </c>
    </row>
    <row r="8" spans="1:18" s="157" customFormat="1" ht="55.5">
      <c r="A8" s="158">
        <f t="shared" si="0"/>
        <v>101003</v>
      </c>
      <c r="B8" s="158">
        <v>3</v>
      </c>
      <c r="C8" s="75" t="s">
        <v>30</v>
      </c>
      <c r="D8" s="158">
        <f t="shared" si="1"/>
        <v>55</v>
      </c>
      <c r="E8" s="159" t="s">
        <v>19</v>
      </c>
      <c r="F8" s="158">
        <f t="shared" si="2"/>
        <v>63</v>
      </c>
      <c r="G8" s="159" t="s">
        <v>20</v>
      </c>
      <c r="H8" s="158">
        <f t="shared" si="3"/>
        <v>61</v>
      </c>
      <c r="I8" s="159" t="s">
        <v>20</v>
      </c>
      <c r="J8" s="162">
        <v>100206</v>
      </c>
      <c r="K8" s="158">
        <v>18</v>
      </c>
      <c r="L8" s="158" t="s">
        <v>21</v>
      </c>
      <c r="M8" s="161"/>
      <c r="N8" s="158">
        <v>40003</v>
      </c>
      <c r="O8" s="158" t="s">
        <v>31</v>
      </c>
      <c r="P8" s="158">
        <v>1006</v>
      </c>
      <c r="Q8" s="158" t="s">
        <v>32</v>
      </c>
      <c r="R8" s="161" t="s">
        <v>33</v>
      </c>
    </row>
    <row r="9" spans="1:18" s="157" customFormat="1" ht="55.5">
      <c r="A9" s="158">
        <f t="shared" si="0"/>
        <v>101004</v>
      </c>
      <c r="B9" s="158">
        <v>4</v>
      </c>
      <c r="C9" s="75" t="s">
        <v>34</v>
      </c>
      <c r="D9" s="158">
        <f t="shared" si="1"/>
        <v>64</v>
      </c>
      <c r="E9" s="159" t="s">
        <v>19</v>
      </c>
      <c r="F9" s="158">
        <f t="shared" si="2"/>
        <v>72</v>
      </c>
      <c r="G9" s="159" t="s">
        <v>20</v>
      </c>
      <c r="H9" s="158">
        <f t="shared" si="3"/>
        <v>70</v>
      </c>
      <c r="I9" s="159" t="s">
        <v>20</v>
      </c>
      <c r="J9" s="162">
        <v>100207</v>
      </c>
      <c r="K9" s="158">
        <v>18</v>
      </c>
      <c r="L9" s="158" t="s">
        <v>21</v>
      </c>
      <c r="M9" s="161"/>
      <c r="N9" s="158">
        <v>40004</v>
      </c>
      <c r="O9" s="158" t="s">
        <v>35</v>
      </c>
      <c r="P9" s="158">
        <v>1007</v>
      </c>
      <c r="Q9" s="158" t="s">
        <v>36</v>
      </c>
      <c r="R9" s="161" t="s">
        <v>37</v>
      </c>
    </row>
    <row r="10" spans="1:18" s="140" customFormat="1" ht="55.5">
      <c r="A10" s="115">
        <f t="shared" si="0"/>
        <v>102001</v>
      </c>
      <c r="B10" s="115">
        <v>1</v>
      </c>
      <c r="C10" s="75" t="s">
        <v>18</v>
      </c>
      <c r="D10" s="115">
        <f t="shared" si="1"/>
        <v>73</v>
      </c>
      <c r="E10" s="117" t="s">
        <v>19</v>
      </c>
      <c r="F10" s="115">
        <f t="shared" si="2"/>
        <v>81</v>
      </c>
      <c r="G10" s="117" t="s">
        <v>20</v>
      </c>
      <c r="H10" s="115">
        <f t="shared" si="3"/>
        <v>79</v>
      </c>
      <c r="I10" s="117" t="s">
        <v>20</v>
      </c>
      <c r="J10" s="160">
        <v>100201</v>
      </c>
      <c r="K10" s="115">
        <v>18</v>
      </c>
      <c r="L10" s="115" t="s">
        <v>21</v>
      </c>
      <c r="M10" s="161" t="s">
        <v>22</v>
      </c>
      <c r="N10" s="115">
        <v>40001</v>
      </c>
      <c r="O10" s="115" t="s">
        <v>23</v>
      </c>
      <c r="P10" s="115">
        <v>1001</v>
      </c>
      <c r="Q10" s="115" t="s">
        <v>24</v>
      </c>
      <c r="R10" s="161" t="s">
        <v>25</v>
      </c>
    </row>
    <row r="11" spans="1:18" s="140" customFormat="1" ht="55.5">
      <c r="A11" s="115">
        <f t="shared" si="0"/>
        <v>102002</v>
      </c>
      <c r="B11" s="115">
        <v>2</v>
      </c>
      <c r="C11" s="75" t="s">
        <v>26</v>
      </c>
      <c r="D11" s="115">
        <f t="shared" si="1"/>
        <v>82</v>
      </c>
      <c r="E11" s="117" t="s">
        <v>19</v>
      </c>
      <c r="F11" s="115">
        <f t="shared" si="2"/>
        <v>90</v>
      </c>
      <c r="G11" s="117" t="s">
        <v>20</v>
      </c>
      <c r="H11" s="115">
        <f t="shared" si="3"/>
        <v>88</v>
      </c>
      <c r="I11" s="117" t="s">
        <v>20</v>
      </c>
      <c r="J11" s="160">
        <v>100205</v>
      </c>
      <c r="K11" s="115">
        <v>18</v>
      </c>
      <c r="L11" s="115" t="s">
        <v>21</v>
      </c>
      <c r="M11" s="161"/>
      <c r="N11" s="115">
        <v>40002</v>
      </c>
      <c r="O11" s="115" t="s">
        <v>27</v>
      </c>
      <c r="P11" s="115">
        <v>1005</v>
      </c>
      <c r="Q11" s="115" t="s">
        <v>28</v>
      </c>
      <c r="R11" s="161" t="s">
        <v>29</v>
      </c>
    </row>
    <row r="12" spans="1:18" s="140" customFormat="1" ht="55.5">
      <c r="A12" s="115">
        <f t="shared" si="0"/>
        <v>102003</v>
      </c>
      <c r="B12" s="115">
        <v>3</v>
      </c>
      <c r="C12" s="75" t="s">
        <v>30</v>
      </c>
      <c r="D12" s="115">
        <f t="shared" si="1"/>
        <v>91</v>
      </c>
      <c r="E12" s="117" t="s">
        <v>19</v>
      </c>
      <c r="F12" s="115">
        <f t="shared" si="2"/>
        <v>99</v>
      </c>
      <c r="G12" s="117" t="s">
        <v>20</v>
      </c>
      <c r="H12" s="115">
        <f t="shared" si="3"/>
        <v>97</v>
      </c>
      <c r="I12" s="117" t="s">
        <v>20</v>
      </c>
      <c r="J12" s="160">
        <v>100206</v>
      </c>
      <c r="K12" s="115">
        <v>18</v>
      </c>
      <c r="L12" s="115" t="s">
        <v>21</v>
      </c>
      <c r="M12" s="161"/>
      <c r="N12" s="115">
        <v>40003</v>
      </c>
      <c r="O12" s="115" t="s">
        <v>31</v>
      </c>
      <c r="P12" s="115">
        <v>1006</v>
      </c>
      <c r="Q12" s="115" t="s">
        <v>32</v>
      </c>
      <c r="R12" s="161" t="s">
        <v>33</v>
      </c>
    </row>
    <row r="13" spans="1:18" s="140" customFormat="1" ht="55.5">
      <c r="A13" s="115">
        <f t="shared" si="0"/>
        <v>102004</v>
      </c>
      <c r="B13" s="115">
        <v>4</v>
      </c>
      <c r="C13" s="75" t="s">
        <v>34</v>
      </c>
      <c r="D13" s="115">
        <f t="shared" si="1"/>
        <v>100</v>
      </c>
      <c r="E13" s="117" t="s">
        <v>19</v>
      </c>
      <c r="F13" s="115">
        <f t="shared" si="2"/>
        <v>108</v>
      </c>
      <c r="G13" s="117" t="s">
        <v>20</v>
      </c>
      <c r="H13" s="115">
        <f t="shared" si="3"/>
        <v>106</v>
      </c>
      <c r="I13" s="117" t="s">
        <v>20</v>
      </c>
      <c r="J13" s="160">
        <v>100207</v>
      </c>
      <c r="K13" s="115">
        <v>18</v>
      </c>
      <c r="L13" s="115" t="s">
        <v>21</v>
      </c>
      <c r="M13" s="161"/>
      <c r="N13" s="115">
        <v>40004</v>
      </c>
      <c r="O13" s="115" t="s">
        <v>35</v>
      </c>
      <c r="P13" s="115">
        <v>1007</v>
      </c>
      <c r="Q13" s="115" t="s">
        <v>36</v>
      </c>
      <c r="R13" s="161" t="s">
        <v>37</v>
      </c>
    </row>
    <row r="14" spans="1:18" s="157" customFormat="1" ht="55.5">
      <c r="A14" s="158">
        <f t="shared" si="0"/>
        <v>103001</v>
      </c>
      <c r="B14" s="158">
        <v>1</v>
      </c>
      <c r="C14" s="75" t="s">
        <v>18</v>
      </c>
      <c r="D14" s="158">
        <f t="shared" si="1"/>
        <v>109</v>
      </c>
      <c r="E14" s="159" t="s">
        <v>19</v>
      </c>
      <c r="F14" s="158">
        <f t="shared" si="2"/>
        <v>117</v>
      </c>
      <c r="G14" s="159" t="s">
        <v>20</v>
      </c>
      <c r="H14" s="158">
        <f t="shared" si="3"/>
        <v>115</v>
      </c>
      <c r="I14" s="159" t="s">
        <v>20</v>
      </c>
      <c r="J14" s="162">
        <v>100201</v>
      </c>
      <c r="K14" s="158">
        <v>18</v>
      </c>
      <c r="L14" s="158" t="s">
        <v>21</v>
      </c>
      <c r="M14" s="161" t="s">
        <v>22</v>
      </c>
      <c r="N14" s="158">
        <v>40001</v>
      </c>
      <c r="O14" s="158" t="s">
        <v>23</v>
      </c>
      <c r="P14" s="158">
        <v>1001</v>
      </c>
      <c r="Q14" s="158" t="s">
        <v>24</v>
      </c>
      <c r="R14" s="161" t="s">
        <v>25</v>
      </c>
    </row>
    <row r="15" spans="1:18" s="157" customFormat="1" ht="55.5">
      <c r="A15" s="158">
        <f t="shared" si="0"/>
        <v>103002</v>
      </c>
      <c r="B15" s="158">
        <v>2</v>
      </c>
      <c r="C15" s="75" t="s">
        <v>26</v>
      </c>
      <c r="D15" s="158">
        <f t="shared" si="1"/>
        <v>118</v>
      </c>
      <c r="E15" s="159" t="s">
        <v>19</v>
      </c>
      <c r="F15" s="158">
        <f t="shared" si="2"/>
        <v>126</v>
      </c>
      <c r="G15" s="159" t="s">
        <v>20</v>
      </c>
      <c r="H15" s="158">
        <f t="shared" si="3"/>
        <v>124</v>
      </c>
      <c r="I15" s="159" t="s">
        <v>20</v>
      </c>
      <c r="J15" s="162">
        <v>100205</v>
      </c>
      <c r="K15" s="158">
        <v>18</v>
      </c>
      <c r="L15" s="158" t="s">
        <v>21</v>
      </c>
      <c r="M15" s="161"/>
      <c r="N15" s="158">
        <v>40002</v>
      </c>
      <c r="O15" s="158" t="s">
        <v>27</v>
      </c>
      <c r="P15" s="158">
        <v>1005</v>
      </c>
      <c r="Q15" s="158" t="s">
        <v>28</v>
      </c>
      <c r="R15" s="161" t="s">
        <v>29</v>
      </c>
    </row>
    <row r="16" spans="1:18" s="157" customFormat="1" ht="55.5">
      <c r="A16" s="158">
        <f t="shared" si="0"/>
        <v>103003</v>
      </c>
      <c r="B16" s="158">
        <v>3</v>
      </c>
      <c r="C16" s="75" t="s">
        <v>30</v>
      </c>
      <c r="D16" s="158">
        <f t="shared" si="1"/>
        <v>127</v>
      </c>
      <c r="E16" s="159" t="s">
        <v>19</v>
      </c>
      <c r="F16" s="158">
        <f t="shared" si="2"/>
        <v>135</v>
      </c>
      <c r="G16" s="159" t="s">
        <v>20</v>
      </c>
      <c r="H16" s="158">
        <f t="shared" si="3"/>
        <v>133</v>
      </c>
      <c r="I16" s="159" t="s">
        <v>20</v>
      </c>
      <c r="J16" s="162">
        <v>100206</v>
      </c>
      <c r="K16" s="158">
        <v>18</v>
      </c>
      <c r="L16" s="158" t="s">
        <v>21</v>
      </c>
      <c r="M16" s="161"/>
      <c r="N16" s="158">
        <v>40003</v>
      </c>
      <c r="O16" s="158" t="s">
        <v>31</v>
      </c>
      <c r="P16" s="158">
        <v>1006</v>
      </c>
      <c r="Q16" s="158" t="s">
        <v>32</v>
      </c>
      <c r="R16" s="161" t="s">
        <v>33</v>
      </c>
    </row>
    <row r="17" spans="1:18" s="157" customFormat="1" ht="55.5">
      <c r="A17" s="158">
        <f t="shared" si="0"/>
        <v>103004</v>
      </c>
      <c r="B17" s="158">
        <v>4</v>
      </c>
      <c r="C17" s="75" t="s">
        <v>34</v>
      </c>
      <c r="D17" s="158">
        <f t="shared" si="1"/>
        <v>136</v>
      </c>
      <c r="E17" s="159" t="s">
        <v>19</v>
      </c>
      <c r="F17" s="158">
        <f t="shared" si="2"/>
        <v>144</v>
      </c>
      <c r="G17" s="159" t="s">
        <v>20</v>
      </c>
      <c r="H17" s="158">
        <f t="shared" si="3"/>
        <v>142</v>
      </c>
      <c r="I17" s="159" t="s">
        <v>20</v>
      </c>
      <c r="J17" s="162">
        <v>100207</v>
      </c>
      <c r="K17" s="158">
        <v>18</v>
      </c>
      <c r="L17" s="158" t="s">
        <v>21</v>
      </c>
      <c r="M17" s="161"/>
      <c r="N17" s="158">
        <v>40004</v>
      </c>
      <c r="O17" s="158" t="s">
        <v>35</v>
      </c>
      <c r="P17" s="158">
        <v>1007</v>
      </c>
      <c r="Q17" s="158" t="s">
        <v>36</v>
      </c>
      <c r="R17" s="161" t="s">
        <v>37</v>
      </c>
    </row>
    <row r="18" spans="1:18" s="140" customFormat="1" ht="55.5">
      <c r="A18" s="115">
        <f t="shared" si="0"/>
        <v>104001</v>
      </c>
      <c r="B18" s="115">
        <v>1</v>
      </c>
      <c r="C18" s="75" t="s">
        <v>18</v>
      </c>
      <c r="D18" s="115">
        <f t="shared" si="1"/>
        <v>145</v>
      </c>
      <c r="E18" s="117" t="s">
        <v>19</v>
      </c>
      <c r="F18" s="115">
        <f t="shared" si="2"/>
        <v>153</v>
      </c>
      <c r="G18" s="117" t="s">
        <v>20</v>
      </c>
      <c r="H18" s="115">
        <f t="shared" si="3"/>
        <v>151</v>
      </c>
      <c r="I18" s="117" t="s">
        <v>20</v>
      </c>
      <c r="J18" s="160">
        <v>100201</v>
      </c>
      <c r="K18" s="115">
        <v>18</v>
      </c>
      <c r="L18" s="115" t="s">
        <v>21</v>
      </c>
      <c r="M18" s="161" t="s">
        <v>22</v>
      </c>
      <c r="N18" s="115">
        <v>40001</v>
      </c>
      <c r="O18" s="115" t="s">
        <v>23</v>
      </c>
      <c r="P18" s="115">
        <v>1001</v>
      </c>
      <c r="Q18" s="115" t="s">
        <v>24</v>
      </c>
      <c r="R18" s="161" t="s">
        <v>25</v>
      </c>
    </row>
    <row r="19" spans="1:18" s="140" customFormat="1" ht="55.5">
      <c r="A19" s="115">
        <f t="shared" si="0"/>
        <v>104002</v>
      </c>
      <c r="B19" s="115">
        <v>2</v>
      </c>
      <c r="C19" s="75" t="s">
        <v>26</v>
      </c>
      <c r="D19" s="115">
        <f t="shared" si="1"/>
        <v>154</v>
      </c>
      <c r="E19" s="117" t="s">
        <v>19</v>
      </c>
      <c r="F19" s="115">
        <f t="shared" si="2"/>
        <v>162</v>
      </c>
      <c r="G19" s="117" t="s">
        <v>20</v>
      </c>
      <c r="H19" s="115">
        <f t="shared" si="3"/>
        <v>160</v>
      </c>
      <c r="I19" s="117" t="s">
        <v>20</v>
      </c>
      <c r="J19" s="160">
        <v>100205</v>
      </c>
      <c r="K19" s="115">
        <v>18</v>
      </c>
      <c r="L19" s="115" t="s">
        <v>21</v>
      </c>
      <c r="M19" s="161"/>
      <c r="N19" s="115">
        <v>40002</v>
      </c>
      <c r="O19" s="115" t="s">
        <v>27</v>
      </c>
      <c r="P19" s="115">
        <v>1005</v>
      </c>
      <c r="Q19" s="115" t="s">
        <v>28</v>
      </c>
      <c r="R19" s="161" t="s">
        <v>29</v>
      </c>
    </row>
    <row r="20" spans="1:18" s="140" customFormat="1" ht="55.5">
      <c r="A20" s="115">
        <f t="shared" si="0"/>
        <v>104003</v>
      </c>
      <c r="B20" s="115">
        <v>3</v>
      </c>
      <c r="C20" s="75" t="s">
        <v>30</v>
      </c>
      <c r="D20" s="115">
        <f t="shared" si="1"/>
        <v>163</v>
      </c>
      <c r="E20" s="117" t="s">
        <v>19</v>
      </c>
      <c r="F20" s="115">
        <f t="shared" si="2"/>
        <v>171</v>
      </c>
      <c r="G20" s="117" t="s">
        <v>20</v>
      </c>
      <c r="H20" s="115">
        <f t="shared" si="3"/>
        <v>169</v>
      </c>
      <c r="I20" s="117" t="s">
        <v>20</v>
      </c>
      <c r="J20" s="160">
        <v>100206</v>
      </c>
      <c r="K20" s="115">
        <v>18</v>
      </c>
      <c r="L20" s="115" t="s">
        <v>21</v>
      </c>
      <c r="M20" s="161"/>
      <c r="N20" s="115">
        <v>40003</v>
      </c>
      <c r="O20" s="115" t="s">
        <v>31</v>
      </c>
      <c r="P20" s="115">
        <v>1006</v>
      </c>
      <c r="Q20" s="115" t="s">
        <v>32</v>
      </c>
      <c r="R20" s="161" t="s">
        <v>33</v>
      </c>
    </row>
    <row r="21" spans="1:18" s="140" customFormat="1" ht="55.5">
      <c r="A21" s="115">
        <f t="shared" si="0"/>
        <v>104004</v>
      </c>
      <c r="B21" s="115">
        <v>4</v>
      </c>
      <c r="C21" s="75" t="s">
        <v>34</v>
      </c>
      <c r="D21" s="115">
        <f t="shared" si="1"/>
        <v>172</v>
      </c>
      <c r="E21" s="117" t="s">
        <v>19</v>
      </c>
      <c r="F21" s="115">
        <f t="shared" si="2"/>
        <v>180</v>
      </c>
      <c r="G21" s="117" t="s">
        <v>20</v>
      </c>
      <c r="H21" s="115">
        <f t="shared" si="3"/>
        <v>178</v>
      </c>
      <c r="I21" s="117" t="s">
        <v>20</v>
      </c>
      <c r="J21" s="160">
        <v>100207</v>
      </c>
      <c r="K21" s="115">
        <v>18</v>
      </c>
      <c r="L21" s="115" t="s">
        <v>21</v>
      </c>
      <c r="M21" s="161"/>
      <c r="N21" s="115">
        <v>40004</v>
      </c>
      <c r="O21" s="115" t="s">
        <v>35</v>
      </c>
      <c r="P21" s="115">
        <v>1007</v>
      </c>
      <c r="Q21" s="115" t="s">
        <v>36</v>
      </c>
      <c r="R21" s="161" t="s">
        <v>37</v>
      </c>
    </row>
    <row r="22" spans="1:18" s="157" customFormat="1" ht="55.5">
      <c r="A22" s="158">
        <f t="shared" si="0"/>
        <v>105001</v>
      </c>
      <c r="B22" s="158">
        <v>1</v>
      </c>
      <c r="C22" s="75" t="s">
        <v>18</v>
      </c>
      <c r="D22" s="158">
        <f t="shared" si="1"/>
        <v>181</v>
      </c>
      <c r="E22" s="159" t="s">
        <v>19</v>
      </c>
      <c r="F22" s="158">
        <f t="shared" si="2"/>
        <v>189</v>
      </c>
      <c r="G22" s="159" t="s">
        <v>20</v>
      </c>
      <c r="H22" s="158">
        <f t="shared" si="3"/>
        <v>187</v>
      </c>
      <c r="I22" s="159" t="s">
        <v>20</v>
      </c>
      <c r="J22" s="162">
        <v>100201</v>
      </c>
      <c r="K22" s="158">
        <v>18</v>
      </c>
      <c r="L22" s="158" t="s">
        <v>21</v>
      </c>
      <c r="M22" s="161" t="s">
        <v>22</v>
      </c>
      <c r="N22" s="158">
        <v>40001</v>
      </c>
      <c r="O22" s="158" t="s">
        <v>23</v>
      </c>
      <c r="P22" s="158">
        <v>1001</v>
      </c>
      <c r="Q22" s="158" t="s">
        <v>24</v>
      </c>
      <c r="R22" s="161" t="s">
        <v>25</v>
      </c>
    </row>
    <row r="23" spans="1:18" s="157" customFormat="1" ht="55.5">
      <c r="A23" s="158">
        <f t="shared" si="0"/>
        <v>105002</v>
      </c>
      <c r="B23" s="158">
        <v>2</v>
      </c>
      <c r="C23" s="75" t="s">
        <v>26</v>
      </c>
      <c r="D23" s="158">
        <f t="shared" si="1"/>
        <v>190</v>
      </c>
      <c r="E23" s="159" t="s">
        <v>19</v>
      </c>
      <c r="F23" s="158">
        <f t="shared" si="2"/>
        <v>198</v>
      </c>
      <c r="G23" s="159" t="s">
        <v>20</v>
      </c>
      <c r="H23" s="158">
        <f t="shared" si="3"/>
        <v>196</v>
      </c>
      <c r="I23" s="159" t="s">
        <v>20</v>
      </c>
      <c r="J23" s="162">
        <v>100205</v>
      </c>
      <c r="K23" s="158">
        <v>18</v>
      </c>
      <c r="L23" s="158" t="s">
        <v>21</v>
      </c>
      <c r="M23" s="161"/>
      <c r="N23" s="158">
        <v>40002</v>
      </c>
      <c r="O23" s="158" t="s">
        <v>27</v>
      </c>
      <c r="P23" s="158">
        <v>1005</v>
      </c>
      <c r="Q23" s="158" t="s">
        <v>28</v>
      </c>
      <c r="R23" s="161" t="s">
        <v>29</v>
      </c>
    </row>
    <row r="24" spans="1:18" s="157" customFormat="1" ht="55.5">
      <c r="A24" s="158">
        <f t="shared" si="0"/>
        <v>105003</v>
      </c>
      <c r="B24" s="158">
        <v>3</v>
      </c>
      <c r="C24" s="75" t="s">
        <v>30</v>
      </c>
      <c r="D24" s="158">
        <f t="shared" si="1"/>
        <v>199</v>
      </c>
      <c r="E24" s="159" t="s">
        <v>19</v>
      </c>
      <c r="F24" s="158">
        <f t="shared" si="2"/>
        <v>207</v>
      </c>
      <c r="G24" s="159" t="s">
        <v>20</v>
      </c>
      <c r="H24" s="158">
        <f t="shared" si="3"/>
        <v>205</v>
      </c>
      <c r="I24" s="159" t="s">
        <v>20</v>
      </c>
      <c r="J24" s="162">
        <v>100206</v>
      </c>
      <c r="K24" s="158">
        <v>18</v>
      </c>
      <c r="L24" s="158" t="s">
        <v>21</v>
      </c>
      <c r="M24" s="161"/>
      <c r="N24" s="158">
        <v>40003</v>
      </c>
      <c r="O24" s="158" t="s">
        <v>31</v>
      </c>
      <c r="P24" s="158">
        <v>1006</v>
      </c>
      <c r="Q24" s="158" t="s">
        <v>32</v>
      </c>
      <c r="R24" s="161" t="s">
        <v>33</v>
      </c>
    </row>
    <row r="25" spans="1:18" s="157" customFormat="1" ht="55.5">
      <c r="A25" s="158">
        <f t="shared" si="0"/>
        <v>105004</v>
      </c>
      <c r="B25" s="158">
        <v>4</v>
      </c>
      <c r="C25" s="75" t="s">
        <v>34</v>
      </c>
      <c r="D25" s="158">
        <f t="shared" si="1"/>
        <v>208</v>
      </c>
      <c r="E25" s="159" t="s">
        <v>19</v>
      </c>
      <c r="F25" s="158">
        <f t="shared" si="2"/>
        <v>216</v>
      </c>
      <c r="G25" s="159" t="s">
        <v>20</v>
      </c>
      <c r="H25" s="158">
        <f t="shared" si="3"/>
        <v>214</v>
      </c>
      <c r="I25" s="159" t="s">
        <v>20</v>
      </c>
      <c r="J25" s="162">
        <v>100207</v>
      </c>
      <c r="K25" s="158">
        <v>18</v>
      </c>
      <c r="L25" s="158" t="s">
        <v>21</v>
      </c>
      <c r="M25" s="161"/>
      <c r="N25" s="158">
        <v>40004</v>
      </c>
      <c r="O25" s="158" t="s">
        <v>35</v>
      </c>
      <c r="P25" s="158">
        <v>1007</v>
      </c>
      <c r="Q25" s="158" t="s">
        <v>36</v>
      </c>
      <c r="R25" s="161" t="s">
        <v>37</v>
      </c>
    </row>
    <row r="26" spans="1:18" s="140" customFormat="1" ht="55.5">
      <c r="A26" s="115">
        <f t="shared" si="0"/>
        <v>106001</v>
      </c>
      <c r="B26" s="115">
        <v>1</v>
      </c>
      <c r="C26" s="75" t="s">
        <v>18</v>
      </c>
      <c r="D26" s="115">
        <f t="shared" si="1"/>
        <v>217</v>
      </c>
      <c r="E26" s="117" t="s">
        <v>19</v>
      </c>
      <c r="F26" s="115">
        <f t="shared" si="2"/>
        <v>225</v>
      </c>
      <c r="G26" s="117" t="s">
        <v>20</v>
      </c>
      <c r="H26" s="115">
        <f t="shared" si="3"/>
        <v>223</v>
      </c>
      <c r="I26" s="117" t="s">
        <v>20</v>
      </c>
      <c r="J26" s="160">
        <v>100201</v>
      </c>
      <c r="K26" s="115">
        <v>18</v>
      </c>
      <c r="L26" s="115" t="s">
        <v>21</v>
      </c>
      <c r="M26" s="161" t="s">
        <v>22</v>
      </c>
      <c r="N26" s="115">
        <v>40001</v>
      </c>
      <c r="O26" s="115" t="s">
        <v>23</v>
      </c>
      <c r="P26" s="115">
        <v>1001</v>
      </c>
      <c r="Q26" s="115" t="s">
        <v>24</v>
      </c>
      <c r="R26" s="161" t="s">
        <v>25</v>
      </c>
    </row>
    <row r="27" spans="1:18" s="140" customFormat="1" ht="55.5">
      <c r="A27" s="115">
        <f t="shared" si="0"/>
        <v>106002</v>
      </c>
      <c r="B27" s="115">
        <v>2</v>
      </c>
      <c r="C27" s="75" t="s">
        <v>26</v>
      </c>
      <c r="D27" s="115">
        <f t="shared" si="1"/>
        <v>226</v>
      </c>
      <c r="E27" s="117" t="s">
        <v>19</v>
      </c>
      <c r="F27" s="115">
        <f t="shared" si="2"/>
        <v>234</v>
      </c>
      <c r="G27" s="117" t="s">
        <v>20</v>
      </c>
      <c r="H27" s="115">
        <f t="shared" si="3"/>
        <v>232</v>
      </c>
      <c r="I27" s="117" t="s">
        <v>20</v>
      </c>
      <c r="J27" s="160">
        <v>100205</v>
      </c>
      <c r="K27" s="115">
        <v>18</v>
      </c>
      <c r="L27" s="115" t="s">
        <v>21</v>
      </c>
      <c r="M27" s="161"/>
      <c r="N27" s="115">
        <v>40002</v>
      </c>
      <c r="O27" s="115" t="s">
        <v>27</v>
      </c>
      <c r="P27" s="115">
        <v>1005</v>
      </c>
      <c r="Q27" s="115" t="s">
        <v>28</v>
      </c>
      <c r="R27" s="161" t="s">
        <v>29</v>
      </c>
    </row>
    <row r="28" spans="1:18" s="140" customFormat="1" ht="55.5">
      <c r="A28" s="115">
        <f t="shared" si="0"/>
        <v>106003</v>
      </c>
      <c r="B28" s="115">
        <v>3</v>
      </c>
      <c r="C28" s="75" t="s">
        <v>30</v>
      </c>
      <c r="D28" s="115">
        <f t="shared" si="1"/>
        <v>235</v>
      </c>
      <c r="E28" s="117" t="s">
        <v>19</v>
      </c>
      <c r="F28" s="115">
        <f t="shared" si="2"/>
        <v>243</v>
      </c>
      <c r="G28" s="117" t="s">
        <v>20</v>
      </c>
      <c r="H28" s="115">
        <f t="shared" si="3"/>
        <v>241</v>
      </c>
      <c r="I28" s="117" t="s">
        <v>20</v>
      </c>
      <c r="J28" s="160">
        <v>100206</v>
      </c>
      <c r="K28" s="115">
        <v>18</v>
      </c>
      <c r="L28" s="115" t="s">
        <v>21</v>
      </c>
      <c r="M28" s="161"/>
      <c r="N28" s="115">
        <v>40003</v>
      </c>
      <c r="O28" s="115" t="s">
        <v>31</v>
      </c>
      <c r="P28" s="115">
        <v>1006</v>
      </c>
      <c r="Q28" s="115" t="s">
        <v>32</v>
      </c>
      <c r="R28" s="161" t="s">
        <v>33</v>
      </c>
    </row>
    <row r="29" spans="1:18" s="140" customFormat="1" ht="55.5">
      <c r="A29" s="115">
        <f t="shared" si="0"/>
        <v>106004</v>
      </c>
      <c r="B29" s="115">
        <v>4</v>
      </c>
      <c r="C29" s="75" t="s">
        <v>34</v>
      </c>
      <c r="D29" s="115">
        <f t="shared" si="1"/>
        <v>244</v>
      </c>
      <c r="E29" s="117" t="s">
        <v>19</v>
      </c>
      <c r="F29" s="115">
        <f t="shared" si="2"/>
        <v>252</v>
      </c>
      <c r="G29" s="117" t="s">
        <v>20</v>
      </c>
      <c r="H29" s="115">
        <f t="shared" si="3"/>
        <v>250</v>
      </c>
      <c r="I29" s="117" t="s">
        <v>20</v>
      </c>
      <c r="J29" s="160">
        <v>100207</v>
      </c>
      <c r="K29" s="115">
        <v>18</v>
      </c>
      <c r="L29" s="115" t="s">
        <v>21</v>
      </c>
      <c r="M29" s="161"/>
      <c r="N29" s="115">
        <v>40004</v>
      </c>
      <c r="O29" s="115" t="s">
        <v>35</v>
      </c>
      <c r="P29" s="115">
        <v>1007</v>
      </c>
      <c r="Q29" s="115" t="s">
        <v>36</v>
      </c>
      <c r="R29" s="161" t="s">
        <v>37</v>
      </c>
    </row>
    <row r="30" spans="1:18" s="157" customFormat="1" ht="55.5">
      <c r="A30" s="158">
        <f t="shared" si="0"/>
        <v>107001</v>
      </c>
      <c r="B30" s="158">
        <v>1</v>
      </c>
      <c r="C30" s="75" t="s">
        <v>18</v>
      </c>
      <c r="D30" s="158">
        <f t="shared" si="1"/>
        <v>253</v>
      </c>
      <c r="E30" s="159" t="s">
        <v>19</v>
      </c>
      <c r="F30" s="158">
        <f t="shared" si="2"/>
        <v>261</v>
      </c>
      <c r="G30" s="159" t="s">
        <v>20</v>
      </c>
      <c r="H30" s="158">
        <f t="shared" si="3"/>
        <v>259</v>
      </c>
      <c r="I30" s="159" t="s">
        <v>20</v>
      </c>
      <c r="J30" s="162">
        <v>100201</v>
      </c>
      <c r="K30" s="158">
        <v>18</v>
      </c>
      <c r="L30" s="158" t="s">
        <v>21</v>
      </c>
      <c r="M30" s="161" t="s">
        <v>22</v>
      </c>
      <c r="N30" s="158">
        <v>40001</v>
      </c>
      <c r="O30" s="158" t="s">
        <v>23</v>
      </c>
      <c r="P30" s="158">
        <v>1001</v>
      </c>
      <c r="Q30" s="158" t="s">
        <v>24</v>
      </c>
      <c r="R30" s="161" t="s">
        <v>25</v>
      </c>
    </row>
    <row r="31" spans="1:18" s="157" customFormat="1" ht="55.5">
      <c r="A31" s="158">
        <f t="shared" si="0"/>
        <v>107002</v>
      </c>
      <c r="B31" s="158">
        <v>2</v>
      </c>
      <c r="C31" s="75" t="s">
        <v>26</v>
      </c>
      <c r="D31" s="158">
        <f t="shared" si="1"/>
        <v>262</v>
      </c>
      <c r="E31" s="159" t="s">
        <v>19</v>
      </c>
      <c r="F31" s="158">
        <f t="shared" si="2"/>
        <v>270</v>
      </c>
      <c r="G31" s="159" t="s">
        <v>20</v>
      </c>
      <c r="H31" s="158">
        <f t="shared" si="3"/>
        <v>268</v>
      </c>
      <c r="I31" s="159" t="s">
        <v>20</v>
      </c>
      <c r="J31" s="162">
        <v>100205</v>
      </c>
      <c r="K31" s="158">
        <v>18</v>
      </c>
      <c r="L31" s="158" t="s">
        <v>21</v>
      </c>
      <c r="M31" s="161"/>
      <c r="N31" s="158">
        <v>40002</v>
      </c>
      <c r="O31" s="158" t="s">
        <v>27</v>
      </c>
      <c r="P31" s="158">
        <v>1005</v>
      </c>
      <c r="Q31" s="158" t="s">
        <v>28</v>
      </c>
      <c r="R31" s="161" t="s">
        <v>29</v>
      </c>
    </row>
    <row r="32" spans="1:18" s="157" customFormat="1" ht="55.5">
      <c r="A32" s="158">
        <f t="shared" si="0"/>
        <v>107003</v>
      </c>
      <c r="B32" s="158">
        <v>3</v>
      </c>
      <c r="C32" s="75" t="s">
        <v>30</v>
      </c>
      <c r="D32" s="158">
        <f t="shared" si="1"/>
        <v>271</v>
      </c>
      <c r="E32" s="159" t="s">
        <v>19</v>
      </c>
      <c r="F32" s="158">
        <f t="shared" si="2"/>
        <v>279</v>
      </c>
      <c r="G32" s="159" t="s">
        <v>20</v>
      </c>
      <c r="H32" s="158">
        <f t="shared" si="3"/>
        <v>277</v>
      </c>
      <c r="I32" s="159" t="s">
        <v>20</v>
      </c>
      <c r="J32" s="162">
        <v>100206</v>
      </c>
      <c r="K32" s="158">
        <v>18</v>
      </c>
      <c r="L32" s="158" t="s">
        <v>21</v>
      </c>
      <c r="M32" s="161"/>
      <c r="N32" s="158">
        <v>40003</v>
      </c>
      <c r="O32" s="158" t="s">
        <v>31</v>
      </c>
      <c r="P32" s="158">
        <v>1006</v>
      </c>
      <c r="Q32" s="158" t="s">
        <v>32</v>
      </c>
      <c r="R32" s="161" t="s">
        <v>33</v>
      </c>
    </row>
    <row r="33" spans="1:18" s="157" customFormat="1" ht="55.5">
      <c r="A33" s="158">
        <f t="shared" si="0"/>
        <v>107004</v>
      </c>
      <c r="B33" s="158">
        <v>4</v>
      </c>
      <c r="C33" s="75" t="s">
        <v>34</v>
      </c>
      <c r="D33" s="158">
        <f t="shared" si="1"/>
        <v>280</v>
      </c>
      <c r="E33" s="159" t="s">
        <v>19</v>
      </c>
      <c r="F33" s="158">
        <f t="shared" si="2"/>
        <v>288</v>
      </c>
      <c r="G33" s="159" t="s">
        <v>20</v>
      </c>
      <c r="H33" s="158">
        <f t="shared" si="3"/>
        <v>286</v>
      </c>
      <c r="I33" s="159" t="s">
        <v>20</v>
      </c>
      <c r="J33" s="162">
        <v>100207</v>
      </c>
      <c r="K33" s="158">
        <v>18</v>
      </c>
      <c r="L33" s="158" t="s">
        <v>21</v>
      </c>
      <c r="M33" s="161"/>
      <c r="N33" s="158">
        <v>40004</v>
      </c>
      <c r="O33" s="158" t="s">
        <v>35</v>
      </c>
      <c r="P33" s="158">
        <v>1007</v>
      </c>
      <c r="Q33" s="158" t="s">
        <v>36</v>
      </c>
      <c r="R33" s="161" t="s">
        <v>37</v>
      </c>
    </row>
    <row r="34" spans="1:18" s="140" customFormat="1" ht="55.5">
      <c r="A34" s="115">
        <f t="shared" si="0"/>
        <v>108001</v>
      </c>
      <c r="B34" s="115">
        <v>1</v>
      </c>
      <c r="C34" s="75" t="s">
        <v>18</v>
      </c>
      <c r="D34" s="115">
        <f t="shared" si="1"/>
        <v>289</v>
      </c>
      <c r="E34" s="117" t="s">
        <v>19</v>
      </c>
      <c r="F34" s="115">
        <f t="shared" si="2"/>
        <v>297</v>
      </c>
      <c r="G34" s="117" t="s">
        <v>20</v>
      </c>
      <c r="H34" s="115">
        <f t="shared" si="3"/>
        <v>295</v>
      </c>
      <c r="I34" s="117" t="s">
        <v>20</v>
      </c>
      <c r="J34" s="160">
        <v>100201</v>
      </c>
      <c r="K34" s="115">
        <v>18</v>
      </c>
      <c r="L34" s="115" t="s">
        <v>21</v>
      </c>
      <c r="M34" s="161" t="s">
        <v>22</v>
      </c>
      <c r="N34" s="115">
        <v>40001</v>
      </c>
      <c r="O34" s="115" t="s">
        <v>23</v>
      </c>
      <c r="P34" s="115">
        <v>1001</v>
      </c>
      <c r="Q34" s="115" t="s">
        <v>24</v>
      </c>
      <c r="R34" s="161" t="s">
        <v>25</v>
      </c>
    </row>
    <row r="35" spans="1:18" s="140" customFormat="1" ht="55.5">
      <c r="A35" s="115">
        <f t="shared" si="0"/>
        <v>108002</v>
      </c>
      <c r="B35" s="115">
        <v>2</v>
      </c>
      <c r="C35" s="75" t="s">
        <v>26</v>
      </c>
      <c r="D35" s="115">
        <f t="shared" si="1"/>
        <v>298</v>
      </c>
      <c r="E35" s="117" t="s">
        <v>19</v>
      </c>
      <c r="F35" s="115">
        <f t="shared" si="2"/>
        <v>306</v>
      </c>
      <c r="G35" s="117" t="s">
        <v>20</v>
      </c>
      <c r="H35" s="115">
        <f t="shared" si="3"/>
        <v>304</v>
      </c>
      <c r="I35" s="117" t="s">
        <v>20</v>
      </c>
      <c r="J35" s="160">
        <v>100205</v>
      </c>
      <c r="K35" s="115">
        <v>18</v>
      </c>
      <c r="L35" s="115" t="s">
        <v>21</v>
      </c>
      <c r="M35" s="161"/>
      <c r="N35" s="115">
        <v>40002</v>
      </c>
      <c r="O35" s="115" t="s">
        <v>27</v>
      </c>
      <c r="P35" s="115">
        <v>1005</v>
      </c>
      <c r="Q35" s="115" t="s">
        <v>28</v>
      </c>
      <c r="R35" s="161" t="s">
        <v>29</v>
      </c>
    </row>
    <row r="36" spans="1:18" s="140" customFormat="1" ht="55.5">
      <c r="A36" s="115">
        <f t="shared" si="0"/>
        <v>108003</v>
      </c>
      <c r="B36" s="115">
        <v>3</v>
      </c>
      <c r="C36" s="75" t="s">
        <v>30</v>
      </c>
      <c r="D36" s="115">
        <f t="shared" si="1"/>
        <v>307</v>
      </c>
      <c r="E36" s="117" t="s">
        <v>19</v>
      </c>
      <c r="F36" s="115">
        <f t="shared" si="2"/>
        <v>315</v>
      </c>
      <c r="G36" s="117" t="s">
        <v>20</v>
      </c>
      <c r="H36" s="115">
        <f t="shared" si="3"/>
        <v>313</v>
      </c>
      <c r="I36" s="117" t="s">
        <v>20</v>
      </c>
      <c r="J36" s="160">
        <v>100206</v>
      </c>
      <c r="K36" s="115">
        <v>18</v>
      </c>
      <c r="L36" s="115" t="s">
        <v>21</v>
      </c>
      <c r="M36" s="161"/>
      <c r="N36" s="115">
        <v>40003</v>
      </c>
      <c r="O36" s="115" t="s">
        <v>31</v>
      </c>
      <c r="P36" s="115">
        <v>1006</v>
      </c>
      <c r="Q36" s="115" t="s">
        <v>32</v>
      </c>
      <c r="R36" s="161" t="s">
        <v>33</v>
      </c>
    </row>
    <row r="37" spans="1:18" s="140" customFormat="1" ht="55.5">
      <c r="A37" s="115">
        <f t="shared" si="0"/>
        <v>108004</v>
      </c>
      <c r="B37" s="115">
        <v>4</v>
      </c>
      <c r="C37" s="75" t="s">
        <v>34</v>
      </c>
      <c r="D37" s="115">
        <f t="shared" si="1"/>
        <v>316</v>
      </c>
      <c r="E37" s="117" t="s">
        <v>19</v>
      </c>
      <c r="F37" s="115">
        <f t="shared" si="2"/>
        <v>324</v>
      </c>
      <c r="G37" s="117" t="s">
        <v>20</v>
      </c>
      <c r="H37" s="115">
        <f t="shared" si="3"/>
        <v>322</v>
      </c>
      <c r="I37" s="117" t="s">
        <v>20</v>
      </c>
      <c r="J37" s="160">
        <v>100207</v>
      </c>
      <c r="K37" s="115">
        <v>18</v>
      </c>
      <c r="L37" s="115" t="s">
        <v>21</v>
      </c>
      <c r="M37" s="161"/>
      <c r="N37" s="115">
        <v>40004</v>
      </c>
      <c r="O37" s="115" t="s">
        <v>35</v>
      </c>
      <c r="P37" s="115">
        <v>1007</v>
      </c>
      <c r="Q37" s="115" t="s">
        <v>36</v>
      </c>
      <c r="R37" s="161" t="s">
        <v>37</v>
      </c>
    </row>
    <row r="38" spans="1:18" s="157" customFormat="1" ht="55.5">
      <c r="A38" s="158">
        <f t="shared" si="0"/>
        <v>109001</v>
      </c>
      <c r="B38" s="158">
        <v>1</v>
      </c>
      <c r="C38" s="75" t="s">
        <v>18</v>
      </c>
      <c r="D38" s="158">
        <f t="shared" si="1"/>
        <v>325</v>
      </c>
      <c r="E38" s="159" t="s">
        <v>19</v>
      </c>
      <c r="F38" s="158">
        <f t="shared" si="2"/>
        <v>333</v>
      </c>
      <c r="G38" s="159" t="s">
        <v>20</v>
      </c>
      <c r="H38" s="158">
        <f t="shared" si="3"/>
        <v>331</v>
      </c>
      <c r="I38" s="159" t="s">
        <v>20</v>
      </c>
      <c r="J38" s="162">
        <v>100201</v>
      </c>
      <c r="K38" s="158">
        <v>18</v>
      </c>
      <c r="L38" s="158" t="s">
        <v>21</v>
      </c>
      <c r="M38" s="161" t="s">
        <v>22</v>
      </c>
      <c r="N38" s="158">
        <v>40001</v>
      </c>
      <c r="O38" s="158" t="s">
        <v>23</v>
      </c>
      <c r="P38" s="158">
        <v>1001</v>
      </c>
      <c r="Q38" s="158" t="s">
        <v>24</v>
      </c>
      <c r="R38" s="161" t="s">
        <v>25</v>
      </c>
    </row>
    <row r="39" spans="1:18" s="157" customFormat="1" ht="55.5">
      <c r="A39" s="158">
        <f t="shared" si="0"/>
        <v>109002</v>
      </c>
      <c r="B39" s="158">
        <v>2</v>
      </c>
      <c r="C39" s="75" t="s">
        <v>26</v>
      </c>
      <c r="D39" s="158">
        <f t="shared" si="1"/>
        <v>334</v>
      </c>
      <c r="E39" s="159" t="s">
        <v>19</v>
      </c>
      <c r="F39" s="158">
        <f t="shared" si="2"/>
        <v>342</v>
      </c>
      <c r="G39" s="159" t="s">
        <v>20</v>
      </c>
      <c r="H39" s="158">
        <f t="shared" si="3"/>
        <v>340</v>
      </c>
      <c r="I39" s="159" t="s">
        <v>20</v>
      </c>
      <c r="J39" s="162">
        <v>100205</v>
      </c>
      <c r="K39" s="158">
        <v>18</v>
      </c>
      <c r="L39" s="158" t="s">
        <v>21</v>
      </c>
      <c r="M39" s="161"/>
      <c r="N39" s="158">
        <v>40002</v>
      </c>
      <c r="O39" s="158" t="s">
        <v>27</v>
      </c>
      <c r="P39" s="158">
        <v>1005</v>
      </c>
      <c r="Q39" s="158" t="s">
        <v>28</v>
      </c>
      <c r="R39" s="161" t="s">
        <v>29</v>
      </c>
    </row>
    <row r="40" spans="1:18" s="157" customFormat="1" ht="55.5">
      <c r="A40" s="158">
        <f t="shared" si="0"/>
        <v>109003</v>
      </c>
      <c r="B40" s="158">
        <v>3</v>
      </c>
      <c r="C40" s="75" t="s">
        <v>30</v>
      </c>
      <c r="D40" s="158">
        <f t="shared" si="1"/>
        <v>343</v>
      </c>
      <c r="E40" s="159" t="s">
        <v>19</v>
      </c>
      <c r="F40" s="158">
        <f t="shared" si="2"/>
        <v>351</v>
      </c>
      <c r="G40" s="159" t="s">
        <v>20</v>
      </c>
      <c r="H40" s="158">
        <f t="shared" si="3"/>
        <v>349</v>
      </c>
      <c r="I40" s="159" t="s">
        <v>20</v>
      </c>
      <c r="J40" s="162">
        <v>100206</v>
      </c>
      <c r="K40" s="158">
        <v>18</v>
      </c>
      <c r="L40" s="158" t="s">
        <v>21</v>
      </c>
      <c r="M40" s="161"/>
      <c r="N40" s="158">
        <v>40003</v>
      </c>
      <c r="O40" s="158" t="s">
        <v>31</v>
      </c>
      <c r="P40" s="158">
        <v>1006</v>
      </c>
      <c r="Q40" s="158" t="s">
        <v>32</v>
      </c>
      <c r="R40" s="161" t="s">
        <v>33</v>
      </c>
    </row>
    <row r="41" spans="1:18" s="157" customFormat="1" ht="55.5">
      <c r="A41" s="158">
        <f t="shared" si="0"/>
        <v>109004</v>
      </c>
      <c r="B41" s="158">
        <v>4</v>
      </c>
      <c r="C41" s="75" t="s">
        <v>34</v>
      </c>
      <c r="D41" s="158">
        <f t="shared" si="1"/>
        <v>352</v>
      </c>
      <c r="E41" s="159" t="s">
        <v>19</v>
      </c>
      <c r="F41" s="158">
        <f t="shared" si="2"/>
        <v>360</v>
      </c>
      <c r="G41" s="159" t="s">
        <v>20</v>
      </c>
      <c r="H41" s="158">
        <f t="shared" si="3"/>
        <v>358</v>
      </c>
      <c r="I41" s="159" t="s">
        <v>20</v>
      </c>
      <c r="J41" s="162">
        <v>100207</v>
      </c>
      <c r="K41" s="158">
        <v>18</v>
      </c>
      <c r="L41" s="158" t="s">
        <v>21</v>
      </c>
      <c r="M41" s="161"/>
      <c r="N41" s="158">
        <v>40004</v>
      </c>
      <c r="O41" s="158" t="s">
        <v>35</v>
      </c>
      <c r="P41" s="158">
        <v>1007</v>
      </c>
      <c r="Q41" s="158" t="s">
        <v>36</v>
      </c>
      <c r="R41" s="161" t="s">
        <v>37</v>
      </c>
    </row>
    <row r="42" spans="1:18" s="140" customFormat="1" ht="55.5">
      <c r="A42" s="115">
        <f t="shared" si="0"/>
        <v>110001</v>
      </c>
      <c r="B42" s="115">
        <v>1</v>
      </c>
      <c r="C42" s="75" t="s">
        <v>18</v>
      </c>
      <c r="D42" s="115">
        <f t="shared" si="1"/>
        <v>361</v>
      </c>
      <c r="E42" s="117" t="s">
        <v>19</v>
      </c>
      <c r="F42" s="115">
        <f t="shared" si="2"/>
        <v>369</v>
      </c>
      <c r="G42" s="117" t="s">
        <v>20</v>
      </c>
      <c r="H42" s="115">
        <f t="shared" si="3"/>
        <v>367</v>
      </c>
      <c r="I42" s="117" t="s">
        <v>20</v>
      </c>
      <c r="J42" s="160">
        <v>100201</v>
      </c>
      <c r="K42" s="115">
        <v>18</v>
      </c>
      <c r="L42" s="115" t="s">
        <v>21</v>
      </c>
      <c r="M42" s="161" t="s">
        <v>22</v>
      </c>
      <c r="N42" s="115">
        <v>40001</v>
      </c>
      <c r="O42" s="115" t="s">
        <v>23</v>
      </c>
      <c r="P42" s="115">
        <v>1001</v>
      </c>
      <c r="Q42" s="115" t="s">
        <v>24</v>
      </c>
      <c r="R42" s="161" t="s">
        <v>25</v>
      </c>
    </row>
    <row r="43" spans="1:18" s="140" customFormat="1" ht="55.5">
      <c r="A43" s="115">
        <f t="shared" si="0"/>
        <v>110002</v>
      </c>
      <c r="B43" s="115">
        <v>2</v>
      </c>
      <c r="C43" s="75" t="s">
        <v>26</v>
      </c>
      <c r="D43" s="115">
        <f t="shared" si="1"/>
        <v>370</v>
      </c>
      <c r="E43" s="117" t="s">
        <v>19</v>
      </c>
      <c r="F43" s="115">
        <f t="shared" si="2"/>
        <v>378</v>
      </c>
      <c r="G43" s="117" t="s">
        <v>20</v>
      </c>
      <c r="H43" s="115">
        <f t="shared" si="3"/>
        <v>376</v>
      </c>
      <c r="I43" s="117" t="s">
        <v>20</v>
      </c>
      <c r="J43" s="160">
        <v>100205</v>
      </c>
      <c r="K43" s="115">
        <v>18</v>
      </c>
      <c r="L43" s="115" t="s">
        <v>21</v>
      </c>
      <c r="M43" s="161"/>
      <c r="N43" s="115">
        <v>40002</v>
      </c>
      <c r="O43" s="115" t="s">
        <v>27</v>
      </c>
      <c r="P43" s="115">
        <v>1005</v>
      </c>
      <c r="Q43" s="115" t="s">
        <v>28</v>
      </c>
      <c r="R43" s="161" t="s">
        <v>29</v>
      </c>
    </row>
    <row r="44" spans="1:18" s="140" customFormat="1" ht="55.5">
      <c r="A44" s="115">
        <f t="shared" si="0"/>
        <v>110003</v>
      </c>
      <c r="B44" s="115">
        <v>3</v>
      </c>
      <c r="C44" s="75" t="s">
        <v>30</v>
      </c>
      <c r="D44" s="115">
        <f t="shared" si="1"/>
        <v>379</v>
      </c>
      <c r="E44" s="117" t="s">
        <v>19</v>
      </c>
      <c r="F44" s="115">
        <f t="shared" si="2"/>
        <v>387</v>
      </c>
      <c r="G44" s="117" t="s">
        <v>20</v>
      </c>
      <c r="H44" s="115">
        <f t="shared" si="3"/>
        <v>385</v>
      </c>
      <c r="I44" s="117" t="s">
        <v>20</v>
      </c>
      <c r="J44" s="160">
        <v>100206</v>
      </c>
      <c r="K44" s="115">
        <v>18</v>
      </c>
      <c r="L44" s="115" t="s">
        <v>21</v>
      </c>
      <c r="M44" s="161"/>
      <c r="N44" s="115">
        <v>40003</v>
      </c>
      <c r="O44" s="115" t="s">
        <v>31</v>
      </c>
      <c r="P44" s="115">
        <v>1006</v>
      </c>
      <c r="Q44" s="115" t="s">
        <v>32</v>
      </c>
      <c r="R44" s="161" t="s">
        <v>33</v>
      </c>
    </row>
    <row r="45" spans="1:18" s="140" customFormat="1" ht="55.5">
      <c r="A45" s="115">
        <f t="shared" si="0"/>
        <v>110004</v>
      </c>
      <c r="B45" s="115">
        <v>4</v>
      </c>
      <c r="C45" s="75" t="s">
        <v>34</v>
      </c>
      <c r="D45" s="115">
        <f t="shared" si="1"/>
        <v>388</v>
      </c>
      <c r="E45" s="117" t="s">
        <v>19</v>
      </c>
      <c r="F45" s="115">
        <f t="shared" si="2"/>
        <v>396</v>
      </c>
      <c r="G45" s="117" t="s">
        <v>20</v>
      </c>
      <c r="H45" s="115">
        <f t="shared" si="3"/>
        <v>394</v>
      </c>
      <c r="I45" s="117" t="s">
        <v>20</v>
      </c>
      <c r="J45" s="160">
        <v>100207</v>
      </c>
      <c r="K45" s="115">
        <v>18</v>
      </c>
      <c r="L45" s="115" t="s">
        <v>21</v>
      </c>
      <c r="M45" s="161"/>
      <c r="N45" s="115">
        <v>40004</v>
      </c>
      <c r="O45" s="115" t="s">
        <v>35</v>
      </c>
      <c r="P45" s="115">
        <v>1007</v>
      </c>
      <c r="Q45" s="115" t="s">
        <v>36</v>
      </c>
      <c r="R45" s="161" t="s">
        <v>37</v>
      </c>
    </row>
    <row r="46" spans="1:18" s="157" customFormat="1" ht="55.5">
      <c r="A46" s="158">
        <f t="shared" si="0"/>
        <v>111001</v>
      </c>
      <c r="B46" s="158">
        <v>1</v>
      </c>
      <c r="C46" s="75" t="s">
        <v>18</v>
      </c>
      <c r="D46" s="158">
        <f t="shared" si="1"/>
        <v>397</v>
      </c>
      <c r="E46" s="159" t="s">
        <v>19</v>
      </c>
      <c r="F46" s="158">
        <f t="shared" si="2"/>
        <v>405</v>
      </c>
      <c r="G46" s="159" t="s">
        <v>20</v>
      </c>
      <c r="H46" s="158">
        <f t="shared" si="3"/>
        <v>403</v>
      </c>
      <c r="I46" s="159" t="s">
        <v>20</v>
      </c>
      <c r="J46" s="162">
        <v>100201</v>
      </c>
      <c r="K46" s="158">
        <v>18</v>
      </c>
      <c r="L46" s="158" t="s">
        <v>21</v>
      </c>
      <c r="M46" s="161" t="s">
        <v>22</v>
      </c>
      <c r="N46" s="158">
        <v>40001</v>
      </c>
      <c r="O46" s="158" t="s">
        <v>23</v>
      </c>
      <c r="P46" s="158">
        <v>1001</v>
      </c>
      <c r="Q46" s="158" t="s">
        <v>24</v>
      </c>
      <c r="R46" s="161" t="s">
        <v>25</v>
      </c>
    </row>
    <row r="47" spans="1:18" s="157" customFormat="1" ht="55.5">
      <c r="A47" s="158">
        <f t="shared" si="0"/>
        <v>111002</v>
      </c>
      <c r="B47" s="158">
        <v>2</v>
      </c>
      <c r="C47" s="75" t="s">
        <v>26</v>
      </c>
      <c r="D47" s="158">
        <f t="shared" si="1"/>
        <v>406</v>
      </c>
      <c r="E47" s="159" t="s">
        <v>19</v>
      </c>
      <c r="F47" s="158">
        <f t="shared" si="2"/>
        <v>414</v>
      </c>
      <c r="G47" s="159" t="s">
        <v>20</v>
      </c>
      <c r="H47" s="158">
        <f t="shared" si="3"/>
        <v>412</v>
      </c>
      <c r="I47" s="159" t="s">
        <v>20</v>
      </c>
      <c r="J47" s="162">
        <v>100205</v>
      </c>
      <c r="K47" s="158">
        <v>18</v>
      </c>
      <c r="L47" s="158" t="s">
        <v>21</v>
      </c>
      <c r="M47" s="161"/>
      <c r="N47" s="158">
        <v>40002</v>
      </c>
      <c r="O47" s="158" t="s">
        <v>27</v>
      </c>
      <c r="P47" s="158">
        <v>1005</v>
      </c>
      <c r="Q47" s="158" t="s">
        <v>28</v>
      </c>
      <c r="R47" s="161" t="s">
        <v>29</v>
      </c>
    </row>
    <row r="48" spans="1:18" s="157" customFormat="1" ht="55.5">
      <c r="A48" s="158">
        <f t="shared" si="0"/>
        <v>111003</v>
      </c>
      <c r="B48" s="158">
        <v>3</v>
      </c>
      <c r="C48" s="75" t="s">
        <v>30</v>
      </c>
      <c r="D48" s="158">
        <f t="shared" si="1"/>
        <v>415</v>
      </c>
      <c r="E48" s="159" t="s">
        <v>19</v>
      </c>
      <c r="F48" s="158">
        <f t="shared" si="2"/>
        <v>423</v>
      </c>
      <c r="G48" s="159" t="s">
        <v>20</v>
      </c>
      <c r="H48" s="158">
        <f t="shared" si="3"/>
        <v>421</v>
      </c>
      <c r="I48" s="159" t="s">
        <v>20</v>
      </c>
      <c r="J48" s="162">
        <v>100206</v>
      </c>
      <c r="K48" s="158">
        <v>18</v>
      </c>
      <c r="L48" s="158" t="s">
        <v>21</v>
      </c>
      <c r="M48" s="161"/>
      <c r="N48" s="158">
        <v>40003</v>
      </c>
      <c r="O48" s="158" t="s">
        <v>31</v>
      </c>
      <c r="P48" s="158">
        <v>1006</v>
      </c>
      <c r="Q48" s="158" t="s">
        <v>32</v>
      </c>
      <c r="R48" s="161" t="s">
        <v>33</v>
      </c>
    </row>
    <row r="49" spans="1:18" s="157" customFormat="1" ht="55.5">
      <c r="A49" s="158">
        <f t="shared" si="0"/>
        <v>111004</v>
      </c>
      <c r="B49" s="158">
        <v>4</v>
      </c>
      <c r="C49" s="75" t="s">
        <v>34</v>
      </c>
      <c r="D49" s="158">
        <f t="shared" si="1"/>
        <v>424</v>
      </c>
      <c r="E49" s="159" t="s">
        <v>19</v>
      </c>
      <c r="F49" s="158">
        <f t="shared" si="2"/>
        <v>432</v>
      </c>
      <c r="G49" s="159" t="s">
        <v>20</v>
      </c>
      <c r="H49" s="158">
        <f t="shared" si="3"/>
        <v>430</v>
      </c>
      <c r="I49" s="159" t="s">
        <v>20</v>
      </c>
      <c r="J49" s="162">
        <v>100207</v>
      </c>
      <c r="K49" s="158">
        <v>18</v>
      </c>
      <c r="L49" s="158" t="s">
        <v>21</v>
      </c>
      <c r="M49" s="161"/>
      <c r="N49" s="158">
        <v>40004</v>
      </c>
      <c r="O49" s="158" t="s">
        <v>35</v>
      </c>
      <c r="P49" s="158">
        <v>1007</v>
      </c>
      <c r="Q49" s="158" t="s">
        <v>36</v>
      </c>
      <c r="R49" s="161" t="s">
        <v>37</v>
      </c>
    </row>
    <row r="50" spans="1:18" s="140" customFormat="1" ht="55.5">
      <c r="A50" s="115">
        <f t="shared" si="0"/>
        <v>112001</v>
      </c>
      <c r="B50" s="115">
        <v>1</v>
      </c>
      <c r="C50" s="75" t="s">
        <v>18</v>
      </c>
      <c r="D50" s="115">
        <f t="shared" si="1"/>
        <v>433</v>
      </c>
      <c r="E50" s="117" t="s">
        <v>19</v>
      </c>
      <c r="F50" s="115">
        <f t="shared" si="2"/>
        <v>441</v>
      </c>
      <c r="G50" s="117" t="s">
        <v>20</v>
      </c>
      <c r="H50" s="115">
        <f t="shared" si="3"/>
        <v>439</v>
      </c>
      <c r="I50" s="117" t="s">
        <v>20</v>
      </c>
      <c r="J50" s="160">
        <v>100201</v>
      </c>
      <c r="K50" s="115">
        <v>18</v>
      </c>
      <c r="L50" s="115" t="s">
        <v>21</v>
      </c>
      <c r="M50" s="161" t="s">
        <v>22</v>
      </c>
      <c r="N50" s="115">
        <v>40001</v>
      </c>
      <c r="O50" s="115" t="s">
        <v>23</v>
      </c>
      <c r="P50" s="115">
        <v>1001</v>
      </c>
      <c r="Q50" s="115" t="s">
        <v>24</v>
      </c>
      <c r="R50" s="161" t="s">
        <v>25</v>
      </c>
    </row>
    <row r="51" spans="1:18" s="140" customFormat="1" ht="55.5">
      <c r="A51" s="115">
        <f t="shared" si="0"/>
        <v>112002</v>
      </c>
      <c r="B51" s="115">
        <v>2</v>
      </c>
      <c r="C51" s="75" t="s">
        <v>26</v>
      </c>
      <c r="D51" s="115">
        <f t="shared" si="1"/>
        <v>442</v>
      </c>
      <c r="E51" s="117" t="s">
        <v>19</v>
      </c>
      <c r="F51" s="115">
        <f t="shared" si="2"/>
        <v>450</v>
      </c>
      <c r="G51" s="117" t="s">
        <v>20</v>
      </c>
      <c r="H51" s="115">
        <f t="shared" si="3"/>
        <v>448</v>
      </c>
      <c r="I51" s="117" t="s">
        <v>20</v>
      </c>
      <c r="J51" s="160">
        <v>100205</v>
      </c>
      <c r="K51" s="115">
        <v>18</v>
      </c>
      <c r="L51" s="115" t="s">
        <v>21</v>
      </c>
      <c r="M51" s="161"/>
      <c r="N51" s="115">
        <v>40002</v>
      </c>
      <c r="O51" s="115" t="s">
        <v>27</v>
      </c>
      <c r="P51" s="115">
        <v>1005</v>
      </c>
      <c r="Q51" s="115" t="s">
        <v>28</v>
      </c>
      <c r="R51" s="161" t="s">
        <v>29</v>
      </c>
    </row>
    <row r="52" spans="1:18" s="140" customFormat="1" ht="55.5">
      <c r="A52" s="115">
        <f t="shared" si="0"/>
        <v>112003</v>
      </c>
      <c r="B52" s="115">
        <v>3</v>
      </c>
      <c r="C52" s="75" t="s">
        <v>30</v>
      </c>
      <c r="D52" s="115">
        <f t="shared" si="1"/>
        <v>451</v>
      </c>
      <c r="E52" s="117" t="s">
        <v>19</v>
      </c>
      <c r="F52" s="115">
        <f t="shared" si="2"/>
        <v>459</v>
      </c>
      <c r="G52" s="117" t="s">
        <v>20</v>
      </c>
      <c r="H52" s="115">
        <f t="shared" si="3"/>
        <v>457</v>
      </c>
      <c r="I52" s="117" t="s">
        <v>20</v>
      </c>
      <c r="J52" s="160">
        <v>100206</v>
      </c>
      <c r="K52" s="115">
        <v>18</v>
      </c>
      <c r="L52" s="115" t="s">
        <v>21</v>
      </c>
      <c r="M52" s="161"/>
      <c r="N52" s="115">
        <v>40003</v>
      </c>
      <c r="O52" s="115" t="s">
        <v>31</v>
      </c>
      <c r="P52" s="115">
        <v>1006</v>
      </c>
      <c r="Q52" s="115" t="s">
        <v>32</v>
      </c>
      <c r="R52" s="161" t="s">
        <v>33</v>
      </c>
    </row>
    <row r="53" spans="1:18" s="140" customFormat="1" ht="55.5">
      <c r="A53" s="115">
        <f t="shared" si="0"/>
        <v>112004</v>
      </c>
      <c r="B53" s="115">
        <v>4</v>
      </c>
      <c r="C53" s="75" t="s">
        <v>34</v>
      </c>
      <c r="D53" s="115">
        <f t="shared" si="1"/>
        <v>460</v>
      </c>
      <c r="E53" s="117" t="s">
        <v>19</v>
      </c>
      <c r="F53" s="115">
        <f t="shared" si="2"/>
        <v>468</v>
      </c>
      <c r="G53" s="117" t="s">
        <v>20</v>
      </c>
      <c r="H53" s="115">
        <f t="shared" si="3"/>
        <v>466</v>
      </c>
      <c r="I53" s="117" t="s">
        <v>20</v>
      </c>
      <c r="J53" s="160">
        <v>100207</v>
      </c>
      <c r="K53" s="115">
        <v>18</v>
      </c>
      <c r="L53" s="115" t="s">
        <v>21</v>
      </c>
      <c r="M53" s="161"/>
      <c r="N53" s="115">
        <v>40004</v>
      </c>
      <c r="O53" s="115" t="s">
        <v>35</v>
      </c>
      <c r="P53" s="115">
        <v>1007</v>
      </c>
      <c r="Q53" s="115" t="s">
        <v>36</v>
      </c>
      <c r="R53" s="161" t="s">
        <v>37</v>
      </c>
    </row>
    <row r="54" spans="1:18" s="157" customFormat="1" ht="55.5">
      <c r="A54" s="158">
        <f t="shared" si="0"/>
        <v>113001</v>
      </c>
      <c r="B54" s="158">
        <v>1</v>
      </c>
      <c r="C54" s="75" t="s">
        <v>18</v>
      </c>
      <c r="D54" s="158">
        <f t="shared" si="1"/>
        <v>469</v>
      </c>
      <c r="E54" s="159" t="s">
        <v>19</v>
      </c>
      <c r="F54" s="158">
        <f t="shared" si="2"/>
        <v>477</v>
      </c>
      <c r="G54" s="159" t="s">
        <v>20</v>
      </c>
      <c r="H54" s="158">
        <f t="shared" si="3"/>
        <v>475</v>
      </c>
      <c r="I54" s="159" t="s">
        <v>20</v>
      </c>
      <c r="J54" s="162">
        <v>100201</v>
      </c>
      <c r="K54" s="158">
        <v>18</v>
      </c>
      <c r="L54" s="158" t="s">
        <v>21</v>
      </c>
      <c r="M54" s="161" t="s">
        <v>22</v>
      </c>
      <c r="N54" s="158">
        <v>40001</v>
      </c>
      <c r="O54" s="158" t="s">
        <v>23</v>
      </c>
      <c r="P54" s="158">
        <v>1001</v>
      </c>
      <c r="Q54" s="158" t="s">
        <v>24</v>
      </c>
      <c r="R54" s="161" t="s">
        <v>25</v>
      </c>
    </row>
    <row r="55" spans="1:18" s="157" customFormat="1" ht="55.5">
      <c r="A55" s="158">
        <f t="shared" si="0"/>
        <v>113002</v>
      </c>
      <c r="B55" s="158">
        <v>2</v>
      </c>
      <c r="C55" s="75" t="s">
        <v>26</v>
      </c>
      <c r="D55" s="158">
        <f t="shared" si="1"/>
        <v>478</v>
      </c>
      <c r="E55" s="159" t="s">
        <v>19</v>
      </c>
      <c r="F55" s="158">
        <f t="shared" si="2"/>
        <v>486</v>
      </c>
      <c r="G55" s="159" t="s">
        <v>20</v>
      </c>
      <c r="H55" s="158">
        <f t="shared" si="3"/>
        <v>484</v>
      </c>
      <c r="I55" s="159" t="s">
        <v>20</v>
      </c>
      <c r="J55" s="162">
        <v>100205</v>
      </c>
      <c r="K55" s="158">
        <v>18</v>
      </c>
      <c r="L55" s="158" t="s">
        <v>21</v>
      </c>
      <c r="M55" s="161"/>
      <c r="N55" s="158">
        <v>40002</v>
      </c>
      <c r="O55" s="158" t="s">
        <v>27</v>
      </c>
      <c r="P55" s="158">
        <v>1005</v>
      </c>
      <c r="Q55" s="158" t="s">
        <v>28</v>
      </c>
      <c r="R55" s="161" t="s">
        <v>29</v>
      </c>
    </row>
    <row r="56" spans="1:18" s="157" customFormat="1" ht="55.5">
      <c r="A56" s="158">
        <f t="shared" si="0"/>
        <v>113003</v>
      </c>
      <c r="B56" s="158">
        <v>3</v>
      </c>
      <c r="C56" s="75" t="s">
        <v>30</v>
      </c>
      <c r="D56" s="158">
        <f t="shared" si="1"/>
        <v>487</v>
      </c>
      <c r="E56" s="159" t="s">
        <v>19</v>
      </c>
      <c r="F56" s="158">
        <f t="shared" si="2"/>
        <v>495</v>
      </c>
      <c r="G56" s="159" t="s">
        <v>20</v>
      </c>
      <c r="H56" s="158">
        <f t="shared" si="3"/>
        <v>493</v>
      </c>
      <c r="I56" s="159" t="s">
        <v>20</v>
      </c>
      <c r="J56" s="162">
        <v>100206</v>
      </c>
      <c r="K56" s="158">
        <v>18</v>
      </c>
      <c r="L56" s="158" t="s">
        <v>21</v>
      </c>
      <c r="M56" s="161"/>
      <c r="N56" s="158">
        <v>40003</v>
      </c>
      <c r="O56" s="158" t="s">
        <v>31</v>
      </c>
      <c r="P56" s="158">
        <v>1006</v>
      </c>
      <c r="Q56" s="158" t="s">
        <v>32</v>
      </c>
      <c r="R56" s="161" t="s">
        <v>33</v>
      </c>
    </row>
    <row r="57" spans="1:18" s="157" customFormat="1" ht="55.5">
      <c r="A57" s="158">
        <f t="shared" si="0"/>
        <v>113004</v>
      </c>
      <c r="B57" s="158">
        <v>4</v>
      </c>
      <c r="C57" s="75" t="s">
        <v>34</v>
      </c>
      <c r="D57" s="158">
        <f t="shared" si="1"/>
        <v>496</v>
      </c>
      <c r="E57" s="159" t="s">
        <v>19</v>
      </c>
      <c r="F57" s="158">
        <f t="shared" si="2"/>
        <v>504</v>
      </c>
      <c r="G57" s="159" t="s">
        <v>20</v>
      </c>
      <c r="H57" s="158">
        <f t="shared" si="3"/>
        <v>502</v>
      </c>
      <c r="I57" s="159" t="s">
        <v>20</v>
      </c>
      <c r="J57" s="162">
        <v>100207</v>
      </c>
      <c r="K57" s="158">
        <v>18</v>
      </c>
      <c r="L57" s="158" t="s">
        <v>21</v>
      </c>
      <c r="M57" s="161"/>
      <c r="N57" s="158">
        <v>40004</v>
      </c>
      <c r="O57" s="158" t="s">
        <v>35</v>
      </c>
      <c r="P57" s="158">
        <v>1007</v>
      </c>
      <c r="Q57" s="158" t="s">
        <v>36</v>
      </c>
      <c r="R57" s="161" t="s">
        <v>37</v>
      </c>
    </row>
    <row r="58" spans="1:18" s="140" customFormat="1" ht="55.5">
      <c r="A58" s="115">
        <f t="shared" si="0"/>
        <v>114001</v>
      </c>
      <c r="B58" s="115">
        <v>1</v>
      </c>
      <c r="C58" s="75" t="s">
        <v>18</v>
      </c>
      <c r="D58" s="115">
        <f t="shared" si="1"/>
        <v>505</v>
      </c>
      <c r="E58" s="117" t="s">
        <v>19</v>
      </c>
      <c r="F58" s="115">
        <f t="shared" si="2"/>
        <v>513</v>
      </c>
      <c r="G58" s="117" t="s">
        <v>20</v>
      </c>
      <c r="H58" s="115">
        <f t="shared" si="3"/>
        <v>511</v>
      </c>
      <c r="I58" s="117" t="s">
        <v>20</v>
      </c>
      <c r="J58" s="160">
        <v>100201</v>
      </c>
      <c r="K58" s="115">
        <v>18</v>
      </c>
      <c r="L58" s="115" t="s">
        <v>21</v>
      </c>
      <c r="M58" s="161" t="s">
        <v>22</v>
      </c>
      <c r="N58" s="115">
        <v>40001</v>
      </c>
      <c r="O58" s="115" t="s">
        <v>23</v>
      </c>
      <c r="P58" s="115">
        <v>1001</v>
      </c>
      <c r="Q58" s="115" t="s">
        <v>24</v>
      </c>
      <c r="R58" s="161" t="s">
        <v>25</v>
      </c>
    </row>
    <row r="59" spans="1:18" s="140" customFormat="1" ht="55.5">
      <c r="A59" s="115">
        <f t="shared" si="0"/>
        <v>114002</v>
      </c>
      <c r="B59" s="115">
        <v>2</v>
      </c>
      <c r="C59" s="75" t="s">
        <v>26</v>
      </c>
      <c r="D59" s="115">
        <f t="shared" si="1"/>
        <v>514</v>
      </c>
      <c r="E59" s="117" t="s">
        <v>19</v>
      </c>
      <c r="F59" s="115">
        <f t="shared" si="2"/>
        <v>522</v>
      </c>
      <c r="G59" s="117" t="s">
        <v>20</v>
      </c>
      <c r="H59" s="115">
        <f t="shared" si="3"/>
        <v>520</v>
      </c>
      <c r="I59" s="117" t="s">
        <v>20</v>
      </c>
      <c r="J59" s="160">
        <v>100205</v>
      </c>
      <c r="K59" s="115">
        <v>18</v>
      </c>
      <c r="L59" s="115" t="s">
        <v>21</v>
      </c>
      <c r="M59" s="161"/>
      <c r="N59" s="115">
        <v>40002</v>
      </c>
      <c r="O59" s="115" t="s">
        <v>27</v>
      </c>
      <c r="P59" s="115">
        <v>1005</v>
      </c>
      <c r="Q59" s="115" t="s">
        <v>28</v>
      </c>
      <c r="R59" s="161" t="s">
        <v>29</v>
      </c>
    </row>
    <row r="60" spans="1:18" s="140" customFormat="1" ht="55.5">
      <c r="A60" s="115">
        <f t="shared" si="0"/>
        <v>114003</v>
      </c>
      <c r="B60" s="115">
        <v>3</v>
      </c>
      <c r="C60" s="75" t="s">
        <v>30</v>
      </c>
      <c r="D60" s="115">
        <f t="shared" si="1"/>
        <v>523</v>
      </c>
      <c r="E60" s="117" t="s">
        <v>19</v>
      </c>
      <c r="F60" s="115">
        <f t="shared" si="2"/>
        <v>531</v>
      </c>
      <c r="G60" s="117" t="s">
        <v>20</v>
      </c>
      <c r="H60" s="115">
        <f t="shared" si="3"/>
        <v>529</v>
      </c>
      <c r="I60" s="117" t="s">
        <v>20</v>
      </c>
      <c r="J60" s="160">
        <v>100206</v>
      </c>
      <c r="K60" s="115">
        <v>18</v>
      </c>
      <c r="L60" s="115" t="s">
        <v>21</v>
      </c>
      <c r="M60" s="161"/>
      <c r="N60" s="115">
        <v>40003</v>
      </c>
      <c r="O60" s="115" t="s">
        <v>31</v>
      </c>
      <c r="P60" s="115">
        <v>1006</v>
      </c>
      <c r="Q60" s="115" t="s">
        <v>32</v>
      </c>
      <c r="R60" s="161" t="s">
        <v>33</v>
      </c>
    </row>
    <row r="61" spans="1:18" s="140" customFormat="1" ht="55.5">
      <c r="A61" s="115">
        <f t="shared" si="0"/>
        <v>114004</v>
      </c>
      <c r="B61" s="115">
        <v>4</v>
      </c>
      <c r="C61" s="75" t="s">
        <v>34</v>
      </c>
      <c r="D61" s="115">
        <f t="shared" si="1"/>
        <v>532</v>
      </c>
      <c r="E61" s="117" t="s">
        <v>19</v>
      </c>
      <c r="F61" s="115">
        <f t="shared" si="2"/>
        <v>540</v>
      </c>
      <c r="G61" s="117" t="s">
        <v>20</v>
      </c>
      <c r="H61" s="115">
        <f t="shared" si="3"/>
        <v>538</v>
      </c>
      <c r="I61" s="117" t="s">
        <v>20</v>
      </c>
      <c r="J61" s="160">
        <v>100207</v>
      </c>
      <c r="K61" s="115">
        <v>18</v>
      </c>
      <c r="L61" s="115" t="s">
        <v>21</v>
      </c>
      <c r="M61" s="161"/>
      <c r="N61" s="115">
        <v>40004</v>
      </c>
      <c r="O61" s="115" t="s">
        <v>35</v>
      </c>
      <c r="P61" s="115">
        <v>1007</v>
      </c>
      <c r="Q61" s="115" t="s">
        <v>36</v>
      </c>
      <c r="R61" s="161" t="s">
        <v>37</v>
      </c>
    </row>
    <row r="62" spans="1:18" s="157" customFormat="1" ht="55.5">
      <c r="A62" s="158">
        <f t="shared" si="0"/>
        <v>115001</v>
      </c>
      <c r="B62" s="158">
        <v>1</v>
      </c>
      <c r="C62" s="75" t="s">
        <v>18</v>
      </c>
      <c r="D62" s="158">
        <f t="shared" si="1"/>
        <v>541</v>
      </c>
      <c r="E62" s="159" t="s">
        <v>19</v>
      </c>
      <c r="F62" s="158">
        <f t="shared" si="2"/>
        <v>549</v>
      </c>
      <c r="G62" s="159" t="s">
        <v>20</v>
      </c>
      <c r="H62" s="158">
        <f t="shared" si="3"/>
        <v>547</v>
      </c>
      <c r="I62" s="159" t="s">
        <v>20</v>
      </c>
      <c r="J62" s="162">
        <v>100201</v>
      </c>
      <c r="K62" s="158">
        <v>18</v>
      </c>
      <c r="L62" s="158" t="s">
        <v>21</v>
      </c>
      <c r="M62" s="161" t="s">
        <v>22</v>
      </c>
      <c r="N62" s="158">
        <v>40001</v>
      </c>
      <c r="O62" s="158" t="s">
        <v>23</v>
      </c>
      <c r="P62" s="158">
        <v>1001</v>
      </c>
      <c r="Q62" s="158" t="s">
        <v>24</v>
      </c>
      <c r="R62" s="161" t="s">
        <v>25</v>
      </c>
    </row>
    <row r="63" spans="1:18" s="157" customFormat="1" ht="55.5">
      <c r="A63" s="158">
        <f t="shared" si="0"/>
        <v>115002</v>
      </c>
      <c r="B63" s="158">
        <v>2</v>
      </c>
      <c r="C63" s="75" t="s">
        <v>26</v>
      </c>
      <c r="D63" s="158">
        <f t="shared" si="1"/>
        <v>550</v>
      </c>
      <c r="E63" s="159" t="s">
        <v>19</v>
      </c>
      <c r="F63" s="158">
        <f t="shared" si="2"/>
        <v>558</v>
      </c>
      <c r="G63" s="159" t="s">
        <v>20</v>
      </c>
      <c r="H63" s="158">
        <f t="shared" si="3"/>
        <v>556</v>
      </c>
      <c r="I63" s="159" t="s">
        <v>20</v>
      </c>
      <c r="J63" s="162">
        <v>100205</v>
      </c>
      <c r="K63" s="158">
        <v>18</v>
      </c>
      <c r="L63" s="158" t="s">
        <v>21</v>
      </c>
      <c r="M63" s="161"/>
      <c r="N63" s="158">
        <v>40002</v>
      </c>
      <c r="O63" s="158" t="s">
        <v>27</v>
      </c>
      <c r="P63" s="158">
        <v>1005</v>
      </c>
      <c r="Q63" s="158" t="s">
        <v>28</v>
      </c>
      <c r="R63" s="161" t="s">
        <v>29</v>
      </c>
    </row>
    <row r="64" spans="1:18" s="157" customFormat="1" ht="55.5">
      <c r="A64" s="158">
        <f t="shared" si="0"/>
        <v>115003</v>
      </c>
      <c r="B64" s="158">
        <v>3</v>
      </c>
      <c r="C64" s="75" t="s">
        <v>30</v>
      </c>
      <c r="D64" s="158">
        <f t="shared" si="1"/>
        <v>559</v>
      </c>
      <c r="E64" s="159" t="s">
        <v>19</v>
      </c>
      <c r="F64" s="158">
        <f t="shared" si="2"/>
        <v>567</v>
      </c>
      <c r="G64" s="159" t="s">
        <v>20</v>
      </c>
      <c r="H64" s="158">
        <f t="shared" si="3"/>
        <v>565</v>
      </c>
      <c r="I64" s="159" t="s">
        <v>20</v>
      </c>
      <c r="J64" s="162">
        <v>100206</v>
      </c>
      <c r="K64" s="158">
        <v>18</v>
      </c>
      <c r="L64" s="158" t="s">
        <v>21</v>
      </c>
      <c r="M64" s="161"/>
      <c r="N64" s="158">
        <v>40003</v>
      </c>
      <c r="O64" s="158" t="s">
        <v>31</v>
      </c>
      <c r="P64" s="158">
        <v>1006</v>
      </c>
      <c r="Q64" s="158" t="s">
        <v>32</v>
      </c>
      <c r="R64" s="161" t="s">
        <v>33</v>
      </c>
    </row>
    <row r="65" spans="1:18" s="157" customFormat="1" ht="55.5">
      <c r="A65" s="158">
        <f t="shared" si="0"/>
        <v>115004</v>
      </c>
      <c r="B65" s="158">
        <v>4</v>
      </c>
      <c r="C65" s="75" t="s">
        <v>34</v>
      </c>
      <c r="D65" s="158">
        <f t="shared" si="1"/>
        <v>568</v>
      </c>
      <c r="E65" s="159" t="s">
        <v>19</v>
      </c>
      <c r="F65" s="158">
        <f t="shared" si="2"/>
        <v>576</v>
      </c>
      <c r="G65" s="159" t="s">
        <v>20</v>
      </c>
      <c r="H65" s="158">
        <f t="shared" si="3"/>
        <v>574</v>
      </c>
      <c r="I65" s="159" t="s">
        <v>20</v>
      </c>
      <c r="J65" s="162">
        <v>100207</v>
      </c>
      <c r="K65" s="158">
        <v>18</v>
      </c>
      <c r="L65" s="158" t="s">
        <v>21</v>
      </c>
      <c r="M65" s="161"/>
      <c r="N65" s="158">
        <v>40004</v>
      </c>
      <c r="O65" s="158" t="s">
        <v>35</v>
      </c>
      <c r="P65" s="158">
        <v>1007</v>
      </c>
      <c r="Q65" s="158" t="s">
        <v>36</v>
      </c>
      <c r="R65" s="161" t="s">
        <v>37</v>
      </c>
    </row>
    <row r="66" spans="1:18" s="140" customFormat="1" ht="55.5">
      <c r="A66" s="115">
        <f t="shared" si="0"/>
        <v>116001</v>
      </c>
      <c r="B66" s="115">
        <v>1</v>
      </c>
      <c r="C66" s="75" t="s">
        <v>18</v>
      </c>
      <c r="D66" s="115">
        <f t="shared" si="1"/>
        <v>577</v>
      </c>
      <c r="E66" s="117" t="s">
        <v>19</v>
      </c>
      <c r="F66" s="115">
        <f t="shared" si="2"/>
        <v>585</v>
      </c>
      <c r="G66" s="117" t="s">
        <v>20</v>
      </c>
      <c r="H66" s="115">
        <f t="shared" si="3"/>
        <v>583</v>
      </c>
      <c r="I66" s="117" t="s">
        <v>20</v>
      </c>
      <c r="J66" s="160">
        <v>100201</v>
      </c>
      <c r="K66" s="115">
        <v>18</v>
      </c>
      <c r="L66" s="115" t="s">
        <v>21</v>
      </c>
      <c r="M66" s="161" t="s">
        <v>22</v>
      </c>
      <c r="N66" s="115">
        <v>40001</v>
      </c>
      <c r="O66" s="115" t="s">
        <v>23</v>
      </c>
      <c r="P66" s="115">
        <v>1001</v>
      </c>
      <c r="Q66" s="115" t="s">
        <v>24</v>
      </c>
      <c r="R66" s="161" t="s">
        <v>25</v>
      </c>
    </row>
    <row r="67" spans="1:18" s="140" customFormat="1" ht="55.5">
      <c r="A67" s="115">
        <f t="shared" si="0"/>
        <v>116002</v>
      </c>
      <c r="B67" s="115">
        <v>2</v>
      </c>
      <c r="C67" s="75" t="s">
        <v>26</v>
      </c>
      <c r="D67" s="115">
        <f t="shared" si="1"/>
        <v>586</v>
      </c>
      <c r="E67" s="117" t="s">
        <v>19</v>
      </c>
      <c r="F67" s="115">
        <f t="shared" si="2"/>
        <v>594</v>
      </c>
      <c r="G67" s="117" t="s">
        <v>20</v>
      </c>
      <c r="H67" s="115">
        <f t="shared" si="3"/>
        <v>592</v>
      </c>
      <c r="I67" s="117" t="s">
        <v>20</v>
      </c>
      <c r="J67" s="160">
        <v>100205</v>
      </c>
      <c r="K67" s="115">
        <v>18</v>
      </c>
      <c r="L67" s="115" t="s">
        <v>21</v>
      </c>
      <c r="M67" s="161"/>
      <c r="N67" s="115">
        <v>40002</v>
      </c>
      <c r="O67" s="115" t="s">
        <v>27</v>
      </c>
      <c r="P67" s="115">
        <v>1005</v>
      </c>
      <c r="Q67" s="115" t="s">
        <v>28</v>
      </c>
      <c r="R67" s="161" t="s">
        <v>29</v>
      </c>
    </row>
    <row r="68" spans="1:18" s="140" customFormat="1" ht="55.5">
      <c r="A68" s="115">
        <f t="shared" si="0"/>
        <v>116003</v>
      </c>
      <c r="B68" s="115">
        <v>3</v>
      </c>
      <c r="C68" s="75" t="s">
        <v>30</v>
      </c>
      <c r="D68" s="115">
        <f t="shared" si="1"/>
        <v>595</v>
      </c>
      <c r="E68" s="117" t="s">
        <v>19</v>
      </c>
      <c r="F68" s="115">
        <f t="shared" si="2"/>
        <v>603</v>
      </c>
      <c r="G68" s="117" t="s">
        <v>20</v>
      </c>
      <c r="H68" s="115">
        <f t="shared" si="3"/>
        <v>601</v>
      </c>
      <c r="I68" s="117" t="s">
        <v>20</v>
      </c>
      <c r="J68" s="160">
        <v>100206</v>
      </c>
      <c r="K68" s="115">
        <v>18</v>
      </c>
      <c r="L68" s="115" t="s">
        <v>21</v>
      </c>
      <c r="M68" s="161"/>
      <c r="N68" s="115">
        <v>40003</v>
      </c>
      <c r="O68" s="115" t="s">
        <v>31</v>
      </c>
      <c r="P68" s="115">
        <v>1006</v>
      </c>
      <c r="Q68" s="115" t="s">
        <v>32</v>
      </c>
      <c r="R68" s="161" t="s">
        <v>33</v>
      </c>
    </row>
    <row r="69" spans="1:18" s="140" customFormat="1" ht="55.5">
      <c r="A69" s="115">
        <f t="shared" si="0"/>
        <v>116004</v>
      </c>
      <c r="B69" s="115">
        <v>4</v>
      </c>
      <c r="C69" s="75" t="s">
        <v>34</v>
      </c>
      <c r="D69" s="115">
        <f t="shared" si="1"/>
        <v>604</v>
      </c>
      <c r="E69" s="117" t="s">
        <v>19</v>
      </c>
      <c r="F69" s="115">
        <f t="shared" si="2"/>
        <v>612</v>
      </c>
      <c r="G69" s="117" t="s">
        <v>20</v>
      </c>
      <c r="H69" s="115">
        <f t="shared" si="3"/>
        <v>610</v>
      </c>
      <c r="I69" s="117" t="s">
        <v>20</v>
      </c>
      <c r="J69" s="160">
        <v>100207</v>
      </c>
      <c r="K69" s="115">
        <v>18</v>
      </c>
      <c r="L69" s="115" t="s">
        <v>21</v>
      </c>
      <c r="M69" s="161"/>
      <c r="N69" s="115">
        <v>40004</v>
      </c>
      <c r="O69" s="115" t="s">
        <v>35</v>
      </c>
      <c r="P69" s="115">
        <v>1007</v>
      </c>
      <c r="Q69" s="115" t="s">
        <v>36</v>
      </c>
      <c r="R69" s="161" t="s">
        <v>37</v>
      </c>
    </row>
    <row r="70" spans="1:18" s="157" customFormat="1" ht="55.5">
      <c r="A70" s="158">
        <f t="shared" si="0"/>
        <v>117001</v>
      </c>
      <c r="B70" s="158">
        <v>1</v>
      </c>
      <c r="C70" s="75" t="s">
        <v>18</v>
      </c>
      <c r="D70" s="158">
        <f t="shared" si="1"/>
        <v>613</v>
      </c>
      <c r="E70" s="159" t="s">
        <v>19</v>
      </c>
      <c r="F70" s="158">
        <f t="shared" si="2"/>
        <v>621</v>
      </c>
      <c r="G70" s="159" t="s">
        <v>20</v>
      </c>
      <c r="H70" s="158">
        <f t="shared" si="3"/>
        <v>619</v>
      </c>
      <c r="I70" s="159" t="s">
        <v>20</v>
      </c>
      <c r="J70" s="162">
        <v>100201</v>
      </c>
      <c r="K70" s="158">
        <v>18</v>
      </c>
      <c r="L70" s="158" t="s">
        <v>21</v>
      </c>
      <c r="M70" s="161" t="s">
        <v>22</v>
      </c>
      <c r="N70" s="158">
        <v>40001</v>
      </c>
      <c r="O70" s="158" t="s">
        <v>23</v>
      </c>
      <c r="P70" s="158">
        <v>1001</v>
      </c>
      <c r="Q70" s="158" t="s">
        <v>24</v>
      </c>
      <c r="R70" s="161" t="s">
        <v>25</v>
      </c>
    </row>
    <row r="71" spans="1:18" s="157" customFormat="1" ht="55.5">
      <c r="A71" s="158">
        <f t="shared" ref="A71:A113" si="4">A67+1000</f>
        <v>117002</v>
      </c>
      <c r="B71" s="158">
        <v>2</v>
      </c>
      <c r="C71" s="75" t="s">
        <v>26</v>
      </c>
      <c r="D71" s="158">
        <f t="shared" ref="D71:D113" si="5">D70+9</f>
        <v>622</v>
      </c>
      <c r="E71" s="159" t="s">
        <v>19</v>
      </c>
      <c r="F71" s="158">
        <f t="shared" ref="F71:F113" si="6">F70+9</f>
        <v>630</v>
      </c>
      <c r="G71" s="159" t="s">
        <v>20</v>
      </c>
      <c r="H71" s="158">
        <f t="shared" ref="H71:H113" si="7">H70+9</f>
        <v>628</v>
      </c>
      <c r="I71" s="159" t="s">
        <v>20</v>
      </c>
      <c r="J71" s="162">
        <v>100205</v>
      </c>
      <c r="K71" s="158">
        <v>18</v>
      </c>
      <c r="L71" s="158" t="s">
        <v>21</v>
      </c>
      <c r="M71" s="161"/>
      <c r="N71" s="158">
        <v>40002</v>
      </c>
      <c r="O71" s="158" t="s">
        <v>27</v>
      </c>
      <c r="P71" s="158">
        <v>1005</v>
      </c>
      <c r="Q71" s="158" t="s">
        <v>28</v>
      </c>
      <c r="R71" s="161" t="s">
        <v>29</v>
      </c>
    </row>
    <row r="72" spans="1:18" s="157" customFormat="1" ht="55.5">
      <c r="A72" s="158">
        <f t="shared" si="4"/>
        <v>117003</v>
      </c>
      <c r="B72" s="158">
        <v>3</v>
      </c>
      <c r="C72" s="75" t="s">
        <v>30</v>
      </c>
      <c r="D72" s="158">
        <f t="shared" si="5"/>
        <v>631</v>
      </c>
      <c r="E72" s="159" t="s">
        <v>19</v>
      </c>
      <c r="F72" s="158">
        <f t="shared" si="6"/>
        <v>639</v>
      </c>
      <c r="G72" s="159" t="s">
        <v>20</v>
      </c>
      <c r="H72" s="158">
        <f t="shared" si="7"/>
        <v>637</v>
      </c>
      <c r="I72" s="159" t="s">
        <v>20</v>
      </c>
      <c r="J72" s="162">
        <v>100206</v>
      </c>
      <c r="K72" s="158">
        <v>18</v>
      </c>
      <c r="L72" s="158" t="s">
        <v>21</v>
      </c>
      <c r="M72" s="161"/>
      <c r="N72" s="158">
        <v>40003</v>
      </c>
      <c r="O72" s="158" t="s">
        <v>31</v>
      </c>
      <c r="P72" s="158">
        <v>1006</v>
      </c>
      <c r="Q72" s="158" t="s">
        <v>32</v>
      </c>
      <c r="R72" s="161" t="s">
        <v>33</v>
      </c>
    </row>
    <row r="73" spans="1:18" s="157" customFormat="1" ht="55.5">
      <c r="A73" s="158">
        <f t="shared" si="4"/>
        <v>117004</v>
      </c>
      <c r="B73" s="158">
        <v>4</v>
      </c>
      <c r="C73" s="75" t="s">
        <v>34</v>
      </c>
      <c r="D73" s="158">
        <f t="shared" si="5"/>
        <v>640</v>
      </c>
      <c r="E73" s="159" t="s">
        <v>19</v>
      </c>
      <c r="F73" s="158">
        <f t="shared" si="6"/>
        <v>648</v>
      </c>
      <c r="G73" s="159" t="s">
        <v>20</v>
      </c>
      <c r="H73" s="158">
        <f t="shared" si="7"/>
        <v>646</v>
      </c>
      <c r="I73" s="159" t="s">
        <v>20</v>
      </c>
      <c r="J73" s="162">
        <v>100207</v>
      </c>
      <c r="K73" s="158">
        <v>18</v>
      </c>
      <c r="L73" s="158" t="s">
        <v>21</v>
      </c>
      <c r="M73" s="161"/>
      <c r="N73" s="158">
        <v>40004</v>
      </c>
      <c r="O73" s="158" t="s">
        <v>35</v>
      </c>
      <c r="P73" s="158">
        <v>1007</v>
      </c>
      <c r="Q73" s="158" t="s">
        <v>36</v>
      </c>
      <c r="R73" s="161" t="s">
        <v>37</v>
      </c>
    </row>
    <row r="74" spans="1:18" s="140" customFormat="1" ht="55.5">
      <c r="A74" s="115">
        <f t="shared" si="4"/>
        <v>118001</v>
      </c>
      <c r="B74" s="115">
        <v>1</v>
      </c>
      <c r="C74" s="75" t="s">
        <v>18</v>
      </c>
      <c r="D74" s="115">
        <f t="shared" si="5"/>
        <v>649</v>
      </c>
      <c r="E74" s="117" t="s">
        <v>19</v>
      </c>
      <c r="F74" s="115">
        <f t="shared" si="6"/>
        <v>657</v>
      </c>
      <c r="G74" s="117" t="s">
        <v>20</v>
      </c>
      <c r="H74" s="115">
        <f t="shared" si="7"/>
        <v>655</v>
      </c>
      <c r="I74" s="117" t="s">
        <v>20</v>
      </c>
      <c r="J74" s="160">
        <v>100201</v>
      </c>
      <c r="K74" s="115">
        <v>18</v>
      </c>
      <c r="L74" s="115" t="s">
        <v>21</v>
      </c>
      <c r="M74" s="161" t="s">
        <v>22</v>
      </c>
      <c r="N74" s="115">
        <v>40001</v>
      </c>
      <c r="O74" s="115" t="s">
        <v>23</v>
      </c>
      <c r="P74" s="115">
        <v>1001</v>
      </c>
      <c r="Q74" s="115" t="s">
        <v>24</v>
      </c>
      <c r="R74" s="161" t="s">
        <v>25</v>
      </c>
    </row>
    <row r="75" spans="1:18" s="140" customFormat="1" ht="55.5">
      <c r="A75" s="115">
        <f t="shared" si="4"/>
        <v>118002</v>
      </c>
      <c r="B75" s="115">
        <v>2</v>
      </c>
      <c r="C75" s="75" t="s">
        <v>26</v>
      </c>
      <c r="D75" s="115">
        <f t="shared" si="5"/>
        <v>658</v>
      </c>
      <c r="E75" s="117" t="s">
        <v>19</v>
      </c>
      <c r="F75" s="115">
        <f t="shared" si="6"/>
        <v>666</v>
      </c>
      <c r="G75" s="117" t="s">
        <v>20</v>
      </c>
      <c r="H75" s="115">
        <f t="shared" si="7"/>
        <v>664</v>
      </c>
      <c r="I75" s="117" t="s">
        <v>20</v>
      </c>
      <c r="J75" s="160">
        <v>100205</v>
      </c>
      <c r="K75" s="115">
        <v>18</v>
      </c>
      <c r="L75" s="115" t="s">
        <v>21</v>
      </c>
      <c r="M75" s="161"/>
      <c r="N75" s="115">
        <v>40002</v>
      </c>
      <c r="O75" s="115" t="s">
        <v>27</v>
      </c>
      <c r="P75" s="115">
        <v>1005</v>
      </c>
      <c r="Q75" s="115" t="s">
        <v>28</v>
      </c>
      <c r="R75" s="161" t="s">
        <v>29</v>
      </c>
    </row>
    <row r="76" spans="1:18" s="140" customFormat="1" ht="55.5">
      <c r="A76" s="115">
        <f t="shared" si="4"/>
        <v>118003</v>
      </c>
      <c r="B76" s="115">
        <v>3</v>
      </c>
      <c r="C76" s="75" t="s">
        <v>30</v>
      </c>
      <c r="D76" s="115">
        <f t="shared" si="5"/>
        <v>667</v>
      </c>
      <c r="E76" s="117" t="s">
        <v>19</v>
      </c>
      <c r="F76" s="115">
        <f t="shared" si="6"/>
        <v>675</v>
      </c>
      <c r="G76" s="117" t="s">
        <v>20</v>
      </c>
      <c r="H76" s="115">
        <f t="shared" si="7"/>
        <v>673</v>
      </c>
      <c r="I76" s="117" t="s">
        <v>20</v>
      </c>
      <c r="J76" s="160">
        <v>100206</v>
      </c>
      <c r="K76" s="115">
        <v>18</v>
      </c>
      <c r="L76" s="115" t="s">
        <v>21</v>
      </c>
      <c r="M76" s="161"/>
      <c r="N76" s="115">
        <v>40003</v>
      </c>
      <c r="O76" s="115" t="s">
        <v>31</v>
      </c>
      <c r="P76" s="115">
        <v>1006</v>
      </c>
      <c r="Q76" s="115" t="s">
        <v>32</v>
      </c>
      <c r="R76" s="161" t="s">
        <v>33</v>
      </c>
    </row>
    <row r="77" spans="1:18" s="140" customFormat="1" ht="18.95" customHeight="1">
      <c r="A77" s="115">
        <f t="shared" si="4"/>
        <v>118004</v>
      </c>
      <c r="B77" s="115">
        <v>4</v>
      </c>
      <c r="C77" s="75" t="s">
        <v>34</v>
      </c>
      <c r="D77" s="115">
        <f t="shared" si="5"/>
        <v>676</v>
      </c>
      <c r="E77" s="117" t="s">
        <v>19</v>
      </c>
      <c r="F77" s="115">
        <f t="shared" si="6"/>
        <v>684</v>
      </c>
      <c r="G77" s="117" t="s">
        <v>20</v>
      </c>
      <c r="H77" s="115">
        <f t="shared" si="7"/>
        <v>682</v>
      </c>
      <c r="I77" s="117" t="s">
        <v>20</v>
      </c>
      <c r="J77" s="160">
        <v>100207</v>
      </c>
      <c r="K77" s="115">
        <v>18</v>
      </c>
      <c r="L77" s="115" t="s">
        <v>21</v>
      </c>
      <c r="M77" s="161"/>
      <c r="N77" s="115">
        <v>40004</v>
      </c>
      <c r="O77" s="115" t="s">
        <v>35</v>
      </c>
      <c r="P77" s="115">
        <v>1007</v>
      </c>
      <c r="Q77" s="115" t="s">
        <v>36</v>
      </c>
      <c r="R77" s="161" t="s">
        <v>37</v>
      </c>
    </row>
    <row r="78" spans="1:18" s="157" customFormat="1" ht="55.5">
      <c r="A78" s="158">
        <f t="shared" si="4"/>
        <v>119001</v>
      </c>
      <c r="B78" s="158">
        <v>1</v>
      </c>
      <c r="C78" s="75" t="s">
        <v>18</v>
      </c>
      <c r="D78" s="158">
        <f t="shared" si="5"/>
        <v>685</v>
      </c>
      <c r="E78" s="159" t="s">
        <v>19</v>
      </c>
      <c r="F78" s="158">
        <f t="shared" si="6"/>
        <v>693</v>
      </c>
      <c r="G78" s="159" t="s">
        <v>20</v>
      </c>
      <c r="H78" s="158">
        <f t="shared" si="7"/>
        <v>691</v>
      </c>
      <c r="I78" s="159" t="s">
        <v>20</v>
      </c>
      <c r="J78" s="162">
        <v>100201</v>
      </c>
      <c r="K78" s="158">
        <v>18</v>
      </c>
      <c r="L78" s="158" t="s">
        <v>21</v>
      </c>
      <c r="M78" s="161" t="s">
        <v>22</v>
      </c>
      <c r="N78" s="158">
        <v>40001</v>
      </c>
      <c r="O78" s="158" t="s">
        <v>23</v>
      </c>
      <c r="P78" s="158">
        <v>1001</v>
      </c>
      <c r="Q78" s="158" t="s">
        <v>24</v>
      </c>
      <c r="R78" s="161" t="s">
        <v>25</v>
      </c>
    </row>
    <row r="79" spans="1:18" s="157" customFormat="1" ht="55.5">
      <c r="A79" s="158">
        <f t="shared" si="4"/>
        <v>119002</v>
      </c>
      <c r="B79" s="158">
        <v>2</v>
      </c>
      <c r="C79" s="75" t="s">
        <v>26</v>
      </c>
      <c r="D79" s="158">
        <f t="shared" si="5"/>
        <v>694</v>
      </c>
      <c r="E79" s="159" t="s">
        <v>19</v>
      </c>
      <c r="F79" s="158">
        <f t="shared" si="6"/>
        <v>702</v>
      </c>
      <c r="G79" s="159" t="s">
        <v>20</v>
      </c>
      <c r="H79" s="158">
        <f t="shared" si="7"/>
        <v>700</v>
      </c>
      <c r="I79" s="159" t="s">
        <v>20</v>
      </c>
      <c r="J79" s="162">
        <v>100205</v>
      </c>
      <c r="K79" s="158">
        <v>18</v>
      </c>
      <c r="L79" s="158" t="s">
        <v>21</v>
      </c>
      <c r="M79" s="161"/>
      <c r="N79" s="158">
        <v>40002</v>
      </c>
      <c r="O79" s="158" t="s">
        <v>27</v>
      </c>
      <c r="P79" s="158">
        <v>1005</v>
      </c>
      <c r="Q79" s="158" t="s">
        <v>28</v>
      </c>
      <c r="R79" s="161" t="s">
        <v>29</v>
      </c>
    </row>
    <row r="80" spans="1:18" s="157" customFormat="1" ht="55.5">
      <c r="A80" s="158">
        <f t="shared" si="4"/>
        <v>119003</v>
      </c>
      <c r="B80" s="158">
        <v>3</v>
      </c>
      <c r="C80" s="75" t="s">
        <v>30</v>
      </c>
      <c r="D80" s="158">
        <f t="shared" si="5"/>
        <v>703</v>
      </c>
      <c r="E80" s="159" t="s">
        <v>19</v>
      </c>
      <c r="F80" s="158">
        <f t="shared" si="6"/>
        <v>711</v>
      </c>
      <c r="G80" s="159" t="s">
        <v>20</v>
      </c>
      <c r="H80" s="158">
        <f t="shared" si="7"/>
        <v>709</v>
      </c>
      <c r="I80" s="159" t="s">
        <v>20</v>
      </c>
      <c r="J80" s="162">
        <v>100206</v>
      </c>
      <c r="K80" s="158">
        <v>18</v>
      </c>
      <c r="L80" s="158" t="s">
        <v>21</v>
      </c>
      <c r="M80" s="161"/>
      <c r="N80" s="158">
        <v>40003</v>
      </c>
      <c r="O80" s="158" t="s">
        <v>31</v>
      </c>
      <c r="P80" s="158">
        <v>1006</v>
      </c>
      <c r="Q80" s="158" t="s">
        <v>32</v>
      </c>
      <c r="R80" s="161" t="s">
        <v>33</v>
      </c>
    </row>
    <row r="81" spans="1:18" s="157" customFormat="1" ht="55.5">
      <c r="A81" s="158">
        <f t="shared" si="4"/>
        <v>119004</v>
      </c>
      <c r="B81" s="158">
        <v>4</v>
      </c>
      <c r="C81" s="75" t="s">
        <v>34</v>
      </c>
      <c r="D81" s="158">
        <f t="shared" si="5"/>
        <v>712</v>
      </c>
      <c r="E81" s="159" t="s">
        <v>19</v>
      </c>
      <c r="F81" s="158">
        <f t="shared" si="6"/>
        <v>720</v>
      </c>
      <c r="G81" s="159" t="s">
        <v>20</v>
      </c>
      <c r="H81" s="158">
        <f t="shared" si="7"/>
        <v>718</v>
      </c>
      <c r="I81" s="159" t="s">
        <v>20</v>
      </c>
      <c r="J81" s="162">
        <v>100207</v>
      </c>
      <c r="K81" s="158">
        <v>18</v>
      </c>
      <c r="L81" s="158" t="s">
        <v>21</v>
      </c>
      <c r="M81" s="161"/>
      <c r="N81" s="158">
        <v>40004</v>
      </c>
      <c r="O81" s="158" t="s">
        <v>35</v>
      </c>
      <c r="P81" s="158">
        <v>1007</v>
      </c>
      <c r="Q81" s="158" t="s">
        <v>36</v>
      </c>
      <c r="R81" s="161" t="s">
        <v>37</v>
      </c>
    </row>
    <row r="82" spans="1:18" s="157" customFormat="1" ht="55.5">
      <c r="A82" s="158">
        <f t="shared" si="4"/>
        <v>120001</v>
      </c>
      <c r="B82" s="158">
        <v>1</v>
      </c>
      <c r="C82" s="75" t="s">
        <v>18</v>
      </c>
      <c r="D82" s="158">
        <f t="shared" si="5"/>
        <v>721</v>
      </c>
      <c r="E82" s="159" t="s">
        <v>19</v>
      </c>
      <c r="F82" s="158">
        <f t="shared" si="6"/>
        <v>729</v>
      </c>
      <c r="G82" s="159" t="s">
        <v>20</v>
      </c>
      <c r="H82" s="158">
        <f t="shared" si="7"/>
        <v>727</v>
      </c>
      <c r="I82" s="159" t="s">
        <v>20</v>
      </c>
      <c r="J82" s="162">
        <v>100201</v>
      </c>
      <c r="K82" s="158">
        <v>18</v>
      </c>
      <c r="L82" s="158" t="s">
        <v>21</v>
      </c>
      <c r="M82" s="161" t="s">
        <v>22</v>
      </c>
      <c r="N82" s="158">
        <v>40001</v>
      </c>
      <c r="O82" s="158" t="s">
        <v>23</v>
      </c>
      <c r="P82" s="158">
        <v>1001</v>
      </c>
      <c r="Q82" s="158" t="s">
        <v>24</v>
      </c>
      <c r="R82" s="161" t="s">
        <v>25</v>
      </c>
    </row>
    <row r="83" spans="1:18" s="157" customFormat="1" ht="55.5">
      <c r="A83" s="158">
        <f t="shared" si="4"/>
        <v>120002</v>
      </c>
      <c r="B83" s="158">
        <v>2</v>
      </c>
      <c r="C83" s="75" t="s">
        <v>26</v>
      </c>
      <c r="D83" s="158">
        <f t="shared" si="5"/>
        <v>730</v>
      </c>
      <c r="E83" s="159" t="s">
        <v>19</v>
      </c>
      <c r="F83" s="158">
        <f t="shared" si="6"/>
        <v>738</v>
      </c>
      <c r="G83" s="159" t="s">
        <v>20</v>
      </c>
      <c r="H83" s="158">
        <f t="shared" si="7"/>
        <v>736</v>
      </c>
      <c r="I83" s="159" t="s">
        <v>20</v>
      </c>
      <c r="J83" s="162">
        <v>100205</v>
      </c>
      <c r="K83" s="158">
        <v>18</v>
      </c>
      <c r="L83" s="158" t="s">
        <v>21</v>
      </c>
      <c r="M83" s="161"/>
      <c r="N83" s="158">
        <v>40002</v>
      </c>
      <c r="O83" s="158" t="s">
        <v>27</v>
      </c>
      <c r="P83" s="158">
        <v>1005</v>
      </c>
      <c r="Q83" s="158" t="s">
        <v>28</v>
      </c>
      <c r="R83" s="161" t="s">
        <v>29</v>
      </c>
    </row>
    <row r="84" spans="1:18" s="157" customFormat="1" ht="55.5">
      <c r="A84" s="158">
        <f t="shared" si="4"/>
        <v>120003</v>
      </c>
      <c r="B84" s="158">
        <v>3</v>
      </c>
      <c r="C84" s="75" t="s">
        <v>30</v>
      </c>
      <c r="D84" s="158">
        <f t="shared" si="5"/>
        <v>739</v>
      </c>
      <c r="E84" s="159" t="s">
        <v>19</v>
      </c>
      <c r="F84" s="158">
        <f t="shared" si="6"/>
        <v>747</v>
      </c>
      <c r="G84" s="159" t="s">
        <v>20</v>
      </c>
      <c r="H84" s="158">
        <f t="shared" si="7"/>
        <v>745</v>
      </c>
      <c r="I84" s="159" t="s">
        <v>20</v>
      </c>
      <c r="J84" s="162">
        <v>100206</v>
      </c>
      <c r="K84" s="158">
        <v>18</v>
      </c>
      <c r="L84" s="158" t="s">
        <v>21</v>
      </c>
      <c r="M84" s="161"/>
      <c r="N84" s="158">
        <v>40003</v>
      </c>
      <c r="O84" s="158" t="s">
        <v>31</v>
      </c>
      <c r="P84" s="158">
        <v>1006</v>
      </c>
      <c r="Q84" s="158" t="s">
        <v>32</v>
      </c>
      <c r="R84" s="161" t="s">
        <v>33</v>
      </c>
    </row>
    <row r="85" spans="1:18" s="157" customFormat="1" ht="55.5">
      <c r="A85" s="158">
        <f t="shared" si="4"/>
        <v>120004</v>
      </c>
      <c r="B85" s="158">
        <v>4</v>
      </c>
      <c r="C85" s="75" t="s">
        <v>34</v>
      </c>
      <c r="D85" s="158">
        <f t="shared" si="5"/>
        <v>748</v>
      </c>
      <c r="E85" s="159" t="s">
        <v>19</v>
      </c>
      <c r="F85" s="158">
        <f t="shared" si="6"/>
        <v>756</v>
      </c>
      <c r="G85" s="159" t="s">
        <v>20</v>
      </c>
      <c r="H85" s="158">
        <f t="shared" si="7"/>
        <v>754</v>
      </c>
      <c r="I85" s="159" t="s">
        <v>20</v>
      </c>
      <c r="J85" s="162">
        <v>100207</v>
      </c>
      <c r="K85" s="158">
        <v>18</v>
      </c>
      <c r="L85" s="158" t="s">
        <v>21</v>
      </c>
      <c r="M85" s="161"/>
      <c r="N85" s="158">
        <v>40004</v>
      </c>
      <c r="O85" s="158" t="s">
        <v>35</v>
      </c>
      <c r="P85" s="158">
        <v>1007</v>
      </c>
      <c r="Q85" s="158" t="s">
        <v>36</v>
      </c>
      <c r="R85" s="161" t="s">
        <v>37</v>
      </c>
    </row>
    <row r="86" spans="1:18" s="157" customFormat="1" ht="55.5">
      <c r="A86" s="158">
        <f t="shared" si="4"/>
        <v>121001</v>
      </c>
      <c r="B86" s="158">
        <v>1</v>
      </c>
      <c r="C86" s="75" t="s">
        <v>18</v>
      </c>
      <c r="D86" s="158">
        <f t="shared" si="5"/>
        <v>757</v>
      </c>
      <c r="E86" s="159" t="s">
        <v>19</v>
      </c>
      <c r="F86" s="158">
        <f t="shared" si="6"/>
        <v>765</v>
      </c>
      <c r="G86" s="159" t="s">
        <v>20</v>
      </c>
      <c r="H86" s="158">
        <f t="shared" si="7"/>
        <v>763</v>
      </c>
      <c r="I86" s="159" t="s">
        <v>20</v>
      </c>
      <c r="J86" s="162">
        <v>100201</v>
      </c>
      <c r="K86" s="158">
        <v>18</v>
      </c>
      <c r="L86" s="158" t="s">
        <v>21</v>
      </c>
      <c r="M86" s="161" t="s">
        <v>22</v>
      </c>
      <c r="N86" s="158">
        <v>40001</v>
      </c>
      <c r="O86" s="158" t="s">
        <v>23</v>
      </c>
      <c r="P86" s="158">
        <v>1001</v>
      </c>
      <c r="Q86" s="158" t="s">
        <v>24</v>
      </c>
      <c r="R86" s="161" t="s">
        <v>25</v>
      </c>
    </row>
    <row r="87" spans="1:18" s="157" customFormat="1" ht="55.5">
      <c r="A87" s="158">
        <f t="shared" si="4"/>
        <v>121002</v>
      </c>
      <c r="B87" s="158">
        <v>2</v>
      </c>
      <c r="C87" s="75" t="s">
        <v>26</v>
      </c>
      <c r="D87" s="158">
        <f t="shared" si="5"/>
        <v>766</v>
      </c>
      <c r="E87" s="159" t="s">
        <v>19</v>
      </c>
      <c r="F87" s="158">
        <f t="shared" si="6"/>
        <v>774</v>
      </c>
      <c r="G87" s="159" t="s">
        <v>20</v>
      </c>
      <c r="H87" s="158">
        <f t="shared" si="7"/>
        <v>772</v>
      </c>
      <c r="I87" s="159" t="s">
        <v>20</v>
      </c>
      <c r="J87" s="162">
        <v>100205</v>
      </c>
      <c r="K87" s="158">
        <v>18</v>
      </c>
      <c r="L87" s="158" t="s">
        <v>21</v>
      </c>
      <c r="M87" s="161"/>
      <c r="N87" s="158">
        <v>40002</v>
      </c>
      <c r="O87" s="158" t="s">
        <v>27</v>
      </c>
      <c r="P87" s="158">
        <v>1005</v>
      </c>
      <c r="Q87" s="158" t="s">
        <v>28</v>
      </c>
      <c r="R87" s="161" t="s">
        <v>29</v>
      </c>
    </row>
    <row r="88" spans="1:18" s="157" customFormat="1" ht="55.5">
      <c r="A88" s="158">
        <f t="shared" si="4"/>
        <v>121003</v>
      </c>
      <c r="B88" s="158">
        <v>3</v>
      </c>
      <c r="C88" s="75" t="s">
        <v>30</v>
      </c>
      <c r="D88" s="158">
        <f t="shared" si="5"/>
        <v>775</v>
      </c>
      <c r="E88" s="159" t="s">
        <v>19</v>
      </c>
      <c r="F88" s="158">
        <f t="shared" si="6"/>
        <v>783</v>
      </c>
      <c r="G88" s="159" t="s">
        <v>20</v>
      </c>
      <c r="H88" s="158">
        <f t="shared" si="7"/>
        <v>781</v>
      </c>
      <c r="I88" s="159" t="s">
        <v>20</v>
      </c>
      <c r="J88" s="162">
        <v>100206</v>
      </c>
      <c r="K88" s="158">
        <v>18</v>
      </c>
      <c r="L88" s="158" t="s">
        <v>21</v>
      </c>
      <c r="M88" s="161"/>
      <c r="N88" s="158">
        <v>40003</v>
      </c>
      <c r="O88" s="158" t="s">
        <v>31</v>
      </c>
      <c r="P88" s="158">
        <v>1006</v>
      </c>
      <c r="Q88" s="158" t="s">
        <v>32</v>
      </c>
      <c r="R88" s="161" t="s">
        <v>33</v>
      </c>
    </row>
    <row r="89" spans="1:18" s="157" customFormat="1" ht="55.5">
      <c r="A89" s="158">
        <f t="shared" si="4"/>
        <v>121004</v>
      </c>
      <c r="B89" s="158">
        <v>4</v>
      </c>
      <c r="C89" s="75" t="s">
        <v>34</v>
      </c>
      <c r="D89" s="158">
        <f t="shared" si="5"/>
        <v>784</v>
      </c>
      <c r="E89" s="159" t="s">
        <v>19</v>
      </c>
      <c r="F89" s="158">
        <f t="shared" si="6"/>
        <v>792</v>
      </c>
      <c r="G89" s="159" t="s">
        <v>20</v>
      </c>
      <c r="H89" s="158">
        <f t="shared" si="7"/>
        <v>790</v>
      </c>
      <c r="I89" s="159" t="s">
        <v>20</v>
      </c>
      <c r="J89" s="162">
        <v>100207</v>
      </c>
      <c r="K89" s="158">
        <v>18</v>
      </c>
      <c r="L89" s="158" t="s">
        <v>21</v>
      </c>
      <c r="M89" s="161"/>
      <c r="N89" s="158">
        <v>40004</v>
      </c>
      <c r="O89" s="158" t="s">
        <v>35</v>
      </c>
      <c r="P89" s="158">
        <v>1007</v>
      </c>
      <c r="Q89" s="158" t="s">
        <v>36</v>
      </c>
      <c r="R89" s="161" t="s">
        <v>37</v>
      </c>
    </row>
    <row r="90" spans="1:18" s="157" customFormat="1" ht="55.5">
      <c r="A90" s="158">
        <f t="shared" si="4"/>
        <v>122001</v>
      </c>
      <c r="B90" s="158">
        <v>1</v>
      </c>
      <c r="C90" s="75" t="s">
        <v>18</v>
      </c>
      <c r="D90" s="158">
        <f t="shared" si="5"/>
        <v>793</v>
      </c>
      <c r="E90" s="159" t="s">
        <v>19</v>
      </c>
      <c r="F90" s="158">
        <f t="shared" si="6"/>
        <v>801</v>
      </c>
      <c r="G90" s="159" t="s">
        <v>20</v>
      </c>
      <c r="H90" s="158">
        <f t="shared" si="7"/>
        <v>799</v>
      </c>
      <c r="I90" s="159" t="s">
        <v>20</v>
      </c>
      <c r="J90" s="162">
        <v>100201</v>
      </c>
      <c r="K90" s="158">
        <v>18</v>
      </c>
      <c r="L90" s="158" t="s">
        <v>21</v>
      </c>
      <c r="M90" s="161" t="s">
        <v>22</v>
      </c>
      <c r="N90" s="158">
        <v>40001</v>
      </c>
      <c r="O90" s="158" t="s">
        <v>23</v>
      </c>
      <c r="P90" s="158">
        <v>1001</v>
      </c>
      <c r="Q90" s="158" t="s">
        <v>24</v>
      </c>
      <c r="R90" s="161" t="s">
        <v>25</v>
      </c>
    </row>
    <row r="91" spans="1:18" s="157" customFormat="1" ht="55.5">
      <c r="A91" s="158">
        <f t="shared" si="4"/>
        <v>122002</v>
      </c>
      <c r="B91" s="158">
        <v>2</v>
      </c>
      <c r="C91" s="75" t="s">
        <v>26</v>
      </c>
      <c r="D91" s="158">
        <f t="shared" si="5"/>
        <v>802</v>
      </c>
      <c r="E91" s="159" t="s">
        <v>19</v>
      </c>
      <c r="F91" s="158">
        <f t="shared" si="6"/>
        <v>810</v>
      </c>
      <c r="G91" s="159" t="s">
        <v>20</v>
      </c>
      <c r="H91" s="158">
        <f t="shared" si="7"/>
        <v>808</v>
      </c>
      <c r="I91" s="159" t="s">
        <v>20</v>
      </c>
      <c r="J91" s="162">
        <v>100205</v>
      </c>
      <c r="K91" s="158">
        <v>18</v>
      </c>
      <c r="L91" s="158" t="s">
        <v>21</v>
      </c>
      <c r="M91" s="161"/>
      <c r="N91" s="158">
        <v>40002</v>
      </c>
      <c r="O91" s="158" t="s">
        <v>27</v>
      </c>
      <c r="P91" s="158">
        <v>1005</v>
      </c>
      <c r="Q91" s="158" t="s">
        <v>28</v>
      </c>
      <c r="R91" s="161" t="s">
        <v>29</v>
      </c>
    </row>
    <row r="92" spans="1:18" s="157" customFormat="1" ht="55.5">
      <c r="A92" s="158">
        <f t="shared" si="4"/>
        <v>122003</v>
      </c>
      <c r="B92" s="158">
        <v>3</v>
      </c>
      <c r="C92" s="75" t="s">
        <v>30</v>
      </c>
      <c r="D92" s="158">
        <f t="shared" si="5"/>
        <v>811</v>
      </c>
      <c r="E92" s="159" t="s">
        <v>19</v>
      </c>
      <c r="F92" s="158">
        <f t="shared" si="6"/>
        <v>819</v>
      </c>
      <c r="G92" s="159" t="s">
        <v>20</v>
      </c>
      <c r="H92" s="158">
        <f t="shared" si="7"/>
        <v>817</v>
      </c>
      <c r="I92" s="159" t="s">
        <v>20</v>
      </c>
      <c r="J92" s="162">
        <v>100206</v>
      </c>
      <c r="K92" s="158">
        <v>18</v>
      </c>
      <c r="L92" s="158" t="s">
        <v>21</v>
      </c>
      <c r="M92" s="161"/>
      <c r="N92" s="158">
        <v>40003</v>
      </c>
      <c r="O92" s="158" t="s">
        <v>31</v>
      </c>
      <c r="P92" s="158">
        <v>1006</v>
      </c>
      <c r="Q92" s="158" t="s">
        <v>32</v>
      </c>
      <c r="R92" s="161" t="s">
        <v>33</v>
      </c>
    </row>
    <row r="93" spans="1:18" s="157" customFormat="1" ht="55.5">
      <c r="A93" s="158">
        <f t="shared" si="4"/>
        <v>122004</v>
      </c>
      <c r="B93" s="158">
        <v>4</v>
      </c>
      <c r="C93" s="75" t="s">
        <v>34</v>
      </c>
      <c r="D93" s="158">
        <f t="shared" si="5"/>
        <v>820</v>
      </c>
      <c r="E93" s="159" t="s">
        <v>19</v>
      </c>
      <c r="F93" s="158">
        <f t="shared" si="6"/>
        <v>828</v>
      </c>
      <c r="G93" s="159" t="s">
        <v>20</v>
      </c>
      <c r="H93" s="158">
        <f t="shared" si="7"/>
        <v>826</v>
      </c>
      <c r="I93" s="159" t="s">
        <v>20</v>
      </c>
      <c r="J93" s="162">
        <v>100207</v>
      </c>
      <c r="K93" s="158">
        <v>18</v>
      </c>
      <c r="L93" s="158" t="s">
        <v>21</v>
      </c>
      <c r="M93" s="161"/>
      <c r="N93" s="158">
        <v>40004</v>
      </c>
      <c r="O93" s="158" t="s">
        <v>35</v>
      </c>
      <c r="P93" s="158">
        <v>1007</v>
      </c>
      <c r="Q93" s="158" t="s">
        <v>36</v>
      </c>
      <c r="R93" s="161" t="s">
        <v>37</v>
      </c>
    </row>
    <row r="94" spans="1:18" s="157" customFormat="1" ht="55.5">
      <c r="A94" s="158">
        <f t="shared" si="4"/>
        <v>123001</v>
      </c>
      <c r="B94" s="158">
        <v>1</v>
      </c>
      <c r="C94" s="75" t="s">
        <v>18</v>
      </c>
      <c r="D94" s="158">
        <f t="shared" si="5"/>
        <v>829</v>
      </c>
      <c r="E94" s="159" t="s">
        <v>19</v>
      </c>
      <c r="F94" s="158">
        <f t="shared" si="6"/>
        <v>837</v>
      </c>
      <c r="G94" s="159" t="s">
        <v>20</v>
      </c>
      <c r="H94" s="158">
        <f t="shared" si="7"/>
        <v>835</v>
      </c>
      <c r="I94" s="159" t="s">
        <v>20</v>
      </c>
      <c r="J94" s="162">
        <v>100201</v>
      </c>
      <c r="K94" s="158">
        <v>18</v>
      </c>
      <c r="L94" s="158" t="s">
        <v>21</v>
      </c>
      <c r="M94" s="161" t="s">
        <v>22</v>
      </c>
      <c r="N94" s="158">
        <v>40001</v>
      </c>
      <c r="O94" s="158" t="s">
        <v>23</v>
      </c>
      <c r="P94" s="158">
        <v>1001</v>
      </c>
      <c r="Q94" s="158" t="s">
        <v>24</v>
      </c>
      <c r="R94" s="161" t="s">
        <v>25</v>
      </c>
    </row>
    <row r="95" spans="1:18" s="157" customFormat="1" ht="55.5">
      <c r="A95" s="158">
        <f t="shared" si="4"/>
        <v>123002</v>
      </c>
      <c r="B95" s="158">
        <v>2</v>
      </c>
      <c r="C95" s="75" t="s">
        <v>26</v>
      </c>
      <c r="D95" s="158">
        <f t="shared" si="5"/>
        <v>838</v>
      </c>
      <c r="E95" s="159" t="s">
        <v>19</v>
      </c>
      <c r="F95" s="158">
        <f t="shared" si="6"/>
        <v>846</v>
      </c>
      <c r="G95" s="159" t="s">
        <v>20</v>
      </c>
      <c r="H95" s="158">
        <f t="shared" si="7"/>
        <v>844</v>
      </c>
      <c r="I95" s="159" t="s">
        <v>20</v>
      </c>
      <c r="J95" s="162">
        <v>100205</v>
      </c>
      <c r="K95" s="158">
        <v>18</v>
      </c>
      <c r="L95" s="158" t="s">
        <v>21</v>
      </c>
      <c r="M95" s="161"/>
      <c r="N95" s="158">
        <v>40002</v>
      </c>
      <c r="O95" s="158" t="s">
        <v>27</v>
      </c>
      <c r="P95" s="158">
        <v>1005</v>
      </c>
      <c r="Q95" s="158" t="s">
        <v>28</v>
      </c>
      <c r="R95" s="161" t="s">
        <v>29</v>
      </c>
    </row>
    <row r="96" spans="1:18" s="157" customFormat="1" ht="55.5">
      <c r="A96" s="158">
        <f t="shared" si="4"/>
        <v>123003</v>
      </c>
      <c r="B96" s="158">
        <v>3</v>
      </c>
      <c r="C96" s="75" t="s">
        <v>30</v>
      </c>
      <c r="D96" s="158">
        <f t="shared" si="5"/>
        <v>847</v>
      </c>
      <c r="E96" s="159" t="s">
        <v>19</v>
      </c>
      <c r="F96" s="158">
        <f t="shared" si="6"/>
        <v>855</v>
      </c>
      <c r="G96" s="159" t="s">
        <v>20</v>
      </c>
      <c r="H96" s="158">
        <f t="shared" si="7"/>
        <v>853</v>
      </c>
      <c r="I96" s="159" t="s">
        <v>20</v>
      </c>
      <c r="J96" s="162">
        <v>100206</v>
      </c>
      <c r="K96" s="158">
        <v>18</v>
      </c>
      <c r="L96" s="158" t="s">
        <v>21</v>
      </c>
      <c r="M96" s="161"/>
      <c r="N96" s="158">
        <v>40003</v>
      </c>
      <c r="O96" s="158" t="s">
        <v>31</v>
      </c>
      <c r="P96" s="158">
        <v>1006</v>
      </c>
      <c r="Q96" s="158" t="s">
        <v>32</v>
      </c>
      <c r="R96" s="161" t="s">
        <v>33</v>
      </c>
    </row>
    <row r="97" spans="1:18" s="157" customFormat="1" ht="55.5">
      <c r="A97" s="158">
        <f t="shared" si="4"/>
        <v>123004</v>
      </c>
      <c r="B97" s="158">
        <v>4</v>
      </c>
      <c r="C97" s="75" t="s">
        <v>34</v>
      </c>
      <c r="D97" s="158">
        <f t="shared" si="5"/>
        <v>856</v>
      </c>
      <c r="E97" s="159" t="s">
        <v>19</v>
      </c>
      <c r="F97" s="158">
        <f t="shared" si="6"/>
        <v>864</v>
      </c>
      <c r="G97" s="159" t="s">
        <v>20</v>
      </c>
      <c r="H97" s="158">
        <f t="shared" si="7"/>
        <v>862</v>
      </c>
      <c r="I97" s="159" t="s">
        <v>20</v>
      </c>
      <c r="J97" s="162">
        <v>100207</v>
      </c>
      <c r="K97" s="158">
        <v>18</v>
      </c>
      <c r="L97" s="158" t="s">
        <v>21</v>
      </c>
      <c r="M97" s="161"/>
      <c r="N97" s="158">
        <v>40004</v>
      </c>
      <c r="O97" s="158" t="s">
        <v>35</v>
      </c>
      <c r="P97" s="158">
        <v>1007</v>
      </c>
      <c r="Q97" s="158" t="s">
        <v>36</v>
      </c>
      <c r="R97" s="161" t="s">
        <v>37</v>
      </c>
    </row>
    <row r="98" spans="1:18" s="157" customFormat="1" ht="55.5">
      <c r="A98" s="158">
        <f t="shared" si="4"/>
        <v>124001</v>
      </c>
      <c r="B98" s="158">
        <v>1</v>
      </c>
      <c r="C98" s="75" t="s">
        <v>18</v>
      </c>
      <c r="D98" s="158">
        <f t="shared" si="5"/>
        <v>865</v>
      </c>
      <c r="E98" s="159" t="s">
        <v>19</v>
      </c>
      <c r="F98" s="158">
        <f t="shared" si="6"/>
        <v>873</v>
      </c>
      <c r="G98" s="159" t="s">
        <v>20</v>
      </c>
      <c r="H98" s="158">
        <f t="shared" si="7"/>
        <v>871</v>
      </c>
      <c r="I98" s="159" t="s">
        <v>20</v>
      </c>
      <c r="J98" s="162">
        <v>100201</v>
      </c>
      <c r="K98" s="158">
        <v>18</v>
      </c>
      <c r="L98" s="158" t="s">
        <v>21</v>
      </c>
      <c r="M98" s="161" t="s">
        <v>22</v>
      </c>
      <c r="N98" s="158">
        <v>40001</v>
      </c>
      <c r="O98" s="158" t="s">
        <v>23</v>
      </c>
      <c r="P98" s="158">
        <v>1001</v>
      </c>
      <c r="Q98" s="158" t="s">
        <v>24</v>
      </c>
      <c r="R98" s="161" t="s">
        <v>25</v>
      </c>
    </row>
    <row r="99" spans="1:18" s="157" customFormat="1" ht="55.5">
      <c r="A99" s="158">
        <f t="shared" si="4"/>
        <v>124002</v>
      </c>
      <c r="B99" s="158">
        <v>2</v>
      </c>
      <c r="C99" s="75" t="s">
        <v>26</v>
      </c>
      <c r="D99" s="158">
        <f t="shared" si="5"/>
        <v>874</v>
      </c>
      <c r="E99" s="159" t="s">
        <v>19</v>
      </c>
      <c r="F99" s="158">
        <f t="shared" si="6"/>
        <v>882</v>
      </c>
      <c r="G99" s="159" t="s">
        <v>20</v>
      </c>
      <c r="H99" s="158">
        <f t="shared" si="7"/>
        <v>880</v>
      </c>
      <c r="I99" s="159" t="s">
        <v>20</v>
      </c>
      <c r="J99" s="162">
        <v>100205</v>
      </c>
      <c r="K99" s="158">
        <v>18</v>
      </c>
      <c r="L99" s="158" t="s">
        <v>21</v>
      </c>
      <c r="M99" s="161"/>
      <c r="N99" s="158">
        <v>40002</v>
      </c>
      <c r="O99" s="158" t="s">
        <v>27</v>
      </c>
      <c r="P99" s="158">
        <v>1005</v>
      </c>
      <c r="Q99" s="158" t="s">
        <v>28</v>
      </c>
      <c r="R99" s="161" t="s">
        <v>29</v>
      </c>
    </row>
    <row r="100" spans="1:18" s="157" customFormat="1" ht="55.5">
      <c r="A100" s="158">
        <f t="shared" si="4"/>
        <v>124003</v>
      </c>
      <c r="B100" s="158">
        <v>3</v>
      </c>
      <c r="C100" s="75" t="s">
        <v>30</v>
      </c>
      <c r="D100" s="158">
        <f t="shared" si="5"/>
        <v>883</v>
      </c>
      <c r="E100" s="159" t="s">
        <v>19</v>
      </c>
      <c r="F100" s="158">
        <f t="shared" si="6"/>
        <v>891</v>
      </c>
      <c r="G100" s="159" t="s">
        <v>20</v>
      </c>
      <c r="H100" s="158">
        <f t="shared" si="7"/>
        <v>889</v>
      </c>
      <c r="I100" s="159" t="s">
        <v>20</v>
      </c>
      <c r="J100" s="162">
        <v>100206</v>
      </c>
      <c r="K100" s="158">
        <v>18</v>
      </c>
      <c r="L100" s="158" t="s">
        <v>21</v>
      </c>
      <c r="M100" s="161"/>
      <c r="N100" s="158">
        <v>40003</v>
      </c>
      <c r="O100" s="158" t="s">
        <v>31</v>
      </c>
      <c r="P100" s="158">
        <v>1006</v>
      </c>
      <c r="Q100" s="158" t="s">
        <v>32</v>
      </c>
      <c r="R100" s="161" t="s">
        <v>33</v>
      </c>
    </row>
    <row r="101" spans="1:18" s="157" customFormat="1" ht="55.5">
      <c r="A101" s="158">
        <f t="shared" si="4"/>
        <v>124004</v>
      </c>
      <c r="B101" s="158">
        <v>4</v>
      </c>
      <c r="C101" s="75" t="s">
        <v>34</v>
      </c>
      <c r="D101" s="158">
        <f t="shared" si="5"/>
        <v>892</v>
      </c>
      <c r="E101" s="159" t="s">
        <v>19</v>
      </c>
      <c r="F101" s="158">
        <f t="shared" si="6"/>
        <v>900</v>
      </c>
      <c r="G101" s="159" t="s">
        <v>20</v>
      </c>
      <c r="H101" s="158">
        <f t="shared" si="7"/>
        <v>898</v>
      </c>
      <c r="I101" s="159" t="s">
        <v>20</v>
      </c>
      <c r="J101" s="162">
        <v>100207</v>
      </c>
      <c r="K101" s="158">
        <v>18</v>
      </c>
      <c r="L101" s="158" t="s">
        <v>21</v>
      </c>
      <c r="M101" s="161"/>
      <c r="N101" s="158">
        <v>40004</v>
      </c>
      <c r="O101" s="158" t="s">
        <v>35</v>
      </c>
      <c r="P101" s="158">
        <v>1007</v>
      </c>
      <c r="Q101" s="158" t="s">
        <v>36</v>
      </c>
      <c r="R101" s="161" t="s">
        <v>37</v>
      </c>
    </row>
    <row r="102" spans="1:18" s="157" customFormat="1" ht="55.5">
      <c r="A102" s="158">
        <f t="shared" si="4"/>
        <v>125001</v>
      </c>
      <c r="B102" s="158">
        <v>1</v>
      </c>
      <c r="C102" s="75" t="s">
        <v>18</v>
      </c>
      <c r="D102" s="158">
        <f t="shared" si="5"/>
        <v>901</v>
      </c>
      <c r="E102" s="159" t="s">
        <v>19</v>
      </c>
      <c r="F102" s="158">
        <f t="shared" si="6"/>
        <v>909</v>
      </c>
      <c r="G102" s="159" t="s">
        <v>20</v>
      </c>
      <c r="H102" s="158">
        <f t="shared" si="7"/>
        <v>907</v>
      </c>
      <c r="I102" s="159" t="s">
        <v>20</v>
      </c>
      <c r="J102" s="162">
        <v>100201</v>
      </c>
      <c r="K102" s="158">
        <v>18</v>
      </c>
      <c r="L102" s="158" t="s">
        <v>21</v>
      </c>
      <c r="M102" s="161" t="s">
        <v>22</v>
      </c>
      <c r="N102" s="158">
        <v>40001</v>
      </c>
      <c r="O102" s="158" t="s">
        <v>23</v>
      </c>
      <c r="P102" s="158">
        <v>1001</v>
      </c>
      <c r="Q102" s="158" t="s">
        <v>24</v>
      </c>
      <c r="R102" s="161" t="s">
        <v>25</v>
      </c>
    </row>
    <row r="103" spans="1:18" s="157" customFormat="1" ht="55.5">
      <c r="A103" s="158">
        <f t="shared" si="4"/>
        <v>125002</v>
      </c>
      <c r="B103" s="158">
        <v>2</v>
      </c>
      <c r="C103" s="75" t="s">
        <v>26</v>
      </c>
      <c r="D103" s="158">
        <f t="shared" si="5"/>
        <v>910</v>
      </c>
      <c r="E103" s="159" t="s">
        <v>19</v>
      </c>
      <c r="F103" s="158">
        <f t="shared" si="6"/>
        <v>918</v>
      </c>
      <c r="G103" s="159" t="s">
        <v>20</v>
      </c>
      <c r="H103" s="158">
        <f t="shared" si="7"/>
        <v>916</v>
      </c>
      <c r="I103" s="159" t="s">
        <v>20</v>
      </c>
      <c r="J103" s="162">
        <v>100205</v>
      </c>
      <c r="K103" s="158">
        <v>18</v>
      </c>
      <c r="L103" s="158" t="s">
        <v>21</v>
      </c>
      <c r="M103" s="161"/>
      <c r="N103" s="158">
        <v>40002</v>
      </c>
      <c r="O103" s="158" t="s">
        <v>27</v>
      </c>
      <c r="P103" s="158">
        <v>1005</v>
      </c>
      <c r="Q103" s="158" t="s">
        <v>28</v>
      </c>
      <c r="R103" s="161" t="s">
        <v>29</v>
      </c>
    </row>
    <row r="104" spans="1:18" s="157" customFormat="1" ht="55.5">
      <c r="A104" s="158">
        <f t="shared" si="4"/>
        <v>125003</v>
      </c>
      <c r="B104" s="158">
        <v>3</v>
      </c>
      <c r="C104" s="75" t="s">
        <v>30</v>
      </c>
      <c r="D104" s="158">
        <f t="shared" si="5"/>
        <v>919</v>
      </c>
      <c r="E104" s="159" t="s">
        <v>19</v>
      </c>
      <c r="F104" s="158">
        <f t="shared" si="6"/>
        <v>927</v>
      </c>
      <c r="G104" s="159" t="s">
        <v>20</v>
      </c>
      <c r="H104" s="158">
        <f t="shared" si="7"/>
        <v>925</v>
      </c>
      <c r="I104" s="159" t="s">
        <v>20</v>
      </c>
      <c r="J104" s="162">
        <v>100206</v>
      </c>
      <c r="K104" s="158">
        <v>18</v>
      </c>
      <c r="L104" s="158" t="s">
        <v>21</v>
      </c>
      <c r="M104" s="161"/>
      <c r="N104" s="158">
        <v>40003</v>
      </c>
      <c r="O104" s="158" t="s">
        <v>31</v>
      </c>
      <c r="P104" s="158">
        <v>1006</v>
      </c>
      <c r="Q104" s="158" t="s">
        <v>32</v>
      </c>
      <c r="R104" s="161" t="s">
        <v>33</v>
      </c>
    </row>
    <row r="105" spans="1:18" s="157" customFormat="1" ht="55.5">
      <c r="A105" s="158">
        <f t="shared" si="4"/>
        <v>125004</v>
      </c>
      <c r="B105" s="158">
        <v>4</v>
      </c>
      <c r="C105" s="75" t="s">
        <v>34</v>
      </c>
      <c r="D105" s="158">
        <f t="shared" si="5"/>
        <v>928</v>
      </c>
      <c r="E105" s="159" t="s">
        <v>19</v>
      </c>
      <c r="F105" s="158">
        <f t="shared" si="6"/>
        <v>936</v>
      </c>
      <c r="G105" s="159" t="s">
        <v>20</v>
      </c>
      <c r="H105" s="158">
        <f t="shared" si="7"/>
        <v>934</v>
      </c>
      <c r="I105" s="159" t="s">
        <v>20</v>
      </c>
      <c r="J105" s="162">
        <v>100207</v>
      </c>
      <c r="K105" s="158">
        <v>18</v>
      </c>
      <c r="L105" s="158" t="s">
        <v>21</v>
      </c>
      <c r="M105" s="161"/>
      <c r="N105" s="158">
        <v>40004</v>
      </c>
      <c r="O105" s="158" t="s">
        <v>35</v>
      </c>
      <c r="P105" s="158">
        <v>1007</v>
      </c>
      <c r="Q105" s="158" t="s">
        <v>36</v>
      </c>
      <c r="R105" s="161" t="s">
        <v>37</v>
      </c>
    </row>
    <row r="106" spans="1:18" s="157" customFormat="1" ht="55.5">
      <c r="A106" s="158">
        <f t="shared" si="4"/>
        <v>126001</v>
      </c>
      <c r="B106" s="158">
        <v>1</v>
      </c>
      <c r="C106" s="75" t="s">
        <v>18</v>
      </c>
      <c r="D106" s="158">
        <f t="shared" si="5"/>
        <v>937</v>
      </c>
      <c r="E106" s="159" t="s">
        <v>19</v>
      </c>
      <c r="F106" s="158">
        <f t="shared" si="6"/>
        <v>945</v>
      </c>
      <c r="G106" s="159" t="s">
        <v>20</v>
      </c>
      <c r="H106" s="158">
        <f t="shared" si="7"/>
        <v>943</v>
      </c>
      <c r="I106" s="159" t="s">
        <v>20</v>
      </c>
      <c r="J106" s="162">
        <v>100201</v>
      </c>
      <c r="K106" s="158">
        <v>18</v>
      </c>
      <c r="L106" s="158" t="s">
        <v>21</v>
      </c>
      <c r="M106" s="161" t="s">
        <v>22</v>
      </c>
      <c r="N106" s="158">
        <v>40001</v>
      </c>
      <c r="O106" s="158" t="s">
        <v>23</v>
      </c>
      <c r="P106" s="158">
        <v>1001</v>
      </c>
      <c r="Q106" s="158" t="s">
        <v>24</v>
      </c>
      <c r="R106" s="161" t="s">
        <v>25</v>
      </c>
    </row>
    <row r="107" spans="1:18" s="157" customFormat="1" ht="55.5">
      <c r="A107" s="158">
        <f t="shared" si="4"/>
        <v>126002</v>
      </c>
      <c r="B107" s="158">
        <v>2</v>
      </c>
      <c r="C107" s="75" t="s">
        <v>26</v>
      </c>
      <c r="D107" s="158">
        <f t="shared" si="5"/>
        <v>946</v>
      </c>
      <c r="E107" s="159" t="s">
        <v>19</v>
      </c>
      <c r="F107" s="158">
        <f t="shared" si="6"/>
        <v>954</v>
      </c>
      <c r="G107" s="159" t="s">
        <v>20</v>
      </c>
      <c r="H107" s="158">
        <f t="shared" si="7"/>
        <v>952</v>
      </c>
      <c r="I107" s="159" t="s">
        <v>20</v>
      </c>
      <c r="J107" s="162">
        <v>100205</v>
      </c>
      <c r="K107" s="158">
        <v>18</v>
      </c>
      <c r="L107" s="158" t="s">
        <v>21</v>
      </c>
      <c r="M107" s="161"/>
      <c r="N107" s="158">
        <v>40002</v>
      </c>
      <c r="O107" s="158" t="s">
        <v>27</v>
      </c>
      <c r="P107" s="158">
        <v>1005</v>
      </c>
      <c r="Q107" s="158" t="s">
        <v>28</v>
      </c>
      <c r="R107" s="161" t="s">
        <v>29</v>
      </c>
    </row>
    <row r="108" spans="1:18" s="157" customFormat="1" ht="55.5">
      <c r="A108" s="158">
        <f t="shared" si="4"/>
        <v>126003</v>
      </c>
      <c r="B108" s="158">
        <v>3</v>
      </c>
      <c r="C108" s="75" t="s">
        <v>30</v>
      </c>
      <c r="D108" s="158">
        <f t="shared" si="5"/>
        <v>955</v>
      </c>
      <c r="E108" s="159" t="s">
        <v>19</v>
      </c>
      <c r="F108" s="158">
        <f t="shared" si="6"/>
        <v>963</v>
      </c>
      <c r="G108" s="159" t="s">
        <v>20</v>
      </c>
      <c r="H108" s="158">
        <f t="shared" si="7"/>
        <v>961</v>
      </c>
      <c r="I108" s="159" t="s">
        <v>20</v>
      </c>
      <c r="J108" s="162">
        <v>100206</v>
      </c>
      <c r="K108" s="158">
        <v>18</v>
      </c>
      <c r="L108" s="158" t="s">
        <v>21</v>
      </c>
      <c r="M108" s="161"/>
      <c r="N108" s="158">
        <v>40003</v>
      </c>
      <c r="O108" s="158" t="s">
        <v>31</v>
      </c>
      <c r="P108" s="158">
        <v>1006</v>
      </c>
      <c r="Q108" s="158" t="s">
        <v>32</v>
      </c>
      <c r="R108" s="161" t="s">
        <v>33</v>
      </c>
    </row>
    <row r="109" spans="1:18" s="157" customFormat="1" ht="55.5">
      <c r="A109" s="158">
        <f t="shared" si="4"/>
        <v>126004</v>
      </c>
      <c r="B109" s="158">
        <v>4</v>
      </c>
      <c r="C109" s="75" t="s">
        <v>34</v>
      </c>
      <c r="D109" s="158">
        <f t="shared" si="5"/>
        <v>964</v>
      </c>
      <c r="E109" s="159" t="s">
        <v>19</v>
      </c>
      <c r="F109" s="158">
        <f t="shared" si="6"/>
        <v>972</v>
      </c>
      <c r="G109" s="159" t="s">
        <v>20</v>
      </c>
      <c r="H109" s="158">
        <f t="shared" si="7"/>
        <v>970</v>
      </c>
      <c r="I109" s="159" t="s">
        <v>20</v>
      </c>
      <c r="J109" s="162">
        <v>100207</v>
      </c>
      <c r="K109" s="158">
        <v>18</v>
      </c>
      <c r="L109" s="158" t="s">
        <v>21</v>
      </c>
      <c r="M109" s="161"/>
      <c r="N109" s="158">
        <v>40004</v>
      </c>
      <c r="O109" s="158" t="s">
        <v>35</v>
      </c>
      <c r="P109" s="158">
        <v>1007</v>
      </c>
      <c r="Q109" s="158" t="s">
        <v>36</v>
      </c>
      <c r="R109" s="161" t="s">
        <v>37</v>
      </c>
    </row>
    <row r="110" spans="1:18" s="157" customFormat="1" ht="55.5">
      <c r="A110" s="158">
        <f t="shared" si="4"/>
        <v>127001</v>
      </c>
      <c r="B110" s="158">
        <v>1</v>
      </c>
      <c r="C110" s="75" t="s">
        <v>18</v>
      </c>
      <c r="D110" s="158">
        <f t="shared" si="5"/>
        <v>973</v>
      </c>
      <c r="E110" s="159" t="s">
        <v>19</v>
      </c>
      <c r="F110" s="158">
        <f t="shared" si="6"/>
        <v>981</v>
      </c>
      <c r="G110" s="159" t="s">
        <v>20</v>
      </c>
      <c r="H110" s="158">
        <f t="shared" si="7"/>
        <v>979</v>
      </c>
      <c r="I110" s="159" t="s">
        <v>20</v>
      </c>
      <c r="J110" s="162">
        <v>100201</v>
      </c>
      <c r="K110" s="158">
        <v>18</v>
      </c>
      <c r="L110" s="158" t="s">
        <v>21</v>
      </c>
      <c r="M110" s="161" t="s">
        <v>22</v>
      </c>
      <c r="N110" s="158">
        <v>40001</v>
      </c>
      <c r="O110" s="158" t="s">
        <v>23</v>
      </c>
      <c r="P110" s="158">
        <v>1001</v>
      </c>
      <c r="Q110" s="158" t="s">
        <v>24</v>
      </c>
      <c r="R110" s="161" t="s">
        <v>25</v>
      </c>
    </row>
    <row r="111" spans="1:18" s="157" customFormat="1" ht="55.5">
      <c r="A111" s="158">
        <f t="shared" si="4"/>
        <v>127002</v>
      </c>
      <c r="B111" s="158">
        <v>2</v>
      </c>
      <c r="C111" s="75" t="s">
        <v>26</v>
      </c>
      <c r="D111" s="158">
        <f t="shared" si="5"/>
        <v>982</v>
      </c>
      <c r="E111" s="159" t="s">
        <v>19</v>
      </c>
      <c r="F111" s="158">
        <f t="shared" si="6"/>
        <v>990</v>
      </c>
      <c r="G111" s="159" t="s">
        <v>20</v>
      </c>
      <c r="H111" s="158">
        <f t="shared" si="7"/>
        <v>988</v>
      </c>
      <c r="I111" s="159" t="s">
        <v>20</v>
      </c>
      <c r="J111" s="162">
        <v>100205</v>
      </c>
      <c r="K111" s="158">
        <v>18</v>
      </c>
      <c r="L111" s="158" t="s">
        <v>21</v>
      </c>
      <c r="M111" s="161"/>
      <c r="N111" s="158">
        <v>40002</v>
      </c>
      <c r="O111" s="158" t="s">
        <v>27</v>
      </c>
      <c r="P111" s="158">
        <v>1005</v>
      </c>
      <c r="Q111" s="158" t="s">
        <v>28</v>
      </c>
      <c r="R111" s="161" t="s">
        <v>29</v>
      </c>
    </row>
    <row r="112" spans="1:18" s="157" customFormat="1" ht="55.5">
      <c r="A112" s="158">
        <f t="shared" si="4"/>
        <v>127003</v>
      </c>
      <c r="B112" s="158">
        <v>3</v>
      </c>
      <c r="C112" s="75" t="s">
        <v>30</v>
      </c>
      <c r="D112" s="158">
        <f t="shared" si="5"/>
        <v>991</v>
      </c>
      <c r="E112" s="159" t="s">
        <v>19</v>
      </c>
      <c r="F112" s="158">
        <f t="shared" si="6"/>
        <v>999</v>
      </c>
      <c r="G112" s="159" t="s">
        <v>20</v>
      </c>
      <c r="H112" s="158">
        <f t="shared" si="7"/>
        <v>997</v>
      </c>
      <c r="I112" s="159" t="s">
        <v>20</v>
      </c>
      <c r="J112" s="162">
        <v>100206</v>
      </c>
      <c r="K112" s="158">
        <v>18</v>
      </c>
      <c r="L112" s="158" t="s">
        <v>21</v>
      </c>
      <c r="M112" s="161"/>
      <c r="N112" s="158">
        <v>40003</v>
      </c>
      <c r="O112" s="158" t="s">
        <v>31</v>
      </c>
      <c r="P112" s="158">
        <v>1006</v>
      </c>
      <c r="Q112" s="158" t="s">
        <v>32</v>
      </c>
      <c r="R112" s="161" t="s">
        <v>33</v>
      </c>
    </row>
    <row r="113" spans="1:18" s="157" customFormat="1" ht="55.5">
      <c r="A113" s="158">
        <f t="shared" si="4"/>
        <v>127004</v>
      </c>
      <c r="B113" s="158">
        <v>4</v>
      </c>
      <c r="C113" s="75" t="s">
        <v>34</v>
      </c>
      <c r="D113" s="158">
        <f t="shared" si="5"/>
        <v>1000</v>
      </c>
      <c r="E113" s="159" t="s">
        <v>19</v>
      </c>
      <c r="F113" s="158">
        <f t="shared" si="6"/>
        <v>1008</v>
      </c>
      <c r="G113" s="159" t="s">
        <v>20</v>
      </c>
      <c r="H113" s="158">
        <f t="shared" si="7"/>
        <v>1006</v>
      </c>
      <c r="I113" s="159" t="s">
        <v>20</v>
      </c>
      <c r="J113" s="162">
        <v>100207</v>
      </c>
      <c r="K113" s="158">
        <v>18</v>
      </c>
      <c r="L113" s="158" t="s">
        <v>21</v>
      </c>
      <c r="M113"/>
      <c r="N113" s="158">
        <v>40004</v>
      </c>
      <c r="O113" s="158" t="s">
        <v>35</v>
      </c>
      <c r="P113" s="158">
        <v>1007</v>
      </c>
      <c r="Q113" s="158" t="s">
        <v>36</v>
      </c>
      <c r="R113" s="161" t="s">
        <v>37</v>
      </c>
    </row>
  </sheetData>
  <conditionalFormatting sqref="J2:J5">
    <cfRule type="duplicateValues" dxfId="665" priority="59"/>
  </conditionalFormatting>
  <conditionalFormatting sqref="J3:J5">
    <cfRule type="duplicateValues" dxfId="664" priority="60"/>
  </conditionalFormatting>
  <conditionalFormatting sqref="J6:J9">
    <cfRule type="duplicateValues" dxfId="663" priority="53"/>
  </conditionalFormatting>
  <conditionalFormatting sqref="J7:J9">
    <cfRule type="duplicateValues" dxfId="662" priority="54"/>
  </conditionalFormatting>
  <conditionalFormatting sqref="J10:J13">
    <cfRule type="duplicateValues" dxfId="661" priority="51"/>
  </conditionalFormatting>
  <conditionalFormatting sqref="J11:J13">
    <cfRule type="duplicateValues" dxfId="660" priority="52"/>
  </conditionalFormatting>
  <conditionalFormatting sqref="J14:J17">
    <cfRule type="duplicateValues" dxfId="659" priority="49"/>
  </conditionalFormatting>
  <conditionalFormatting sqref="J15:J17">
    <cfRule type="duplicateValues" dxfId="658" priority="50"/>
  </conditionalFormatting>
  <conditionalFormatting sqref="J18:J21">
    <cfRule type="duplicateValues" dxfId="657" priority="47"/>
  </conditionalFormatting>
  <conditionalFormatting sqref="J19:J21">
    <cfRule type="duplicateValues" dxfId="656" priority="48"/>
  </conditionalFormatting>
  <conditionalFormatting sqref="J22:J25">
    <cfRule type="duplicateValues" dxfId="655" priority="45"/>
  </conditionalFormatting>
  <conditionalFormatting sqref="J23:J25">
    <cfRule type="duplicateValues" dxfId="654" priority="46"/>
  </conditionalFormatting>
  <conditionalFormatting sqref="J26:J29">
    <cfRule type="duplicateValues" dxfId="653" priority="43"/>
  </conditionalFormatting>
  <conditionalFormatting sqref="J27:J29">
    <cfRule type="duplicateValues" dxfId="652" priority="44"/>
  </conditionalFormatting>
  <conditionalFormatting sqref="J30:J33">
    <cfRule type="duplicateValues" dxfId="651" priority="41"/>
  </conditionalFormatting>
  <conditionalFormatting sqref="J31:J33">
    <cfRule type="duplicateValues" dxfId="650" priority="42"/>
  </conditionalFormatting>
  <conditionalFormatting sqref="J34:J37">
    <cfRule type="duplicateValues" dxfId="649" priority="39"/>
  </conditionalFormatting>
  <conditionalFormatting sqref="J35:J37">
    <cfRule type="duplicateValues" dxfId="648" priority="40"/>
  </conditionalFormatting>
  <conditionalFormatting sqref="J38:J41">
    <cfRule type="duplicateValues" dxfId="647" priority="37"/>
  </conditionalFormatting>
  <conditionalFormatting sqref="J39:J41">
    <cfRule type="duplicateValues" dxfId="646" priority="38"/>
  </conditionalFormatting>
  <conditionalFormatting sqref="J42:J45">
    <cfRule type="duplicateValues" dxfId="645" priority="35"/>
  </conditionalFormatting>
  <conditionalFormatting sqref="J43:J45">
    <cfRule type="duplicateValues" dxfId="644" priority="36"/>
  </conditionalFormatting>
  <conditionalFormatting sqref="J46:J49">
    <cfRule type="duplicateValues" dxfId="643" priority="33"/>
  </conditionalFormatting>
  <conditionalFormatting sqref="J47:J49">
    <cfRule type="duplicateValues" dxfId="642" priority="34"/>
  </conditionalFormatting>
  <conditionalFormatting sqref="J50:J53">
    <cfRule type="duplicateValues" dxfId="641" priority="31"/>
  </conditionalFormatting>
  <conditionalFormatting sqref="J51:J53">
    <cfRule type="duplicateValues" dxfId="640" priority="32"/>
  </conditionalFormatting>
  <conditionalFormatting sqref="J54:J57">
    <cfRule type="duplicateValues" dxfId="639" priority="29"/>
  </conditionalFormatting>
  <conditionalFormatting sqref="J55:J57">
    <cfRule type="duplicateValues" dxfId="638" priority="30"/>
  </conditionalFormatting>
  <conditionalFormatting sqref="J58:J61">
    <cfRule type="duplicateValues" dxfId="637" priority="27"/>
  </conditionalFormatting>
  <conditionalFormatting sqref="J59:J61">
    <cfRule type="duplicateValues" dxfId="636" priority="28"/>
  </conditionalFormatting>
  <conditionalFormatting sqref="J62:J65">
    <cfRule type="duplicateValues" dxfId="635" priority="25"/>
  </conditionalFormatting>
  <conditionalFormatting sqref="J63:J65">
    <cfRule type="duplicateValues" dxfId="634" priority="26"/>
  </conditionalFormatting>
  <conditionalFormatting sqref="J66:J69">
    <cfRule type="duplicateValues" dxfId="633" priority="23"/>
  </conditionalFormatting>
  <conditionalFormatting sqref="J67:J69">
    <cfRule type="duplicateValues" dxfId="632" priority="24"/>
  </conditionalFormatting>
  <conditionalFormatting sqref="J70:J73">
    <cfRule type="duplicateValues" dxfId="631" priority="21"/>
  </conditionalFormatting>
  <conditionalFormatting sqref="J71:J73">
    <cfRule type="duplicateValues" dxfId="630" priority="22"/>
  </conditionalFormatting>
  <conditionalFormatting sqref="J74:J77">
    <cfRule type="duplicateValues" dxfId="629" priority="19"/>
  </conditionalFormatting>
  <conditionalFormatting sqref="J75:J77">
    <cfRule type="duplicateValues" dxfId="628" priority="20"/>
  </conditionalFormatting>
  <conditionalFormatting sqref="J78:J81">
    <cfRule type="duplicateValues" dxfId="627" priority="17"/>
  </conditionalFormatting>
  <conditionalFormatting sqref="J79:J81">
    <cfRule type="duplicateValues" dxfId="626" priority="18"/>
  </conditionalFormatting>
  <conditionalFormatting sqref="J82:J85">
    <cfRule type="duplicateValues" dxfId="625" priority="15"/>
  </conditionalFormatting>
  <conditionalFormatting sqref="J83:J85">
    <cfRule type="duplicateValues" dxfId="624" priority="16"/>
  </conditionalFormatting>
  <conditionalFormatting sqref="J86:J89">
    <cfRule type="duplicateValues" dxfId="623" priority="13"/>
  </conditionalFormatting>
  <conditionalFormatting sqref="J87:J89">
    <cfRule type="duplicateValues" dxfId="622" priority="14"/>
  </conditionalFormatting>
  <conditionalFormatting sqref="J90:J93">
    <cfRule type="duplicateValues" dxfId="621" priority="11"/>
  </conditionalFormatting>
  <conditionalFormatting sqref="J91:J93">
    <cfRule type="duplicateValues" dxfId="620" priority="12"/>
  </conditionalFormatting>
  <conditionalFormatting sqref="J94:J97">
    <cfRule type="duplicateValues" dxfId="619" priority="9"/>
  </conditionalFormatting>
  <conditionalFormatting sqref="J95:J97">
    <cfRule type="duplicateValues" dxfId="618" priority="10"/>
  </conditionalFormatting>
  <conditionalFormatting sqref="J98:J101">
    <cfRule type="duplicateValues" dxfId="617" priority="7"/>
  </conditionalFormatting>
  <conditionalFormatting sqref="J99:J101">
    <cfRule type="duplicateValues" dxfId="616" priority="8"/>
  </conditionalFormatting>
  <conditionalFormatting sqref="J102:J105">
    <cfRule type="duplicateValues" dxfId="615" priority="5"/>
  </conditionalFormatting>
  <conditionalFormatting sqref="J103:J105">
    <cfRule type="duplicateValues" dxfId="614" priority="6"/>
  </conditionalFormatting>
  <conditionalFormatting sqref="J106:J109">
    <cfRule type="duplicateValues" dxfId="613" priority="3"/>
  </conditionalFormatting>
  <conditionalFormatting sqref="J107:J109">
    <cfRule type="duplicateValues" dxfId="612" priority="4"/>
  </conditionalFormatting>
  <conditionalFormatting sqref="J110:J113">
    <cfRule type="duplicateValues" dxfId="611" priority="1"/>
  </conditionalFormatting>
  <conditionalFormatting sqref="J111:J113">
    <cfRule type="duplicateValues" dxfId="610" priority="2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5"/>
  <sheetViews>
    <sheetView topLeftCell="A31" workbookViewId="0">
      <selection activeCell="H59" sqref="H59"/>
    </sheetView>
  </sheetViews>
  <sheetFormatPr defaultColWidth="9" defaultRowHeight="16.5"/>
  <cols>
    <col min="3" max="3" width="15" customWidth="1"/>
    <col min="4" max="4" width="13.25" customWidth="1"/>
    <col min="5" max="5" width="12.75" customWidth="1"/>
    <col min="6" max="6" width="13.25" customWidth="1"/>
    <col min="7" max="7" width="12.5" style="109" customWidth="1"/>
  </cols>
  <sheetData>
    <row r="1" spans="1:8">
      <c r="A1" s="12" t="s">
        <v>38</v>
      </c>
      <c r="B1" s="12" t="s">
        <v>0</v>
      </c>
      <c r="C1" s="12" t="s">
        <v>39</v>
      </c>
      <c r="D1" s="12" t="s">
        <v>40</v>
      </c>
      <c r="E1" s="12" t="s">
        <v>41</v>
      </c>
      <c r="F1" s="12" t="s">
        <v>42</v>
      </c>
      <c r="G1" s="109" t="s">
        <v>43</v>
      </c>
      <c r="H1" s="12" t="s">
        <v>1</v>
      </c>
    </row>
    <row r="2" spans="1:8">
      <c r="A2" s="12">
        <v>100001</v>
      </c>
      <c r="B2" s="12">
        <v>100001</v>
      </c>
      <c r="C2" s="66" t="s">
        <v>44</v>
      </c>
      <c r="D2" s="12">
        <v>100</v>
      </c>
      <c r="E2" s="12">
        <v>1</v>
      </c>
      <c r="F2" s="12">
        <v>1</v>
      </c>
      <c r="G2" s="109" t="s">
        <v>45</v>
      </c>
      <c r="H2" s="12">
        <v>1</v>
      </c>
    </row>
    <row r="3" spans="1:8">
      <c r="A3" s="12">
        <v>100002</v>
      </c>
      <c r="B3" s="12">
        <v>100001</v>
      </c>
      <c r="C3" s="66" t="s">
        <v>46</v>
      </c>
      <c r="D3" s="12">
        <v>10</v>
      </c>
      <c r="E3" s="12">
        <v>4</v>
      </c>
      <c r="F3" s="12">
        <v>1</v>
      </c>
      <c r="G3" s="109" t="s">
        <v>47</v>
      </c>
      <c r="H3" s="12">
        <v>1</v>
      </c>
    </row>
    <row r="4" spans="1:8">
      <c r="A4" s="12">
        <v>100003</v>
      </c>
      <c r="B4" s="12">
        <v>100001</v>
      </c>
      <c r="C4" s="66" t="s">
        <v>48</v>
      </c>
      <c r="D4" s="12">
        <v>50</v>
      </c>
      <c r="E4" s="12">
        <v>1</v>
      </c>
      <c r="F4" s="12">
        <v>1</v>
      </c>
      <c r="G4" s="109" t="s">
        <v>49</v>
      </c>
      <c r="H4" s="12">
        <v>1</v>
      </c>
    </row>
    <row r="5" spans="1:8">
      <c r="A5" s="12">
        <v>100004</v>
      </c>
      <c r="B5" s="12">
        <v>100001</v>
      </c>
      <c r="C5" s="66" t="s">
        <v>50</v>
      </c>
      <c r="D5" s="12">
        <v>250</v>
      </c>
      <c r="E5" s="12">
        <v>1</v>
      </c>
      <c r="F5" s="12">
        <v>1</v>
      </c>
      <c r="G5" s="109" t="s">
        <v>51</v>
      </c>
      <c r="H5" s="12">
        <v>1</v>
      </c>
    </row>
    <row r="6" spans="1:8">
      <c r="A6" s="12">
        <v>100005</v>
      </c>
      <c r="B6" s="12">
        <v>100001</v>
      </c>
      <c r="C6" s="66" t="s">
        <v>52</v>
      </c>
      <c r="D6" s="12">
        <v>200</v>
      </c>
      <c r="E6" s="12">
        <v>1</v>
      </c>
      <c r="F6" s="12">
        <v>1</v>
      </c>
      <c r="G6" s="109" t="s">
        <v>53</v>
      </c>
      <c r="H6" s="12">
        <v>1</v>
      </c>
    </row>
    <row r="7" spans="1:8">
      <c r="A7" s="12">
        <v>100006</v>
      </c>
      <c r="B7" s="12">
        <v>100001</v>
      </c>
      <c r="C7" s="66" t="s">
        <v>46</v>
      </c>
      <c r="D7" s="12">
        <v>30</v>
      </c>
      <c r="E7" s="12">
        <v>10</v>
      </c>
      <c r="F7" s="12"/>
      <c r="G7" s="109" t="s">
        <v>47</v>
      </c>
      <c r="H7" s="12">
        <v>1</v>
      </c>
    </row>
    <row r="8" spans="1:8">
      <c r="A8" s="12">
        <v>100007</v>
      </c>
      <c r="B8" s="12">
        <v>100001</v>
      </c>
      <c r="C8" s="66" t="s">
        <v>54</v>
      </c>
      <c r="D8" s="12">
        <v>1</v>
      </c>
      <c r="E8" s="12">
        <v>99</v>
      </c>
      <c r="G8" s="109" t="s">
        <v>55</v>
      </c>
      <c r="H8" s="12">
        <v>1</v>
      </c>
    </row>
    <row r="9" spans="1:8">
      <c r="A9" s="12">
        <v>100008</v>
      </c>
      <c r="B9" s="12">
        <v>100001</v>
      </c>
      <c r="C9" s="66" t="s">
        <v>56</v>
      </c>
      <c r="D9" s="12">
        <v>15</v>
      </c>
      <c r="E9" s="12">
        <v>15</v>
      </c>
      <c r="G9" s="109" t="s">
        <v>57</v>
      </c>
      <c r="H9" s="12">
        <v>1</v>
      </c>
    </row>
    <row r="10" spans="1:8">
      <c r="A10" s="12">
        <v>100009</v>
      </c>
      <c r="B10" s="12">
        <v>100001</v>
      </c>
      <c r="C10" s="66" t="s">
        <v>58</v>
      </c>
      <c r="D10" s="12">
        <v>5</v>
      </c>
      <c r="E10" s="12">
        <v>25</v>
      </c>
      <c r="G10" s="109" t="s">
        <v>59</v>
      </c>
      <c r="H10" s="12">
        <v>1</v>
      </c>
    </row>
    <row r="11" spans="1:8">
      <c r="A11" s="12">
        <v>100010</v>
      </c>
      <c r="B11" s="12">
        <v>100001</v>
      </c>
      <c r="C11" s="66" t="s">
        <v>60</v>
      </c>
      <c r="D11" s="12">
        <v>1</v>
      </c>
      <c r="E11" s="12">
        <v>199</v>
      </c>
      <c r="G11" s="109" t="s">
        <v>61</v>
      </c>
      <c r="H11" s="12">
        <v>1</v>
      </c>
    </row>
    <row r="12" spans="1:8">
      <c r="A12" s="12">
        <v>100011</v>
      </c>
      <c r="B12" s="12">
        <v>100001</v>
      </c>
      <c r="C12" s="66" t="s">
        <v>62</v>
      </c>
      <c r="D12" s="12">
        <v>1</v>
      </c>
      <c r="E12" s="12">
        <v>199</v>
      </c>
      <c r="G12" s="109" t="s">
        <v>63</v>
      </c>
      <c r="H12" s="12">
        <v>1</v>
      </c>
    </row>
    <row r="13" spans="1:8">
      <c r="A13" s="12">
        <v>100012</v>
      </c>
      <c r="B13" s="12">
        <v>100002</v>
      </c>
      <c r="C13" s="66" t="s">
        <v>44</v>
      </c>
      <c r="D13" s="12">
        <v>100</v>
      </c>
      <c r="E13" s="12">
        <v>1</v>
      </c>
      <c r="F13" s="12">
        <v>1</v>
      </c>
      <c r="G13" s="109" t="s">
        <v>45</v>
      </c>
      <c r="H13" s="12">
        <v>2</v>
      </c>
    </row>
    <row r="14" spans="1:8">
      <c r="A14" s="12">
        <v>101001</v>
      </c>
      <c r="B14" s="12">
        <v>100002</v>
      </c>
      <c r="C14" s="66" t="s">
        <v>46</v>
      </c>
      <c r="D14" s="12">
        <v>10</v>
      </c>
      <c r="E14" s="12">
        <v>4</v>
      </c>
      <c r="F14" s="12">
        <v>1</v>
      </c>
      <c r="G14" s="109" t="s">
        <v>47</v>
      </c>
      <c r="H14" s="12">
        <v>2</v>
      </c>
    </row>
    <row r="15" spans="1:8">
      <c r="A15" s="12">
        <v>101002</v>
      </c>
      <c r="B15" s="12">
        <v>100002</v>
      </c>
      <c r="C15" s="66" t="s">
        <v>48</v>
      </c>
      <c r="D15" s="12">
        <v>50</v>
      </c>
      <c r="E15" s="12">
        <v>1</v>
      </c>
      <c r="F15" s="12">
        <v>1</v>
      </c>
      <c r="G15" s="109" t="s">
        <v>49</v>
      </c>
      <c r="H15" s="12">
        <v>2</v>
      </c>
    </row>
    <row r="16" spans="1:8">
      <c r="A16" s="12">
        <v>101003</v>
      </c>
      <c r="B16" s="12">
        <v>100002</v>
      </c>
      <c r="C16" s="66" t="s">
        <v>64</v>
      </c>
      <c r="D16" s="12">
        <v>250</v>
      </c>
      <c r="E16" s="12">
        <v>1</v>
      </c>
      <c r="F16" s="12">
        <v>1</v>
      </c>
      <c r="G16" s="109" t="s">
        <v>65</v>
      </c>
      <c r="H16" s="12">
        <v>2</v>
      </c>
    </row>
    <row r="17" spans="1:8">
      <c r="A17" s="12">
        <v>101004</v>
      </c>
      <c r="B17" s="12">
        <v>100002</v>
      </c>
      <c r="C17" s="66" t="s">
        <v>52</v>
      </c>
      <c r="D17" s="12">
        <v>200</v>
      </c>
      <c r="E17" s="12">
        <v>1</v>
      </c>
      <c r="F17" s="12">
        <v>1</v>
      </c>
      <c r="G17" s="109" t="s">
        <v>53</v>
      </c>
      <c r="H17" s="12">
        <v>2</v>
      </c>
    </row>
    <row r="18" spans="1:8">
      <c r="A18" s="12">
        <v>101005</v>
      </c>
      <c r="B18" s="12">
        <v>100002</v>
      </c>
      <c r="C18" s="66" t="s">
        <v>46</v>
      </c>
      <c r="D18" s="12">
        <v>30</v>
      </c>
      <c r="E18" s="12">
        <v>10</v>
      </c>
      <c r="F18" s="12"/>
      <c r="G18" s="109" t="s">
        <v>47</v>
      </c>
      <c r="H18" s="12">
        <v>2</v>
      </c>
    </row>
    <row r="19" spans="1:8">
      <c r="A19" s="12">
        <v>101006</v>
      </c>
      <c r="B19" s="12">
        <v>100002</v>
      </c>
      <c r="C19" s="66" t="s">
        <v>54</v>
      </c>
      <c r="D19" s="12">
        <v>1</v>
      </c>
      <c r="E19" s="12">
        <v>99</v>
      </c>
      <c r="G19" s="109" t="s">
        <v>55</v>
      </c>
      <c r="H19" s="12">
        <v>2</v>
      </c>
    </row>
    <row r="20" spans="1:8">
      <c r="A20" s="12">
        <v>101007</v>
      </c>
      <c r="B20" s="12">
        <v>100002</v>
      </c>
      <c r="C20" s="66" t="s">
        <v>56</v>
      </c>
      <c r="D20" s="12">
        <v>15</v>
      </c>
      <c r="E20" s="12">
        <v>15</v>
      </c>
      <c r="G20" s="109" t="s">
        <v>57</v>
      </c>
      <c r="H20" s="12">
        <v>2</v>
      </c>
    </row>
    <row r="21" spans="1:8">
      <c r="A21" s="12">
        <v>101008</v>
      </c>
      <c r="B21" s="12">
        <v>100002</v>
      </c>
      <c r="C21" s="66" t="s">
        <v>58</v>
      </c>
      <c r="D21" s="12">
        <v>5</v>
      </c>
      <c r="E21" s="12">
        <v>25</v>
      </c>
      <c r="G21" s="109" t="s">
        <v>59</v>
      </c>
      <c r="H21" s="12">
        <v>2</v>
      </c>
    </row>
    <row r="22" spans="1:8">
      <c r="A22" s="12">
        <v>101009</v>
      </c>
      <c r="B22" s="12">
        <v>100002</v>
      </c>
      <c r="C22" s="66" t="s">
        <v>60</v>
      </c>
      <c r="D22" s="12">
        <v>1</v>
      </c>
      <c r="E22" s="12">
        <v>199</v>
      </c>
      <c r="G22" s="109" t="s">
        <v>61</v>
      </c>
      <c r="H22" s="12">
        <v>2</v>
      </c>
    </row>
    <row r="23" spans="1:8">
      <c r="A23" s="12">
        <v>101010</v>
      </c>
      <c r="B23" s="12">
        <v>100002</v>
      </c>
      <c r="C23" s="66" t="s">
        <v>62</v>
      </c>
      <c r="D23" s="12">
        <v>1</v>
      </c>
      <c r="E23" s="12">
        <v>199</v>
      </c>
      <c r="G23" s="109" t="s">
        <v>63</v>
      </c>
      <c r="H23" s="12">
        <v>2</v>
      </c>
    </row>
    <row r="24" spans="1:8">
      <c r="A24" s="12">
        <v>102001</v>
      </c>
      <c r="B24" s="12">
        <v>100003</v>
      </c>
      <c r="C24" s="66" t="s">
        <v>44</v>
      </c>
      <c r="D24" s="12">
        <v>100</v>
      </c>
      <c r="E24" s="12">
        <v>1</v>
      </c>
      <c r="F24" s="12">
        <v>1</v>
      </c>
      <c r="G24" s="109" t="s">
        <v>45</v>
      </c>
      <c r="H24" s="12">
        <v>3</v>
      </c>
    </row>
    <row r="25" spans="1:8">
      <c r="A25" s="12">
        <v>102002</v>
      </c>
      <c r="B25" s="12">
        <v>100003</v>
      </c>
      <c r="C25" s="66" t="s">
        <v>46</v>
      </c>
      <c r="D25" s="12">
        <v>10</v>
      </c>
      <c r="E25" s="12">
        <v>4</v>
      </c>
      <c r="F25" s="12">
        <v>1</v>
      </c>
      <c r="G25" s="109" t="s">
        <v>47</v>
      </c>
      <c r="H25" s="12">
        <v>3</v>
      </c>
    </row>
    <row r="26" spans="1:8">
      <c r="A26" s="12">
        <v>102003</v>
      </c>
      <c r="B26" s="12">
        <v>100003</v>
      </c>
      <c r="C26" s="66" t="s">
        <v>48</v>
      </c>
      <c r="D26" s="12">
        <v>50</v>
      </c>
      <c r="E26" s="12">
        <v>1</v>
      </c>
      <c r="F26" s="12">
        <v>1</v>
      </c>
      <c r="G26" s="109" t="s">
        <v>49</v>
      </c>
      <c r="H26" s="12">
        <v>3</v>
      </c>
    </row>
    <row r="27" spans="1:8">
      <c r="A27" s="12">
        <v>102004</v>
      </c>
      <c r="B27" s="12">
        <v>100003</v>
      </c>
      <c r="C27" s="66" t="s">
        <v>66</v>
      </c>
      <c r="D27" s="12">
        <v>250</v>
      </c>
      <c r="E27" s="12">
        <v>1</v>
      </c>
      <c r="F27" s="12">
        <v>1</v>
      </c>
      <c r="G27" s="109" t="s">
        <v>67</v>
      </c>
      <c r="H27" s="12">
        <v>3</v>
      </c>
    </row>
    <row r="28" spans="1:8">
      <c r="A28" s="12">
        <v>102005</v>
      </c>
      <c r="B28" s="12">
        <v>100003</v>
      </c>
      <c r="C28" s="66" t="s">
        <v>52</v>
      </c>
      <c r="D28" s="12">
        <v>200</v>
      </c>
      <c r="E28" s="12">
        <v>1</v>
      </c>
      <c r="F28" s="12">
        <v>1</v>
      </c>
      <c r="G28" s="109" t="s">
        <v>53</v>
      </c>
      <c r="H28" s="12">
        <v>3</v>
      </c>
    </row>
    <row r="29" spans="1:8">
      <c r="A29" s="12">
        <v>102006</v>
      </c>
      <c r="B29" s="12">
        <v>100003</v>
      </c>
      <c r="C29" s="66" t="s">
        <v>46</v>
      </c>
      <c r="D29" s="12">
        <v>30</v>
      </c>
      <c r="E29" s="12">
        <v>10</v>
      </c>
      <c r="F29" s="12"/>
      <c r="G29" s="109" t="s">
        <v>47</v>
      </c>
      <c r="H29" s="12">
        <v>3</v>
      </c>
    </row>
    <row r="30" spans="1:8">
      <c r="A30" s="12">
        <v>102007</v>
      </c>
      <c r="B30" s="12">
        <v>100003</v>
      </c>
      <c r="C30" s="66" t="s">
        <v>54</v>
      </c>
      <c r="D30" s="12">
        <v>1</v>
      </c>
      <c r="E30" s="12">
        <v>99</v>
      </c>
      <c r="G30" s="109" t="s">
        <v>55</v>
      </c>
      <c r="H30" s="12">
        <v>3</v>
      </c>
    </row>
    <row r="31" spans="1:8">
      <c r="A31" s="12">
        <v>102008</v>
      </c>
      <c r="B31" s="12">
        <v>100003</v>
      </c>
      <c r="C31" s="66" t="s">
        <v>56</v>
      </c>
      <c r="D31" s="12">
        <v>15</v>
      </c>
      <c r="E31" s="12">
        <v>15</v>
      </c>
      <c r="G31" s="109" t="s">
        <v>57</v>
      </c>
      <c r="H31" s="12">
        <v>3</v>
      </c>
    </row>
    <row r="32" spans="1:8">
      <c r="A32" s="12">
        <v>102009</v>
      </c>
      <c r="B32" s="12">
        <v>100003</v>
      </c>
      <c r="C32" s="66" t="s">
        <v>58</v>
      </c>
      <c r="D32" s="12">
        <v>5</v>
      </c>
      <c r="E32" s="12">
        <v>25</v>
      </c>
      <c r="G32" s="109" t="s">
        <v>59</v>
      </c>
      <c r="H32" s="12">
        <v>3</v>
      </c>
    </row>
    <row r="33" spans="1:8">
      <c r="A33" s="12">
        <v>102010</v>
      </c>
      <c r="B33" s="12">
        <v>100003</v>
      </c>
      <c r="C33" s="66" t="s">
        <v>60</v>
      </c>
      <c r="D33" s="12">
        <v>1</v>
      </c>
      <c r="E33" s="12">
        <v>199</v>
      </c>
      <c r="G33" s="109" t="s">
        <v>61</v>
      </c>
      <c r="H33" s="12">
        <v>3</v>
      </c>
    </row>
    <row r="34" spans="1:8">
      <c r="A34" s="12">
        <v>102011</v>
      </c>
      <c r="B34" s="12">
        <v>100003</v>
      </c>
      <c r="C34" s="66" t="s">
        <v>62</v>
      </c>
      <c r="D34" s="12">
        <v>1</v>
      </c>
      <c r="E34" s="12">
        <v>199</v>
      </c>
      <c r="G34" s="109" t="s">
        <v>63</v>
      </c>
      <c r="H34" s="12">
        <v>3</v>
      </c>
    </row>
    <row r="35" spans="1:8">
      <c r="A35" s="12">
        <v>103001</v>
      </c>
      <c r="B35" s="12">
        <v>100004</v>
      </c>
      <c r="C35" s="66" t="s">
        <v>44</v>
      </c>
      <c r="D35" s="12">
        <v>100</v>
      </c>
      <c r="E35" s="12">
        <v>1</v>
      </c>
      <c r="F35" s="12">
        <v>1</v>
      </c>
      <c r="G35" s="109" t="s">
        <v>45</v>
      </c>
      <c r="H35" s="12">
        <v>4</v>
      </c>
    </row>
    <row r="36" spans="1:8">
      <c r="A36" s="12">
        <v>103002</v>
      </c>
      <c r="B36" s="12">
        <v>100004</v>
      </c>
      <c r="C36" s="66" t="s">
        <v>46</v>
      </c>
      <c r="D36" s="12">
        <v>10</v>
      </c>
      <c r="E36" s="12">
        <v>4</v>
      </c>
      <c r="F36" s="12">
        <v>1</v>
      </c>
      <c r="G36" s="109" t="s">
        <v>47</v>
      </c>
      <c r="H36" s="12">
        <v>4</v>
      </c>
    </row>
    <row r="37" spans="1:8">
      <c r="A37" s="12">
        <v>103003</v>
      </c>
      <c r="B37" s="12">
        <v>100004</v>
      </c>
      <c r="C37" s="66" t="s">
        <v>48</v>
      </c>
      <c r="D37" s="12">
        <v>50</v>
      </c>
      <c r="E37" s="12">
        <v>1</v>
      </c>
      <c r="F37" s="12">
        <v>1</v>
      </c>
      <c r="G37" s="109" t="s">
        <v>49</v>
      </c>
      <c r="H37" s="12">
        <v>4</v>
      </c>
    </row>
    <row r="38" spans="1:8">
      <c r="A38" s="12">
        <v>103004</v>
      </c>
      <c r="B38" s="12">
        <v>100004</v>
      </c>
      <c r="C38" s="66" t="s">
        <v>68</v>
      </c>
      <c r="D38" s="12">
        <v>250</v>
      </c>
      <c r="E38" s="12">
        <v>1</v>
      </c>
      <c r="F38" s="12">
        <v>1</v>
      </c>
      <c r="G38" s="109" t="s">
        <v>69</v>
      </c>
      <c r="H38" s="12">
        <v>4</v>
      </c>
    </row>
    <row r="39" spans="1:8">
      <c r="A39" s="12">
        <v>103005</v>
      </c>
      <c r="B39" s="12">
        <v>100004</v>
      </c>
      <c r="C39" s="66" t="s">
        <v>52</v>
      </c>
      <c r="D39" s="12">
        <v>200</v>
      </c>
      <c r="E39" s="12">
        <v>1</v>
      </c>
      <c r="F39" s="12">
        <v>1</v>
      </c>
      <c r="G39" s="109" t="s">
        <v>53</v>
      </c>
      <c r="H39" s="12">
        <v>4</v>
      </c>
    </row>
    <row r="40" spans="1:8">
      <c r="A40" s="12">
        <v>103006</v>
      </c>
      <c r="B40" s="12">
        <v>100004</v>
      </c>
      <c r="C40" s="66" t="s">
        <v>46</v>
      </c>
      <c r="D40" s="12">
        <v>30</v>
      </c>
      <c r="E40" s="12">
        <v>10</v>
      </c>
      <c r="F40" s="12"/>
      <c r="G40" s="109" t="s">
        <v>47</v>
      </c>
      <c r="H40" s="12">
        <v>4</v>
      </c>
    </row>
    <row r="41" spans="1:8">
      <c r="A41" s="12">
        <v>103007</v>
      </c>
      <c r="B41" s="12">
        <v>100004</v>
      </c>
      <c r="C41" s="66" t="s">
        <v>54</v>
      </c>
      <c r="D41" s="12">
        <v>1</v>
      </c>
      <c r="E41" s="12">
        <v>99</v>
      </c>
      <c r="G41" s="109" t="s">
        <v>55</v>
      </c>
      <c r="H41" s="12">
        <v>4</v>
      </c>
    </row>
    <row r="42" spans="1:8">
      <c r="A42" s="12">
        <v>103008</v>
      </c>
      <c r="B42" s="12">
        <v>100004</v>
      </c>
      <c r="C42" s="66" t="s">
        <v>56</v>
      </c>
      <c r="D42" s="12">
        <v>15</v>
      </c>
      <c r="E42" s="12">
        <v>15</v>
      </c>
      <c r="G42" s="109" t="s">
        <v>57</v>
      </c>
      <c r="H42" s="12">
        <v>4</v>
      </c>
    </row>
    <row r="43" spans="1:8">
      <c r="A43" s="12">
        <v>103009</v>
      </c>
      <c r="B43" s="12">
        <v>100004</v>
      </c>
      <c r="C43" s="66" t="s">
        <v>58</v>
      </c>
      <c r="D43" s="12">
        <v>5</v>
      </c>
      <c r="E43" s="12">
        <v>25</v>
      </c>
      <c r="G43" s="109" t="s">
        <v>59</v>
      </c>
      <c r="H43" s="12">
        <v>4</v>
      </c>
    </row>
    <row r="44" spans="1:8">
      <c r="A44" s="12">
        <v>103010</v>
      </c>
      <c r="B44" s="12">
        <v>100004</v>
      </c>
      <c r="C44" s="66" t="s">
        <v>60</v>
      </c>
      <c r="D44" s="12">
        <v>1</v>
      </c>
      <c r="E44" s="12">
        <v>199</v>
      </c>
      <c r="G44" s="109" t="s">
        <v>61</v>
      </c>
      <c r="H44" s="12">
        <v>4</v>
      </c>
    </row>
    <row r="45" spans="1:8">
      <c r="A45" s="12">
        <v>103011</v>
      </c>
      <c r="B45" s="12">
        <v>100004</v>
      </c>
      <c r="C45" s="66" t="s">
        <v>62</v>
      </c>
      <c r="D45" s="12">
        <v>1</v>
      </c>
      <c r="E45" s="12">
        <v>199</v>
      </c>
      <c r="G45" s="109" t="s">
        <v>63</v>
      </c>
      <c r="H45" s="12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724"/>
  <sheetViews>
    <sheetView topLeftCell="A679" zoomScale="85" zoomScaleNormal="85" workbookViewId="0">
      <selection activeCell="D718" sqref="D718"/>
    </sheetView>
  </sheetViews>
  <sheetFormatPr defaultColWidth="9" defaultRowHeight="16.5"/>
  <cols>
    <col min="1" max="1" width="10.375"/>
    <col min="3" max="3" width="31" customWidth="1"/>
    <col min="7" max="7" width="12.375" customWidth="1"/>
    <col min="8" max="8" width="16.875" customWidth="1"/>
    <col min="9" max="9" width="29.875" customWidth="1"/>
    <col min="10" max="10" width="16.625" customWidth="1"/>
    <col min="12" max="12" width="11.625" customWidth="1"/>
    <col min="13" max="13" width="14.125" customWidth="1"/>
    <col min="14" max="14" width="18.875" customWidth="1"/>
    <col min="15" max="15" width="9" style="12"/>
    <col min="16" max="16" width="15.375" style="12" customWidth="1"/>
    <col min="17" max="17" width="13.125" customWidth="1"/>
  </cols>
  <sheetData>
    <row r="1" spans="1:18">
      <c r="A1" s="12" t="s">
        <v>0</v>
      </c>
      <c r="B1" s="12" t="s">
        <v>70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71</v>
      </c>
      <c r="I1" s="12" t="s">
        <v>72</v>
      </c>
      <c r="J1" s="12" t="s">
        <v>73</v>
      </c>
      <c r="K1" s="12" t="s">
        <v>15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79</v>
      </c>
      <c r="R1" t="s">
        <v>80</v>
      </c>
    </row>
    <row r="2" spans="1:18">
      <c r="A2" s="115">
        <v>100001</v>
      </c>
      <c r="B2" s="115">
        <v>12010</v>
      </c>
      <c r="C2" s="75" t="s">
        <v>81</v>
      </c>
      <c r="D2" s="115">
        <v>1</v>
      </c>
      <c r="E2" s="117" t="s">
        <v>19</v>
      </c>
      <c r="F2" s="115">
        <v>7</v>
      </c>
      <c r="G2" s="117" t="s">
        <v>20</v>
      </c>
      <c r="H2" s="115">
        <v>990</v>
      </c>
      <c r="I2" s="115"/>
      <c r="J2" s="115">
        <v>30</v>
      </c>
      <c r="K2" s="115">
        <v>1015</v>
      </c>
      <c r="L2" s="115" t="s">
        <v>82</v>
      </c>
      <c r="M2" s="115">
        <v>52009</v>
      </c>
      <c r="N2" s="115"/>
      <c r="O2" s="12">
        <v>1</v>
      </c>
      <c r="P2" s="12">
        <v>1</v>
      </c>
      <c r="R2">
        <v>1</v>
      </c>
    </row>
    <row r="3" spans="1:18">
      <c r="A3" s="115">
        <v>100002</v>
      </c>
      <c r="B3" s="115">
        <v>12001</v>
      </c>
      <c r="C3" s="75" t="s">
        <v>83</v>
      </c>
      <c r="D3" s="115">
        <v>1</v>
      </c>
      <c r="E3" s="117" t="s">
        <v>19</v>
      </c>
      <c r="F3" s="115">
        <v>7</v>
      </c>
      <c r="G3" s="117" t="s">
        <v>20</v>
      </c>
      <c r="H3" s="115">
        <v>1303</v>
      </c>
      <c r="I3" s="115"/>
      <c r="J3" s="117">
        <v>30</v>
      </c>
      <c r="K3" s="115">
        <v>1002</v>
      </c>
      <c r="L3" s="115" t="s">
        <v>84</v>
      </c>
      <c r="M3" s="115">
        <v>52003</v>
      </c>
      <c r="N3" s="115"/>
      <c r="O3" s="12">
        <v>2</v>
      </c>
      <c r="P3" s="12">
        <v>2</v>
      </c>
      <c r="R3">
        <v>1</v>
      </c>
    </row>
    <row r="4" spans="1:18">
      <c r="A4" s="115">
        <v>100003</v>
      </c>
      <c r="B4" s="115">
        <v>12009</v>
      </c>
      <c r="C4" s="75" t="s">
        <v>85</v>
      </c>
      <c r="D4" s="115">
        <v>1</v>
      </c>
      <c r="E4" s="117" t="s">
        <v>19</v>
      </c>
      <c r="F4" s="115">
        <v>7</v>
      </c>
      <c r="G4" s="117" t="s">
        <v>20</v>
      </c>
      <c r="H4" s="140"/>
      <c r="I4" s="140"/>
      <c r="J4" s="140"/>
      <c r="K4" s="115">
        <v>1013</v>
      </c>
      <c r="L4" s="115" t="s">
        <v>86</v>
      </c>
      <c r="M4" s="140"/>
      <c r="N4" s="140">
        <v>52011</v>
      </c>
      <c r="O4" s="12">
        <v>3</v>
      </c>
      <c r="R4">
        <v>1</v>
      </c>
    </row>
    <row r="5" spans="1:18">
      <c r="A5" s="115">
        <v>100004</v>
      </c>
      <c r="B5" s="115">
        <v>12007</v>
      </c>
      <c r="C5" s="75" t="s">
        <v>87</v>
      </c>
      <c r="D5" s="115">
        <v>1</v>
      </c>
      <c r="E5" s="117" t="s">
        <v>19</v>
      </c>
      <c r="F5" s="115">
        <v>7</v>
      </c>
      <c r="G5" s="117" t="s">
        <v>20</v>
      </c>
      <c r="H5" s="140"/>
      <c r="I5" s="140"/>
      <c r="J5" s="140"/>
      <c r="K5" s="115">
        <v>1004</v>
      </c>
      <c r="L5" s="115" t="s">
        <v>88</v>
      </c>
      <c r="M5" s="140"/>
      <c r="N5" s="140"/>
      <c r="O5" s="12">
        <v>4</v>
      </c>
      <c r="R5">
        <v>1</v>
      </c>
    </row>
    <row r="6" spans="1:18">
      <c r="A6" s="115">
        <v>100005</v>
      </c>
      <c r="B6" s="115">
        <v>12006</v>
      </c>
      <c r="C6" s="75" t="s">
        <v>89</v>
      </c>
      <c r="D6" s="115">
        <v>1</v>
      </c>
      <c r="E6" s="117" t="s">
        <v>19</v>
      </c>
      <c r="F6" s="115">
        <v>7</v>
      </c>
      <c r="G6" s="117" t="s">
        <v>20</v>
      </c>
      <c r="H6" s="140"/>
      <c r="I6" s="140"/>
      <c r="J6" s="140"/>
      <c r="K6" s="115">
        <v>1003</v>
      </c>
      <c r="L6" s="115" t="s">
        <v>90</v>
      </c>
      <c r="M6" s="140"/>
      <c r="N6" s="140"/>
      <c r="O6" s="12">
        <v>5</v>
      </c>
      <c r="R6">
        <v>1</v>
      </c>
    </row>
    <row r="7" spans="1:18">
      <c r="A7" s="141">
        <v>101001</v>
      </c>
      <c r="B7" s="141">
        <v>12004</v>
      </c>
      <c r="C7" s="75" t="s">
        <v>91</v>
      </c>
      <c r="D7" s="141">
        <v>8</v>
      </c>
      <c r="E7" s="142" t="s">
        <v>19</v>
      </c>
      <c r="F7" s="141">
        <v>14</v>
      </c>
      <c r="G7" s="142" t="s">
        <v>20</v>
      </c>
      <c r="H7" s="141">
        <v>1003</v>
      </c>
      <c r="I7" s="141"/>
      <c r="J7" s="142">
        <v>30</v>
      </c>
      <c r="K7" s="141">
        <v>1010</v>
      </c>
      <c r="L7" s="141" t="s">
        <v>92</v>
      </c>
      <c r="M7" s="141">
        <v>52006</v>
      </c>
      <c r="N7" s="141"/>
      <c r="O7" s="12">
        <v>6</v>
      </c>
      <c r="P7" s="12">
        <v>3</v>
      </c>
      <c r="R7">
        <v>1</v>
      </c>
    </row>
    <row r="8" spans="1:18">
      <c r="A8" s="141">
        <v>101002</v>
      </c>
      <c r="B8" s="141">
        <v>12007</v>
      </c>
      <c r="C8" s="75" t="s">
        <v>87</v>
      </c>
      <c r="D8" s="141">
        <v>8</v>
      </c>
      <c r="E8" s="142" t="s">
        <v>19</v>
      </c>
      <c r="F8" s="141">
        <v>14</v>
      </c>
      <c r="G8" s="142" t="s">
        <v>20</v>
      </c>
      <c r="H8" s="143"/>
      <c r="I8" s="143"/>
      <c r="J8" s="143"/>
      <c r="K8" s="141">
        <v>1004</v>
      </c>
      <c r="L8" s="141" t="s">
        <v>88</v>
      </c>
      <c r="M8" s="143"/>
      <c r="N8" s="143"/>
      <c r="O8" s="12">
        <v>7</v>
      </c>
      <c r="R8">
        <v>1</v>
      </c>
    </row>
    <row r="9" spans="1:18">
      <c r="A9" s="141">
        <v>101003</v>
      </c>
      <c r="B9" s="141">
        <v>12009</v>
      </c>
      <c r="C9" s="75" t="s">
        <v>85</v>
      </c>
      <c r="D9" s="141">
        <v>8</v>
      </c>
      <c r="E9" s="142" t="s">
        <v>19</v>
      </c>
      <c r="F9" s="141">
        <v>14</v>
      </c>
      <c r="G9" s="142" t="s">
        <v>20</v>
      </c>
      <c r="H9" s="143"/>
      <c r="I9" s="143"/>
      <c r="J9" s="143"/>
      <c r="K9" s="141">
        <v>1013</v>
      </c>
      <c r="L9" s="141" t="s">
        <v>86</v>
      </c>
      <c r="M9" s="143"/>
      <c r="N9" s="143">
        <v>52011</v>
      </c>
      <c r="O9" s="12">
        <v>8</v>
      </c>
      <c r="R9">
        <v>1</v>
      </c>
    </row>
    <row r="10" spans="1:18">
      <c r="A10" s="141">
        <v>101004</v>
      </c>
      <c r="B10" s="141">
        <v>12006</v>
      </c>
      <c r="C10" s="75" t="s">
        <v>89</v>
      </c>
      <c r="D10" s="141">
        <v>8</v>
      </c>
      <c r="E10" s="142" t="s">
        <v>19</v>
      </c>
      <c r="F10" s="141">
        <v>14</v>
      </c>
      <c r="G10" s="142" t="s">
        <v>20</v>
      </c>
      <c r="H10" s="143"/>
      <c r="I10" s="143"/>
      <c r="J10" s="143"/>
      <c r="K10" s="141">
        <v>1003</v>
      </c>
      <c r="L10" s="141" t="s">
        <v>90</v>
      </c>
      <c r="M10" s="143"/>
      <c r="N10" s="143"/>
      <c r="O10" s="12">
        <v>9</v>
      </c>
      <c r="R10">
        <v>1</v>
      </c>
    </row>
    <row r="11" spans="1:18">
      <c r="A11" s="141">
        <v>101005</v>
      </c>
      <c r="B11" s="141">
        <v>12011</v>
      </c>
      <c r="C11" s="75" t="s">
        <v>93</v>
      </c>
      <c r="D11" s="141">
        <v>8</v>
      </c>
      <c r="E11" s="142" t="s">
        <v>19</v>
      </c>
      <c r="F11" s="141">
        <v>14</v>
      </c>
      <c r="G11" s="142" t="s">
        <v>20</v>
      </c>
      <c r="H11" s="143"/>
      <c r="I11" s="143"/>
      <c r="J11" s="143"/>
      <c r="K11" s="141">
        <v>1017</v>
      </c>
      <c r="L11" s="141" t="s">
        <v>94</v>
      </c>
      <c r="M11" s="143"/>
      <c r="N11" s="143"/>
      <c r="O11" s="12">
        <v>26</v>
      </c>
      <c r="R11">
        <v>1</v>
      </c>
    </row>
    <row r="12" spans="1:18" s="68" customFormat="1">
      <c r="A12" s="141">
        <v>101006</v>
      </c>
      <c r="B12" s="62">
        <v>12020</v>
      </c>
      <c r="C12" s="75" t="s">
        <v>95</v>
      </c>
      <c r="D12" s="62">
        <v>8</v>
      </c>
      <c r="E12" s="144" t="s">
        <v>19</v>
      </c>
      <c r="F12" s="62">
        <v>14</v>
      </c>
      <c r="G12" s="144" t="s">
        <v>20</v>
      </c>
      <c r="H12" s="62">
        <v>7008</v>
      </c>
      <c r="J12" s="144">
        <v>30</v>
      </c>
      <c r="K12" s="62">
        <v>1510</v>
      </c>
      <c r="L12" s="62" t="s">
        <v>96</v>
      </c>
      <c r="M12" s="62">
        <v>52019</v>
      </c>
      <c r="O12" s="62">
        <v>41</v>
      </c>
      <c r="P12" s="62">
        <v>16</v>
      </c>
    </row>
    <row r="13" spans="1:18" s="137" customFormat="1">
      <c r="A13" s="145">
        <v>102001</v>
      </c>
      <c r="B13" s="145">
        <v>12002</v>
      </c>
      <c r="C13" s="75" t="s">
        <v>97</v>
      </c>
      <c r="D13" s="145">
        <v>15</v>
      </c>
      <c r="E13" s="146" t="s">
        <v>19</v>
      </c>
      <c r="F13" s="145">
        <v>21</v>
      </c>
      <c r="G13" s="146" t="s">
        <v>20</v>
      </c>
      <c r="H13" s="145">
        <v>1502</v>
      </c>
      <c r="I13" s="145"/>
      <c r="J13" s="146">
        <v>30</v>
      </c>
      <c r="K13" s="145">
        <v>1008</v>
      </c>
      <c r="L13" s="145" t="s">
        <v>98</v>
      </c>
      <c r="M13" s="145">
        <v>52004</v>
      </c>
      <c r="N13" s="145"/>
      <c r="O13" s="145">
        <v>10</v>
      </c>
      <c r="P13" s="145">
        <v>4</v>
      </c>
      <c r="R13" s="137">
        <v>1</v>
      </c>
    </row>
    <row r="14" spans="1:18" s="137" customFormat="1">
      <c r="A14" s="145">
        <v>102002</v>
      </c>
      <c r="B14" s="145">
        <v>12009</v>
      </c>
      <c r="C14" s="75" t="s">
        <v>85</v>
      </c>
      <c r="D14" s="145">
        <v>15</v>
      </c>
      <c r="E14" s="146" t="s">
        <v>19</v>
      </c>
      <c r="F14" s="145">
        <v>21</v>
      </c>
      <c r="G14" s="146" t="s">
        <v>20</v>
      </c>
      <c r="K14" s="145">
        <v>1013</v>
      </c>
      <c r="L14" s="145" t="s">
        <v>86</v>
      </c>
      <c r="O14" s="145">
        <v>11</v>
      </c>
      <c r="P14" s="145"/>
      <c r="R14" s="137">
        <v>1</v>
      </c>
    </row>
    <row r="15" spans="1:18" s="137" customFormat="1">
      <c r="A15" s="145">
        <v>102003</v>
      </c>
      <c r="B15" s="145">
        <v>12007</v>
      </c>
      <c r="C15" s="75" t="s">
        <v>87</v>
      </c>
      <c r="D15" s="145">
        <v>15</v>
      </c>
      <c r="E15" s="146" t="s">
        <v>19</v>
      </c>
      <c r="F15" s="145">
        <v>21</v>
      </c>
      <c r="G15" s="146" t="s">
        <v>20</v>
      </c>
      <c r="K15" s="145">
        <v>1004</v>
      </c>
      <c r="L15" s="145" t="s">
        <v>88</v>
      </c>
      <c r="O15" s="145">
        <v>12</v>
      </c>
      <c r="P15" s="145"/>
      <c r="R15" s="137">
        <v>1</v>
      </c>
    </row>
    <row r="16" spans="1:18" s="137" customFormat="1">
      <c r="A16" s="145">
        <v>102004</v>
      </c>
      <c r="B16" s="145">
        <v>12006</v>
      </c>
      <c r="C16" s="75" t="s">
        <v>89</v>
      </c>
      <c r="D16" s="145">
        <v>15</v>
      </c>
      <c r="E16" s="146" t="s">
        <v>19</v>
      </c>
      <c r="F16" s="145">
        <v>21</v>
      </c>
      <c r="G16" s="146" t="s">
        <v>20</v>
      </c>
      <c r="K16" s="145">
        <v>1003</v>
      </c>
      <c r="L16" s="145" t="s">
        <v>90</v>
      </c>
      <c r="O16" s="145">
        <v>13</v>
      </c>
      <c r="P16" s="145"/>
      <c r="R16" s="137">
        <v>1</v>
      </c>
    </row>
    <row r="17" spans="1:18" s="137" customFormat="1">
      <c r="A17" s="145">
        <v>102005</v>
      </c>
      <c r="B17" s="145">
        <v>12012</v>
      </c>
      <c r="C17" s="75" t="s">
        <v>99</v>
      </c>
      <c r="D17" s="145">
        <v>15</v>
      </c>
      <c r="E17" s="146" t="s">
        <v>19</v>
      </c>
      <c r="F17" s="145">
        <v>21</v>
      </c>
      <c r="G17" s="146" t="s">
        <v>20</v>
      </c>
      <c r="H17" s="145">
        <v>809</v>
      </c>
      <c r="J17" s="146" t="s">
        <v>100</v>
      </c>
      <c r="K17" s="146" t="s">
        <v>101</v>
      </c>
      <c r="L17" s="146" t="s">
        <v>102</v>
      </c>
      <c r="M17" s="146" t="s">
        <v>103</v>
      </c>
      <c r="N17" s="146"/>
      <c r="O17" s="145">
        <v>27</v>
      </c>
      <c r="P17" s="145">
        <v>8</v>
      </c>
      <c r="Q17" s="146">
        <v>20</v>
      </c>
      <c r="R17" s="137">
        <v>1</v>
      </c>
    </row>
    <row r="18" spans="1:18" s="137" customFormat="1">
      <c r="A18" s="145">
        <v>102006</v>
      </c>
      <c r="B18" s="145">
        <v>12013</v>
      </c>
      <c r="C18" s="75" t="s">
        <v>104</v>
      </c>
      <c r="D18" s="145">
        <v>15</v>
      </c>
      <c r="E18" s="146" t="s">
        <v>19</v>
      </c>
      <c r="F18" s="145">
        <v>21</v>
      </c>
      <c r="G18" s="146" t="s">
        <v>20</v>
      </c>
      <c r="H18" s="145">
        <v>7001</v>
      </c>
      <c r="J18" s="146">
        <v>30</v>
      </c>
      <c r="K18" s="145">
        <v>1503</v>
      </c>
      <c r="L18" s="145" t="s">
        <v>105</v>
      </c>
      <c r="M18" s="145">
        <v>52012</v>
      </c>
      <c r="N18" s="145"/>
      <c r="O18" s="145">
        <v>34</v>
      </c>
      <c r="P18" s="145">
        <v>9</v>
      </c>
      <c r="R18" s="137">
        <v>1</v>
      </c>
    </row>
    <row r="19" spans="1:18" s="137" customFormat="1">
      <c r="A19" s="145">
        <v>102007</v>
      </c>
      <c r="B19" s="145">
        <v>12014</v>
      </c>
      <c r="C19" s="75" t="s">
        <v>106</v>
      </c>
      <c r="D19" s="145">
        <v>15</v>
      </c>
      <c r="E19" s="146" t="s">
        <v>19</v>
      </c>
      <c r="F19" s="145">
        <v>21</v>
      </c>
      <c r="G19" s="146" t="s">
        <v>20</v>
      </c>
      <c r="H19" s="145">
        <v>7002</v>
      </c>
      <c r="J19" s="146">
        <v>30</v>
      </c>
      <c r="K19" s="145">
        <v>1504</v>
      </c>
      <c r="L19" s="145" t="s">
        <v>107</v>
      </c>
      <c r="M19" s="145">
        <v>52013</v>
      </c>
      <c r="O19" s="145">
        <v>35</v>
      </c>
      <c r="P19" s="145">
        <v>10</v>
      </c>
      <c r="R19" s="137">
        <v>1</v>
      </c>
    </row>
    <row r="20" spans="1:18" s="68" customFormat="1">
      <c r="A20" s="37">
        <v>103001</v>
      </c>
      <c r="B20" s="62">
        <v>12003</v>
      </c>
      <c r="C20" s="75" t="s">
        <v>108</v>
      </c>
      <c r="D20" s="62">
        <v>22</v>
      </c>
      <c r="E20" s="144" t="s">
        <v>19</v>
      </c>
      <c r="F20" s="62">
        <v>28</v>
      </c>
      <c r="G20" s="144" t="s">
        <v>20</v>
      </c>
      <c r="H20" s="62">
        <v>1401</v>
      </c>
      <c r="I20" s="62"/>
      <c r="J20" s="144">
        <v>30</v>
      </c>
      <c r="K20" s="62">
        <v>1009</v>
      </c>
      <c r="L20" s="62" t="s">
        <v>109</v>
      </c>
      <c r="M20" s="62">
        <v>52005</v>
      </c>
      <c r="N20" s="62"/>
      <c r="O20" s="62">
        <v>14</v>
      </c>
      <c r="P20" s="62">
        <v>5</v>
      </c>
      <c r="R20" s="68">
        <v>1</v>
      </c>
    </row>
    <row r="21" spans="1:18" s="68" customFormat="1">
      <c r="A21" s="37">
        <v>103002</v>
      </c>
      <c r="B21" s="62">
        <v>12009</v>
      </c>
      <c r="C21" s="75" t="s">
        <v>85</v>
      </c>
      <c r="D21" s="62">
        <v>22</v>
      </c>
      <c r="E21" s="144" t="s">
        <v>19</v>
      </c>
      <c r="F21" s="62">
        <v>28</v>
      </c>
      <c r="G21" s="144" t="s">
        <v>20</v>
      </c>
      <c r="K21" s="62">
        <v>1013</v>
      </c>
      <c r="L21" s="62" t="s">
        <v>86</v>
      </c>
      <c r="N21" s="68">
        <v>52011</v>
      </c>
      <c r="O21" s="62">
        <v>15</v>
      </c>
      <c r="P21" s="62"/>
      <c r="R21" s="68">
        <v>1</v>
      </c>
    </row>
    <row r="22" spans="1:18" s="68" customFormat="1">
      <c r="A22" s="37">
        <v>103003</v>
      </c>
      <c r="B22" s="62">
        <v>12007</v>
      </c>
      <c r="C22" s="75" t="s">
        <v>87</v>
      </c>
      <c r="D22" s="62">
        <v>22</v>
      </c>
      <c r="E22" s="144" t="s">
        <v>19</v>
      </c>
      <c r="F22" s="62">
        <v>28</v>
      </c>
      <c r="G22" s="144" t="s">
        <v>20</v>
      </c>
      <c r="K22" s="62">
        <v>1004</v>
      </c>
      <c r="L22" s="62" t="s">
        <v>88</v>
      </c>
      <c r="O22" s="62">
        <v>28</v>
      </c>
      <c r="P22" s="62"/>
      <c r="R22" s="68">
        <v>1</v>
      </c>
    </row>
    <row r="23" spans="1:18" s="68" customFormat="1">
      <c r="A23" s="37">
        <v>103004</v>
      </c>
      <c r="B23" s="62">
        <v>12006</v>
      </c>
      <c r="C23" s="75" t="s">
        <v>89</v>
      </c>
      <c r="D23" s="62">
        <v>22</v>
      </c>
      <c r="E23" s="144" t="s">
        <v>19</v>
      </c>
      <c r="F23" s="62">
        <v>28</v>
      </c>
      <c r="G23" s="144" t="s">
        <v>20</v>
      </c>
      <c r="K23" s="62">
        <v>1003</v>
      </c>
      <c r="L23" s="62" t="s">
        <v>90</v>
      </c>
      <c r="O23" s="62">
        <v>17</v>
      </c>
      <c r="P23" s="62"/>
      <c r="R23" s="68">
        <v>1</v>
      </c>
    </row>
    <row r="24" spans="1:18" s="68" customFormat="1">
      <c r="A24" s="37">
        <v>103005</v>
      </c>
      <c r="B24" s="62">
        <v>12020</v>
      </c>
      <c r="C24" s="75" t="s">
        <v>95</v>
      </c>
      <c r="D24" s="62">
        <v>22</v>
      </c>
      <c r="E24" s="144" t="s">
        <v>19</v>
      </c>
      <c r="F24" s="62">
        <v>28</v>
      </c>
      <c r="G24" s="144" t="s">
        <v>20</v>
      </c>
      <c r="H24" s="62">
        <v>7008</v>
      </c>
      <c r="J24" s="144">
        <v>30</v>
      </c>
      <c r="K24" s="62">
        <v>1510</v>
      </c>
      <c r="L24" s="62" t="s">
        <v>96</v>
      </c>
      <c r="M24" s="62">
        <v>52019</v>
      </c>
      <c r="O24" s="62">
        <v>41</v>
      </c>
      <c r="P24" s="62">
        <v>16</v>
      </c>
    </row>
    <row r="25" spans="1:18" s="68" customFormat="1">
      <c r="A25" s="37">
        <v>103006</v>
      </c>
      <c r="B25" s="62">
        <v>12021</v>
      </c>
      <c r="C25" s="75" t="s">
        <v>110</v>
      </c>
      <c r="D25" s="62">
        <v>22</v>
      </c>
      <c r="E25" s="144" t="s">
        <v>19</v>
      </c>
      <c r="F25" s="62">
        <v>28</v>
      </c>
      <c r="G25" s="144" t="s">
        <v>20</v>
      </c>
      <c r="H25" s="62">
        <v>7009</v>
      </c>
      <c r="J25" s="144">
        <v>30</v>
      </c>
      <c r="K25" s="62">
        <v>1511</v>
      </c>
      <c r="L25" s="62" t="s">
        <v>111</v>
      </c>
      <c r="M25" s="62">
        <v>52020</v>
      </c>
      <c r="O25" s="62">
        <v>42</v>
      </c>
      <c r="P25" s="62">
        <v>17</v>
      </c>
    </row>
    <row r="26" spans="1:18">
      <c r="A26" s="37">
        <v>104001</v>
      </c>
      <c r="B26" s="37">
        <v>12005</v>
      </c>
      <c r="C26" s="75" t="s">
        <v>112</v>
      </c>
      <c r="D26" s="37">
        <v>29</v>
      </c>
      <c r="E26" s="147" t="s">
        <v>19</v>
      </c>
      <c r="F26" s="37">
        <v>35</v>
      </c>
      <c r="G26" s="147" t="s">
        <v>20</v>
      </c>
      <c r="H26" s="37">
        <v>3101</v>
      </c>
      <c r="I26" s="37"/>
      <c r="J26" s="147">
        <v>30</v>
      </c>
      <c r="K26" s="37">
        <v>1011</v>
      </c>
      <c r="L26" s="37" t="s">
        <v>113</v>
      </c>
      <c r="M26" s="37">
        <v>52007</v>
      </c>
      <c r="N26" s="37"/>
      <c r="O26" s="12">
        <v>18</v>
      </c>
      <c r="P26" s="12">
        <v>6</v>
      </c>
      <c r="R26">
        <v>1</v>
      </c>
    </row>
    <row r="27" spans="1:18">
      <c r="A27" s="37">
        <v>104002</v>
      </c>
      <c r="B27" s="37">
        <v>12009</v>
      </c>
      <c r="C27" s="75" t="s">
        <v>85</v>
      </c>
      <c r="D27" s="37">
        <v>29</v>
      </c>
      <c r="E27" s="147" t="s">
        <v>19</v>
      </c>
      <c r="F27" s="37">
        <v>35</v>
      </c>
      <c r="G27" s="147" t="s">
        <v>20</v>
      </c>
      <c r="H27" s="1"/>
      <c r="I27" s="1"/>
      <c r="J27" s="1"/>
      <c r="K27" s="37">
        <v>1013</v>
      </c>
      <c r="L27" s="37" t="s">
        <v>86</v>
      </c>
      <c r="M27" s="1"/>
      <c r="N27" s="1">
        <v>52011</v>
      </c>
      <c r="O27" s="12">
        <v>33</v>
      </c>
      <c r="R27">
        <v>1</v>
      </c>
    </row>
    <row r="28" spans="1:18">
      <c r="A28" s="37">
        <v>104004</v>
      </c>
      <c r="B28" s="37">
        <v>12006</v>
      </c>
      <c r="C28" s="75" t="s">
        <v>89</v>
      </c>
      <c r="D28" s="37">
        <v>29</v>
      </c>
      <c r="E28" s="147" t="s">
        <v>19</v>
      </c>
      <c r="F28" s="37">
        <v>35</v>
      </c>
      <c r="G28" s="147" t="s">
        <v>20</v>
      </c>
      <c r="H28" s="1"/>
      <c r="I28" s="1"/>
      <c r="J28" s="1"/>
      <c r="K28" s="37">
        <v>1003</v>
      </c>
      <c r="L28" s="37" t="s">
        <v>90</v>
      </c>
      <c r="M28" s="1"/>
      <c r="N28" s="1"/>
      <c r="O28" s="12">
        <v>21</v>
      </c>
      <c r="R28">
        <v>1</v>
      </c>
    </row>
    <row r="29" spans="1:18" s="1" customFormat="1">
      <c r="A29" s="37">
        <v>104005</v>
      </c>
      <c r="B29" s="37">
        <v>12018</v>
      </c>
      <c r="C29" s="75" t="s">
        <v>114</v>
      </c>
      <c r="D29" s="37">
        <v>29</v>
      </c>
      <c r="E29" s="147" t="s">
        <v>19</v>
      </c>
      <c r="F29" s="37">
        <v>35</v>
      </c>
      <c r="G29" s="147" t="s">
        <v>20</v>
      </c>
      <c r="H29" s="37">
        <v>7006</v>
      </c>
      <c r="J29" s="147">
        <v>30</v>
      </c>
      <c r="K29" s="37">
        <v>1508</v>
      </c>
      <c r="L29" s="37" t="s">
        <v>115</v>
      </c>
      <c r="M29" s="37">
        <v>52017</v>
      </c>
      <c r="O29" s="37">
        <v>39</v>
      </c>
      <c r="P29" s="37">
        <v>14</v>
      </c>
      <c r="R29">
        <v>1</v>
      </c>
    </row>
    <row r="30" spans="1:18" s="1" customFormat="1">
      <c r="A30" s="37">
        <v>104006</v>
      </c>
      <c r="B30" s="37">
        <v>12019</v>
      </c>
      <c r="C30" s="75" t="s">
        <v>116</v>
      </c>
      <c r="D30" s="37">
        <v>29</v>
      </c>
      <c r="E30" s="147" t="s">
        <v>19</v>
      </c>
      <c r="F30" s="37">
        <v>35</v>
      </c>
      <c r="G30" s="147" t="s">
        <v>20</v>
      </c>
      <c r="H30" s="37">
        <v>7007</v>
      </c>
      <c r="J30" s="147">
        <v>30</v>
      </c>
      <c r="K30" s="37">
        <v>1509</v>
      </c>
      <c r="L30" s="37" t="s">
        <v>117</v>
      </c>
      <c r="M30" s="37">
        <v>52018</v>
      </c>
      <c r="O30" s="37">
        <v>40</v>
      </c>
      <c r="P30" s="37">
        <v>15</v>
      </c>
      <c r="R30">
        <v>1</v>
      </c>
    </row>
    <row r="31" spans="1:18">
      <c r="A31" s="37">
        <v>105001</v>
      </c>
      <c r="B31" s="148">
        <v>12008</v>
      </c>
      <c r="C31" s="75" t="s">
        <v>118</v>
      </c>
      <c r="D31" s="148">
        <v>36</v>
      </c>
      <c r="E31" s="149" t="s">
        <v>19</v>
      </c>
      <c r="F31" s="148">
        <v>42</v>
      </c>
      <c r="G31" s="149" t="s">
        <v>20</v>
      </c>
      <c r="H31" s="148">
        <v>1002</v>
      </c>
      <c r="I31" s="150"/>
      <c r="J31" s="149">
        <v>30</v>
      </c>
      <c r="K31" s="148">
        <v>1012</v>
      </c>
      <c r="L31" s="148" t="s">
        <v>119</v>
      </c>
      <c r="M31" s="148">
        <v>52008</v>
      </c>
      <c r="N31" s="148"/>
      <c r="O31" s="12">
        <v>22</v>
      </c>
      <c r="P31" s="12">
        <v>7</v>
      </c>
      <c r="R31">
        <v>1</v>
      </c>
    </row>
    <row r="32" spans="1:18">
      <c r="A32" s="37">
        <v>105002</v>
      </c>
      <c r="B32" s="148">
        <v>12009</v>
      </c>
      <c r="C32" s="75" t="s">
        <v>85</v>
      </c>
      <c r="D32" s="148">
        <v>36</v>
      </c>
      <c r="E32" s="149" t="s">
        <v>19</v>
      </c>
      <c r="F32" s="148">
        <v>42</v>
      </c>
      <c r="G32" s="149" t="s">
        <v>20</v>
      </c>
      <c r="H32" s="150"/>
      <c r="I32" s="150"/>
      <c r="J32" s="150"/>
      <c r="K32" s="148">
        <v>1013</v>
      </c>
      <c r="L32" s="148" t="s">
        <v>86</v>
      </c>
      <c r="M32" s="150"/>
      <c r="N32" s="150">
        <v>52011</v>
      </c>
      <c r="O32" s="12">
        <v>33</v>
      </c>
      <c r="R32">
        <v>1</v>
      </c>
    </row>
    <row r="33" spans="1:18">
      <c r="A33" s="37">
        <v>105003</v>
      </c>
      <c r="B33" s="148">
        <v>12007</v>
      </c>
      <c r="C33" s="75" t="s">
        <v>87</v>
      </c>
      <c r="D33" s="148">
        <v>36</v>
      </c>
      <c r="E33" s="149" t="s">
        <v>19</v>
      </c>
      <c r="F33" s="148">
        <v>42</v>
      </c>
      <c r="G33" s="149" t="s">
        <v>20</v>
      </c>
      <c r="H33" s="150"/>
      <c r="I33" s="150"/>
      <c r="J33" s="150"/>
      <c r="K33" s="148">
        <v>1004</v>
      </c>
      <c r="L33" s="148" t="s">
        <v>88</v>
      </c>
      <c r="M33" s="150"/>
      <c r="N33" s="150"/>
      <c r="O33" s="12">
        <v>29</v>
      </c>
      <c r="R33">
        <v>1</v>
      </c>
    </row>
    <row r="34" spans="1:18">
      <c r="A34" s="37">
        <v>105004</v>
      </c>
      <c r="B34" s="148">
        <v>12006</v>
      </c>
      <c r="C34" s="75" t="s">
        <v>89</v>
      </c>
      <c r="D34" s="148">
        <v>36</v>
      </c>
      <c r="E34" s="149" t="s">
        <v>19</v>
      </c>
      <c r="F34" s="148">
        <v>42</v>
      </c>
      <c r="G34" s="149" t="s">
        <v>20</v>
      </c>
      <c r="H34" s="150"/>
      <c r="I34" s="150"/>
      <c r="J34" s="150"/>
      <c r="K34" s="148">
        <v>1003</v>
      </c>
      <c r="L34" s="148" t="s">
        <v>90</v>
      </c>
      <c r="M34" s="150"/>
      <c r="N34" s="150"/>
      <c r="O34" s="12">
        <v>25</v>
      </c>
      <c r="R34">
        <v>1</v>
      </c>
    </row>
    <row r="35" spans="1:18" s="68" customFormat="1">
      <c r="A35" s="37">
        <v>105005</v>
      </c>
      <c r="B35" s="62">
        <v>12013</v>
      </c>
      <c r="C35" s="75" t="s">
        <v>104</v>
      </c>
      <c r="D35" s="148">
        <v>36</v>
      </c>
      <c r="E35" s="149" t="s">
        <v>19</v>
      </c>
      <c r="F35" s="148">
        <v>42</v>
      </c>
      <c r="G35" s="144" t="s">
        <v>20</v>
      </c>
      <c r="H35" s="62">
        <v>7001</v>
      </c>
      <c r="J35" s="144">
        <v>30</v>
      </c>
      <c r="K35" s="62">
        <v>1503</v>
      </c>
      <c r="L35" s="62" t="s">
        <v>105</v>
      </c>
      <c r="M35" s="62">
        <v>52012</v>
      </c>
      <c r="N35" s="62"/>
      <c r="O35" s="62">
        <v>34</v>
      </c>
      <c r="P35" s="62">
        <v>9</v>
      </c>
      <c r="R35" s="68">
        <v>1</v>
      </c>
    </row>
    <row r="36" spans="1:18" s="68" customFormat="1">
      <c r="A36" s="37">
        <v>105006</v>
      </c>
      <c r="B36" s="62">
        <v>12014</v>
      </c>
      <c r="C36" s="75" t="s">
        <v>106</v>
      </c>
      <c r="D36" s="148">
        <v>36</v>
      </c>
      <c r="E36" s="149" t="s">
        <v>19</v>
      </c>
      <c r="F36" s="148">
        <v>42</v>
      </c>
      <c r="G36" s="144" t="s">
        <v>20</v>
      </c>
      <c r="H36" s="62">
        <v>7002</v>
      </c>
      <c r="J36" s="144">
        <v>30</v>
      </c>
      <c r="K36" s="62">
        <v>1504</v>
      </c>
      <c r="L36" s="62" t="s">
        <v>107</v>
      </c>
      <c r="M36" s="62">
        <v>52013</v>
      </c>
      <c r="O36" s="62">
        <v>35</v>
      </c>
      <c r="P36" s="62">
        <v>10</v>
      </c>
      <c r="R36" s="68">
        <v>1</v>
      </c>
    </row>
    <row r="37" spans="1:18">
      <c r="A37" s="151">
        <v>106001</v>
      </c>
      <c r="B37" s="151">
        <v>12004</v>
      </c>
      <c r="C37" s="75" t="s">
        <v>91</v>
      </c>
      <c r="D37" s="151">
        <v>43</v>
      </c>
      <c r="E37" s="152" t="s">
        <v>19</v>
      </c>
      <c r="F37" s="151">
        <v>49</v>
      </c>
      <c r="G37" s="152" t="s">
        <v>20</v>
      </c>
      <c r="H37" s="151">
        <v>1003</v>
      </c>
      <c r="I37" s="151"/>
      <c r="J37" s="152">
        <v>30</v>
      </c>
      <c r="K37" s="151">
        <v>1010</v>
      </c>
      <c r="L37" s="151" t="s">
        <v>92</v>
      </c>
      <c r="M37" s="151">
        <v>52006</v>
      </c>
      <c r="N37" s="151"/>
      <c r="O37" s="12">
        <v>6</v>
      </c>
      <c r="P37" s="12">
        <v>3</v>
      </c>
      <c r="R37">
        <v>1</v>
      </c>
    </row>
    <row r="38" spans="1:18">
      <c r="A38" s="151">
        <v>106003</v>
      </c>
      <c r="B38" s="151">
        <v>12009</v>
      </c>
      <c r="C38" s="75" t="s">
        <v>85</v>
      </c>
      <c r="D38" s="151">
        <v>43</v>
      </c>
      <c r="E38" s="152" t="s">
        <v>19</v>
      </c>
      <c r="F38" s="151">
        <v>49</v>
      </c>
      <c r="G38" s="152" t="s">
        <v>20</v>
      </c>
      <c r="H38" s="153"/>
      <c r="I38" s="153"/>
      <c r="J38" s="153"/>
      <c r="K38" s="151">
        <v>1013</v>
      </c>
      <c r="L38" s="151" t="s">
        <v>86</v>
      </c>
      <c r="M38" s="153"/>
      <c r="N38" s="153">
        <v>52011</v>
      </c>
      <c r="O38" s="12">
        <v>33</v>
      </c>
      <c r="R38">
        <v>1</v>
      </c>
    </row>
    <row r="39" spans="1:18">
      <c r="A39" s="151">
        <v>106004</v>
      </c>
      <c r="B39" s="151">
        <v>12006</v>
      </c>
      <c r="C39" s="75" t="s">
        <v>89</v>
      </c>
      <c r="D39" s="151">
        <v>43</v>
      </c>
      <c r="E39" s="152" t="s">
        <v>19</v>
      </c>
      <c r="F39" s="151">
        <v>49</v>
      </c>
      <c r="G39" s="152" t="s">
        <v>20</v>
      </c>
      <c r="H39" s="153"/>
      <c r="I39" s="153"/>
      <c r="J39" s="153"/>
      <c r="K39" s="151">
        <v>1003</v>
      </c>
      <c r="L39" s="151" t="s">
        <v>90</v>
      </c>
      <c r="M39" s="153"/>
      <c r="N39" s="153"/>
      <c r="O39" s="12">
        <v>31</v>
      </c>
      <c r="R39">
        <v>1</v>
      </c>
    </row>
    <row r="40" spans="1:18">
      <c r="A40" s="151">
        <v>106005</v>
      </c>
      <c r="B40" s="151">
        <v>12010</v>
      </c>
      <c r="C40" s="75" t="s">
        <v>81</v>
      </c>
      <c r="D40" s="151">
        <v>43</v>
      </c>
      <c r="E40" s="152" t="s">
        <v>19</v>
      </c>
      <c r="F40" s="151">
        <v>49</v>
      </c>
      <c r="G40" s="152" t="s">
        <v>20</v>
      </c>
      <c r="H40" s="153">
        <v>990</v>
      </c>
      <c r="I40" s="153"/>
      <c r="J40" s="153">
        <v>30</v>
      </c>
      <c r="K40" s="151">
        <v>1015</v>
      </c>
      <c r="L40" s="151" t="s">
        <v>82</v>
      </c>
      <c r="M40" s="153">
        <v>52009</v>
      </c>
      <c r="N40" s="153"/>
      <c r="O40" s="12">
        <v>1</v>
      </c>
      <c r="P40" s="12">
        <v>1</v>
      </c>
      <c r="R40">
        <v>1</v>
      </c>
    </row>
    <row r="41" spans="1:18" s="68" customFormat="1">
      <c r="A41" s="151">
        <v>106006</v>
      </c>
      <c r="B41" s="62">
        <v>12020</v>
      </c>
      <c r="C41" s="75" t="s">
        <v>95</v>
      </c>
      <c r="D41" s="151">
        <v>43</v>
      </c>
      <c r="E41" s="152" t="s">
        <v>19</v>
      </c>
      <c r="F41" s="151">
        <v>49</v>
      </c>
      <c r="G41" s="144" t="s">
        <v>20</v>
      </c>
      <c r="H41" s="62">
        <v>7008</v>
      </c>
      <c r="J41" s="144">
        <v>30</v>
      </c>
      <c r="K41" s="62">
        <v>1510</v>
      </c>
      <c r="L41" s="62" t="s">
        <v>96</v>
      </c>
      <c r="M41" s="62">
        <v>52019</v>
      </c>
      <c r="O41" s="62">
        <v>41</v>
      </c>
      <c r="P41" s="62">
        <v>16</v>
      </c>
    </row>
    <row r="42" spans="1:18" s="68" customFormat="1">
      <c r="A42" s="151">
        <v>106007</v>
      </c>
      <c r="B42" s="62">
        <v>12021</v>
      </c>
      <c r="C42" s="75" t="s">
        <v>110</v>
      </c>
      <c r="D42" s="151">
        <v>43</v>
      </c>
      <c r="E42" s="152" t="s">
        <v>19</v>
      </c>
      <c r="F42" s="151">
        <v>49</v>
      </c>
      <c r="G42" s="144" t="s">
        <v>20</v>
      </c>
      <c r="H42" s="62">
        <v>7009</v>
      </c>
      <c r="J42" s="144">
        <v>30</v>
      </c>
      <c r="K42" s="62">
        <v>1511</v>
      </c>
      <c r="L42" s="62" t="s">
        <v>111</v>
      </c>
      <c r="M42" s="62">
        <v>52020</v>
      </c>
      <c r="O42" s="62">
        <v>42</v>
      </c>
      <c r="P42" s="62">
        <v>17</v>
      </c>
    </row>
    <row r="43" spans="1:18">
      <c r="A43" s="37">
        <v>107001</v>
      </c>
      <c r="B43" s="37">
        <v>12005</v>
      </c>
      <c r="C43" s="75" t="s">
        <v>112</v>
      </c>
      <c r="D43" s="37">
        <v>50</v>
      </c>
      <c r="E43" s="147" t="s">
        <v>19</v>
      </c>
      <c r="F43" s="37">
        <v>56</v>
      </c>
      <c r="G43" s="147" t="s">
        <v>20</v>
      </c>
      <c r="H43" s="37">
        <v>3101</v>
      </c>
      <c r="I43" s="37"/>
      <c r="J43" s="147">
        <v>30</v>
      </c>
      <c r="K43" s="37">
        <v>1011</v>
      </c>
      <c r="L43" s="37" t="s">
        <v>113</v>
      </c>
      <c r="M43" s="37">
        <v>52007</v>
      </c>
      <c r="N43" s="37"/>
      <c r="O43" s="12">
        <v>18</v>
      </c>
      <c r="P43" s="12">
        <v>6</v>
      </c>
      <c r="R43">
        <v>1</v>
      </c>
    </row>
    <row r="44" spans="1:18">
      <c r="A44" s="37">
        <v>107002</v>
      </c>
      <c r="B44" s="37">
        <v>12009</v>
      </c>
      <c r="C44" s="75" t="s">
        <v>85</v>
      </c>
      <c r="D44" s="37">
        <v>50</v>
      </c>
      <c r="E44" s="147" t="s">
        <v>19</v>
      </c>
      <c r="F44" s="37">
        <v>56</v>
      </c>
      <c r="G44" s="147" t="s">
        <v>20</v>
      </c>
      <c r="H44" s="1"/>
      <c r="I44" s="1"/>
      <c r="J44" s="1"/>
      <c r="K44" s="37">
        <v>1013</v>
      </c>
      <c r="L44" s="37" t="s">
        <v>86</v>
      </c>
      <c r="M44" s="1"/>
      <c r="N44" s="1">
        <v>52011</v>
      </c>
      <c r="O44" s="12">
        <v>33</v>
      </c>
      <c r="R44">
        <v>1</v>
      </c>
    </row>
    <row r="45" spans="1:18">
      <c r="A45" s="37">
        <v>107003</v>
      </c>
      <c r="B45" s="37">
        <v>12006</v>
      </c>
      <c r="C45" s="75" t="s">
        <v>89</v>
      </c>
      <c r="D45" s="37">
        <v>50</v>
      </c>
      <c r="E45" s="147" t="s">
        <v>19</v>
      </c>
      <c r="F45" s="37">
        <v>56</v>
      </c>
      <c r="G45" s="147" t="s">
        <v>20</v>
      </c>
      <c r="H45" s="1"/>
      <c r="I45" s="1"/>
      <c r="J45" s="1"/>
      <c r="K45" s="37">
        <v>1003</v>
      </c>
      <c r="L45" s="37" t="s">
        <v>90</v>
      </c>
      <c r="M45" s="1"/>
      <c r="N45" s="1"/>
      <c r="O45" s="12">
        <v>5</v>
      </c>
      <c r="R45">
        <v>1</v>
      </c>
    </row>
    <row r="46" spans="1:18" s="1" customFormat="1">
      <c r="A46" s="37">
        <v>107004</v>
      </c>
      <c r="B46" s="37">
        <v>12018</v>
      </c>
      <c r="C46" s="75" t="s">
        <v>114</v>
      </c>
      <c r="D46" s="37">
        <v>50</v>
      </c>
      <c r="E46" s="147" t="s">
        <v>19</v>
      </c>
      <c r="F46" s="37">
        <v>56</v>
      </c>
      <c r="G46" s="147" t="s">
        <v>20</v>
      </c>
      <c r="H46" s="37">
        <v>7006</v>
      </c>
      <c r="J46" s="147">
        <v>30</v>
      </c>
      <c r="K46" s="37">
        <v>1508</v>
      </c>
      <c r="L46" s="37" t="s">
        <v>115</v>
      </c>
      <c r="M46" s="37">
        <v>52017</v>
      </c>
      <c r="O46" s="37">
        <v>39</v>
      </c>
      <c r="P46" s="37">
        <v>14</v>
      </c>
      <c r="R46">
        <v>1</v>
      </c>
    </row>
    <row r="47" spans="1:18" s="1" customFormat="1">
      <c r="A47" s="37">
        <v>107005</v>
      </c>
      <c r="B47" s="37">
        <v>12019</v>
      </c>
      <c r="C47" s="75" t="s">
        <v>116</v>
      </c>
      <c r="D47" s="37">
        <v>50</v>
      </c>
      <c r="E47" s="147" t="s">
        <v>19</v>
      </c>
      <c r="F47" s="37">
        <v>56</v>
      </c>
      <c r="G47" s="147" t="s">
        <v>20</v>
      </c>
      <c r="H47" s="37">
        <v>7007</v>
      </c>
      <c r="J47" s="147">
        <v>30</v>
      </c>
      <c r="K47" s="37">
        <v>1509</v>
      </c>
      <c r="L47" s="37" t="s">
        <v>117</v>
      </c>
      <c r="M47" s="37">
        <v>52018</v>
      </c>
      <c r="O47" s="37">
        <v>40</v>
      </c>
      <c r="P47" s="37">
        <v>15</v>
      </c>
      <c r="R47">
        <v>1</v>
      </c>
    </row>
    <row r="48" spans="1:18">
      <c r="A48" s="141">
        <v>108001</v>
      </c>
      <c r="B48" s="141">
        <v>12008</v>
      </c>
      <c r="C48" s="75" t="s">
        <v>118</v>
      </c>
      <c r="D48" s="141">
        <v>57</v>
      </c>
      <c r="E48" s="142" t="s">
        <v>19</v>
      </c>
      <c r="F48" s="141">
        <v>63</v>
      </c>
      <c r="G48" s="142" t="s">
        <v>20</v>
      </c>
      <c r="H48" s="141">
        <v>1002</v>
      </c>
      <c r="I48" s="143"/>
      <c r="J48" s="142">
        <v>30</v>
      </c>
      <c r="K48" s="141">
        <v>1012</v>
      </c>
      <c r="L48" s="141" t="s">
        <v>119</v>
      </c>
      <c r="M48" s="141">
        <v>52008</v>
      </c>
      <c r="N48" s="141"/>
      <c r="O48" s="141">
        <v>22</v>
      </c>
      <c r="P48" s="141">
        <v>7</v>
      </c>
      <c r="R48">
        <v>1</v>
      </c>
    </row>
    <row r="49" spans="1:18">
      <c r="A49" s="141">
        <v>108002</v>
      </c>
      <c r="B49" s="141">
        <v>12009</v>
      </c>
      <c r="C49" s="75" t="s">
        <v>85</v>
      </c>
      <c r="D49" s="141">
        <v>57</v>
      </c>
      <c r="E49" s="142" t="s">
        <v>19</v>
      </c>
      <c r="F49" s="141">
        <v>63</v>
      </c>
      <c r="G49" s="142" t="s">
        <v>20</v>
      </c>
      <c r="H49" s="143"/>
      <c r="I49" s="143"/>
      <c r="J49" s="143"/>
      <c r="K49" s="141">
        <v>1013</v>
      </c>
      <c r="L49" s="141" t="s">
        <v>86</v>
      </c>
      <c r="M49" s="143"/>
      <c r="N49" s="143">
        <v>52011</v>
      </c>
      <c r="O49" s="141">
        <v>33</v>
      </c>
      <c r="P49" s="141"/>
      <c r="R49">
        <v>1</v>
      </c>
    </row>
    <row r="50" spans="1:18">
      <c r="A50" s="141">
        <v>108003</v>
      </c>
      <c r="B50" s="141">
        <v>12006</v>
      </c>
      <c r="C50" s="75" t="s">
        <v>89</v>
      </c>
      <c r="D50" s="141">
        <v>57</v>
      </c>
      <c r="E50" s="142" t="s">
        <v>19</v>
      </c>
      <c r="F50" s="141">
        <v>63</v>
      </c>
      <c r="G50" s="142" t="s">
        <v>20</v>
      </c>
      <c r="H50" s="143"/>
      <c r="I50" s="143"/>
      <c r="J50" s="143"/>
      <c r="K50" s="141">
        <v>1003</v>
      </c>
      <c r="L50" s="141" t="s">
        <v>90</v>
      </c>
      <c r="M50" s="143"/>
      <c r="N50" s="143"/>
      <c r="O50" s="141">
        <v>5</v>
      </c>
      <c r="P50" s="141"/>
      <c r="R50">
        <v>1</v>
      </c>
    </row>
    <row r="51" spans="1:18" s="68" customFormat="1">
      <c r="A51" s="141">
        <v>108004</v>
      </c>
      <c r="B51" s="62">
        <v>12013</v>
      </c>
      <c r="C51" s="75" t="s">
        <v>104</v>
      </c>
      <c r="D51" s="141">
        <v>57</v>
      </c>
      <c r="E51" s="142" t="s">
        <v>19</v>
      </c>
      <c r="F51" s="141">
        <v>63</v>
      </c>
      <c r="G51" s="144" t="s">
        <v>20</v>
      </c>
      <c r="H51" s="62">
        <v>7001</v>
      </c>
      <c r="J51" s="144">
        <v>30</v>
      </c>
      <c r="K51" s="62">
        <v>1503</v>
      </c>
      <c r="L51" s="62" t="s">
        <v>105</v>
      </c>
      <c r="M51" s="62">
        <v>52012</v>
      </c>
      <c r="N51" s="62"/>
      <c r="O51" s="62">
        <v>34</v>
      </c>
      <c r="P51" s="62">
        <v>9</v>
      </c>
      <c r="R51" s="68">
        <v>1</v>
      </c>
    </row>
    <row r="52" spans="1:18" s="68" customFormat="1">
      <c r="A52" s="141">
        <v>108005</v>
      </c>
      <c r="B52" s="62">
        <v>12014</v>
      </c>
      <c r="C52" s="75" t="s">
        <v>106</v>
      </c>
      <c r="D52" s="141">
        <v>57</v>
      </c>
      <c r="E52" s="142" t="s">
        <v>19</v>
      </c>
      <c r="F52" s="141">
        <v>63</v>
      </c>
      <c r="G52" s="144" t="s">
        <v>20</v>
      </c>
      <c r="H52" s="62">
        <v>7002</v>
      </c>
      <c r="J52" s="144">
        <v>30</v>
      </c>
      <c r="K52" s="62">
        <v>1504</v>
      </c>
      <c r="L52" s="62" t="s">
        <v>107</v>
      </c>
      <c r="M52" s="62">
        <v>52013</v>
      </c>
      <c r="O52" s="62">
        <v>35</v>
      </c>
      <c r="P52" s="62">
        <v>10</v>
      </c>
      <c r="R52" s="68">
        <v>1</v>
      </c>
    </row>
    <row r="53" spans="1:18">
      <c r="A53" s="151">
        <v>109001</v>
      </c>
      <c r="B53" s="151">
        <v>12004</v>
      </c>
      <c r="C53" s="75" t="s">
        <v>91</v>
      </c>
      <c r="D53" s="151">
        <v>64</v>
      </c>
      <c r="E53" s="152" t="s">
        <v>19</v>
      </c>
      <c r="F53" s="151">
        <v>70</v>
      </c>
      <c r="G53" s="152" t="s">
        <v>20</v>
      </c>
      <c r="H53" s="151">
        <v>1003</v>
      </c>
      <c r="I53" s="151"/>
      <c r="J53" s="152">
        <v>30</v>
      </c>
      <c r="K53" s="151">
        <v>1010</v>
      </c>
      <c r="L53" s="151" t="s">
        <v>92</v>
      </c>
      <c r="M53" s="151">
        <v>52006</v>
      </c>
      <c r="N53" s="151"/>
      <c r="O53" s="12">
        <v>6</v>
      </c>
      <c r="P53" s="12">
        <v>3</v>
      </c>
      <c r="R53">
        <v>1</v>
      </c>
    </row>
    <row r="54" spans="1:18">
      <c r="A54" s="151">
        <v>109002</v>
      </c>
      <c r="B54" s="151">
        <v>12009</v>
      </c>
      <c r="C54" s="75" t="s">
        <v>85</v>
      </c>
      <c r="D54" s="151">
        <v>64</v>
      </c>
      <c r="E54" s="152" t="s">
        <v>19</v>
      </c>
      <c r="F54" s="151">
        <v>70</v>
      </c>
      <c r="G54" s="152" t="s">
        <v>20</v>
      </c>
      <c r="H54" s="153"/>
      <c r="I54" s="153"/>
      <c r="J54" s="153"/>
      <c r="K54" s="151">
        <v>1013</v>
      </c>
      <c r="L54" s="151" t="s">
        <v>86</v>
      </c>
      <c r="M54" s="153"/>
      <c r="N54" s="153">
        <v>52011</v>
      </c>
      <c r="O54" s="12">
        <v>33</v>
      </c>
      <c r="R54">
        <v>1</v>
      </c>
    </row>
    <row r="55" spans="1:18">
      <c r="A55" s="151">
        <v>109003</v>
      </c>
      <c r="B55" s="151">
        <v>12006</v>
      </c>
      <c r="C55" s="75" t="s">
        <v>89</v>
      </c>
      <c r="D55" s="151">
        <v>64</v>
      </c>
      <c r="E55" s="152" t="s">
        <v>19</v>
      </c>
      <c r="F55" s="151">
        <v>70</v>
      </c>
      <c r="G55" s="152" t="s">
        <v>20</v>
      </c>
      <c r="H55" s="153"/>
      <c r="I55" s="153"/>
      <c r="J55" s="153"/>
      <c r="K55" s="151">
        <v>1003</v>
      </c>
      <c r="L55" s="151" t="s">
        <v>90</v>
      </c>
      <c r="M55" s="153"/>
      <c r="N55" s="153"/>
      <c r="O55" s="12">
        <v>5</v>
      </c>
      <c r="R55">
        <v>1</v>
      </c>
    </row>
    <row r="56" spans="1:18" s="68" customFormat="1">
      <c r="A56" s="151">
        <v>109004</v>
      </c>
      <c r="B56" s="62">
        <v>12020</v>
      </c>
      <c r="C56" s="75" t="s">
        <v>95</v>
      </c>
      <c r="D56" s="151">
        <v>64</v>
      </c>
      <c r="E56" s="152" t="s">
        <v>19</v>
      </c>
      <c r="F56" s="151">
        <v>70</v>
      </c>
      <c r="G56" s="144" t="s">
        <v>20</v>
      </c>
      <c r="H56" s="62">
        <v>7008</v>
      </c>
      <c r="J56" s="144">
        <v>30</v>
      </c>
      <c r="K56" s="62">
        <v>1510</v>
      </c>
      <c r="L56" s="62" t="s">
        <v>96</v>
      </c>
      <c r="M56" s="62">
        <v>52019</v>
      </c>
      <c r="O56" s="62">
        <v>41</v>
      </c>
      <c r="P56" s="62">
        <v>16</v>
      </c>
    </row>
    <row r="57" spans="1:18" s="68" customFormat="1">
      <c r="A57" s="151">
        <v>109005</v>
      </c>
      <c r="B57" s="62">
        <v>12021</v>
      </c>
      <c r="C57" s="75" t="s">
        <v>110</v>
      </c>
      <c r="D57" s="151">
        <v>64</v>
      </c>
      <c r="E57" s="152" t="s">
        <v>19</v>
      </c>
      <c r="F57" s="151">
        <v>70</v>
      </c>
      <c r="G57" s="144" t="s">
        <v>20</v>
      </c>
      <c r="H57" s="62">
        <v>7009</v>
      </c>
      <c r="J57" s="144">
        <v>30</v>
      </c>
      <c r="K57" s="62">
        <v>1511</v>
      </c>
      <c r="L57" s="62" t="s">
        <v>111</v>
      </c>
      <c r="M57" s="62">
        <v>52020</v>
      </c>
      <c r="O57" s="62">
        <v>42</v>
      </c>
      <c r="P57" s="62">
        <v>17</v>
      </c>
    </row>
    <row r="58" spans="1:18">
      <c r="A58" s="37">
        <v>110001</v>
      </c>
      <c r="B58" s="37">
        <v>12001</v>
      </c>
      <c r="C58" s="75" t="s">
        <v>83</v>
      </c>
      <c r="D58" s="37">
        <v>71</v>
      </c>
      <c r="E58" s="147" t="s">
        <v>19</v>
      </c>
      <c r="F58" s="37">
        <v>77</v>
      </c>
      <c r="G58" s="147" t="s">
        <v>20</v>
      </c>
      <c r="H58" s="37">
        <v>1303</v>
      </c>
      <c r="I58" s="37"/>
      <c r="J58" s="147">
        <v>30</v>
      </c>
      <c r="K58" s="37">
        <v>1002</v>
      </c>
      <c r="L58" s="37" t="s">
        <v>84</v>
      </c>
      <c r="M58" s="37">
        <v>52003</v>
      </c>
      <c r="N58" s="37"/>
      <c r="O58" s="12">
        <v>32</v>
      </c>
      <c r="P58" s="12">
        <v>2</v>
      </c>
      <c r="R58">
        <v>1</v>
      </c>
    </row>
    <row r="59" spans="1:18">
      <c r="A59" s="37">
        <v>110002</v>
      </c>
      <c r="B59" s="37">
        <v>12009</v>
      </c>
      <c r="C59" s="75" t="s">
        <v>85</v>
      </c>
      <c r="D59" s="37">
        <v>71</v>
      </c>
      <c r="E59" s="147" t="s">
        <v>19</v>
      </c>
      <c r="F59" s="37">
        <v>77</v>
      </c>
      <c r="G59" s="147" t="s">
        <v>20</v>
      </c>
      <c r="H59" s="1"/>
      <c r="I59" s="1"/>
      <c r="J59" s="1"/>
      <c r="K59" s="37">
        <v>1013</v>
      </c>
      <c r="L59" s="37" t="s">
        <v>86</v>
      </c>
      <c r="M59" s="1"/>
      <c r="N59" s="1">
        <v>52011</v>
      </c>
      <c r="O59" s="12">
        <v>33</v>
      </c>
      <c r="R59">
        <v>1</v>
      </c>
    </row>
    <row r="60" spans="1:18">
      <c r="A60" s="37">
        <v>110003</v>
      </c>
      <c r="B60" s="37">
        <v>12006</v>
      </c>
      <c r="C60" s="75" t="s">
        <v>89</v>
      </c>
      <c r="D60" s="37">
        <v>71</v>
      </c>
      <c r="E60" s="147" t="s">
        <v>19</v>
      </c>
      <c r="F60" s="37">
        <v>77</v>
      </c>
      <c r="G60" s="147" t="s">
        <v>20</v>
      </c>
      <c r="H60" s="1"/>
      <c r="I60" s="1"/>
      <c r="J60" s="1"/>
      <c r="K60" s="37">
        <v>1003</v>
      </c>
      <c r="L60" s="37" t="s">
        <v>90</v>
      </c>
      <c r="M60" s="1"/>
      <c r="N60" s="1"/>
      <c r="O60" s="12">
        <v>5</v>
      </c>
      <c r="R60">
        <v>1</v>
      </c>
    </row>
    <row r="61" spans="1:18" s="1" customFormat="1">
      <c r="A61" s="37">
        <v>110004</v>
      </c>
      <c r="B61" s="37">
        <v>12018</v>
      </c>
      <c r="C61" s="75" t="s">
        <v>114</v>
      </c>
      <c r="D61" s="37">
        <v>71</v>
      </c>
      <c r="E61" s="147" t="s">
        <v>19</v>
      </c>
      <c r="F61" s="37">
        <v>77</v>
      </c>
      <c r="G61" s="147" t="s">
        <v>20</v>
      </c>
      <c r="H61" s="37">
        <v>7006</v>
      </c>
      <c r="J61" s="147">
        <v>30</v>
      </c>
      <c r="K61" s="37">
        <v>1508</v>
      </c>
      <c r="L61" s="37" t="s">
        <v>115</v>
      </c>
      <c r="M61" s="37">
        <v>52017</v>
      </c>
      <c r="O61" s="37">
        <v>39</v>
      </c>
      <c r="P61" s="37">
        <v>14</v>
      </c>
      <c r="R61">
        <v>1</v>
      </c>
    </row>
    <row r="62" spans="1:18" s="1" customFormat="1">
      <c r="A62" s="37">
        <v>110005</v>
      </c>
      <c r="B62" s="37">
        <v>12019</v>
      </c>
      <c r="C62" s="75" t="s">
        <v>116</v>
      </c>
      <c r="D62" s="37">
        <v>71</v>
      </c>
      <c r="E62" s="147" t="s">
        <v>19</v>
      </c>
      <c r="F62" s="37">
        <v>77</v>
      </c>
      <c r="G62" s="147" t="s">
        <v>20</v>
      </c>
      <c r="H62" s="37">
        <v>7007</v>
      </c>
      <c r="J62" s="147">
        <v>30</v>
      </c>
      <c r="K62" s="37">
        <v>1509</v>
      </c>
      <c r="L62" s="37" t="s">
        <v>117</v>
      </c>
      <c r="M62" s="37">
        <v>52018</v>
      </c>
      <c r="O62" s="37">
        <v>40</v>
      </c>
      <c r="P62" s="37">
        <v>15</v>
      </c>
      <c r="R62">
        <v>1</v>
      </c>
    </row>
    <row r="63" spans="1:18">
      <c r="A63" s="63">
        <v>120001</v>
      </c>
      <c r="B63" s="63">
        <v>12005</v>
      </c>
      <c r="C63" s="75" t="s">
        <v>112</v>
      </c>
      <c r="D63" s="63">
        <v>78</v>
      </c>
      <c r="E63" s="154" t="s">
        <v>19</v>
      </c>
      <c r="F63" s="63">
        <v>84</v>
      </c>
      <c r="G63" s="154" t="s">
        <v>20</v>
      </c>
      <c r="H63" s="63">
        <v>3101</v>
      </c>
      <c r="I63" s="63"/>
      <c r="J63" s="154">
        <v>30</v>
      </c>
      <c r="K63" s="63">
        <v>1011</v>
      </c>
      <c r="L63" s="63" t="s">
        <v>113</v>
      </c>
      <c r="M63" s="63">
        <v>52007</v>
      </c>
      <c r="N63" s="63"/>
      <c r="O63" s="63">
        <v>18</v>
      </c>
      <c r="P63" s="63">
        <v>6</v>
      </c>
      <c r="R63">
        <v>1</v>
      </c>
    </row>
    <row r="64" spans="1:18">
      <c r="A64" s="63">
        <v>120002</v>
      </c>
      <c r="B64" s="63">
        <v>12009</v>
      </c>
      <c r="C64" s="75" t="s">
        <v>85</v>
      </c>
      <c r="D64" s="63">
        <v>78</v>
      </c>
      <c r="E64" s="154" t="s">
        <v>19</v>
      </c>
      <c r="F64" s="63">
        <v>84</v>
      </c>
      <c r="G64" s="154" t="s">
        <v>20</v>
      </c>
      <c r="H64" s="138"/>
      <c r="I64" s="138"/>
      <c r="J64" s="138"/>
      <c r="K64" s="63">
        <v>1013</v>
      </c>
      <c r="L64" s="63" t="s">
        <v>86</v>
      </c>
      <c r="M64" s="138"/>
      <c r="N64" s="138">
        <v>52011</v>
      </c>
      <c r="O64" s="63">
        <v>33</v>
      </c>
      <c r="P64" s="63"/>
      <c r="R64">
        <v>1</v>
      </c>
    </row>
    <row r="65" spans="1:18" s="68" customFormat="1">
      <c r="A65" s="63">
        <v>120003</v>
      </c>
      <c r="B65" s="62">
        <v>12013</v>
      </c>
      <c r="C65" s="75" t="s">
        <v>104</v>
      </c>
      <c r="D65" s="63">
        <v>78</v>
      </c>
      <c r="E65" s="154" t="s">
        <v>19</v>
      </c>
      <c r="F65" s="63">
        <v>84</v>
      </c>
      <c r="G65" s="144" t="s">
        <v>20</v>
      </c>
      <c r="H65" s="62">
        <v>7001</v>
      </c>
      <c r="J65" s="144">
        <v>30</v>
      </c>
      <c r="K65" s="62">
        <v>1503</v>
      </c>
      <c r="L65" s="62" t="s">
        <v>105</v>
      </c>
      <c r="M65" s="62">
        <v>52012</v>
      </c>
      <c r="N65" s="62"/>
      <c r="O65" s="62">
        <v>34</v>
      </c>
      <c r="P65" s="62">
        <v>9</v>
      </c>
      <c r="R65" s="68">
        <v>1</v>
      </c>
    </row>
    <row r="66" spans="1:18" s="68" customFormat="1">
      <c r="A66" s="63">
        <v>120004</v>
      </c>
      <c r="B66" s="62">
        <v>12014</v>
      </c>
      <c r="C66" s="75" t="s">
        <v>106</v>
      </c>
      <c r="D66" s="63">
        <v>78</v>
      </c>
      <c r="E66" s="154" t="s">
        <v>19</v>
      </c>
      <c r="F66" s="63">
        <v>84</v>
      </c>
      <c r="G66" s="144" t="s">
        <v>20</v>
      </c>
      <c r="H66" s="62">
        <v>7002</v>
      </c>
      <c r="J66" s="144">
        <v>30</v>
      </c>
      <c r="K66" s="62">
        <v>1504</v>
      </c>
      <c r="L66" s="62" t="s">
        <v>107</v>
      </c>
      <c r="M66" s="62">
        <v>52013</v>
      </c>
      <c r="O66" s="62">
        <v>35</v>
      </c>
      <c r="P66" s="62">
        <v>10</v>
      </c>
      <c r="R66" s="68">
        <v>1</v>
      </c>
    </row>
    <row r="67" spans="1:18">
      <c r="A67" s="141">
        <v>130001</v>
      </c>
      <c r="B67" s="141">
        <v>12008</v>
      </c>
      <c r="C67" s="75" t="s">
        <v>118</v>
      </c>
      <c r="D67" s="141">
        <v>85</v>
      </c>
      <c r="E67" s="142" t="s">
        <v>19</v>
      </c>
      <c r="F67" s="141">
        <v>91</v>
      </c>
      <c r="G67" s="142" t="s">
        <v>20</v>
      </c>
      <c r="H67" s="141">
        <v>1002</v>
      </c>
      <c r="I67" s="143"/>
      <c r="J67" s="142">
        <v>30</v>
      </c>
      <c r="K67" s="141">
        <v>1012</v>
      </c>
      <c r="L67" s="141" t="s">
        <v>119</v>
      </c>
      <c r="M67" s="141">
        <v>52008</v>
      </c>
      <c r="N67" s="141"/>
      <c r="O67" s="141">
        <v>22</v>
      </c>
      <c r="P67" s="141">
        <v>7</v>
      </c>
      <c r="R67">
        <v>1</v>
      </c>
    </row>
    <row r="68" spans="1:18">
      <c r="A68" s="141">
        <v>130002</v>
      </c>
      <c r="B68" s="141">
        <v>12009</v>
      </c>
      <c r="C68" s="75" t="s">
        <v>85</v>
      </c>
      <c r="D68" s="141">
        <v>85</v>
      </c>
      <c r="E68" s="142" t="s">
        <v>19</v>
      </c>
      <c r="F68" s="141">
        <v>91</v>
      </c>
      <c r="G68" s="142" t="s">
        <v>20</v>
      </c>
      <c r="H68" s="143"/>
      <c r="I68" s="143"/>
      <c r="J68" s="143"/>
      <c r="K68" s="141">
        <v>1013</v>
      </c>
      <c r="L68" s="141" t="s">
        <v>86</v>
      </c>
      <c r="M68" s="143"/>
      <c r="N68" s="143">
        <v>52011</v>
      </c>
      <c r="O68" s="141">
        <v>33</v>
      </c>
      <c r="P68" s="141"/>
      <c r="R68">
        <v>1</v>
      </c>
    </row>
    <row r="69" spans="1:18">
      <c r="A69" s="141">
        <v>130003</v>
      </c>
      <c r="B69" s="141">
        <v>12006</v>
      </c>
      <c r="C69" s="75" t="s">
        <v>89</v>
      </c>
      <c r="D69" s="141">
        <v>85</v>
      </c>
      <c r="E69" s="142" t="s">
        <v>19</v>
      </c>
      <c r="F69" s="141">
        <v>91</v>
      </c>
      <c r="G69" s="142" t="s">
        <v>20</v>
      </c>
      <c r="H69" s="143"/>
      <c r="I69" s="143"/>
      <c r="J69" s="143"/>
      <c r="K69" s="141">
        <v>1003</v>
      </c>
      <c r="L69" s="141" t="s">
        <v>90</v>
      </c>
      <c r="M69" s="143"/>
      <c r="N69" s="143"/>
      <c r="O69" s="141">
        <v>5</v>
      </c>
      <c r="P69" s="141"/>
      <c r="R69">
        <v>1</v>
      </c>
    </row>
    <row r="70" spans="1:18" s="68" customFormat="1">
      <c r="A70" s="141">
        <v>130004</v>
      </c>
      <c r="B70" s="62">
        <v>12020</v>
      </c>
      <c r="C70" s="75" t="s">
        <v>95</v>
      </c>
      <c r="D70" s="141">
        <v>85</v>
      </c>
      <c r="E70" s="142" t="s">
        <v>19</v>
      </c>
      <c r="F70" s="141">
        <v>91</v>
      </c>
      <c r="G70" s="144" t="s">
        <v>20</v>
      </c>
      <c r="H70" s="62">
        <v>7008</v>
      </c>
      <c r="J70" s="144">
        <v>30</v>
      </c>
      <c r="K70" s="62">
        <v>1510</v>
      </c>
      <c r="L70" s="62" t="s">
        <v>96</v>
      </c>
      <c r="M70" s="62">
        <v>52019</v>
      </c>
      <c r="O70" s="62">
        <v>41</v>
      </c>
      <c r="P70" s="62">
        <v>16</v>
      </c>
    </row>
    <row r="71" spans="1:18" s="68" customFormat="1">
      <c r="A71" s="141">
        <v>130005</v>
      </c>
      <c r="B71" s="62">
        <v>12021</v>
      </c>
      <c r="C71" s="75" t="s">
        <v>110</v>
      </c>
      <c r="D71" s="141">
        <v>85</v>
      </c>
      <c r="E71" s="142" t="s">
        <v>19</v>
      </c>
      <c r="F71" s="141">
        <v>91</v>
      </c>
      <c r="G71" s="144" t="s">
        <v>20</v>
      </c>
      <c r="H71" s="62">
        <v>7009</v>
      </c>
      <c r="J71" s="144">
        <v>30</v>
      </c>
      <c r="K71" s="62">
        <v>1511</v>
      </c>
      <c r="L71" s="62" t="s">
        <v>111</v>
      </c>
      <c r="M71" s="62">
        <v>52020</v>
      </c>
      <c r="O71" s="62">
        <v>42</v>
      </c>
      <c r="P71" s="62">
        <v>17</v>
      </c>
    </row>
    <row r="72" spans="1:18" s="138" customFormat="1">
      <c r="A72" s="63">
        <v>140001</v>
      </c>
      <c r="B72" s="63">
        <v>12004</v>
      </c>
      <c r="C72" s="75" t="s">
        <v>91</v>
      </c>
      <c r="D72" s="63">
        <v>92</v>
      </c>
      <c r="E72" s="154" t="s">
        <v>19</v>
      </c>
      <c r="F72" s="63">
        <v>98</v>
      </c>
      <c r="G72" s="154" t="s">
        <v>20</v>
      </c>
      <c r="H72" s="63">
        <v>1003</v>
      </c>
      <c r="I72" s="63"/>
      <c r="J72" s="154">
        <v>30</v>
      </c>
      <c r="K72" s="63">
        <v>1010</v>
      </c>
      <c r="L72" s="63" t="s">
        <v>92</v>
      </c>
      <c r="M72" s="63">
        <v>52006</v>
      </c>
      <c r="N72" s="63"/>
      <c r="O72" s="63">
        <v>6</v>
      </c>
      <c r="P72" s="63">
        <v>3</v>
      </c>
      <c r="R72">
        <v>1</v>
      </c>
    </row>
    <row r="73" spans="1:18" s="138" customFormat="1">
      <c r="A73" s="63">
        <v>140002</v>
      </c>
      <c r="B73" s="63">
        <v>12009</v>
      </c>
      <c r="C73" s="75" t="s">
        <v>85</v>
      </c>
      <c r="D73" s="63">
        <v>92</v>
      </c>
      <c r="E73" s="154" t="s">
        <v>19</v>
      </c>
      <c r="F73" s="63">
        <v>98</v>
      </c>
      <c r="G73" s="154" t="s">
        <v>20</v>
      </c>
      <c r="K73" s="63">
        <v>1013</v>
      </c>
      <c r="L73" s="63" t="s">
        <v>86</v>
      </c>
      <c r="N73" s="138">
        <v>52011</v>
      </c>
      <c r="O73" s="63">
        <v>33</v>
      </c>
      <c r="P73" s="63"/>
      <c r="R73">
        <v>1</v>
      </c>
    </row>
    <row r="74" spans="1:18" s="138" customFormat="1">
      <c r="A74" s="63">
        <v>140003</v>
      </c>
      <c r="B74" s="63">
        <v>12006</v>
      </c>
      <c r="C74" s="75" t="s">
        <v>89</v>
      </c>
      <c r="D74" s="63">
        <v>92</v>
      </c>
      <c r="E74" s="154" t="s">
        <v>19</v>
      </c>
      <c r="F74" s="63">
        <v>98</v>
      </c>
      <c r="G74" s="154" t="s">
        <v>20</v>
      </c>
      <c r="K74" s="63">
        <v>1003</v>
      </c>
      <c r="L74" s="63" t="s">
        <v>90</v>
      </c>
      <c r="O74" s="63">
        <v>5</v>
      </c>
      <c r="P74" s="63"/>
      <c r="R74">
        <v>1</v>
      </c>
    </row>
    <row r="75" spans="1:18" s="138" customFormat="1">
      <c r="A75" s="63">
        <v>140004</v>
      </c>
      <c r="B75" s="63">
        <v>12010</v>
      </c>
      <c r="C75" s="75" t="s">
        <v>81</v>
      </c>
      <c r="D75" s="63">
        <v>92</v>
      </c>
      <c r="E75" s="154" t="s">
        <v>19</v>
      </c>
      <c r="F75" s="63">
        <v>98</v>
      </c>
      <c r="G75" s="154" t="s">
        <v>20</v>
      </c>
      <c r="H75" s="63">
        <v>990</v>
      </c>
      <c r="I75" s="63"/>
      <c r="J75" s="63">
        <v>30</v>
      </c>
      <c r="K75" s="63">
        <v>1015</v>
      </c>
      <c r="L75" s="63" t="s">
        <v>82</v>
      </c>
      <c r="M75" s="63">
        <v>52009</v>
      </c>
      <c r="N75" s="63"/>
      <c r="O75" s="63">
        <v>1</v>
      </c>
      <c r="P75" s="63">
        <v>1</v>
      </c>
      <c r="R75">
        <v>1</v>
      </c>
    </row>
    <row r="76" spans="1:18" s="1" customFormat="1">
      <c r="A76" s="63">
        <v>140005</v>
      </c>
      <c r="B76" s="37">
        <v>12018</v>
      </c>
      <c r="C76" s="75" t="s">
        <v>114</v>
      </c>
      <c r="D76" s="63">
        <v>92</v>
      </c>
      <c r="E76" s="154" t="s">
        <v>19</v>
      </c>
      <c r="F76" s="63">
        <v>98</v>
      </c>
      <c r="G76" s="147" t="s">
        <v>20</v>
      </c>
      <c r="H76" s="37">
        <v>7006</v>
      </c>
      <c r="J76" s="147">
        <v>30</v>
      </c>
      <c r="K76" s="37">
        <v>1508</v>
      </c>
      <c r="L76" s="37" t="s">
        <v>115</v>
      </c>
      <c r="M76" s="37">
        <v>52017</v>
      </c>
      <c r="O76" s="37">
        <v>39</v>
      </c>
      <c r="P76" s="37">
        <v>14</v>
      </c>
      <c r="R76">
        <v>1</v>
      </c>
    </row>
    <row r="77" spans="1:18" s="1" customFormat="1">
      <c r="A77" s="63">
        <v>140006</v>
      </c>
      <c r="B77" s="37">
        <v>12019</v>
      </c>
      <c r="C77" s="75" t="s">
        <v>116</v>
      </c>
      <c r="D77" s="63">
        <v>92</v>
      </c>
      <c r="E77" s="154" t="s">
        <v>19</v>
      </c>
      <c r="F77" s="63">
        <v>98</v>
      </c>
      <c r="G77" s="147" t="s">
        <v>20</v>
      </c>
      <c r="H77" s="37">
        <v>7007</v>
      </c>
      <c r="J77" s="147">
        <v>30</v>
      </c>
      <c r="K77" s="37">
        <v>1509</v>
      </c>
      <c r="L77" s="37" t="s">
        <v>117</v>
      </c>
      <c r="M77" s="37">
        <v>52018</v>
      </c>
      <c r="O77" s="37">
        <v>40</v>
      </c>
      <c r="P77" s="37">
        <v>15</v>
      </c>
      <c r="R77">
        <v>1</v>
      </c>
    </row>
    <row r="78" spans="1:18">
      <c r="A78" s="37">
        <v>150001</v>
      </c>
      <c r="B78" s="37">
        <v>12005</v>
      </c>
      <c r="C78" s="75" t="s">
        <v>112</v>
      </c>
      <c r="D78" s="37">
        <v>99</v>
      </c>
      <c r="E78" s="147" t="s">
        <v>19</v>
      </c>
      <c r="F78" s="37">
        <v>105</v>
      </c>
      <c r="G78" s="147" t="s">
        <v>20</v>
      </c>
      <c r="H78" s="37">
        <v>3101</v>
      </c>
      <c r="I78" s="37"/>
      <c r="J78" s="147">
        <v>30</v>
      </c>
      <c r="K78" s="37">
        <v>1011</v>
      </c>
      <c r="L78" s="37" t="s">
        <v>113</v>
      </c>
      <c r="M78" s="37">
        <v>52007</v>
      </c>
      <c r="N78" s="37"/>
      <c r="O78" s="37">
        <v>18</v>
      </c>
      <c r="P78" s="37">
        <v>6</v>
      </c>
      <c r="R78">
        <v>1</v>
      </c>
    </row>
    <row r="79" spans="1:18">
      <c r="A79" s="37">
        <v>150002</v>
      </c>
      <c r="B79" s="37">
        <v>12009</v>
      </c>
      <c r="C79" s="75" t="s">
        <v>85</v>
      </c>
      <c r="D79" s="37">
        <v>99</v>
      </c>
      <c r="E79" s="147" t="s">
        <v>19</v>
      </c>
      <c r="F79" s="37">
        <v>105</v>
      </c>
      <c r="G79" s="147" t="s">
        <v>20</v>
      </c>
      <c r="H79" s="1"/>
      <c r="I79" s="1"/>
      <c r="J79" s="1"/>
      <c r="K79" s="37">
        <v>1013</v>
      </c>
      <c r="L79" s="37" t="s">
        <v>86</v>
      </c>
      <c r="M79" s="1"/>
      <c r="N79" s="1">
        <v>52011</v>
      </c>
      <c r="O79" s="37">
        <v>33</v>
      </c>
      <c r="P79" s="37"/>
      <c r="R79">
        <v>1</v>
      </c>
    </row>
    <row r="80" spans="1:18">
      <c r="A80" s="37">
        <v>150003</v>
      </c>
      <c r="B80" s="37">
        <v>12006</v>
      </c>
      <c r="C80" s="75" t="s">
        <v>89</v>
      </c>
      <c r="D80" s="37">
        <v>99</v>
      </c>
      <c r="E80" s="147" t="s">
        <v>19</v>
      </c>
      <c r="F80" s="37">
        <v>105</v>
      </c>
      <c r="G80" s="147" t="s">
        <v>20</v>
      </c>
      <c r="H80" s="1"/>
      <c r="I80" s="1"/>
      <c r="J80" s="1"/>
      <c r="K80" s="37">
        <v>1003</v>
      </c>
      <c r="L80" s="37" t="s">
        <v>90</v>
      </c>
      <c r="M80" s="1"/>
      <c r="N80" s="1"/>
      <c r="O80" s="37">
        <v>5</v>
      </c>
      <c r="P80" s="37"/>
      <c r="R80">
        <v>1</v>
      </c>
    </row>
    <row r="81" spans="1:18" s="68" customFormat="1">
      <c r="A81" s="37">
        <v>150004</v>
      </c>
      <c r="B81" s="62">
        <v>12013</v>
      </c>
      <c r="C81" s="75" t="s">
        <v>104</v>
      </c>
      <c r="D81" s="37">
        <v>99</v>
      </c>
      <c r="E81" s="147" t="s">
        <v>19</v>
      </c>
      <c r="F81" s="37">
        <v>105</v>
      </c>
      <c r="G81" s="144" t="s">
        <v>20</v>
      </c>
      <c r="H81" s="62">
        <v>7001</v>
      </c>
      <c r="J81" s="144">
        <v>30</v>
      </c>
      <c r="K81" s="62">
        <v>1503</v>
      </c>
      <c r="L81" s="62" t="s">
        <v>105</v>
      </c>
      <c r="M81" s="62">
        <v>52012</v>
      </c>
      <c r="N81" s="62"/>
      <c r="O81" s="62">
        <v>34</v>
      </c>
      <c r="P81" s="62">
        <v>9</v>
      </c>
      <c r="R81" s="68">
        <v>1</v>
      </c>
    </row>
    <row r="82" spans="1:18" s="68" customFormat="1">
      <c r="A82" s="37">
        <v>150005</v>
      </c>
      <c r="B82" s="62">
        <v>12014</v>
      </c>
      <c r="C82" s="75" t="s">
        <v>106</v>
      </c>
      <c r="D82" s="37">
        <v>99</v>
      </c>
      <c r="E82" s="147" t="s">
        <v>19</v>
      </c>
      <c r="F82" s="37">
        <v>105</v>
      </c>
      <c r="G82" s="144" t="s">
        <v>20</v>
      </c>
      <c r="H82" s="62">
        <v>7002</v>
      </c>
      <c r="J82" s="144">
        <v>30</v>
      </c>
      <c r="K82" s="62">
        <v>1504</v>
      </c>
      <c r="L82" s="62" t="s">
        <v>107</v>
      </c>
      <c r="M82" s="62">
        <v>52013</v>
      </c>
      <c r="O82" s="62">
        <v>35</v>
      </c>
      <c r="P82" s="62">
        <v>10</v>
      </c>
      <c r="R82" s="68">
        <v>1</v>
      </c>
    </row>
    <row r="83" spans="1:18">
      <c r="A83" s="141">
        <v>160001</v>
      </c>
      <c r="B83" s="141">
        <v>12008</v>
      </c>
      <c r="C83" s="75" t="s">
        <v>118</v>
      </c>
      <c r="D83" s="141">
        <v>106</v>
      </c>
      <c r="E83" s="142" t="s">
        <v>19</v>
      </c>
      <c r="F83" s="141">
        <v>112</v>
      </c>
      <c r="G83" s="142" t="s">
        <v>20</v>
      </c>
      <c r="H83" s="141">
        <v>1002</v>
      </c>
      <c r="I83" s="143"/>
      <c r="J83" s="142">
        <v>30</v>
      </c>
      <c r="K83" s="141">
        <v>1012</v>
      </c>
      <c r="L83" s="141" t="s">
        <v>119</v>
      </c>
      <c r="M83" s="141">
        <v>52008</v>
      </c>
      <c r="N83" s="141"/>
      <c r="O83" s="141">
        <v>22</v>
      </c>
      <c r="P83" s="141">
        <v>7</v>
      </c>
      <c r="R83">
        <v>1</v>
      </c>
    </row>
    <row r="84" spans="1:18">
      <c r="A84" s="141">
        <v>160002</v>
      </c>
      <c r="B84" s="141">
        <v>12009</v>
      </c>
      <c r="C84" s="75" t="s">
        <v>85</v>
      </c>
      <c r="D84" s="141">
        <v>106</v>
      </c>
      <c r="E84" s="142" t="s">
        <v>19</v>
      </c>
      <c r="F84" s="141">
        <v>112</v>
      </c>
      <c r="G84" s="142" t="s">
        <v>20</v>
      </c>
      <c r="H84" s="143"/>
      <c r="I84" s="143"/>
      <c r="J84" s="143"/>
      <c r="K84" s="141">
        <v>1013</v>
      </c>
      <c r="L84" s="141" t="s">
        <v>86</v>
      </c>
      <c r="M84" s="143"/>
      <c r="N84" s="143">
        <v>52011</v>
      </c>
      <c r="O84" s="141">
        <v>33</v>
      </c>
      <c r="P84" s="141"/>
      <c r="R84">
        <v>1</v>
      </c>
    </row>
    <row r="85" spans="1:18">
      <c r="A85" s="141">
        <v>160003</v>
      </c>
      <c r="B85" s="141">
        <v>12006</v>
      </c>
      <c r="C85" s="75" t="s">
        <v>89</v>
      </c>
      <c r="D85" s="141">
        <v>106</v>
      </c>
      <c r="E85" s="142" t="s">
        <v>19</v>
      </c>
      <c r="F85" s="141">
        <v>112</v>
      </c>
      <c r="G85" s="142" t="s">
        <v>20</v>
      </c>
      <c r="H85" s="143"/>
      <c r="I85" s="143"/>
      <c r="J85" s="143"/>
      <c r="K85" s="141">
        <v>1003</v>
      </c>
      <c r="L85" s="141" t="s">
        <v>90</v>
      </c>
      <c r="M85" s="143"/>
      <c r="N85" s="143"/>
      <c r="O85" s="141">
        <v>5</v>
      </c>
      <c r="P85" s="141"/>
      <c r="R85">
        <v>1</v>
      </c>
    </row>
    <row r="86" spans="1:18" s="68" customFormat="1">
      <c r="A86" s="141">
        <v>160004</v>
      </c>
      <c r="B86" s="62">
        <v>12020</v>
      </c>
      <c r="C86" s="75" t="s">
        <v>95</v>
      </c>
      <c r="D86" s="141">
        <v>106</v>
      </c>
      <c r="E86" s="142" t="s">
        <v>19</v>
      </c>
      <c r="F86" s="141">
        <v>112</v>
      </c>
      <c r="G86" s="144" t="s">
        <v>20</v>
      </c>
      <c r="H86" s="62">
        <v>7008</v>
      </c>
      <c r="J86" s="144">
        <v>30</v>
      </c>
      <c r="K86" s="62">
        <v>1510</v>
      </c>
      <c r="L86" s="62" t="s">
        <v>96</v>
      </c>
      <c r="M86" s="62">
        <v>52019</v>
      </c>
      <c r="O86" s="62">
        <v>41</v>
      </c>
      <c r="P86" s="62">
        <v>16</v>
      </c>
    </row>
    <row r="87" spans="1:18" s="68" customFormat="1">
      <c r="A87" s="141">
        <v>160005</v>
      </c>
      <c r="B87" s="62">
        <v>12021</v>
      </c>
      <c r="C87" s="75" t="s">
        <v>110</v>
      </c>
      <c r="D87" s="141">
        <v>106</v>
      </c>
      <c r="E87" s="142" t="s">
        <v>19</v>
      </c>
      <c r="F87" s="141">
        <v>112</v>
      </c>
      <c r="G87" s="144" t="s">
        <v>20</v>
      </c>
      <c r="H87" s="62">
        <v>7009</v>
      </c>
      <c r="J87" s="144">
        <v>30</v>
      </c>
      <c r="K87" s="62">
        <v>1511</v>
      </c>
      <c r="L87" s="62" t="s">
        <v>111</v>
      </c>
      <c r="M87" s="62">
        <v>52020</v>
      </c>
      <c r="O87" s="62">
        <v>42</v>
      </c>
      <c r="P87" s="62">
        <v>17</v>
      </c>
    </row>
    <row r="88" spans="1:18" s="1" customFormat="1">
      <c r="A88" s="37">
        <v>170001</v>
      </c>
      <c r="B88" s="37">
        <v>12002</v>
      </c>
      <c r="C88" s="75" t="s">
        <v>97</v>
      </c>
      <c r="D88" s="37">
        <v>113</v>
      </c>
      <c r="E88" s="147" t="s">
        <v>19</v>
      </c>
      <c r="F88" s="37">
        <v>119</v>
      </c>
      <c r="G88" s="147" t="s">
        <v>20</v>
      </c>
      <c r="H88" s="37">
        <v>1502</v>
      </c>
      <c r="I88" s="37"/>
      <c r="J88" s="147">
        <v>30</v>
      </c>
      <c r="K88" s="37">
        <v>1008</v>
      </c>
      <c r="L88" s="37" t="s">
        <v>98</v>
      </c>
      <c r="M88" s="37">
        <v>52004</v>
      </c>
      <c r="N88" s="37"/>
      <c r="O88" s="37">
        <v>10</v>
      </c>
      <c r="P88" s="37">
        <v>4</v>
      </c>
      <c r="R88">
        <v>1</v>
      </c>
    </row>
    <row r="89" spans="1:18" s="1" customFormat="1">
      <c r="A89" s="37">
        <v>170002</v>
      </c>
      <c r="B89" s="37">
        <v>12009</v>
      </c>
      <c r="C89" s="75" t="s">
        <v>85</v>
      </c>
      <c r="D89" s="37">
        <v>113</v>
      </c>
      <c r="E89" s="147" t="s">
        <v>19</v>
      </c>
      <c r="F89" s="37">
        <v>119</v>
      </c>
      <c r="G89" s="147" t="s">
        <v>20</v>
      </c>
      <c r="K89" s="37">
        <v>1013</v>
      </c>
      <c r="L89" s="37" t="s">
        <v>86</v>
      </c>
      <c r="N89" s="1">
        <v>52011</v>
      </c>
      <c r="O89" s="37">
        <v>33</v>
      </c>
      <c r="P89" s="37"/>
      <c r="R89">
        <v>1</v>
      </c>
    </row>
    <row r="90" spans="1:18" s="1" customFormat="1">
      <c r="A90" s="37">
        <v>170003</v>
      </c>
      <c r="B90" s="37">
        <v>12006</v>
      </c>
      <c r="C90" s="75" t="s">
        <v>89</v>
      </c>
      <c r="D90" s="37">
        <v>113</v>
      </c>
      <c r="E90" s="147" t="s">
        <v>19</v>
      </c>
      <c r="F90" s="37">
        <v>119</v>
      </c>
      <c r="G90" s="147" t="s">
        <v>20</v>
      </c>
      <c r="K90" s="37">
        <v>1003</v>
      </c>
      <c r="L90" s="37" t="s">
        <v>90</v>
      </c>
      <c r="O90" s="37">
        <v>5</v>
      </c>
      <c r="P90" s="37"/>
      <c r="R90">
        <v>1</v>
      </c>
    </row>
    <row r="91" spans="1:18" s="1" customFormat="1">
      <c r="A91" s="37">
        <v>170004</v>
      </c>
      <c r="B91" s="37">
        <v>12018</v>
      </c>
      <c r="C91" s="75" t="s">
        <v>114</v>
      </c>
      <c r="D91" s="37">
        <v>113</v>
      </c>
      <c r="E91" s="147" t="s">
        <v>19</v>
      </c>
      <c r="F91" s="37">
        <v>119</v>
      </c>
      <c r="G91" s="147" t="s">
        <v>20</v>
      </c>
      <c r="H91" s="37">
        <v>7006</v>
      </c>
      <c r="J91" s="147">
        <v>30</v>
      </c>
      <c r="K91" s="37">
        <v>1508</v>
      </c>
      <c r="L91" s="37" t="s">
        <v>115</v>
      </c>
      <c r="M91" s="37">
        <v>52017</v>
      </c>
      <c r="O91" s="37">
        <v>39</v>
      </c>
      <c r="P91" s="37">
        <v>14</v>
      </c>
      <c r="R91">
        <v>1</v>
      </c>
    </row>
    <row r="92" spans="1:18" s="1" customFormat="1">
      <c r="A92" s="37">
        <v>170005</v>
      </c>
      <c r="B92" s="37">
        <v>12019</v>
      </c>
      <c r="C92" s="75" t="s">
        <v>116</v>
      </c>
      <c r="D92" s="37">
        <v>113</v>
      </c>
      <c r="E92" s="147" t="s">
        <v>19</v>
      </c>
      <c r="F92" s="37">
        <v>119</v>
      </c>
      <c r="G92" s="147" t="s">
        <v>20</v>
      </c>
      <c r="H92" s="37">
        <v>7007</v>
      </c>
      <c r="J92" s="147">
        <v>30</v>
      </c>
      <c r="K92" s="37">
        <v>1509</v>
      </c>
      <c r="L92" s="37" t="s">
        <v>117</v>
      </c>
      <c r="M92" s="37">
        <v>52018</v>
      </c>
      <c r="O92" s="37">
        <v>40</v>
      </c>
      <c r="P92" s="37">
        <v>15</v>
      </c>
      <c r="R92">
        <v>1</v>
      </c>
    </row>
    <row r="93" spans="1:18" s="138" customFormat="1">
      <c r="A93" s="63">
        <v>180001</v>
      </c>
      <c r="B93" s="63">
        <v>12004</v>
      </c>
      <c r="C93" s="75" t="s">
        <v>91</v>
      </c>
      <c r="D93" s="63">
        <v>120</v>
      </c>
      <c r="E93" s="154" t="s">
        <v>19</v>
      </c>
      <c r="F93" s="63">
        <v>126</v>
      </c>
      <c r="G93" s="154" t="s">
        <v>20</v>
      </c>
      <c r="H93" s="63">
        <v>1003</v>
      </c>
      <c r="I93" s="63"/>
      <c r="J93" s="154">
        <v>30</v>
      </c>
      <c r="K93" s="63">
        <v>1010</v>
      </c>
      <c r="L93" s="63" t="s">
        <v>92</v>
      </c>
      <c r="M93" s="63">
        <v>52006</v>
      </c>
      <c r="N93" s="63"/>
      <c r="O93" s="63">
        <v>6</v>
      </c>
      <c r="P93" s="63">
        <v>3</v>
      </c>
      <c r="R93">
        <v>1</v>
      </c>
    </row>
    <row r="94" spans="1:18" s="138" customFormat="1">
      <c r="A94" s="63">
        <v>180002</v>
      </c>
      <c r="B94" s="63">
        <v>12009</v>
      </c>
      <c r="C94" s="75" t="s">
        <v>85</v>
      </c>
      <c r="D94" s="63">
        <v>120</v>
      </c>
      <c r="E94" s="154" t="s">
        <v>19</v>
      </c>
      <c r="F94" s="63">
        <v>126</v>
      </c>
      <c r="G94" s="154" t="s">
        <v>20</v>
      </c>
      <c r="K94" s="63">
        <v>1013</v>
      </c>
      <c r="L94" s="63" t="s">
        <v>86</v>
      </c>
      <c r="N94" s="138">
        <v>52011</v>
      </c>
      <c r="O94" s="63">
        <v>33</v>
      </c>
      <c r="P94" s="63"/>
      <c r="R94">
        <v>1</v>
      </c>
    </row>
    <row r="95" spans="1:18" s="138" customFormat="1">
      <c r="A95" s="63">
        <v>180003</v>
      </c>
      <c r="B95" s="63">
        <v>12006</v>
      </c>
      <c r="C95" s="75" t="s">
        <v>89</v>
      </c>
      <c r="D95" s="63">
        <v>120</v>
      </c>
      <c r="E95" s="154" t="s">
        <v>19</v>
      </c>
      <c r="F95" s="63">
        <v>126</v>
      </c>
      <c r="G95" s="154" t="s">
        <v>20</v>
      </c>
      <c r="K95" s="63">
        <v>1003</v>
      </c>
      <c r="L95" s="63" t="s">
        <v>90</v>
      </c>
      <c r="O95" s="63">
        <v>5</v>
      </c>
      <c r="P95" s="63"/>
      <c r="R95">
        <v>1</v>
      </c>
    </row>
    <row r="96" spans="1:18" s="68" customFormat="1">
      <c r="A96" s="63">
        <v>180004</v>
      </c>
      <c r="B96" s="62">
        <v>12013</v>
      </c>
      <c r="C96" s="75" t="s">
        <v>104</v>
      </c>
      <c r="D96" s="63">
        <v>120</v>
      </c>
      <c r="E96" s="154" t="s">
        <v>19</v>
      </c>
      <c r="F96" s="63">
        <v>126</v>
      </c>
      <c r="G96" s="144" t="s">
        <v>20</v>
      </c>
      <c r="H96" s="62">
        <v>7001</v>
      </c>
      <c r="J96" s="144">
        <v>30</v>
      </c>
      <c r="K96" s="62">
        <v>1503</v>
      </c>
      <c r="L96" s="62" t="s">
        <v>105</v>
      </c>
      <c r="M96" s="62">
        <v>52012</v>
      </c>
      <c r="N96" s="62"/>
      <c r="O96" s="62">
        <v>34</v>
      </c>
      <c r="P96" s="62">
        <v>9</v>
      </c>
      <c r="R96" s="68">
        <v>1</v>
      </c>
    </row>
    <row r="97" spans="1:18" s="68" customFormat="1">
      <c r="A97" s="63">
        <v>180005</v>
      </c>
      <c r="B97" s="62">
        <v>12014</v>
      </c>
      <c r="C97" s="75" t="s">
        <v>106</v>
      </c>
      <c r="D97" s="63">
        <v>120</v>
      </c>
      <c r="E97" s="154" t="s">
        <v>19</v>
      </c>
      <c r="F97" s="63">
        <v>126</v>
      </c>
      <c r="G97" s="144" t="s">
        <v>20</v>
      </c>
      <c r="H97" s="62">
        <v>7002</v>
      </c>
      <c r="J97" s="144">
        <v>30</v>
      </c>
      <c r="K97" s="62">
        <v>1504</v>
      </c>
      <c r="L97" s="62" t="s">
        <v>107</v>
      </c>
      <c r="M97" s="62">
        <v>52013</v>
      </c>
      <c r="O97" s="62">
        <v>35</v>
      </c>
      <c r="P97" s="62">
        <v>10</v>
      </c>
      <c r="R97" s="68">
        <v>1</v>
      </c>
    </row>
    <row r="98" spans="1:18">
      <c r="A98" s="37">
        <v>190001</v>
      </c>
      <c r="B98" s="37">
        <v>12005</v>
      </c>
      <c r="C98" s="75" t="s">
        <v>112</v>
      </c>
      <c r="D98" s="37">
        <v>127</v>
      </c>
      <c r="E98" s="147" t="s">
        <v>19</v>
      </c>
      <c r="F98" s="37">
        <v>133</v>
      </c>
      <c r="G98" s="147" t="s">
        <v>20</v>
      </c>
      <c r="H98" s="37">
        <v>3101</v>
      </c>
      <c r="I98" s="37"/>
      <c r="J98" s="147">
        <v>30</v>
      </c>
      <c r="K98" s="37">
        <v>1011</v>
      </c>
      <c r="L98" s="37" t="s">
        <v>113</v>
      </c>
      <c r="M98" s="37">
        <v>52007</v>
      </c>
      <c r="N98" s="37"/>
      <c r="O98" s="37">
        <v>18</v>
      </c>
      <c r="P98" s="37">
        <v>6</v>
      </c>
      <c r="R98">
        <v>1</v>
      </c>
    </row>
    <row r="99" spans="1:18">
      <c r="A99" s="37">
        <v>190002</v>
      </c>
      <c r="B99" s="37">
        <v>12009</v>
      </c>
      <c r="C99" s="75" t="s">
        <v>85</v>
      </c>
      <c r="D99" s="37">
        <v>127</v>
      </c>
      <c r="E99" s="147" t="s">
        <v>19</v>
      </c>
      <c r="F99" s="37">
        <v>133</v>
      </c>
      <c r="G99" s="147" t="s">
        <v>20</v>
      </c>
      <c r="H99" s="1"/>
      <c r="I99" s="1"/>
      <c r="J99" s="1"/>
      <c r="K99" s="37">
        <v>1013</v>
      </c>
      <c r="L99" s="37" t="s">
        <v>86</v>
      </c>
      <c r="M99" s="1"/>
      <c r="N99" s="1">
        <v>52011</v>
      </c>
      <c r="O99" s="37">
        <v>33</v>
      </c>
      <c r="P99" s="37"/>
      <c r="R99">
        <v>1</v>
      </c>
    </row>
    <row r="100" spans="1:18">
      <c r="A100" s="37">
        <v>190003</v>
      </c>
      <c r="B100" s="37">
        <v>12006</v>
      </c>
      <c r="C100" s="75" t="s">
        <v>89</v>
      </c>
      <c r="D100" s="37">
        <v>127</v>
      </c>
      <c r="E100" s="147" t="s">
        <v>19</v>
      </c>
      <c r="F100" s="37">
        <v>133</v>
      </c>
      <c r="G100" s="147" t="s">
        <v>20</v>
      </c>
      <c r="H100" s="1"/>
      <c r="I100" s="1"/>
      <c r="J100" s="1"/>
      <c r="K100" s="37">
        <v>1003</v>
      </c>
      <c r="L100" s="37" t="s">
        <v>90</v>
      </c>
      <c r="M100" s="1"/>
      <c r="N100" s="1"/>
      <c r="O100" s="37">
        <v>5</v>
      </c>
      <c r="P100" s="37"/>
      <c r="R100">
        <v>1</v>
      </c>
    </row>
    <row r="101" spans="1:18" s="68" customFormat="1">
      <c r="A101" s="37">
        <v>190004</v>
      </c>
      <c r="B101" s="62">
        <v>12020</v>
      </c>
      <c r="C101" s="75" t="s">
        <v>95</v>
      </c>
      <c r="D101" s="37">
        <v>127</v>
      </c>
      <c r="E101" s="147" t="s">
        <v>19</v>
      </c>
      <c r="F101" s="37">
        <v>133</v>
      </c>
      <c r="G101" s="144" t="s">
        <v>20</v>
      </c>
      <c r="H101" s="62">
        <v>7008</v>
      </c>
      <c r="J101" s="144">
        <v>30</v>
      </c>
      <c r="K101" s="62">
        <v>1510</v>
      </c>
      <c r="L101" s="62" t="s">
        <v>96</v>
      </c>
      <c r="M101" s="62">
        <v>52019</v>
      </c>
      <c r="O101" s="62">
        <v>41</v>
      </c>
      <c r="P101" s="62">
        <v>16</v>
      </c>
    </row>
    <row r="102" spans="1:18" s="68" customFormat="1">
      <c r="A102" s="37">
        <v>190005</v>
      </c>
      <c r="B102" s="62">
        <v>12021</v>
      </c>
      <c r="C102" s="75" t="s">
        <v>110</v>
      </c>
      <c r="D102" s="37">
        <v>127</v>
      </c>
      <c r="E102" s="147" t="s">
        <v>19</v>
      </c>
      <c r="F102" s="37">
        <v>133</v>
      </c>
      <c r="G102" s="144" t="s">
        <v>20</v>
      </c>
      <c r="H102" s="62">
        <v>7009</v>
      </c>
      <c r="J102" s="144">
        <v>30</v>
      </c>
      <c r="K102" s="62">
        <v>1511</v>
      </c>
      <c r="L102" s="62" t="s">
        <v>111</v>
      </c>
      <c r="M102" s="62">
        <v>52020</v>
      </c>
      <c r="O102" s="62">
        <v>42</v>
      </c>
      <c r="P102" s="62">
        <v>17</v>
      </c>
    </row>
    <row r="103" spans="1:18">
      <c r="A103" s="141">
        <v>200001</v>
      </c>
      <c r="B103" s="141">
        <v>12008</v>
      </c>
      <c r="C103" s="75" t="s">
        <v>118</v>
      </c>
      <c r="D103" s="141">
        <v>134</v>
      </c>
      <c r="E103" s="142" t="s">
        <v>19</v>
      </c>
      <c r="F103" s="141">
        <v>140</v>
      </c>
      <c r="G103" s="142" t="s">
        <v>20</v>
      </c>
      <c r="H103" s="141">
        <v>1002</v>
      </c>
      <c r="I103" s="143"/>
      <c r="J103" s="142">
        <v>30</v>
      </c>
      <c r="K103" s="141">
        <v>1012</v>
      </c>
      <c r="L103" s="141" t="s">
        <v>119</v>
      </c>
      <c r="M103" s="141">
        <v>52008</v>
      </c>
      <c r="N103" s="141"/>
      <c r="O103" s="141">
        <v>22</v>
      </c>
      <c r="P103" s="141">
        <v>7</v>
      </c>
      <c r="R103">
        <v>1</v>
      </c>
    </row>
    <row r="104" spans="1:18">
      <c r="A104" s="141">
        <v>200002</v>
      </c>
      <c r="B104" s="141">
        <v>12009</v>
      </c>
      <c r="C104" s="75" t="s">
        <v>85</v>
      </c>
      <c r="D104" s="141">
        <v>134</v>
      </c>
      <c r="E104" s="142" t="s">
        <v>19</v>
      </c>
      <c r="F104" s="141">
        <v>140</v>
      </c>
      <c r="G104" s="142" t="s">
        <v>20</v>
      </c>
      <c r="H104" s="143"/>
      <c r="I104" s="143"/>
      <c r="J104" s="143"/>
      <c r="K104" s="141">
        <v>1013</v>
      </c>
      <c r="L104" s="141" t="s">
        <v>86</v>
      </c>
      <c r="M104" s="143"/>
      <c r="N104" s="143">
        <v>52011</v>
      </c>
      <c r="O104" s="141">
        <v>33</v>
      </c>
      <c r="P104" s="141"/>
      <c r="R104">
        <v>1</v>
      </c>
    </row>
    <row r="105" spans="1:18">
      <c r="A105" s="141">
        <v>200003</v>
      </c>
      <c r="B105" s="141">
        <v>12006</v>
      </c>
      <c r="C105" s="75" t="s">
        <v>89</v>
      </c>
      <c r="D105" s="141">
        <v>134</v>
      </c>
      <c r="E105" s="142" t="s">
        <v>19</v>
      </c>
      <c r="F105" s="141">
        <v>140</v>
      </c>
      <c r="G105" s="142" t="s">
        <v>20</v>
      </c>
      <c r="H105" s="143"/>
      <c r="I105" s="143"/>
      <c r="J105" s="143"/>
      <c r="K105" s="141">
        <v>1003</v>
      </c>
      <c r="L105" s="141" t="s">
        <v>90</v>
      </c>
      <c r="M105" s="143"/>
      <c r="N105" s="143"/>
      <c r="O105" s="141">
        <v>5</v>
      </c>
      <c r="P105" s="141"/>
      <c r="R105">
        <v>1</v>
      </c>
    </row>
    <row r="106" spans="1:18" s="1" customFormat="1">
      <c r="A106" s="141">
        <v>200004</v>
      </c>
      <c r="B106" s="37">
        <v>12018</v>
      </c>
      <c r="C106" s="75" t="s">
        <v>114</v>
      </c>
      <c r="D106" s="141">
        <v>134</v>
      </c>
      <c r="E106" s="142" t="s">
        <v>19</v>
      </c>
      <c r="F106" s="141">
        <v>140</v>
      </c>
      <c r="G106" s="147" t="s">
        <v>20</v>
      </c>
      <c r="H106" s="37">
        <v>7006</v>
      </c>
      <c r="J106" s="147">
        <v>30</v>
      </c>
      <c r="K106" s="37">
        <v>1508</v>
      </c>
      <c r="L106" s="37" t="s">
        <v>115</v>
      </c>
      <c r="M106" s="37">
        <v>52017</v>
      </c>
      <c r="O106" s="37">
        <v>39</v>
      </c>
      <c r="P106" s="37">
        <v>14</v>
      </c>
      <c r="R106">
        <v>1</v>
      </c>
    </row>
    <row r="107" spans="1:18" s="1" customFormat="1">
      <c r="A107" s="141">
        <v>200005</v>
      </c>
      <c r="B107" s="37">
        <v>12019</v>
      </c>
      <c r="C107" s="75" t="s">
        <v>116</v>
      </c>
      <c r="D107" s="141">
        <v>134</v>
      </c>
      <c r="E107" s="142" t="s">
        <v>19</v>
      </c>
      <c r="F107" s="141">
        <v>140</v>
      </c>
      <c r="G107" s="147" t="s">
        <v>20</v>
      </c>
      <c r="H107" s="37">
        <v>7007</v>
      </c>
      <c r="J107" s="147">
        <v>30</v>
      </c>
      <c r="K107" s="37">
        <v>1509</v>
      </c>
      <c r="L107" s="37" t="s">
        <v>117</v>
      </c>
      <c r="M107" s="37">
        <v>52018</v>
      </c>
      <c r="O107" s="37">
        <v>40</v>
      </c>
      <c r="P107" s="37">
        <v>15</v>
      </c>
      <c r="R107">
        <v>1</v>
      </c>
    </row>
    <row r="108" spans="1:18" s="138" customFormat="1">
      <c r="A108" s="63">
        <v>210001</v>
      </c>
      <c r="B108" s="63">
        <v>12004</v>
      </c>
      <c r="C108" s="75" t="s">
        <v>91</v>
      </c>
      <c r="D108" s="63">
        <v>141</v>
      </c>
      <c r="E108" s="154" t="s">
        <v>19</v>
      </c>
      <c r="F108" s="63">
        <v>147</v>
      </c>
      <c r="G108" s="154" t="s">
        <v>20</v>
      </c>
      <c r="H108" s="63">
        <v>1003</v>
      </c>
      <c r="I108" s="63"/>
      <c r="J108" s="154">
        <v>30</v>
      </c>
      <c r="K108" s="63">
        <v>1010</v>
      </c>
      <c r="L108" s="63" t="s">
        <v>92</v>
      </c>
      <c r="M108" s="63">
        <v>52006</v>
      </c>
      <c r="N108" s="63"/>
      <c r="O108" s="63">
        <v>6</v>
      </c>
      <c r="P108" s="63">
        <v>3</v>
      </c>
      <c r="R108">
        <v>1</v>
      </c>
    </row>
    <row r="109" spans="1:18" s="138" customFormat="1">
      <c r="A109" s="63">
        <v>210002</v>
      </c>
      <c r="B109" s="63">
        <v>12009</v>
      </c>
      <c r="C109" s="75" t="s">
        <v>85</v>
      </c>
      <c r="D109" s="63">
        <v>141</v>
      </c>
      <c r="E109" s="154" t="s">
        <v>19</v>
      </c>
      <c r="F109" s="63">
        <v>147</v>
      </c>
      <c r="G109" s="154" t="s">
        <v>20</v>
      </c>
      <c r="K109" s="63">
        <v>1013</v>
      </c>
      <c r="L109" s="63" t="s">
        <v>86</v>
      </c>
      <c r="N109" s="138">
        <v>52011</v>
      </c>
      <c r="O109" s="63">
        <v>33</v>
      </c>
      <c r="P109" s="63"/>
      <c r="R109">
        <v>1</v>
      </c>
    </row>
    <row r="110" spans="1:18" s="138" customFormat="1">
      <c r="A110" s="63">
        <v>210003</v>
      </c>
      <c r="B110" s="63">
        <v>12006</v>
      </c>
      <c r="C110" s="75" t="s">
        <v>89</v>
      </c>
      <c r="D110" s="63">
        <v>141</v>
      </c>
      <c r="E110" s="154" t="s">
        <v>19</v>
      </c>
      <c r="F110" s="63">
        <v>147</v>
      </c>
      <c r="G110" s="154" t="s">
        <v>20</v>
      </c>
      <c r="K110" s="63">
        <v>1003</v>
      </c>
      <c r="L110" s="63" t="s">
        <v>90</v>
      </c>
      <c r="O110" s="63">
        <v>5</v>
      </c>
      <c r="P110" s="63"/>
      <c r="R110">
        <v>1</v>
      </c>
    </row>
    <row r="111" spans="1:18" s="68" customFormat="1">
      <c r="A111" s="63">
        <v>210004</v>
      </c>
      <c r="B111" s="62">
        <v>12013</v>
      </c>
      <c r="C111" s="75" t="s">
        <v>104</v>
      </c>
      <c r="D111" s="63">
        <v>141</v>
      </c>
      <c r="E111" s="154" t="s">
        <v>19</v>
      </c>
      <c r="F111" s="63">
        <v>147</v>
      </c>
      <c r="G111" s="144" t="s">
        <v>20</v>
      </c>
      <c r="H111" s="62">
        <v>7001</v>
      </c>
      <c r="J111" s="144">
        <v>30</v>
      </c>
      <c r="K111" s="62">
        <v>1503</v>
      </c>
      <c r="L111" s="62" t="s">
        <v>105</v>
      </c>
      <c r="M111" s="62">
        <v>52012</v>
      </c>
      <c r="N111" s="62"/>
      <c r="O111" s="62">
        <v>34</v>
      </c>
      <c r="P111" s="62">
        <v>9</v>
      </c>
      <c r="R111" s="68">
        <v>1</v>
      </c>
    </row>
    <row r="112" spans="1:18" s="68" customFormat="1">
      <c r="A112" s="63">
        <v>210005</v>
      </c>
      <c r="B112" s="62">
        <v>12014</v>
      </c>
      <c r="C112" s="75" t="s">
        <v>106</v>
      </c>
      <c r="D112" s="63">
        <v>141</v>
      </c>
      <c r="E112" s="154" t="s">
        <v>19</v>
      </c>
      <c r="F112" s="63">
        <v>147</v>
      </c>
      <c r="G112" s="144" t="s">
        <v>20</v>
      </c>
      <c r="H112" s="62">
        <v>7002</v>
      </c>
      <c r="J112" s="144">
        <v>30</v>
      </c>
      <c r="K112" s="62">
        <v>1504</v>
      </c>
      <c r="L112" s="62" t="s">
        <v>107</v>
      </c>
      <c r="M112" s="62">
        <v>52013</v>
      </c>
      <c r="O112" s="62">
        <v>35</v>
      </c>
      <c r="P112" s="62">
        <v>10</v>
      </c>
      <c r="R112" s="68">
        <v>1</v>
      </c>
    </row>
    <row r="113" spans="1:18">
      <c r="A113" s="37">
        <v>220001</v>
      </c>
      <c r="B113" s="37">
        <v>12005</v>
      </c>
      <c r="C113" s="75" t="s">
        <v>112</v>
      </c>
      <c r="D113" s="37">
        <v>148</v>
      </c>
      <c r="E113" s="147" t="s">
        <v>19</v>
      </c>
      <c r="F113" s="37">
        <v>154</v>
      </c>
      <c r="G113" s="147" t="s">
        <v>20</v>
      </c>
      <c r="H113" s="37">
        <v>3101</v>
      </c>
      <c r="I113" s="37"/>
      <c r="J113" s="147">
        <v>30</v>
      </c>
      <c r="K113" s="37">
        <v>1011</v>
      </c>
      <c r="L113" s="37" t="s">
        <v>113</v>
      </c>
      <c r="M113" s="37">
        <v>52007</v>
      </c>
      <c r="N113" s="37"/>
      <c r="O113" s="37">
        <v>18</v>
      </c>
      <c r="P113" s="37">
        <v>6</v>
      </c>
      <c r="R113">
        <v>1</v>
      </c>
    </row>
    <row r="114" spans="1:18">
      <c r="A114" s="37">
        <v>220002</v>
      </c>
      <c r="B114" s="37">
        <v>12009</v>
      </c>
      <c r="C114" s="75" t="s">
        <v>85</v>
      </c>
      <c r="D114" s="37">
        <v>148</v>
      </c>
      <c r="E114" s="147" t="s">
        <v>19</v>
      </c>
      <c r="F114" s="37">
        <v>154</v>
      </c>
      <c r="G114" s="147" t="s">
        <v>20</v>
      </c>
      <c r="H114" s="1"/>
      <c r="I114" s="1"/>
      <c r="J114" s="1"/>
      <c r="K114" s="37">
        <v>1013</v>
      </c>
      <c r="L114" s="37" t="s">
        <v>86</v>
      </c>
      <c r="M114" s="1"/>
      <c r="N114" s="1">
        <v>52011</v>
      </c>
      <c r="O114" s="37">
        <v>33</v>
      </c>
      <c r="P114" s="37"/>
      <c r="R114">
        <v>1</v>
      </c>
    </row>
    <row r="115" spans="1:18">
      <c r="A115" s="37">
        <v>220003</v>
      </c>
      <c r="B115" s="37">
        <v>12006</v>
      </c>
      <c r="C115" s="75" t="s">
        <v>89</v>
      </c>
      <c r="D115" s="37">
        <v>148</v>
      </c>
      <c r="E115" s="147" t="s">
        <v>19</v>
      </c>
      <c r="F115" s="37">
        <v>154</v>
      </c>
      <c r="G115" s="147" t="s">
        <v>20</v>
      </c>
      <c r="H115" s="1"/>
      <c r="I115" s="1"/>
      <c r="J115" s="1"/>
      <c r="K115" s="37">
        <v>1003</v>
      </c>
      <c r="L115" s="37" t="s">
        <v>90</v>
      </c>
      <c r="M115" s="1"/>
      <c r="N115" s="1"/>
      <c r="O115" s="37">
        <v>5</v>
      </c>
      <c r="P115" s="37"/>
      <c r="R115">
        <v>1</v>
      </c>
    </row>
    <row r="116" spans="1:18" s="68" customFormat="1">
      <c r="A116" s="37">
        <v>220004</v>
      </c>
      <c r="B116" s="62">
        <v>12020</v>
      </c>
      <c r="C116" s="75" t="s">
        <v>95</v>
      </c>
      <c r="D116" s="37">
        <v>148</v>
      </c>
      <c r="E116" s="147" t="s">
        <v>19</v>
      </c>
      <c r="F116" s="37">
        <v>154</v>
      </c>
      <c r="G116" s="144" t="s">
        <v>20</v>
      </c>
      <c r="H116" s="62">
        <v>7008</v>
      </c>
      <c r="J116" s="144">
        <v>30</v>
      </c>
      <c r="K116" s="62">
        <v>1510</v>
      </c>
      <c r="L116" s="62" t="s">
        <v>96</v>
      </c>
      <c r="M116" s="62">
        <v>52019</v>
      </c>
      <c r="O116" s="62">
        <v>41</v>
      </c>
      <c r="P116" s="62">
        <v>16</v>
      </c>
    </row>
    <row r="117" spans="1:18" s="68" customFormat="1">
      <c r="A117" s="37">
        <v>220005</v>
      </c>
      <c r="B117" s="62">
        <v>12021</v>
      </c>
      <c r="C117" s="75" t="s">
        <v>110</v>
      </c>
      <c r="D117" s="37">
        <v>148</v>
      </c>
      <c r="E117" s="147" t="s">
        <v>19</v>
      </c>
      <c r="F117" s="37">
        <v>154</v>
      </c>
      <c r="G117" s="144" t="s">
        <v>20</v>
      </c>
      <c r="H117" s="62">
        <v>7009</v>
      </c>
      <c r="J117" s="144">
        <v>30</v>
      </c>
      <c r="K117" s="62">
        <v>1511</v>
      </c>
      <c r="L117" s="62" t="s">
        <v>111</v>
      </c>
      <c r="M117" s="62">
        <v>52020</v>
      </c>
      <c r="O117" s="62">
        <v>42</v>
      </c>
      <c r="P117" s="62">
        <v>17</v>
      </c>
    </row>
    <row r="118" spans="1:18">
      <c r="A118" s="141">
        <v>230001</v>
      </c>
      <c r="B118" s="141">
        <v>12008</v>
      </c>
      <c r="C118" s="75" t="s">
        <v>118</v>
      </c>
      <c r="D118" s="141">
        <v>155</v>
      </c>
      <c r="E118" s="142" t="s">
        <v>19</v>
      </c>
      <c r="F118" s="141">
        <v>161</v>
      </c>
      <c r="G118" s="142" t="s">
        <v>20</v>
      </c>
      <c r="H118" s="141">
        <v>1002</v>
      </c>
      <c r="I118" s="143"/>
      <c r="J118" s="142">
        <v>30</v>
      </c>
      <c r="K118" s="141">
        <v>1012</v>
      </c>
      <c r="L118" s="141" t="s">
        <v>119</v>
      </c>
      <c r="M118" s="141">
        <v>52008</v>
      </c>
      <c r="N118" s="141"/>
      <c r="O118" s="141">
        <v>22</v>
      </c>
      <c r="P118" s="141">
        <v>7</v>
      </c>
      <c r="R118">
        <v>1</v>
      </c>
    </row>
    <row r="119" spans="1:18">
      <c r="A119" s="141">
        <v>230002</v>
      </c>
      <c r="B119" s="141">
        <v>12009</v>
      </c>
      <c r="C119" s="75" t="s">
        <v>85</v>
      </c>
      <c r="D119" s="141">
        <v>155</v>
      </c>
      <c r="E119" s="142" t="s">
        <v>19</v>
      </c>
      <c r="F119" s="141">
        <v>161</v>
      </c>
      <c r="G119" s="142" t="s">
        <v>20</v>
      </c>
      <c r="H119" s="143"/>
      <c r="I119" s="143"/>
      <c r="J119" s="143"/>
      <c r="K119" s="141">
        <v>1013</v>
      </c>
      <c r="L119" s="141" t="s">
        <v>86</v>
      </c>
      <c r="M119" s="143"/>
      <c r="N119" s="143">
        <v>52011</v>
      </c>
      <c r="O119" s="141">
        <v>33</v>
      </c>
      <c r="P119" s="141"/>
      <c r="R119">
        <v>1</v>
      </c>
    </row>
    <row r="120" spans="1:18">
      <c r="A120" s="141">
        <v>230003</v>
      </c>
      <c r="B120" s="141">
        <v>12006</v>
      </c>
      <c r="C120" s="75" t="s">
        <v>89</v>
      </c>
      <c r="D120" s="141">
        <v>155</v>
      </c>
      <c r="E120" s="142" t="s">
        <v>19</v>
      </c>
      <c r="F120" s="141">
        <v>161</v>
      </c>
      <c r="G120" s="142" t="s">
        <v>20</v>
      </c>
      <c r="H120" s="143"/>
      <c r="I120" s="143"/>
      <c r="J120" s="143"/>
      <c r="K120" s="141">
        <v>1003</v>
      </c>
      <c r="L120" s="141" t="s">
        <v>90</v>
      </c>
      <c r="M120" s="143"/>
      <c r="N120" s="143"/>
      <c r="O120" s="141">
        <v>5</v>
      </c>
      <c r="P120" s="141"/>
      <c r="R120">
        <v>1</v>
      </c>
    </row>
    <row r="121" spans="1:18" s="1" customFormat="1">
      <c r="A121" s="141">
        <v>230004</v>
      </c>
      <c r="B121" s="37">
        <v>12018</v>
      </c>
      <c r="C121" s="75" t="s">
        <v>114</v>
      </c>
      <c r="D121" s="141">
        <v>155</v>
      </c>
      <c r="E121" s="142" t="s">
        <v>19</v>
      </c>
      <c r="F121" s="141">
        <v>161</v>
      </c>
      <c r="G121" s="147" t="s">
        <v>20</v>
      </c>
      <c r="H121" s="37">
        <v>7006</v>
      </c>
      <c r="J121" s="147">
        <v>30</v>
      </c>
      <c r="K121" s="37">
        <v>1508</v>
      </c>
      <c r="L121" s="37" t="s">
        <v>115</v>
      </c>
      <c r="M121" s="37">
        <v>52017</v>
      </c>
      <c r="O121" s="37">
        <v>39</v>
      </c>
      <c r="P121" s="37">
        <v>14</v>
      </c>
      <c r="R121">
        <v>1</v>
      </c>
    </row>
    <row r="122" spans="1:18" s="1" customFormat="1">
      <c r="A122" s="141">
        <v>230005</v>
      </c>
      <c r="B122" s="37">
        <v>12019</v>
      </c>
      <c r="C122" s="75" t="s">
        <v>116</v>
      </c>
      <c r="D122" s="141">
        <v>155</v>
      </c>
      <c r="E122" s="142" t="s">
        <v>19</v>
      </c>
      <c r="F122" s="141">
        <v>161</v>
      </c>
      <c r="G122" s="147" t="s">
        <v>20</v>
      </c>
      <c r="H122" s="37">
        <v>7007</v>
      </c>
      <c r="J122" s="147">
        <v>30</v>
      </c>
      <c r="K122" s="37">
        <v>1509</v>
      </c>
      <c r="L122" s="37" t="s">
        <v>117</v>
      </c>
      <c r="M122" s="37">
        <v>52018</v>
      </c>
      <c r="O122" s="37">
        <v>40</v>
      </c>
      <c r="P122" s="37">
        <v>15</v>
      </c>
      <c r="R122">
        <v>1</v>
      </c>
    </row>
    <row r="123" spans="1:18" s="138" customFormat="1">
      <c r="A123" s="63">
        <v>240001</v>
      </c>
      <c r="B123" s="63">
        <v>12004</v>
      </c>
      <c r="C123" s="75" t="s">
        <v>91</v>
      </c>
      <c r="D123" s="63">
        <v>162</v>
      </c>
      <c r="E123" s="154" t="s">
        <v>19</v>
      </c>
      <c r="F123" s="63">
        <v>168</v>
      </c>
      <c r="G123" s="154" t="s">
        <v>20</v>
      </c>
      <c r="H123" s="63">
        <v>1003</v>
      </c>
      <c r="I123" s="63"/>
      <c r="J123" s="154">
        <v>30</v>
      </c>
      <c r="K123" s="63">
        <v>1010</v>
      </c>
      <c r="L123" s="63" t="s">
        <v>92</v>
      </c>
      <c r="M123" s="63">
        <v>52006</v>
      </c>
      <c r="N123" s="63"/>
      <c r="O123" s="63">
        <v>6</v>
      </c>
      <c r="P123" s="63">
        <v>3</v>
      </c>
      <c r="R123">
        <v>1</v>
      </c>
    </row>
    <row r="124" spans="1:18" s="138" customFormat="1">
      <c r="A124" s="63">
        <v>240002</v>
      </c>
      <c r="B124" s="63">
        <v>12009</v>
      </c>
      <c r="C124" s="75" t="s">
        <v>85</v>
      </c>
      <c r="D124" s="63">
        <v>162</v>
      </c>
      <c r="E124" s="154" t="s">
        <v>19</v>
      </c>
      <c r="F124" s="63">
        <v>168</v>
      </c>
      <c r="G124" s="154" t="s">
        <v>20</v>
      </c>
      <c r="K124" s="63">
        <v>1013</v>
      </c>
      <c r="L124" s="63" t="s">
        <v>86</v>
      </c>
      <c r="N124" s="138">
        <v>52011</v>
      </c>
      <c r="O124" s="63">
        <v>33</v>
      </c>
      <c r="P124" s="63"/>
      <c r="R124">
        <v>1</v>
      </c>
    </row>
    <row r="125" spans="1:18" s="138" customFormat="1">
      <c r="A125" s="63">
        <v>240003</v>
      </c>
      <c r="B125" s="63">
        <v>12006</v>
      </c>
      <c r="C125" s="75" t="s">
        <v>89</v>
      </c>
      <c r="D125" s="63">
        <v>162</v>
      </c>
      <c r="E125" s="154" t="s">
        <v>19</v>
      </c>
      <c r="F125" s="63">
        <v>168</v>
      </c>
      <c r="G125" s="154" t="s">
        <v>20</v>
      </c>
      <c r="K125" s="63">
        <v>1003</v>
      </c>
      <c r="L125" s="63" t="s">
        <v>90</v>
      </c>
      <c r="O125" s="63">
        <v>5</v>
      </c>
      <c r="P125" s="63"/>
      <c r="R125">
        <v>1</v>
      </c>
    </row>
    <row r="126" spans="1:18" s="68" customFormat="1">
      <c r="A126" s="63">
        <v>240004</v>
      </c>
      <c r="B126" s="62">
        <v>12013</v>
      </c>
      <c r="C126" s="75" t="s">
        <v>104</v>
      </c>
      <c r="D126" s="63">
        <v>162</v>
      </c>
      <c r="E126" s="154" t="s">
        <v>19</v>
      </c>
      <c r="F126" s="63">
        <v>168</v>
      </c>
      <c r="G126" s="144" t="s">
        <v>20</v>
      </c>
      <c r="H126" s="62">
        <v>7001</v>
      </c>
      <c r="J126" s="144">
        <v>30</v>
      </c>
      <c r="K126" s="62">
        <v>1503</v>
      </c>
      <c r="L126" s="62" t="s">
        <v>105</v>
      </c>
      <c r="M126" s="62">
        <v>52012</v>
      </c>
      <c r="N126" s="62"/>
      <c r="O126" s="62">
        <v>34</v>
      </c>
      <c r="P126" s="62">
        <v>9</v>
      </c>
      <c r="R126" s="68">
        <v>1</v>
      </c>
    </row>
    <row r="127" spans="1:18" s="68" customFormat="1">
      <c r="A127" s="63">
        <v>240005</v>
      </c>
      <c r="B127" s="62">
        <v>12014</v>
      </c>
      <c r="C127" s="75" t="s">
        <v>106</v>
      </c>
      <c r="D127" s="63">
        <v>162</v>
      </c>
      <c r="E127" s="154" t="s">
        <v>19</v>
      </c>
      <c r="F127" s="63">
        <v>168</v>
      </c>
      <c r="G127" s="144" t="s">
        <v>20</v>
      </c>
      <c r="H127" s="62">
        <v>7002</v>
      </c>
      <c r="J127" s="144">
        <v>30</v>
      </c>
      <c r="K127" s="62">
        <v>1504</v>
      </c>
      <c r="L127" s="62" t="s">
        <v>107</v>
      </c>
      <c r="M127" s="62">
        <v>52013</v>
      </c>
      <c r="O127" s="62">
        <v>35</v>
      </c>
      <c r="P127" s="62">
        <v>10</v>
      </c>
      <c r="R127" s="68">
        <v>1</v>
      </c>
    </row>
    <row r="128" spans="1:18">
      <c r="A128" s="37">
        <v>250001</v>
      </c>
      <c r="B128" s="37">
        <v>12005</v>
      </c>
      <c r="C128" s="75" t="s">
        <v>112</v>
      </c>
      <c r="D128" s="37">
        <v>169</v>
      </c>
      <c r="E128" s="147" t="s">
        <v>19</v>
      </c>
      <c r="F128" s="37">
        <v>175</v>
      </c>
      <c r="G128" s="147" t="s">
        <v>20</v>
      </c>
      <c r="H128" s="37">
        <v>3101</v>
      </c>
      <c r="I128" s="37"/>
      <c r="J128" s="147">
        <v>30</v>
      </c>
      <c r="K128" s="37">
        <v>1011</v>
      </c>
      <c r="L128" s="37" t="s">
        <v>113</v>
      </c>
      <c r="M128" s="37">
        <v>52007</v>
      </c>
      <c r="N128" s="37"/>
      <c r="O128" s="37">
        <v>18</v>
      </c>
      <c r="P128" s="37">
        <v>6</v>
      </c>
      <c r="R128">
        <v>1</v>
      </c>
    </row>
    <row r="129" spans="1:18">
      <c r="A129" s="37">
        <v>250002</v>
      </c>
      <c r="B129" s="37">
        <v>12009</v>
      </c>
      <c r="C129" s="75" t="s">
        <v>85</v>
      </c>
      <c r="D129" s="37">
        <v>169</v>
      </c>
      <c r="E129" s="147" t="s">
        <v>19</v>
      </c>
      <c r="F129" s="37">
        <v>175</v>
      </c>
      <c r="G129" s="147" t="s">
        <v>20</v>
      </c>
      <c r="H129" s="1"/>
      <c r="I129" s="1"/>
      <c r="J129" s="1"/>
      <c r="K129" s="37">
        <v>1013</v>
      </c>
      <c r="L129" s="37" t="s">
        <v>86</v>
      </c>
      <c r="M129" s="1"/>
      <c r="N129" s="1">
        <v>52011</v>
      </c>
      <c r="O129" s="37">
        <v>33</v>
      </c>
      <c r="P129" s="37"/>
      <c r="R129">
        <v>1</v>
      </c>
    </row>
    <row r="130" spans="1:18" ht="18" customHeight="1">
      <c r="A130" s="37">
        <v>250003</v>
      </c>
      <c r="B130" s="37">
        <v>12006</v>
      </c>
      <c r="C130" s="75" t="s">
        <v>89</v>
      </c>
      <c r="D130" s="37">
        <v>169</v>
      </c>
      <c r="E130" s="147" t="s">
        <v>19</v>
      </c>
      <c r="F130" s="37">
        <v>175</v>
      </c>
      <c r="G130" s="147" t="s">
        <v>20</v>
      </c>
      <c r="H130" s="1"/>
      <c r="I130" s="1"/>
      <c r="J130" s="1"/>
      <c r="K130" s="37">
        <v>1003</v>
      </c>
      <c r="L130" s="37" t="s">
        <v>90</v>
      </c>
      <c r="M130" s="1"/>
      <c r="N130" s="1"/>
      <c r="O130" s="37">
        <v>5</v>
      </c>
      <c r="P130" s="37"/>
      <c r="R130">
        <v>1</v>
      </c>
    </row>
    <row r="131" spans="1:18" s="68" customFormat="1">
      <c r="A131" s="37">
        <v>250004</v>
      </c>
      <c r="B131" s="62">
        <v>12020</v>
      </c>
      <c r="C131" s="75" t="s">
        <v>95</v>
      </c>
      <c r="D131" s="37">
        <v>169</v>
      </c>
      <c r="E131" s="147" t="s">
        <v>19</v>
      </c>
      <c r="F131" s="37">
        <v>175</v>
      </c>
      <c r="G131" s="144" t="s">
        <v>20</v>
      </c>
      <c r="H131" s="62">
        <v>7008</v>
      </c>
      <c r="J131" s="144">
        <v>30</v>
      </c>
      <c r="K131" s="62">
        <v>1510</v>
      </c>
      <c r="L131" s="62" t="s">
        <v>96</v>
      </c>
      <c r="M131" s="62">
        <v>52019</v>
      </c>
      <c r="O131" s="62">
        <v>41</v>
      </c>
      <c r="P131" s="62">
        <v>16</v>
      </c>
    </row>
    <row r="132" spans="1:18" s="68" customFormat="1">
      <c r="A132" s="37">
        <v>250005</v>
      </c>
      <c r="B132" s="62">
        <v>12021</v>
      </c>
      <c r="C132" s="75" t="s">
        <v>110</v>
      </c>
      <c r="D132" s="37">
        <v>169</v>
      </c>
      <c r="E132" s="147" t="s">
        <v>19</v>
      </c>
      <c r="F132" s="37">
        <v>175</v>
      </c>
      <c r="G132" s="144" t="s">
        <v>20</v>
      </c>
      <c r="H132" s="62">
        <v>7009</v>
      </c>
      <c r="J132" s="144">
        <v>30</v>
      </c>
      <c r="K132" s="62">
        <v>1511</v>
      </c>
      <c r="L132" s="62" t="s">
        <v>111</v>
      </c>
      <c r="M132" s="62">
        <v>52020</v>
      </c>
      <c r="O132" s="62">
        <v>42</v>
      </c>
      <c r="P132" s="62">
        <v>17</v>
      </c>
    </row>
    <row r="133" spans="1:18">
      <c r="A133" s="141">
        <v>260001</v>
      </c>
      <c r="B133" s="141">
        <v>12008</v>
      </c>
      <c r="C133" s="75" t="s">
        <v>118</v>
      </c>
      <c r="D133" s="141">
        <v>176</v>
      </c>
      <c r="E133" s="142" t="s">
        <v>19</v>
      </c>
      <c r="F133" s="141">
        <v>182</v>
      </c>
      <c r="G133" s="142" t="s">
        <v>20</v>
      </c>
      <c r="H133" s="141">
        <v>1002</v>
      </c>
      <c r="I133" s="143"/>
      <c r="J133" s="142">
        <v>30</v>
      </c>
      <c r="K133" s="141">
        <v>1012</v>
      </c>
      <c r="L133" s="141" t="s">
        <v>119</v>
      </c>
      <c r="M133" s="141">
        <v>52008</v>
      </c>
      <c r="N133" s="141"/>
      <c r="O133" s="141">
        <v>22</v>
      </c>
      <c r="P133" s="141">
        <v>7</v>
      </c>
      <c r="R133">
        <v>1</v>
      </c>
    </row>
    <row r="134" spans="1:18">
      <c r="A134" s="141">
        <v>260002</v>
      </c>
      <c r="B134" s="141">
        <v>12009</v>
      </c>
      <c r="C134" s="75" t="s">
        <v>85</v>
      </c>
      <c r="D134" s="141">
        <v>176</v>
      </c>
      <c r="E134" s="142" t="s">
        <v>19</v>
      </c>
      <c r="F134" s="141">
        <v>182</v>
      </c>
      <c r="G134" s="142" t="s">
        <v>20</v>
      </c>
      <c r="H134" s="143"/>
      <c r="I134" s="143"/>
      <c r="J134" s="143"/>
      <c r="K134" s="141">
        <v>1013</v>
      </c>
      <c r="L134" s="141" t="s">
        <v>86</v>
      </c>
      <c r="M134" s="143"/>
      <c r="N134" s="143">
        <v>52011</v>
      </c>
      <c r="O134" s="141">
        <v>33</v>
      </c>
      <c r="P134" s="141"/>
      <c r="R134">
        <v>1</v>
      </c>
    </row>
    <row r="135" spans="1:18">
      <c r="A135" s="141">
        <v>260003</v>
      </c>
      <c r="B135" s="141">
        <v>12006</v>
      </c>
      <c r="C135" s="75" t="s">
        <v>89</v>
      </c>
      <c r="D135" s="141">
        <v>176</v>
      </c>
      <c r="E135" s="142" t="s">
        <v>19</v>
      </c>
      <c r="F135" s="141">
        <v>182</v>
      </c>
      <c r="G135" s="142" t="s">
        <v>20</v>
      </c>
      <c r="H135" s="143"/>
      <c r="I135" s="143"/>
      <c r="J135" s="143"/>
      <c r="K135" s="141">
        <v>1003</v>
      </c>
      <c r="L135" s="141" t="s">
        <v>90</v>
      </c>
      <c r="M135" s="143"/>
      <c r="N135" s="143"/>
      <c r="O135" s="141">
        <v>5</v>
      </c>
      <c r="P135" s="141"/>
      <c r="R135">
        <v>1</v>
      </c>
    </row>
    <row r="136" spans="1:18" s="1" customFormat="1">
      <c r="A136" s="141">
        <v>260004</v>
      </c>
      <c r="B136" s="37">
        <v>12018</v>
      </c>
      <c r="C136" s="75" t="s">
        <v>114</v>
      </c>
      <c r="D136" s="141">
        <v>176</v>
      </c>
      <c r="E136" s="142" t="s">
        <v>19</v>
      </c>
      <c r="F136" s="141">
        <v>182</v>
      </c>
      <c r="G136" s="147" t="s">
        <v>20</v>
      </c>
      <c r="H136" s="37">
        <v>7006</v>
      </c>
      <c r="J136" s="147">
        <v>30</v>
      </c>
      <c r="K136" s="37">
        <v>1508</v>
      </c>
      <c r="L136" s="37" t="s">
        <v>115</v>
      </c>
      <c r="M136" s="37">
        <v>52017</v>
      </c>
      <c r="O136" s="37">
        <v>39</v>
      </c>
      <c r="P136" s="37">
        <v>14</v>
      </c>
      <c r="R136">
        <v>1</v>
      </c>
    </row>
    <row r="137" spans="1:18" s="1" customFormat="1">
      <c r="A137" s="141">
        <v>260005</v>
      </c>
      <c r="B137" s="37">
        <v>12019</v>
      </c>
      <c r="C137" s="75" t="s">
        <v>116</v>
      </c>
      <c r="D137" s="141">
        <v>176</v>
      </c>
      <c r="E137" s="142" t="s">
        <v>19</v>
      </c>
      <c r="F137" s="141">
        <v>182</v>
      </c>
      <c r="G137" s="147" t="s">
        <v>20</v>
      </c>
      <c r="H137" s="37">
        <v>7007</v>
      </c>
      <c r="J137" s="147">
        <v>30</v>
      </c>
      <c r="K137" s="37">
        <v>1509</v>
      </c>
      <c r="L137" s="37" t="s">
        <v>117</v>
      </c>
      <c r="M137" s="37">
        <v>52018</v>
      </c>
      <c r="O137" s="37">
        <v>40</v>
      </c>
      <c r="P137" s="37">
        <v>15</v>
      </c>
      <c r="R137">
        <v>1</v>
      </c>
    </row>
    <row r="138" spans="1:18" s="138" customFormat="1">
      <c r="A138" s="63">
        <v>270001</v>
      </c>
      <c r="B138" s="63">
        <v>12004</v>
      </c>
      <c r="C138" s="75" t="s">
        <v>91</v>
      </c>
      <c r="D138" s="63">
        <v>183</v>
      </c>
      <c r="E138" s="154" t="s">
        <v>19</v>
      </c>
      <c r="F138" s="63">
        <v>189</v>
      </c>
      <c r="G138" s="154" t="s">
        <v>20</v>
      </c>
      <c r="H138" s="63">
        <v>1003</v>
      </c>
      <c r="I138" s="63"/>
      <c r="J138" s="154">
        <v>30</v>
      </c>
      <c r="K138" s="63">
        <v>1010</v>
      </c>
      <c r="L138" s="63" t="s">
        <v>92</v>
      </c>
      <c r="M138" s="63">
        <v>52006</v>
      </c>
      <c r="N138" s="63"/>
      <c r="O138" s="63">
        <v>6</v>
      </c>
      <c r="P138" s="63">
        <v>3</v>
      </c>
      <c r="R138">
        <v>1</v>
      </c>
    </row>
    <row r="139" spans="1:18" s="138" customFormat="1">
      <c r="A139" s="63">
        <v>270002</v>
      </c>
      <c r="B139" s="63">
        <v>12009</v>
      </c>
      <c r="C139" s="75" t="s">
        <v>85</v>
      </c>
      <c r="D139" s="63">
        <v>183</v>
      </c>
      <c r="E139" s="154" t="s">
        <v>19</v>
      </c>
      <c r="F139" s="63">
        <v>189</v>
      </c>
      <c r="G139" s="154" t="s">
        <v>20</v>
      </c>
      <c r="K139" s="63">
        <v>1013</v>
      </c>
      <c r="L139" s="63" t="s">
        <v>86</v>
      </c>
      <c r="N139" s="138">
        <v>52011</v>
      </c>
      <c r="O139" s="63">
        <v>33</v>
      </c>
      <c r="P139" s="63"/>
      <c r="R139">
        <v>1</v>
      </c>
    </row>
    <row r="140" spans="1:18" s="138" customFormat="1">
      <c r="A140" s="63">
        <v>270003</v>
      </c>
      <c r="B140" s="63">
        <v>12006</v>
      </c>
      <c r="C140" s="75" t="s">
        <v>89</v>
      </c>
      <c r="D140" s="63">
        <v>183</v>
      </c>
      <c r="E140" s="154" t="s">
        <v>19</v>
      </c>
      <c r="F140" s="63">
        <v>189</v>
      </c>
      <c r="G140" s="154" t="s">
        <v>20</v>
      </c>
      <c r="K140" s="63">
        <v>1003</v>
      </c>
      <c r="L140" s="63" t="s">
        <v>90</v>
      </c>
      <c r="O140" s="63">
        <v>5</v>
      </c>
      <c r="P140" s="63"/>
      <c r="R140">
        <v>1</v>
      </c>
    </row>
    <row r="141" spans="1:18" s="68" customFormat="1">
      <c r="A141" s="63">
        <v>270004</v>
      </c>
      <c r="B141" s="62">
        <v>12013</v>
      </c>
      <c r="C141" s="75" t="s">
        <v>104</v>
      </c>
      <c r="D141" s="63">
        <v>183</v>
      </c>
      <c r="E141" s="154" t="s">
        <v>19</v>
      </c>
      <c r="F141" s="63">
        <v>189</v>
      </c>
      <c r="G141" s="144" t="s">
        <v>20</v>
      </c>
      <c r="H141" s="62">
        <v>7001</v>
      </c>
      <c r="J141" s="144">
        <v>30</v>
      </c>
      <c r="K141" s="62">
        <v>1503</v>
      </c>
      <c r="L141" s="62" t="s">
        <v>105</v>
      </c>
      <c r="M141" s="62">
        <v>52012</v>
      </c>
      <c r="N141" s="62"/>
      <c r="O141" s="62">
        <v>34</v>
      </c>
      <c r="P141" s="62">
        <v>9</v>
      </c>
      <c r="R141" s="68">
        <v>1</v>
      </c>
    </row>
    <row r="142" spans="1:18" s="68" customFormat="1">
      <c r="A142" s="63">
        <v>270005</v>
      </c>
      <c r="B142" s="62">
        <v>12014</v>
      </c>
      <c r="C142" s="75" t="s">
        <v>106</v>
      </c>
      <c r="D142" s="63">
        <v>183</v>
      </c>
      <c r="E142" s="154" t="s">
        <v>19</v>
      </c>
      <c r="F142" s="63">
        <v>189</v>
      </c>
      <c r="G142" s="144" t="s">
        <v>20</v>
      </c>
      <c r="H142" s="62">
        <v>7002</v>
      </c>
      <c r="J142" s="144">
        <v>30</v>
      </c>
      <c r="K142" s="62">
        <v>1504</v>
      </c>
      <c r="L142" s="62" t="s">
        <v>107</v>
      </c>
      <c r="M142" s="62">
        <v>52013</v>
      </c>
      <c r="O142" s="62">
        <v>35</v>
      </c>
      <c r="P142" s="62">
        <v>10</v>
      </c>
      <c r="R142" s="68">
        <v>1</v>
      </c>
    </row>
    <row r="143" spans="1:18">
      <c r="A143" s="37">
        <v>280001</v>
      </c>
      <c r="B143" s="37">
        <v>12005</v>
      </c>
      <c r="C143" s="75" t="s">
        <v>112</v>
      </c>
      <c r="D143" s="37">
        <v>190</v>
      </c>
      <c r="E143" s="147" t="s">
        <v>19</v>
      </c>
      <c r="F143" s="37">
        <v>196</v>
      </c>
      <c r="G143" s="147" t="s">
        <v>20</v>
      </c>
      <c r="H143" s="37">
        <v>3101</v>
      </c>
      <c r="I143" s="37"/>
      <c r="J143" s="147">
        <v>30</v>
      </c>
      <c r="K143" s="37">
        <v>1011</v>
      </c>
      <c r="L143" s="37" t="s">
        <v>113</v>
      </c>
      <c r="M143" s="37">
        <v>52007</v>
      </c>
      <c r="N143" s="37"/>
      <c r="O143" s="37">
        <v>18</v>
      </c>
      <c r="P143" s="37">
        <v>6</v>
      </c>
      <c r="R143">
        <v>1</v>
      </c>
    </row>
    <row r="144" spans="1:18">
      <c r="A144" s="37">
        <v>280002</v>
      </c>
      <c r="B144" s="37">
        <v>12009</v>
      </c>
      <c r="C144" s="75" t="s">
        <v>85</v>
      </c>
      <c r="D144" s="37">
        <v>190</v>
      </c>
      <c r="E144" s="147" t="s">
        <v>19</v>
      </c>
      <c r="F144" s="37">
        <v>196</v>
      </c>
      <c r="G144" s="147" t="s">
        <v>20</v>
      </c>
      <c r="H144" s="1"/>
      <c r="I144" s="1"/>
      <c r="J144" s="1"/>
      <c r="K144" s="37">
        <v>1013</v>
      </c>
      <c r="L144" s="37" t="s">
        <v>86</v>
      </c>
      <c r="M144" s="1"/>
      <c r="N144" s="1">
        <v>52011</v>
      </c>
      <c r="O144" s="37">
        <v>33</v>
      </c>
      <c r="P144" s="37"/>
      <c r="R144">
        <v>1</v>
      </c>
    </row>
    <row r="145" spans="1:18">
      <c r="A145" s="37">
        <v>280003</v>
      </c>
      <c r="B145" s="37">
        <v>12006</v>
      </c>
      <c r="C145" s="75" t="s">
        <v>89</v>
      </c>
      <c r="D145" s="37">
        <v>190</v>
      </c>
      <c r="E145" s="147" t="s">
        <v>19</v>
      </c>
      <c r="F145" s="37">
        <v>196</v>
      </c>
      <c r="G145" s="147" t="s">
        <v>20</v>
      </c>
      <c r="H145" s="1"/>
      <c r="I145" s="1"/>
      <c r="J145" s="1"/>
      <c r="K145" s="37">
        <v>1003</v>
      </c>
      <c r="L145" s="37" t="s">
        <v>90</v>
      </c>
      <c r="M145" s="1"/>
      <c r="N145" s="1"/>
      <c r="O145" s="37">
        <v>5</v>
      </c>
      <c r="P145" s="37"/>
      <c r="R145">
        <v>1</v>
      </c>
    </row>
    <row r="146" spans="1:18" s="68" customFormat="1">
      <c r="A146" s="37">
        <v>280004</v>
      </c>
      <c r="B146" s="62">
        <v>12020</v>
      </c>
      <c r="C146" s="75" t="s">
        <v>95</v>
      </c>
      <c r="D146" s="37">
        <v>190</v>
      </c>
      <c r="E146" s="147" t="s">
        <v>19</v>
      </c>
      <c r="F146" s="37">
        <v>196</v>
      </c>
      <c r="G146" s="144" t="s">
        <v>20</v>
      </c>
      <c r="H146" s="62">
        <v>7008</v>
      </c>
      <c r="J146" s="144">
        <v>30</v>
      </c>
      <c r="K146" s="62">
        <v>1510</v>
      </c>
      <c r="L146" s="62" t="s">
        <v>96</v>
      </c>
      <c r="M146" s="62">
        <v>52019</v>
      </c>
      <c r="O146" s="62">
        <v>41</v>
      </c>
      <c r="P146" s="62">
        <v>16</v>
      </c>
    </row>
    <row r="147" spans="1:18" s="68" customFormat="1">
      <c r="A147" s="37">
        <v>280005</v>
      </c>
      <c r="B147" s="62">
        <v>12021</v>
      </c>
      <c r="C147" s="75" t="s">
        <v>110</v>
      </c>
      <c r="D147" s="37">
        <v>190</v>
      </c>
      <c r="E147" s="147" t="s">
        <v>19</v>
      </c>
      <c r="F147" s="37">
        <v>196</v>
      </c>
      <c r="G147" s="144" t="s">
        <v>20</v>
      </c>
      <c r="H147" s="62">
        <v>7009</v>
      </c>
      <c r="J147" s="144">
        <v>30</v>
      </c>
      <c r="K147" s="62">
        <v>1511</v>
      </c>
      <c r="L147" s="62" t="s">
        <v>111</v>
      </c>
      <c r="M147" s="62">
        <v>52020</v>
      </c>
      <c r="O147" s="62">
        <v>42</v>
      </c>
      <c r="P147" s="62">
        <v>17</v>
      </c>
    </row>
    <row r="148" spans="1:18">
      <c r="A148" s="141">
        <v>290001</v>
      </c>
      <c r="B148" s="141">
        <v>12008</v>
      </c>
      <c r="C148" s="75" t="s">
        <v>118</v>
      </c>
      <c r="D148" s="141">
        <v>197</v>
      </c>
      <c r="E148" s="142" t="s">
        <v>19</v>
      </c>
      <c r="F148" s="141">
        <v>203</v>
      </c>
      <c r="G148" s="142" t="s">
        <v>20</v>
      </c>
      <c r="H148" s="141">
        <v>1002</v>
      </c>
      <c r="I148" s="143"/>
      <c r="J148" s="142">
        <v>30</v>
      </c>
      <c r="K148" s="141">
        <v>1012</v>
      </c>
      <c r="L148" s="141" t="s">
        <v>119</v>
      </c>
      <c r="M148" s="141">
        <v>52008</v>
      </c>
      <c r="N148" s="141"/>
      <c r="O148" s="141">
        <v>22</v>
      </c>
      <c r="P148" s="141">
        <v>7</v>
      </c>
      <c r="R148">
        <v>1</v>
      </c>
    </row>
    <row r="149" spans="1:18">
      <c r="A149" s="141">
        <v>290002</v>
      </c>
      <c r="B149" s="141">
        <v>12009</v>
      </c>
      <c r="C149" s="75" t="s">
        <v>85</v>
      </c>
      <c r="D149" s="141">
        <v>197</v>
      </c>
      <c r="E149" s="142" t="s">
        <v>19</v>
      </c>
      <c r="F149" s="141">
        <v>203</v>
      </c>
      <c r="G149" s="142" t="s">
        <v>20</v>
      </c>
      <c r="H149" s="143"/>
      <c r="I149" s="143"/>
      <c r="J149" s="143"/>
      <c r="K149" s="141">
        <v>1013</v>
      </c>
      <c r="L149" s="141" t="s">
        <v>86</v>
      </c>
      <c r="M149" s="143"/>
      <c r="N149" s="143">
        <v>52011</v>
      </c>
      <c r="O149" s="141">
        <v>33</v>
      </c>
      <c r="P149" s="141"/>
      <c r="R149">
        <v>1</v>
      </c>
    </row>
    <row r="150" spans="1:18">
      <c r="A150" s="141">
        <v>290003</v>
      </c>
      <c r="B150" s="141">
        <v>12006</v>
      </c>
      <c r="C150" s="75" t="s">
        <v>89</v>
      </c>
      <c r="D150" s="141">
        <v>197</v>
      </c>
      <c r="E150" s="142" t="s">
        <v>19</v>
      </c>
      <c r="F150" s="141">
        <v>203</v>
      </c>
      <c r="G150" s="142" t="s">
        <v>20</v>
      </c>
      <c r="H150" s="143"/>
      <c r="I150" s="143"/>
      <c r="J150" s="143"/>
      <c r="K150" s="141">
        <v>1003</v>
      </c>
      <c r="L150" s="141" t="s">
        <v>90</v>
      </c>
      <c r="M150" s="143"/>
      <c r="N150" s="143"/>
      <c r="O150" s="141">
        <v>5</v>
      </c>
      <c r="P150" s="141"/>
      <c r="R150">
        <v>1</v>
      </c>
    </row>
    <row r="151" spans="1:18" s="1" customFormat="1">
      <c r="A151" s="141">
        <v>290004</v>
      </c>
      <c r="B151" s="37">
        <v>12018</v>
      </c>
      <c r="C151" s="75" t="s">
        <v>114</v>
      </c>
      <c r="D151" s="141">
        <v>197</v>
      </c>
      <c r="E151" s="142" t="s">
        <v>19</v>
      </c>
      <c r="F151" s="141">
        <v>203</v>
      </c>
      <c r="G151" s="147" t="s">
        <v>20</v>
      </c>
      <c r="H151" s="37">
        <v>7006</v>
      </c>
      <c r="J151" s="147">
        <v>30</v>
      </c>
      <c r="K151" s="37">
        <v>1508</v>
      </c>
      <c r="L151" s="37" t="s">
        <v>115</v>
      </c>
      <c r="M151" s="37">
        <v>52017</v>
      </c>
      <c r="O151" s="37">
        <v>39</v>
      </c>
      <c r="P151" s="37">
        <v>14</v>
      </c>
      <c r="R151">
        <v>1</v>
      </c>
    </row>
    <row r="152" spans="1:18" s="1" customFormat="1">
      <c r="A152" s="141">
        <v>290005</v>
      </c>
      <c r="B152" s="37">
        <v>12019</v>
      </c>
      <c r="C152" s="75" t="s">
        <v>116</v>
      </c>
      <c r="D152" s="141">
        <v>197</v>
      </c>
      <c r="E152" s="142" t="s">
        <v>19</v>
      </c>
      <c r="F152" s="141">
        <v>203</v>
      </c>
      <c r="G152" s="147" t="s">
        <v>20</v>
      </c>
      <c r="H152" s="37">
        <v>7007</v>
      </c>
      <c r="J152" s="147">
        <v>30</v>
      </c>
      <c r="K152" s="37">
        <v>1509</v>
      </c>
      <c r="L152" s="37" t="s">
        <v>117</v>
      </c>
      <c r="M152" s="37">
        <v>52018</v>
      </c>
      <c r="O152" s="37">
        <v>40</v>
      </c>
      <c r="P152" s="37">
        <v>15</v>
      </c>
      <c r="R152">
        <v>1</v>
      </c>
    </row>
    <row r="153" spans="1:18" s="138" customFormat="1">
      <c r="A153" s="63">
        <v>300001</v>
      </c>
      <c r="B153" s="63">
        <v>12004</v>
      </c>
      <c r="C153" s="75" t="s">
        <v>91</v>
      </c>
      <c r="D153" s="63">
        <v>204</v>
      </c>
      <c r="E153" s="154" t="s">
        <v>19</v>
      </c>
      <c r="F153" s="63">
        <v>210</v>
      </c>
      <c r="G153" s="154" t="s">
        <v>20</v>
      </c>
      <c r="H153" s="63">
        <v>1003</v>
      </c>
      <c r="I153" s="63"/>
      <c r="J153" s="154">
        <v>30</v>
      </c>
      <c r="K153" s="63">
        <v>1010</v>
      </c>
      <c r="L153" s="63" t="s">
        <v>92</v>
      </c>
      <c r="M153" s="63">
        <v>52006</v>
      </c>
      <c r="N153" s="63"/>
      <c r="O153" s="63">
        <v>6</v>
      </c>
      <c r="P153" s="63">
        <v>3</v>
      </c>
      <c r="R153">
        <v>1</v>
      </c>
    </row>
    <row r="154" spans="1:18" s="138" customFormat="1">
      <c r="A154" s="63">
        <v>300002</v>
      </c>
      <c r="B154" s="63">
        <v>12009</v>
      </c>
      <c r="C154" s="75" t="s">
        <v>85</v>
      </c>
      <c r="D154" s="63">
        <v>204</v>
      </c>
      <c r="E154" s="154" t="s">
        <v>19</v>
      </c>
      <c r="F154" s="63">
        <v>210</v>
      </c>
      <c r="G154" s="154" t="s">
        <v>20</v>
      </c>
      <c r="K154" s="63">
        <v>1013</v>
      </c>
      <c r="L154" s="63" t="s">
        <v>86</v>
      </c>
      <c r="N154" s="138">
        <v>52011</v>
      </c>
      <c r="O154" s="63">
        <v>33</v>
      </c>
      <c r="P154" s="63"/>
      <c r="R154">
        <v>1</v>
      </c>
    </row>
    <row r="155" spans="1:18" s="138" customFormat="1">
      <c r="A155" s="63">
        <v>300003</v>
      </c>
      <c r="B155" s="63">
        <v>12006</v>
      </c>
      <c r="C155" s="75" t="s">
        <v>89</v>
      </c>
      <c r="D155" s="63">
        <v>204</v>
      </c>
      <c r="E155" s="154" t="s">
        <v>19</v>
      </c>
      <c r="F155" s="63">
        <v>210</v>
      </c>
      <c r="G155" s="154" t="s">
        <v>20</v>
      </c>
      <c r="K155" s="63">
        <v>1003</v>
      </c>
      <c r="L155" s="63" t="s">
        <v>90</v>
      </c>
      <c r="O155" s="63">
        <v>5</v>
      </c>
      <c r="P155" s="63"/>
      <c r="R155">
        <v>1</v>
      </c>
    </row>
    <row r="156" spans="1:18" s="68" customFormat="1" ht="18.95" customHeight="1">
      <c r="A156" s="63">
        <v>300004</v>
      </c>
      <c r="B156" s="62">
        <v>12013</v>
      </c>
      <c r="C156" s="75" t="s">
        <v>104</v>
      </c>
      <c r="D156" s="63">
        <v>204</v>
      </c>
      <c r="E156" s="154" t="s">
        <v>19</v>
      </c>
      <c r="F156" s="63">
        <v>210</v>
      </c>
      <c r="G156" s="144" t="s">
        <v>20</v>
      </c>
      <c r="H156" s="62">
        <v>7001</v>
      </c>
      <c r="J156" s="144">
        <v>30</v>
      </c>
      <c r="K156" s="62">
        <v>1503</v>
      </c>
      <c r="L156" s="62" t="s">
        <v>105</v>
      </c>
      <c r="M156" s="62">
        <v>52012</v>
      </c>
      <c r="N156" s="62"/>
      <c r="O156" s="62">
        <v>34</v>
      </c>
      <c r="P156" s="62">
        <v>9</v>
      </c>
      <c r="R156" s="68">
        <v>1</v>
      </c>
    </row>
    <row r="157" spans="1:18" s="68" customFormat="1">
      <c r="A157" s="63">
        <v>300005</v>
      </c>
      <c r="B157" s="62">
        <v>12014</v>
      </c>
      <c r="C157" s="75" t="s">
        <v>106</v>
      </c>
      <c r="D157" s="63">
        <v>204</v>
      </c>
      <c r="E157" s="154" t="s">
        <v>19</v>
      </c>
      <c r="F157" s="63">
        <v>210</v>
      </c>
      <c r="G157" s="144" t="s">
        <v>20</v>
      </c>
      <c r="H157" s="62">
        <v>7002</v>
      </c>
      <c r="J157" s="144">
        <v>30</v>
      </c>
      <c r="K157" s="62">
        <v>1504</v>
      </c>
      <c r="L157" s="62" t="s">
        <v>107</v>
      </c>
      <c r="M157" s="62">
        <v>52013</v>
      </c>
      <c r="O157" s="62">
        <v>35</v>
      </c>
      <c r="P157" s="62">
        <v>10</v>
      </c>
      <c r="R157" s="68">
        <v>1</v>
      </c>
    </row>
    <row r="158" spans="1:18">
      <c r="A158" s="37">
        <v>310001</v>
      </c>
      <c r="B158" s="37">
        <v>12005</v>
      </c>
      <c r="C158" s="75" t="s">
        <v>112</v>
      </c>
      <c r="D158" s="37">
        <v>211</v>
      </c>
      <c r="E158" s="147" t="s">
        <v>19</v>
      </c>
      <c r="F158" s="37">
        <v>217</v>
      </c>
      <c r="G158" s="147" t="s">
        <v>20</v>
      </c>
      <c r="H158" s="37">
        <v>3101</v>
      </c>
      <c r="I158" s="37"/>
      <c r="J158" s="147">
        <v>30</v>
      </c>
      <c r="K158" s="37">
        <v>1011</v>
      </c>
      <c r="L158" s="37" t="s">
        <v>113</v>
      </c>
      <c r="M158" s="37">
        <v>52007</v>
      </c>
      <c r="N158" s="37"/>
      <c r="O158" s="37">
        <v>18</v>
      </c>
      <c r="P158" s="37">
        <v>6</v>
      </c>
      <c r="R158">
        <v>1</v>
      </c>
    </row>
    <row r="159" spans="1:18">
      <c r="A159" s="37">
        <v>310002</v>
      </c>
      <c r="B159" s="37">
        <v>12009</v>
      </c>
      <c r="C159" s="75" t="s">
        <v>85</v>
      </c>
      <c r="D159" s="37">
        <v>211</v>
      </c>
      <c r="E159" s="147" t="s">
        <v>19</v>
      </c>
      <c r="F159" s="37">
        <v>217</v>
      </c>
      <c r="G159" s="147" t="s">
        <v>20</v>
      </c>
      <c r="H159" s="1"/>
      <c r="I159" s="1"/>
      <c r="J159" s="1"/>
      <c r="K159" s="37">
        <v>1013</v>
      </c>
      <c r="L159" s="37" t="s">
        <v>86</v>
      </c>
      <c r="M159" s="1"/>
      <c r="N159" s="1">
        <v>52011</v>
      </c>
      <c r="O159" s="37">
        <v>33</v>
      </c>
      <c r="P159" s="37"/>
      <c r="R159">
        <v>1</v>
      </c>
    </row>
    <row r="160" spans="1:18">
      <c r="A160" s="37">
        <v>310003</v>
      </c>
      <c r="B160" s="37">
        <v>12006</v>
      </c>
      <c r="C160" s="75" t="s">
        <v>89</v>
      </c>
      <c r="D160" s="37">
        <v>211</v>
      </c>
      <c r="E160" s="147" t="s">
        <v>19</v>
      </c>
      <c r="F160" s="37">
        <v>217</v>
      </c>
      <c r="G160" s="147" t="s">
        <v>20</v>
      </c>
      <c r="H160" s="1"/>
      <c r="I160" s="1"/>
      <c r="J160" s="1"/>
      <c r="K160" s="37">
        <v>1003</v>
      </c>
      <c r="L160" s="37" t="s">
        <v>90</v>
      </c>
      <c r="M160" s="1"/>
      <c r="N160" s="1"/>
      <c r="O160" s="37">
        <v>5</v>
      </c>
      <c r="P160" s="37"/>
      <c r="R160">
        <v>1</v>
      </c>
    </row>
    <row r="161" spans="1:18" s="68" customFormat="1">
      <c r="A161" s="37">
        <v>310004</v>
      </c>
      <c r="B161" s="62">
        <v>12020</v>
      </c>
      <c r="C161" s="75" t="s">
        <v>95</v>
      </c>
      <c r="D161" s="37">
        <v>211</v>
      </c>
      <c r="E161" s="147" t="s">
        <v>19</v>
      </c>
      <c r="F161" s="37">
        <v>217</v>
      </c>
      <c r="G161" s="144" t="s">
        <v>20</v>
      </c>
      <c r="H161" s="62">
        <v>7008</v>
      </c>
      <c r="J161" s="144">
        <v>30</v>
      </c>
      <c r="K161" s="62">
        <v>1510</v>
      </c>
      <c r="L161" s="62" t="s">
        <v>96</v>
      </c>
      <c r="M161" s="62">
        <v>52019</v>
      </c>
      <c r="O161" s="62">
        <v>41</v>
      </c>
      <c r="P161" s="62">
        <v>16</v>
      </c>
    </row>
    <row r="162" spans="1:18" s="68" customFormat="1">
      <c r="A162" s="37">
        <v>310005</v>
      </c>
      <c r="B162" s="62">
        <v>12021</v>
      </c>
      <c r="C162" s="75" t="s">
        <v>110</v>
      </c>
      <c r="D162" s="37">
        <v>211</v>
      </c>
      <c r="E162" s="147" t="s">
        <v>19</v>
      </c>
      <c r="F162" s="37">
        <v>217</v>
      </c>
      <c r="G162" s="144" t="s">
        <v>20</v>
      </c>
      <c r="H162" s="62">
        <v>7009</v>
      </c>
      <c r="J162" s="144">
        <v>30</v>
      </c>
      <c r="K162" s="62">
        <v>1511</v>
      </c>
      <c r="L162" s="62" t="s">
        <v>111</v>
      </c>
      <c r="M162" s="62">
        <v>52020</v>
      </c>
      <c r="O162" s="62">
        <v>42</v>
      </c>
      <c r="P162" s="62">
        <v>17</v>
      </c>
    </row>
    <row r="163" spans="1:18">
      <c r="A163" s="141">
        <v>320001</v>
      </c>
      <c r="B163" s="141">
        <v>12008</v>
      </c>
      <c r="C163" s="75" t="s">
        <v>118</v>
      </c>
      <c r="D163" s="141">
        <v>218</v>
      </c>
      <c r="E163" s="142" t="s">
        <v>19</v>
      </c>
      <c r="F163" s="141">
        <v>224</v>
      </c>
      <c r="G163" s="142" t="s">
        <v>20</v>
      </c>
      <c r="H163" s="141">
        <v>1002</v>
      </c>
      <c r="I163" s="143"/>
      <c r="J163" s="142">
        <v>30</v>
      </c>
      <c r="K163" s="141">
        <v>1012</v>
      </c>
      <c r="L163" s="141" t="s">
        <v>119</v>
      </c>
      <c r="M163" s="141">
        <v>52008</v>
      </c>
      <c r="N163" s="141"/>
      <c r="O163" s="141">
        <v>22</v>
      </c>
      <c r="P163" s="141">
        <v>7</v>
      </c>
      <c r="R163">
        <v>1</v>
      </c>
    </row>
    <row r="164" spans="1:18">
      <c r="A164" s="141">
        <v>320002</v>
      </c>
      <c r="B164" s="141">
        <v>12009</v>
      </c>
      <c r="C164" s="75" t="s">
        <v>85</v>
      </c>
      <c r="D164" s="141">
        <v>218</v>
      </c>
      <c r="E164" s="142" t="s">
        <v>19</v>
      </c>
      <c r="F164" s="141">
        <v>224</v>
      </c>
      <c r="G164" s="142" t="s">
        <v>20</v>
      </c>
      <c r="H164" s="143"/>
      <c r="I164" s="143"/>
      <c r="J164" s="143"/>
      <c r="K164" s="141">
        <v>1013</v>
      </c>
      <c r="L164" s="141" t="s">
        <v>86</v>
      </c>
      <c r="M164" s="143"/>
      <c r="N164" s="143">
        <v>52011</v>
      </c>
      <c r="O164" s="141">
        <v>33</v>
      </c>
      <c r="P164" s="141"/>
      <c r="R164">
        <v>1</v>
      </c>
    </row>
    <row r="165" spans="1:18">
      <c r="A165" s="141">
        <v>320003</v>
      </c>
      <c r="B165" s="141">
        <v>12006</v>
      </c>
      <c r="C165" s="75" t="s">
        <v>89</v>
      </c>
      <c r="D165" s="141">
        <v>218</v>
      </c>
      <c r="E165" s="142" t="s">
        <v>19</v>
      </c>
      <c r="F165" s="141">
        <v>224</v>
      </c>
      <c r="G165" s="142" t="s">
        <v>20</v>
      </c>
      <c r="H165" s="143"/>
      <c r="I165" s="143"/>
      <c r="J165" s="143"/>
      <c r="K165" s="141">
        <v>1003</v>
      </c>
      <c r="L165" s="141" t="s">
        <v>90</v>
      </c>
      <c r="M165" s="143"/>
      <c r="N165" s="143"/>
      <c r="O165" s="141">
        <v>5</v>
      </c>
      <c r="P165" s="141"/>
      <c r="R165">
        <v>1</v>
      </c>
    </row>
    <row r="166" spans="1:18" s="1" customFormat="1">
      <c r="A166" s="141">
        <v>320004</v>
      </c>
      <c r="B166" s="37">
        <v>12018</v>
      </c>
      <c r="C166" s="75" t="s">
        <v>114</v>
      </c>
      <c r="D166" s="141">
        <v>218</v>
      </c>
      <c r="E166" s="142" t="s">
        <v>19</v>
      </c>
      <c r="F166" s="141">
        <v>224</v>
      </c>
      <c r="G166" s="147" t="s">
        <v>20</v>
      </c>
      <c r="H166" s="37">
        <v>7006</v>
      </c>
      <c r="J166" s="147">
        <v>30</v>
      </c>
      <c r="K166" s="37">
        <v>1508</v>
      </c>
      <c r="L166" s="37" t="s">
        <v>115</v>
      </c>
      <c r="M166" s="37">
        <v>52017</v>
      </c>
      <c r="O166" s="37">
        <v>39</v>
      </c>
      <c r="P166" s="37">
        <v>14</v>
      </c>
      <c r="R166">
        <v>1</v>
      </c>
    </row>
    <row r="167" spans="1:18" s="1" customFormat="1">
      <c r="A167" s="141">
        <v>320005</v>
      </c>
      <c r="B167" s="37">
        <v>12019</v>
      </c>
      <c r="C167" s="75" t="s">
        <v>116</v>
      </c>
      <c r="D167" s="141">
        <v>218</v>
      </c>
      <c r="E167" s="142" t="s">
        <v>19</v>
      </c>
      <c r="F167" s="141">
        <v>224</v>
      </c>
      <c r="G167" s="147" t="s">
        <v>20</v>
      </c>
      <c r="H167" s="37">
        <v>7007</v>
      </c>
      <c r="J167" s="147">
        <v>30</v>
      </c>
      <c r="K167" s="37">
        <v>1509</v>
      </c>
      <c r="L167" s="37" t="s">
        <v>117</v>
      </c>
      <c r="M167" s="37">
        <v>52018</v>
      </c>
      <c r="O167" s="37">
        <v>40</v>
      </c>
      <c r="P167" s="37">
        <v>15</v>
      </c>
      <c r="R167">
        <v>1</v>
      </c>
    </row>
    <row r="168" spans="1:18" s="138" customFormat="1">
      <c r="A168" s="63">
        <v>330001</v>
      </c>
      <c r="B168" s="63">
        <v>12004</v>
      </c>
      <c r="C168" s="75" t="s">
        <v>91</v>
      </c>
      <c r="D168" s="63">
        <v>225</v>
      </c>
      <c r="E168" s="154" t="s">
        <v>19</v>
      </c>
      <c r="F168" s="63">
        <v>231</v>
      </c>
      <c r="G168" s="154" t="s">
        <v>20</v>
      </c>
      <c r="H168" s="63">
        <v>1003</v>
      </c>
      <c r="I168" s="63"/>
      <c r="J168" s="154">
        <v>30</v>
      </c>
      <c r="K168" s="63">
        <v>1010</v>
      </c>
      <c r="L168" s="63" t="s">
        <v>92</v>
      </c>
      <c r="M168" s="63">
        <v>52006</v>
      </c>
      <c r="N168" s="63"/>
      <c r="O168" s="63">
        <v>6</v>
      </c>
      <c r="P168" s="63">
        <v>3</v>
      </c>
      <c r="R168">
        <v>1</v>
      </c>
    </row>
    <row r="169" spans="1:18" s="138" customFormat="1">
      <c r="A169" s="63">
        <v>330002</v>
      </c>
      <c r="B169" s="63">
        <v>12009</v>
      </c>
      <c r="C169" s="75" t="s">
        <v>85</v>
      </c>
      <c r="D169" s="63">
        <v>225</v>
      </c>
      <c r="E169" s="154" t="s">
        <v>19</v>
      </c>
      <c r="F169" s="63">
        <v>231</v>
      </c>
      <c r="G169" s="154" t="s">
        <v>20</v>
      </c>
      <c r="K169" s="63">
        <v>1013</v>
      </c>
      <c r="L169" s="63" t="s">
        <v>86</v>
      </c>
      <c r="N169" s="138">
        <v>52011</v>
      </c>
      <c r="O169" s="63">
        <v>33</v>
      </c>
      <c r="P169" s="63"/>
      <c r="R169">
        <v>1</v>
      </c>
    </row>
    <row r="170" spans="1:18" s="138" customFormat="1" ht="15" customHeight="1">
      <c r="A170" s="63">
        <v>330003</v>
      </c>
      <c r="B170" s="63">
        <v>12006</v>
      </c>
      <c r="C170" s="75" t="s">
        <v>89</v>
      </c>
      <c r="D170" s="63">
        <v>225</v>
      </c>
      <c r="E170" s="154" t="s">
        <v>19</v>
      </c>
      <c r="F170" s="63">
        <v>231</v>
      </c>
      <c r="G170" s="154" t="s">
        <v>20</v>
      </c>
      <c r="K170" s="63">
        <v>1003</v>
      </c>
      <c r="L170" s="63" t="s">
        <v>90</v>
      </c>
      <c r="O170" s="63">
        <v>5</v>
      </c>
      <c r="P170" s="63"/>
      <c r="R170">
        <v>1</v>
      </c>
    </row>
    <row r="171" spans="1:18" s="68" customFormat="1" ht="18.95" customHeight="1">
      <c r="A171" s="63">
        <v>330004</v>
      </c>
      <c r="B171" s="62">
        <v>12013</v>
      </c>
      <c r="C171" s="75" t="s">
        <v>104</v>
      </c>
      <c r="D171" s="63">
        <v>225</v>
      </c>
      <c r="E171" s="154" t="s">
        <v>19</v>
      </c>
      <c r="F171" s="63">
        <v>231</v>
      </c>
      <c r="G171" s="144" t="s">
        <v>20</v>
      </c>
      <c r="H171" s="62">
        <v>7001</v>
      </c>
      <c r="J171" s="144">
        <v>30</v>
      </c>
      <c r="K171" s="62">
        <v>1503</v>
      </c>
      <c r="L171" s="62" t="s">
        <v>105</v>
      </c>
      <c r="M171" s="62">
        <v>52012</v>
      </c>
      <c r="N171" s="62"/>
      <c r="O171" s="62">
        <v>34</v>
      </c>
      <c r="P171" s="62">
        <v>9</v>
      </c>
      <c r="R171" s="68">
        <v>1</v>
      </c>
    </row>
    <row r="172" spans="1:18" s="68" customFormat="1">
      <c r="A172" s="63">
        <v>330005</v>
      </c>
      <c r="B172" s="62">
        <v>12014</v>
      </c>
      <c r="C172" s="75" t="s">
        <v>106</v>
      </c>
      <c r="D172" s="63">
        <v>225</v>
      </c>
      <c r="E172" s="154" t="s">
        <v>19</v>
      </c>
      <c r="F172" s="63">
        <v>231</v>
      </c>
      <c r="G172" s="144" t="s">
        <v>20</v>
      </c>
      <c r="H172" s="62">
        <v>7002</v>
      </c>
      <c r="J172" s="144">
        <v>30</v>
      </c>
      <c r="K172" s="62">
        <v>1504</v>
      </c>
      <c r="L172" s="62" t="s">
        <v>107</v>
      </c>
      <c r="M172" s="62">
        <v>52013</v>
      </c>
      <c r="O172" s="62">
        <v>35</v>
      </c>
      <c r="P172" s="62">
        <v>10</v>
      </c>
      <c r="R172" s="68">
        <v>1</v>
      </c>
    </row>
    <row r="173" spans="1:18">
      <c r="A173" s="37">
        <v>340001</v>
      </c>
      <c r="B173" s="37">
        <v>12005</v>
      </c>
      <c r="C173" s="75" t="s">
        <v>112</v>
      </c>
      <c r="D173" s="37">
        <v>232</v>
      </c>
      <c r="E173" s="147" t="s">
        <v>19</v>
      </c>
      <c r="F173" s="37">
        <v>238</v>
      </c>
      <c r="G173" s="147" t="s">
        <v>20</v>
      </c>
      <c r="H173" s="37">
        <v>3101</v>
      </c>
      <c r="I173" s="37"/>
      <c r="J173" s="147">
        <v>30</v>
      </c>
      <c r="K173" s="37">
        <v>1011</v>
      </c>
      <c r="L173" s="37" t="s">
        <v>113</v>
      </c>
      <c r="M173" s="37">
        <v>52007</v>
      </c>
      <c r="N173" s="37"/>
      <c r="O173" s="37">
        <v>18</v>
      </c>
      <c r="P173" s="37">
        <v>6</v>
      </c>
      <c r="R173">
        <v>1</v>
      </c>
    </row>
    <row r="174" spans="1:18">
      <c r="A174" s="37">
        <v>340002</v>
      </c>
      <c r="B174" s="37">
        <v>12009</v>
      </c>
      <c r="C174" s="75" t="s">
        <v>85</v>
      </c>
      <c r="D174" s="37">
        <v>232</v>
      </c>
      <c r="E174" s="147" t="s">
        <v>19</v>
      </c>
      <c r="F174" s="37">
        <v>238</v>
      </c>
      <c r="G174" s="147" t="s">
        <v>20</v>
      </c>
      <c r="H174" s="1"/>
      <c r="I174" s="1"/>
      <c r="J174" s="1"/>
      <c r="K174" s="37">
        <v>1013</v>
      </c>
      <c r="L174" s="37" t="s">
        <v>86</v>
      </c>
      <c r="M174" s="1"/>
      <c r="N174" s="1">
        <v>52011</v>
      </c>
      <c r="O174" s="37">
        <v>33</v>
      </c>
      <c r="P174" s="37"/>
      <c r="R174">
        <v>1</v>
      </c>
    </row>
    <row r="175" spans="1:18">
      <c r="A175" s="37">
        <v>340003</v>
      </c>
      <c r="B175" s="37">
        <v>12006</v>
      </c>
      <c r="C175" s="75" t="s">
        <v>89</v>
      </c>
      <c r="D175" s="37">
        <v>232</v>
      </c>
      <c r="E175" s="147" t="s">
        <v>19</v>
      </c>
      <c r="F175" s="37">
        <v>238</v>
      </c>
      <c r="G175" s="147" t="s">
        <v>20</v>
      </c>
      <c r="H175" s="1"/>
      <c r="I175" s="1"/>
      <c r="J175" s="1"/>
      <c r="K175" s="37">
        <v>1003</v>
      </c>
      <c r="L175" s="37" t="s">
        <v>90</v>
      </c>
      <c r="M175" s="1"/>
      <c r="N175" s="1"/>
      <c r="O175" s="37">
        <v>5</v>
      </c>
      <c r="P175" s="37"/>
      <c r="R175">
        <v>1</v>
      </c>
    </row>
    <row r="176" spans="1:18" s="68" customFormat="1">
      <c r="A176" s="37">
        <v>340004</v>
      </c>
      <c r="B176" s="62">
        <v>12020</v>
      </c>
      <c r="C176" s="75" t="s">
        <v>95</v>
      </c>
      <c r="D176" s="37">
        <v>232</v>
      </c>
      <c r="E176" s="147" t="s">
        <v>19</v>
      </c>
      <c r="F176" s="37">
        <v>238</v>
      </c>
      <c r="G176" s="144" t="s">
        <v>20</v>
      </c>
      <c r="H176" s="62">
        <v>7008</v>
      </c>
      <c r="J176" s="144">
        <v>30</v>
      </c>
      <c r="K176" s="62">
        <v>1510</v>
      </c>
      <c r="L176" s="62" t="s">
        <v>96</v>
      </c>
      <c r="M176" s="62">
        <v>52019</v>
      </c>
      <c r="O176" s="62">
        <v>41</v>
      </c>
      <c r="P176" s="62">
        <v>16</v>
      </c>
    </row>
    <row r="177" spans="1:18" s="68" customFormat="1">
      <c r="A177" s="37">
        <v>340005</v>
      </c>
      <c r="B177" s="62">
        <v>12021</v>
      </c>
      <c r="C177" s="75" t="s">
        <v>110</v>
      </c>
      <c r="D177" s="37">
        <v>232</v>
      </c>
      <c r="E177" s="147" t="s">
        <v>19</v>
      </c>
      <c r="F177" s="37">
        <v>238</v>
      </c>
      <c r="G177" s="144" t="s">
        <v>20</v>
      </c>
      <c r="H177" s="62">
        <v>7009</v>
      </c>
      <c r="J177" s="144">
        <v>30</v>
      </c>
      <c r="K177" s="62">
        <v>1511</v>
      </c>
      <c r="L177" s="62" t="s">
        <v>111</v>
      </c>
      <c r="M177" s="62">
        <v>52020</v>
      </c>
      <c r="O177" s="62">
        <v>42</v>
      </c>
      <c r="P177" s="62">
        <v>17</v>
      </c>
    </row>
    <row r="178" spans="1:18">
      <c r="A178" s="141">
        <v>350001</v>
      </c>
      <c r="B178" s="141">
        <v>12008</v>
      </c>
      <c r="C178" s="75" t="s">
        <v>118</v>
      </c>
      <c r="D178" s="141">
        <v>239</v>
      </c>
      <c r="E178" s="142" t="s">
        <v>19</v>
      </c>
      <c r="F178" s="141">
        <v>245</v>
      </c>
      <c r="G178" s="142" t="s">
        <v>20</v>
      </c>
      <c r="H178" s="141">
        <v>1002</v>
      </c>
      <c r="I178" s="143"/>
      <c r="J178" s="142">
        <v>30</v>
      </c>
      <c r="K178" s="141">
        <v>1012</v>
      </c>
      <c r="L178" s="141" t="s">
        <v>119</v>
      </c>
      <c r="M178" s="141">
        <v>52008</v>
      </c>
      <c r="N178" s="141"/>
      <c r="O178" s="141">
        <v>22</v>
      </c>
      <c r="P178" s="141">
        <v>7</v>
      </c>
      <c r="R178">
        <v>1</v>
      </c>
    </row>
    <row r="179" spans="1:18">
      <c r="A179" s="141">
        <v>350002</v>
      </c>
      <c r="B179" s="141">
        <v>12009</v>
      </c>
      <c r="C179" s="75" t="s">
        <v>85</v>
      </c>
      <c r="D179" s="141">
        <v>239</v>
      </c>
      <c r="E179" s="142" t="s">
        <v>19</v>
      </c>
      <c r="F179" s="141">
        <v>245</v>
      </c>
      <c r="G179" s="142" t="s">
        <v>20</v>
      </c>
      <c r="H179" s="143"/>
      <c r="I179" s="143"/>
      <c r="J179" s="143"/>
      <c r="K179" s="141">
        <v>1013</v>
      </c>
      <c r="L179" s="141" t="s">
        <v>86</v>
      </c>
      <c r="M179" s="143"/>
      <c r="N179" s="143">
        <v>52011</v>
      </c>
      <c r="O179" s="141">
        <v>33</v>
      </c>
      <c r="P179" s="141"/>
      <c r="R179">
        <v>1</v>
      </c>
    </row>
    <row r="180" spans="1:18">
      <c r="A180" s="141">
        <v>350003</v>
      </c>
      <c r="B180" s="141">
        <v>12006</v>
      </c>
      <c r="C180" s="75" t="s">
        <v>89</v>
      </c>
      <c r="D180" s="141">
        <v>239</v>
      </c>
      <c r="E180" s="142" t="s">
        <v>19</v>
      </c>
      <c r="F180" s="141">
        <v>245</v>
      </c>
      <c r="G180" s="142" t="s">
        <v>20</v>
      </c>
      <c r="H180" s="143"/>
      <c r="I180" s="143"/>
      <c r="J180" s="143"/>
      <c r="K180" s="141">
        <v>1003</v>
      </c>
      <c r="L180" s="141" t="s">
        <v>90</v>
      </c>
      <c r="M180" s="143"/>
      <c r="N180" s="143"/>
      <c r="O180" s="141">
        <v>5</v>
      </c>
      <c r="P180" s="141"/>
      <c r="R180">
        <v>1</v>
      </c>
    </row>
    <row r="181" spans="1:18" s="1" customFormat="1">
      <c r="A181" s="141">
        <v>350004</v>
      </c>
      <c r="B181" s="37">
        <v>12018</v>
      </c>
      <c r="C181" s="75" t="s">
        <v>114</v>
      </c>
      <c r="D181" s="141">
        <v>239</v>
      </c>
      <c r="E181" s="142" t="s">
        <v>19</v>
      </c>
      <c r="F181" s="141">
        <v>245</v>
      </c>
      <c r="G181" s="147" t="s">
        <v>20</v>
      </c>
      <c r="H181" s="37">
        <v>7006</v>
      </c>
      <c r="J181" s="147">
        <v>30</v>
      </c>
      <c r="K181" s="37">
        <v>1508</v>
      </c>
      <c r="L181" s="37" t="s">
        <v>115</v>
      </c>
      <c r="M181" s="37">
        <v>52017</v>
      </c>
      <c r="O181" s="37">
        <v>39</v>
      </c>
      <c r="P181" s="37">
        <v>14</v>
      </c>
      <c r="R181">
        <v>1</v>
      </c>
    </row>
    <row r="182" spans="1:18" s="1" customFormat="1">
      <c r="A182" s="141">
        <v>350005</v>
      </c>
      <c r="B182" s="37">
        <v>12019</v>
      </c>
      <c r="C182" s="75" t="s">
        <v>116</v>
      </c>
      <c r="D182" s="141">
        <v>239</v>
      </c>
      <c r="E182" s="142" t="s">
        <v>19</v>
      </c>
      <c r="F182" s="141">
        <v>245</v>
      </c>
      <c r="G182" s="147" t="s">
        <v>20</v>
      </c>
      <c r="H182" s="37">
        <v>7007</v>
      </c>
      <c r="J182" s="147">
        <v>30</v>
      </c>
      <c r="K182" s="37">
        <v>1509</v>
      </c>
      <c r="L182" s="37" t="s">
        <v>117</v>
      </c>
      <c r="M182" s="37">
        <v>52018</v>
      </c>
      <c r="O182" s="37">
        <v>40</v>
      </c>
      <c r="P182" s="37">
        <v>15</v>
      </c>
      <c r="R182">
        <v>1</v>
      </c>
    </row>
    <row r="183" spans="1:18" s="138" customFormat="1">
      <c r="A183" s="63">
        <v>360001</v>
      </c>
      <c r="B183" s="63">
        <v>12004</v>
      </c>
      <c r="C183" s="75" t="s">
        <v>91</v>
      </c>
      <c r="D183" s="63">
        <v>246</v>
      </c>
      <c r="E183" s="154" t="s">
        <v>19</v>
      </c>
      <c r="F183" s="63">
        <v>252</v>
      </c>
      <c r="G183" s="154" t="s">
        <v>20</v>
      </c>
      <c r="H183" s="63">
        <v>1003</v>
      </c>
      <c r="I183" s="63"/>
      <c r="J183" s="154">
        <v>30</v>
      </c>
      <c r="K183" s="63">
        <v>1010</v>
      </c>
      <c r="L183" s="63" t="s">
        <v>92</v>
      </c>
      <c r="M183" s="63">
        <v>52006</v>
      </c>
      <c r="N183" s="63"/>
      <c r="O183" s="63">
        <v>6</v>
      </c>
      <c r="P183" s="63">
        <v>3</v>
      </c>
      <c r="R183">
        <v>1</v>
      </c>
    </row>
    <row r="184" spans="1:18" s="138" customFormat="1">
      <c r="A184" s="63">
        <v>360002</v>
      </c>
      <c r="B184" s="63">
        <v>12009</v>
      </c>
      <c r="C184" s="75" t="s">
        <v>85</v>
      </c>
      <c r="D184" s="63">
        <v>246</v>
      </c>
      <c r="E184" s="154" t="s">
        <v>19</v>
      </c>
      <c r="F184" s="63">
        <v>252</v>
      </c>
      <c r="G184" s="154" t="s">
        <v>20</v>
      </c>
      <c r="K184" s="63">
        <v>1013</v>
      </c>
      <c r="L184" s="63" t="s">
        <v>86</v>
      </c>
      <c r="N184" s="138">
        <v>52011</v>
      </c>
      <c r="O184" s="63">
        <v>33</v>
      </c>
      <c r="P184" s="63"/>
      <c r="R184">
        <v>1</v>
      </c>
    </row>
    <row r="185" spans="1:18" s="138" customFormat="1">
      <c r="A185" s="63">
        <v>360003</v>
      </c>
      <c r="B185" s="63">
        <v>12006</v>
      </c>
      <c r="C185" s="75" t="s">
        <v>89</v>
      </c>
      <c r="D185" s="63">
        <v>246</v>
      </c>
      <c r="E185" s="154" t="s">
        <v>19</v>
      </c>
      <c r="F185" s="63">
        <v>252</v>
      </c>
      <c r="G185" s="154" t="s">
        <v>20</v>
      </c>
      <c r="K185" s="63">
        <v>1003</v>
      </c>
      <c r="L185" s="63" t="s">
        <v>90</v>
      </c>
      <c r="O185" s="63">
        <v>5</v>
      </c>
      <c r="P185" s="63"/>
      <c r="R185">
        <v>1</v>
      </c>
    </row>
    <row r="186" spans="1:18" s="68" customFormat="1" ht="18.95" customHeight="1">
      <c r="A186" s="63">
        <v>360004</v>
      </c>
      <c r="B186" s="62">
        <v>12013</v>
      </c>
      <c r="C186" s="75" t="s">
        <v>104</v>
      </c>
      <c r="D186" s="63">
        <v>246</v>
      </c>
      <c r="E186" s="154" t="s">
        <v>19</v>
      </c>
      <c r="F186" s="63">
        <v>252</v>
      </c>
      <c r="G186" s="144" t="s">
        <v>20</v>
      </c>
      <c r="H186" s="62">
        <v>7001</v>
      </c>
      <c r="J186" s="144">
        <v>30</v>
      </c>
      <c r="K186" s="62">
        <v>1503</v>
      </c>
      <c r="L186" s="62" t="s">
        <v>105</v>
      </c>
      <c r="M186" s="62">
        <v>52012</v>
      </c>
      <c r="N186" s="62"/>
      <c r="O186" s="62">
        <v>34</v>
      </c>
      <c r="P186" s="62">
        <v>9</v>
      </c>
      <c r="R186" s="68">
        <v>1</v>
      </c>
    </row>
    <row r="187" spans="1:18" s="68" customFormat="1">
      <c r="A187" s="63">
        <v>360005</v>
      </c>
      <c r="B187" s="62">
        <v>12014</v>
      </c>
      <c r="C187" s="75" t="s">
        <v>106</v>
      </c>
      <c r="D187" s="63">
        <v>246</v>
      </c>
      <c r="E187" s="154" t="s">
        <v>19</v>
      </c>
      <c r="F187" s="63">
        <v>252</v>
      </c>
      <c r="G187" s="144" t="s">
        <v>20</v>
      </c>
      <c r="H187" s="62">
        <v>7002</v>
      </c>
      <c r="J187" s="144">
        <v>30</v>
      </c>
      <c r="K187" s="62">
        <v>1504</v>
      </c>
      <c r="L187" s="62" t="s">
        <v>107</v>
      </c>
      <c r="M187" s="62">
        <v>52013</v>
      </c>
      <c r="O187" s="62">
        <v>35</v>
      </c>
      <c r="P187" s="62">
        <v>10</v>
      </c>
      <c r="R187" s="68">
        <v>1</v>
      </c>
    </row>
    <row r="188" spans="1:18">
      <c r="A188" s="37">
        <v>370001</v>
      </c>
      <c r="B188" s="37">
        <v>12005</v>
      </c>
      <c r="C188" s="75" t="s">
        <v>112</v>
      </c>
      <c r="D188" s="37">
        <v>253</v>
      </c>
      <c r="E188" s="147" t="s">
        <v>19</v>
      </c>
      <c r="F188" s="37">
        <v>259</v>
      </c>
      <c r="G188" s="147" t="s">
        <v>20</v>
      </c>
      <c r="H188" s="37">
        <v>3101</v>
      </c>
      <c r="I188" s="37"/>
      <c r="J188" s="147">
        <v>30</v>
      </c>
      <c r="K188" s="37">
        <v>1011</v>
      </c>
      <c r="L188" s="37" t="s">
        <v>113</v>
      </c>
      <c r="M188" s="37">
        <v>52007</v>
      </c>
      <c r="N188" s="37"/>
      <c r="O188" s="37">
        <v>18</v>
      </c>
      <c r="P188" s="37">
        <v>6</v>
      </c>
      <c r="R188">
        <v>1</v>
      </c>
    </row>
    <row r="189" spans="1:18">
      <c r="A189" s="37">
        <v>370002</v>
      </c>
      <c r="B189" s="37">
        <v>12009</v>
      </c>
      <c r="C189" s="75" t="s">
        <v>85</v>
      </c>
      <c r="D189" s="37">
        <v>253</v>
      </c>
      <c r="E189" s="147" t="s">
        <v>19</v>
      </c>
      <c r="F189" s="37">
        <v>259</v>
      </c>
      <c r="G189" s="147" t="s">
        <v>20</v>
      </c>
      <c r="H189" s="1"/>
      <c r="I189" s="1"/>
      <c r="J189" s="1"/>
      <c r="K189" s="37">
        <v>1013</v>
      </c>
      <c r="L189" s="37" t="s">
        <v>86</v>
      </c>
      <c r="M189" s="1"/>
      <c r="N189" s="1">
        <v>52011</v>
      </c>
      <c r="O189" s="37">
        <v>33</v>
      </c>
      <c r="P189" s="37"/>
      <c r="R189">
        <v>1</v>
      </c>
    </row>
    <row r="190" spans="1:18">
      <c r="A190" s="37">
        <v>370003</v>
      </c>
      <c r="B190" s="37">
        <v>12006</v>
      </c>
      <c r="C190" s="75" t="s">
        <v>89</v>
      </c>
      <c r="D190" s="37">
        <v>253</v>
      </c>
      <c r="E190" s="147" t="s">
        <v>19</v>
      </c>
      <c r="F190" s="37">
        <v>259</v>
      </c>
      <c r="G190" s="147" t="s">
        <v>20</v>
      </c>
      <c r="H190" s="1"/>
      <c r="I190" s="1"/>
      <c r="J190" s="1"/>
      <c r="K190" s="37">
        <v>1003</v>
      </c>
      <c r="L190" s="37" t="s">
        <v>90</v>
      </c>
      <c r="M190" s="1"/>
      <c r="N190" s="1"/>
      <c r="O190" s="37">
        <v>5</v>
      </c>
      <c r="P190" s="37"/>
      <c r="R190">
        <v>1</v>
      </c>
    </row>
    <row r="191" spans="1:18" s="68" customFormat="1">
      <c r="A191" s="37">
        <v>370004</v>
      </c>
      <c r="B191" s="62">
        <v>12020</v>
      </c>
      <c r="C191" s="75" t="s">
        <v>95</v>
      </c>
      <c r="D191" s="37">
        <v>253</v>
      </c>
      <c r="E191" s="147" t="s">
        <v>19</v>
      </c>
      <c r="F191" s="37">
        <v>259</v>
      </c>
      <c r="G191" s="144" t="s">
        <v>20</v>
      </c>
      <c r="H191" s="62">
        <v>7008</v>
      </c>
      <c r="J191" s="144">
        <v>30</v>
      </c>
      <c r="K191" s="62">
        <v>1510</v>
      </c>
      <c r="L191" s="62" t="s">
        <v>96</v>
      </c>
      <c r="M191" s="62">
        <v>52019</v>
      </c>
      <c r="O191" s="62">
        <v>41</v>
      </c>
      <c r="P191" s="62">
        <v>16</v>
      </c>
    </row>
    <row r="192" spans="1:18" s="68" customFormat="1">
      <c r="A192" s="37">
        <v>370005</v>
      </c>
      <c r="B192" s="62">
        <v>12021</v>
      </c>
      <c r="C192" s="75" t="s">
        <v>110</v>
      </c>
      <c r="D192" s="37">
        <v>253</v>
      </c>
      <c r="E192" s="147" t="s">
        <v>19</v>
      </c>
      <c r="F192" s="37">
        <v>259</v>
      </c>
      <c r="G192" s="144" t="s">
        <v>20</v>
      </c>
      <c r="H192" s="62">
        <v>7009</v>
      </c>
      <c r="J192" s="144">
        <v>30</v>
      </c>
      <c r="K192" s="62">
        <v>1511</v>
      </c>
      <c r="L192" s="62" t="s">
        <v>111</v>
      </c>
      <c r="M192" s="62">
        <v>52020</v>
      </c>
      <c r="O192" s="62">
        <v>42</v>
      </c>
      <c r="P192" s="62">
        <v>17</v>
      </c>
    </row>
    <row r="193" spans="1:18">
      <c r="A193" s="141">
        <v>380001</v>
      </c>
      <c r="B193" s="141">
        <v>12008</v>
      </c>
      <c r="C193" s="75" t="s">
        <v>118</v>
      </c>
      <c r="D193" s="141">
        <v>260</v>
      </c>
      <c r="E193" s="142" t="s">
        <v>19</v>
      </c>
      <c r="F193" s="141">
        <v>266</v>
      </c>
      <c r="G193" s="142" t="s">
        <v>20</v>
      </c>
      <c r="H193" s="141">
        <v>1002</v>
      </c>
      <c r="I193" s="143"/>
      <c r="J193" s="142">
        <v>30</v>
      </c>
      <c r="K193" s="141">
        <v>1012</v>
      </c>
      <c r="L193" s="141" t="s">
        <v>119</v>
      </c>
      <c r="M193" s="141">
        <v>52008</v>
      </c>
      <c r="N193" s="141"/>
      <c r="O193" s="141">
        <v>22</v>
      </c>
      <c r="P193" s="141">
        <v>7</v>
      </c>
      <c r="R193">
        <v>1</v>
      </c>
    </row>
    <row r="194" spans="1:18">
      <c r="A194" s="141">
        <v>380002</v>
      </c>
      <c r="B194" s="141">
        <v>12009</v>
      </c>
      <c r="C194" s="75" t="s">
        <v>85</v>
      </c>
      <c r="D194" s="141">
        <v>260</v>
      </c>
      <c r="E194" s="142" t="s">
        <v>19</v>
      </c>
      <c r="F194" s="141">
        <v>266</v>
      </c>
      <c r="G194" s="142" t="s">
        <v>20</v>
      </c>
      <c r="H194" s="143"/>
      <c r="I194" s="143"/>
      <c r="J194" s="143"/>
      <c r="K194" s="141">
        <v>1013</v>
      </c>
      <c r="L194" s="141" t="s">
        <v>86</v>
      </c>
      <c r="M194" s="143"/>
      <c r="N194" s="143">
        <v>52011</v>
      </c>
      <c r="O194" s="141">
        <v>33</v>
      </c>
      <c r="P194" s="141"/>
      <c r="R194">
        <v>1</v>
      </c>
    </row>
    <row r="195" spans="1:18">
      <c r="A195" s="141">
        <v>380003</v>
      </c>
      <c r="B195" s="141">
        <v>12006</v>
      </c>
      <c r="C195" s="75" t="s">
        <v>89</v>
      </c>
      <c r="D195" s="141">
        <v>260</v>
      </c>
      <c r="E195" s="142" t="s">
        <v>19</v>
      </c>
      <c r="F195" s="141">
        <v>266</v>
      </c>
      <c r="G195" s="142" t="s">
        <v>20</v>
      </c>
      <c r="H195" s="143"/>
      <c r="I195" s="143"/>
      <c r="J195" s="143"/>
      <c r="K195" s="141">
        <v>1003</v>
      </c>
      <c r="L195" s="141" t="s">
        <v>90</v>
      </c>
      <c r="M195" s="143"/>
      <c r="N195" s="143"/>
      <c r="O195" s="141">
        <v>5</v>
      </c>
      <c r="P195" s="141"/>
      <c r="R195">
        <v>1</v>
      </c>
    </row>
    <row r="196" spans="1:18" s="1" customFormat="1">
      <c r="A196" s="141">
        <v>380004</v>
      </c>
      <c r="B196" s="37">
        <v>12018</v>
      </c>
      <c r="C196" s="75" t="s">
        <v>114</v>
      </c>
      <c r="D196" s="141">
        <v>260</v>
      </c>
      <c r="E196" s="142" t="s">
        <v>19</v>
      </c>
      <c r="F196" s="141">
        <v>266</v>
      </c>
      <c r="G196" s="147" t="s">
        <v>20</v>
      </c>
      <c r="H196" s="37">
        <v>7006</v>
      </c>
      <c r="J196" s="147">
        <v>30</v>
      </c>
      <c r="K196" s="37">
        <v>1508</v>
      </c>
      <c r="L196" s="37" t="s">
        <v>115</v>
      </c>
      <c r="M196" s="37">
        <v>52017</v>
      </c>
      <c r="O196" s="37">
        <v>39</v>
      </c>
      <c r="P196" s="37">
        <v>14</v>
      </c>
      <c r="R196">
        <v>1</v>
      </c>
    </row>
    <row r="197" spans="1:18" s="1" customFormat="1">
      <c r="A197" s="141">
        <v>380005</v>
      </c>
      <c r="B197" s="37">
        <v>12019</v>
      </c>
      <c r="C197" s="75" t="s">
        <v>116</v>
      </c>
      <c r="D197" s="141">
        <v>260</v>
      </c>
      <c r="E197" s="142" t="s">
        <v>19</v>
      </c>
      <c r="F197" s="141">
        <v>266</v>
      </c>
      <c r="G197" s="147" t="s">
        <v>20</v>
      </c>
      <c r="H197" s="37">
        <v>7007</v>
      </c>
      <c r="J197" s="147">
        <v>30</v>
      </c>
      <c r="K197" s="37">
        <v>1509</v>
      </c>
      <c r="L197" s="37" t="s">
        <v>117</v>
      </c>
      <c r="M197" s="37">
        <v>52018</v>
      </c>
      <c r="O197" s="37">
        <v>40</v>
      </c>
      <c r="P197" s="37">
        <v>15</v>
      </c>
      <c r="R197">
        <v>1</v>
      </c>
    </row>
    <row r="198" spans="1:18" s="138" customFormat="1">
      <c r="A198" s="63">
        <v>390001</v>
      </c>
      <c r="B198" s="63">
        <v>12004</v>
      </c>
      <c r="C198" s="75" t="s">
        <v>91</v>
      </c>
      <c r="D198" s="63">
        <v>267</v>
      </c>
      <c r="E198" s="154" t="s">
        <v>19</v>
      </c>
      <c r="F198" s="63">
        <v>273</v>
      </c>
      <c r="G198" s="154" t="s">
        <v>20</v>
      </c>
      <c r="H198" s="63">
        <v>1003</v>
      </c>
      <c r="I198" s="63"/>
      <c r="J198" s="154">
        <v>30</v>
      </c>
      <c r="K198" s="63">
        <v>1010</v>
      </c>
      <c r="L198" s="63" t="s">
        <v>92</v>
      </c>
      <c r="M198" s="63">
        <v>52006</v>
      </c>
      <c r="N198" s="63"/>
      <c r="O198" s="63">
        <v>6</v>
      </c>
      <c r="P198" s="63">
        <v>3</v>
      </c>
      <c r="R198">
        <v>1</v>
      </c>
    </row>
    <row r="199" spans="1:18" s="138" customFormat="1">
      <c r="A199" s="63">
        <v>390002</v>
      </c>
      <c r="B199" s="63">
        <v>12009</v>
      </c>
      <c r="C199" s="75" t="s">
        <v>85</v>
      </c>
      <c r="D199" s="63">
        <v>267</v>
      </c>
      <c r="E199" s="154" t="s">
        <v>19</v>
      </c>
      <c r="F199" s="63">
        <v>273</v>
      </c>
      <c r="G199" s="154" t="s">
        <v>20</v>
      </c>
      <c r="K199" s="63">
        <v>1013</v>
      </c>
      <c r="L199" s="63" t="s">
        <v>86</v>
      </c>
      <c r="N199" s="138">
        <v>52011</v>
      </c>
      <c r="O199" s="63">
        <v>33</v>
      </c>
      <c r="P199" s="63"/>
      <c r="R199">
        <v>1</v>
      </c>
    </row>
    <row r="200" spans="1:18" s="138" customFormat="1">
      <c r="A200" s="63">
        <v>390003</v>
      </c>
      <c r="B200" s="63">
        <v>12006</v>
      </c>
      <c r="C200" s="75" t="s">
        <v>89</v>
      </c>
      <c r="D200" s="63">
        <v>267</v>
      </c>
      <c r="E200" s="154" t="s">
        <v>19</v>
      </c>
      <c r="F200" s="63">
        <v>273</v>
      </c>
      <c r="G200" s="154" t="s">
        <v>20</v>
      </c>
      <c r="K200" s="63">
        <v>1003</v>
      </c>
      <c r="L200" s="63" t="s">
        <v>90</v>
      </c>
      <c r="O200" s="63">
        <v>5</v>
      </c>
      <c r="P200" s="63"/>
      <c r="R200">
        <v>1</v>
      </c>
    </row>
    <row r="201" spans="1:18" s="68" customFormat="1" ht="18.95" customHeight="1">
      <c r="A201" s="63">
        <v>390004</v>
      </c>
      <c r="B201" s="62">
        <v>12013</v>
      </c>
      <c r="C201" s="75" t="s">
        <v>104</v>
      </c>
      <c r="D201" s="63">
        <v>267</v>
      </c>
      <c r="E201" s="154" t="s">
        <v>19</v>
      </c>
      <c r="F201" s="63">
        <v>273</v>
      </c>
      <c r="G201" s="144" t="s">
        <v>20</v>
      </c>
      <c r="H201" s="62">
        <v>7001</v>
      </c>
      <c r="J201" s="144">
        <v>30</v>
      </c>
      <c r="K201" s="62">
        <v>1503</v>
      </c>
      <c r="L201" s="62" t="s">
        <v>105</v>
      </c>
      <c r="M201" s="62">
        <v>52012</v>
      </c>
      <c r="N201" s="62"/>
      <c r="O201" s="62">
        <v>34</v>
      </c>
      <c r="P201" s="62">
        <v>9</v>
      </c>
      <c r="R201" s="68">
        <v>1</v>
      </c>
    </row>
    <row r="202" spans="1:18" s="68" customFormat="1">
      <c r="A202" s="63">
        <v>390005</v>
      </c>
      <c r="B202" s="62">
        <v>12014</v>
      </c>
      <c r="C202" s="75" t="s">
        <v>106</v>
      </c>
      <c r="D202" s="63">
        <v>267</v>
      </c>
      <c r="E202" s="154" t="s">
        <v>19</v>
      </c>
      <c r="F202" s="63">
        <v>273</v>
      </c>
      <c r="G202" s="144" t="s">
        <v>20</v>
      </c>
      <c r="H202" s="62">
        <v>7002</v>
      </c>
      <c r="J202" s="144">
        <v>30</v>
      </c>
      <c r="K202" s="62">
        <v>1504</v>
      </c>
      <c r="L202" s="62" t="s">
        <v>107</v>
      </c>
      <c r="M202" s="62">
        <v>52013</v>
      </c>
      <c r="O202" s="62">
        <v>35</v>
      </c>
      <c r="P202" s="62">
        <v>10</v>
      </c>
      <c r="R202" s="68">
        <v>1</v>
      </c>
    </row>
    <row r="203" spans="1:18">
      <c r="A203" s="37">
        <v>400001</v>
      </c>
      <c r="B203" s="37">
        <v>12005</v>
      </c>
      <c r="C203" s="75" t="s">
        <v>112</v>
      </c>
      <c r="D203" s="37">
        <v>274</v>
      </c>
      <c r="E203" s="147" t="s">
        <v>19</v>
      </c>
      <c r="F203" s="37">
        <v>280</v>
      </c>
      <c r="G203" s="147" t="s">
        <v>20</v>
      </c>
      <c r="H203" s="37">
        <v>3101</v>
      </c>
      <c r="I203" s="37"/>
      <c r="J203" s="147">
        <v>30</v>
      </c>
      <c r="K203" s="37">
        <v>1011</v>
      </c>
      <c r="L203" s="37" t="s">
        <v>113</v>
      </c>
      <c r="M203" s="37">
        <v>52007</v>
      </c>
      <c r="N203" s="37"/>
      <c r="O203" s="37">
        <v>18</v>
      </c>
      <c r="P203" s="37">
        <v>6</v>
      </c>
      <c r="R203">
        <v>1</v>
      </c>
    </row>
    <row r="204" spans="1:18">
      <c r="A204" s="37">
        <v>400002</v>
      </c>
      <c r="B204" s="37">
        <v>12009</v>
      </c>
      <c r="C204" s="75" t="s">
        <v>85</v>
      </c>
      <c r="D204" s="37">
        <v>274</v>
      </c>
      <c r="E204" s="147" t="s">
        <v>19</v>
      </c>
      <c r="F204" s="37">
        <v>280</v>
      </c>
      <c r="G204" s="147" t="s">
        <v>20</v>
      </c>
      <c r="H204" s="1"/>
      <c r="I204" s="1"/>
      <c r="J204" s="1"/>
      <c r="K204" s="37">
        <v>1013</v>
      </c>
      <c r="L204" s="37" t="s">
        <v>86</v>
      </c>
      <c r="M204" s="1"/>
      <c r="N204" s="1">
        <v>52011</v>
      </c>
      <c r="O204" s="37">
        <v>33</v>
      </c>
      <c r="P204" s="37"/>
      <c r="R204">
        <v>1</v>
      </c>
    </row>
    <row r="205" spans="1:18">
      <c r="A205" s="37">
        <v>400003</v>
      </c>
      <c r="B205" s="37">
        <v>12006</v>
      </c>
      <c r="C205" s="75" t="s">
        <v>89</v>
      </c>
      <c r="D205" s="37">
        <v>274</v>
      </c>
      <c r="E205" s="147" t="s">
        <v>19</v>
      </c>
      <c r="F205" s="37">
        <v>280</v>
      </c>
      <c r="G205" s="147" t="s">
        <v>20</v>
      </c>
      <c r="H205" s="1"/>
      <c r="I205" s="1"/>
      <c r="J205" s="1"/>
      <c r="K205" s="37">
        <v>1003</v>
      </c>
      <c r="L205" s="37" t="s">
        <v>90</v>
      </c>
      <c r="M205" s="1"/>
      <c r="N205" s="1"/>
      <c r="O205" s="37">
        <v>5</v>
      </c>
      <c r="P205" s="37"/>
      <c r="R205">
        <v>1</v>
      </c>
    </row>
    <row r="206" spans="1:18" s="68" customFormat="1">
      <c r="A206" s="37">
        <v>400004</v>
      </c>
      <c r="B206" s="62">
        <v>12020</v>
      </c>
      <c r="C206" s="75" t="s">
        <v>95</v>
      </c>
      <c r="D206" s="37">
        <v>274</v>
      </c>
      <c r="E206" s="147" t="s">
        <v>19</v>
      </c>
      <c r="F206" s="37">
        <v>280</v>
      </c>
      <c r="G206" s="144" t="s">
        <v>20</v>
      </c>
      <c r="H206" s="62">
        <v>7008</v>
      </c>
      <c r="J206" s="144">
        <v>30</v>
      </c>
      <c r="K206" s="62">
        <v>1510</v>
      </c>
      <c r="L206" s="62" t="s">
        <v>96</v>
      </c>
      <c r="M206" s="62">
        <v>52019</v>
      </c>
      <c r="O206" s="62">
        <v>41</v>
      </c>
      <c r="P206" s="62">
        <v>16</v>
      </c>
    </row>
    <row r="207" spans="1:18" s="68" customFormat="1">
      <c r="A207" s="37">
        <v>400005</v>
      </c>
      <c r="B207" s="62">
        <v>12021</v>
      </c>
      <c r="C207" s="75" t="s">
        <v>110</v>
      </c>
      <c r="D207" s="37">
        <v>274</v>
      </c>
      <c r="E207" s="147" t="s">
        <v>19</v>
      </c>
      <c r="F207" s="37">
        <v>280</v>
      </c>
      <c r="G207" s="144" t="s">
        <v>20</v>
      </c>
      <c r="H207" s="62">
        <v>7009</v>
      </c>
      <c r="J207" s="144">
        <v>30</v>
      </c>
      <c r="K207" s="62">
        <v>1511</v>
      </c>
      <c r="L207" s="62" t="s">
        <v>111</v>
      </c>
      <c r="M207" s="62">
        <v>52020</v>
      </c>
      <c r="O207" s="62">
        <v>42</v>
      </c>
      <c r="P207" s="62">
        <v>17</v>
      </c>
    </row>
    <row r="208" spans="1:18">
      <c r="A208" s="141">
        <v>410001</v>
      </c>
      <c r="B208" s="141">
        <v>12008</v>
      </c>
      <c r="C208" s="75" t="s">
        <v>118</v>
      </c>
      <c r="D208" s="141">
        <v>281</v>
      </c>
      <c r="E208" s="142" t="s">
        <v>19</v>
      </c>
      <c r="F208" s="141">
        <v>287</v>
      </c>
      <c r="G208" s="142" t="s">
        <v>20</v>
      </c>
      <c r="H208" s="141">
        <v>1002</v>
      </c>
      <c r="I208" s="143"/>
      <c r="J208" s="142">
        <v>30</v>
      </c>
      <c r="K208" s="141">
        <v>1012</v>
      </c>
      <c r="L208" s="141" t="s">
        <v>119</v>
      </c>
      <c r="M208" s="141">
        <v>52008</v>
      </c>
      <c r="N208" s="141"/>
      <c r="O208" s="141">
        <v>22</v>
      </c>
      <c r="P208" s="141">
        <v>7</v>
      </c>
      <c r="R208">
        <v>1</v>
      </c>
    </row>
    <row r="209" spans="1:18">
      <c r="A209" s="141">
        <v>410002</v>
      </c>
      <c r="B209" s="141">
        <v>12009</v>
      </c>
      <c r="C209" s="75" t="s">
        <v>85</v>
      </c>
      <c r="D209" s="141">
        <v>281</v>
      </c>
      <c r="E209" s="142" t="s">
        <v>19</v>
      </c>
      <c r="F209" s="141">
        <v>287</v>
      </c>
      <c r="G209" s="142" t="s">
        <v>20</v>
      </c>
      <c r="H209" s="143"/>
      <c r="I209" s="143"/>
      <c r="J209" s="143"/>
      <c r="K209" s="141">
        <v>1013</v>
      </c>
      <c r="L209" s="141" t="s">
        <v>86</v>
      </c>
      <c r="M209" s="143"/>
      <c r="N209" s="143">
        <v>52011</v>
      </c>
      <c r="O209" s="141">
        <v>33</v>
      </c>
      <c r="P209" s="141"/>
      <c r="R209">
        <v>1</v>
      </c>
    </row>
    <row r="210" spans="1:18">
      <c r="A210" s="141">
        <v>410003</v>
      </c>
      <c r="B210" s="141">
        <v>12006</v>
      </c>
      <c r="C210" s="75" t="s">
        <v>89</v>
      </c>
      <c r="D210" s="141">
        <v>281</v>
      </c>
      <c r="E210" s="142" t="s">
        <v>19</v>
      </c>
      <c r="F210" s="141">
        <v>287</v>
      </c>
      <c r="G210" s="142" t="s">
        <v>20</v>
      </c>
      <c r="H210" s="143"/>
      <c r="I210" s="143"/>
      <c r="J210" s="143"/>
      <c r="K210" s="141">
        <v>1003</v>
      </c>
      <c r="L210" s="141" t="s">
        <v>90</v>
      </c>
      <c r="M210" s="143"/>
      <c r="N210" s="143"/>
      <c r="O210" s="141">
        <v>5</v>
      </c>
      <c r="P210" s="141"/>
      <c r="R210">
        <v>1</v>
      </c>
    </row>
    <row r="211" spans="1:18" s="1" customFormat="1">
      <c r="A211" s="141">
        <v>410004</v>
      </c>
      <c r="B211" s="37">
        <v>12018</v>
      </c>
      <c r="C211" s="75" t="s">
        <v>114</v>
      </c>
      <c r="D211" s="141">
        <v>281</v>
      </c>
      <c r="E211" s="142" t="s">
        <v>19</v>
      </c>
      <c r="F211" s="141">
        <v>287</v>
      </c>
      <c r="G211" s="147" t="s">
        <v>20</v>
      </c>
      <c r="H211" s="37">
        <v>7006</v>
      </c>
      <c r="J211" s="147">
        <v>30</v>
      </c>
      <c r="K211" s="37">
        <v>1508</v>
      </c>
      <c r="L211" s="37" t="s">
        <v>115</v>
      </c>
      <c r="M211" s="37">
        <v>52017</v>
      </c>
      <c r="O211" s="37">
        <v>39</v>
      </c>
      <c r="P211" s="37">
        <v>14</v>
      </c>
      <c r="R211">
        <v>1</v>
      </c>
    </row>
    <row r="212" spans="1:18" s="1" customFormat="1">
      <c r="A212" s="141">
        <v>410005</v>
      </c>
      <c r="B212" s="37">
        <v>12019</v>
      </c>
      <c r="C212" s="75" t="s">
        <v>116</v>
      </c>
      <c r="D212" s="141">
        <v>281</v>
      </c>
      <c r="E212" s="142" t="s">
        <v>19</v>
      </c>
      <c r="F212" s="141">
        <v>287</v>
      </c>
      <c r="G212" s="147" t="s">
        <v>20</v>
      </c>
      <c r="H212" s="37">
        <v>7007</v>
      </c>
      <c r="J212" s="147">
        <v>30</v>
      </c>
      <c r="K212" s="37">
        <v>1509</v>
      </c>
      <c r="L212" s="37" t="s">
        <v>117</v>
      </c>
      <c r="M212" s="37">
        <v>52018</v>
      </c>
      <c r="O212" s="37">
        <v>40</v>
      </c>
      <c r="P212" s="37">
        <v>15</v>
      </c>
      <c r="R212">
        <v>1</v>
      </c>
    </row>
    <row r="213" spans="1:18">
      <c r="A213" s="115">
        <v>420001</v>
      </c>
      <c r="B213" s="115">
        <v>12001</v>
      </c>
      <c r="C213" s="75" t="s">
        <v>83</v>
      </c>
      <c r="D213" s="115">
        <v>288</v>
      </c>
      <c r="E213" s="117" t="s">
        <v>19</v>
      </c>
      <c r="F213" s="115">
        <v>294</v>
      </c>
      <c r="G213" s="117" t="s">
        <v>20</v>
      </c>
      <c r="H213" s="115">
        <v>1303</v>
      </c>
      <c r="I213" s="115"/>
      <c r="J213" s="117">
        <v>30</v>
      </c>
      <c r="K213" s="115">
        <v>1002</v>
      </c>
      <c r="L213" s="115" t="s">
        <v>84</v>
      </c>
      <c r="M213" s="115">
        <v>52003</v>
      </c>
      <c r="N213" s="115"/>
      <c r="O213" s="115">
        <v>2</v>
      </c>
      <c r="P213" s="115">
        <v>2</v>
      </c>
      <c r="R213">
        <v>1</v>
      </c>
    </row>
    <row r="214" spans="1:18">
      <c r="A214" s="115">
        <v>420002</v>
      </c>
      <c r="B214" s="115">
        <v>12009</v>
      </c>
      <c r="C214" s="75" t="s">
        <v>85</v>
      </c>
      <c r="D214" s="115">
        <v>288</v>
      </c>
      <c r="E214" s="117" t="s">
        <v>19</v>
      </c>
      <c r="F214" s="115">
        <v>294</v>
      </c>
      <c r="G214" s="117" t="s">
        <v>20</v>
      </c>
      <c r="H214" s="140"/>
      <c r="I214" s="140"/>
      <c r="J214" s="140"/>
      <c r="K214" s="115">
        <v>1013</v>
      </c>
      <c r="L214" s="115" t="s">
        <v>86</v>
      </c>
      <c r="M214" s="140"/>
      <c r="N214" s="140">
        <v>52011</v>
      </c>
      <c r="O214" s="115">
        <v>33</v>
      </c>
      <c r="P214" s="115"/>
      <c r="R214">
        <v>1</v>
      </c>
    </row>
    <row r="215" spans="1:18">
      <c r="A215" s="115">
        <v>420003</v>
      </c>
      <c r="B215" s="115">
        <v>12006</v>
      </c>
      <c r="C215" s="75" t="s">
        <v>89</v>
      </c>
      <c r="D215" s="115">
        <v>288</v>
      </c>
      <c r="E215" s="117" t="s">
        <v>19</v>
      </c>
      <c r="F215" s="115">
        <v>294</v>
      </c>
      <c r="G215" s="117" t="s">
        <v>20</v>
      </c>
      <c r="H215" s="140"/>
      <c r="I215" s="140"/>
      <c r="J215" s="140"/>
      <c r="K215" s="115">
        <v>1003</v>
      </c>
      <c r="L215" s="115" t="s">
        <v>90</v>
      </c>
      <c r="M215" s="140"/>
      <c r="N215" s="140"/>
      <c r="O215" s="115">
        <v>5</v>
      </c>
      <c r="P215" s="115"/>
      <c r="R215">
        <v>1</v>
      </c>
    </row>
    <row r="216" spans="1:18" s="68" customFormat="1" ht="18.95" customHeight="1">
      <c r="A216" s="115">
        <v>420004</v>
      </c>
      <c r="B216" s="62">
        <v>12013</v>
      </c>
      <c r="C216" s="75" t="s">
        <v>104</v>
      </c>
      <c r="D216" s="115">
        <v>288</v>
      </c>
      <c r="E216" s="117" t="s">
        <v>19</v>
      </c>
      <c r="F216" s="115">
        <v>294</v>
      </c>
      <c r="G216" s="144" t="s">
        <v>20</v>
      </c>
      <c r="H216" s="62">
        <v>7001</v>
      </c>
      <c r="J216" s="144">
        <v>30</v>
      </c>
      <c r="K216" s="62">
        <v>1503</v>
      </c>
      <c r="L216" s="62" t="s">
        <v>105</v>
      </c>
      <c r="M216" s="62">
        <v>52012</v>
      </c>
      <c r="N216" s="62"/>
      <c r="O216" s="62">
        <v>34</v>
      </c>
      <c r="P216" s="62">
        <v>9</v>
      </c>
      <c r="R216" s="68">
        <v>1</v>
      </c>
    </row>
    <row r="217" spans="1:18" s="68" customFormat="1">
      <c r="A217" s="115">
        <v>420005</v>
      </c>
      <c r="B217" s="62">
        <v>12014</v>
      </c>
      <c r="C217" s="75" t="s">
        <v>106</v>
      </c>
      <c r="D217" s="115">
        <v>288</v>
      </c>
      <c r="E217" s="117" t="s">
        <v>19</v>
      </c>
      <c r="F217" s="115">
        <v>294</v>
      </c>
      <c r="G217" s="144" t="s">
        <v>20</v>
      </c>
      <c r="H217" s="62">
        <v>7002</v>
      </c>
      <c r="J217" s="144">
        <v>30</v>
      </c>
      <c r="K217" s="62">
        <v>1504</v>
      </c>
      <c r="L217" s="62" t="s">
        <v>107</v>
      </c>
      <c r="M217" s="62">
        <v>52013</v>
      </c>
      <c r="O217" s="62">
        <v>35</v>
      </c>
      <c r="P217" s="62">
        <v>10</v>
      </c>
      <c r="R217" s="68">
        <v>1</v>
      </c>
    </row>
    <row r="218" spans="1:18" s="138" customFormat="1">
      <c r="A218" s="63">
        <v>430001</v>
      </c>
      <c r="B218" s="63">
        <v>12004</v>
      </c>
      <c r="C218" s="75" t="s">
        <v>91</v>
      </c>
      <c r="D218" s="63">
        <v>295</v>
      </c>
      <c r="E218" s="154" t="s">
        <v>19</v>
      </c>
      <c r="F218" s="63">
        <v>301</v>
      </c>
      <c r="G218" s="154" t="s">
        <v>20</v>
      </c>
      <c r="H218" s="63">
        <v>1003</v>
      </c>
      <c r="I218" s="63"/>
      <c r="J218" s="154">
        <v>30</v>
      </c>
      <c r="K218" s="63">
        <v>1010</v>
      </c>
      <c r="L218" s="63" t="s">
        <v>92</v>
      </c>
      <c r="M218" s="63">
        <v>52006</v>
      </c>
      <c r="N218" s="63"/>
      <c r="O218" s="63">
        <v>6</v>
      </c>
      <c r="P218" s="63">
        <v>3</v>
      </c>
      <c r="R218">
        <v>1</v>
      </c>
    </row>
    <row r="219" spans="1:18" s="138" customFormat="1">
      <c r="A219" s="63">
        <v>430002</v>
      </c>
      <c r="B219" s="63">
        <v>12009</v>
      </c>
      <c r="C219" s="75" t="s">
        <v>85</v>
      </c>
      <c r="D219" s="63">
        <v>295</v>
      </c>
      <c r="E219" s="154" t="s">
        <v>19</v>
      </c>
      <c r="F219" s="63">
        <v>301</v>
      </c>
      <c r="G219" s="154" t="s">
        <v>20</v>
      </c>
      <c r="K219" s="63">
        <v>1013</v>
      </c>
      <c r="L219" s="63" t="s">
        <v>86</v>
      </c>
      <c r="N219" s="138">
        <v>52011</v>
      </c>
      <c r="O219" s="63">
        <v>33</v>
      </c>
      <c r="P219" s="63"/>
      <c r="R219">
        <v>1</v>
      </c>
    </row>
    <row r="220" spans="1:18" s="138" customFormat="1">
      <c r="A220" s="63">
        <v>430003</v>
      </c>
      <c r="B220" s="63">
        <v>12006</v>
      </c>
      <c r="C220" s="75" t="s">
        <v>89</v>
      </c>
      <c r="D220" s="63">
        <v>295</v>
      </c>
      <c r="E220" s="154" t="s">
        <v>19</v>
      </c>
      <c r="F220" s="63">
        <v>301</v>
      </c>
      <c r="G220" s="154" t="s">
        <v>20</v>
      </c>
      <c r="K220" s="63">
        <v>1003</v>
      </c>
      <c r="L220" s="63" t="s">
        <v>90</v>
      </c>
      <c r="O220" s="63">
        <v>5</v>
      </c>
      <c r="P220" s="63"/>
      <c r="R220">
        <v>1</v>
      </c>
    </row>
    <row r="221" spans="1:18" s="68" customFormat="1">
      <c r="A221" s="63">
        <v>430004</v>
      </c>
      <c r="B221" s="62">
        <v>12020</v>
      </c>
      <c r="C221" s="75" t="s">
        <v>95</v>
      </c>
      <c r="D221" s="63">
        <v>295</v>
      </c>
      <c r="E221" s="154" t="s">
        <v>19</v>
      </c>
      <c r="F221" s="63">
        <v>301</v>
      </c>
      <c r="G221" s="144" t="s">
        <v>20</v>
      </c>
      <c r="H221" s="62">
        <v>7008</v>
      </c>
      <c r="J221" s="144">
        <v>30</v>
      </c>
      <c r="K221" s="62">
        <v>1510</v>
      </c>
      <c r="L221" s="62" t="s">
        <v>96</v>
      </c>
      <c r="M221" s="62">
        <v>52019</v>
      </c>
      <c r="O221" s="62">
        <v>41</v>
      </c>
      <c r="P221" s="62">
        <v>16</v>
      </c>
    </row>
    <row r="222" spans="1:18" s="68" customFormat="1">
      <c r="A222" s="63">
        <v>430005</v>
      </c>
      <c r="B222" s="62">
        <v>12021</v>
      </c>
      <c r="C222" s="75" t="s">
        <v>110</v>
      </c>
      <c r="D222" s="63">
        <v>295</v>
      </c>
      <c r="E222" s="154" t="s">
        <v>19</v>
      </c>
      <c r="F222" s="63">
        <v>301</v>
      </c>
      <c r="G222" s="144" t="s">
        <v>20</v>
      </c>
      <c r="H222" s="62">
        <v>7009</v>
      </c>
      <c r="J222" s="144">
        <v>30</v>
      </c>
      <c r="K222" s="62">
        <v>1511</v>
      </c>
      <c r="L222" s="62" t="s">
        <v>111</v>
      </c>
      <c r="M222" s="62">
        <v>52020</v>
      </c>
      <c r="O222" s="62">
        <v>42</v>
      </c>
      <c r="P222" s="62">
        <v>17</v>
      </c>
    </row>
    <row r="223" spans="1:18">
      <c r="A223" s="37">
        <v>440001</v>
      </c>
      <c r="B223" s="37">
        <v>12005</v>
      </c>
      <c r="C223" s="75" t="s">
        <v>112</v>
      </c>
      <c r="D223" s="37">
        <v>302</v>
      </c>
      <c r="E223" s="147" t="s">
        <v>19</v>
      </c>
      <c r="F223" s="37">
        <v>308</v>
      </c>
      <c r="G223" s="147" t="s">
        <v>20</v>
      </c>
      <c r="H223" s="37">
        <v>3101</v>
      </c>
      <c r="I223" s="37"/>
      <c r="J223" s="147">
        <v>30</v>
      </c>
      <c r="K223" s="37">
        <v>1011</v>
      </c>
      <c r="L223" s="37" t="s">
        <v>113</v>
      </c>
      <c r="M223" s="37">
        <v>52007</v>
      </c>
      <c r="N223" s="37"/>
      <c r="O223" s="37">
        <v>18</v>
      </c>
      <c r="P223" s="37">
        <v>6</v>
      </c>
      <c r="R223">
        <v>1</v>
      </c>
    </row>
    <row r="224" spans="1:18">
      <c r="A224" s="37">
        <v>440002</v>
      </c>
      <c r="B224" s="37">
        <v>12009</v>
      </c>
      <c r="C224" s="75" t="s">
        <v>85</v>
      </c>
      <c r="D224" s="37">
        <v>302</v>
      </c>
      <c r="E224" s="147" t="s">
        <v>19</v>
      </c>
      <c r="F224" s="37">
        <v>308</v>
      </c>
      <c r="G224" s="147" t="s">
        <v>20</v>
      </c>
      <c r="H224" s="1"/>
      <c r="I224" s="1"/>
      <c r="J224" s="1"/>
      <c r="K224" s="37">
        <v>1013</v>
      </c>
      <c r="L224" s="37" t="s">
        <v>86</v>
      </c>
      <c r="M224" s="1"/>
      <c r="N224" s="1">
        <v>52011</v>
      </c>
      <c r="O224" s="37">
        <v>33</v>
      </c>
      <c r="P224" s="37"/>
      <c r="R224">
        <v>1</v>
      </c>
    </row>
    <row r="225" spans="1:18">
      <c r="A225" s="37">
        <v>440003</v>
      </c>
      <c r="B225" s="37">
        <v>12006</v>
      </c>
      <c r="C225" s="75" t="s">
        <v>89</v>
      </c>
      <c r="D225" s="37">
        <v>302</v>
      </c>
      <c r="E225" s="147" t="s">
        <v>19</v>
      </c>
      <c r="F225" s="37">
        <v>308</v>
      </c>
      <c r="G225" s="147" t="s">
        <v>20</v>
      </c>
      <c r="H225" s="1"/>
      <c r="I225" s="1"/>
      <c r="J225" s="1"/>
      <c r="K225" s="37">
        <v>1003</v>
      </c>
      <c r="L225" s="37" t="s">
        <v>90</v>
      </c>
      <c r="M225" s="1"/>
      <c r="N225" s="1"/>
      <c r="O225" s="37">
        <v>5</v>
      </c>
      <c r="P225" s="37"/>
      <c r="R225">
        <v>1</v>
      </c>
    </row>
    <row r="226" spans="1:18" s="1" customFormat="1">
      <c r="A226" s="37">
        <v>440004</v>
      </c>
      <c r="B226" s="37">
        <v>12018</v>
      </c>
      <c r="C226" s="75" t="s">
        <v>114</v>
      </c>
      <c r="D226" s="37">
        <v>302</v>
      </c>
      <c r="E226" s="147" t="s">
        <v>19</v>
      </c>
      <c r="F226" s="37">
        <v>308</v>
      </c>
      <c r="G226" s="147" t="s">
        <v>20</v>
      </c>
      <c r="H226" s="37">
        <v>7006</v>
      </c>
      <c r="J226" s="147">
        <v>30</v>
      </c>
      <c r="K226" s="37">
        <v>1508</v>
      </c>
      <c r="L226" s="37" t="s">
        <v>115</v>
      </c>
      <c r="M226" s="37">
        <v>52017</v>
      </c>
      <c r="O226" s="37">
        <v>39</v>
      </c>
      <c r="P226" s="37">
        <v>14</v>
      </c>
      <c r="R226">
        <v>1</v>
      </c>
    </row>
    <row r="227" spans="1:18" s="1" customFormat="1">
      <c r="A227" s="37">
        <v>440005</v>
      </c>
      <c r="B227" s="37">
        <v>12019</v>
      </c>
      <c r="C227" s="75" t="s">
        <v>116</v>
      </c>
      <c r="D227" s="37">
        <v>302</v>
      </c>
      <c r="E227" s="147" t="s">
        <v>19</v>
      </c>
      <c r="F227" s="37">
        <v>308</v>
      </c>
      <c r="G227" s="147" t="s">
        <v>20</v>
      </c>
      <c r="H227" s="37">
        <v>7007</v>
      </c>
      <c r="J227" s="147">
        <v>30</v>
      </c>
      <c r="K227" s="37">
        <v>1509</v>
      </c>
      <c r="L227" s="37" t="s">
        <v>117</v>
      </c>
      <c r="M227" s="37">
        <v>52018</v>
      </c>
      <c r="O227" s="37">
        <v>40</v>
      </c>
      <c r="P227" s="37">
        <v>15</v>
      </c>
      <c r="R227">
        <v>1</v>
      </c>
    </row>
    <row r="228" spans="1:18">
      <c r="A228" s="141">
        <v>450001</v>
      </c>
      <c r="B228" s="141">
        <v>12008</v>
      </c>
      <c r="C228" s="75" t="s">
        <v>118</v>
      </c>
      <c r="D228" s="141">
        <v>309</v>
      </c>
      <c r="E228" s="142" t="s">
        <v>19</v>
      </c>
      <c r="F228" s="141">
        <v>315</v>
      </c>
      <c r="G228" s="142" t="s">
        <v>20</v>
      </c>
      <c r="H228" s="141">
        <v>1002</v>
      </c>
      <c r="I228" s="143"/>
      <c r="J228" s="142">
        <v>30</v>
      </c>
      <c r="K228" s="141">
        <v>1012</v>
      </c>
      <c r="L228" s="141" t="s">
        <v>119</v>
      </c>
      <c r="M228" s="141">
        <v>52008</v>
      </c>
      <c r="N228" s="141"/>
      <c r="O228" s="141">
        <v>22</v>
      </c>
      <c r="P228" s="141">
        <v>7</v>
      </c>
      <c r="R228">
        <v>1</v>
      </c>
    </row>
    <row r="229" spans="1:18">
      <c r="A229" s="141">
        <v>450002</v>
      </c>
      <c r="B229" s="141">
        <v>12009</v>
      </c>
      <c r="C229" s="75" t="s">
        <v>85</v>
      </c>
      <c r="D229" s="141">
        <v>309</v>
      </c>
      <c r="E229" s="142" t="s">
        <v>19</v>
      </c>
      <c r="F229" s="141">
        <v>315</v>
      </c>
      <c r="G229" s="142" t="s">
        <v>20</v>
      </c>
      <c r="H229" s="143"/>
      <c r="I229" s="143"/>
      <c r="J229" s="143"/>
      <c r="K229" s="141">
        <v>1013</v>
      </c>
      <c r="L229" s="141" t="s">
        <v>86</v>
      </c>
      <c r="M229" s="143"/>
      <c r="N229" s="143">
        <v>52011</v>
      </c>
      <c r="O229" s="141">
        <v>33</v>
      </c>
      <c r="P229" s="141"/>
      <c r="R229">
        <v>1</v>
      </c>
    </row>
    <row r="230" spans="1:18">
      <c r="A230" s="141">
        <v>450003</v>
      </c>
      <c r="B230" s="141">
        <v>12006</v>
      </c>
      <c r="C230" s="75" t="s">
        <v>89</v>
      </c>
      <c r="D230" s="141">
        <v>309</v>
      </c>
      <c r="E230" s="142" t="s">
        <v>19</v>
      </c>
      <c r="F230" s="141">
        <v>315</v>
      </c>
      <c r="G230" s="142" t="s">
        <v>20</v>
      </c>
      <c r="H230" s="143"/>
      <c r="I230" s="143"/>
      <c r="J230" s="143"/>
      <c r="K230" s="141">
        <v>1003</v>
      </c>
      <c r="L230" s="141" t="s">
        <v>90</v>
      </c>
      <c r="M230" s="143"/>
      <c r="N230" s="143"/>
      <c r="O230" s="141">
        <v>5</v>
      </c>
      <c r="P230" s="141"/>
      <c r="R230">
        <v>1</v>
      </c>
    </row>
    <row r="231" spans="1:18" s="68" customFormat="1" ht="18.95" customHeight="1">
      <c r="A231" s="141">
        <v>450004</v>
      </c>
      <c r="B231" s="62">
        <v>12013</v>
      </c>
      <c r="C231" s="75" t="s">
        <v>104</v>
      </c>
      <c r="D231" s="141">
        <v>309</v>
      </c>
      <c r="E231" s="142" t="s">
        <v>19</v>
      </c>
      <c r="F231" s="141">
        <v>315</v>
      </c>
      <c r="G231" s="144" t="s">
        <v>20</v>
      </c>
      <c r="H231" s="62">
        <v>7001</v>
      </c>
      <c r="J231" s="144">
        <v>30</v>
      </c>
      <c r="K231" s="62">
        <v>1503</v>
      </c>
      <c r="L231" s="62" t="s">
        <v>105</v>
      </c>
      <c r="M231" s="62">
        <v>52012</v>
      </c>
      <c r="N231" s="62"/>
      <c r="O231" s="62">
        <v>34</v>
      </c>
      <c r="P231" s="62">
        <v>9</v>
      </c>
      <c r="R231" s="68">
        <v>1</v>
      </c>
    </row>
    <row r="232" spans="1:18" s="68" customFormat="1">
      <c r="A232" s="141">
        <v>450005</v>
      </c>
      <c r="B232" s="62">
        <v>12014</v>
      </c>
      <c r="C232" s="75" t="s">
        <v>106</v>
      </c>
      <c r="D232" s="141">
        <v>309</v>
      </c>
      <c r="E232" s="142" t="s">
        <v>19</v>
      </c>
      <c r="F232" s="141">
        <v>315</v>
      </c>
      <c r="G232" s="144" t="s">
        <v>20</v>
      </c>
      <c r="H232" s="62">
        <v>7002</v>
      </c>
      <c r="J232" s="144">
        <v>30</v>
      </c>
      <c r="K232" s="62">
        <v>1504</v>
      </c>
      <c r="L232" s="62" t="s">
        <v>107</v>
      </c>
      <c r="M232" s="62">
        <v>52013</v>
      </c>
      <c r="O232" s="62">
        <v>35</v>
      </c>
      <c r="P232" s="62">
        <v>10</v>
      </c>
      <c r="R232" s="68">
        <v>1</v>
      </c>
    </row>
    <row r="233" spans="1:18">
      <c r="A233" s="115">
        <v>460001</v>
      </c>
      <c r="B233" s="115">
        <v>12001</v>
      </c>
      <c r="C233" s="75" t="s">
        <v>83</v>
      </c>
      <c r="D233" s="115">
        <v>316</v>
      </c>
      <c r="E233" s="117" t="s">
        <v>19</v>
      </c>
      <c r="F233" s="115">
        <v>322</v>
      </c>
      <c r="G233" s="117" t="s">
        <v>20</v>
      </c>
      <c r="H233" s="115">
        <v>1303</v>
      </c>
      <c r="I233" s="115"/>
      <c r="J233" s="117">
        <v>30</v>
      </c>
      <c r="K233" s="115">
        <v>1002</v>
      </c>
      <c r="L233" s="115" t="s">
        <v>84</v>
      </c>
      <c r="M233" s="115">
        <v>52003</v>
      </c>
      <c r="N233" s="115"/>
      <c r="O233" s="115">
        <v>2</v>
      </c>
      <c r="P233" s="115">
        <v>2</v>
      </c>
      <c r="R233">
        <v>1</v>
      </c>
    </row>
    <row r="234" spans="1:18">
      <c r="A234" s="115">
        <v>460002</v>
      </c>
      <c r="B234" s="115">
        <v>12009</v>
      </c>
      <c r="C234" s="75" t="s">
        <v>85</v>
      </c>
      <c r="D234" s="115">
        <v>316</v>
      </c>
      <c r="E234" s="117" t="s">
        <v>19</v>
      </c>
      <c r="F234" s="115">
        <v>322</v>
      </c>
      <c r="G234" s="117" t="s">
        <v>20</v>
      </c>
      <c r="H234" s="140"/>
      <c r="I234" s="140"/>
      <c r="J234" s="140"/>
      <c r="K234" s="115">
        <v>1013</v>
      </c>
      <c r="L234" s="115" t="s">
        <v>86</v>
      </c>
      <c r="M234" s="140"/>
      <c r="N234" s="140">
        <v>52011</v>
      </c>
      <c r="O234" s="115">
        <v>33</v>
      </c>
      <c r="P234" s="115"/>
      <c r="R234">
        <v>1</v>
      </c>
    </row>
    <row r="235" spans="1:18">
      <c r="A235" s="115">
        <v>460003</v>
      </c>
      <c r="B235" s="115">
        <v>12006</v>
      </c>
      <c r="C235" s="75" t="s">
        <v>89</v>
      </c>
      <c r="D235" s="115">
        <v>316</v>
      </c>
      <c r="E235" s="117" t="s">
        <v>19</v>
      </c>
      <c r="F235" s="115">
        <v>322</v>
      </c>
      <c r="G235" s="117" t="s">
        <v>20</v>
      </c>
      <c r="H235" s="140"/>
      <c r="I235" s="140"/>
      <c r="J235" s="140"/>
      <c r="K235" s="115">
        <v>1003</v>
      </c>
      <c r="L235" s="115" t="s">
        <v>90</v>
      </c>
      <c r="M235" s="140"/>
      <c r="N235" s="140"/>
      <c r="O235" s="115">
        <v>5</v>
      </c>
      <c r="P235" s="115"/>
      <c r="R235">
        <v>1</v>
      </c>
    </row>
    <row r="236" spans="1:18" s="68" customFormat="1">
      <c r="A236" s="115">
        <v>460004</v>
      </c>
      <c r="B236" s="62">
        <v>12020</v>
      </c>
      <c r="C236" s="75" t="s">
        <v>95</v>
      </c>
      <c r="D236" s="115">
        <v>316</v>
      </c>
      <c r="E236" s="117" t="s">
        <v>19</v>
      </c>
      <c r="F236" s="115">
        <v>322</v>
      </c>
      <c r="G236" s="144" t="s">
        <v>20</v>
      </c>
      <c r="H236" s="62">
        <v>7008</v>
      </c>
      <c r="J236" s="144">
        <v>30</v>
      </c>
      <c r="K236" s="62">
        <v>1510</v>
      </c>
      <c r="L236" s="62" t="s">
        <v>96</v>
      </c>
      <c r="M236" s="62">
        <v>52019</v>
      </c>
      <c r="O236" s="62">
        <v>41</v>
      </c>
      <c r="P236" s="62">
        <v>16</v>
      </c>
    </row>
    <row r="237" spans="1:18" s="68" customFormat="1">
      <c r="A237" s="115">
        <v>460005</v>
      </c>
      <c r="B237" s="62">
        <v>12021</v>
      </c>
      <c r="C237" s="75" t="s">
        <v>110</v>
      </c>
      <c r="D237" s="115">
        <v>316</v>
      </c>
      <c r="E237" s="117" t="s">
        <v>19</v>
      </c>
      <c r="F237" s="115">
        <v>322</v>
      </c>
      <c r="G237" s="144" t="s">
        <v>20</v>
      </c>
      <c r="H237" s="62">
        <v>7009</v>
      </c>
      <c r="J237" s="144">
        <v>30</v>
      </c>
      <c r="K237" s="62">
        <v>1511</v>
      </c>
      <c r="L237" s="62" t="s">
        <v>111</v>
      </c>
      <c r="M237" s="62">
        <v>52020</v>
      </c>
      <c r="O237" s="62">
        <v>42</v>
      </c>
      <c r="P237" s="62">
        <v>17</v>
      </c>
    </row>
    <row r="238" spans="1:18" s="138" customFormat="1">
      <c r="A238" s="63">
        <v>470001</v>
      </c>
      <c r="B238" s="63">
        <v>12004</v>
      </c>
      <c r="C238" s="75" t="s">
        <v>91</v>
      </c>
      <c r="D238" s="63">
        <f>D235+7</f>
        <v>323</v>
      </c>
      <c r="E238" s="154" t="s">
        <v>19</v>
      </c>
      <c r="F238" s="63">
        <f>F235+7</f>
        <v>329</v>
      </c>
      <c r="G238" s="154" t="s">
        <v>20</v>
      </c>
      <c r="H238" s="63">
        <v>1003</v>
      </c>
      <c r="I238" s="63"/>
      <c r="J238" s="154">
        <v>30</v>
      </c>
      <c r="K238" s="63">
        <v>1010</v>
      </c>
      <c r="L238" s="63" t="s">
        <v>92</v>
      </c>
      <c r="M238" s="63">
        <v>52006</v>
      </c>
      <c r="N238" s="63"/>
      <c r="O238" s="63">
        <v>6</v>
      </c>
      <c r="P238" s="63">
        <v>3</v>
      </c>
      <c r="R238">
        <v>1</v>
      </c>
    </row>
    <row r="239" spans="1:18" s="138" customFormat="1">
      <c r="A239" s="63">
        <v>470002</v>
      </c>
      <c r="B239" s="63">
        <v>12009</v>
      </c>
      <c r="C239" s="75" t="s">
        <v>85</v>
      </c>
      <c r="D239" s="63">
        <v>323</v>
      </c>
      <c r="E239" s="154" t="s">
        <v>19</v>
      </c>
      <c r="F239" s="63">
        <v>329</v>
      </c>
      <c r="G239" s="154" t="s">
        <v>20</v>
      </c>
      <c r="K239" s="63">
        <v>1013</v>
      </c>
      <c r="L239" s="63" t="s">
        <v>86</v>
      </c>
      <c r="N239" s="138">
        <v>52011</v>
      </c>
      <c r="O239" s="63">
        <v>33</v>
      </c>
      <c r="P239" s="63"/>
      <c r="R239">
        <v>1</v>
      </c>
    </row>
    <row r="240" spans="1:18" s="138" customFormat="1">
      <c r="A240" s="63">
        <v>470003</v>
      </c>
      <c r="B240" s="63">
        <v>12006</v>
      </c>
      <c r="C240" s="75" t="s">
        <v>89</v>
      </c>
      <c r="D240" s="63">
        <v>323</v>
      </c>
      <c r="E240" s="154" t="s">
        <v>19</v>
      </c>
      <c r="F240" s="63">
        <v>329</v>
      </c>
      <c r="G240" s="154" t="s">
        <v>20</v>
      </c>
      <c r="K240" s="63">
        <v>1003</v>
      </c>
      <c r="L240" s="63" t="s">
        <v>90</v>
      </c>
      <c r="O240" s="63">
        <v>5</v>
      </c>
      <c r="P240" s="63"/>
      <c r="R240">
        <v>1</v>
      </c>
    </row>
    <row r="241" spans="1:18" s="1" customFormat="1">
      <c r="A241" s="63">
        <v>470004</v>
      </c>
      <c r="B241" s="37">
        <v>12018</v>
      </c>
      <c r="C241" s="75" t="s">
        <v>114</v>
      </c>
      <c r="D241" s="63">
        <v>323</v>
      </c>
      <c r="E241" s="154" t="s">
        <v>19</v>
      </c>
      <c r="F241" s="63">
        <v>329</v>
      </c>
      <c r="G241" s="147" t="s">
        <v>20</v>
      </c>
      <c r="H241" s="37">
        <v>7006</v>
      </c>
      <c r="J241" s="147">
        <v>30</v>
      </c>
      <c r="K241" s="37">
        <v>1508</v>
      </c>
      <c r="L241" s="37" t="s">
        <v>115</v>
      </c>
      <c r="M241" s="37">
        <v>52017</v>
      </c>
      <c r="O241" s="37">
        <v>39</v>
      </c>
      <c r="P241" s="37">
        <v>14</v>
      </c>
      <c r="R241">
        <v>1</v>
      </c>
    </row>
    <row r="242" spans="1:18" s="1" customFormat="1">
      <c r="A242" s="63">
        <v>470005</v>
      </c>
      <c r="B242" s="37">
        <v>12019</v>
      </c>
      <c r="C242" s="75" t="s">
        <v>116</v>
      </c>
      <c r="D242" s="63">
        <v>323</v>
      </c>
      <c r="E242" s="154" t="s">
        <v>19</v>
      </c>
      <c r="F242" s="63">
        <v>329</v>
      </c>
      <c r="G242" s="147" t="s">
        <v>20</v>
      </c>
      <c r="H242" s="37">
        <v>7007</v>
      </c>
      <c r="J242" s="147">
        <v>30</v>
      </c>
      <c r="K242" s="37">
        <v>1509</v>
      </c>
      <c r="L242" s="37" t="s">
        <v>117</v>
      </c>
      <c r="M242" s="37">
        <v>52018</v>
      </c>
      <c r="O242" s="37">
        <v>40</v>
      </c>
      <c r="P242" s="37">
        <v>15</v>
      </c>
      <c r="R242">
        <v>1</v>
      </c>
    </row>
    <row r="243" spans="1:18">
      <c r="A243" s="37">
        <v>480001</v>
      </c>
      <c r="B243" s="37">
        <v>12005</v>
      </c>
      <c r="C243" s="75" t="s">
        <v>112</v>
      </c>
      <c r="D243" s="37">
        <f>D240+7</f>
        <v>330</v>
      </c>
      <c r="E243" s="147" t="s">
        <v>19</v>
      </c>
      <c r="F243" s="37">
        <v>336</v>
      </c>
      <c r="G243" s="147" t="s">
        <v>20</v>
      </c>
      <c r="H243" s="37">
        <v>3101</v>
      </c>
      <c r="I243" s="37"/>
      <c r="J243" s="147">
        <v>30</v>
      </c>
      <c r="K243" s="37">
        <v>1011</v>
      </c>
      <c r="L243" s="37" t="s">
        <v>113</v>
      </c>
      <c r="M243" s="37">
        <v>52007</v>
      </c>
      <c r="N243" s="37"/>
      <c r="O243" s="37">
        <v>18</v>
      </c>
      <c r="P243" s="37">
        <v>6</v>
      </c>
      <c r="R243">
        <v>1</v>
      </c>
    </row>
    <row r="244" spans="1:18">
      <c r="A244" s="37">
        <v>480002</v>
      </c>
      <c r="B244" s="37">
        <v>12009</v>
      </c>
      <c r="C244" s="75" t="s">
        <v>85</v>
      </c>
      <c r="D244" s="37">
        <v>330</v>
      </c>
      <c r="E244" s="147" t="s">
        <v>19</v>
      </c>
      <c r="F244" s="37">
        <v>336</v>
      </c>
      <c r="G244" s="147" t="s">
        <v>20</v>
      </c>
      <c r="H244" s="1"/>
      <c r="I244" s="1"/>
      <c r="J244" s="1"/>
      <c r="K244" s="37">
        <v>1013</v>
      </c>
      <c r="L244" s="37" t="s">
        <v>86</v>
      </c>
      <c r="M244" s="1"/>
      <c r="N244" s="1">
        <v>52011</v>
      </c>
      <c r="O244" s="37">
        <v>33</v>
      </c>
      <c r="P244" s="37"/>
      <c r="R244">
        <v>1</v>
      </c>
    </row>
    <row r="245" spans="1:18">
      <c r="A245" s="37">
        <v>480003</v>
      </c>
      <c r="B245" s="37">
        <v>12006</v>
      </c>
      <c r="C245" s="75" t="s">
        <v>89</v>
      </c>
      <c r="D245" s="37">
        <v>330</v>
      </c>
      <c r="E245" s="147" t="s">
        <v>19</v>
      </c>
      <c r="F245" s="37">
        <v>336</v>
      </c>
      <c r="G245" s="147" t="s">
        <v>20</v>
      </c>
      <c r="H245" s="1"/>
      <c r="I245" s="1"/>
      <c r="J245" s="1"/>
      <c r="K245" s="37">
        <v>1003</v>
      </c>
      <c r="L245" s="37" t="s">
        <v>90</v>
      </c>
      <c r="M245" s="1"/>
      <c r="N245" s="1"/>
      <c r="O245" s="37">
        <v>5</v>
      </c>
      <c r="P245" s="37"/>
      <c r="R245">
        <v>1</v>
      </c>
    </row>
    <row r="246" spans="1:18" s="68" customFormat="1" ht="18.95" customHeight="1">
      <c r="A246" s="37">
        <v>480004</v>
      </c>
      <c r="B246" s="62">
        <v>12013</v>
      </c>
      <c r="C246" s="75" t="s">
        <v>104</v>
      </c>
      <c r="D246" s="37">
        <v>330</v>
      </c>
      <c r="E246" s="147" t="s">
        <v>19</v>
      </c>
      <c r="F246" s="37">
        <v>336</v>
      </c>
      <c r="G246" s="144" t="s">
        <v>20</v>
      </c>
      <c r="H246" s="62">
        <v>7001</v>
      </c>
      <c r="J246" s="144">
        <v>30</v>
      </c>
      <c r="K246" s="62">
        <v>1503</v>
      </c>
      <c r="L246" s="62" t="s">
        <v>105</v>
      </c>
      <c r="M246" s="62">
        <v>52012</v>
      </c>
      <c r="N246" s="62"/>
      <c r="O246" s="62">
        <v>34</v>
      </c>
      <c r="P246" s="62">
        <v>9</v>
      </c>
      <c r="R246" s="68">
        <v>1</v>
      </c>
    </row>
    <row r="247" spans="1:18" s="68" customFormat="1">
      <c r="A247" s="37">
        <v>480005</v>
      </c>
      <c r="B247" s="62">
        <v>12014</v>
      </c>
      <c r="C247" s="75" t="s">
        <v>106</v>
      </c>
      <c r="D247" s="37">
        <v>330</v>
      </c>
      <c r="E247" s="147" t="s">
        <v>19</v>
      </c>
      <c r="F247" s="37">
        <v>336</v>
      </c>
      <c r="G247" s="144" t="s">
        <v>20</v>
      </c>
      <c r="H247" s="62">
        <v>7002</v>
      </c>
      <c r="J247" s="144">
        <v>30</v>
      </c>
      <c r="K247" s="62">
        <v>1504</v>
      </c>
      <c r="L247" s="62" t="s">
        <v>107</v>
      </c>
      <c r="M247" s="62">
        <v>52013</v>
      </c>
      <c r="O247" s="62">
        <v>35</v>
      </c>
      <c r="P247" s="62">
        <v>10</v>
      </c>
      <c r="R247" s="68">
        <v>1</v>
      </c>
    </row>
    <row r="248" spans="1:18">
      <c r="A248" s="141">
        <v>490001</v>
      </c>
      <c r="B248" s="141">
        <v>12008</v>
      </c>
      <c r="C248" s="75" t="s">
        <v>118</v>
      </c>
      <c r="D248" s="141">
        <v>337</v>
      </c>
      <c r="E248" s="142" t="s">
        <v>19</v>
      </c>
      <c r="F248" s="141">
        <v>343</v>
      </c>
      <c r="G248" s="142" t="s">
        <v>20</v>
      </c>
      <c r="H248" s="141">
        <v>1002</v>
      </c>
      <c r="I248" s="143"/>
      <c r="J248" s="142">
        <v>30</v>
      </c>
      <c r="K248" s="141">
        <v>1012</v>
      </c>
      <c r="L248" s="141" t="s">
        <v>119</v>
      </c>
      <c r="M248" s="141">
        <v>52008</v>
      </c>
      <c r="N248" s="141"/>
      <c r="O248" s="141">
        <v>22</v>
      </c>
      <c r="P248" s="141">
        <v>7</v>
      </c>
      <c r="R248">
        <v>1</v>
      </c>
    </row>
    <row r="249" spans="1:18">
      <c r="A249" s="141">
        <v>490002</v>
      </c>
      <c r="B249" s="141">
        <v>12009</v>
      </c>
      <c r="C249" s="75" t="s">
        <v>85</v>
      </c>
      <c r="D249" s="141">
        <v>337</v>
      </c>
      <c r="E249" s="142" t="s">
        <v>19</v>
      </c>
      <c r="F249" s="141">
        <v>343</v>
      </c>
      <c r="G249" s="142" t="s">
        <v>20</v>
      </c>
      <c r="H249" s="143"/>
      <c r="I249" s="143"/>
      <c r="J249" s="143"/>
      <c r="K249" s="141">
        <v>1013</v>
      </c>
      <c r="L249" s="141" t="s">
        <v>86</v>
      </c>
      <c r="M249" s="143"/>
      <c r="N249" s="143">
        <v>52011</v>
      </c>
      <c r="O249" s="141">
        <v>33</v>
      </c>
      <c r="P249" s="141"/>
      <c r="R249">
        <v>1</v>
      </c>
    </row>
    <row r="250" spans="1:18">
      <c r="A250" s="141">
        <v>490003</v>
      </c>
      <c r="B250" s="141">
        <v>12006</v>
      </c>
      <c r="C250" s="75" t="s">
        <v>89</v>
      </c>
      <c r="D250" s="141">
        <v>337</v>
      </c>
      <c r="E250" s="142" t="s">
        <v>19</v>
      </c>
      <c r="F250" s="141">
        <v>343</v>
      </c>
      <c r="G250" s="142" t="s">
        <v>20</v>
      </c>
      <c r="H250" s="143"/>
      <c r="I250" s="143"/>
      <c r="J250" s="143"/>
      <c r="K250" s="141">
        <v>1003</v>
      </c>
      <c r="L250" s="141" t="s">
        <v>90</v>
      </c>
      <c r="M250" s="143"/>
      <c r="N250" s="143"/>
      <c r="O250" s="141">
        <v>5</v>
      </c>
      <c r="P250" s="141"/>
      <c r="R250">
        <v>1</v>
      </c>
    </row>
    <row r="251" spans="1:18" s="68" customFormat="1">
      <c r="A251" s="141">
        <v>490004</v>
      </c>
      <c r="B251" s="62">
        <v>12020</v>
      </c>
      <c r="C251" s="75" t="s">
        <v>95</v>
      </c>
      <c r="D251" s="141">
        <v>337</v>
      </c>
      <c r="E251" s="142" t="s">
        <v>19</v>
      </c>
      <c r="F251" s="141">
        <v>343</v>
      </c>
      <c r="G251" s="144" t="s">
        <v>20</v>
      </c>
      <c r="H251" s="62">
        <v>7008</v>
      </c>
      <c r="J251" s="144">
        <v>30</v>
      </c>
      <c r="K251" s="62">
        <v>1510</v>
      </c>
      <c r="L251" s="62" t="s">
        <v>96</v>
      </c>
      <c r="M251" s="62">
        <v>52019</v>
      </c>
      <c r="O251" s="62">
        <v>41</v>
      </c>
      <c r="P251" s="62">
        <v>16</v>
      </c>
    </row>
    <row r="252" spans="1:18" s="68" customFormat="1">
      <c r="A252" s="141">
        <v>490005</v>
      </c>
      <c r="B252" s="62">
        <v>12021</v>
      </c>
      <c r="C252" s="75" t="s">
        <v>110</v>
      </c>
      <c r="D252" s="141">
        <v>337</v>
      </c>
      <c r="E252" s="142" t="s">
        <v>19</v>
      </c>
      <c r="F252" s="141">
        <v>343</v>
      </c>
      <c r="G252" s="144" t="s">
        <v>20</v>
      </c>
      <c r="H252" s="62">
        <v>7009</v>
      </c>
      <c r="J252" s="144">
        <v>30</v>
      </c>
      <c r="K252" s="62">
        <v>1511</v>
      </c>
      <c r="L252" s="62" t="s">
        <v>111</v>
      </c>
      <c r="M252" s="62">
        <v>52020</v>
      </c>
      <c r="O252" s="62">
        <v>42</v>
      </c>
      <c r="P252" s="62">
        <v>17</v>
      </c>
    </row>
    <row r="253" spans="1:18">
      <c r="A253" s="115">
        <v>500001</v>
      </c>
      <c r="B253" s="115">
        <v>12001</v>
      </c>
      <c r="C253" s="75" t="s">
        <v>83</v>
      </c>
      <c r="D253" s="115">
        <v>344</v>
      </c>
      <c r="E253" s="117" t="s">
        <v>19</v>
      </c>
      <c r="F253" s="115">
        <v>350</v>
      </c>
      <c r="G253" s="117" t="s">
        <v>20</v>
      </c>
      <c r="H253" s="115">
        <v>1303</v>
      </c>
      <c r="I253" s="115"/>
      <c r="J253" s="117">
        <v>30</v>
      </c>
      <c r="K253" s="115">
        <v>1002</v>
      </c>
      <c r="L253" s="115" t="s">
        <v>84</v>
      </c>
      <c r="M253" s="115">
        <v>52003</v>
      </c>
      <c r="N253" s="115"/>
      <c r="O253" s="115">
        <v>2</v>
      </c>
      <c r="P253" s="115">
        <v>2</v>
      </c>
      <c r="R253">
        <v>1</v>
      </c>
    </row>
    <row r="254" spans="1:18">
      <c r="A254" s="115">
        <v>500002</v>
      </c>
      <c r="B254" s="115">
        <v>12009</v>
      </c>
      <c r="C254" s="75" t="s">
        <v>85</v>
      </c>
      <c r="D254" s="115">
        <v>344</v>
      </c>
      <c r="E254" s="117" t="s">
        <v>19</v>
      </c>
      <c r="F254" s="115">
        <v>350</v>
      </c>
      <c r="G254" s="117" t="s">
        <v>20</v>
      </c>
      <c r="H254" s="140"/>
      <c r="I254" s="140"/>
      <c r="J254" s="140"/>
      <c r="K254" s="115">
        <v>1013</v>
      </c>
      <c r="L254" s="115" t="s">
        <v>86</v>
      </c>
      <c r="M254" s="140"/>
      <c r="N254" s="140">
        <v>52011</v>
      </c>
      <c r="O254" s="115">
        <v>33</v>
      </c>
      <c r="P254" s="115"/>
      <c r="R254">
        <v>1</v>
      </c>
    </row>
    <row r="255" spans="1:18">
      <c r="A255" s="115">
        <v>500003</v>
      </c>
      <c r="B255" s="115">
        <v>12006</v>
      </c>
      <c r="C255" s="75" t="s">
        <v>89</v>
      </c>
      <c r="D255" s="115">
        <v>344</v>
      </c>
      <c r="E255" s="117" t="s">
        <v>19</v>
      </c>
      <c r="F255" s="115">
        <v>350</v>
      </c>
      <c r="G255" s="117" t="s">
        <v>20</v>
      </c>
      <c r="H255" s="140"/>
      <c r="I255" s="140"/>
      <c r="J255" s="140"/>
      <c r="K255" s="115">
        <v>1003</v>
      </c>
      <c r="L255" s="115" t="s">
        <v>90</v>
      </c>
      <c r="M255" s="140"/>
      <c r="N255" s="140"/>
      <c r="O255" s="115">
        <v>5</v>
      </c>
      <c r="P255" s="115"/>
      <c r="R255">
        <v>1</v>
      </c>
    </row>
    <row r="256" spans="1:18" s="1" customFormat="1">
      <c r="A256" s="115">
        <v>500004</v>
      </c>
      <c r="B256" s="37">
        <v>12018</v>
      </c>
      <c r="C256" s="75" t="s">
        <v>114</v>
      </c>
      <c r="D256" s="115">
        <v>344</v>
      </c>
      <c r="E256" s="117" t="s">
        <v>19</v>
      </c>
      <c r="F256" s="115">
        <v>350</v>
      </c>
      <c r="G256" s="147" t="s">
        <v>20</v>
      </c>
      <c r="H256" s="37">
        <v>7006</v>
      </c>
      <c r="J256" s="147">
        <v>30</v>
      </c>
      <c r="K256" s="37">
        <v>1508</v>
      </c>
      <c r="L256" s="37" t="s">
        <v>115</v>
      </c>
      <c r="M256" s="37">
        <v>52017</v>
      </c>
      <c r="O256" s="37">
        <v>39</v>
      </c>
      <c r="P256" s="37">
        <v>14</v>
      </c>
      <c r="R256">
        <v>1</v>
      </c>
    </row>
    <row r="257" spans="1:18" s="1" customFormat="1">
      <c r="A257" s="115">
        <v>500005</v>
      </c>
      <c r="B257" s="37">
        <v>12019</v>
      </c>
      <c r="C257" s="75" t="s">
        <v>116</v>
      </c>
      <c r="D257" s="115">
        <v>344</v>
      </c>
      <c r="E257" s="117" t="s">
        <v>19</v>
      </c>
      <c r="F257" s="115">
        <v>350</v>
      </c>
      <c r="G257" s="147" t="s">
        <v>20</v>
      </c>
      <c r="H257" s="37">
        <v>7007</v>
      </c>
      <c r="J257" s="147">
        <v>30</v>
      </c>
      <c r="K257" s="37">
        <v>1509</v>
      </c>
      <c r="L257" s="37" t="s">
        <v>117</v>
      </c>
      <c r="M257" s="37">
        <v>52018</v>
      </c>
      <c r="O257" s="37">
        <v>40</v>
      </c>
      <c r="P257" s="37">
        <v>15</v>
      </c>
      <c r="R257">
        <v>1</v>
      </c>
    </row>
    <row r="258" spans="1:18" s="138" customFormat="1">
      <c r="A258" s="63">
        <v>510001</v>
      </c>
      <c r="B258" s="63">
        <v>12004</v>
      </c>
      <c r="C258" s="75" t="s">
        <v>91</v>
      </c>
      <c r="D258" s="63">
        <v>351</v>
      </c>
      <c r="E258" s="154" t="s">
        <v>19</v>
      </c>
      <c r="F258" s="63">
        <v>357</v>
      </c>
      <c r="G258" s="154" t="s">
        <v>20</v>
      </c>
      <c r="H258" s="63">
        <v>1003</v>
      </c>
      <c r="I258" s="63"/>
      <c r="J258" s="154">
        <v>30</v>
      </c>
      <c r="K258" s="63">
        <v>1010</v>
      </c>
      <c r="L258" s="63" t="s">
        <v>92</v>
      </c>
      <c r="M258" s="63">
        <v>52006</v>
      </c>
      <c r="N258" s="63"/>
      <c r="O258" s="63">
        <v>6</v>
      </c>
      <c r="P258" s="63">
        <v>3</v>
      </c>
      <c r="R258">
        <v>1</v>
      </c>
    </row>
    <row r="259" spans="1:18" s="138" customFormat="1">
      <c r="A259" s="63">
        <v>510002</v>
      </c>
      <c r="B259" s="63">
        <v>12009</v>
      </c>
      <c r="C259" s="75" t="s">
        <v>85</v>
      </c>
      <c r="D259" s="63">
        <v>351</v>
      </c>
      <c r="E259" s="154" t="s">
        <v>19</v>
      </c>
      <c r="F259" s="63">
        <v>357</v>
      </c>
      <c r="G259" s="154" t="s">
        <v>20</v>
      </c>
      <c r="K259" s="63">
        <v>1013</v>
      </c>
      <c r="L259" s="63" t="s">
        <v>86</v>
      </c>
      <c r="N259" s="138">
        <v>52011</v>
      </c>
      <c r="O259" s="63">
        <v>33</v>
      </c>
      <c r="P259" s="63"/>
      <c r="R259">
        <v>1</v>
      </c>
    </row>
    <row r="260" spans="1:18" s="138" customFormat="1">
      <c r="A260" s="63">
        <v>510003</v>
      </c>
      <c r="B260" s="63">
        <v>12006</v>
      </c>
      <c r="C260" s="75" t="s">
        <v>89</v>
      </c>
      <c r="D260" s="63">
        <v>351</v>
      </c>
      <c r="E260" s="154" t="s">
        <v>19</v>
      </c>
      <c r="F260" s="63">
        <v>357</v>
      </c>
      <c r="G260" s="154" t="s">
        <v>20</v>
      </c>
      <c r="K260" s="63">
        <v>1003</v>
      </c>
      <c r="L260" s="63" t="s">
        <v>90</v>
      </c>
      <c r="O260" s="63">
        <v>5</v>
      </c>
      <c r="P260" s="63"/>
      <c r="R260">
        <v>1</v>
      </c>
    </row>
    <row r="261" spans="1:18" s="68" customFormat="1" ht="18.95" customHeight="1">
      <c r="A261" s="63">
        <v>510004</v>
      </c>
      <c r="B261" s="62">
        <v>12013</v>
      </c>
      <c r="C261" s="75" t="s">
        <v>104</v>
      </c>
      <c r="D261" s="63">
        <v>351</v>
      </c>
      <c r="E261" s="154" t="s">
        <v>19</v>
      </c>
      <c r="F261" s="63">
        <v>357</v>
      </c>
      <c r="G261" s="144" t="s">
        <v>20</v>
      </c>
      <c r="H261" s="62">
        <v>7001</v>
      </c>
      <c r="J261" s="144">
        <v>30</v>
      </c>
      <c r="K261" s="62">
        <v>1503</v>
      </c>
      <c r="L261" s="62" t="s">
        <v>105</v>
      </c>
      <c r="M261" s="62">
        <v>52012</v>
      </c>
      <c r="N261" s="62"/>
      <c r="O261" s="62">
        <v>34</v>
      </c>
      <c r="P261" s="62">
        <v>9</v>
      </c>
      <c r="R261" s="68">
        <v>1</v>
      </c>
    </row>
    <row r="262" spans="1:18" s="68" customFormat="1">
      <c r="A262" s="63">
        <v>510005</v>
      </c>
      <c r="B262" s="62">
        <v>12014</v>
      </c>
      <c r="C262" s="75" t="s">
        <v>106</v>
      </c>
      <c r="D262" s="63">
        <v>351</v>
      </c>
      <c r="E262" s="154" t="s">
        <v>19</v>
      </c>
      <c r="F262" s="63">
        <v>357</v>
      </c>
      <c r="G262" s="144" t="s">
        <v>20</v>
      </c>
      <c r="H262" s="62">
        <v>7002</v>
      </c>
      <c r="J262" s="144">
        <v>30</v>
      </c>
      <c r="K262" s="62">
        <v>1504</v>
      </c>
      <c r="L262" s="62" t="s">
        <v>107</v>
      </c>
      <c r="M262" s="62">
        <v>52013</v>
      </c>
      <c r="O262" s="62">
        <v>35</v>
      </c>
      <c r="P262" s="62">
        <v>10</v>
      </c>
      <c r="R262" s="68">
        <v>1</v>
      </c>
    </row>
    <row r="263" spans="1:18">
      <c r="A263" s="37">
        <v>520001</v>
      </c>
      <c r="B263" s="37">
        <v>12005</v>
      </c>
      <c r="C263" s="75" t="s">
        <v>112</v>
      </c>
      <c r="D263" s="37">
        <f>D260+7</f>
        <v>358</v>
      </c>
      <c r="E263" s="147" t="s">
        <v>19</v>
      </c>
      <c r="F263" s="37">
        <f>F260+7</f>
        <v>364</v>
      </c>
      <c r="G263" s="147" t="s">
        <v>20</v>
      </c>
      <c r="H263" s="37">
        <v>3101</v>
      </c>
      <c r="I263" s="37"/>
      <c r="J263" s="147">
        <v>30</v>
      </c>
      <c r="K263" s="37">
        <v>1011</v>
      </c>
      <c r="L263" s="37" t="s">
        <v>113</v>
      </c>
      <c r="M263" s="37">
        <v>52007</v>
      </c>
      <c r="N263" s="37"/>
      <c r="O263" s="37">
        <v>18</v>
      </c>
      <c r="P263" s="37">
        <v>6</v>
      </c>
      <c r="R263">
        <v>1</v>
      </c>
    </row>
    <row r="264" spans="1:18">
      <c r="A264" s="37">
        <v>520002</v>
      </c>
      <c r="B264" s="37">
        <v>12009</v>
      </c>
      <c r="C264" s="75" t="s">
        <v>85</v>
      </c>
      <c r="D264" s="37">
        <v>358</v>
      </c>
      <c r="E264" s="147" t="s">
        <v>19</v>
      </c>
      <c r="F264" s="37">
        <v>364</v>
      </c>
      <c r="G264" s="147" t="s">
        <v>20</v>
      </c>
      <c r="H264" s="1"/>
      <c r="I264" s="1"/>
      <c r="J264" s="1"/>
      <c r="K264" s="37">
        <v>1013</v>
      </c>
      <c r="L264" s="37" t="s">
        <v>86</v>
      </c>
      <c r="M264" s="1"/>
      <c r="N264" s="1">
        <v>52011</v>
      </c>
      <c r="O264" s="37">
        <v>33</v>
      </c>
      <c r="P264" s="37"/>
      <c r="R264">
        <v>1</v>
      </c>
    </row>
    <row r="265" spans="1:18">
      <c r="A265" s="37">
        <v>520003</v>
      </c>
      <c r="B265" s="37">
        <v>12006</v>
      </c>
      <c r="C265" s="75" t="s">
        <v>89</v>
      </c>
      <c r="D265" s="37">
        <v>358</v>
      </c>
      <c r="E265" s="147" t="s">
        <v>19</v>
      </c>
      <c r="F265" s="37">
        <v>364</v>
      </c>
      <c r="G265" s="147" t="s">
        <v>20</v>
      </c>
      <c r="H265" s="1"/>
      <c r="I265" s="1"/>
      <c r="J265" s="1"/>
      <c r="K265" s="37">
        <v>1003</v>
      </c>
      <c r="L265" s="37" t="s">
        <v>90</v>
      </c>
      <c r="M265" s="1"/>
      <c r="N265" s="1"/>
      <c r="O265" s="37">
        <v>5</v>
      </c>
      <c r="P265" s="37"/>
      <c r="R265">
        <v>1</v>
      </c>
    </row>
    <row r="266" spans="1:18" s="68" customFormat="1">
      <c r="A266" s="37">
        <v>520004</v>
      </c>
      <c r="B266" s="62">
        <v>12020</v>
      </c>
      <c r="C266" s="75" t="s">
        <v>95</v>
      </c>
      <c r="D266" s="37">
        <v>358</v>
      </c>
      <c r="E266" s="147" t="s">
        <v>19</v>
      </c>
      <c r="F266" s="37">
        <v>364</v>
      </c>
      <c r="G266" s="144" t="s">
        <v>20</v>
      </c>
      <c r="H266" s="62">
        <v>7008</v>
      </c>
      <c r="J266" s="144">
        <v>30</v>
      </c>
      <c r="K266" s="62">
        <v>1510</v>
      </c>
      <c r="L266" s="62" t="s">
        <v>96</v>
      </c>
      <c r="M266" s="62">
        <v>52019</v>
      </c>
      <c r="O266" s="62">
        <v>41</v>
      </c>
      <c r="P266" s="62">
        <v>16</v>
      </c>
    </row>
    <row r="267" spans="1:18" s="68" customFormat="1">
      <c r="A267" s="37">
        <v>520005</v>
      </c>
      <c r="B267" s="62">
        <v>12021</v>
      </c>
      <c r="C267" s="75" t="s">
        <v>110</v>
      </c>
      <c r="D267" s="37">
        <v>358</v>
      </c>
      <c r="E267" s="147" t="s">
        <v>19</v>
      </c>
      <c r="F267" s="37">
        <v>364</v>
      </c>
      <c r="G267" s="144" t="s">
        <v>20</v>
      </c>
      <c r="H267" s="62">
        <v>7009</v>
      </c>
      <c r="J267" s="144">
        <v>30</v>
      </c>
      <c r="K267" s="62">
        <v>1511</v>
      </c>
      <c r="L267" s="62" t="s">
        <v>111</v>
      </c>
      <c r="M267" s="62">
        <v>52020</v>
      </c>
      <c r="O267" s="62">
        <v>42</v>
      </c>
      <c r="P267" s="62">
        <v>17</v>
      </c>
    </row>
    <row r="268" spans="1:18">
      <c r="A268" s="141">
        <v>530001</v>
      </c>
      <c r="B268" s="141">
        <v>12008</v>
      </c>
      <c r="C268" s="75" t="s">
        <v>118</v>
      </c>
      <c r="D268" s="141">
        <v>365</v>
      </c>
      <c r="E268" s="142" t="s">
        <v>19</v>
      </c>
      <c r="F268" s="141">
        <v>371</v>
      </c>
      <c r="G268" s="142" t="s">
        <v>20</v>
      </c>
      <c r="H268" s="141">
        <v>1002</v>
      </c>
      <c r="I268" s="143"/>
      <c r="J268" s="142">
        <v>30</v>
      </c>
      <c r="K268" s="141">
        <v>1012</v>
      </c>
      <c r="L268" s="141" t="s">
        <v>119</v>
      </c>
      <c r="M268" s="141">
        <v>52008</v>
      </c>
      <c r="N268" s="141"/>
      <c r="O268" s="141">
        <v>22</v>
      </c>
      <c r="P268" s="141">
        <v>7</v>
      </c>
      <c r="R268">
        <v>1</v>
      </c>
    </row>
    <row r="269" spans="1:18">
      <c r="A269" s="141">
        <v>530002</v>
      </c>
      <c r="B269" s="141">
        <v>12009</v>
      </c>
      <c r="C269" s="75" t="s">
        <v>85</v>
      </c>
      <c r="D269" s="141">
        <v>365</v>
      </c>
      <c r="E269" s="142" t="s">
        <v>19</v>
      </c>
      <c r="F269" s="141">
        <v>371</v>
      </c>
      <c r="G269" s="142" t="s">
        <v>20</v>
      </c>
      <c r="H269" s="143"/>
      <c r="I269" s="143"/>
      <c r="J269" s="143"/>
      <c r="K269" s="141">
        <v>1013</v>
      </c>
      <c r="L269" s="141" t="s">
        <v>86</v>
      </c>
      <c r="M269" s="143"/>
      <c r="N269" s="143">
        <v>52011</v>
      </c>
      <c r="O269" s="141">
        <v>33</v>
      </c>
      <c r="P269" s="141"/>
      <c r="R269">
        <v>1</v>
      </c>
    </row>
    <row r="270" spans="1:18" ht="17.100000000000001" customHeight="1">
      <c r="A270" s="141">
        <v>530003</v>
      </c>
      <c r="B270" s="141">
        <v>12006</v>
      </c>
      <c r="C270" s="75" t="s">
        <v>89</v>
      </c>
      <c r="D270" s="141">
        <v>365</v>
      </c>
      <c r="E270" s="142" t="s">
        <v>19</v>
      </c>
      <c r="F270" s="141">
        <v>371</v>
      </c>
      <c r="G270" s="142" t="s">
        <v>20</v>
      </c>
      <c r="H270" s="143"/>
      <c r="I270" s="143"/>
      <c r="J270" s="143"/>
      <c r="K270" s="141">
        <v>1003</v>
      </c>
      <c r="L270" s="141" t="s">
        <v>90</v>
      </c>
      <c r="M270" s="143"/>
      <c r="N270" s="143"/>
      <c r="O270" s="141">
        <v>5</v>
      </c>
      <c r="P270" s="141"/>
      <c r="R270">
        <v>1</v>
      </c>
    </row>
    <row r="271" spans="1:18" s="1" customFormat="1">
      <c r="A271" s="141">
        <v>530004</v>
      </c>
      <c r="B271" s="37">
        <v>12018</v>
      </c>
      <c r="C271" s="75" t="s">
        <v>114</v>
      </c>
      <c r="D271" s="141">
        <v>365</v>
      </c>
      <c r="E271" s="142" t="s">
        <v>19</v>
      </c>
      <c r="F271" s="141">
        <v>371</v>
      </c>
      <c r="G271" s="147" t="s">
        <v>20</v>
      </c>
      <c r="H271" s="37">
        <v>7006</v>
      </c>
      <c r="J271" s="147">
        <v>30</v>
      </c>
      <c r="K271" s="37">
        <v>1508</v>
      </c>
      <c r="L271" s="37" t="s">
        <v>115</v>
      </c>
      <c r="M271" s="37">
        <v>52017</v>
      </c>
      <c r="O271" s="37">
        <v>39</v>
      </c>
      <c r="P271" s="37">
        <v>14</v>
      </c>
      <c r="R271">
        <v>1</v>
      </c>
    </row>
    <row r="272" spans="1:18" s="1" customFormat="1">
      <c r="A272" s="141">
        <v>530005</v>
      </c>
      <c r="B272" s="37">
        <v>12019</v>
      </c>
      <c r="C272" s="75" t="s">
        <v>116</v>
      </c>
      <c r="D272" s="141">
        <v>365</v>
      </c>
      <c r="E272" s="142" t="s">
        <v>19</v>
      </c>
      <c r="F272" s="141">
        <v>371</v>
      </c>
      <c r="G272" s="147" t="s">
        <v>20</v>
      </c>
      <c r="H272" s="37">
        <v>7007</v>
      </c>
      <c r="J272" s="147">
        <v>30</v>
      </c>
      <c r="K272" s="37">
        <v>1509</v>
      </c>
      <c r="L272" s="37" t="s">
        <v>117</v>
      </c>
      <c r="M272" s="37">
        <v>52018</v>
      </c>
      <c r="O272" s="37">
        <v>40</v>
      </c>
      <c r="P272" s="37">
        <v>15</v>
      </c>
      <c r="R272">
        <v>1</v>
      </c>
    </row>
    <row r="273" spans="1:18">
      <c r="A273" s="115">
        <v>540001</v>
      </c>
      <c r="B273" s="115">
        <v>12001</v>
      </c>
      <c r="C273" s="75" t="s">
        <v>83</v>
      </c>
      <c r="D273" s="115">
        <v>372</v>
      </c>
      <c r="E273" s="117" t="s">
        <v>19</v>
      </c>
      <c r="F273" s="115">
        <v>378</v>
      </c>
      <c r="G273" s="117" t="s">
        <v>20</v>
      </c>
      <c r="H273" s="115">
        <v>1303</v>
      </c>
      <c r="I273" s="115"/>
      <c r="J273" s="117">
        <v>30</v>
      </c>
      <c r="K273" s="115">
        <v>1002</v>
      </c>
      <c r="L273" s="115" t="s">
        <v>84</v>
      </c>
      <c r="M273" s="115">
        <v>52003</v>
      </c>
      <c r="N273" s="115"/>
      <c r="O273" s="115">
        <v>2</v>
      </c>
      <c r="P273" s="115">
        <v>2</v>
      </c>
      <c r="R273">
        <v>1</v>
      </c>
    </row>
    <row r="274" spans="1:18">
      <c r="A274" s="115">
        <v>540002</v>
      </c>
      <c r="B274" s="115">
        <v>12009</v>
      </c>
      <c r="C274" s="75" t="s">
        <v>85</v>
      </c>
      <c r="D274" s="115">
        <v>372</v>
      </c>
      <c r="E274" s="117" t="s">
        <v>19</v>
      </c>
      <c r="F274" s="115">
        <v>378</v>
      </c>
      <c r="G274" s="117" t="s">
        <v>20</v>
      </c>
      <c r="H274" s="140"/>
      <c r="I274" s="140"/>
      <c r="J274" s="140"/>
      <c r="K274" s="115">
        <v>1013</v>
      </c>
      <c r="L274" s="115" t="s">
        <v>86</v>
      </c>
      <c r="M274" s="140"/>
      <c r="N274" s="140">
        <v>52011</v>
      </c>
      <c r="O274" s="115">
        <v>33</v>
      </c>
      <c r="P274" s="115"/>
      <c r="R274">
        <v>1</v>
      </c>
    </row>
    <row r="275" spans="1:18">
      <c r="A275" s="115">
        <v>540003</v>
      </c>
      <c r="B275" s="115">
        <v>12006</v>
      </c>
      <c r="C275" s="75" t="s">
        <v>89</v>
      </c>
      <c r="D275" s="115">
        <v>372</v>
      </c>
      <c r="E275" s="117" t="s">
        <v>19</v>
      </c>
      <c r="F275" s="115">
        <v>378</v>
      </c>
      <c r="G275" s="117" t="s">
        <v>20</v>
      </c>
      <c r="H275" s="140"/>
      <c r="I275" s="140"/>
      <c r="J275" s="140"/>
      <c r="K275" s="115">
        <v>1003</v>
      </c>
      <c r="L275" s="115" t="s">
        <v>90</v>
      </c>
      <c r="M275" s="140"/>
      <c r="N275" s="140"/>
      <c r="O275" s="115">
        <v>5</v>
      </c>
      <c r="P275" s="115"/>
      <c r="R275">
        <v>1</v>
      </c>
    </row>
    <row r="276" spans="1:18" s="68" customFormat="1" ht="18.95" customHeight="1">
      <c r="A276" s="115">
        <v>540004</v>
      </c>
      <c r="B276" s="62">
        <v>12013</v>
      </c>
      <c r="C276" s="75" t="s">
        <v>104</v>
      </c>
      <c r="D276" s="115">
        <v>372</v>
      </c>
      <c r="E276" s="117" t="s">
        <v>19</v>
      </c>
      <c r="F276" s="115">
        <v>378</v>
      </c>
      <c r="G276" s="144" t="s">
        <v>20</v>
      </c>
      <c r="H276" s="62">
        <v>7001</v>
      </c>
      <c r="J276" s="144">
        <v>30</v>
      </c>
      <c r="K276" s="62">
        <v>1503</v>
      </c>
      <c r="L276" s="62" t="s">
        <v>105</v>
      </c>
      <c r="M276" s="62">
        <v>52012</v>
      </c>
      <c r="N276" s="62"/>
      <c r="O276" s="62">
        <v>34</v>
      </c>
      <c r="P276" s="62">
        <v>9</v>
      </c>
      <c r="R276" s="68">
        <v>1</v>
      </c>
    </row>
    <row r="277" spans="1:18" s="68" customFormat="1">
      <c r="A277" s="115">
        <v>540005</v>
      </c>
      <c r="B277" s="62">
        <v>12014</v>
      </c>
      <c r="C277" s="75" t="s">
        <v>106</v>
      </c>
      <c r="D277" s="115">
        <v>372</v>
      </c>
      <c r="E277" s="117" t="s">
        <v>19</v>
      </c>
      <c r="F277" s="115">
        <v>378</v>
      </c>
      <c r="G277" s="144" t="s">
        <v>20</v>
      </c>
      <c r="H277" s="62">
        <v>7002</v>
      </c>
      <c r="J277" s="144">
        <v>30</v>
      </c>
      <c r="K277" s="62">
        <v>1504</v>
      </c>
      <c r="L277" s="62" t="s">
        <v>107</v>
      </c>
      <c r="M277" s="62">
        <v>52013</v>
      </c>
      <c r="O277" s="62">
        <v>35</v>
      </c>
      <c r="P277" s="62">
        <v>10</v>
      </c>
      <c r="R277" s="68">
        <v>1</v>
      </c>
    </row>
    <row r="278" spans="1:18" s="138" customFormat="1">
      <c r="A278" s="63">
        <v>550001</v>
      </c>
      <c r="B278" s="63">
        <v>12004</v>
      </c>
      <c r="C278" s="75" t="s">
        <v>91</v>
      </c>
      <c r="D278" s="63">
        <v>379</v>
      </c>
      <c r="E278" s="154" t="s">
        <v>19</v>
      </c>
      <c r="F278" s="63">
        <v>385</v>
      </c>
      <c r="G278" s="154" t="s">
        <v>20</v>
      </c>
      <c r="H278" s="63">
        <v>1003</v>
      </c>
      <c r="I278" s="63"/>
      <c r="J278" s="154">
        <v>30</v>
      </c>
      <c r="K278" s="63">
        <v>1010</v>
      </c>
      <c r="L278" s="63" t="s">
        <v>92</v>
      </c>
      <c r="M278" s="63">
        <v>52006</v>
      </c>
      <c r="N278" s="63"/>
      <c r="O278" s="63">
        <v>6</v>
      </c>
      <c r="P278" s="63">
        <v>3</v>
      </c>
      <c r="R278">
        <v>1</v>
      </c>
    </row>
    <row r="279" spans="1:18" s="138" customFormat="1">
      <c r="A279" s="63">
        <v>550002</v>
      </c>
      <c r="B279" s="63">
        <v>12009</v>
      </c>
      <c r="C279" s="75" t="s">
        <v>85</v>
      </c>
      <c r="D279" s="63">
        <v>379</v>
      </c>
      <c r="E279" s="154" t="s">
        <v>19</v>
      </c>
      <c r="F279" s="63">
        <v>385</v>
      </c>
      <c r="G279" s="154" t="s">
        <v>20</v>
      </c>
      <c r="K279" s="63">
        <v>1013</v>
      </c>
      <c r="L279" s="63" t="s">
        <v>86</v>
      </c>
      <c r="N279" s="138">
        <v>52011</v>
      </c>
      <c r="O279" s="63">
        <v>33</v>
      </c>
      <c r="P279" s="63"/>
      <c r="R279">
        <v>1</v>
      </c>
    </row>
    <row r="280" spans="1:18" s="138" customFormat="1">
      <c r="A280" s="63">
        <v>550003</v>
      </c>
      <c r="B280" s="63">
        <v>12006</v>
      </c>
      <c r="C280" s="75" t="s">
        <v>89</v>
      </c>
      <c r="D280" s="63">
        <v>379</v>
      </c>
      <c r="E280" s="154" t="s">
        <v>19</v>
      </c>
      <c r="F280" s="63">
        <v>385</v>
      </c>
      <c r="G280" s="154" t="s">
        <v>20</v>
      </c>
      <c r="K280" s="63">
        <v>1003</v>
      </c>
      <c r="L280" s="63" t="s">
        <v>90</v>
      </c>
      <c r="O280" s="63">
        <v>5</v>
      </c>
      <c r="P280" s="63"/>
      <c r="R280">
        <v>1</v>
      </c>
    </row>
    <row r="281" spans="1:18" s="68" customFormat="1">
      <c r="A281" s="63">
        <v>550004</v>
      </c>
      <c r="B281" s="62">
        <v>12020</v>
      </c>
      <c r="C281" s="75" t="s">
        <v>95</v>
      </c>
      <c r="D281" s="63">
        <v>379</v>
      </c>
      <c r="E281" s="154" t="s">
        <v>19</v>
      </c>
      <c r="F281" s="63">
        <v>385</v>
      </c>
      <c r="G281" s="144" t="s">
        <v>20</v>
      </c>
      <c r="H281" s="62">
        <v>7008</v>
      </c>
      <c r="J281" s="144">
        <v>30</v>
      </c>
      <c r="K281" s="62">
        <v>1510</v>
      </c>
      <c r="L281" s="62" t="s">
        <v>96</v>
      </c>
      <c r="M281" s="62">
        <v>52019</v>
      </c>
      <c r="O281" s="62">
        <v>41</v>
      </c>
      <c r="P281" s="62">
        <v>16</v>
      </c>
    </row>
    <row r="282" spans="1:18" s="68" customFormat="1">
      <c r="A282" s="63">
        <v>550005</v>
      </c>
      <c r="B282" s="62">
        <v>12021</v>
      </c>
      <c r="C282" s="75" t="s">
        <v>110</v>
      </c>
      <c r="D282" s="63">
        <v>379</v>
      </c>
      <c r="E282" s="154" t="s">
        <v>19</v>
      </c>
      <c r="F282" s="63">
        <v>385</v>
      </c>
      <c r="G282" s="144" t="s">
        <v>20</v>
      </c>
      <c r="H282" s="62">
        <v>7009</v>
      </c>
      <c r="J282" s="144">
        <v>30</v>
      </c>
      <c r="K282" s="62">
        <v>1511</v>
      </c>
      <c r="L282" s="62" t="s">
        <v>111</v>
      </c>
      <c r="M282" s="62">
        <v>52020</v>
      </c>
      <c r="O282" s="62">
        <v>42</v>
      </c>
      <c r="P282" s="62">
        <v>17</v>
      </c>
    </row>
    <row r="283" spans="1:18">
      <c r="A283" s="37">
        <v>560001</v>
      </c>
      <c r="B283" s="37">
        <v>12005</v>
      </c>
      <c r="C283" s="75" t="s">
        <v>112</v>
      </c>
      <c r="D283" s="37">
        <f>D280+7</f>
        <v>386</v>
      </c>
      <c r="E283" s="147" t="s">
        <v>19</v>
      </c>
      <c r="F283" s="37">
        <f>F280+7</f>
        <v>392</v>
      </c>
      <c r="G283" s="147" t="s">
        <v>20</v>
      </c>
      <c r="H283" s="37">
        <v>3101</v>
      </c>
      <c r="I283" s="37"/>
      <c r="J283" s="147">
        <v>30</v>
      </c>
      <c r="K283" s="37">
        <v>1011</v>
      </c>
      <c r="L283" s="37" t="s">
        <v>113</v>
      </c>
      <c r="M283" s="37">
        <v>52007</v>
      </c>
      <c r="N283" s="37"/>
      <c r="O283" s="37">
        <v>18</v>
      </c>
      <c r="P283" s="37">
        <v>6</v>
      </c>
      <c r="R283">
        <v>1</v>
      </c>
    </row>
    <row r="284" spans="1:18">
      <c r="A284" s="37">
        <v>560002</v>
      </c>
      <c r="B284" s="37">
        <v>12009</v>
      </c>
      <c r="C284" s="75" t="s">
        <v>85</v>
      </c>
      <c r="D284" s="37">
        <v>386</v>
      </c>
      <c r="E284" s="147" t="s">
        <v>19</v>
      </c>
      <c r="F284" s="37">
        <v>392</v>
      </c>
      <c r="G284" s="147" t="s">
        <v>20</v>
      </c>
      <c r="H284" s="1"/>
      <c r="I284" s="1"/>
      <c r="J284" s="1"/>
      <c r="K284" s="37">
        <v>1013</v>
      </c>
      <c r="L284" s="37" t="s">
        <v>86</v>
      </c>
      <c r="M284" s="1"/>
      <c r="N284" s="1">
        <v>52011</v>
      </c>
      <c r="O284" s="37">
        <v>33</v>
      </c>
      <c r="P284" s="37"/>
      <c r="R284">
        <v>1</v>
      </c>
    </row>
    <row r="285" spans="1:18" ht="18.95" customHeight="1">
      <c r="A285" s="37">
        <v>560003</v>
      </c>
      <c r="B285" s="37">
        <v>12006</v>
      </c>
      <c r="C285" s="75" t="s">
        <v>89</v>
      </c>
      <c r="D285" s="37">
        <v>386</v>
      </c>
      <c r="E285" s="147" t="s">
        <v>19</v>
      </c>
      <c r="F285" s="37">
        <v>392</v>
      </c>
      <c r="G285" s="147" t="s">
        <v>20</v>
      </c>
      <c r="H285" s="1"/>
      <c r="I285" s="1"/>
      <c r="J285" s="1"/>
      <c r="K285" s="37">
        <v>1003</v>
      </c>
      <c r="L285" s="37" t="s">
        <v>90</v>
      </c>
      <c r="M285" s="1"/>
      <c r="N285" s="1"/>
      <c r="O285" s="37">
        <v>5</v>
      </c>
      <c r="P285" s="37"/>
      <c r="R285">
        <v>1</v>
      </c>
    </row>
    <row r="286" spans="1:18" s="1" customFormat="1">
      <c r="A286" s="37">
        <v>560004</v>
      </c>
      <c r="B286" s="37">
        <v>12018</v>
      </c>
      <c r="C286" s="75" t="s">
        <v>114</v>
      </c>
      <c r="D286" s="37">
        <v>386</v>
      </c>
      <c r="E286" s="147" t="s">
        <v>19</v>
      </c>
      <c r="F286" s="37">
        <v>392</v>
      </c>
      <c r="G286" s="147" t="s">
        <v>20</v>
      </c>
      <c r="H286" s="37">
        <v>7006</v>
      </c>
      <c r="J286" s="147">
        <v>30</v>
      </c>
      <c r="K286" s="37">
        <v>1508</v>
      </c>
      <c r="L286" s="37" t="s">
        <v>115</v>
      </c>
      <c r="M286" s="37">
        <v>52017</v>
      </c>
      <c r="O286" s="37">
        <v>39</v>
      </c>
      <c r="P286" s="37">
        <v>14</v>
      </c>
      <c r="R286">
        <v>1</v>
      </c>
    </row>
    <row r="287" spans="1:18" s="1" customFormat="1">
      <c r="A287" s="37">
        <v>560005</v>
      </c>
      <c r="B287" s="37">
        <v>12019</v>
      </c>
      <c r="C287" s="75" t="s">
        <v>116</v>
      </c>
      <c r="D287" s="37">
        <v>386</v>
      </c>
      <c r="E287" s="147" t="s">
        <v>19</v>
      </c>
      <c r="F287" s="37">
        <v>392</v>
      </c>
      <c r="G287" s="147" t="s">
        <v>20</v>
      </c>
      <c r="H287" s="37">
        <v>7007</v>
      </c>
      <c r="J287" s="147">
        <v>30</v>
      </c>
      <c r="K287" s="37">
        <v>1509</v>
      </c>
      <c r="L287" s="37" t="s">
        <v>117</v>
      </c>
      <c r="M287" s="37">
        <v>52018</v>
      </c>
      <c r="O287" s="37">
        <v>40</v>
      </c>
      <c r="P287" s="37">
        <v>15</v>
      </c>
      <c r="R287">
        <v>1</v>
      </c>
    </row>
    <row r="288" spans="1:18">
      <c r="A288" s="141">
        <v>570001</v>
      </c>
      <c r="B288" s="141">
        <v>12008</v>
      </c>
      <c r="C288" s="75" t="s">
        <v>118</v>
      </c>
      <c r="D288" s="141">
        <v>393</v>
      </c>
      <c r="E288" s="142" t="s">
        <v>19</v>
      </c>
      <c r="F288" s="141">
        <v>399</v>
      </c>
      <c r="G288" s="142" t="s">
        <v>20</v>
      </c>
      <c r="H288" s="141">
        <v>1002</v>
      </c>
      <c r="I288" s="143"/>
      <c r="J288" s="142">
        <v>30</v>
      </c>
      <c r="K288" s="141">
        <v>1012</v>
      </c>
      <c r="L288" s="141" t="s">
        <v>119</v>
      </c>
      <c r="M288" s="141">
        <v>52008</v>
      </c>
      <c r="N288" s="141"/>
      <c r="O288" s="141">
        <v>22</v>
      </c>
      <c r="P288" s="141">
        <v>7</v>
      </c>
      <c r="R288">
        <v>1</v>
      </c>
    </row>
    <row r="289" spans="1:18">
      <c r="A289" s="141">
        <v>570002</v>
      </c>
      <c r="B289" s="141">
        <v>12009</v>
      </c>
      <c r="C289" s="75" t="s">
        <v>85</v>
      </c>
      <c r="D289" s="141">
        <v>393</v>
      </c>
      <c r="E289" s="142" t="s">
        <v>19</v>
      </c>
      <c r="F289" s="141">
        <v>399</v>
      </c>
      <c r="G289" s="142" t="s">
        <v>20</v>
      </c>
      <c r="H289" s="143"/>
      <c r="I289" s="143"/>
      <c r="J289" s="143"/>
      <c r="K289" s="141">
        <v>1013</v>
      </c>
      <c r="L289" s="141" t="s">
        <v>86</v>
      </c>
      <c r="M289" s="143"/>
      <c r="N289" s="143">
        <v>52011</v>
      </c>
      <c r="O289" s="141">
        <v>33</v>
      </c>
      <c r="P289" s="141"/>
      <c r="R289">
        <v>1</v>
      </c>
    </row>
    <row r="290" spans="1:18">
      <c r="A290" s="141">
        <v>570003</v>
      </c>
      <c r="B290" s="141">
        <v>12006</v>
      </c>
      <c r="C290" s="75" t="s">
        <v>89</v>
      </c>
      <c r="D290" s="141">
        <v>393</v>
      </c>
      <c r="E290" s="142" t="s">
        <v>19</v>
      </c>
      <c r="F290" s="141">
        <v>399</v>
      </c>
      <c r="G290" s="142" t="s">
        <v>20</v>
      </c>
      <c r="H290" s="143"/>
      <c r="I290" s="143"/>
      <c r="J290" s="143"/>
      <c r="K290" s="141">
        <v>1003</v>
      </c>
      <c r="L290" s="141" t="s">
        <v>90</v>
      </c>
      <c r="M290" s="143"/>
      <c r="N290" s="143"/>
      <c r="O290" s="141">
        <v>5</v>
      </c>
      <c r="P290" s="141"/>
      <c r="R290">
        <v>1</v>
      </c>
    </row>
    <row r="291" spans="1:18" s="68" customFormat="1" ht="18.95" customHeight="1">
      <c r="A291" s="141">
        <v>570004</v>
      </c>
      <c r="B291" s="62">
        <v>12013</v>
      </c>
      <c r="C291" s="75" t="s">
        <v>104</v>
      </c>
      <c r="D291" s="141">
        <v>393</v>
      </c>
      <c r="E291" s="142" t="s">
        <v>19</v>
      </c>
      <c r="F291" s="141">
        <v>399</v>
      </c>
      <c r="G291" s="144" t="s">
        <v>20</v>
      </c>
      <c r="H291" s="62">
        <v>7001</v>
      </c>
      <c r="J291" s="144">
        <v>30</v>
      </c>
      <c r="K291" s="62">
        <v>1503</v>
      </c>
      <c r="L291" s="62" t="s">
        <v>105</v>
      </c>
      <c r="M291" s="62">
        <v>52012</v>
      </c>
      <c r="N291" s="62"/>
      <c r="O291" s="62">
        <v>34</v>
      </c>
      <c r="P291" s="62">
        <v>9</v>
      </c>
      <c r="R291" s="68">
        <v>1</v>
      </c>
    </row>
    <row r="292" spans="1:18" s="68" customFormat="1">
      <c r="A292" s="141">
        <v>570005</v>
      </c>
      <c r="B292" s="62">
        <v>12014</v>
      </c>
      <c r="C292" s="75" t="s">
        <v>106</v>
      </c>
      <c r="D292" s="141">
        <v>393</v>
      </c>
      <c r="E292" s="142" t="s">
        <v>19</v>
      </c>
      <c r="F292" s="141">
        <v>399</v>
      </c>
      <c r="G292" s="144" t="s">
        <v>20</v>
      </c>
      <c r="H292" s="62">
        <v>7002</v>
      </c>
      <c r="J292" s="144">
        <v>30</v>
      </c>
      <c r="K292" s="62">
        <v>1504</v>
      </c>
      <c r="L292" s="62" t="s">
        <v>107</v>
      </c>
      <c r="M292" s="62">
        <v>52013</v>
      </c>
      <c r="O292" s="62">
        <v>35</v>
      </c>
      <c r="P292" s="62">
        <v>10</v>
      </c>
      <c r="R292" s="68">
        <v>1</v>
      </c>
    </row>
    <row r="293" spans="1:18">
      <c r="A293" s="115">
        <v>580001</v>
      </c>
      <c r="B293" s="115">
        <v>12001</v>
      </c>
      <c r="C293" s="75" t="s">
        <v>83</v>
      </c>
      <c r="D293" s="115">
        <f>D290+7</f>
        <v>400</v>
      </c>
      <c r="E293" s="117" t="s">
        <v>19</v>
      </c>
      <c r="F293" s="115">
        <f>F290+7</f>
        <v>406</v>
      </c>
      <c r="G293" s="117" t="s">
        <v>20</v>
      </c>
      <c r="H293" s="115">
        <v>1303</v>
      </c>
      <c r="I293" s="115"/>
      <c r="J293" s="117">
        <v>30</v>
      </c>
      <c r="K293" s="115">
        <v>1002</v>
      </c>
      <c r="L293" s="115" t="s">
        <v>84</v>
      </c>
      <c r="M293" s="115">
        <v>52003</v>
      </c>
      <c r="N293" s="115"/>
      <c r="O293" s="115">
        <v>2</v>
      </c>
      <c r="P293" s="115">
        <v>2</v>
      </c>
      <c r="R293">
        <v>1</v>
      </c>
    </row>
    <row r="294" spans="1:18">
      <c r="A294" s="115">
        <v>580002</v>
      </c>
      <c r="B294" s="115">
        <v>12009</v>
      </c>
      <c r="C294" s="75" t="s">
        <v>85</v>
      </c>
      <c r="D294" s="115">
        <v>400</v>
      </c>
      <c r="E294" s="117" t="s">
        <v>19</v>
      </c>
      <c r="F294" s="115">
        <v>406</v>
      </c>
      <c r="G294" s="117" t="s">
        <v>20</v>
      </c>
      <c r="H294" s="140"/>
      <c r="I294" s="140"/>
      <c r="J294" s="140"/>
      <c r="K294" s="115">
        <v>1013</v>
      </c>
      <c r="L294" s="115" t="s">
        <v>86</v>
      </c>
      <c r="M294" s="140"/>
      <c r="N294" s="140">
        <v>52011</v>
      </c>
      <c r="O294" s="115">
        <v>33</v>
      </c>
      <c r="P294" s="115"/>
      <c r="R294">
        <v>1</v>
      </c>
    </row>
    <row r="295" spans="1:18">
      <c r="A295" s="115">
        <v>580003</v>
      </c>
      <c r="B295" s="115">
        <v>12006</v>
      </c>
      <c r="C295" s="75" t="s">
        <v>89</v>
      </c>
      <c r="D295" s="115">
        <v>400</v>
      </c>
      <c r="E295" s="117" t="s">
        <v>19</v>
      </c>
      <c r="F295" s="115">
        <v>406</v>
      </c>
      <c r="G295" s="117" t="s">
        <v>20</v>
      </c>
      <c r="H295" s="140"/>
      <c r="I295" s="140"/>
      <c r="J295" s="140"/>
      <c r="K295" s="115">
        <v>1003</v>
      </c>
      <c r="L295" s="115" t="s">
        <v>90</v>
      </c>
      <c r="M295" s="140"/>
      <c r="N295" s="140"/>
      <c r="O295" s="115">
        <v>5</v>
      </c>
      <c r="P295" s="115"/>
      <c r="R295">
        <v>1</v>
      </c>
    </row>
    <row r="296" spans="1:18" s="68" customFormat="1">
      <c r="A296" s="115">
        <v>580004</v>
      </c>
      <c r="B296" s="62">
        <v>12020</v>
      </c>
      <c r="C296" s="75" t="s">
        <v>95</v>
      </c>
      <c r="D296" s="115">
        <v>400</v>
      </c>
      <c r="E296" s="117" t="s">
        <v>19</v>
      </c>
      <c r="F296" s="115">
        <v>406</v>
      </c>
      <c r="G296" s="144" t="s">
        <v>20</v>
      </c>
      <c r="H296" s="62">
        <v>7008</v>
      </c>
      <c r="J296" s="144">
        <v>30</v>
      </c>
      <c r="K296" s="62">
        <v>1510</v>
      </c>
      <c r="L296" s="62" t="s">
        <v>96</v>
      </c>
      <c r="M296" s="62">
        <v>52019</v>
      </c>
      <c r="O296" s="62">
        <v>41</v>
      </c>
      <c r="P296" s="62">
        <v>16</v>
      </c>
    </row>
    <row r="297" spans="1:18" s="68" customFormat="1">
      <c r="A297" s="115">
        <v>580005</v>
      </c>
      <c r="B297" s="62">
        <v>12021</v>
      </c>
      <c r="C297" s="75" t="s">
        <v>110</v>
      </c>
      <c r="D297" s="115">
        <v>400</v>
      </c>
      <c r="E297" s="117" t="s">
        <v>19</v>
      </c>
      <c r="F297" s="115">
        <v>406</v>
      </c>
      <c r="G297" s="144" t="s">
        <v>20</v>
      </c>
      <c r="H297" s="62">
        <v>7009</v>
      </c>
      <c r="J297" s="144">
        <v>30</v>
      </c>
      <c r="K297" s="62">
        <v>1511</v>
      </c>
      <c r="L297" s="62" t="s">
        <v>111</v>
      </c>
      <c r="M297" s="62">
        <v>52020</v>
      </c>
      <c r="O297" s="62">
        <v>42</v>
      </c>
      <c r="P297" s="62">
        <v>17</v>
      </c>
    </row>
    <row r="298" spans="1:18" s="138" customFormat="1">
      <c r="A298" s="63">
        <v>590001</v>
      </c>
      <c r="B298" s="63">
        <v>12004</v>
      </c>
      <c r="C298" s="75" t="s">
        <v>91</v>
      </c>
      <c r="D298" s="63">
        <v>407</v>
      </c>
      <c r="E298" s="154" t="s">
        <v>19</v>
      </c>
      <c r="F298" s="63">
        <v>413</v>
      </c>
      <c r="G298" s="154" t="s">
        <v>20</v>
      </c>
      <c r="H298" s="63">
        <v>1003</v>
      </c>
      <c r="I298" s="63"/>
      <c r="J298" s="154">
        <v>30</v>
      </c>
      <c r="K298" s="63">
        <v>1010</v>
      </c>
      <c r="L298" s="63" t="s">
        <v>92</v>
      </c>
      <c r="M298" s="63">
        <v>52006</v>
      </c>
      <c r="N298" s="63"/>
      <c r="O298" s="63">
        <v>6</v>
      </c>
      <c r="P298" s="63">
        <v>3</v>
      </c>
      <c r="R298">
        <v>1</v>
      </c>
    </row>
    <row r="299" spans="1:18" s="138" customFormat="1">
      <c r="A299" s="63">
        <v>590002</v>
      </c>
      <c r="B299" s="63">
        <v>12009</v>
      </c>
      <c r="C299" s="75" t="s">
        <v>85</v>
      </c>
      <c r="D299" s="63">
        <v>407</v>
      </c>
      <c r="E299" s="154" t="s">
        <v>19</v>
      </c>
      <c r="F299" s="63">
        <v>413</v>
      </c>
      <c r="G299" s="154" t="s">
        <v>20</v>
      </c>
      <c r="K299" s="63">
        <v>1013</v>
      </c>
      <c r="L299" s="63" t="s">
        <v>86</v>
      </c>
      <c r="N299" s="138">
        <v>52011</v>
      </c>
      <c r="O299" s="63">
        <v>33</v>
      </c>
      <c r="P299" s="63"/>
      <c r="R299">
        <v>1</v>
      </c>
    </row>
    <row r="300" spans="1:18" s="138" customFormat="1">
      <c r="A300" s="63">
        <v>590003</v>
      </c>
      <c r="B300" s="63">
        <v>12006</v>
      </c>
      <c r="C300" s="75" t="s">
        <v>89</v>
      </c>
      <c r="D300" s="63">
        <v>407</v>
      </c>
      <c r="E300" s="154" t="s">
        <v>19</v>
      </c>
      <c r="F300" s="63">
        <v>413</v>
      </c>
      <c r="G300" s="154" t="s">
        <v>20</v>
      </c>
      <c r="K300" s="63">
        <v>1003</v>
      </c>
      <c r="L300" s="63" t="s">
        <v>90</v>
      </c>
      <c r="O300" s="63">
        <v>5</v>
      </c>
      <c r="P300" s="63"/>
      <c r="R300">
        <v>1</v>
      </c>
    </row>
    <row r="301" spans="1:18" s="1" customFormat="1">
      <c r="A301" s="63">
        <v>590004</v>
      </c>
      <c r="B301" s="37">
        <v>12018</v>
      </c>
      <c r="C301" s="75" t="s">
        <v>114</v>
      </c>
      <c r="D301" s="63">
        <v>407</v>
      </c>
      <c r="E301" s="154" t="s">
        <v>19</v>
      </c>
      <c r="F301" s="63">
        <v>413</v>
      </c>
      <c r="G301" s="147" t="s">
        <v>20</v>
      </c>
      <c r="H301" s="37">
        <v>7006</v>
      </c>
      <c r="J301" s="147">
        <v>30</v>
      </c>
      <c r="K301" s="37">
        <v>1508</v>
      </c>
      <c r="L301" s="37" t="s">
        <v>115</v>
      </c>
      <c r="M301" s="37">
        <v>52017</v>
      </c>
      <c r="O301" s="37">
        <v>39</v>
      </c>
      <c r="P301" s="37">
        <v>14</v>
      </c>
      <c r="R301">
        <v>1</v>
      </c>
    </row>
    <row r="302" spans="1:18" s="1" customFormat="1">
      <c r="A302" s="63">
        <v>590005</v>
      </c>
      <c r="B302" s="37">
        <v>12019</v>
      </c>
      <c r="C302" s="75" t="s">
        <v>116</v>
      </c>
      <c r="D302" s="63">
        <v>407</v>
      </c>
      <c r="E302" s="154" t="s">
        <v>19</v>
      </c>
      <c r="F302" s="63">
        <v>413</v>
      </c>
      <c r="G302" s="147" t="s">
        <v>20</v>
      </c>
      <c r="H302" s="37">
        <v>7007</v>
      </c>
      <c r="J302" s="147">
        <v>30</v>
      </c>
      <c r="K302" s="37">
        <v>1509</v>
      </c>
      <c r="L302" s="37" t="s">
        <v>117</v>
      </c>
      <c r="M302" s="37">
        <v>52018</v>
      </c>
      <c r="O302" s="37">
        <v>40</v>
      </c>
      <c r="P302" s="37">
        <v>15</v>
      </c>
      <c r="R302">
        <v>1</v>
      </c>
    </row>
    <row r="303" spans="1:18">
      <c r="A303" s="37">
        <v>600001</v>
      </c>
      <c r="B303" s="37">
        <v>12005</v>
      </c>
      <c r="C303" s="75" t="s">
        <v>112</v>
      </c>
      <c r="D303" s="37">
        <f>D300+7</f>
        <v>414</v>
      </c>
      <c r="E303" s="147" t="s">
        <v>19</v>
      </c>
      <c r="F303" s="37">
        <f>F300+7</f>
        <v>420</v>
      </c>
      <c r="G303" s="147" t="s">
        <v>20</v>
      </c>
      <c r="H303" s="37">
        <v>3101</v>
      </c>
      <c r="I303" s="37"/>
      <c r="J303" s="147">
        <v>30</v>
      </c>
      <c r="K303" s="37">
        <v>1011</v>
      </c>
      <c r="L303" s="37" t="s">
        <v>113</v>
      </c>
      <c r="M303" s="37">
        <v>52007</v>
      </c>
      <c r="N303" s="37"/>
      <c r="O303" s="37">
        <v>18</v>
      </c>
      <c r="P303" s="37">
        <v>6</v>
      </c>
      <c r="R303">
        <v>1</v>
      </c>
    </row>
    <row r="304" spans="1:18">
      <c r="A304" s="37">
        <v>600002</v>
      </c>
      <c r="B304" s="37">
        <v>12009</v>
      </c>
      <c r="C304" s="75" t="s">
        <v>85</v>
      </c>
      <c r="D304" s="37">
        <v>414</v>
      </c>
      <c r="E304" s="147" t="s">
        <v>19</v>
      </c>
      <c r="F304" s="37">
        <v>420</v>
      </c>
      <c r="G304" s="147" t="s">
        <v>20</v>
      </c>
      <c r="H304" s="1"/>
      <c r="I304" s="1"/>
      <c r="J304" s="1"/>
      <c r="K304" s="37">
        <v>1013</v>
      </c>
      <c r="L304" s="37" t="s">
        <v>86</v>
      </c>
      <c r="M304" s="1"/>
      <c r="N304" s="1">
        <v>52011</v>
      </c>
      <c r="O304" s="37">
        <v>33</v>
      </c>
      <c r="P304" s="37"/>
      <c r="R304">
        <v>1</v>
      </c>
    </row>
    <row r="305" spans="1:18">
      <c r="A305" s="37">
        <v>600003</v>
      </c>
      <c r="B305" s="37">
        <v>12006</v>
      </c>
      <c r="C305" s="75" t="s">
        <v>89</v>
      </c>
      <c r="D305" s="37">
        <v>414</v>
      </c>
      <c r="E305" s="147" t="s">
        <v>19</v>
      </c>
      <c r="F305" s="37">
        <v>420</v>
      </c>
      <c r="G305" s="147" t="s">
        <v>20</v>
      </c>
      <c r="H305" s="1"/>
      <c r="I305" s="1"/>
      <c r="J305" s="1"/>
      <c r="K305" s="37">
        <v>1003</v>
      </c>
      <c r="L305" s="37" t="s">
        <v>90</v>
      </c>
      <c r="M305" s="1"/>
      <c r="N305" s="1"/>
      <c r="O305" s="37">
        <v>5</v>
      </c>
      <c r="P305" s="37"/>
      <c r="R305">
        <v>1</v>
      </c>
    </row>
    <row r="306" spans="1:18" s="68" customFormat="1" ht="18.95" customHeight="1">
      <c r="A306" s="37">
        <v>600004</v>
      </c>
      <c r="B306" s="62">
        <v>12013</v>
      </c>
      <c r="C306" s="75" t="s">
        <v>104</v>
      </c>
      <c r="D306" s="37">
        <v>414</v>
      </c>
      <c r="E306" s="147" t="s">
        <v>19</v>
      </c>
      <c r="F306" s="37">
        <v>420</v>
      </c>
      <c r="G306" s="144" t="s">
        <v>20</v>
      </c>
      <c r="H306" s="62">
        <v>7001</v>
      </c>
      <c r="J306" s="144">
        <v>30</v>
      </c>
      <c r="K306" s="62">
        <v>1503</v>
      </c>
      <c r="L306" s="62" t="s">
        <v>105</v>
      </c>
      <c r="M306" s="62">
        <v>52012</v>
      </c>
      <c r="N306" s="62"/>
      <c r="O306" s="62">
        <v>34</v>
      </c>
      <c r="P306" s="62">
        <v>9</v>
      </c>
      <c r="R306" s="68">
        <v>1</v>
      </c>
    </row>
    <row r="307" spans="1:18" s="68" customFormat="1">
      <c r="A307" s="37">
        <v>600005</v>
      </c>
      <c r="B307" s="62">
        <v>12014</v>
      </c>
      <c r="C307" s="75" t="s">
        <v>106</v>
      </c>
      <c r="D307" s="37">
        <v>414</v>
      </c>
      <c r="E307" s="147" t="s">
        <v>19</v>
      </c>
      <c r="F307" s="37">
        <v>420</v>
      </c>
      <c r="G307" s="144" t="s">
        <v>20</v>
      </c>
      <c r="H307" s="62">
        <v>7002</v>
      </c>
      <c r="J307" s="144">
        <v>30</v>
      </c>
      <c r="K307" s="62">
        <v>1504</v>
      </c>
      <c r="L307" s="62" t="s">
        <v>107</v>
      </c>
      <c r="M307" s="62">
        <v>52013</v>
      </c>
      <c r="O307" s="62">
        <v>35</v>
      </c>
      <c r="P307" s="62">
        <v>10</v>
      </c>
      <c r="R307" s="68">
        <v>1</v>
      </c>
    </row>
    <row r="308" spans="1:18">
      <c r="A308" s="141">
        <v>610001</v>
      </c>
      <c r="B308" s="141">
        <v>12008</v>
      </c>
      <c r="C308" s="75" t="s">
        <v>118</v>
      </c>
      <c r="D308" s="141">
        <v>421</v>
      </c>
      <c r="E308" s="142" t="s">
        <v>19</v>
      </c>
      <c r="F308" s="141">
        <v>427</v>
      </c>
      <c r="G308" s="142" t="s">
        <v>20</v>
      </c>
      <c r="H308" s="141">
        <v>1002</v>
      </c>
      <c r="I308" s="143"/>
      <c r="J308" s="142">
        <v>30</v>
      </c>
      <c r="K308" s="141">
        <v>1012</v>
      </c>
      <c r="L308" s="141" t="s">
        <v>119</v>
      </c>
      <c r="M308" s="141">
        <v>52008</v>
      </c>
      <c r="N308" s="141"/>
      <c r="O308" s="141">
        <v>22</v>
      </c>
      <c r="P308" s="141">
        <v>7</v>
      </c>
      <c r="R308">
        <v>1</v>
      </c>
    </row>
    <row r="309" spans="1:18">
      <c r="A309" s="141">
        <v>610002</v>
      </c>
      <c r="B309" s="141">
        <v>12009</v>
      </c>
      <c r="C309" s="75" t="s">
        <v>85</v>
      </c>
      <c r="D309" s="141">
        <v>421</v>
      </c>
      <c r="E309" s="142" t="s">
        <v>19</v>
      </c>
      <c r="F309" s="141">
        <v>427</v>
      </c>
      <c r="G309" s="142" t="s">
        <v>20</v>
      </c>
      <c r="H309" s="143"/>
      <c r="I309" s="143"/>
      <c r="J309" s="143"/>
      <c r="K309" s="141">
        <v>1013</v>
      </c>
      <c r="L309" s="141" t="s">
        <v>86</v>
      </c>
      <c r="M309" s="143"/>
      <c r="N309" s="143">
        <v>52011</v>
      </c>
      <c r="O309" s="141">
        <v>33</v>
      </c>
      <c r="P309" s="141"/>
      <c r="R309">
        <v>1</v>
      </c>
    </row>
    <row r="310" spans="1:18">
      <c r="A310" s="141">
        <v>610003</v>
      </c>
      <c r="B310" s="141">
        <v>12006</v>
      </c>
      <c r="C310" s="75" t="s">
        <v>89</v>
      </c>
      <c r="D310" s="141">
        <v>421</v>
      </c>
      <c r="E310" s="142" t="s">
        <v>19</v>
      </c>
      <c r="F310" s="141">
        <v>427</v>
      </c>
      <c r="G310" s="142" t="s">
        <v>20</v>
      </c>
      <c r="H310" s="143"/>
      <c r="I310" s="143"/>
      <c r="J310" s="143"/>
      <c r="K310" s="141">
        <v>1003</v>
      </c>
      <c r="L310" s="141" t="s">
        <v>90</v>
      </c>
      <c r="M310" s="143"/>
      <c r="N310" s="143"/>
      <c r="O310" s="141">
        <v>5</v>
      </c>
      <c r="P310" s="141"/>
      <c r="R310">
        <v>1</v>
      </c>
    </row>
    <row r="311" spans="1:18" s="68" customFormat="1">
      <c r="A311" s="141">
        <v>610004</v>
      </c>
      <c r="B311" s="62">
        <v>12020</v>
      </c>
      <c r="C311" s="75" t="s">
        <v>95</v>
      </c>
      <c r="D311" s="141">
        <v>421</v>
      </c>
      <c r="E311" s="142" t="s">
        <v>19</v>
      </c>
      <c r="F311" s="141">
        <v>427</v>
      </c>
      <c r="G311" s="144" t="s">
        <v>20</v>
      </c>
      <c r="H311" s="62">
        <v>7008</v>
      </c>
      <c r="J311" s="144">
        <v>30</v>
      </c>
      <c r="K311" s="62">
        <v>1510</v>
      </c>
      <c r="L311" s="62" t="s">
        <v>96</v>
      </c>
      <c r="M311" s="62">
        <v>52019</v>
      </c>
      <c r="O311" s="62">
        <v>41</v>
      </c>
      <c r="P311" s="62">
        <v>16</v>
      </c>
    </row>
    <row r="312" spans="1:18" s="68" customFormat="1">
      <c r="A312" s="141">
        <v>610005</v>
      </c>
      <c r="B312" s="62">
        <v>12021</v>
      </c>
      <c r="C312" s="75" t="s">
        <v>110</v>
      </c>
      <c r="D312" s="141">
        <v>421</v>
      </c>
      <c r="E312" s="142" t="s">
        <v>19</v>
      </c>
      <c r="F312" s="141">
        <v>427</v>
      </c>
      <c r="G312" s="144" t="s">
        <v>20</v>
      </c>
      <c r="H312" s="62">
        <v>7009</v>
      </c>
      <c r="J312" s="144">
        <v>30</v>
      </c>
      <c r="K312" s="62">
        <v>1511</v>
      </c>
      <c r="L312" s="62" t="s">
        <v>111</v>
      </c>
      <c r="M312" s="62">
        <v>52020</v>
      </c>
      <c r="O312" s="62">
        <v>42</v>
      </c>
      <c r="P312" s="62">
        <v>17</v>
      </c>
    </row>
    <row r="313" spans="1:18">
      <c r="A313" s="115">
        <v>620001</v>
      </c>
      <c r="B313" s="115">
        <v>12001</v>
      </c>
      <c r="C313" s="75" t="s">
        <v>83</v>
      </c>
      <c r="D313" s="115">
        <v>428</v>
      </c>
      <c r="E313" s="117" t="s">
        <v>19</v>
      </c>
      <c r="F313" s="115">
        <v>434</v>
      </c>
      <c r="G313" s="117" t="s">
        <v>20</v>
      </c>
      <c r="H313" s="115">
        <v>1303</v>
      </c>
      <c r="I313" s="115"/>
      <c r="J313" s="117">
        <v>30</v>
      </c>
      <c r="K313" s="115">
        <v>1002</v>
      </c>
      <c r="L313" s="115" t="s">
        <v>84</v>
      </c>
      <c r="M313" s="115">
        <v>52003</v>
      </c>
      <c r="N313" s="115"/>
      <c r="O313" s="115">
        <v>2</v>
      </c>
      <c r="P313" s="115">
        <v>2</v>
      </c>
      <c r="R313">
        <v>1</v>
      </c>
    </row>
    <row r="314" spans="1:18">
      <c r="A314" s="115">
        <v>620002</v>
      </c>
      <c r="B314" s="115">
        <v>12009</v>
      </c>
      <c r="C314" s="75" t="s">
        <v>85</v>
      </c>
      <c r="D314" s="115">
        <v>428</v>
      </c>
      <c r="E314" s="117" t="s">
        <v>19</v>
      </c>
      <c r="F314" s="115">
        <v>434</v>
      </c>
      <c r="G314" s="117" t="s">
        <v>20</v>
      </c>
      <c r="H314" s="140"/>
      <c r="I314" s="140"/>
      <c r="J314" s="140"/>
      <c r="K314" s="115">
        <v>1013</v>
      </c>
      <c r="L314" s="115" t="s">
        <v>86</v>
      </c>
      <c r="M314" s="140"/>
      <c r="N314" s="140">
        <v>52011</v>
      </c>
      <c r="O314" s="115">
        <v>33</v>
      </c>
      <c r="P314" s="115"/>
      <c r="R314">
        <v>1</v>
      </c>
    </row>
    <row r="315" spans="1:18">
      <c r="A315" s="115">
        <v>620003</v>
      </c>
      <c r="B315" s="115">
        <v>12006</v>
      </c>
      <c r="C315" s="75" t="s">
        <v>89</v>
      </c>
      <c r="D315" s="115">
        <v>428</v>
      </c>
      <c r="E315" s="117" t="s">
        <v>19</v>
      </c>
      <c r="F315" s="115">
        <v>434</v>
      </c>
      <c r="G315" s="117" t="s">
        <v>20</v>
      </c>
      <c r="H315" s="140"/>
      <c r="I315" s="140"/>
      <c r="J315" s="140"/>
      <c r="K315" s="115">
        <v>1003</v>
      </c>
      <c r="L315" s="115" t="s">
        <v>90</v>
      </c>
      <c r="M315" s="140"/>
      <c r="N315" s="140"/>
      <c r="O315" s="115">
        <v>5</v>
      </c>
      <c r="P315" s="115"/>
      <c r="R315">
        <v>1</v>
      </c>
    </row>
    <row r="316" spans="1:18" s="1" customFormat="1">
      <c r="A316" s="115">
        <v>620004</v>
      </c>
      <c r="B316" s="37">
        <v>12018</v>
      </c>
      <c r="C316" s="75" t="s">
        <v>114</v>
      </c>
      <c r="D316" s="115">
        <v>428</v>
      </c>
      <c r="E316" s="117" t="s">
        <v>19</v>
      </c>
      <c r="F316" s="115">
        <v>434</v>
      </c>
      <c r="G316" s="147" t="s">
        <v>20</v>
      </c>
      <c r="H316" s="37">
        <v>7006</v>
      </c>
      <c r="J316" s="147">
        <v>30</v>
      </c>
      <c r="K316" s="37">
        <v>1508</v>
      </c>
      <c r="L316" s="37" t="s">
        <v>115</v>
      </c>
      <c r="M316" s="37">
        <v>52017</v>
      </c>
      <c r="O316" s="37">
        <v>39</v>
      </c>
      <c r="P316" s="37">
        <v>14</v>
      </c>
      <c r="R316">
        <v>1</v>
      </c>
    </row>
    <row r="317" spans="1:18" s="1" customFormat="1">
      <c r="A317" s="115">
        <v>620005</v>
      </c>
      <c r="B317" s="37">
        <v>12019</v>
      </c>
      <c r="C317" s="75" t="s">
        <v>116</v>
      </c>
      <c r="D317" s="115">
        <v>428</v>
      </c>
      <c r="E317" s="117" t="s">
        <v>19</v>
      </c>
      <c r="F317" s="115">
        <v>434</v>
      </c>
      <c r="G317" s="147" t="s">
        <v>20</v>
      </c>
      <c r="H317" s="37">
        <v>7007</v>
      </c>
      <c r="J317" s="147">
        <v>30</v>
      </c>
      <c r="K317" s="37">
        <v>1509</v>
      </c>
      <c r="L317" s="37" t="s">
        <v>117</v>
      </c>
      <c r="M317" s="37">
        <v>52018</v>
      </c>
      <c r="O317" s="37">
        <v>40</v>
      </c>
      <c r="P317" s="37">
        <v>15</v>
      </c>
      <c r="R317">
        <v>1</v>
      </c>
    </row>
    <row r="318" spans="1:18">
      <c r="A318" s="37">
        <v>630001</v>
      </c>
      <c r="B318" s="37">
        <v>12005</v>
      </c>
      <c r="C318" s="75" t="s">
        <v>112</v>
      </c>
      <c r="D318" s="37">
        <f>D315+7</f>
        <v>435</v>
      </c>
      <c r="E318" s="147" t="s">
        <v>19</v>
      </c>
      <c r="F318" s="37">
        <f>F315+7</f>
        <v>441</v>
      </c>
      <c r="G318" s="147" t="s">
        <v>20</v>
      </c>
      <c r="H318" s="37">
        <v>3101</v>
      </c>
      <c r="I318" s="37"/>
      <c r="J318" s="147">
        <v>30</v>
      </c>
      <c r="K318" s="37">
        <v>1011</v>
      </c>
      <c r="L318" s="37" t="s">
        <v>113</v>
      </c>
      <c r="M318" s="37">
        <v>52007</v>
      </c>
      <c r="N318" s="37"/>
      <c r="O318" s="37">
        <v>18</v>
      </c>
      <c r="P318" s="37">
        <v>6</v>
      </c>
      <c r="R318">
        <v>1</v>
      </c>
    </row>
    <row r="319" spans="1:18">
      <c r="A319" s="37">
        <v>630002</v>
      </c>
      <c r="B319" s="37">
        <v>12009</v>
      </c>
      <c r="C319" s="75" t="s">
        <v>85</v>
      </c>
      <c r="D319" s="37">
        <v>435</v>
      </c>
      <c r="E319" s="147" t="s">
        <v>19</v>
      </c>
      <c r="F319" s="37">
        <v>441</v>
      </c>
      <c r="G319" s="147" t="s">
        <v>20</v>
      </c>
      <c r="H319" s="1"/>
      <c r="I319" s="1"/>
      <c r="J319" s="1"/>
      <c r="K319" s="37">
        <v>1013</v>
      </c>
      <c r="L319" s="37" t="s">
        <v>86</v>
      </c>
      <c r="M319" s="1"/>
      <c r="N319" s="1">
        <v>52011</v>
      </c>
      <c r="O319" s="37">
        <v>33</v>
      </c>
      <c r="P319" s="37"/>
      <c r="R319">
        <v>1</v>
      </c>
    </row>
    <row r="320" spans="1:18">
      <c r="A320" s="37">
        <v>630003</v>
      </c>
      <c r="B320" s="37">
        <v>12006</v>
      </c>
      <c r="C320" s="75" t="s">
        <v>89</v>
      </c>
      <c r="D320" s="37">
        <v>435</v>
      </c>
      <c r="E320" s="147" t="s">
        <v>19</v>
      </c>
      <c r="F320" s="37">
        <v>441</v>
      </c>
      <c r="G320" s="147" t="s">
        <v>20</v>
      </c>
      <c r="H320" s="1"/>
      <c r="I320" s="1"/>
      <c r="J320" s="1"/>
      <c r="K320" s="37">
        <v>1003</v>
      </c>
      <c r="L320" s="37" t="s">
        <v>90</v>
      </c>
      <c r="M320" s="1"/>
      <c r="N320" s="1"/>
      <c r="O320" s="37">
        <v>5</v>
      </c>
      <c r="P320" s="37"/>
      <c r="R320">
        <v>1</v>
      </c>
    </row>
    <row r="321" spans="1:18" s="68" customFormat="1" ht="18.95" customHeight="1">
      <c r="A321" s="37">
        <v>630004</v>
      </c>
      <c r="B321" s="62">
        <v>12013</v>
      </c>
      <c r="C321" s="75" t="s">
        <v>104</v>
      </c>
      <c r="D321" s="37">
        <v>435</v>
      </c>
      <c r="E321" s="147" t="s">
        <v>19</v>
      </c>
      <c r="F321" s="37">
        <v>441</v>
      </c>
      <c r="G321" s="144" t="s">
        <v>20</v>
      </c>
      <c r="H321" s="62">
        <v>7001</v>
      </c>
      <c r="J321" s="144">
        <v>30</v>
      </c>
      <c r="K321" s="62">
        <v>1503</v>
      </c>
      <c r="L321" s="62" t="s">
        <v>105</v>
      </c>
      <c r="M321" s="62">
        <v>52012</v>
      </c>
      <c r="N321" s="62"/>
      <c r="O321" s="62">
        <v>34</v>
      </c>
      <c r="P321" s="62">
        <v>9</v>
      </c>
      <c r="R321" s="68">
        <v>1</v>
      </c>
    </row>
    <row r="322" spans="1:18" s="68" customFormat="1">
      <c r="A322" s="37">
        <v>630005</v>
      </c>
      <c r="B322" s="62">
        <v>12014</v>
      </c>
      <c r="C322" s="75" t="s">
        <v>106</v>
      </c>
      <c r="D322" s="37">
        <v>435</v>
      </c>
      <c r="E322" s="147" t="s">
        <v>19</v>
      </c>
      <c r="F322" s="37">
        <v>441</v>
      </c>
      <c r="G322" s="144" t="s">
        <v>20</v>
      </c>
      <c r="H322" s="62">
        <v>7002</v>
      </c>
      <c r="J322" s="144">
        <v>30</v>
      </c>
      <c r="K322" s="62">
        <v>1504</v>
      </c>
      <c r="L322" s="62" t="s">
        <v>107</v>
      </c>
      <c r="M322" s="62">
        <v>52013</v>
      </c>
      <c r="O322" s="62">
        <v>35</v>
      </c>
      <c r="P322" s="62">
        <v>10</v>
      </c>
      <c r="R322" s="68">
        <v>1</v>
      </c>
    </row>
    <row r="323" spans="1:18">
      <c r="A323" s="141">
        <v>640001</v>
      </c>
      <c r="B323" s="141">
        <v>12008</v>
      </c>
      <c r="C323" s="75" t="s">
        <v>118</v>
      </c>
      <c r="D323" s="141">
        <f>D320+7</f>
        <v>442</v>
      </c>
      <c r="E323" s="142" t="s">
        <v>19</v>
      </c>
      <c r="F323" s="141">
        <f>F320+7</f>
        <v>448</v>
      </c>
      <c r="G323" s="142" t="s">
        <v>20</v>
      </c>
      <c r="H323" s="141">
        <v>1002</v>
      </c>
      <c r="I323" s="143"/>
      <c r="J323" s="142">
        <v>30</v>
      </c>
      <c r="K323" s="141">
        <v>1012</v>
      </c>
      <c r="L323" s="141" t="s">
        <v>119</v>
      </c>
      <c r="M323" s="141">
        <v>52008</v>
      </c>
      <c r="N323" s="141"/>
      <c r="O323" s="141">
        <v>22</v>
      </c>
      <c r="P323" s="141">
        <v>7</v>
      </c>
      <c r="R323">
        <v>1</v>
      </c>
    </row>
    <row r="324" spans="1:18">
      <c r="A324" s="141">
        <v>640002</v>
      </c>
      <c r="B324" s="141">
        <v>12009</v>
      </c>
      <c r="C324" s="75" t="s">
        <v>85</v>
      </c>
      <c r="D324" s="141">
        <v>442</v>
      </c>
      <c r="E324" s="142" t="s">
        <v>19</v>
      </c>
      <c r="F324" s="141">
        <v>448</v>
      </c>
      <c r="G324" s="142" t="s">
        <v>20</v>
      </c>
      <c r="H324" s="143"/>
      <c r="I324" s="143"/>
      <c r="J324" s="143"/>
      <c r="K324" s="141">
        <v>1013</v>
      </c>
      <c r="L324" s="141" t="s">
        <v>86</v>
      </c>
      <c r="M324" s="143"/>
      <c r="N324" s="143">
        <v>52011</v>
      </c>
      <c r="O324" s="141">
        <v>33</v>
      </c>
      <c r="P324" s="141"/>
      <c r="R324">
        <v>1</v>
      </c>
    </row>
    <row r="325" spans="1:18">
      <c r="A325" s="141">
        <v>640003</v>
      </c>
      <c r="B325" s="141">
        <v>12006</v>
      </c>
      <c r="C325" s="75" t="s">
        <v>89</v>
      </c>
      <c r="D325" s="141">
        <v>442</v>
      </c>
      <c r="E325" s="142" t="s">
        <v>19</v>
      </c>
      <c r="F325" s="141">
        <v>448</v>
      </c>
      <c r="G325" s="142" t="s">
        <v>20</v>
      </c>
      <c r="H325" s="143"/>
      <c r="I325" s="143"/>
      <c r="J325" s="143"/>
      <c r="K325" s="141">
        <v>1003</v>
      </c>
      <c r="L325" s="141" t="s">
        <v>90</v>
      </c>
      <c r="M325" s="143"/>
      <c r="N325" s="143"/>
      <c r="O325" s="141">
        <v>5</v>
      </c>
      <c r="P325" s="141"/>
      <c r="R325">
        <v>1</v>
      </c>
    </row>
    <row r="326" spans="1:18" s="68" customFormat="1" ht="21" customHeight="1">
      <c r="A326" s="141">
        <v>640004</v>
      </c>
      <c r="B326" s="62">
        <v>12020</v>
      </c>
      <c r="C326" s="75" t="s">
        <v>95</v>
      </c>
      <c r="D326" s="141">
        <v>442</v>
      </c>
      <c r="E326" s="142" t="s">
        <v>19</v>
      </c>
      <c r="F326" s="141">
        <v>448</v>
      </c>
      <c r="G326" s="144" t="s">
        <v>20</v>
      </c>
      <c r="H326" s="62">
        <v>7008</v>
      </c>
      <c r="J326" s="144">
        <v>30</v>
      </c>
      <c r="K326" s="62">
        <v>1510</v>
      </c>
      <c r="L326" s="62" t="s">
        <v>96</v>
      </c>
      <c r="M326" s="62">
        <v>52019</v>
      </c>
      <c r="O326" s="62">
        <v>41</v>
      </c>
      <c r="P326" s="62">
        <v>16</v>
      </c>
    </row>
    <row r="327" spans="1:18" s="68" customFormat="1">
      <c r="A327" s="141">
        <v>640005</v>
      </c>
      <c r="B327" s="62">
        <v>12021</v>
      </c>
      <c r="C327" s="75" t="s">
        <v>110</v>
      </c>
      <c r="D327" s="141">
        <v>442</v>
      </c>
      <c r="E327" s="142" t="s">
        <v>19</v>
      </c>
      <c r="F327" s="141">
        <v>448</v>
      </c>
      <c r="G327" s="144" t="s">
        <v>20</v>
      </c>
      <c r="H327" s="62">
        <v>7009</v>
      </c>
      <c r="J327" s="144">
        <v>30</v>
      </c>
      <c r="K327" s="62">
        <v>1511</v>
      </c>
      <c r="L327" s="62" t="s">
        <v>111</v>
      </c>
      <c r="M327" s="62">
        <v>52020</v>
      </c>
      <c r="O327" s="62">
        <v>42</v>
      </c>
      <c r="P327" s="62">
        <v>17</v>
      </c>
    </row>
    <row r="328" spans="1:18">
      <c r="A328" s="115">
        <v>650001</v>
      </c>
      <c r="B328" s="115">
        <v>12001</v>
      </c>
      <c r="C328" s="75" t="s">
        <v>83</v>
      </c>
      <c r="D328" s="115">
        <f>D325+7</f>
        <v>449</v>
      </c>
      <c r="E328" s="117" t="s">
        <v>19</v>
      </c>
      <c r="F328" s="115">
        <f>F325+7</f>
        <v>455</v>
      </c>
      <c r="G328" s="117" t="s">
        <v>20</v>
      </c>
      <c r="H328" s="115">
        <v>1303</v>
      </c>
      <c r="I328" s="115"/>
      <c r="J328" s="117">
        <v>30</v>
      </c>
      <c r="K328" s="115">
        <v>1002</v>
      </c>
      <c r="L328" s="115" t="s">
        <v>84</v>
      </c>
      <c r="M328" s="115">
        <v>52003</v>
      </c>
      <c r="N328" s="115"/>
      <c r="O328" s="115">
        <v>2</v>
      </c>
      <c r="P328" s="115">
        <v>2</v>
      </c>
      <c r="R328">
        <v>1</v>
      </c>
    </row>
    <row r="329" spans="1:18">
      <c r="A329" s="115">
        <v>650002</v>
      </c>
      <c r="B329" s="115">
        <v>12009</v>
      </c>
      <c r="C329" s="75" t="s">
        <v>85</v>
      </c>
      <c r="D329" s="115">
        <v>449</v>
      </c>
      <c r="E329" s="117" t="s">
        <v>19</v>
      </c>
      <c r="F329" s="115">
        <v>455</v>
      </c>
      <c r="G329" s="117" t="s">
        <v>20</v>
      </c>
      <c r="H329" s="140"/>
      <c r="I329" s="140"/>
      <c r="J329" s="140"/>
      <c r="K329" s="115">
        <v>1013</v>
      </c>
      <c r="L329" s="115" t="s">
        <v>86</v>
      </c>
      <c r="M329" s="140"/>
      <c r="N329" s="140">
        <v>52011</v>
      </c>
      <c r="O329" s="115">
        <v>33</v>
      </c>
      <c r="P329" s="115"/>
      <c r="R329">
        <v>1</v>
      </c>
    </row>
    <row r="330" spans="1:18">
      <c r="A330" s="115">
        <v>650003</v>
      </c>
      <c r="B330" s="115">
        <v>12006</v>
      </c>
      <c r="C330" s="75" t="s">
        <v>89</v>
      </c>
      <c r="D330" s="115">
        <v>449</v>
      </c>
      <c r="E330" s="117" t="s">
        <v>19</v>
      </c>
      <c r="F330" s="115">
        <v>455</v>
      </c>
      <c r="G330" s="117" t="s">
        <v>20</v>
      </c>
      <c r="H330" s="140"/>
      <c r="I330" s="140"/>
      <c r="J330" s="140"/>
      <c r="K330" s="115">
        <v>1003</v>
      </c>
      <c r="L330" s="115" t="s">
        <v>90</v>
      </c>
      <c r="M330" s="140"/>
      <c r="N330" s="140"/>
      <c r="O330" s="115">
        <v>5</v>
      </c>
      <c r="P330" s="115"/>
      <c r="R330">
        <v>1</v>
      </c>
    </row>
    <row r="331" spans="1:18" s="1" customFormat="1">
      <c r="A331" s="115">
        <v>650004</v>
      </c>
      <c r="B331" s="37">
        <v>12018</v>
      </c>
      <c r="C331" s="75" t="s">
        <v>114</v>
      </c>
      <c r="D331" s="115">
        <v>449</v>
      </c>
      <c r="E331" s="117" t="s">
        <v>19</v>
      </c>
      <c r="F331" s="115">
        <v>455</v>
      </c>
      <c r="G331" s="147" t="s">
        <v>20</v>
      </c>
      <c r="H331" s="37">
        <v>7006</v>
      </c>
      <c r="J331" s="147">
        <v>30</v>
      </c>
      <c r="K331" s="37">
        <v>1508</v>
      </c>
      <c r="L331" s="37" t="s">
        <v>115</v>
      </c>
      <c r="M331" s="37">
        <v>52017</v>
      </c>
      <c r="O331" s="37">
        <v>39</v>
      </c>
      <c r="P331" s="37">
        <v>14</v>
      </c>
      <c r="R331">
        <v>1</v>
      </c>
    </row>
    <row r="332" spans="1:18" s="1" customFormat="1">
      <c r="A332" s="115">
        <v>650005</v>
      </c>
      <c r="B332" s="37">
        <v>12019</v>
      </c>
      <c r="C332" s="75" t="s">
        <v>116</v>
      </c>
      <c r="D332" s="115">
        <v>449</v>
      </c>
      <c r="E332" s="117" t="s">
        <v>19</v>
      </c>
      <c r="F332" s="115">
        <v>455</v>
      </c>
      <c r="G332" s="147" t="s">
        <v>20</v>
      </c>
      <c r="H332" s="37">
        <v>7007</v>
      </c>
      <c r="J332" s="147">
        <v>30</v>
      </c>
      <c r="K332" s="37">
        <v>1509</v>
      </c>
      <c r="L332" s="37" t="s">
        <v>117</v>
      </c>
      <c r="M332" s="37">
        <v>52018</v>
      </c>
      <c r="O332" s="37">
        <v>40</v>
      </c>
      <c r="P332" s="37">
        <v>15</v>
      </c>
      <c r="R332">
        <v>1</v>
      </c>
    </row>
    <row r="333" spans="1:18">
      <c r="A333" s="37">
        <v>660001</v>
      </c>
      <c r="B333" s="37">
        <v>12005</v>
      </c>
      <c r="C333" s="75" t="s">
        <v>112</v>
      </c>
      <c r="D333" s="37">
        <f>D330+7</f>
        <v>456</v>
      </c>
      <c r="E333" s="147" t="s">
        <v>19</v>
      </c>
      <c r="F333" s="37">
        <f>F330+7</f>
        <v>462</v>
      </c>
      <c r="G333" s="147" t="s">
        <v>20</v>
      </c>
      <c r="H333" s="37">
        <v>3101</v>
      </c>
      <c r="I333" s="37"/>
      <c r="J333" s="147">
        <v>30</v>
      </c>
      <c r="K333" s="37">
        <v>1011</v>
      </c>
      <c r="L333" s="37" t="s">
        <v>113</v>
      </c>
      <c r="M333" s="37">
        <v>52007</v>
      </c>
      <c r="N333" s="37"/>
      <c r="O333" s="37">
        <v>18</v>
      </c>
      <c r="P333" s="37">
        <v>6</v>
      </c>
      <c r="R333">
        <v>1</v>
      </c>
    </row>
    <row r="334" spans="1:18">
      <c r="A334" s="37">
        <v>660002</v>
      </c>
      <c r="B334" s="37">
        <v>12009</v>
      </c>
      <c r="C334" s="75" t="s">
        <v>85</v>
      </c>
      <c r="D334" s="37">
        <v>456</v>
      </c>
      <c r="E334" s="147" t="s">
        <v>19</v>
      </c>
      <c r="F334" s="37">
        <v>462</v>
      </c>
      <c r="G334" s="147" t="s">
        <v>20</v>
      </c>
      <c r="H334" s="1"/>
      <c r="I334" s="1"/>
      <c r="J334" s="1"/>
      <c r="K334" s="37">
        <v>1013</v>
      </c>
      <c r="L334" s="37" t="s">
        <v>86</v>
      </c>
      <c r="M334" s="1"/>
      <c r="N334" s="1">
        <v>52011</v>
      </c>
      <c r="O334" s="37">
        <v>33</v>
      </c>
      <c r="P334" s="37"/>
      <c r="R334">
        <v>1</v>
      </c>
    </row>
    <row r="335" spans="1:18">
      <c r="A335" s="37">
        <v>660003</v>
      </c>
      <c r="B335" s="37">
        <v>12006</v>
      </c>
      <c r="C335" s="75" t="s">
        <v>89</v>
      </c>
      <c r="D335" s="37">
        <v>456</v>
      </c>
      <c r="E335" s="147" t="s">
        <v>19</v>
      </c>
      <c r="F335" s="37">
        <v>462</v>
      </c>
      <c r="G335" s="147" t="s">
        <v>20</v>
      </c>
      <c r="H335" s="1"/>
      <c r="I335" s="1"/>
      <c r="J335" s="1"/>
      <c r="K335" s="37">
        <v>1003</v>
      </c>
      <c r="L335" s="37" t="s">
        <v>90</v>
      </c>
      <c r="M335" s="1"/>
      <c r="N335" s="1"/>
      <c r="O335" s="37">
        <v>5</v>
      </c>
      <c r="P335" s="37"/>
      <c r="R335">
        <v>1</v>
      </c>
    </row>
    <row r="336" spans="1:18" s="68" customFormat="1" ht="18.95" customHeight="1">
      <c r="A336" s="37">
        <v>660004</v>
      </c>
      <c r="B336" s="62">
        <v>12013</v>
      </c>
      <c r="C336" s="75" t="s">
        <v>104</v>
      </c>
      <c r="D336" s="37">
        <v>456</v>
      </c>
      <c r="E336" s="147" t="s">
        <v>19</v>
      </c>
      <c r="F336" s="37">
        <v>462</v>
      </c>
      <c r="G336" s="144" t="s">
        <v>20</v>
      </c>
      <c r="H336" s="62">
        <v>7001</v>
      </c>
      <c r="J336" s="144">
        <v>30</v>
      </c>
      <c r="K336" s="62">
        <v>1503</v>
      </c>
      <c r="L336" s="62" t="s">
        <v>105</v>
      </c>
      <c r="M336" s="62">
        <v>52012</v>
      </c>
      <c r="N336" s="62"/>
      <c r="O336" s="62">
        <v>34</v>
      </c>
      <c r="P336" s="62">
        <v>9</v>
      </c>
      <c r="R336" s="68">
        <v>1</v>
      </c>
    </row>
    <row r="337" spans="1:18" s="68" customFormat="1">
      <c r="A337" s="37">
        <v>660005</v>
      </c>
      <c r="B337" s="62">
        <v>12014</v>
      </c>
      <c r="C337" s="75" t="s">
        <v>106</v>
      </c>
      <c r="D337" s="37">
        <v>456</v>
      </c>
      <c r="E337" s="147" t="s">
        <v>19</v>
      </c>
      <c r="F337" s="37">
        <v>462</v>
      </c>
      <c r="G337" s="144" t="s">
        <v>20</v>
      </c>
      <c r="H337" s="62">
        <v>7002</v>
      </c>
      <c r="J337" s="144">
        <v>30</v>
      </c>
      <c r="K337" s="62">
        <v>1504</v>
      </c>
      <c r="L337" s="62" t="s">
        <v>107</v>
      </c>
      <c r="M337" s="62">
        <v>52013</v>
      </c>
      <c r="O337" s="62">
        <v>35</v>
      </c>
      <c r="P337" s="62">
        <v>10</v>
      </c>
      <c r="R337" s="68">
        <v>1</v>
      </c>
    </row>
    <row r="338" spans="1:18">
      <c r="A338" s="141">
        <v>670001</v>
      </c>
      <c r="B338" s="141">
        <v>12008</v>
      </c>
      <c r="C338" s="75" t="s">
        <v>118</v>
      </c>
      <c r="D338" s="141">
        <f>D335+7</f>
        <v>463</v>
      </c>
      <c r="E338" s="142" t="s">
        <v>19</v>
      </c>
      <c r="F338" s="141">
        <f>F335+7</f>
        <v>469</v>
      </c>
      <c r="G338" s="142" t="s">
        <v>20</v>
      </c>
      <c r="H338" s="141">
        <v>1002</v>
      </c>
      <c r="I338" s="143"/>
      <c r="J338" s="142">
        <v>30</v>
      </c>
      <c r="K338" s="141">
        <v>1012</v>
      </c>
      <c r="L338" s="141" t="s">
        <v>119</v>
      </c>
      <c r="M338" s="141">
        <v>52008</v>
      </c>
      <c r="N338" s="141"/>
      <c r="O338" s="141">
        <v>22</v>
      </c>
      <c r="P338" s="141">
        <v>7</v>
      </c>
      <c r="R338">
        <v>1</v>
      </c>
    </row>
    <row r="339" spans="1:18">
      <c r="A339" s="141">
        <v>670002</v>
      </c>
      <c r="B339" s="141">
        <v>12009</v>
      </c>
      <c r="C339" s="75" t="s">
        <v>85</v>
      </c>
      <c r="D339" s="141">
        <v>463</v>
      </c>
      <c r="E339" s="142" t="s">
        <v>19</v>
      </c>
      <c r="F339" s="141">
        <v>469</v>
      </c>
      <c r="G339" s="142" t="s">
        <v>20</v>
      </c>
      <c r="H339" s="143"/>
      <c r="I339" s="143"/>
      <c r="J339" s="143"/>
      <c r="K339" s="141">
        <v>1013</v>
      </c>
      <c r="L339" s="141" t="s">
        <v>86</v>
      </c>
      <c r="M339" s="143"/>
      <c r="N339" s="143">
        <v>52011</v>
      </c>
      <c r="O339" s="141">
        <v>33</v>
      </c>
      <c r="P339" s="141"/>
      <c r="R339">
        <v>1</v>
      </c>
    </row>
    <row r="340" spans="1:18">
      <c r="A340" s="141">
        <v>670003</v>
      </c>
      <c r="B340" s="141">
        <v>12006</v>
      </c>
      <c r="C340" s="75" t="s">
        <v>89</v>
      </c>
      <c r="D340" s="141">
        <v>463</v>
      </c>
      <c r="E340" s="142" t="s">
        <v>19</v>
      </c>
      <c r="F340" s="141">
        <v>469</v>
      </c>
      <c r="G340" s="142" t="s">
        <v>20</v>
      </c>
      <c r="H340" s="143"/>
      <c r="I340" s="143"/>
      <c r="J340" s="143"/>
      <c r="K340" s="141">
        <v>1003</v>
      </c>
      <c r="L340" s="141" t="s">
        <v>90</v>
      </c>
      <c r="M340" s="143"/>
      <c r="N340" s="143"/>
      <c r="O340" s="141">
        <v>5</v>
      </c>
      <c r="P340" s="141"/>
      <c r="R340">
        <v>1</v>
      </c>
    </row>
    <row r="341" spans="1:18" s="68" customFormat="1" ht="21" customHeight="1">
      <c r="A341" s="141">
        <v>670004</v>
      </c>
      <c r="B341" s="62">
        <v>12020</v>
      </c>
      <c r="C341" s="75" t="s">
        <v>95</v>
      </c>
      <c r="D341" s="141">
        <v>463</v>
      </c>
      <c r="E341" s="142" t="s">
        <v>19</v>
      </c>
      <c r="F341" s="141">
        <v>469</v>
      </c>
      <c r="G341" s="144" t="s">
        <v>20</v>
      </c>
      <c r="H341" s="62">
        <v>7008</v>
      </c>
      <c r="J341" s="144">
        <v>30</v>
      </c>
      <c r="K341" s="62">
        <v>1510</v>
      </c>
      <c r="L341" s="62" t="s">
        <v>96</v>
      </c>
      <c r="M341" s="62">
        <v>52019</v>
      </c>
      <c r="O341" s="62">
        <v>41</v>
      </c>
      <c r="P341" s="62">
        <v>16</v>
      </c>
    </row>
    <row r="342" spans="1:18" s="68" customFormat="1">
      <c r="A342" s="141">
        <v>670005</v>
      </c>
      <c r="B342" s="62">
        <v>12021</v>
      </c>
      <c r="C342" s="75" t="s">
        <v>110</v>
      </c>
      <c r="D342" s="141">
        <v>463</v>
      </c>
      <c r="E342" s="142" t="s">
        <v>19</v>
      </c>
      <c r="F342" s="141">
        <v>469</v>
      </c>
      <c r="G342" s="144" t="s">
        <v>20</v>
      </c>
      <c r="H342" s="62">
        <v>7009</v>
      </c>
      <c r="J342" s="144">
        <v>30</v>
      </c>
      <c r="K342" s="62">
        <v>1511</v>
      </c>
      <c r="L342" s="62" t="s">
        <v>111</v>
      </c>
      <c r="M342" s="62">
        <v>52020</v>
      </c>
      <c r="O342" s="62">
        <v>42</v>
      </c>
      <c r="P342" s="62">
        <v>17</v>
      </c>
    </row>
    <row r="343" spans="1:18">
      <c r="A343" s="115">
        <v>680001</v>
      </c>
      <c r="B343" s="115">
        <v>12001</v>
      </c>
      <c r="C343" s="75" t="s">
        <v>83</v>
      </c>
      <c r="D343" s="115">
        <f>D340+7</f>
        <v>470</v>
      </c>
      <c r="E343" s="117" t="s">
        <v>19</v>
      </c>
      <c r="F343" s="115">
        <f>F340+7</f>
        <v>476</v>
      </c>
      <c r="G343" s="117" t="s">
        <v>20</v>
      </c>
      <c r="H343" s="115">
        <v>1303</v>
      </c>
      <c r="I343" s="115"/>
      <c r="J343" s="117">
        <v>30</v>
      </c>
      <c r="K343" s="115">
        <v>1002</v>
      </c>
      <c r="L343" s="115" t="s">
        <v>84</v>
      </c>
      <c r="M343" s="115">
        <v>52003</v>
      </c>
      <c r="N343" s="115"/>
      <c r="O343" s="115">
        <v>2</v>
      </c>
      <c r="P343" s="115">
        <v>2</v>
      </c>
      <c r="R343">
        <v>1</v>
      </c>
    </row>
    <row r="344" spans="1:18">
      <c r="A344" s="115">
        <v>680002</v>
      </c>
      <c r="B344" s="115">
        <v>12009</v>
      </c>
      <c r="C344" s="75" t="s">
        <v>85</v>
      </c>
      <c r="D344" s="115">
        <v>470</v>
      </c>
      <c r="E344" s="117" t="s">
        <v>19</v>
      </c>
      <c r="F344" s="115">
        <v>476</v>
      </c>
      <c r="G344" s="117" t="s">
        <v>20</v>
      </c>
      <c r="H344" s="140"/>
      <c r="I344" s="140"/>
      <c r="J344" s="140"/>
      <c r="K344" s="115">
        <v>1013</v>
      </c>
      <c r="L344" s="115" t="s">
        <v>86</v>
      </c>
      <c r="M344" s="140"/>
      <c r="N344" s="140">
        <v>52011</v>
      </c>
      <c r="O344" s="115">
        <v>33</v>
      </c>
      <c r="P344" s="115"/>
      <c r="R344">
        <v>1</v>
      </c>
    </row>
    <row r="345" spans="1:18">
      <c r="A345" s="115">
        <v>680003</v>
      </c>
      <c r="B345" s="115">
        <v>12006</v>
      </c>
      <c r="C345" s="75" t="s">
        <v>89</v>
      </c>
      <c r="D345" s="115">
        <v>470</v>
      </c>
      <c r="E345" s="117" t="s">
        <v>19</v>
      </c>
      <c r="F345" s="115">
        <v>476</v>
      </c>
      <c r="G345" s="117" t="s">
        <v>20</v>
      </c>
      <c r="H345" s="140"/>
      <c r="I345" s="140"/>
      <c r="J345" s="140"/>
      <c r="K345" s="115">
        <v>1003</v>
      </c>
      <c r="L345" s="115" t="s">
        <v>90</v>
      </c>
      <c r="M345" s="140"/>
      <c r="N345" s="140"/>
      <c r="O345" s="115">
        <v>5</v>
      </c>
      <c r="P345" s="115"/>
      <c r="R345">
        <v>1</v>
      </c>
    </row>
    <row r="346" spans="1:18" s="1" customFormat="1">
      <c r="A346" s="115">
        <v>680004</v>
      </c>
      <c r="B346" s="37">
        <v>12018</v>
      </c>
      <c r="C346" s="75" t="s">
        <v>114</v>
      </c>
      <c r="D346" s="115">
        <v>470</v>
      </c>
      <c r="E346" s="117" t="s">
        <v>19</v>
      </c>
      <c r="F346" s="115">
        <v>476</v>
      </c>
      <c r="G346" s="147" t="s">
        <v>20</v>
      </c>
      <c r="H346" s="37">
        <v>7006</v>
      </c>
      <c r="J346" s="147">
        <v>30</v>
      </c>
      <c r="K346" s="37">
        <v>1508</v>
      </c>
      <c r="L346" s="37" t="s">
        <v>115</v>
      </c>
      <c r="M346" s="37">
        <v>52017</v>
      </c>
      <c r="O346" s="37">
        <v>39</v>
      </c>
      <c r="P346" s="37">
        <v>14</v>
      </c>
      <c r="R346">
        <v>1</v>
      </c>
    </row>
    <row r="347" spans="1:18" s="1" customFormat="1">
      <c r="A347" s="115">
        <v>680005</v>
      </c>
      <c r="B347" s="37">
        <v>12019</v>
      </c>
      <c r="C347" s="75" t="s">
        <v>116</v>
      </c>
      <c r="D347" s="115">
        <v>470</v>
      </c>
      <c r="E347" s="117" t="s">
        <v>19</v>
      </c>
      <c r="F347" s="115">
        <v>476</v>
      </c>
      <c r="G347" s="147" t="s">
        <v>20</v>
      </c>
      <c r="H347" s="37">
        <v>7007</v>
      </c>
      <c r="J347" s="147">
        <v>30</v>
      </c>
      <c r="K347" s="37">
        <v>1509</v>
      </c>
      <c r="L347" s="37" t="s">
        <v>117</v>
      </c>
      <c r="M347" s="37">
        <v>52018</v>
      </c>
      <c r="O347" s="37">
        <v>40</v>
      </c>
      <c r="P347" s="37">
        <v>15</v>
      </c>
      <c r="R347">
        <v>1</v>
      </c>
    </row>
    <row r="348" spans="1:18">
      <c r="A348" s="37">
        <v>690001</v>
      </c>
      <c r="B348" s="37">
        <v>12005</v>
      </c>
      <c r="C348" s="75" t="s">
        <v>112</v>
      </c>
      <c r="D348" s="37">
        <f>D345+7</f>
        <v>477</v>
      </c>
      <c r="E348" s="147" t="s">
        <v>19</v>
      </c>
      <c r="F348" s="37">
        <f>F345+7</f>
        <v>483</v>
      </c>
      <c r="G348" s="147" t="s">
        <v>20</v>
      </c>
      <c r="H348" s="37">
        <v>3101</v>
      </c>
      <c r="I348" s="37"/>
      <c r="J348" s="147">
        <v>30</v>
      </c>
      <c r="K348" s="37">
        <v>1011</v>
      </c>
      <c r="L348" s="37" t="s">
        <v>113</v>
      </c>
      <c r="M348" s="37">
        <v>52007</v>
      </c>
      <c r="N348" s="37"/>
      <c r="O348" s="37">
        <v>18</v>
      </c>
      <c r="P348" s="37">
        <v>6</v>
      </c>
      <c r="R348">
        <v>1</v>
      </c>
    </row>
    <row r="349" spans="1:18">
      <c r="A349" s="37">
        <v>690002</v>
      </c>
      <c r="B349" s="37">
        <v>12009</v>
      </c>
      <c r="C349" s="75" t="s">
        <v>85</v>
      </c>
      <c r="D349" s="37">
        <v>477</v>
      </c>
      <c r="E349" s="147" t="s">
        <v>19</v>
      </c>
      <c r="F349" s="37">
        <v>483</v>
      </c>
      <c r="G349" s="147" t="s">
        <v>20</v>
      </c>
      <c r="H349" s="1"/>
      <c r="I349" s="1"/>
      <c r="J349" s="1"/>
      <c r="K349" s="37">
        <v>1013</v>
      </c>
      <c r="L349" s="37" t="s">
        <v>86</v>
      </c>
      <c r="M349" s="1"/>
      <c r="N349" s="1">
        <v>52011</v>
      </c>
      <c r="O349" s="37">
        <v>33</v>
      </c>
      <c r="P349" s="37"/>
      <c r="R349">
        <v>1</v>
      </c>
    </row>
    <row r="350" spans="1:18">
      <c r="A350" s="37">
        <v>690003</v>
      </c>
      <c r="B350" s="37">
        <v>12006</v>
      </c>
      <c r="C350" s="75" t="s">
        <v>89</v>
      </c>
      <c r="D350" s="37">
        <v>477</v>
      </c>
      <c r="E350" s="147" t="s">
        <v>19</v>
      </c>
      <c r="F350" s="37">
        <v>483</v>
      </c>
      <c r="G350" s="147" t="s">
        <v>20</v>
      </c>
      <c r="H350" s="1"/>
      <c r="I350" s="1"/>
      <c r="J350" s="1"/>
      <c r="K350" s="37">
        <v>1003</v>
      </c>
      <c r="L350" s="37" t="s">
        <v>90</v>
      </c>
      <c r="M350" s="1"/>
      <c r="N350" s="1"/>
      <c r="O350" s="37">
        <v>5</v>
      </c>
      <c r="P350" s="37"/>
      <c r="R350">
        <v>1</v>
      </c>
    </row>
    <row r="351" spans="1:18" s="68" customFormat="1" ht="18.95" customHeight="1">
      <c r="A351" s="37">
        <v>690004</v>
      </c>
      <c r="B351" s="62">
        <v>12013</v>
      </c>
      <c r="C351" s="75" t="s">
        <v>104</v>
      </c>
      <c r="D351" s="37">
        <v>477</v>
      </c>
      <c r="E351" s="147" t="s">
        <v>19</v>
      </c>
      <c r="F351" s="37">
        <v>483</v>
      </c>
      <c r="G351" s="144" t="s">
        <v>20</v>
      </c>
      <c r="H351" s="62">
        <v>7001</v>
      </c>
      <c r="J351" s="144">
        <v>30</v>
      </c>
      <c r="K351" s="62">
        <v>1503</v>
      </c>
      <c r="L351" s="62" t="s">
        <v>105</v>
      </c>
      <c r="M351" s="62">
        <v>52012</v>
      </c>
      <c r="N351" s="62"/>
      <c r="O351" s="62">
        <v>34</v>
      </c>
      <c r="P351" s="62">
        <v>9</v>
      </c>
      <c r="R351" s="68">
        <v>1</v>
      </c>
    </row>
    <row r="352" spans="1:18" s="68" customFormat="1">
      <c r="A352" s="37">
        <v>690005</v>
      </c>
      <c r="B352" s="62">
        <v>12014</v>
      </c>
      <c r="C352" s="75" t="s">
        <v>106</v>
      </c>
      <c r="D352" s="37">
        <v>477</v>
      </c>
      <c r="E352" s="147" t="s">
        <v>19</v>
      </c>
      <c r="F352" s="37">
        <v>483</v>
      </c>
      <c r="G352" s="144" t="s">
        <v>20</v>
      </c>
      <c r="H352" s="62">
        <v>7002</v>
      </c>
      <c r="J352" s="144">
        <v>30</v>
      </c>
      <c r="K352" s="62">
        <v>1504</v>
      </c>
      <c r="L352" s="62" t="s">
        <v>107</v>
      </c>
      <c r="M352" s="62">
        <v>52013</v>
      </c>
      <c r="O352" s="62">
        <v>35</v>
      </c>
      <c r="P352" s="62">
        <v>10</v>
      </c>
      <c r="R352" s="68">
        <v>1</v>
      </c>
    </row>
    <row r="353" spans="1:18">
      <c r="A353" s="141">
        <v>700001</v>
      </c>
      <c r="B353" s="141">
        <v>12008</v>
      </c>
      <c r="C353" s="75" t="s">
        <v>118</v>
      </c>
      <c r="D353" s="141">
        <f>D350+7</f>
        <v>484</v>
      </c>
      <c r="E353" s="142" t="s">
        <v>19</v>
      </c>
      <c r="F353" s="141">
        <f>F350+7</f>
        <v>490</v>
      </c>
      <c r="G353" s="142" t="s">
        <v>20</v>
      </c>
      <c r="H353" s="141">
        <v>1002</v>
      </c>
      <c r="I353" s="143"/>
      <c r="J353" s="142">
        <v>30</v>
      </c>
      <c r="K353" s="141">
        <v>1012</v>
      </c>
      <c r="L353" s="141" t="s">
        <v>119</v>
      </c>
      <c r="M353" s="141">
        <v>52008</v>
      </c>
      <c r="N353" s="141"/>
      <c r="O353" s="141">
        <v>22</v>
      </c>
      <c r="P353" s="141">
        <v>7</v>
      </c>
      <c r="R353">
        <v>1</v>
      </c>
    </row>
    <row r="354" spans="1:18">
      <c r="A354" s="141">
        <v>700002</v>
      </c>
      <c r="B354" s="141">
        <v>12009</v>
      </c>
      <c r="C354" s="75" t="s">
        <v>85</v>
      </c>
      <c r="D354" s="141">
        <v>484</v>
      </c>
      <c r="E354" s="142" t="s">
        <v>19</v>
      </c>
      <c r="F354" s="141">
        <v>490</v>
      </c>
      <c r="G354" s="142" t="s">
        <v>20</v>
      </c>
      <c r="H354" s="143"/>
      <c r="I354" s="143"/>
      <c r="J354" s="143"/>
      <c r="K354" s="141">
        <v>1013</v>
      </c>
      <c r="L354" s="141" t="s">
        <v>86</v>
      </c>
      <c r="M354" s="143"/>
      <c r="N354" s="143">
        <v>52011</v>
      </c>
      <c r="O354" s="141">
        <v>33</v>
      </c>
      <c r="P354" s="141"/>
      <c r="R354">
        <v>1</v>
      </c>
    </row>
    <row r="355" spans="1:18">
      <c r="A355" s="141">
        <v>700003</v>
      </c>
      <c r="B355" s="141">
        <v>12006</v>
      </c>
      <c r="C355" s="75" t="s">
        <v>89</v>
      </c>
      <c r="D355" s="141">
        <v>484</v>
      </c>
      <c r="E355" s="142" t="s">
        <v>19</v>
      </c>
      <c r="F355" s="141">
        <v>490</v>
      </c>
      <c r="G355" s="142" t="s">
        <v>20</v>
      </c>
      <c r="H355" s="143"/>
      <c r="I355" s="143"/>
      <c r="J355" s="143"/>
      <c r="K355" s="141">
        <v>1003</v>
      </c>
      <c r="L355" s="141" t="s">
        <v>90</v>
      </c>
      <c r="M355" s="143"/>
      <c r="N355" s="143"/>
      <c r="O355" s="141">
        <v>5</v>
      </c>
      <c r="P355" s="141"/>
      <c r="R355">
        <v>1</v>
      </c>
    </row>
    <row r="356" spans="1:18" s="68" customFormat="1" ht="21" customHeight="1">
      <c r="A356" s="141">
        <v>700004</v>
      </c>
      <c r="B356" s="62">
        <v>12020</v>
      </c>
      <c r="C356" s="75" t="s">
        <v>95</v>
      </c>
      <c r="D356" s="141">
        <v>484</v>
      </c>
      <c r="E356" s="142" t="s">
        <v>19</v>
      </c>
      <c r="F356" s="141">
        <v>490</v>
      </c>
      <c r="G356" s="144" t="s">
        <v>20</v>
      </c>
      <c r="H356" s="62">
        <v>7008</v>
      </c>
      <c r="J356" s="144">
        <v>30</v>
      </c>
      <c r="K356" s="62">
        <v>1510</v>
      </c>
      <c r="L356" s="62" t="s">
        <v>96</v>
      </c>
      <c r="M356" s="62">
        <v>52019</v>
      </c>
      <c r="O356" s="62">
        <v>41</v>
      </c>
      <c r="P356" s="62">
        <v>16</v>
      </c>
    </row>
    <row r="357" spans="1:18" s="68" customFormat="1">
      <c r="A357" s="141">
        <v>700005</v>
      </c>
      <c r="B357" s="62">
        <v>12021</v>
      </c>
      <c r="C357" s="75" t="s">
        <v>110</v>
      </c>
      <c r="D357" s="141">
        <v>484</v>
      </c>
      <c r="E357" s="142" t="s">
        <v>19</v>
      </c>
      <c r="F357" s="141">
        <v>490</v>
      </c>
      <c r="G357" s="144" t="s">
        <v>20</v>
      </c>
      <c r="H357" s="62">
        <v>7009</v>
      </c>
      <c r="J357" s="144">
        <v>30</v>
      </c>
      <c r="K357" s="62">
        <v>1511</v>
      </c>
      <c r="L357" s="62" t="s">
        <v>111</v>
      </c>
      <c r="M357" s="62">
        <v>52020</v>
      </c>
      <c r="O357" s="62">
        <v>42</v>
      </c>
      <c r="P357" s="62">
        <v>17</v>
      </c>
    </row>
    <row r="358" spans="1:18" s="139" customFormat="1">
      <c r="A358" s="155">
        <v>710001</v>
      </c>
      <c r="B358" s="155">
        <v>12005</v>
      </c>
      <c r="C358" s="75" t="s">
        <v>112</v>
      </c>
      <c r="D358" s="155">
        <v>491</v>
      </c>
      <c r="E358" s="156" t="s">
        <v>19</v>
      </c>
      <c r="F358" s="155">
        <v>497</v>
      </c>
      <c r="G358" s="156" t="s">
        <v>20</v>
      </c>
      <c r="H358" s="155">
        <v>3101</v>
      </c>
      <c r="I358" s="155"/>
      <c r="J358" s="156">
        <v>30</v>
      </c>
      <c r="K358" s="155">
        <v>1011</v>
      </c>
      <c r="L358" s="155" t="s">
        <v>113</v>
      </c>
      <c r="M358" s="155">
        <v>52007</v>
      </c>
      <c r="N358" s="155"/>
      <c r="O358" s="155">
        <v>18</v>
      </c>
      <c r="P358" s="155">
        <v>6</v>
      </c>
      <c r="R358">
        <v>1</v>
      </c>
    </row>
    <row r="359" spans="1:18" s="139" customFormat="1">
      <c r="A359" s="155">
        <v>710002</v>
      </c>
      <c r="B359" s="155">
        <v>12009</v>
      </c>
      <c r="C359" s="75" t="s">
        <v>85</v>
      </c>
      <c r="D359" s="155">
        <v>491</v>
      </c>
      <c r="E359" s="156" t="s">
        <v>19</v>
      </c>
      <c r="F359" s="155">
        <v>497</v>
      </c>
      <c r="G359" s="156" t="s">
        <v>20</v>
      </c>
      <c r="K359" s="155">
        <v>1013</v>
      </c>
      <c r="L359" s="155" t="s">
        <v>86</v>
      </c>
      <c r="N359" s="139">
        <v>52011</v>
      </c>
      <c r="O359" s="155">
        <v>33</v>
      </c>
      <c r="P359" s="155"/>
      <c r="R359">
        <v>1</v>
      </c>
    </row>
    <row r="360" spans="1:18" s="139" customFormat="1">
      <c r="A360" s="155">
        <v>710003</v>
      </c>
      <c r="B360" s="155">
        <v>12006</v>
      </c>
      <c r="C360" s="75" t="s">
        <v>89</v>
      </c>
      <c r="D360" s="155">
        <v>491</v>
      </c>
      <c r="E360" s="156" t="s">
        <v>19</v>
      </c>
      <c r="F360" s="155">
        <v>497</v>
      </c>
      <c r="G360" s="156" t="s">
        <v>20</v>
      </c>
      <c r="K360" s="155">
        <v>1003</v>
      </c>
      <c r="L360" s="155" t="s">
        <v>90</v>
      </c>
      <c r="O360" s="155">
        <v>5</v>
      </c>
      <c r="P360" s="155"/>
      <c r="R360">
        <v>1</v>
      </c>
    </row>
    <row r="361" spans="1:18" s="139" customFormat="1">
      <c r="A361" s="155">
        <v>710004</v>
      </c>
      <c r="B361" s="155">
        <v>12010</v>
      </c>
      <c r="C361" s="75" t="s">
        <v>81</v>
      </c>
      <c r="D361" s="155">
        <v>491</v>
      </c>
      <c r="E361" s="156" t="s">
        <v>19</v>
      </c>
      <c r="F361" s="155">
        <v>497</v>
      </c>
      <c r="G361" s="156" t="s">
        <v>20</v>
      </c>
      <c r="H361" s="155">
        <v>990</v>
      </c>
      <c r="I361" s="155"/>
      <c r="J361" s="155">
        <v>30</v>
      </c>
      <c r="K361" s="155">
        <v>1015</v>
      </c>
      <c r="L361" s="155" t="s">
        <v>82</v>
      </c>
      <c r="M361" s="155">
        <v>52009</v>
      </c>
      <c r="N361" s="155"/>
      <c r="O361" s="155">
        <v>1</v>
      </c>
      <c r="P361" s="155">
        <v>1</v>
      </c>
      <c r="R361">
        <v>1</v>
      </c>
    </row>
    <row r="362" spans="1:18" s="1" customFormat="1">
      <c r="A362" s="155">
        <v>710005</v>
      </c>
      <c r="B362" s="37">
        <v>12018</v>
      </c>
      <c r="C362" s="75" t="s">
        <v>114</v>
      </c>
      <c r="D362" s="155">
        <v>491</v>
      </c>
      <c r="E362" s="156" t="s">
        <v>19</v>
      </c>
      <c r="F362" s="155">
        <v>497</v>
      </c>
      <c r="G362" s="147" t="s">
        <v>20</v>
      </c>
      <c r="H362" s="37">
        <v>7006</v>
      </c>
      <c r="J362" s="147">
        <v>30</v>
      </c>
      <c r="K362" s="37">
        <v>1508</v>
      </c>
      <c r="L362" s="37" t="s">
        <v>115</v>
      </c>
      <c r="M362" s="37">
        <v>52017</v>
      </c>
      <c r="O362" s="37">
        <v>39</v>
      </c>
      <c r="P362" s="37">
        <v>14</v>
      </c>
      <c r="R362">
        <v>1</v>
      </c>
    </row>
    <row r="363" spans="1:18" s="1" customFormat="1">
      <c r="A363" s="155">
        <v>710006</v>
      </c>
      <c r="B363" s="37">
        <v>12019</v>
      </c>
      <c r="C363" s="75" t="s">
        <v>116</v>
      </c>
      <c r="D363" s="155">
        <v>491</v>
      </c>
      <c r="E363" s="156" t="s">
        <v>19</v>
      </c>
      <c r="F363" s="155">
        <v>497</v>
      </c>
      <c r="G363" s="147" t="s">
        <v>20</v>
      </c>
      <c r="H363" s="37">
        <v>7007</v>
      </c>
      <c r="J363" s="147">
        <v>30</v>
      </c>
      <c r="K363" s="37">
        <v>1509</v>
      </c>
      <c r="L363" s="37" t="s">
        <v>117</v>
      </c>
      <c r="M363" s="37">
        <v>52018</v>
      </c>
      <c r="O363" s="37">
        <v>40</v>
      </c>
      <c r="P363" s="37">
        <v>15</v>
      </c>
      <c r="R363">
        <v>1</v>
      </c>
    </row>
    <row r="364" spans="1:18" s="1" customFormat="1">
      <c r="A364" s="37">
        <v>720001</v>
      </c>
      <c r="B364" s="37">
        <v>12008</v>
      </c>
      <c r="C364" s="75" t="s">
        <v>118</v>
      </c>
      <c r="D364" s="37">
        <v>498</v>
      </c>
      <c r="E364" s="147" t="s">
        <v>19</v>
      </c>
      <c r="F364" s="37">
        <v>504</v>
      </c>
      <c r="G364" s="147" t="s">
        <v>20</v>
      </c>
      <c r="H364" s="37">
        <v>1002</v>
      </c>
      <c r="J364" s="147">
        <v>30</v>
      </c>
      <c r="K364" s="37">
        <v>1012</v>
      </c>
      <c r="L364" s="37" t="s">
        <v>119</v>
      </c>
      <c r="M364" s="37">
        <v>52008</v>
      </c>
      <c r="N364" s="37"/>
      <c r="O364" s="37">
        <v>22</v>
      </c>
      <c r="P364" s="37">
        <v>7</v>
      </c>
      <c r="R364">
        <v>1</v>
      </c>
    </row>
    <row r="365" spans="1:18" s="1" customFormat="1">
      <c r="A365" s="37">
        <v>720002</v>
      </c>
      <c r="B365" s="37">
        <v>12009</v>
      </c>
      <c r="C365" s="75" t="s">
        <v>85</v>
      </c>
      <c r="D365" s="37">
        <v>498</v>
      </c>
      <c r="E365" s="147" t="s">
        <v>19</v>
      </c>
      <c r="F365" s="37">
        <v>504</v>
      </c>
      <c r="G365" s="147" t="s">
        <v>20</v>
      </c>
      <c r="K365" s="37">
        <v>1013</v>
      </c>
      <c r="L365" s="37" t="s">
        <v>86</v>
      </c>
      <c r="N365" s="1">
        <v>52011</v>
      </c>
      <c r="O365" s="37">
        <v>33</v>
      </c>
      <c r="P365" s="37"/>
      <c r="R365">
        <v>1</v>
      </c>
    </row>
    <row r="366" spans="1:18" s="1" customFormat="1">
      <c r="A366" s="37">
        <v>720003</v>
      </c>
      <c r="B366" s="37">
        <v>12006</v>
      </c>
      <c r="C366" s="75" t="s">
        <v>89</v>
      </c>
      <c r="D366" s="37">
        <v>498</v>
      </c>
      <c r="E366" s="147" t="s">
        <v>19</v>
      </c>
      <c r="F366" s="37">
        <v>504</v>
      </c>
      <c r="G366" s="147" t="s">
        <v>20</v>
      </c>
      <c r="K366" s="37">
        <v>1003</v>
      </c>
      <c r="L366" s="37" t="s">
        <v>90</v>
      </c>
      <c r="O366" s="37">
        <v>5</v>
      </c>
      <c r="P366" s="37"/>
      <c r="R366">
        <v>1</v>
      </c>
    </row>
    <row r="367" spans="1:18" s="1" customFormat="1">
      <c r="A367" s="37">
        <v>720004</v>
      </c>
      <c r="B367" s="37">
        <v>12004</v>
      </c>
      <c r="C367" s="75" t="s">
        <v>91</v>
      </c>
      <c r="D367" s="37">
        <v>498</v>
      </c>
      <c r="E367" s="147" t="s">
        <v>19</v>
      </c>
      <c r="F367" s="37">
        <v>504</v>
      </c>
      <c r="G367" s="147" t="s">
        <v>20</v>
      </c>
      <c r="H367" s="37">
        <v>1003</v>
      </c>
      <c r="I367" s="37"/>
      <c r="J367" s="147">
        <v>30</v>
      </c>
      <c r="K367" s="37">
        <v>1010</v>
      </c>
      <c r="L367" s="37" t="s">
        <v>92</v>
      </c>
      <c r="M367" s="37">
        <v>52006</v>
      </c>
      <c r="N367" s="37"/>
      <c r="O367" s="37">
        <v>6</v>
      </c>
      <c r="P367" s="37">
        <v>3</v>
      </c>
      <c r="R367">
        <v>1</v>
      </c>
    </row>
    <row r="368" spans="1:18" s="68" customFormat="1" ht="18.95" customHeight="1">
      <c r="A368" s="37">
        <v>720005</v>
      </c>
      <c r="B368" s="62">
        <v>12013</v>
      </c>
      <c r="C368" s="75" t="s">
        <v>104</v>
      </c>
      <c r="D368" s="37">
        <v>498</v>
      </c>
      <c r="E368" s="147" t="s">
        <v>19</v>
      </c>
      <c r="F368" s="37">
        <v>504</v>
      </c>
      <c r="G368" s="144" t="s">
        <v>20</v>
      </c>
      <c r="H368" s="62">
        <v>7001</v>
      </c>
      <c r="J368" s="144">
        <v>30</v>
      </c>
      <c r="K368" s="62">
        <v>1503</v>
      </c>
      <c r="L368" s="62" t="s">
        <v>105</v>
      </c>
      <c r="M368" s="62">
        <v>52012</v>
      </c>
      <c r="N368" s="62"/>
      <c r="O368" s="62">
        <v>34</v>
      </c>
      <c r="P368" s="62">
        <v>9</v>
      </c>
      <c r="R368" s="68">
        <v>1</v>
      </c>
    </row>
    <row r="369" spans="1:18" s="68" customFormat="1">
      <c r="A369" s="37">
        <v>720006</v>
      </c>
      <c r="B369" s="62">
        <v>12014</v>
      </c>
      <c r="C369" s="75" t="s">
        <v>106</v>
      </c>
      <c r="D369" s="37">
        <v>498</v>
      </c>
      <c r="E369" s="147" t="s">
        <v>19</v>
      </c>
      <c r="F369" s="37">
        <v>504</v>
      </c>
      <c r="G369" s="144" t="s">
        <v>20</v>
      </c>
      <c r="H369" s="62">
        <v>7002</v>
      </c>
      <c r="J369" s="144">
        <v>30</v>
      </c>
      <c r="K369" s="62">
        <v>1504</v>
      </c>
      <c r="L369" s="62" t="s">
        <v>107</v>
      </c>
      <c r="M369" s="62">
        <v>52013</v>
      </c>
      <c r="O369" s="62">
        <v>35</v>
      </c>
      <c r="P369" s="62">
        <v>10</v>
      </c>
      <c r="R369" s="68">
        <v>1</v>
      </c>
    </row>
    <row r="370" spans="1:18" s="139" customFormat="1">
      <c r="A370" s="155">
        <v>730001</v>
      </c>
      <c r="B370" s="155">
        <v>12005</v>
      </c>
      <c r="C370" s="75" t="s">
        <v>112</v>
      </c>
      <c r="D370" s="155">
        <f>D367+7</f>
        <v>505</v>
      </c>
      <c r="E370" s="156" t="s">
        <v>19</v>
      </c>
      <c r="F370" s="155">
        <f>F367+7</f>
        <v>511</v>
      </c>
      <c r="G370" s="156" t="s">
        <v>20</v>
      </c>
      <c r="H370" s="155">
        <v>3101</v>
      </c>
      <c r="I370" s="155"/>
      <c r="J370" s="156">
        <v>30</v>
      </c>
      <c r="K370" s="155">
        <v>1011</v>
      </c>
      <c r="L370" s="155" t="s">
        <v>113</v>
      </c>
      <c r="M370" s="155">
        <v>52007</v>
      </c>
      <c r="N370" s="155"/>
      <c r="O370" s="155">
        <v>18</v>
      </c>
      <c r="P370" s="155">
        <v>6</v>
      </c>
      <c r="R370">
        <v>1</v>
      </c>
    </row>
    <row r="371" spans="1:18" s="139" customFormat="1">
      <c r="A371" s="155">
        <v>730002</v>
      </c>
      <c r="B371" s="155">
        <v>12009</v>
      </c>
      <c r="C371" s="75" t="s">
        <v>85</v>
      </c>
      <c r="D371" s="155">
        <f>D370</f>
        <v>505</v>
      </c>
      <c r="E371" s="156" t="s">
        <v>19</v>
      </c>
      <c r="F371" s="155">
        <f>F370</f>
        <v>511</v>
      </c>
      <c r="G371" s="156" t="s">
        <v>20</v>
      </c>
      <c r="K371" s="155">
        <v>1013</v>
      </c>
      <c r="L371" s="155" t="s">
        <v>86</v>
      </c>
      <c r="N371" s="139">
        <v>52011</v>
      </c>
      <c r="O371" s="155">
        <v>33</v>
      </c>
      <c r="P371" s="155"/>
      <c r="R371">
        <v>1</v>
      </c>
    </row>
    <row r="372" spans="1:18" s="139" customFormat="1">
      <c r="A372" s="155">
        <v>730003</v>
      </c>
      <c r="B372" s="155">
        <v>12006</v>
      </c>
      <c r="C372" s="75" t="s">
        <v>89</v>
      </c>
      <c r="D372" s="155">
        <f>D370</f>
        <v>505</v>
      </c>
      <c r="E372" s="156" t="s">
        <v>19</v>
      </c>
      <c r="F372" s="155">
        <f>F370</f>
        <v>511</v>
      </c>
      <c r="G372" s="156" t="s">
        <v>20</v>
      </c>
      <c r="K372" s="155">
        <v>1003</v>
      </c>
      <c r="L372" s="155" t="s">
        <v>90</v>
      </c>
      <c r="O372" s="155">
        <v>5</v>
      </c>
      <c r="P372" s="155"/>
      <c r="R372">
        <v>1</v>
      </c>
    </row>
    <row r="373" spans="1:18" s="139" customFormat="1">
      <c r="A373" s="155">
        <v>740004</v>
      </c>
      <c r="B373" s="155">
        <v>12010</v>
      </c>
      <c r="C373" s="75" t="s">
        <v>81</v>
      </c>
      <c r="D373" s="155">
        <f t="shared" ref="D373:D375" si="0">D370</f>
        <v>505</v>
      </c>
      <c r="E373" s="156" t="s">
        <v>19</v>
      </c>
      <c r="F373" s="155">
        <f t="shared" ref="F373:F375" si="1">F370</f>
        <v>511</v>
      </c>
      <c r="G373" s="156" t="s">
        <v>20</v>
      </c>
      <c r="H373" s="155">
        <v>990</v>
      </c>
      <c r="I373" s="155"/>
      <c r="J373" s="155">
        <v>30</v>
      </c>
      <c r="K373" s="155">
        <v>1015</v>
      </c>
      <c r="L373" s="155" t="s">
        <v>82</v>
      </c>
      <c r="M373" s="155">
        <v>52009</v>
      </c>
      <c r="N373" s="155"/>
      <c r="O373" s="155">
        <v>1</v>
      </c>
      <c r="P373" s="155">
        <v>1</v>
      </c>
      <c r="R373">
        <v>1</v>
      </c>
    </row>
    <row r="374" spans="1:18" s="68" customFormat="1" ht="21" customHeight="1">
      <c r="A374" s="155">
        <v>740005</v>
      </c>
      <c r="B374" s="62">
        <v>12020</v>
      </c>
      <c r="C374" s="75" t="s">
        <v>95</v>
      </c>
      <c r="D374" s="155">
        <f t="shared" si="0"/>
        <v>505</v>
      </c>
      <c r="E374" s="156" t="s">
        <v>19</v>
      </c>
      <c r="F374" s="155">
        <f t="shared" si="1"/>
        <v>511</v>
      </c>
      <c r="G374" s="144" t="s">
        <v>20</v>
      </c>
      <c r="H374" s="62">
        <v>7008</v>
      </c>
      <c r="J374" s="144">
        <v>30</v>
      </c>
      <c r="K374" s="62">
        <v>1510</v>
      </c>
      <c r="L374" s="62" t="s">
        <v>96</v>
      </c>
      <c r="M374" s="62">
        <v>52019</v>
      </c>
      <c r="O374" s="62">
        <v>41</v>
      </c>
      <c r="P374" s="62">
        <v>16</v>
      </c>
    </row>
    <row r="375" spans="1:18" s="68" customFormat="1">
      <c r="A375" s="155">
        <v>740006</v>
      </c>
      <c r="B375" s="62">
        <v>12021</v>
      </c>
      <c r="C375" s="75" t="s">
        <v>110</v>
      </c>
      <c r="D375" s="155">
        <f t="shared" si="0"/>
        <v>505</v>
      </c>
      <c r="E375" s="156" t="s">
        <v>19</v>
      </c>
      <c r="F375" s="155">
        <f t="shared" si="1"/>
        <v>511</v>
      </c>
      <c r="G375" s="144" t="s">
        <v>20</v>
      </c>
      <c r="H375" s="62">
        <v>7009</v>
      </c>
      <c r="J375" s="144">
        <v>30</v>
      </c>
      <c r="K375" s="62">
        <v>1511</v>
      </c>
      <c r="L375" s="62" t="s">
        <v>111</v>
      </c>
      <c r="M375" s="62">
        <v>52020</v>
      </c>
      <c r="O375" s="62">
        <v>42</v>
      </c>
      <c r="P375" s="62">
        <v>17</v>
      </c>
    </row>
    <row r="376" spans="1:18" s="1" customFormat="1">
      <c r="A376" s="37">
        <v>750001</v>
      </c>
      <c r="B376" s="37">
        <v>12008</v>
      </c>
      <c r="C376" s="75" t="s">
        <v>118</v>
      </c>
      <c r="D376" s="37">
        <f>D373+7</f>
        <v>512</v>
      </c>
      <c r="E376" s="147" t="s">
        <v>19</v>
      </c>
      <c r="F376" s="37">
        <f>F373+7</f>
        <v>518</v>
      </c>
      <c r="G376" s="147" t="s">
        <v>20</v>
      </c>
      <c r="H376" s="37">
        <v>1002</v>
      </c>
      <c r="J376" s="147">
        <v>30</v>
      </c>
      <c r="K376" s="37">
        <v>1012</v>
      </c>
      <c r="L376" s="37" t="s">
        <v>119</v>
      </c>
      <c r="M376" s="37">
        <v>52008</v>
      </c>
      <c r="N376" s="37"/>
      <c r="O376" s="37">
        <v>22</v>
      </c>
      <c r="P376" s="37">
        <v>7</v>
      </c>
      <c r="R376">
        <v>1</v>
      </c>
    </row>
    <row r="377" spans="1:18" s="1" customFormat="1">
      <c r="A377" s="37">
        <v>750002</v>
      </c>
      <c r="B377" s="37">
        <v>12009</v>
      </c>
      <c r="C377" s="75" t="s">
        <v>85</v>
      </c>
      <c r="D377" s="37">
        <f>D376</f>
        <v>512</v>
      </c>
      <c r="E377" s="147" t="s">
        <v>19</v>
      </c>
      <c r="F377" s="37">
        <f>F376</f>
        <v>518</v>
      </c>
      <c r="G377" s="147" t="s">
        <v>20</v>
      </c>
      <c r="K377" s="37">
        <v>1013</v>
      </c>
      <c r="L377" s="37" t="s">
        <v>86</v>
      </c>
      <c r="N377" s="1">
        <v>52011</v>
      </c>
      <c r="O377" s="37">
        <v>33</v>
      </c>
      <c r="P377" s="37"/>
      <c r="R377">
        <v>1</v>
      </c>
    </row>
    <row r="378" spans="1:18" s="1" customFormat="1">
      <c r="A378" s="37">
        <v>750003</v>
      </c>
      <c r="B378" s="37">
        <v>12006</v>
      </c>
      <c r="C378" s="75" t="s">
        <v>89</v>
      </c>
      <c r="D378" s="37">
        <f>D376</f>
        <v>512</v>
      </c>
      <c r="E378" s="147" t="s">
        <v>19</v>
      </c>
      <c r="F378" s="37">
        <f>F376</f>
        <v>518</v>
      </c>
      <c r="G378" s="147" t="s">
        <v>20</v>
      </c>
      <c r="K378" s="37">
        <v>1003</v>
      </c>
      <c r="L378" s="37" t="s">
        <v>90</v>
      </c>
      <c r="O378" s="37">
        <v>5</v>
      </c>
      <c r="P378" s="37"/>
      <c r="R378">
        <v>1</v>
      </c>
    </row>
    <row r="379" spans="1:18" s="1" customFormat="1">
      <c r="A379" s="37">
        <v>750004</v>
      </c>
      <c r="B379" s="37">
        <v>12004</v>
      </c>
      <c r="C379" s="75" t="s">
        <v>91</v>
      </c>
      <c r="D379" s="37">
        <f t="shared" ref="D379:D381" si="2">D376</f>
        <v>512</v>
      </c>
      <c r="E379" s="147" t="s">
        <v>19</v>
      </c>
      <c r="F379" s="37">
        <f t="shared" ref="F379:F381" si="3">F376</f>
        <v>518</v>
      </c>
      <c r="G379" s="147" t="s">
        <v>20</v>
      </c>
      <c r="H379" s="37">
        <v>1003</v>
      </c>
      <c r="I379" s="37"/>
      <c r="J379" s="147">
        <v>30</v>
      </c>
      <c r="K379" s="37">
        <v>1010</v>
      </c>
      <c r="L379" s="37" t="s">
        <v>92</v>
      </c>
      <c r="M379" s="37">
        <v>52006</v>
      </c>
      <c r="N379" s="37"/>
      <c r="O379" s="37">
        <v>6</v>
      </c>
      <c r="P379" s="37">
        <v>3</v>
      </c>
      <c r="R379">
        <v>1</v>
      </c>
    </row>
    <row r="380" spans="1:18" s="1" customFormat="1">
      <c r="A380" s="37">
        <v>750005</v>
      </c>
      <c r="B380" s="37">
        <v>12018</v>
      </c>
      <c r="C380" s="75" t="s">
        <v>114</v>
      </c>
      <c r="D380" s="37">
        <f t="shared" si="2"/>
        <v>512</v>
      </c>
      <c r="E380" s="147" t="s">
        <v>19</v>
      </c>
      <c r="F380" s="37">
        <f t="shared" si="3"/>
        <v>518</v>
      </c>
      <c r="G380" s="147" t="s">
        <v>20</v>
      </c>
      <c r="H380" s="37">
        <v>7006</v>
      </c>
      <c r="J380" s="147">
        <v>30</v>
      </c>
      <c r="K380" s="37">
        <v>1508</v>
      </c>
      <c r="L380" s="37" t="s">
        <v>115</v>
      </c>
      <c r="M380" s="37">
        <v>52017</v>
      </c>
      <c r="O380" s="37">
        <v>39</v>
      </c>
      <c r="P380" s="37">
        <v>14</v>
      </c>
      <c r="R380">
        <v>1</v>
      </c>
    </row>
    <row r="381" spans="1:18" s="1" customFormat="1">
      <c r="A381" s="37">
        <v>750006</v>
      </c>
      <c r="B381" s="37">
        <v>12019</v>
      </c>
      <c r="C381" s="75" t="s">
        <v>116</v>
      </c>
      <c r="D381" s="37">
        <f t="shared" si="2"/>
        <v>512</v>
      </c>
      <c r="E381" s="147" t="s">
        <v>19</v>
      </c>
      <c r="F381" s="37">
        <f t="shared" si="3"/>
        <v>518</v>
      </c>
      <c r="G381" s="147" t="s">
        <v>20</v>
      </c>
      <c r="H381" s="37">
        <v>7007</v>
      </c>
      <c r="J381" s="147">
        <v>30</v>
      </c>
      <c r="K381" s="37">
        <v>1509</v>
      </c>
      <c r="L381" s="37" t="s">
        <v>117</v>
      </c>
      <c r="M381" s="37">
        <v>52018</v>
      </c>
      <c r="O381" s="37">
        <v>40</v>
      </c>
      <c r="P381" s="37">
        <v>15</v>
      </c>
      <c r="R381">
        <v>1</v>
      </c>
    </row>
    <row r="382" spans="1:18" s="139" customFormat="1">
      <c r="A382" s="155">
        <v>760001</v>
      </c>
      <c r="B382" s="155">
        <v>12005</v>
      </c>
      <c r="C382" s="75" t="s">
        <v>112</v>
      </c>
      <c r="D382" s="155">
        <f>D379+7</f>
        <v>519</v>
      </c>
      <c r="E382" s="156" t="s">
        <v>19</v>
      </c>
      <c r="F382" s="155">
        <f>F379+7</f>
        <v>525</v>
      </c>
      <c r="G382" s="156" t="s">
        <v>20</v>
      </c>
      <c r="H382" s="155">
        <v>3101</v>
      </c>
      <c r="I382" s="155"/>
      <c r="J382" s="156">
        <v>30</v>
      </c>
      <c r="K382" s="155">
        <v>1011</v>
      </c>
      <c r="L382" s="155" t="s">
        <v>113</v>
      </c>
      <c r="M382" s="155">
        <v>52007</v>
      </c>
      <c r="N382" s="155"/>
      <c r="O382" s="155">
        <v>18</v>
      </c>
      <c r="P382" s="155">
        <v>6</v>
      </c>
      <c r="R382">
        <v>1</v>
      </c>
    </row>
    <row r="383" spans="1:18" s="139" customFormat="1">
      <c r="A383" s="155">
        <v>760002</v>
      </c>
      <c r="B383" s="155">
        <v>12009</v>
      </c>
      <c r="C383" s="75" t="s">
        <v>85</v>
      </c>
      <c r="D383" s="155">
        <f>D382</f>
        <v>519</v>
      </c>
      <c r="E383" s="156" t="s">
        <v>19</v>
      </c>
      <c r="F383" s="155">
        <f>F382</f>
        <v>525</v>
      </c>
      <c r="G383" s="156" t="s">
        <v>20</v>
      </c>
      <c r="K383" s="155">
        <v>1013</v>
      </c>
      <c r="L383" s="155" t="s">
        <v>86</v>
      </c>
      <c r="N383" s="139">
        <v>52011</v>
      </c>
      <c r="O383" s="155">
        <v>33</v>
      </c>
      <c r="P383" s="155"/>
      <c r="R383">
        <v>1</v>
      </c>
    </row>
    <row r="384" spans="1:18" s="139" customFormat="1">
      <c r="A384" s="155">
        <v>760003</v>
      </c>
      <c r="B384" s="155">
        <v>12006</v>
      </c>
      <c r="C384" s="75" t="s">
        <v>89</v>
      </c>
      <c r="D384" s="155">
        <f>D382</f>
        <v>519</v>
      </c>
      <c r="E384" s="156" t="s">
        <v>19</v>
      </c>
      <c r="F384" s="155">
        <f>F382</f>
        <v>525</v>
      </c>
      <c r="G384" s="156" t="s">
        <v>20</v>
      </c>
      <c r="K384" s="155">
        <v>1003</v>
      </c>
      <c r="L384" s="155" t="s">
        <v>90</v>
      </c>
      <c r="O384" s="155">
        <v>5</v>
      </c>
      <c r="P384" s="155"/>
      <c r="R384">
        <v>1</v>
      </c>
    </row>
    <row r="385" spans="1:18" s="139" customFormat="1">
      <c r="A385" s="155">
        <v>760004</v>
      </c>
      <c r="B385" s="155">
        <v>12010</v>
      </c>
      <c r="C385" s="75" t="s">
        <v>81</v>
      </c>
      <c r="D385" s="155">
        <f t="shared" ref="D385:D387" si="4">D382</f>
        <v>519</v>
      </c>
      <c r="E385" s="156" t="s">
        <v>19</v>
      </c>
      <c r="F385" s="155">
        <f t="shared" ref="F385:F387" si="5">F382</f>
        <v>525</v>
      </c>
      <c r="G385" s="156" t="s">
        <v>20</v>
      </c>
      <c r="H385" s="155">
        <v>990</v>
      </c>
      <c r="I385" s="155"/>
      <c r="J385" s="155">
        <v>30</v>
      </c>
      <c r="K385" s="155">
        <v>1015</v>
      </c>
      <c r="L385" s="155" t="s">
        <v>82</v>
      </c>
      <c r="M385" s="155">
        <v>52009</v>
      </c>
      <c r="N385" s="155"/>
      <c r="O385" s="155">
        <v>1</v>
      </c>
      <c r="P385" s="155">
        <v>1</v>
      </c>
      <c r="R385">
        <v>1</v>
      </c>
    </row>
    <row r="386" spans="1:18" s="68" customFormat="1" ht="18.95" customHeight="1">
      <c r="A386" s="155">
        <v>760005</v>
      </c>
      <c r="B386" s="62">
        <v>12013</v>
      </c>
      <c r="C386" s="75" t="s">
        <v>104</v>
      </c>
      <c r="D386" s="155">
        <f t="shared" si="4"/>
        <v>519</v>
      </c>
      <c r="E386" s="156" t="s">
        <v>19</v>
      </c>
      <c r="F386" s="155">
        <f t="shared" si="5"/>
        <v>525</v>
      </c>
      <c r="G386" s="144" t="s">
        <v>20</v>
      </c>
      <c r="H386" s="62">
        <v>7001</v>
      </c>
      <c r="J386" s="144">
        <v>30</v>
      </c>
      <c r="K386" s="62">
        <v>1503</v>
      </c>
      <c r="L386" s="62" t="s">
        <v>105</v>
      </c>
      <c r="M386" s="62">
        <v>52012</v>
      </c>
      <c r="N386" s="62"/>
      <c r="O386" s="62">
        <v>34</v>
      </c>
      <c r="P386" s="62">
        <v>9</v>
      </c>
      <c r="R386" s="68">
        <v>1</v>
      </c>
    </row>
    <row r="387" spans="1:18" s="68" customFormat="1">
      <c r="A387" s="155">
        <v>760006</v>
      </c>
      <c r="B387" s="62">
        <v>12014</v>
      </c>
      <c r="C387" s="75" t="s">
        <v>106</v>
      </c>
      <c r="D387" s="155">
        <f t="shared" si="4"/>
        <v>519</v>
      </c>
      <c r="E387" s="156" t="s">
        <v>19</v>
      </c>
      <c r="F387" s="155">
        <f t="shared" si="5"/>
        <v>525</v>
      </c>
      <c r="G387" s="144" t="s">
        <v>20</v>
      </c>
      <c r="H387" s="62">
        <v>7002</v>
      </c>
      <c r="J387" s="144">
        <v>30</v>
      </c>
      <c r="K387" s="62">
        <v>1504</v>
      </c>
      <c r="L387" s="62" t="s">
        <v>107</v>
      </c>
      <c r="M387" s="62">
        <v>52013</v>
      </c>
      <c r="O387" s="62">
        <v>35</v>
      </c>
      <c r="P387" s="62">
        <v>10</v>
      </c>
      <c r="R387" s="68">
        <v>1</v>
      </c>
    </row>
    <row r="388" spans="1:18" s="1" customFormat="1">
      <c r="A388" s="37">
        <v>780001</v>
      </c>
      <c r="B388" s="37">
        <v>12008</v>
      </c>
      <c r="C388" s="75" t="s">
        <v>118</v>
      </c>
      <c r="D388" s="37">
        <f>D385+7</f>
        <v>526</v>
      </c>
      <c r="E388" s="147" t="s">
        <v>19</v>
      </c>
      <c r="F388" s="37">
        <f>F385+7</f>
        <v>532</v>
      </c>
      <c r="G388" s="147" t="s">
        <v>20</v>
      </c>
      <c r="H388" s="37">
        <v>1002</v>
      </c>
      <c r="J388" s="147">
        <v>30</v>
      </c>
      <c r="K388" s="37">
        <v>1012</v>
      </c>
      <c r="L388" s="37" t="s">
        <v>119</v>
      </c>
      <c r="M388" s="37">
        <v>52008</v>
      </c>
      <c r="N388" s="37"/>
      <c r="O388" s="37">
        <v>22</v>
      </c>
      <c r="P388" s="37">
        <v>7</v>
      </c>
      <c r="R388">
        <v>1</v>
      </c>
    </row>
    <row r="389" spans="1:18" s="1" customFormat="1">
      <c r="A389" s="37">
        <v>780002</v>
      </c>
      <c r="B389" s="37">
        <v>12009</v>
      </c>
      <c r="C389" s="75" t="s">
        <v>85</v>
      </c>
      <c r="D389" s="37">
        <f>D388</f>
        <v>526</v>
      </c>
      <c r="E389" s="147" t="s">
        <v>19</v>
      </c>
      <c r="F389" s="37">
        <f>F388</f>
        <v>532</v>
      </c>
      <c r="G389" s="147" t="s">
        <v>20</v>
      </c>
      <c r="K389" s="37">
        <v>1013</v>
      </c>
      <c r="L389" s="37" t="s">
        <v>86</v>
      </c>
      <c r="N389" s="1">
        <v>52011</v>
      </c>
      <c r="O389" s="37">
        <v>33</v>
      </c>
      <c r="P389" s="37"/>
      <c r="R389">
        <v>1</v>
      </c>
    </row>
    <row r="390" spans="1:18" s="1" customFormat="1">
      <c r="A390" s="37">
        <v>780003</v>
      </c>
      <c r="B390" s="37">
        <v>12006</v>
      </c>
      <c r="C390" s="75" t="s">
        <v>89</v>
      </c>
      <c r="D390" s="37">
        <f>D388</f>
        <v>526</v>
      </c>
      <c r="E390" s="147" t="s">
        <v>19</v>
      </c>
      <c r="F390" s="37">
        <f>F388</f>
        <v>532</v>
      </c>
      <c r="G390" s="147" t="s">
        <v>20</v>
      </c>
      <c r="K390" s="37">
        <v>1003</v>
      </c>
      <c r="L390" s="37" t="s">
        <v>90</v>
      </c>
      <c r="O390" s="37">
        <v>5</v>
      </c>
      <c r="P390" s="37"/>
      <c r="R390">
        <v>1</v>
      </c>
    </row>
    <row r="391" spans="1:18" s="1" customFormat="1">
      <c r="A391" s="37">
        <v>780004</v>
      </c>
      <c r="B391" s="37">
        <v>12004</v>
      </c>
      <c r="C391" s="75" t="s">
        <v>91</v>
      </c>
      <c r="D391" s="37">
        <f t="shared" ref="D391:D393" si="6">D388</f>
        <v>526</v>
      </c>
      <c r="E391" s="147" t="s">
        <v>19</v>
      </c>
      <c r="F391" s="37">
        <f t="shared" ref="F391:F393" si="7">F388</f>
        <v>532</v>
      </c>
      <c r="G391" s="147" t="s">
        <v>20</v>
      </c>
      <c r="H391" s="37">
        <v>1003</v>
      </c>
      <c r="I391" s="37"/>
      <c r="J391" s="147">
        <v>30</v>
      </c>
      <c r="K391" s="37">
        <v>1010</v>
      </c>
      <c r="L391" s="37" t="s">
        <v>92</v>
      </c>
      <c r="M391" s="37">
        <v>52006</v>
      </c>
      <c r="N391" s="37"/>
      <c r="O391" s="37">
        <v>6</v>
      </c>
      <c r="P391" s="37">
        <v>3</v>
      </c>
      <c r="R391">
        <v>1</v>
      </c>
    </row>
    <row r="392" spans="1:18" s="68" customFormat="1" ht="21" customHeight="1">
      <c r="A392" s="37">
        <v>780005</v>
      </c>
      <c r="B392" s="62">
        <v>12020</v>
      </c>
      <c r="C392" s="75" t="s">
        <v>95</v>
      </c>
      <c r="D392" s="37">
        <f t="shared" si="6"/>
        <v>526</v>
      </c>
      <c r="E392" s="147" t="s">
        <v>19</v>
      </c>
      <c r="F392" s="37">
        <f t="shared" si="7"/>
        <v>532</v>
      </c>
      <c r="G392" s="144" t="s">
        <v>20</v>
      </c>
      <c r="H392" s="62">
        <v>7008</v>
      </c>
      <c r="J392" s="144">
        <v>30</v>
      </c>
      <c r="K392" s="62">
        <v>1510</v>
      </c>
      <c r="L392" s="62" t="s">
        <v>96</v>
      </c>
      <c r="M392" s="62">
        <v>52019</v>
      </c>
      <c r="O392" s="62">
        <v>41</v>
      </c>
      <c r="P392" s="62">
        <v>16</v>
      </c>
    </row>
    <row r="393" spans="1:18" s="68" customFormat="1">
      <c r="A393" s="37">
        <v>780006</v>
      </c>
      <c r="B393" s="62">
        <v>12021</v>
      </c>
      <c r="C393" s="75" t="s">
        <v>110</v>
      </c>
      <c r="D393" s="37">
        <f t="shared" si="6"/>
        <v>526</v>
      </c>
      <c r="E393" s="147" t="s">
        <v>19</v>
      </c>
      <c r="F393" s="37">
        <f t="shared" si="7"/>
        <v>532</v>
      </c>
      <c r="G393" s="144" t="s">
        <v>20</v>
      </c>
      <c r="H393" s="62">
        <v>7009</v>
      </c>
      <c r="J393" s="144">
        <v>30</v>
      </c>
      <c r="K393" s="62">
        <v>1511</v>
      </c>
      <c r="L393" s="62" t="s">
        <v>111</v>
      </c>
      <c r="M393" s="62">
        <v>52020</v>
      </c>
      <c r="O393" s="62">
        <v>42</v>
      </c>
      <c r="P393" s="62">
        <v>17</v>
      </c>
    </row>
    <row r="394" spans="1:18" s="139" customFormat="1">
      <c r="A394" s="155">
        <v>790001</v>
      </c>
      <c r="B394" s="155">
        <v>12005</v>
      </c>
      <c r="C394" s="75" t="s">
        <v>112</v>
      </c>
      <c r="D394" s="155">
        <f>D391+7</f>
        <v>533</v>
      </c>
      <c r="E394" s="156" t="s">
        <v>19</v>
      </c>
      <c r="F394" s="155">
        <f>F391+7</f>
        <v>539</v>
      </c>
      <c r="G394" s="156" t="s">
        <v>20</v>
      </c>
      <c r="H394" s="155">
        <v>3101</v>
      </c>
      <c r="I394" s="155"/>
      <c r="J394" s="156">
        <v>30</v>
      </c>
      <c r="K394" s="155">
        <v>1011</v>
      </c>
      <c r="L394" s="155" t="s">
        <v>113</v>
      </c>
      <c r="M394" s="155">
        <v>52007</v>
      </c>
      <c r="N394" s="155"/>
      <c r="O394" s="155">
        <v>18</v>
      </c>
      <c r="P394" s="155">
        <v>6</v>
      </c>
      <c r="R394">
        <v>1</v>
      </c>
    </row>
    <row r="395" spans="1:18" s="139" customFormat="1">
      <c r="A395" s="155">
        <v>790002</v>
      </c>
      <c r="B395" s="155">
        <v>12009</v>
      </c>
      <c r="C395" s="75" t="s">
        <v>85</v>
      </c>
      <c r="D395" s="155">
        <f>D394</f>
        <v>533</v>
      </c>
      <c r="E395" s="156" t="s">
        <v>19</v>
      </c>
      <c r="F395" s="155">
        <f>F394</f>
        <v>539</v>
      </c>
      <c r="G395" s="156" t="s">
        <v>20</v>
      </c>
      <c r="K395" s="155">
        <v>1013</v>
      </c>
      <c r="L395" s="155" t="s">
        <v>86</v>
      </c>
      <c r="N395" s="139">
        <v>52011</v>
      </c>
      <c r="O395" s="155">
        <v>33</v>
      </c>
      <c r="P395" s="155"/>
      <c r="R395">
        <v>1</v>
      </c>
    </row>
    <row r="396" spans="1:18" s="139" customFormat="1">
      <c r="A396" s="155">
        <v>790003</v>
      </c>
      <c r="B396" s="155">
        <v>12006</v>
      </c>
      <c r="C396" s="75" t="s">
        <v>89</v>
      </c>
      <c r="D396" s="155">
        <f>D394</f>
        <v>533</v>
      </c>
      <c r="E396" s="156" t="s">
        <v>19</v>
      </c>
      <c r="F396" s="155">
        <f>F394</f>
        <v>539</v>
      </c>
      <c r="G396" s="156" t="s">
        <v>20</v>
      </c>
      <c r="K396" s="155">
        <v>1003</v>
      </c>
      <c r="L396" s="155" t="s">
        <v>90</v>
      </c>
      <c r="O396" s="155">
        <v>5</v>
      </c>
      <c r="P396" s="155"/>
      <c r="R396">
        <v>1</v>
      </c>
    </row>
    <row r="397" spans="1:18" s="139" customFormat="1">
      <c r="A397" s="155">
        <v>790004</v>
      </c>
      <c r="B397" s="155">
        <v>12010</v>
      </c>
      <c r="C397" s="75" t="s">
        <v>81</v>
      </c>
      <c r="D397" s="155">
        <f t="shared" ref="D397:D399" si="8">D394</f>
        <v>533</v>
      </c>
      <c r="E397" s="156" t="s">
        <v>19</v>
      </c>
      <c r="F397" s="155">
        <f t="shared" ref="F397:F399" si="9">F394</f>
        <v>539</v>
      </c>
      <c r="G397" s="156" t="s">
        <v>20</v>
      </c>
      <c r="H397" s="155">
        <v>990</v>
      </c>
      <c r="I397" s="155"/>
      <c r="J397" s="155">
        <v>30</v>
      </c>
      <c r="K397" s="155">
        <v>1015</v>
      </c>
      <c r="L397" s="155" t="s">
        <v>82</v>
      </c>
      <c r="M397" s="155">
        <v>52009</v>
      </c>
      <c r="N397" s="155"/>
      <c r="O397" s="155">
        <v>1</v>
      </c>
      <c r="P397" s="155">
        <v>1</v>
      </c>
      <c r="R397">
        <v>1</v>
      </c>
    </row>
    <row r="398" spans="1:18" s="1" customFormat="1">
      <c r="A398" s="155">
        <v>790005</v>
      </c>
      <c r="B398" s="37">
        <v>12018</v>
      </c>
      <c r="C398" s="75" t="s">
        <v>114</v>
      </c>
      <c r="D398" s="155">
        <f t="shared" si="8"/>
        <v>533</v>
      </c>
      <c r="E398" s="156" t="s">
        <v>19</v>
      </c>
      <c r="F398" s="155">
        <f t="shared" si="9"/>
        <v>539</v>
      </c>
      <c r="G398" s="147" t="s">
        <v>20</v>
      </c>
      <c r="H398" s="37">
        <v>7006</v>
      </c>
      <c r="J398" s="147">
        <v>30</v>
      </c>
      <c r="K398" s="37">
        <v>1508</v>
      </c>
      <c r="L398" s="37" t="s">
        <v>115</v>
      </c>
      <c r="M398" s="37">
        <v>52017</v>
      </c>
      <c r="O398" s="37">
        <v>39</v>
      </c>
      <c r="P398" s="37">
        <v>14</v>
      </c>
      <c r="R398">
        <v>1</v>
      </c>
    </row>
    <row r="399" spans="1:18" s="1" customFormat="1">
      <c r="A399" s="155">
        <v>790006</v>
      </c>
      <c r="B399" s="37">
        <v>12019</v>
      </c>
      <c r="C399" s="75" t="s">
        <v>116</v>
      </c>
      <c r="D399" s="155">
        <f t="shared" si="8"/>
        <v>533</v>
      </c>
      <c r="E399" s="156" t="s">
        <v>19</v>
      </c>
      <c r="F399" s="155">
        <f t="shared" si="9"/>
        <v>539</v>
      </c>
      <c r="G399" s="147" t="s">
        <v>20</v>
      </c>
      <c r="H399" s="37">
        <v>7007</v>
      </c>
      <c r="J399" s="147">
        <v>30</v>
      </c>
      <c r="K399" s="37">
        <v>1509</v>
      </c>
      <c r="L399" s="37" t="s">
        <v>117</v>
      </c>
      <c r="M399" s="37">
        <v>52018</v>
      </c>
      <c r="O399" s="37">
        <v>40</v>
      </c>
      <c r="P399" s="37">
        <v>15</v>
      </c>
      <c r="R399">
        <v>1</v>
      </c>
    </row>
    <row r="400" spans="1:18" s="68" customFormat="1">
      <c r="A400" s="62">
        <v>800001</v>
      </c>
      <c r="B400" s="62">
        <v>12013</v>
      </c>
      <c r="C400" s="75" t="s">
        <v>104</v>
      </c>
      <c r="D400" s="62">
        <v>540</v>
      </c>
      <c r="E400" s="144" t="s">
        <v>19</v>
      </c>
      <c r="F400" s="62">
        <v>546</v>
      </c>
      <c r="G400" s="144" t="s">
        <v>20</v>
      </c>
      <c r="H400" s="62">
        <v>7001</v>
      </c>
      <c r="J400" s="144">
        <v>30</v>
      </c>
      <c r="K400" s="62">
        <v>1503</v>
      </c>
      <c r="L400" s="62" t="s">
        <v>105</v>
      </c>
      <c r="M400" s="62">
        <v>52012</v>
      </c>
      <c r="N400" s="62"/>
      <c r="O400" s="62">
        <v>34</v>
      </c>
      <c r="P400" s="62">
        <v>9</v>
      </c>
      <c r="R400" s="68">
        <v>1</v>
      </c>
    </row>
    <row r="401" spans="1:18" s="68" customFormat="1">
      <c r="A401" s="62">
        <v>800002</v>
      </c>
      <c r="B401" s="62">
        <v>12014</v>
      </c>
      <c r="C401" s="75" t="s">
        <v>106</v>
      </c>
      <c r="D401" s="62">
        <v>540</v>
      </c>
      <c r="E401" s="144" t="s">
        <v>19</v>
      </c>
      <c r="F401" s="62">
        <v>546</v>
      </c>
      <c r="G401" s="144" t="s">
        <v>20</v>
      </c>
      <c r="H401" s="62">
        <v>7002</v>
      </c>
      <c r="J401" s="144">
        <v>30</v>
      </c>
      <c r="K401" s="62">
        <v>1504</v>
      </c>
      <c r="L401" s="62" t="s">
        <v>107</v>
      </c>
      <c r="M401" s="62">
        <v>52013</v>
      </c>
      <c r="O401" s="62">
        <v>35</v>
      </c>
      <c r="P401" s="62">
        <v>10</v>
      </c>
      <c r="R401" s="68">
        <v>1</v>
      </c>
    </row>
    <row r="402" spans="1:18" s="68" customFormat="1">
      <c r="A402" s="62">
        <v>800003</v>
      </c>
      <c r="B402" s="62">
        <v>12008</v>
      </c>
      <c r="C402" s="75" t="s">
        <v>118</v>
      </c>
      <c r="D402" s="62">
        <v>540</v>
      </c>
      <c r="E402" s="144" t="s">
        <v>19</v>
      </c>
      <c r="F402" s="62">
        <v>546</v>
      </c>
      <c r="G402" s="144" t="s">
        <v>20</v>
      </c>
      <c r="H402" s="62">
        <v>1002</v>
      </c>
      <c r="J402" s="144">
        <v>30</v>
      </c>
      <c r="K402" s="62">
        <v>1012</v>
      </c>
      <c r="L402" s="62" t="s">
        <v>119</v>
      </c>
      <c r="M402" s="62">
        <v>52008</v>
      </c>
      <c r="N402" s="62"/>
      <c r="O402" s="62">
        <v>22</v>
      </c>
      <c r="P402" s="62">
        <v>7</v>
      </c>
      <c r="R402" s="68">
        <v>1</v>
      </c>
    </row>
    <row r="403" spans="1:18" s="68" customFormat="1">
      <c r="A403" s="62">
        <v>800004</v>
      </c>
      <c r="B403" s="62">
        <v>12009</v>
      </c>
      <c r="C403" s="75" t="s">
        <v>85</v>
      </c>
      <c r="D403" s="62">
        <v>540</v>
      </c>
      <c r="E403" s="144" t="s">
        <v>19</v>
      </c>
      <c r="F403" s="62">
        <v>546</v>
      </c>
      <c r="G403" s="144" t="s">
        <v>20</v>
      </c>
      <c r="K403" s="62">
        <v>1013</v>
      </c>
      <c r="L403" s="62" t="s">
        <v>86</v>
      </c>
      <c r="N403" s="68">
        <v>52011</v>
      </c>
      <c r="O403" s="62">
        <v>33</v>
      </c>
      <c r="P403" s="62"/>
      <c r="R403" s="68">
        <v>1</v>
      </c>
    </row>
    <row r="404" spans="1:18" s="68" customFormat="1">
      <c r="A404" s="62">
        <v>800005</v>
      </c>
      <c r="B404" s="62">
        <v>12006</v>
      </c>
      <c r="C404" s="75" t="s">
        <v>89</v>
      </c>
      <c r="D404" s="62">
        <v>540</v>
      </c>
      <c r="E404" s="144" t="s">
        <v>19</v>
      </c>
      <c r="F404" s="62">
        <v>546</v>
      </c>
      <c r="G404" s="144" t="s">
        <v>20</v>
      </c>
      <c r="K404" s="62">
        <v>1003</v>
      </c>
      <c r="L404" s="62" t="s">
        <v>90</v>
      </c>
      <c r="O404" s="62">
        <v>5</v>
      </c>
      <c r="P404" s="62"/>
      <c r="R404" s="68">
        <v>1</v>
      </c>
    </row>
    <row r="405" spans="1:18" s="68" customFormat="1">
      <c r="A405" s="62">
        <v>800006</v>
      </c>
      <c r="B405" s="62">
        <v>12004</v>
      </c>
      <c r="C405" s="75" t="s">
        <v>91</v>
      </c>
      <c r="D405" s="62">
        <v>540</v>
      </c>
      <c r="E405" s="144" t="s">
        <v>19</v>
      </c>
      <c r="F405" s="62">
        <v>546</v>
      </c>
      <c r="G405" s="144" t="s">
        <v>20</v>
      </c>
      <c r="H405" s="62">
        <v>1003</v>
      </c>
      <c r="I405" s="62"/>
      <c r="J405" s="144">
        <v>30</v>
      </c>
      <c r="K405" s="62">
        <v>1010</v>
      </c>
      <c r="L405" s="62" t="s">
        <v>92</v>
      </c>
      <c r="M405" s="62">
        <v>52006</v>
      </c>
      <c r="N405" s="62"/>
      <c r="O405" s="62">
        <v>6</v>
      </c>
      <c r="P405" s="62">
        <v>3</v>
      </c>
      <c r="R405" s="68">
        <v>1</v>
      </c>
    </row>
    <row r="406" spans="1:18" s="1" customFormat="1">
      <c r="A406" s="62">
        <v>900001</v>
      </c>
      <c r="B406" s="37">
        <v>12008</v>
      </c>
      <c r="C406" s="75" t="s">
        <v>118</v>
      </c>
      <c r="D406" s="37">
        <v>547</v>
      </c>
      <c r="E406" s="147" t="s">
        <v>19</v>
      </c>
      <c r="F406" s="37">
        <v>553</v>
      </c>
      <c r="G406" s="147" t="s">
        <v>20</v>
      </c>
      <c r="H406" s="37">
        <v>1002</v>
      </c>
      <c r="J406" s="147">
        <v>30</v>
      </c>
      <c r="K406" s="37">
        <v>1012</v>
      </c>
      <c r="L406" s="37" t="s">
        <v>119</v>
      </c>
      <c r="M406" s="37">
        <v>52008</v>
      </c>
      <c r="N406" s="37"/>
      <c r="O406" s="37">
        <v>22</v>
      </c>
      <c r="P406" s="37">
        <v>7</v>
      </c>
      <c r="R406">
        <v>1</v>
      </c>
    </row>
    <row r="407" spans="1:18" s="1" customFormat="1">
      <c r="A407" s="62">
        <v>900002</v>
      </c>
      <c r="B407" s="37">
        <v>12009</v>
      </c>
      <c r="C407" s="75" t="s">
        <v>85</v>
      </c>
      <c r="D407" s="37">
        <v>547</v>
      </c>
      <c r="E407" s="147" t="s">
        <v>19</v>
      </c>
      <c r="F407" s="37">
        <v>553</v>
      </c>
      <c r="G407" s="147" t="s">
        <v>20</v>
      </c>
      <c r="K407" s="37">
        <v>1013</v>
      </c>
      <c r="L407" s="37" t="s">
        <v>86</v>
      </c>
      <c r="N407" s="1">
        <v>52011</v>
      </c>
      <c r="O407" s="37">
        <v>33</v>
      </c>
      <c r="P407" s="37"/>
      <c r="R407">
        <v>1</v>
      </c>
    </row>
    <row r="408" spans="1:18" s="1" customFormat="1">
      <c r="A408" s="62">
        <v>900003</v>
      </c>
      <c r="B408" s="37">
        <v>12006</v>
      </c>
      <c r="C408" s="75" t="s">
        <v>89</v>
      </c>
      <c r="D408" s="37">
        <v>547</v>
      </c>
      <c r="E408" s="147" t="s">
        <v>19</v>
      </c>
      <c r="F408" s="37">
        <v>553</v>
      </c>
      <c r="G408" s="147" t="s">
        <v>20</v>
      </c>
      <c r="K408" s="37">
        <v>1003</v>
      </c>
      <c r="L408" s="37" t="s">
        <v>90</v>
      </c>
      <c r="O408" s="37">
        <v>5</v>
      </c>
      <c r="P408" s="37"/>
      <c r="R408">
        <v>1</v>
      </c>
    </row>
    <row r="409" spans="1:18" s="1" customFormat="1">
      <c r="A409" s="62">
        <v>900004</v>
      </c>
      <c r="B409" s="37">
        <v>12004</v>
      </c>
      <c r="C409" s="75" t="s">
        <v>91</v>
      </c>
      <c r="D409" s="37">
        <v>547</v>
      </c>
      <c r="E409" s="147" t="s">
        <v>19</v>
      </c>
      <c r="F409" s="37">
        <v>553</v>
      </c>
      <c r="G409" s="147" t="s">
        <v>20</v>
      </c>
      <c r="H409" s="37">
        <v>1003</v>
      </c>
      <c r="I409" s="37"/>
      <c r="J409" s="147">
        <v>30</v>
      </c>
      <c r="K409" s="37">
        <v>1010</v>
      </c>
      <c r="L409" s="37" t="s">
        <v>92</v>
      </c>
      <c r="M409" s="37">
        <v>52006</v>
      </c>
      <c r="N409" s="37"/>
      <c r="O409" s="37">
        <v>6</v>
      </c>
      <c r="P409" s="37">
        <v>3</v>
      </c>
      <c r="R409">
        <v>1</v>
      </c>
    </row>
    <row r="410" spans="1:18" s="68" customFormat="1" ht="21" customHeight="1">
      <c r="A410" s="62">
        <v>900005</v>
      </c>
      <c r="B410" s="62">
        <v>12020</v>
      </c>
      <c r="C410" s="75" t="s">
        <v>95</v>
      </c>
      <c r="D410" s="37">
        <v>547</v>
      </c>
      <c r="E410" s="147" t="s">
        <v>19</v>
      </c>
      <c r="F410" s="37">
        <v>553</v>
      </c>
      <c r="G410" s="144" t="s">
        <v>20</v>
      </c>
      <c r="H410" s="62">
        <v>7008</v>
      </c>
      <c r="J410" s="144">
        <v>30</v>
      </c>
      <c r="K410" s="62">
        <v>1510</v>
      </c>
      <c r="L410" s="62" t="s">
        <v>96</v>
      </c>
      <c r="M410" s="62">
        <v>52019</v>
      </c>
      <c r="O410" s="62">
        <v>41</v>
      </c>
      <c r="P410" s="62">
        <v>16</v>
      </c>
    </row>
    <row r="411" spans="1:18" s="68" customFormat="1">
      <c r="A411" s="62">
        <v>900006</v>
      </c>
      <c r="B411" s="62">
        <v>12021</v>
      </c>
      <c r="C411" s="75" t="s">
        <v>110</v>
      </c>
      <c r="D411" s="37">
        <v>547</v>
      </c>
      <c r="E411" s="147" t="s">
        <v>19</v>
      </c>
      <c r="F411" s="37">
        <v>553</v>
      </c>
      <c r="G411" s="144" t="s">
        <v>20</v>
      </c>
      <c r="H411" s="62">
        <v>7009</v>
      </c>
      <c r="J411" s="144">
        <v>30</v>
      </c>
      <c r="K411" s="62">
        <v>1511</v>
      </c>
      <c r="L411" s="62" t="s">
        <v>111</v>
      </c>
      <c r="M411" s="62">
        <v>52020</v>
      </c>
      <c r="O411" s="62">
        <v>42</v>
      </c>
      <c r="P411" s="62">
        <v>17</v>
      </c>
    </row>
    <row r="412" spans="1:18" s="139" customFormat="1">
      <c r="A412" s="155">
        <v>910001</v>
      </c>
      <c r="B412" s="155">
        <v>12005</v>
      </c>
      <c r="C412" s="75" t="s">
        <v>112</v>
      </c>
      <c r="D412" s="155">
        <f>D409+7</f>
        <v>554</v>
      </c>
      <c r="E412" s="156" t="s">
        <v>19</v>
      </c>
      <c r="F412" s="155">
        <f>F409+7</f>
        <v>560</v>
      </c>
      <c r="G412" s="156" t="s">
        <v>20</v>
      </c>
      <c r="H412" s="155">
        <v>3101</v>
      </c>
      <c r="I412" s="155"/>
      <c r="J412" s="156">
        <v>30</v>
      </c>
      <c r="K412" s="155">
        <v>1011</v>
      </c>
      <c r="L412" s="155" t="s">
        <v>113</v>
      </c>
      <c r="M412" s="155">
        <v>52007</v>
      </c>
      <c r="N412" s="155"/>
      <c r="O412" s="155">
        <v>18</v>
      </c>
      <c r="P412" s="155">
        <v>6</v>
      </c>
      <c r="R412">
        <v>1</v>
      </c>
    </row>
    <row r="413" spans="1:18" s="139" customFormat="1">
      <c r="A413" s="155">
        <v>910002</v>
      </c>
      <c r="B413" s="155">
        <v>12009</v>
      </c>
      <c r="C413" s="75" t="s">
        <v>85</v>
      </c>
      <c r="D413" s="155">
        <f>D412</f>
        <v>554</v>
      </c>
      <c r="E413" s="156" t="s">
        <v>19</v>
      </c>
      <c r="F413" s="155">
        <f>F412</f>
        <v>560</v>
      </c>
      <c r="G413" s="156" t="s">
        <v>20</v>
      </c>
      <c r="K413" s="155">
        <v>1013</v>
      </c>
      <c r="L413" s="155" t="s">
        <v>86</v>
      </c>
      <c r="N413" s="139">
        <v>52011</v>
      </c>
      <c r="O413" s="155">
        <v>33</v>
      </c>
      <c r="P413" s="155"/>
      <c r="R413">
        <v>1</v>
      </c>
    </row>
    <row r="414" spans="1:18" s="139" customFormat="1">
      <c r="A414" s="155">
        <v>910003</v>
      </c>
      <c r="B414" s="155">
        <v>12006</v>
      </c>
      <c r="C414" s="75" t="s">
        <v>89</v>
      </c>
      <c r="D414" s="155">
        <f>D412</f>
        <v>554</v>
      </c>
      <c r="E414" s="156" t="s">
        <v>19</v>
      </c>
      <c r="F414" s="155">
        <f>F412</f>
        <v>560</v>
      </c>
      <c r="G414" s="156" t="s">
        <v>20</v>
      </c>
      <c r="K414" s="155">
        <v>1003</v>
      </c>
      <c r="L414" s="155" t="s">
        <v>90</v>
      </c>
      <c r="O414" s="155">
        <v>5</v>
      </c>
      <c r="P414" s="155"/>
      <c r="R414">
        <v>1</v>
      </c>
    </row>
    <row r="415" spans="1:18" s="139" customFormat="1">
      <c r="A415" s="155">
        <v>910004</v>
      </c>
      <c r="B415" s="155">
        <v>12010</v>
      </c>
      <c r="C415" s="75" t="s">
        <v>81</v>
      </c>
      <c r="D415" s="155">
        <f t="shared" ref="D415:D417" si="10">D412</f>
        <v>554</v>
      </c>
      <c r="E415" s="156" t="s">
        <v>19</v>
      </c>
      <c r="F415" s="155">
        <f t="shared" ref="F415:F417" si="11">F412</f>
        <v>560</v>
      </c>
      <c r="G415" s="156" t="s">
        <v>20</v>
      </c>
      <c r="H415" s="155">
        <v>990</v>
      </c>
      <c r="I415" s="155"/>
      <c r="J415" s="155">
        <v>30</v>
      </c>
      <c r="K415" s="155">
        <v>1015</v>
      </c>
      <c r="L415" s="155" t="s">
        <v>82</v>
      </c>
      <c r="M415" s="155">
        <v>52009</v>
      </c>
      <c r="N415" s="155"/>
      <c r="O415" s="155">
        <v>1</v>
      </c>
      <c r="P415" s="155">
        <v>1</v>
      </c>
      <c r="R415">
        <v>1</v>
      </c>
    </row>
    <row r="416" spans="1:18" s="1" customFormat="1">
      <c r="A416" s="155">
        <v>910005</v>
      </c>
      <c r="B416" s="37">
        <v>12018</v>
      </c>
      <c r="C416" s="75" t="s">
        <v>114</v>
      </c>
      <c r="D416" s="155">
        <f t="shared" si="10"/>
        <v>554</v>
      </c>
      <c r="E416" s="156" t="s">
        <v>19</v>
      </c>
      <c r="F416" s="155">
        <f t="shared" si="11"/>
        <v>560</v>
      </c>
      <c r="G416" s="147" t="s">
        <v>20</v>
      </c>
      <c r="H416" s="37">
        <v>7006</v>
      </c>
      <c r="J416" s="147">
        <v>30</v>
      </c>
      <c r="K416" s="37">
        <v>1508</v>
      </c>
      <c r="L416" s="37" t="s">
        <v>115</v>
      </c>
      <c r="M416" s="37">
        <v>52017</v>
      </c>
      <c r="O416" s="37">
        <v>39</v>
      </c>
      <c r="P416" s="37">
        <v>14</v>
      </c>
      <c r="R416">
        <v>1</v>
      </c>
    </row>
    <row r="417" spans="1:18" s="1" customFormat="1">
      <c r="A417" s="155">
        <v>910006</v>
      </c>
      <c r="B417" s="37">
        <v>12019</v>
      </c>
      <c r="C417" s="75" t="s">
        <v>116</v>
      </c>
      <c r="D417" s="155">
        <f t="shared" si="10"/>
        <v>554</v>
      </c>
      <c r="E417" s="156" t="s">
        <v>19</v>
      </c>
      <c r="F417" s="155">
        <f t="shared" si="11"/>
        <v>560</v>
      </c>
      <c r="G417" s="147" t="s">
        <v>20</v>
      </c>
      <c r="H417" s="37">
        <v>7007</v>
      </c>
      <c r="J417" s="147">
        <v>30</v>
      </c>
      <c r="K417" s="37">
        <v>1509</v>
      </c>
      <c r="L417" s="37" t="s">
        <v>117</v>
      </c>
      <c r="M417" s="37">
        <v>52018</v>
      </c>
      <c r="O417" s="37">
        <v>40</v>
      </c>
      <c r="P417" s="37">
        <v>15</v>
      </c>
      <c r="R417">
        <v>1</v>
      </c>
    </row>
    <row r="418" spans="1:18" s="68" customFormat="1">
      <c r="A418" s="62">
        <v>920001</v>
      </c>
      <c r="B418" s="62">
        <v>12013</v>
      </c>
      <c r="C418" s="75" t="s">
        <v>104</v>
      </c>
      <c r="D418" s="62">
        <f>D417+7</f>
        <v>561</v>
      </c>
      <c r="E418" s="144" t="s">
        <v>19</v>
      </c>
      <c r="F418" s="62">
        <f>F417+7</f>
        <v>567</v>
      </c>
      <c r="G418" s="144" t="s">
        <v>20</v>
      </c>
      <c r="H418" s="62">
        <v>7001</v>
      </c>
      <c r="J418" s="144">
        <v>30</v>
      </c>
      <c r="K418" s="62">
        <v>1503</v>
      </c>
      <c r="L418" s="62" t="s">
        <v>105</v>
      </c>
      <c r="M418" s="62">
        <v>52012</v>
      </c>
      <c r="N418" s="62"/>
      <c r="O418" s="62">
        <v>34</v>
      </c>
      <c r="P418" s="62">
        <v>9</v>
      </c>
      <c r="R418" s="68">
        <v>1</v>
      </c>
    </row>
    <row r="419" spans="1:18" s="68" customFormat="1">
      <c r="A419" s="62">
        <v>920002</v>
      </c>
      <c r="B419" s="62">
        <v>12014</v>
      </c>
      <c r="C419" s="75" t="s">
        <v>106</v>
      </c>
      <c r="D419" s="62">
        <f t="shared" ref="D419:D423" si="12">D418</f>
        <v>561</v>
      </c>
      <c r="E419" s="144" t="s">
        <v>19</v>
      </c>
      <c r="F419" s="62">
        <f t="shared" ref="F419:F423" si="13">F418</f>
        <v>567</v>
      </c>
      <c r="G419" s="144" t="s">
        <v>20</v>
      </c>
      <c r="H419" s="62">
        <v>7002</v>
      </c>
      <c r="J419" s="144">
        <v>30</v>
      </c>
      <c r="K419" s="62">
        <v>1504</v>
      </c>
      <c r="L419" s="62" t="s">
        <v>107</v>
      </c>
      <c r="M419" s="62">
        <v>52013</v>
      </c>
      <c r="O419" s="62">
        <v>35</v>
      </c>
      <c r="P419" s="62">
        <v>10</v>
      </c>
      <c r="R419" s="68">
        <v>1</v>
      </c>
    </row>
    <row r="420" spans="1:18" s="68" customFormat="1">
      <c r="A420" s="62">
        <v>920003</v>
      </c>
      <c r="B420" s="62">
        <v>12008</v>
      </c>
      <c r="C420" s="75" t="s">
        <v>118</v>
      </c>
      <c r="D420" s="62">
        <f t="shared" si="12"/>
        <v>561</v>
      </c>
      <c r="E420" s="144" t="s">
        <v>19</v>
      </c>
      <c r="F420" s="62">
        <f t="shared" si="13"/>
        <v>567</v>
      </c>
      <c r="G420" s="144" t="s">
        <v>20</v>
      </c>
      <c r="H420" s="62">
        <v>1002</v>
      </c>
      <c r="J420" s="144">
        <v>30</v>
      </c>
      <c r="K420" s="62">
        <v>1012</v>
      </c>
      <c r="L420" s="62" t="s">
        <v>119</v>
      </c>
      <c r="M420" s="62">
        <v>52008</v>
      </c>
      <c r="N420" s="62"/>
      <c r="O420" s="62">
        <v>22</v>
      </c>
      <c r="P420" s="62">
        <v>7</v>
      </c>
      <c r="R420" s="68">
        <v>1</v>
      </c>
    </row>
    <row r="421" spans="1:18" s="68" customFormat="1">
      <c r="A421" s="62">
        <v>920004</v>
      </c>
      <c r="B421" s="62">
        <v>12009</v>
      </c>
      <c r="C421" s="75" t="s">
        <v>85</v>
      </c>
      <c r="D421" s="62">
        <f t="shared" si="12"/>
        <v>561</v>
      </c>
      <c r="E421" s="144" t="s">
        <v>19</v>
      </c>
      <c r="F421" s="62">
        <f t="shared" si="13"/>
        <v>567</v>
      </c>
      <c r="G421" s="144" t="s">
        <v>20</v>
      </c>
      <c r="K421" s="62">
        <v>1013</v>
      </c>
      <c r="L421" s="62" t="s">
        <v>86</v>
      </c>
      <c r="N421" s="68">
        <v>52011</v>
      </c>
      <c r="O421" s="62">
        <v>33</v>
      </c>
      <c r="P421" s="62"/>
      <c r="R421" s="68">
        <v>1</v>
      </c>
    </row>
    <row r="422" spans="1:18" s="68" customFormat="1">
      <c r="A422" s="62">
        <v>920005</v>
      </c>
      <c r="B422" s="62">
        <v>12006</v>
      </c>
      <c r="C422" s="75" t="s">
        <v>89</v>
      </c>
      <c r="D422" s="62">
        <f t="shared" si="12"/>
        <v>561</v>
      </c>
      <c r="E422" s="144" t="s">
        <v>19</v>
      </c>
      <c r="F422" s="62">
        <f t="shared" si="13"/>
        <v>567</v>
      </c>
      <c r="G422" s="144" t="s">
        <v>20</v>
      </c>
      <c r="K422" s="62">
        <v>1003</v>
      </c>
      <c r="L422" s="62" t="s">
        <v>90</v>
      </c>
      <c r="O422" s="62">
        <v>5</v>
      </c>
      <c r="P422" s="62"/>
      <c r="R422" s="68">
        <v>1</v>
      </c>
    </row>
    <row r="423" spans="1:18" s="68" customFormat="1">
      <c r="A423" s="62">
        <v>920006</v>
      </c>
      <c r="B423" s="62">
        <v>12004</v>
      </c>
      <c r="C423" s="75" t="s">
        <v>91</v>
      </c>
      <c r="D423" s="62">
        <f t="shared" si="12"/>
        <v>561</v>
      </c>
      <c r="E423" s="144" t="s">
        <v>19</v>
      </c>
      <c r="F423" s="62">
        <f t="shared" si="13"/>
        <v>567</v>
      </c>
      <c r="G423" s="144" t="s">
        <v>20</v>
      </c>
      <c r="H423" s="62">
        <v>1003</v>
      </c>
      <c r="I423" s="62"/>
      <c r="J423" s="144">
        <v>30</v>
      </c>
      <c r="K423" s="62">
        <v>1010</v>
      </c>
      <c r="L423" s="62" t="s">
        <v>92</v>
      </c>
      <c r="M423" s="62">
        <v>52006</v>
      </c>
      <c r="N423" s="62"/>
      <c r="O423" s="62">
        <v>6</v>
      </c>
      <c r="P423" s="62">
        <v>3</v>
      </c>
      <c r="R423" s="68">
        <v>1</v>
      </c>
    </row>
    <row r="424" spans="1:18" s="1" customFormat="1">
      <c r="A424" s="62">
        <v>930001</v>
      </c>
      <c r="B424" s="37">
        <v>12008</v>
      </c>
      <c r="C424" s="75" t="s">
        <v>118</v>
      </c>
      <c r="D424" s="37">
        <f>D423+7</f>
        <v>568</v>
      </c>
      <c r="E424" s="147" t="s">
        <v>19</v>
      </c>
      <c r="F424" s="37">
        <f>F423+7</f>
        <v>574</v>
      </c>
      <c r="G424" s="147" t="s">
        <v>20</v>
      </c>
      <c r="H424" s="37">
        <v>1002</v>
      </c>
      <c r="J424" s="147">
        <v>30</v>
      </c>
      <c r="K424" s="37">
        <v>1012</v>
      </c>
      <c r="L424" s="37" t="s">
        <v>119</v>
      </c>
      <c r="M424" s="37">
        <v>52008</v>
      </c>
      <c r="N424" s="37"/>
      <c r="O424" s="37">
        <v>22</v>
      </c>
      <c r="P424" s="37">
        <v>7</v>
      </c>
      <c r="R424">
        <v>1</v>
      </c>
    </row>
    <row r="425" spans="1:18" s="1" customFormat="1">
      <c r="A425" s="62">
        <v>930002</v>
      </c>
      <c r="B425" s="37">
        <v>12009</v>
      </c>
      <c r="C425" s="75" t="s">
        <v>85</v>
      </c>
      <c r="D425" s="37">
        <f>D424</f>
        <v>568</v>
      </c>
      <c r="E425" s="147" t="s">
        <v>19</v>
      </c>
      <c r="F425" s="37">
        <f>F424</f>
        <v>574</v>
      </c>
      <c r="G425" s="147" t="s">
        <v>20</v>
      </c>
      <c r="K425" s="37">
        <v>1013</v>
      </c>
      <c r="L425" s="37" t="s">
        <v>86</v>
      </c>
      <c r="N425" s="1">
        <v>52011</v>
      </c>
      <c r="O425" s="37">
        <v>33</v>
      </c>
      <c r="P425" s="37"/>
      <c r="R425">
        <v>1</v>
      </c>
    </row>
    <row r="426" spans="1:18" s="1" customFormat="1">
      <c r="A426" s="62">
        <v>930003</v>
      </c>
      <c r="B426" s="37">
        <v>12006</v>
      </c>
      <c r="C426" s="75" t="s">
        <v>89</v>
      </c>
      <c r="D426" s="37">
        <f t="shared" ref="D426:D435" si="14">D425</f>
        <v>568</v>
      </c>
      <c r="E426" s="147" t="s">
        <v>19</v>
      </c>
      <c r="F426" s="37">
        <f t="shared" ref="F426:F435" si="15">F425</f>
        <v>574</v>
      </c>
      <c r="G426" s="147" t="s">
        <v>20</v>
      </c>
      <c r="K426" s="37">
        <v>1003</v>
      </c>
      <c r="L426" s="37" t="s">
        <v>90</v>
      </c>
      <c r="O426" s="37">
        <v>5</v>
      </c>
      <c r="P426" s="37"/>
      <c r="R426">
        <v>1</v>
      </c>
    </row>
    <row r="427" spans="1:18" s="1" customFormat="1">
      <c r="A427" s="62">
        <v>930004</v>
      </c>
      <c r="B427" s="37">
        <v>12004</v>
      </c>
      <c r="C427" s="75" t="s">
        <v>91</v>
      </c>
      <c r="D427" s="37">
        <f t="shared" si="14"/>
        <v>568</v>
      </c>
      <c r="E427" s="147" t="s">
        <v>19</v>
      </c>
      <c r="F427" s="37">
        <f t="shared" si="15"/>
        <v>574</v>
      </c>
      <c r="G427" s="147" t="s">
        <v>20</v>
      </c>
      <c r="H427" s="37">
        <v>1003</v>
      </c>
      <c r="I427" s="37"/>
      <c r="J427" s="147">
        <v>30</v>
      </c>
      <c r="K427" s="37">
        <v>1010</v>
      </c>
      <c r="L427" s="37" t="s">
        <v>92</v>
      </c>
      <c r="M427" s="37">
        <v>52006</v>
      </c>
      <c r="N427" s="37"/>
      <c r="O427" s="37">
        <v>6</v>
      </c>
      <c r="P427" s="37">
        <v>3</v>
      </c>
      <c r="R427">
        <v>1</v>
      </c>
    </row>
    <row r="428" spans="1:18" s="68" customFormat="1" ht="21" customHeight="1">
      <c r="A428" s="62">
        <v>930005</v>
      </c>
      <c r="B428" s="62">
        <v>12020</v>
      </c>
      <c r="C428" s="75" t="s">
        <v>95</v>
      </c>
      <c r="D428" s="37">
        <f t="shared" si="14"/>
        <v>568</v>
      </c>
      <c r="E428" s="147" t="s">
        <v>19</v>
      </c>
      <c r="F428" s="37">
        <f t="shared" si="15"/>
        <v>574</v>
      </c>
      <c r="G428" s="144" t="s">
        <v>20</v>
      </c>
      <c r="H428" s="62">
        <v>7008</v>
      </c>
      <c r="J428" s="144">
        <v>30</v>
      </c>
      <c r="K428" s="62">
        <v>1510</v>
      </c>
      <c r="L428" s="62" t="s">
        <v>96</v>
      </c>
      <c r="M428" s="62">
        <v>52019</v>
      </c>
      <c r="O428" s="62">
        <v>41</v>
      </c>
      <c r="P428" s="62">
        <v>16</v>
      </c>
    </row>
    <row r="429" spans="1:18" s="68" customFormat="1">
      <c r="A429" s="62">
        <v>930006</v>
      </c>
      <c r="B429" s="62">
        <v>12021</v>
      </c>
      <c r="C429" s="75" t="s">
        <v>110</v>
      </c>
      <c r="D429" s="37">
        <f t="shared" si="14"/>
        <v>568</v>
      </c>
      <c r="E429" s="147" t="s">
        <v>19</v>
      </c>
      <c r="F429" s="37">
        <f t="shared" si="15"/>
        <v>574</v>
      </c>
      <c r="G429" s="144" t="s">
        <v>20</v>
      </c>
      <c r="H429" s="62">
        <v>7009</v>
      </c>
      <c r="J429" s="144">
        <v>30</v>
      </c>
      <c r="K429" s="62">
        <v>1511</v>
      </c>
      <c r="L429" s="62" t="s">
        <v>111</v>
      </c>
      <c r="M429" s="62">
        <v>52020</v>
      </c>
      <c r="O429" s="62">
        <v>42</v>
      </c>
      <c r="P429" s="62">
        <v>17</v>
      </c>
    </row>
    <row r="430" spans="1:18" s="139" customFormat="1">
      <c r="A430" s="155">
        <v>940001</v>
      </c>
      <c r="B430" s="155">
        <v>12005</v>
      </c>
      <c r="C430" s="75" t="s">
        <v>112</v>
      </c>
      <c r="D430" s="37">
        <f>D429+7</f>
        <v>575</v>
      </c>
      <c r="E430" s="147" t="s">
        <v>19</v>
      </c>
      <c r="F430" s="37">
        <f>F429+7</f>
        <v>581</v>
      </c>
      <c r="G430" s="156" t="s">
        <v>20</v>
      </c>
      <c r="H430" s="155">
        <v>3101</v>
      </c>
      <c r="I430" s="155"/>
      <c r="J430" s="156">
        <v>30</v>
      </c>
      <c r="K430" s="155">
        <v>1011</v>
      </c>
      <c r="L430" s="155" t="s">
        <v>113</v>
      </c>
      <c r="M430" s="155">
        <v>52007</v>
      </c>
      <c r="N430" s="155"/>
      <c r="O430" s="155">
        <v>18</v>
      </c>
      <c r="P430" s="155">
        <v>6</v>
      </c>
      <c r="R430">
        <v>1</v>
      </c>
    </row>
    <row r="431" spans="1:18" s="139" customFormat="1">
      <c r="A431" s="155">
        <v>940002</v>
      </c>
      <c r="B431" s="155">
        <v>12009</v>
      </c>
      <c r="C431" s="75" t="s">
        <v>85</v>
      </c>
      <c r="D431" s="37">
        <f t="shared" si="14"/>
        <v>575</v>
      </c>
      <c r="E431" s="147" t="s">
        <v>19</v>
      </c>
      <c r="F431" s="37">
        <f t="shared" si="15"/>
        <v>581</v>
      </c>
      <c r="G431" s="156" t="s">
        <v>20</v>
      </c>
      <c r="K431" s="155">
        <v>1013</v>
      </c>
      <c r="L431" s="155" t="s">
        <v>86</v>
      </c>
      <c r="N431" s="139">
        <v>52011</v>
      </c>
      <c r="O431" s="155">
        <v>33</v>
      </c>
      <c r="P431" s="155"/>
      <c r="R431">
        <v>1</v>
      </c>
    </row>
    <row r="432" spans="1:18" s="139" customFormat="1">
      <c r="A432" s="155">
        <v>940003</v>
      </c>
      <c r="B432" s="155">
        <v>12006</v>
      </c>
      <c r="C432" s="75" t="s">
        <v>89</v>
      </c>
      <c r="D432" s="37">
        <f t="shared" si="14"/>
        <v>575</v>
      </c>
      <c r="E432" s="147" t="s">
        <v>19</v>
      </c>
      <c r="F432" s="37">
        <f t="shared" si="15"/>
        <v>581</v>
      </c>
      <c r="G432" s="156" t="s">
        <v>20</v>
      </c>
      <c r="K432" s="155">
        <v>1003</v>
      </c>
      <c r="L432" s="155" t="s">
        <v>90</v>
      </c>
      <c r="O432" s="155">
        <v>5</v>
      </c>
      <c r="P432" s="155"/>
      <c r="R432">
        <v>1</v>
      </c>
    </row>
    <row r="433" spans="1:18" s="139" customFormat="1">
      <c r="A433" s="155">
        <v>940004</v>
      </c>
      <c r="B433" s="155">
        <v>12010</v>
      </c>
      <c r="C433" s="75" t="s">
        <v>81</v>
      </c>
      <c r="D433" s="37">
        <f t="shared" si="14"/>
        <v>575</v>
      </c>
      <c r="E433" s="147" t="s">
        <v>19</v>
      </c>
      <c r="F433" s="37">
        <f t="shared" si="15"/>
        <v>581</v>
      </c>
      <c r="G433" s="156" t="s">
        <v>20</v>
      </c>
      <c r="H433" s="155">
        <v>990</v>
      </c>
      <c r="I433" s="155"/>
      <c r="J433" s="155">
        <v>30</v>
      </c>
      <c r="K433" s="155">
        <v>1015</v>
      </c>
      <c r="L433" s="155" t="s">
        <v>82</v>
      </c>
      <c r="M433" s="155">
        <v>52009</v>
      </c>
      <c r="N433" s="155"/>
      <c r="O433" s="155">
        <v>1</v>
      </c>
      <c r="P433" s="155">
        <v>1</v>
      </c>
      <c r="R433">
        <v>1</v>
      </c>
    </row>
    <row r="434" spans="1:18" s="1" customFormat="1">
      <c r="A434" s="155">
        <v>940005</v>
      </c>
      <c r="B434" s="37">
        <v>12018</v>
      </c>
      <c r="C434" s="75" t="s">
        <v>114</v>
      </c>
      <c r="D434" s="37">
        <f t="shared" si="14"/>
        <v>575</v>
      </c>
      <c r="E434" s="147" t="s">
        <v>19</v>
      </c>
      <c r="F434" s="37">
        <f t="shared" si="15"/>
        <v>581</v>
      </c>
      <c r="G434" s="147" t="s">
        <v>20</v>
      </c>
      <c r="H434" s="37">
        <v>7006</v>
      </c>
      <c r="J434" s="147">
        <v>30</v>
      </c>
      <c r="K434" s="37">
        <v>1508</v>
      </c>
      <c r="L434" s="37" t="s">
        <v>115</v>
      </c>
      <c r="M434" s="37">
        <v>52017</v>
      </c>
      <c r="O434" s="37">
        <v>39</v>
      </c>
      <c r="P434" s="37">
        <v>14</v>
      </c>
      <c r="R434">
        <v>1</v>
      </c>
    </row>
    <row r="435" spans="1:18" s="1" customFormat="1">
      <c r="A435" s="155">
        <v>940006</v>
      </c>
      <c r="B435" s="37">
        <v>12019</v>
      </c>
      <c r="C435" s="75" t="s">
        <v>116</v>
      </c>
      <c r="D435" s="37">
        <f t="shared" si="14"/>
        <v>575</v>
      </c>
      <c r="E435" s="147" t="s">
        <v>19</v>
      </c>
      <c r="F435" s="37">
        <f t="shared" si="15"/>
        <v>581</v>
      </c>
      <c r="G435" s="147" t="s">
        <v>20</v>
      </c>
      <c r="H435" s="37">
        <v>7007</v>
      </c>
      <c r="J435" s="147">
        <v>30</v>
      </c>
      <c r="K435" s="37">
        <v>1509</v>
      </c>
      <c r="L435" s="37" t="s">
        <v>117</v>
      </c>
      <c r="M435" s="37">
        <v>52018</v>
      </c>
      <c r="O435" s="37">
        <v>40</v>
      </c>
      <c r="P435" s="37">
        <v>15</v>
      </c>
      <c r="R435">
        <v>1</v>
      </c>
    </row>
    <row r="436" spans="1:18" s="68" customFormat="1">
      <c r="A436" s="62">
        <v>950001</v>
      </c>
      <c r="B436" s="62">
        <v>12013</v>
      </c>
      <c r="C436" s="75" t="s">
        <v>104</v>
      </c>
      <c r="D436" s="37">
        <f>D435+7</f>
        <v>582</v>
      </c>
      <c r="E436" s="147" t="s">
        <v>19</v>
      </c>
      <c r="F436" s="37">
        <f>F435+7</f>
        <v>588</v>
      </c>
      <c r="G436" s="144" t="s">
        <v>20</v>
      </c>
      <c r="H436" s="62">
        <v>7001</v>
      </c>
      <c r="J436" s="144">
        <v>30</v>
      </c>
      <c r="K436" s="62">
        <v>1503</v>
      </c>
      <c r="L436" s="62" t="s">
        <v>105</v>
      </c>
      <c r="M436" s="62">
        <v>52012</v>
      </c>
      <c r="N436" s="62"/>
      <c r="O436" s="62">
        <v>34</v>
      </c>
      <c r="P436" s="62">
        <v>9</v>
      </c>
      <c r="R436" s="68">
        <v>1</v>
      </c>
    </row>
    <row r="437" spans="1:18" s="68" customFormat="1">
      <c r="A437" s="62">
        <v>950002</v>
      </c>
      <c r="B437" s="62">
        <v>12014</v>
      </c>
      <c r="C437" s="75" t="s">
        <v>106</v>
      </c>
      <c r="D437" s="37">
        <f t="shared" ref="D437:D441" si="16">D436</f>
        <v>582</v>
      </c>
      <c r="E437" s="147" t="s">
        <v>19</v>
      </c>
      <c r="F437" s="37">
        <f t="shared" ref="F437:F441" si="17">F436</f>
        <v>588</v>
      </c>
      <c r="G437" s="144" t="s">
        <v>20</v>
      </c>
      <c r="H437" s="62">
        <v>7002</v>
      </c>
      <c r="J437" s="144">
        <v>30</v>
      </c>
      <c r="K437" s="62">
        <v>1504</v>
      </c>
      <c r="L437" s="62" t="s">
        <v>107</v>
      </c>
      <c r="M437" s="62">
        <v>52013</v>
      </c>
      <c r="O437" s="62">
        <v>35</v>
      </c>
      <c r="P437" s="62">
        <v>10</v>
      </c>
      <c r="R437" s="68">
        <v>1</v>
      </c>
    </row>
    <row r="438" spans="1:18" s="68" customFormat="1">
      <c r="A438" s="62">
        <v>950003</v>
      </c>
      <c r="B438" s="62">
        <v>12008</v>
      </c>
      <c r="C438" s="75" t="s">
        <v>118</v>
      </c>
      <c r="D438" s="37">
        <f t="shared" si="16"/>
        <v>582</v>
      </c>
      <c r="E438" s="147" t="s">
        <v>19</v>
      </c>
      <c r="F438" s="37">
        <f t="shared" si="17"/>
        <v>588</v>
      </c>
      <c r="G438" s="144" t="s">
        <v>20</v>
      </c>
      <c r="H438" s="62">
        <v>1002</v>
      </c>
      <c r="J438" s="144">
        <v>30</v>
      </c>
      <c r="K438" s="62">
        <v>1012</v>
      </c>
      <c r="L438" s="62" t="s">
        <v>119</v>
      </c>
      <c r="M438" s="62">
        <v>52008</v>
      </c>
      <c r="N438" s="62"/>
      <c r="O438" s="62">
        <v>22</v>
      </c>
      <c r="P438" s="62">
        <v>7</v>
      </c>
      <c r="R438" s="68">
        <v>1</v>
      </c>
    </row>
    <row r="439" spans="1:18" s="68" customFormat="1">
      <c r="A439" s="62">
        <v>950004</v>
      </c>
      <c r="B439" s="62">
        <v>12009</v>
      </c>
      <c r="C439" s="75" t="s">
        <v>85</v>
      </c>
      <c r="D439" s="37">
        <f t="shared" si="16"/>
        <v>582</v>
      </c>
      <c r="E439" s="147" t="s">
        <v>19</v>
      </c>
      <c r="F439" s="37">
        <f t="shared" si="17"/>
        <v>588</v>
      </c>
      <c r="G439" s="144" t="s">
        <v>20</v>
      </c>
      <c r="K439" s="62">
        <v>1013</v>
      </c>
      <c r="L439" s="62" t="s">
        <v>86</v>
      </c>
      <c r="N439" s="68">
        <v>52011</v>
      </c>
      <c r="O439" s="62">
        <v>33</v>
      </c>
      <c r="P439" s="62"/>
      <c r="R439" s="68">
        <v>1</v>
      </c>
    </row>
    <row r="440" spans="1:18" s="68" customFormat="1">
      <c r="A440" s="62">
        <v>950005</v>
      </c>
      <c r="B440" s="62">
        <v>12006</v>
      </c>
      <c r="C440" s="75" t="s">
        <v>89</v>
      </c>
      <c r="D440" s="37">
        <f t="shared" si="16"/>
        <v>582</v>
      </c>
      <c r="E440" s="147" t="s">
        <v>19</v>
      </c>
      <c r="F440" s="37">
        <f t="shared" si="17"/>
        <v>588</v>
      </c>
      <c r="G440" s="144" t="s">
        <v>20</v>
      </c>
      <c r="K440" s="62">
        <v>1003</v>
      </c>
      <c r="L440" s="62" t="s">
        <v>90</v>
      </c>
      <c r="O440" s="62">
        <v>5</v>
      </c>
      <c r="P440" s="62"/>
      <c r="R440" s="68">
        <v>1</v>
      </c>
    </row>
    <row r="441" spans="1:18" s="68" customFormat="1">
      <c r="A441" s="62">
        <v>950006</v>
      </c>
      <c r="B441" s="62">
        <v>12004</v>
      </c>
      <c r="C441" s="75" t="s">
        <v>91</v>
      </c>
      <c r="D441" s="37">
        <f t="shared" si="16"/>
        <v>582</v>
      </c>
      <c r="E441" s="147" t="s">
        <v>19</v>
      </c>
      <c r="F441" s="37">
        <f t="shared" si="17"/>
        <v>588</v>
      </c>
      <c r="G441" s="144" t="s">
        <v>20</v>
      </c>
      <c r="H441" s="62">
        <v>1003</v>
      </c>
      <c r="I441" s="62"/>
      <c r="J441" s="144">
        <v>30</v>
      </c>
      <c r="K441" s="62">
        <v>1010</v>
      </c>
      <c r="L441" s="62" t="s">
        <v>92</v>
      </c>
      <c r="M441" s="62">
        <v>52006</v>
      </c>
      <c r="N441" s="62"/>
      <c r="O441" s="62">
        <v>6</v>
      </c>
      <c r="P441" s="62">
        <v>3</v>
      </c>
      <c r="R441" s="68">
        <v>1</v>
      </c>
    </row>
    <row r="442" spans="1:18" s="1" customFormat="1">
      <c r="A442" s="62">
        <v>960001</v>
      </c>
      <c r="B442" s="37">
        <v>12008</v>
      </c>
      <c r="C442" s="75" t="s">
        <v>118</v>
      </c>
      <c r="D442" s="37">
        <f>D441+7</f>
        <v>589</v>
      </c>
      <c r="E442" s="147" t="s">
        <v>19</v>
      </c>
      <c r="F442" s="37">
        <f>F441+7</f>
        <v>595</v>
      </c>
      <c r="G442" s="147" t="s">
        <v>20</v>
      </c>
      <c r="H442" s="37">
        <v>1002</v>
      </c>
      <c r="J442" s="147">
        <v>30</v>
      </c>
      <c r="K442" s="37">
        <v>1012</v>
      </c>
      <c r="L442" s="37" t="s">
        <v>119</v>
      </c>
      <c r="M442" s="37">
        <v>52008</v>
      </c>
      <c r="N442" s="37"/>
      <c r="O442" s="37">
        <v>22</v>
      </c>
      <c r="P442" s="37">
        <v>7</v>
      </c>
      <c r="R442">
        <v>1</v>
      </c>
    </row>
    <row r="443" spans="1:18" s="1" customFormat="1">
      <c r="A443" s="62">
        <v>960002</v>
      </c>
      <c r="B443" s="37">
        <v>12009</v>
      </c>
      <c r="C443" s="75" t="s">
        <v>85</v>
      </c>
      <c r="D443" s="37">
        <f t="shared" ref="D443:D447" si="18">D442</f>
        <v>589</v>
      </c>
      <c r="E443" s="147" t="s">
        <v>19</v>
      </c>
      <c r="F443" s="37">
        <f t="shared" ref="F443:F447" si="19">F442</f>
        <v>595</v>
      </c>
      <c r="G443" s="147" t="s">
        <v>20</v>
      </c>
      <c r="K443" s="37">
        <v>1013</v>
      </c>
      <c r="L443" s="37" t="s">
        <v>86</v>
      </c>
      <c r="N443" s="1">
        <v>52011</v>
      </c>
      <c r="O443" s="37">
        <v>33</v>
      </c>
      <c r="P443" s="37"/>
      <c r="R443">
        <v>1</v>
      </c>
    </row>
    <row r="444" spans="1:18" s="1" customFormat="1">
      <c r="A444" s="62">
        <v>960003</v>
      </c>
      <c r="B444" s="37">
        <v>12006</v>
      </c>
      <c r="C444" s="75" t="s">
        <v>89</v>
      </c>
      <c r="D444" s="37">
        <f t="shared" si="18"/>
        <v>589</v>
      </c>
      <c r="E444" s="147" t="s">
        <v>19</v>
      </c>
      <c r="F444" s="37">
        <f t="shared" si="19"/>
        <v>595</v>
      </c>
      <c r="G444" s="147" t="s">
        <v>20</v>
      </c>
      <c r="K444" s="37">
        <v>1003</v>
      </c>
      <c r="L444" s="37" t="s">
        <v>90</v>
      </c>
      <c r="O444" s="37">
        <v>5</v>
      </c>
      <c r="P444" s="37"/>
      <c r="R444">
        <v>1</v>
      </c>
    </row>
    <row r="445" spans="1:18" s="1" customFormat="1">
      <c r="A445" s="62">
        <v>960004</v>
      </c>
      <c r="B445" s="37">
        <v>12004</v>
      </c>
      <c r="C445" s="75" t="s">
        <v>91</v>
      </c>
      <c r="D445" s="37">
        <f t="shared" si="18"/>
        <v>589</v>
      </c>
      <c r="E445" s="147" t="s">
        <v>19</v>
      </c>
      <c r="F445" s="37">
        <f t="shared" si="19"/>
        <v>595</v>
      </c>
      <c r="G445" s="147" t="s">
        <v>20</v>
      </c>
      <c r="H445" s="37">
        <v>1003</v>
      </c>
      <c r="I445" s="37"/>
      <c r="J445" s="147">
        <v>30</v>
      </c>
      <c r="K445" s="37">
        <v>1010</v>
      </c>
      <c r="L445" s="37" t="s">
        <v>92</v>
      </c>
      <c r="M445" s="37">
        <v>52006</v>
      </c>
      <c r="N445" s="37"/>
      <c r="O445" s="37">
        <v>6</v>
      </c>
      <c r="P445" s="37">
        <v>3</v>
      </c>
      <c r="R445">
        <v>1</v>
      </c>
    </row>
    <row r="446" spans="1:18" s="68" customFormat="1" ht="21" customHeight="1">
      <c r="A446" s="62">
        <v>960005</v>
      </c>
      <c r="B446" s="62">
        <v>12020</v>
      </c>
      <c r="C446" s="75" t="s">
        <v>95</v>
      </c>
      <c r="D446" s="37">
        <f t="shared" si="18"/>
        <v>589</v>
      </c>
      <c r="E446" s="147" t="s">
        <v>19</v>
      </c>
      <c r="F446" s="37">
        <f t="shared" si="19"/>
        <v>595</v>
      </c>
      <c r="G446" s="144" t="s">
        <v>20</v>
      </c>
      <c r="H446" s="62">
        <v>7008</v>
      </c>
      <c r="J446" s="144">
        <v>30</v>
      </c>
      <c r="K446" s="62">
        <v>1510</v>
      </c>
      <c r="L446" s="62" t="s">
        <v>96</v>
      </c>
      <c r="M446" s="62">
        <v>52019</v>
      </c>
      <c r="O446" s="62">
        <v>41</v>
      </c>
      <c r="P446" s="62">
        <v>16</v>
      </c>
    </row>
    <row r="447" spans="1:18" s="68" customFormat="1">
      <c r="A447" s="62">
        <v>960006</v>
      </c>
      <c r="B447" s="62">
        <v>12021</v>
      </c>
      <c r="C447" s="75" t="s">
        <v>110</v>
      </c>
      <c r="D447" s="37">
        <f t="shared" si="18"/>
        <v>589</v>
      </c>
      <c r="E447" s="147" t="s">
        <v>19</v>
      </c>
      <c r="F447" s="37">
        <f t="shared" si="19"/>
        <v>595</v>
      </c>
      <c r="G447" s="144" t="s">
        <v>20</v>
      </c>
      <c r="H447" s="62">
        <v>7009</v>
      </c>
      <c r="J447" s="144">
        <v>30</v>
      </c>
      <c r="K447" s="62">
        <v>1511</v>
      </c>
      <c r="L447" s="62" t="s">
        <v>111</v>
      </c>
      <c r="M447" s="62">
        <v>52020</v>
      </c>
      <c r="O447" s="62">
        <v>42</v>
      </c>
      <c r="P447" s="62">
        <v>17</v>
      </c>
    </row>
    <row r="448" spans="1:18" s="139" customFormat="1">
      <c r="A448" s="155">
        <v>970001</v>
      </c>
      <c r="B448" s="155">
        <v>12005</v>
      </c>
      <c r="C448" s="75" t="s">
        <v>112</v>
      </c>
      <c r="D448" s="37">
        <f>D447+7</f>
        <v>596</v>
      </c>
      <c r="E448" s="147" t="s">
        <v>19</v>
      </c>
      <c r="F448" s="37">
        <f>F447+7</f>
        <v>602</v>
      </c>
      <c r="G448" s="156" t="s">
        <v>20</v>
      </c>
      <c r="H448" s="155">
        <v>3101</v>
      </c>
      <c r="I448" s="155"/>
      <c r="J448" s="156">
        <v>30</v>
      </c>
      <c r="K448" s="155">
        <v>1011</v>
      </c>
      <c r="L448" s="155" t="s">
        <v>113</v>
      </c>
      <c r="M448" s="155">
        <v>52007</v>
      </c>
      <c r="N448" s="155"/>
      <c r="O448" s="155">
        <v>18</v>
      </c>
      <c r="P448" s="155">
        <v>6</v>
      </c>
      <c r="R448">
        <v>1</v>
      </c>
    </row>
    <row r="449" spans="1:18" s="139" customFormat="1">
      <c r="A449" s="155">
        <v>970002</v>
      </c>
      <c r="B449" s="155">
        <v>12009</v>
      </c>
      <c r="C449" s="75" t="s">
        <v>85</v>
      </c>
      <c r="D449" s="37">
        <f t="shared" ref="D449:D453" si="20">D448</f>
        <v>596</v>
      </c>
      <c r="E449" s="147" t="s">
        <v>19</v>
      </c>
      <c r="F449" s="37">
        <f t="shared" ref="F449:F453" si="21">F448</f>
        <v>602</v>
      </c>
      <c r="G449" s="156" t="s">
        <v>20</v>
      </c>
      <c r="K449" s="155">
        <v>1013</v>
      </c>
      <c r="L449" s="155" t="s">
        <v>86</v>
      </c>
      <c r="N449" s="139">
        <v>52011</v>
      </c>
      <c r="O449" s="155">
        <v>33</v>
      </c>
      <c r="P449" s="155"/>
      <c r="R449">
        <v>1</v>
      </c>
    </row>
    <row r="450" spans="1:18" s="139" customFormat="1">
      <c r="A450" s="155">
        <v>970003</v>
      </c>
      <c r="B450" s="155">
        <v>12006</v>
      </c>
      <c r="C450" s="75" t="s">
        <v>89</v>
      </c>
      <c r="D450" s="37">
        <f t="shared" si="20"/>
        <v>596</v>
      </c>
      <c r="E450" s="147" t="s">
        <v>19</v>
      </c>
      <c r="F450" s="37">
        <f t="shared" si="21"/>
        <v>602</v>
      </c>
      <c r="G450" s="156" t="s">
        <v>20</v>
      </c>
      <c r="K450" s="155">
        <v>1003</v>
      </c>
      <c r="L450" s="155" t="s">
        <v>90</v>
      </c>
      <c r="O450" s="155">
        <v>5</v>
      </c>
      <c r="P450" s="155"/>
      <c r="R450">
        <v>1</v>
      </c>
    </row>
    <row r="451" spans="1:18" s="139" customFormat="1">
      <c r="A451" s="155">
        <v>970004</v>
      </c>
      <c r="B451" s="155">
        <v>12010</v>
      </c>
      <c r="C451" s="75" t="s">
        <v>81</v>
      </c>
      <c r="D451" s="37">
        <f t="shared" si="20"/>
        <v>596</v>
      </c>
      <c r="E451" s="147" t="s">
        <v>19</v>
      </c>
      <c r="F451" s="37">
        <f t="shared" si="21"/>
        <v>602</v>
      </c>
      <c r="G451" s="156" t="s">
        <v>20</v>
      </c>
      <c r="H451" s="155">
        <v>990</v>
      </c>
      <c r="I451" s="155"/>
      <c r="J451" s="155">
        <v>30</v>
      </c>
      <c r="K451" s="155">
        <v>1015</v>
      </c>
      <c r="L451" s="155" t="s">
        <v>82</v>
      </c>
      <c r="M451" s="155">
        <v>52009</v>
      </c>
      <c r="N451" s="155"/>
      <c r="O451" s="155">
        <v>1</v>
      </c>
      <c r="P451" s="155">
        <v>1</v>
      </c>
      <c r="R451">
        <v>1</v>
      </c>
    </row>
    <row r="452" spans="1:18" s="1" customFormat="1">
      <c r="A452" s="155">
        <v>970005</v>
      </c>
      <c r="B452" s="37">
        <v>12018</v>
      </c>
      <c r="C452" s="75" t="s">
        <v>114</v>
      </c>
      <c r="D452" s="37">
        <f t="shared" si="20"/>
        <v>596</v>
      </c>
      <c r="E452" s="147" t="s">
        <v>19</v>
      </c>
      <c r="F452" s="37">
        <f t="shared" si="21"/>
        <v>602</v>
      </c>
      <c r="G452" s="147" t="s">
        <v>20</v>
      </c>
      <c r="H452" s="37">
        <v>7006</v>
      </c>
      <c r="J452" s="147">
        <v>30</v>
      </c>
      <c r="K452" s="37">
        <v>1508</v>
      </c>
      <c r="L452" s="37" t="s">
        <v>115</v>
      </c>
      <c r="M452" s="37">
        <v>52017</v>
      </c>
      <c r="O452" s="37">
        <v>39</v>
      </c>
      <c r="P452" s="37">
        <v>14</v>
      </c>
      <c r="R452">
        <v>1</v>
      </c>
    </row>
    <row r="453" spans="1:18" s="1" customFormat="1">
      <c r="A453" s="155">
        <v>970006</v>
      </c>
      <c r="B453" s="37">
        <v>12019</v>
      </c>
      <c r="C453" s="75" t="s">
        <v>116</v>
      </c>
      <c r="D453" s="37">
        <f t="shared" si="20"/>
        <v>596</v>
      </c>
      <c r="E453" s="147" t="s">
        <v>19</v>
      </c>
      <c r="F453" s="37">
        <f t="shared" si="21"/>
        <v>602</v>
      </c>
      <c r="G453" s="147" t="s">
        <v>20</v>
      </c>
      <c r="H453" s="37">
        <v>7007</v>
      </c>
      <c r="J453" s="147">
        <v>30</v>
      </c>
      <c r="K453" s="37">
        <v>1509</v>
      </c>
      <c r="L453" s="37" t="s">
        <v>117</v>
      </c>
      <c r="M453" s="37">
        <v>52018</v>
      </c>
      <c r="O453" s="37">
        <v>40</v>
      </c>
      <c r="P453" s="37">
        <v>15</v>
      </c>
      <c r="R453">
        <v>1</v>
      </c>
    </row>
    <row r="454" spans="1:18" s="68" customFormat="1">
      <c r="A454" s="62">
        <v>980001</v>
      </c>
      <c r="B454" s="62">
        <v>12013</v>
      </c>
      <c r="C454" s="75" t="s">
        <v>104</v>
      </c>
      <c r="D454" s="37">
        <f>D453+7</f>
        <v>603</v>
      </c>
      <c r="E454" s="147" t="s">
        <v>19</v>
      </c>
      <c r="F454" s="37">
        <f>F453+7</f>
        <v>609</v>
      </c>
      <c r="G454" s="144" t="s">
        <v>20</v>
      </c>
      <c r="H454" s="62">
        <v>7001</v>
      </c>
      <c r="J454" s="144">
        <v>30</v>
      </c>
      <c r="K454" s="62">
        <v>1503</v>
      </c>
      <c r="L454" s="62" t="s">
        <v>105</v>
      </c>
      <c r="M454" s="62">
        <v>52012</v>
      </c>
      <c r="N454" s="62"/>
      <c r="O454" s="62">
        <v>34</v>
      </c>
      <c r="P454" s="62">
        <v>9</v>
      </c>
      <c r="R454" s="68">
        <v>1</v>
      </c>
    </row>
    <row r="455" spans="1:18" s="68" customFormat="1">
      <c r="A455" s="62">
        <v>980002</v>
      </c>
      <c r="B455" s="62">
        <v>12014</v>
      </c>
      <c r="C455" s="75" t="s">
        <v>106</v>
      </c>
      <c r="D455" s="37">
        <f t="shared" ref="D455:D459" si="22">D454</f>
        <v>603</v>
      </c>
      <c r="E455" s="147" t="s">
        <v>19</v>
      </c>
      <c r="F455" s="37">
        <f t="shared" ref="F455:F459" si="23">F454</f>
        <v>609</v>
      </c>
      <c r="G455" s="144" t="s">
        <v>20</v>
      </c>
      <c r="H455" s="62">
        <v>7002</v>
      </c>
      <c r="J455" s="144">
        <v>30</v>
      </c>
      <c r="K455" s="62">
        <v>1504</v>
      </c>
      <c r="L455" s="62" t="s">
        <v>107</v>
      </c>
      <c r="M455" s="62">
        <v>52013</v>
      </c>
      <c r="O455" s="62">
        <v>35</v>
      </c>
      <c r="P455" s="62">
        <v>10</v>
      </c>
      <c r="R455" s="68">
        <v>1</v>
      </c>
    </row>
    <row r="456" spans="1:18" s="68" customFormat="1">
      <c r="A456" s="62">
        <v>980003</v>
      </c>
      <c r="B456" s="62">
        <v>12008</v>
      </c>
      <c r="C456" s="75" t="s">
        <v>118</v>
      </c>
      <c r="D456" s="37">
        <f t="shared" si="22"/>
        <v>603</v>
      </c>
      <c r="E456" s="147" t="s">
        <v>19</v>
      </c>
      <c r="F456" s="37">
        <f t="shared" si="23"/>
        <v>609</v>
      </c>
      <c r="G456" s="144" t="s">
        <v>20</v>
      </c>
      <c r="H456" s="62">
        <v>1002</v>
      </c>
      <c r="J456" s="144">
        <v>30</v>
      </c>
      <c r="K456" s="62">
        <v>1012</v>
      </c>
      <c r="L456" s="62" t="s">
        <v>119</v>
      </c>
      <c r="M456" s="62">
        <v>52008</v>
      </c>
      <c r="N456" s="62"/>
      <c r="O456" s="62">
        <v>22</v>
      </c>
      <c r="P456" s="62">
        <v>7</v>
      </c>
      <c r="R456" s="68">
        <v>1</v>
      </c>
    </row>
    <row r="457" spans="1:18" s="68" customFormat="1">
      <c r="A457" s="62">
        <v>980004</v>
      </c>
      <c r="B457" s="62">
        <v>12009</v>
      </c>
      <c r="C457" s="75" t="s">
        <v>85</v>
      </c>
      <c r="D457" s="37">
        <f t="shared" si="22"/>
        <v>603</v>
      </c>
      <c r="E457" s="147" t="s">
        <v>19</v>
      </c>
      <c r="F457" s="37">
        <f t="shared" si="23"/>
        <v>609</v>
      </c>
      <c r="G457" s="144" t="s">
        <v>20</v>
      </c>
      <c r="K457" s="62">
        <v>1013</v>
      </c>
      <c r="L457" s="62" t="s">
        <v>86</v>
      </c>
      <c r="N457" s="68">
        <v>52011</v>
      </c>
      <c r="O457" s="62">
        <v>33</v>
      </c>
      <c r="P457" s="62"/>
      <c r="R457" s="68">
        <v>1</v>
      </c>
    </row>
    <row r="458" spans="1:18" s="68" customFormat="1">
      <c r="A458" s="62">
        <v>980005</v>
      </c>
      <c r="B458" s="62">
        <v>12006</v>
      </c>
      <c r="C458" s="75" t="s">
        <v>89</v>
      </c>
      <c r="D458" s="37">
        <f t="shared" si="22"/>
        <v>603</v>
      </c>
      <c r="E458" s="147" t="s">
        <v>19</v>
      </c>
      <c r="F458" s="37">
        <f t="shared" si="23"/>
        <v>609</v>
      </c>
      <c r="G458" s="144" t="s">
        <v>20</v>
      </c>
      <c r="K458" s="62">
        <v>1003</v>
      </c>
      <c r="L458" s="62" t="s">
        <v>90</v>
      </c>
      <c r="O458" s="62">
        <v>5</v>
      </c>
      <c r="P458" s="62"/>
      <c r="R458" s="68">
        <v>1</v>
      </c>
    </row>
    <row r="459" spans="1:18" s="68" customFormat="1">
      <c r="A459" s="62">
        <v>980006</v>
      </c>
      <c r="B459" s="62">
        <v>12004</v>
      </c>
      <c r="C459" s="75" t="s">
        <v>91</v>
      </c>
      <c r="D459" s="37">
        <f t="shared" si="22"/>
        <v>603</v>
      </c>
      <c r="E459" s="147" t="s">
        <v>19</v>
      </c>
      <c r="F459" s="37">
        <f t="shared" si="23"/>
        <v>609</v>
      </c>
      <c r="G459" s="144" t="s">
        <v>20</v>
      </c>
      <c r="H459" s="62">
        <v>1003</v>
      </c>
      <c r="I459" s="62"/>
      <c r="J459" s="144">
        <v>30</v>
      </c>
      <c r="K459" s="62">
        <v>1010</v>
      </c>
      <c r="L459" s="62" t="s">
        <v>92</v>
      </c>
      <c r="M459" s="62">
        <v>52006</v>
      </c>
      <c r="N459" s="62"/>
      <c r="O459" s="62">
        <v>6</v>
      </c>
      <c r="P459" s="62">
        <v>3</v>
      </c>
      <c r="R459" s="68">
        <v>1</v>
      </c>
    </row>
    <row r="460" spans="1:18" s="1" customFormat="1">
      <c r="A460" s="62">
        <v>990001</v>
      </c>
      <c r="B460" s="37">
        <v>12008</v>
      </c>
      <c r="C460" s="75" t="s">
        <v>118</v>
      </c>
      <c r="D460" s="37">
        <f>D459+7</f>
        <v>610</v>
      </c>
      <c r="E460" s="147" t="s">
        <v>19</v>
      </c>
      <c r="F460" s="37">
        <f>F459+7</f>
        <v>616</v>
      </c>
      <c r="G460" s="147" t="s">
        <v>20</v>
      </c>
      <c r="H460" s="37">
        <v>1002</v>
      </c>
      <c r="J460" s="147">
        <v>30</v>
      </c>
      <c r="K460" s="37">
        <v>1012</v>
      </c>
      <c r="L460" s="37" t="s">
        <v>119</v>
      </c>
      <c r="M460" s="37">
        <v>52008</v>
      </c>
      <c r="N460" s="37"/>
      <c r="O460" s="37">
        <v>22</v>
      </c>
      <c r="P460" s="37">
        <v>7</v>
      </c>
      <c r="R460">
        <v>1</v>
      </c>
    </row>
    <row r="461" spans="1:18" s="1" customFormat="1">
      <c r="A461" s="62">
        <v>990002</v>
      </c>
      <c r="B461" s="37">
        <v>12009</v>
      </c>
      <c r="C461" s="75" t="s">
        <v>85</v>
      </c>
      <c r="D461" s="37">
        <f t="shared" ref="D461:D465" si="24">D460</f>
        <v>610</v>
      </c>
      <c r="E461" s="147" t="s">
        <v>19</v>
      </c>
      <c r="F461" s="37">
        <f t="shared" ref="F461:F465" si="25">F460</f>
        <v>616</v>
      </c>
      <c r="G461" s="147" t="s">
        <v>20</v>
      </c>
      <c r="K461" s="37">
        <v>1013</v>
      </c>
      <c r="L461" s="37" t="s">
        <v>86</v>
      </c>
      <c r="N461" s="1">
        <v>52011</v>
      </c>
      <c r="O461" s="37">
        <v>33</v>
      </c>
      <c r="P461" s="37"/>
      <c r="R461">
        <v>1</v>
      </c>
    </row>
    <row r="462" spans="1:18" s="1" customFormat="1">
      <c r="A462" s="62">
        <v>990003</v>
      </c>
      <c r="B462" s="37">
        <v>12006</v>
      </c>
      <c r="C462" s="75" t="s">
        <v>89</v>
      </c>
      <c r="D462" s="37">
        <f t="shared" si="24"/>
        <v>610</v>
      </c>
      <c r="E462" s="147" t="s">
        <v>19</v>
      </c>
      <c r="F462" s="37">
        <f t="shared" si="25"/>
        <v>616</v>
      </c>
      <c r="G462" s="147" t="s">
        <v>20</v>
      </c>
      <c r="K462" s="37">
        <v>1003</v>
      </c>
      <c r="L462" s="37" t="s">
        <v>90</v>
      </c>
      <c r="O462" s="37">
        <v>5</v>
      </c>
      <c r="P462" s="37"/>
      <c r="R462">
        <v>1</v>
      </c>
    </row>
    <row r="463" spans="1:18" s="1" customFormat="1">
      <c r="A463" s="62">
        <v>990004</v>
      </c>
      <c r="B463" s="37">
        <v>12004</v>
      </c>
      <c r="C463" s="75" t="s">
        <v>91</v>
      </c>
      <c r="D463" s="37">
        <f t="shared" si="24"/>
        <v>610</v>
      </c>
      <c r="E463" s="147" t="s">
        <v>19</v>
      </c>
      <c r="F463" s="37">
        <f t="shared" si="25"/>
        <v>616</v>
      </c>
      <c r="G463" s="147" t="s">
        <v>20</v>
      </c>
      <c r="H463" s="37">
        <v>1003</v>
      </c>
      <c r="I463" s="37"/>
      <c r="J463" s="147">
        <v>30</v>
      </c>
      <c r="K463" s="37">
        <v>1010</v>
      </c>
      <c r="L463" s="37" t="s">
        <v>92</v>
      </c>
      <c r="M463" s="37">
        <v>52006</v>
      </c>
      <c r="N463" s="37"/>
      <c r="O463" s="37">
        <v>6</v>
      </c>
      <c r="P463" s="37">
        <v>3</v>
      </c>
      <c r="R463">
        <v>1</v>
      </c>
    </row>
    <row r="464" spans="1:18" s="68" customFormat="1" ht="21" customHeight="1">
      <c r="A464" s="62">
        <v>990005</v>
      </c>
      <c r="B464" s="62">
        <v>12020</v>
      </c>
      <c r="C464" s="75" t="s">
        <v>95</v>
      </c>
      <c r="D464" s="37">
        <f t="shared" si="24"/>
        <v>610</v>
      </c>
      <c r="E464" s="147" t="s">
        <v>19</v>
      </c>
      <c r="F464" s="37">
        <f t="shared" si="25"/>
        <v>616</v>
      </c>
      <c r="G464" s="144" t="s">
        <v>20</v>
      </c>
      <c r="H464" s="62">
        <v>7008</v>
      </c>
      <c r="J464" s="144">
        <v>30</v>
      </c>
      <c r="K464" s="62">
        <v>1510</v>
      </c>
      <c r="L464" s="62" t="s">
        <v>96</v>
      </c>
      <c r="M464" s="62">
        <v>52019</v>
      </c>
      <c r="O464" s="62">
        <v>41</v>
      </c>
      <c r="P464" s="62">
        <v>16</v>
      </c>
    </row>
    <row r="465" spans="1:18" s="68" customFormat="1">
      <c r="A465" s="62">
        <v>990006</v>
      </c>
      <c r="B465" s="62">
        <v>12021</v>
      </c>
      <c r="C465" s="75" t="s">
        <v>110</v>
      </c>
      <c r="D465" s="37">
        <f t="shared" si="24"/>
        <v>610</v>
      </c>
      <c r="E465" s="147" t="s">
        <v>19</v>
      </c>
      <c r="F465" s="37">
        <f t="shared" si="25"/>
        <v>616</v>
      </c>
      <c r="G465" s="144" t="s">
        <v>20</v>
      </c>
      <c r="H465" s="62">
        <v>7009</v>
      </c>
      <c r="J465" s="144">
        <v>30</v>
      </c>
      <c r="K465" s="62">
        <v>1511</v>
      </c>
      <c r="L465" s="62" t="s">
        <v>111</v>
      </c>
      <c r="M465" s="62">
        <v>52020</v>
      </c>
      <c r="O465" s="62">
        <v>42</v>
      </c>
      <c r="P465" s="62">
        <v>17</v>
      </c>
    </row>
    <row r="466" spans="1:18" s="139" customFormat="1">
      <c r="A466" s="155">
        <v>199001</v>
      </c>
      <c r="B466" s="155">
        <v>12005</v>
      </c>
      <c r="C466" s="75" t="s">
        <v>112</v>
      </c>
      <c r="D466" s="37">
        <f>D465+7</f>
        <v>617</v>
      </c>
      <c r="E466" s="147" t="s">
        <v>19</v>
      </c>
      <c r="F466" s="37">
        <f>F465+7</f>
        <v>623</v>
      </c>
      <c r="G466" s="156" t="s">
        <v>20</v>
      </c>
      <c r="H466" s="155">
        <v>3101</v>
      </c>
      <c r="I466" s="155"/>
      <c r="J466" s="156">
        <v>30</v>
      </c>
      <c r="K466" s="155">
        <v>1011</v>
      </c>
      <c r="L466" s="155" t="s">
        <v>113</v>
      </c>
      <c r="M466" s="155">
        <v>52007</v>
      </c>
      <c r="N466" s="155"/>
      <c r="O466" s="155">
        <v>18</v>
      </c>
      <c r="P466" s="155">
        <v>6</v>
      </c>
      <c r="R466">
        <v>1</v>
      </c>
    </row>
    <row r="467" spans="1:18" s="139" customFormat="1">
      <c r="A467" s="155">
        <v>199002</v>
      </c>
      <c r="B467" s="155">
        <v>12009</v>
      </c>
      <c r="C467" s="75" t="s">
        <v>85</v>
      </c>
      <c r="D467" s="37">
        <f t="shared" ref="D467:D471" si="26">D466</f>
        <v>617</v>
      </c>
      <c r="E467" s="147" t="s">
        <v>19</v>
      </c>
      <c r="F467" s="37">
        <f t="shared" ref="F467:F471" si="27">F466</f>
        <v>623</v>
      </c>
      <c r="G467" s="156" t="s">
        <v>20</v>
      </c>
      <c r="K467" s="155">
        <v>1013</v>
      </c>
      <c r="L467" s="155" t="s">
        <v>86</v>
      </c>
      <c r="N467" s="139">
        <v>52011</v>
      </c>
      <c r="O467" s="155">
        <v>33</v>
      </c>
      <c r="P467" s="155"/>
      <c r="R467">
        <v>1</v>
      </c>
    </row>
    <row r="468" spans="1:18" s="139" customFormat="1">
      <c r="A468" s="155">
        <v>199003</v>
      </c>
      <c r="B468" s="155">
        <v>12006</v>
      </c>
      <c r="C468" s="75" t="s">
        <v>89</v>
      </c>
      <c r="D468" s="37">
        <f t="shared" si="26"/>
        <v>617</v>
      </c>
      <c r="E468" s="147" t="s">
        <v>19</v>
      </c>
      <c r="F468" s="37">
        <f t="shared" si="27"/>
        <v>623</v>
      </c>
      <c r="G468" s="156" t="s">
        <v>20</v>
      </c>
      <c r="K468" s="155">
        <v>1003</v>
      </c>
      <c r="L468" s="155" t="s">
        <v>90</v>
      </c>
      <c r="O468" s="155">
        <v>5</v>
      </c>
      <c r="P468" s="155"/>
      <c r="R468">
        <v>1</v>
      </c>
    </row>
    <row r="469" spans="1:18" s="139" customFormat="1">
      <c r="A469" s="155">
        <v>199004</v>
      </c>
      <c r="B469" s="155">
        <v>12010</v>
      </c>
      <c r="C469" s="75" t="s">
        <v>81</v>
      </c>
      <c r="D469" s="37">
        <f t="shared" si="26"/>
        <v>617</v>
      </c>
      <c r="E469" s="147" t="s">
        <v>19</v>
      </c>
      <c r="F469" s="37">
        <f t="shared" si="27"/>
        <v>623</v>
      </c>
      <c r="G469" s="156" t="s">
        <v>20</v>
      </c>
      <c r="H469" s="155">
        <v>990</v>
      </c>
      <c r="I469" s="155"/>
      <c r="J469" s="155">
        <v>30</v>
      </c>
      <c r="K469" s="155">
        <v>1015</v>
      </c>
      <c r="L469" s="155" t="s">
        <v>82</v>
      </c>
      <c r="M469" s="155">
        <v>52009</v>
      </c>
      <c r="N469" s="155"/>
      <c r="O469" s="155">
        <v>1</v>
      </c>
      <c r="P469" s="155">
        <v>1</v>
      </c>
      <c r="R469">
        <v>1</v>
      </c>
    </row>
    <row r="470" spans="1:18" s="1" customFormat="1">
      <c r="A470" s="155">
        <v>199005</v>
      </c>
      <c r="B470" s="37">
        <v>12018</v>
      </c>
      <c r="C470" s="75" t="s">
        <v>114</v>
      </c>
      <c r="D470" s="37">
        <f t="shared" si="26"/>
        <v>617</v>
      </c>
      <c r="E470" s="147" t="s">
        <v>19</v>
      </c>
      <c r="F470" s="37">
        <f t="shared" si="27"/>
        <v>623</v>
      </c>
      <c r="G470" s="147" t="s">
        <v>20</v>
      </c>
      <c r="H470" s="37">
        <v>7006</v>
      </c>
      <c r="J470" s="147">
        <v>30</v>
      </c>
      <c r="K470" s="37">
        <v>1508</v>
      </c>
      <c r="L470" s="37" t="s">
        <v>115</v>
      </c>
      <c r="M470" s="37">
        <v>52017</v>
      </c>
      <c r="O470" s="37">
        <v>39</v>
      </c>
      <c r="P470" s="37">
        <v>14</v>
      </c>
      <c r="R470">
        <v>1</v>
      </c>
    </row>
    <row r="471" spans="1:18" s="1" customFormat="1">
      <c r="A471" s="155">
        <v>199006</v>
      </c>
      <c r="B471" s="37">
        <v>12019</v>
      </c>
      <c r="C471" s="75" t="s">
        <v>116</v>
      </c>
      <c r="D471" s="37">
        <f t="shared" si="26"/>
        <v>617</v>
      </c>
      <c r="E471" s="147" t="s">
        <v>19</v>
      </c>
      <c r="F471" s="37">
        <f t="shared" si="27"/>
        <v>623</v>
      </c>
      <c r="G471" s="147" t="s">
        <v>20</v>
      </c>
      <c r="H471" s="37">
        <v>7007</v>
      </c>
      <c r="J471" s="147">
        <v>30</v>
      </c>
      <c r="K471" s="37">
        <v>1509</v>
      </c>
      <c r="L471" s="37" t="s">
        <v>117</v>
      </c>
      <c r="M471" s="37">
        <v>52018</v>
      </c>
      <c r="O471" s="37">
        <v>40</v>
      </c>
      <c r="P471" s="37">
        <v>15</v>
      </c>
      <c r="R471">
        <v>1</v>
      </c>
    </row>
    <row r="472" spans="1:18" s="68" customFormat="1">
      <c r="A472" s="155">
        <v>199007</v>
      </c>
      <c r="B472" s="62">
        <v>12013</v>
      </c>
      <c r="C472" s="75" t="s">
        <v>104</v>
      </c>
      <c r="D472" s="37">
        <f>D471+7</f>
        <v>624</v>
      </c>
      <c r="E472" s="147" t="s">
        <v>19</v>
      </c>
      <c r="F472" s="37">
        <f>F471+7</f>
        <v>630</v>
      </c>
      <c r="G472" s="144" t="s">
        <v>20</v>
      </c>
      <c r="H472" s="62">
        <v>7001</v>
      </c>
      <c r="J472" s="144">
        <v>30</v>
      </c>
      <c r="K472" s="62">
        <v>1503</v>
      </c>
      <c r="L472" s="62" t="s">
        <v>105</v>
      </c>
      <c r="M472" s="62">
        <v>52012</v>
      </c>
      <c r="N472" s="62"/>
      <c r="O472" s="62">
        <v>34</v>
      </c>
      <c r="P472" s="62">
        <v>9</v>
      </c>
      <c r="R472" s="68">
        <v>1</v>
      </c>
    </row>
    <row r="473" spans="1:18" s="68" customFormat="1">
      <c r="A473" s="155">
        <v>199008</v>
      </c>
      <c r="B473" s="62">
        <v>12014</v>
      </c>
      <c r="C473" s="75" t="s">
        <v>106</v>
      </c>
      <c r="D473" s="37">
        <f t="shared" ref="D473:D477" si="28">D472</f>
        <v>624</v>
      </c>
      <c r="E473" s="147" t="s">
        <v>19</v>
      </c>
      <c r="F473" s="37">
        <f t="shared" ref="F473:F477" si="29">F472</f>
        <v>630</v>
      </c>
      <c r="G473" s="144" t="s">
        <v>20</v>
      </c>
      <c r="H473" s="62">
        <v>7002</v>
      </c>
      <c r="J473" s="144">
        <v>30</v>
      </c>
      <c r="K473" s="62">
        <v>1504</v>
      </c>
      <c r="L473" s="62" t="s">
        <v>107</v>
      </c>
      <c r="M473" s="62">
        <v>52013</v>
      </c>
      <c r="O473" s="62">
        <v>35</v>
      </c>
      <c r="P473" s="62">
        <v>10</v>
      </c>
      <c r="R473" s="68">
        <v>1</v>
      </c>
    </row>
    <row r="474" spans="1:18" s="68" customFormat="1">
      <c r="A474" s="155">
        <v>199009</v>
      </c>
      <c r="B474" s="62">
        <v>12008</v>
      </c>
      <c r="C474" s="75" t="s">
        <v>118</v>
      </c>
      <c r="D474" s="37">
        <f t="shared" si="28"/>
        <v>624</v>
      </c>
      <c r="E474" s="147" t="s">
        <v>19</v>
      </c>
      <c r="F474" s="37">
        <f t="shared" si="29"/>
        <v>630</v>
      </c>
      <c r="G474" s="144" t="s">
        <v>20</v>
      </c>
      <c r="H474" s="62">
        <v>1002</v>
      </c>
      <c r="J474" s="144">
        <v>30</v>
      </c>
      <c r="K474" s="62">
        <v>1012</v>
      </c>
      <c r="L474" s="62" t="s">
        <v>119</v>
      </c>
      <c r="M474" s="62">
        <v>52008</v>
      </c>
      <c r="N474" s="62"/>
      <c r="O474" s="62">
        <v>22</v>
      </c>
      <c r="P474" s="62">
        <v>7</v>
      </c>
      <c r="R474" s="68">
        <v>1</v>
      </c>
    </row>
    <row r="475" spans="1:18" s="68" customFormat="1">
      <c r="A475" s="155">
        <v>199010</v>
      </c>
      <c r="B475" s="62">
        <v>12009</v>
      </c>
      <c r="C475" s="75" t="s">
        <v>85</v>
      </c>
      <c r="D475" s="37">
        <f t="shared" si="28"/>
        <v>624</v>
      </c>
      <c r="E475" s="147" t="s">
        <v>19</v>
      </c>
      <c r="F475" s="37">
        <f t="shared" si="29"/>
        <v>630</v>
      </c>
      <c r="G475" s="144" t="s">
        <v>20</v>
      </c>
      <c r="K475" s="62">
        <v>1013</v>
      </c>
      <c r="L475" s="62" t="s">
        <v>86</v>
      </c>
      <c r="N475" s="68">
        <v>52011</v>
      </c>
      <c r="O475" s="62">
        <v>33</v>
      </c>
      <c r="P475" s="62"/>
      <c r="R475" s="68">
        <v>1</v>
      </c>
    </row>
    <row r="476" spans="1:18" s="68" customFormat="1">
      <c r="A476" s="155">
        <v>199011</v>
      </c>
      <c r="B476" s="62">
        <v>12006</v>
      </c>
      <c r="C476" s="75" t="s">
        <v>89</v>
      </c>
      <c r="D476" s="37">
        <f t="shared" si="28"/>
        <v>624</v>
      </c>
      <c r="E476" s="147" t="s">
        <v>19</v>
      </c>
      <c r="F476" s="37">
        <f t="shared" si="29"/>
        <v>630</v>
      </c>
      <c r="G476" s="144" t="s">
        <v>20</v>
      </c>
      <c r="K476" s="62">
        <v>1003</v>
      </c>
      <c r="L476" s="62" t="s">
        <v>90</v>
      </c>
      <c r="O476" s="62">
        <v>5</v>
      </c>
      <c r="P476" s="62"/>
      <c r="R476" s="68">
        <v>1</v>
      </c>
    </row>
    <row r="477" spans="1:18" s="68" customFormat="1">
      <c r="A477" s="155">
        <v>199012</v>
      </c>
      <c r="B477" s="62">
        <v>12004</v>
      </c>
      <c r="C477" s="75" t="s">
        <v>91</v>
      </c>
      <c r="D477" s="37">
        <f t="shared" si="28"/>
        <v>624</v>
      </c>
      <c r="E477" s="147" t="s">
        <v>19</v>
      </c>
      <c r="F477" s="37">
        <f t="shared" si="29"/>
        <v>630</v>
      </c>
      <c r="G477" s="144" t="s">
        <v>20</v>
      </c>
      <c r="H477" s="62">
        <v>1003</v>
      </c>
      <c r="I477" s="62"/>
      <c r="J477" s="144">
        <v>30</v>
      </c>
      <c r="K477" s="62">
        <v>1010</v>
      </c>
      <c r="L477" s="62" t="s">
        <v>92</v>
      </c>
      <c r="M477" s="62">
        <v>52006</v>
      </c>
      <c r="N477" s="62"/>
      <c r="O477" s="62">
        <v>6</v>
      </c>
      <c r="P477" s="62">
        <v>3</v>
      </c>
      <c r="R477" s="68">
        <v>1</v>
      </c>
    </row>
    <row r="478" spans="1:18" s="1" customFormat="1">
      <c r="A478" s="155">
        <v>199013</v>
      </c>
      <c r="B478" s="37">
        <v>12008</v>
      </c>
      <c r="C478" s="75" t="s">
        <v>118</v>
      </c>
      <c r="D478" s="37">
        <f>D477+7</f>
        <v>631</v>
      </c>
      <c r="E478" s="147" t="s">
        <v>19</v>
      </c>
      <c r="F478" s="37">
        <f>F477+7</f>
        <v>637</v>
      </c>
      <c r="G478" s="147" t="s">
        <v>20</v>
      </c>
      <c r="H478" s="37">
        <v>1002</v>
      </c>
      <c r="J478" s="147">
        <v>30</v>
      </c>
      <c r="K478" s="37">
        <v>1012</v>
      </c>
      <c r="L478" s="37" t="s">
        <v>119</v>
      </c>
      <c r="M478" s="37">
        <v>52008</v>
      </c>
      <c r="N478" s="37"/>
      <c r="O478" s="37">
        <v>22</v>
      </c>
      <c r="P478" s="37">
        <v>7</v>
      </c>
      <c r="R478">
        <v>1</v>
      </c>
    </row>
    <row r="479" spans="1:18" s="1" customFormat="1">
      <c r="A479" s="155">
        <v>199014</v>
      </c>
      <c r="B479" s="37">
        <v>12009</v>
      </c>
      <c r="C479" s="75" t="s">
        <v>85</v>
      </c>
      <c r="D479" s="37">
        <f t="shared" ref="D479:D483" si="30">D478</f>
        <v>631</v>
      </c>
      <c r="E479" s="147" t="s">
        <v>19</v>
      </c>
      <c r="F479" s="37">
        <f t="shared" ref="F479:F483" si="31">F478</f>
        <v>637</v>
      </c>
      <c r="G479" s="147" t="s">
        <v>20</v>
      </c>
      <c r="K479" s="37">
        <v>1013</v>
      </c>
      <c r="L479" s="37" t="s">
        <v>86</v>
      </c>
      <c r="N479" s="1">
        <v>52011</v>
      </c>
      <c r="O479" s="37">
        <v>33</v>
      </c>
      <c r="P479" s="37"/>
      <c r="R479">
        <v>1</v>
      </c>
    </row>
    <row r="480" spans="1:18" s="1" customFormat="1">
      <c r="A480" s="155">
        <v>199015</v>
      </c>
      <c r="B480" s="37">
        <v>12006</v>
      </c>
      <c r="C480" s="75" t="s">
        <v>89</v>
      </c>
      <c r="D480" s="37">
        <f t="shared" si="30"/>
        <v>631</v>
      </c>
      <c r="E480" s="147" t="s">
        <v>19</v>
      </c>
      <c r="F480" s="37">
        <f t="shared" si="31"/>
        <v>637</v>
      </c>
      <c r="G480" s="147" t="s">
        <v>20</v>
      </c>
      <c r="K480" s="37">
        <v>1003</v>
      </c>
      <c r="L480" s="37" t="s">
        <v>90</v>
      </c>
      <c r="O480" s="37">
        <v>5</v>
      </c>
      <c r="P480" s="37"/>
      <c r="R480">
        <v>1</v>
      </c>
    </row>
    <row r="481" spans="1:18" s="1" customFormat="1">
      <c r="A481" s="155">
        <v>199016</v>
      </c>
      <c r="B481" s="37">
        <v>12004</v>
      </c>
      <c r="C481" s="75" t="s">
        <v>91</v>
      </c>
      <c r="D481" s="37">
        <f t="shared" si="30"/>
        <v>631</v>
      </c>
      <c r="E481" s="147" t="s">
        <v>19</v>
      </c>
      <c r="F481" s="37">
        <f t="shared" si="31"/>
        <v>637</v>
      </c>
      <c r="G481" s="147" t="s">
        <v>20</v>
      </c>
      <c r="H481" s="37">
        <v>1003</v>
      </c>
      <c r="I481" s="37"/>
      <c r="J481" s="147">
        <v>30</v>
      </c>
      <c r="K481" s="37">
        <v>1010</v>
      </c>
      <c r="L481" s="37" t="s">
        <v>92</v>
      </c>
      <c r="M481" s="37">
        <v>52006</v>
      </c>
      <c r="N481" s="37"/>
      <c r="O481" s="37">
        <v>6</v>
      </c>
      <c r="P481" s="37">
        <v>3</v>
      </c>
      <c r="R481">
        <v>1</v>
      </c>
    </row>
    <row r="482" spans="1:18" s="68" customFormat="1" ht="21" customHeight="1">
      <c r="A482" s="155">
        <v>199017</v>
      </c>
      <c r="B482" s="62">
        <v>12020</v>
      </c>
      <c r="C482" s="75" t="s">
        <v>95</v>
      </c>
      <c r="D482" s="37">
        <f t="shared" si="30"/>
        <v>631</v>
      </c>
      <c r="E482" s="147" t="s">
        <v>19</v>
      </c>
      <c r="F482" s="37">
        <f t="shared" si="31"/>
        <v>637</v>
      </c>
      <c r="G482" s="144" t="s">
        <v>20</v>
      </c>
      <c r="H482" s="62">
        <v>7008</v>
      </c>
      <c r="J482" s="144">
        <v>30</v>
      </c>
      <c r="K482" s="62">
        <v>1510</v>
      </c>
      <c r="L482" s="62" t="s">
        <v>96</v>
      </c>
      <c r="M482" s="62">
        <v>52019</v>
      </c>
      <c r="O482" s="62">
        <v>41</v>
      </c>
      <c r="P482" s="62">
        <v>16</v>
      </c>
    </row>
    <row r="483" spans="1:18" s="68" customFormat="1">
      <c r="A483" s="155">
        <v>199018</v>
      </c>
      <c r="B483" s="62">
        <v>12021</v>
      </c>
      <c r="C483" s="75" t="s">
        <v>110</v>
      </c>
      <c r="D483" s="37">
        <f t="shared" si="30"/>
        <v>631</v>
      </c>
      <c r="E483" s="147" t="s">
        <v>19</v>
      </c>
      <c r="F483" s="37">
        <f t="shared" si="31"/>
        <v>637</v>
      </c>
      <c r="G483" s="144" t="s">
        <v>20</v>
      </c>
      <c r="H483" s="62">
        <v>7009</v>
      </c>
      <c r="J483" s="144">
        <v>30</v>
      </c>
      <c r="K483" s="62">
        <v>1511</v>
      </c>
      <c r="L483" s="62" t="s">
        <v>111</v>
      </c>
      <c r="M483" s="62">
        <v>52020</v>
      </c>
      <c r="O483" s="62">
        <v>42</v>
      </c>
      <c r="P483" s="62">
        <v>17</v>
      </c>
    </row>
    <row r="484" spans="1:18" s="139" customFormat="1">
      <c r="A484" s="155">
        <v>199019</v>
      </c>
      <c r="B484" s="155">
        <v>12005</v>
      </c>
      <c r="C484" s="75" t="s">
        <v>112</v>
      </c>
      <c r="D484" s="37">
        <f>D483+7</f>
        <v>638</v>
      </c>
      <c r="E484" s="147" t="s">
        <v>19</v>
      </c>
      <c r="F484" s="37">
        <f>F483+7</f>
        <v>644</v>
      </c>
      <c r="G484" s="156" t="s">
        <v>20</v>
      </c>
      <c r="H484" s="155">
        <v>3101</v>
      </c>
      <c r="I484" s="155"/>
      <c r="J484" s="156">
        <v>30</v>
      </c>
      <c r="K484" s="155">
        <v>1011</v>
      </c>
      <c r="L484" s="155" t="s">
        <v>113</v>
      </c>
      <c r="M484" s="155">
        <v>52007</v>
      </c>
      <c r="N484" s="155"/>
      <c r="O484" s="155">
        <v>18</v>
      </c>
      <c r="P484" s="155">
        <v>6</v>
      </c>
      <c r="R484">
        <v>1</v>
      </c>
    </row>
    <row r="485" spans="1:18" s="139" customFormat="1">
      <c r="A485" s="155">
        <v>199020</v>
      </c>
      <c r="B485" s="155">
        <v>12009</v>
      </c>
      <c r="C485" s="75" t="s">
        <v>85</v>
      </c>
      <c r="D485" s="37">
        <f t="shared" ref="D485:D489" si="32">D484</f>
        <v>638</v>
      </c>
      <c r="E485" s="147" t="s">
        <v>19</v>
      </c>
      <c r="F485" s="37">
        <f t="shared" ref="F485:F489" si="33">F484</f>
        <v>644</v>
      </c>
      <c r="G485" s="156" t="s">
        <v>20</v>
      </c>
      <c r="K485" s="155">
        <v>1013</v>
      </c>
      <c r="L485" s="155" t="s">
        <v>86</v>
      </c>
      <c r="N485" s="139">
        <v>52011</v>
      </c>
      <c r="O485" s="155">
        <v>33</v>
      </c>
      <c r="P485" s="155"/>
      <c r="R485">
        <v>1</v>
      </c>
    </row>
    <row r="486" spans="1:18" s="139" customFormat="1">
      <c r="A486" s="155">
        <v>199021</v>
      </c>
      <c r="B486" s="155">
        <v>12006</v>
      </c>
      <c r="C486" s="75" t="s">
        <v>89</v>
      </c>
      <c r="D486" s="37">
        <f t="shared" si="32"/>
        <v>638</v>
      </c>
      <c r="E486" s="147" t="s">
        <v>19</v>
      </c>
      <c r="F486" s="37">
        <f t="shared" si="33"/>
        <v>644</v>
      </c>
      <c r="G486" s="156" t="s">
        <v>20</v>
      </c>
      <c r="K486" s="155">
        <v>1003</v>
      </c>
      <c r="L486" s="155" t="s">
        <v>90</v>
      </c>
      <c r="O486" s="155">
        <v>5</v>
      </c>
      <c r="P486" s="155"/>
      <c r="R486">
        <v>1</v>
      </c>
    </row>
    <row r="487" spans="1:18" s="139" customFormat="1">
      <c r="A487" s="155">
        <v>199022</v>
      </c>
      <c r="B487" s="155">
        <v>12010</v>
      </c>
      <c r="C487" s="75" t="s">
        <v>81</v>
      </c>
      <c r="D487" s="37">
        <f t="shared" si="32"/>
        <v>638</v>
      </c>
      <c r="E487" s="147" t="s">
        <v>19</v>
      </c>
      <c r="F487" s="37">
        <f t="shared" si="33"/>
        <v>644</v>
      </c>
      <c r="G487" s="156" t="s">
        <v>20</v>
      </c>
      <c r="H487" s="155">
        <v>990</v>
      </c>
      <c r="I487" s="155"/>
      <c r="J487" s="155">
        <v>30</v>
      </c>
      <c r="K487" s="155">
        <v>1015</v>
      </c>
      <c r="L487" s="155" t="s">
        <v>82</v>
      </c>
      <c r="M487" s="155">
        <v>52009</v>
      </c>
      <c r="N487" s="155"/>
      <c r="O487" s="155">
        <v>1</v>
      </c>
      <c r="P487" s="155">
        <v>1</v>
      </c>
      <c r="R487">
        <v>1</v>
      </c>
    </row>
    <row r="488" spans="1:18" s="1" customFormat="1">
      <c r="A488" s="155">
        <v>199023</v>
      </c>
      <c r="B488" s="37">
        <v>12018</v>
      </c>
      <c r="C488" s="75" t="s">
        <v>114</v>
      </c>
      <c r="D488" s="37">
        <f t="shared" si="32"/>
        <v>638</v>
      </c>
      <c r="E488" s="147" t="s">
        <v>19</v>
      </c>
      <c r="F488" s="37">
        <f t="shared" si="33"/>
        <v>644</v>
      </c>
      <c r="G488" s="147" t="s">
        <v>20</v>
      </c>
      <c r="H488" s="37">
        <v>7006</v>
      </c>
      <c r="J488" s="147">
        <v>30</v>
      </c>
      <c r="K488" s="37">
        <v>1508</v>
      </c>
      <c r="L488" s="37" t="s">
        <v>115</v>
      </c>
      <c r="M488" s="37">
        <v>52017</v>
      </c>
      <c r="O488" s="37">
        <v>39</v>
      </c>
      <c r="P488" s="37">
        <v>14</v>
      </c>
      <c r="R488">
        <v>1</v>
      </c>
    </row>
    <row r="489" spans="1:18" s="1" customFormat="1">
      <c r="A489" s="155">
        <v>199024</v>
      </c>
      <c r="B489" s="37">
        <v>12019</v>
      </c>
      <c r="C489" s="75" t="s">
        <v>116</v>
      </c>
      <c r="D489" s="37">
        <f t="shared" si="32"/>
        <v>638</v>
      </c>
      <c r="E489" s="147" t="s">
        <v>19</v>
      </c>
      <c r="F489" s="37">
        <f t="shared" si="33"/>
        <v>644</v>
      </c>
      <c r="G489" s="147" t="s">
        <v>20</v>
      </c>
      <c r="H489" s="37">
        <v>7007</v>
      </c>
      <c r="J489" s="147">
        <v>30</v>
      </c>
      <c r="K489" s="37">
        <v>1509</v>
      </c>
      <c r="L489" s="37" t="s">
        <v>117</v>
      </c>
      <c r="M489" s="37">
        <v>52018</v>
      </c>
      <c r="O489" s="37">
        <v>40</v>
      </c>
      <c r="P489" s="37">
        <v>15</v>
      </c>
      <c r="R489">
        <v>1</v>
      </c>
    </row>
    <row r="490" spans="1:18" s="68" customFormat="1">
      <c r="A490" s="155">
        <v>199025</v>
      </c>
      <c r="B490" s="62">
        <v>12013</v>
      </c>
      <c r="C490" s="75" t="s">
        <v>104</v>
      </c>
      <c r="D490" s="37">
        <f>D489+7</f>
        <v>645</v>
      </c>
      <c r="E490" s="147" t="s">
        <v>19</v>
      </c>
      <c r="F490" s="37">
        <f>F489+7</f>
        <v>651</v>
      </c>
      <c r="G490" s="144" t="s">
        <v>20</v>
      </c>
      <c r="H490" s="62">
        <v>7001</v>
      </c>
      <c r="J490" s="144">
        <v>30</v>
      </c>
      <c r="K490" s="62">
        <v>1503</v>
      </c>
      <c r="L490" s="62" t="s">
        <v>105</v>
      </c>
      <c r="M490" s="62">
        <v>52012</v>
      </c>
      <c r="N490" s="62"/>
      <c r="O490" s="62">
        <v>34</v>
      </c>
      <c r="P490" s="62">
        <v>9</v>
      </c>
      <c r="R490" s="68">
        <v>1</v>
      </c>
    </row>
    <row r="491" spans="1:18" s="68" customFormat="1">
      <c r="A491" s="155">
        <v>199026</v>
      </c>
      <c r="B491" s="62">
        <v>12014</v>
      </c>
      <c r="C491" s="75" t="s">
        <v>106</v>
      </c>
      <c r="D491" s="37">
        <f t="shared" ref="D491:D495" si="34">D490</f>
        <v>645</v>
      </c>
      <c r="E491" s="147" t="s">
        <v>19</v>
      </c>
      <c r="F491" s="37">
        <f t="shared" ref="F491:F495" si="35">F490</f>
        <v>651</v>
      </c>
      <c r="G491" s="144" t="s">
        <v>20</v>
      </c>
      <c r="H491" s="62">
        <v>7002</v>
      </c>
      <c r="J491" s="144">
        <v>30</v>
      </c>
      <c r="K491" s="62">
        <v>1504</v>
      </c>
      <c r="L491" s="62" t="s">
        <v>107</v>
      </c>
      <c r="M491" s="62">
        <v>52013</v>
      </c>
      <c r="O491" s="62">
        <v>35</v>
      </c>
      <c r="P491" s="62">
        <v>10</v>
      </c>
      <c r="R491" s="68">
        <v>1</v>
      </c>
    </row>
    <row r="492" spans="1:18" s="68" customFormat="1">
      <c r="A492" s="155">
        <v>199027</v>
      </c>
      <c r="B492" s="62">
        <v>12008</v>
      </c>
      <c r="C492" s="75" t="s">
        <v>118</v>
      </c>
      <c r="D492" s="37">
        <f t="shared" si="34"/>
        <v>645</v>
      </c>
      <c r="E492" s="147" t="s">
        <v>19</v>
      </c>
      <c r="F492" s="37">
        <f t="shared" si="35"/>
        <v>651</v>
      </c>
      <c r="G492" s="144" t="s">
        <v>20</v>
      </c>
      <c r="H492" s="62">
        <v>1002</v>
      </c>
      <c r="J492" s="144">
        <v>30</v>
      </c>
      <c r="K492" s="62">
        <v>1012</v>
      </c>
      <c r="L492" s="62" t="s">
        <v>119</v>
      </c>
      <c r="M492" s="62">
        <v>52008</v>
      </c>
      <c r="N492" s="62"/>
      <c r="O492" s="62">
        <v>22</v>
      </c>
      <c r="P492" s="62">
        <v>7</v>
      </c>
      <c r="R492" s="68">
        <v>1</v>
      </c>
    </row>
    <row r="493" spans="1:18" s="68" customFormat="1">
      <c r="A493" s="155">
        <v>199028</v>
      </c>
      <c r="B493" s="62">
        <v>12009</v>
      </c>
      <c r="C493" s="75" t="s">
        <v>85</v>
      </c>
      <c r="D493" s="37">
        <f t="shared" si="34"/>
        <v>645</v>
      </c>
      <c r="E493" s="147" t="s">
        <v>19</v>
      </c>
      <c r="F493" s="37">
        <f t="shared" si="35"/>
        <v>651</v>
      </c>
      <c r="G493" s="144" t="s">
        <v>20</v>
      </c>
      <c r="K493" s="62">
        <v>1013</v>
      </c>
      <c r="L493" s="62" t="s">
        <v>86</v>
      </c>
      <c r="N493" s="68">
        <v>52011</v>
      </c>
      <c r="O493" s="62">
        <v>33</v>
      </c>
      <c r="P493" s="62"/>
      <c r="R493" s="68">
        <v>1</v>
      </c>
    </row>
    <row r="494" spans="1:18" s="68" customFormat="1">
      <c r="A494" s="155">
        <v>199029</v>
      </c>
      <c r="B494" s="62">
        <v>12006</v>
      </c>
      <c r="C494" s="75" t="s">
        <v>89</v>
      </c>
      <c r="D494" s="37">
        <f t="shared" si="34"/>
        <v>645</v>
      </c>
      <c r="E494" s="147" t="s">
        <v>19</v>
      </c>
      <c r="F494" s="37">
        <f t="shared" si="35"/>
        <v>651</v>
      </c>
      <c r="G494" s="144" t="s">
        <v>20</v>
      </c>
      <c r="K494" s="62">
        <v>1003</v>
      </c>
      <c r="L494" s="62" t="s">
        <v>90</v>
      </c>
      <c r="O494" s="62">
        <v>5</v>
      </c>
      <c r="P494" s="62"/>
      <c r="R494" s="68">
        <v>1</v>
      </c>
    </row>
    <row r="495" spans="1:18" s="68" customFormat="1">
      <c r="A495" s="155">
        <v>199030</v>
      </c>
      <c r="B495" s="62">
        <v>12004</v>
      </c>
      <c r="C495" s="75" t="s">
        <v>91</v>
      </c>
      <c r="D495" s="37">
        <f t="shared" si="34"/>
        <v>645</v>
      </c>
      <c r="E495" s="147" t="s">
        <v>19</v>
      </c>
      <c r="F495" s="37">
        <f t="shared" si="35"/>
        <v>651</v>
      </c>
      <c r="G495" s="144" t="s">
        <v>20</v>
      </c>
      <c r="H495" s="62">
        <v>1003</v>
      </c>
      <c r="I495" s="62"/>
      <c r="J495" s="144">
        <v>30</v>
      </c>
      <c r="K495" s="62">
        <v>1010</v>
      </c>
      <c r="L495" s="62" t="s">
        <v>92</v>
      </c>
      <c r="M495" s="62">
        <v>52006</v>
      </c>
      <c r="N495" s="62"/>
      <c r="O495" s="62">
        <v>6</v>
      </c>
      <c r="P495" s="62">
        <v>3</v>
      </c>
      <c r="R495" s="68">
        <v>1</v>
      </c>
    </row>
    <row r="496" spans="1:18" s="1" customFormat="1">
      <c r="A496" s="155">
        <v>199031</v>
      </c>
      <c r="B496" s="37">
        <v>12008</v>
      </c>
      <c r="C496" s="75" t="s">
        <v>118</v>
      </c>
      <c r="D496" s="37">
        <f>D495+7</f>
        <v>652</v>
      </c>
      <c r="E496" s="147" t="s">
        <v>19</v>
      </c>
      <c r="F496" s="37">
        <f>F495+7</f>
        <v>658</v>
      </c>
      <c r="G496" s="147" t="s">
        <v>20</v>
      </c>
      <c r="H496" s="37">
        <v>1002</v>
      </c>
      <c r="J496" s="147">
        <v>30</v>
      </c>
      <c r="K496" s="37">
        <v>1012</v>
      </c>
      <c r="L496" s="37" t="s">
        <v>119</v>
      </c>
      <c r="M496" s="37">
        <v>52008</v>
      </c>
      <c r="N496" s="37"/>
      <c r="O496" s="37">
        <v>22</v>
      </c>
      <c r="P496" s="37">
        <v>7</v>
      </c>
      <c r="R496">
        <v>1</v>
      </c>
    </row>
    <row r="497" spans="1:18" s="1" customFormat="1">
      <c r="A497" s="155">
        <v>199032</v>
      </c>
      <c r="B497" s="37">
        <v>12009</v>
      </c>
      <c r="C497" s="75" t="s">
        <v>85</v>
      </c>
      <c r="D497" s="37">
        <f t="shared" ref="D497:D501" si="36">D496</f>
        <v>652</v>
      </c>
      <c r="E497" s="147" t="s">
        <v>19</v>
      </c>
      <c r="F497" s="37">
        <f t="shared" ref="F497:F501" si="37">F496</f>
        <v>658</v>
      </c>
      <c r="G497" s="147" t="s">
        <v>20</v>
      </c>
      <c r="K497" s="37">
        <v>1013</v>
      </c>
      <c r="L497" s="37" t="s">
        <v>86</v>
      </c>
      <c r="N497" s="1">
        <v>52011</v>
      </c>
      <c r="O497" s="37">
        <v>33</v>
      </c>
      <c r="P497" s="37"/>
      <c r="R497">
        <v>1</v>
      </c>
    </row>
    <row r="498" spans="1:18" s="1" customFormat="1">
      <c r="A498" s="155">
        <v>199033</v>
      </c>
      <c r="B498" s="37">
        <v>12006</v>
      </c>
      <c r="C498" s="75" t="s">
        <v>89</v>
      </c>
      <c r="D498" s="37">
        <f t="shared" si="36"/>
        <v>652</v>
      </c>
      <c r="E498" s="147" t="s">
        <v>19</v>
      </c>
      <c r="F498" s="37">
        <f t="shared" si="37"/>
        <v>658</v>
      </c>
      <c r="G498" s="147" t="s">
        <v>20</v>
      </c>
      <c r="K498" s="37">
        <v>1003</v>
      </c>
      <c r="L498" s="37" t="s">
        <v>90</v>
      </c>
      <c r="O498" s="37">
        <v>5</v>
      </c>
      <c r="P498" s="37"/>
      <c r="R498">
        <v>1</v>
      </c>
    </row>
    <row r="499" spans="1:18" s="1" customFormat="1">
      <c r="A499" s="155">
        <v>199034</v>
      </c>
      <c r="B499" s="37">
        <v>12004</v>
      </c>
      <c r="C499" s="75" t="s">
        <v>91</v>
      </c>
      <c r="D499" s="37">
        <f t="shared" si="36"/>
        <v>652</v>
      </c>
      <c r="E499" s="147" t="s">
        <v>19</v>
      </c>
      <c r="F499" s="37">
        <f t="shared" si="37"/>
        <v>658</v>
      </c>
      <c r="G499" s="147" t="s">
        <v>20</v>
      </c>
      <c r="H499" s="37">
        <v>1003</v>
      </c>
      <c r="I499" s="37"/>
      <c r="J499" s="147">
        <v>30</v>
      </c>
      <c r="K499" s="37">
        <v>1010</v>
      </c>
      <c r="L499" s="37" t="s">
        <v>92</v>
      </c>
      <c r="M499" s="37">
        <v>52006</v>
      </c>
      <c r="N499" s="37"/>
      <c r="O499" s="37">
        <v>6</v>
      </c>
      <c r="P499" s="37">
        <v>3</v>
      </c>
      <c r="R499">
        <v>1</v>
      </c>
    </row>
    <row r="500" spans="1:18" s="68" customFormat="1" ht="21" customHeight="1">
      <c r="A500" s="155">
        <v>199035</v>
      </c>
      <c r="B500" s="62">
        <v>12020</v>
      </c>
      <c r="C500" s="75" t="s">
        <v>95</v>
      </c>
      <c r="D500" s="37">
        <f t="shared" si="36"/>
        <v>652</v>
      </c>
      <c r="E500" s="147" t="s">
        <v>19</v>
      </c>
      <c r="F500" s="37">
        <f t="shared" si="37"/>
        <v>658</v>
      </c>
      <c r="G500" s="144" t="s">
        <v>20</v>
      </c>
      <c r="H500" s="62">
        <v>7008</v>
      </c>
      <c r="J500" s="144">
        <v>30</v>
      </c>
      <c r="K500" s="62">
        <v>1510</v>
      </c>
      <c r="L500" s="62" t="s">
        <v>96</v>
      </c>
      <c r="M500" s="62">
        <v>52019</v>
      </c>
      <c r="O500" s="62">
        <v>41</v>
      </c>
      <c r="P500" s="62">
        <v>16</v>
      </c>
    </row>
    <row r="501" spans="1:18" s="68" customFormat="1">
      <c r="A501" s="155">
        <v>199036</v>
      </c>
      <c r="B501" s="62">
        <v>12021</v>
      </c>
      <c r="C501" s="75" t="s">
        <v>110</v>
      </c>
      <c r="D501" s="37">
        <f t="shared" si="36"/>
        <v>652</v>
      </c>
      <c r="E501" s="147" t="s">
        <v>19</v>
      </c>
      <c r="F501" s="37">
        <f t="shared" si="37"/>
        <v>658</v>
      </c>
      <c r="G501" s="144" t="s">
        <v>20</v>
      </c>
      <c r="H501" s="62">
        <v>7009</v>
      </c>
      <c r="J501" s="144">
        <v>30</v>
      </c>
      <c r="K501" s="62">
        <v>1511</v>
      </c>
      <c r="L501" s="62" t="s">
        <v>111</v>
      </c>
      <c r="M501" s="62">
        <v>52020</v>
      </c>
      <c r="O501" s="62">
        <v>42</v>
      </c>
      <c r="P501" s="62">
        <v>17</v>
      </c>
    </row>
    <row r="502" spans="1:18" s="139" customFormat="1">
      <c r="A502" s="155">
        <v>199037</v>
      </c>
      <c r="B502" s="155">
        <v>12005</v>
      </c>
      <c r="C502" s="75" t="s">
        <v>112</v>
      </c>
      <c r="D502" s="37">
        <f>D501+7</f>
        <v>659</v>
      </c>
      <c r="E502" s="147" t="s">
        <v>19</v>
      </c>
      <c r="F502" s="37">
        <f>F501+7</f>
        <v>665</v>
      </c>
      <c r="G502" s="156" t="s">
        <v>20</v>
      </c>
      <c r="H502" s="155">
        <v>3101</v>
      </c>
      <c r="I502" s="155"/>
      <c r="J502" s="156">
        <v>30</v>
      </c>
      <c r="K502" s="155">
        <v>1011</v>
      </c>
      <c r="L502" s="155" t="s">
        <v>113</v>
      </c>
      <c r="M502" s="155">
        <v>52007</v>
      </c>
      <c r="N502" s="155"/>
      <c r="O502" s="155">
        <v>18</v>
      </c>
      <c r="P502" s="155">
        <v>6</v>
      </c>
      <c r="R502">
        <v>1</v>
      </c>
    </row>
    <row r="503" spans="1:18" s="139" customFormat="1">
      <c r="A503" s="155">
        <v>199038</v>
      </c>
      <c r="B503" s="155">
        <v>12009</v>
      </c>
      <c r="C503" s="75" t="s">
        <v>85</v>
      </c>
      <c r="D503" s="37">
        <f t="shared" ref="D503:D507" si="38">D502</f>
        <v>659</v>
      </c>
      <c r="E503" s="147" t="s">
        <v>19</v>
      </c>
      <c r="F503" s="37">
        <f t="shared" ref="F503:F507" si="39">F502</f>
        <v>665</v>
      </c>
      <c r="G503" s="156" t="s">
        <v>20</v>
      </c>
      <c r="K503" s="155">
        <v>1013</v>
      </c>
      <c r="L503" s="155" t="s">
        <v>86</v>
      </c>
      <c r="N503" s="139">
        <v>52011</v>
      </c>
      <c r="O503" s="155">
        <v>33</v>
      </c>
      <c r="P503" s="155"/>
      <c r="R503">
        <v>1</v>
      </c>
    </row>
    <row r="504" spans="1:18" s="139" customFormat="1">
      <c r="A504" s="155">
        <v>199039</v>
      </c>
      <c r="B504" s="155">
        <v>12006</v>
      </c>
      <c r="C504" s="75" t="s">
        <v>89</v>
      </c>
      <c r="D504" s="37">
        <f t="shared" si="38"/>
        <v>659</v>
      </c>
      <c r="E504" s="147" t="s">
        <v>19</v>
      </c>
      <c r="F504" s="37">
        <f t="shared" si="39"/>
        <v>665</v>
      </c>
      <c r="G504" s="156" t="s">
        <v>20</v>
      </c>
      <c r="K504" s="155">
        <v>1003</v>
      </c>
      <c r="L504" s="155" t="s">
        <v>90</v>
      </c>
      <c r="O504" s="155">
        <v>5</v>
      </c>
      <c r="P504" s="155"/>
      <c r="R504">
        <v>1</v>
      </c>
    </row>
    <row r="505" spans="1:18" s="139" customFormat="1">
      <c r="A505" s="155">
        <v>199040</v>
      </c>
      <c r="B505" s="155">
        <v>12010</v>
      </c>
      <c r="C505" s="75" t="s">
        <v>81</v>
      </c>
      <c r="D505" s="37">
        <f t="shared" si="38"/>
        <v>659</v>
      </c>
      <c r="E505" s="147" t="s">
        <v>19</v>
      </c>
      <c r="F505" s="37">
        <f t="shared" si="39"/>
        <v>665</v>
      </c>
      <c r="G505" s="156" t="s">
        <v>20</v>
      </c>
      <c r="H505" s="155">
        <v>990</v>
      </c>
      <c r="I505" s="155"/>
      <c r="J505" s="155">
        <v>30</v>
      </c>
      <c r="K505" s="155">
        <v>1015</v>
      </c>
      <c r="L505" s="155" t="s">
        <v>82</v>
      </c>
      <c r="M505" s="155">
        <v>52009</v>
      </c>
      <c r="N505" s="155"/>
      <c r="O505" s="155">
        <v>1</v>
      </c>
      <c r="P505" s="155">
        <v>1</v>
      </c>
      <c r="R505">
        <v>1</v>
      </c>
    </row>
    <row r="506" spans="1:18" s="1" customFormat="1">
      <c r="A506" s="155">
        <v>199041</v>
      </c>
      <c r="B506" s="37">
        <v>12018</v>
      </c>
      <c r="C506" s="75" t="s">
        <v>114</v>
      </c>
      <c r="D506" s="37">
        <f t="shared" si="38"/>
        <v>659</v>
      </c>
      <c r="E506" s="147" t="s">
        <v>19</v>
      </c>
      <c r="F506" s="37">
        <f t="shared" si="39"/>
        <v>665</v>
      </c>
      <c r="G506" s="147" t="s">
        <v>20</v>
      </c>
      <c r="H506" s="37">
        <v>7006</v>
      </c>
      <c r="J506" s="147">
        <v>30</v>
      </c>
      <c r="K506" s="37">
        <v>1508</v>
      </c>
      <c r="L506" s="37" t="s">
        <v>115</v>
      </c>
      <c r="M506" s="37">
        <v>52017</v>
      </c>
      <c r="O506" s="37">
        <v>39</v>
      </c>
      <c r="P506" s="37">
        <v>14</v>
      </c>
      <c r="R506">
        <v>1</v>
      </c>
    </row>
    <row r="507" spans="1:18" s="1" customFormat="1">
      <c r="A507" s="155">
        <v>199042</v>
      </c>
      <c r="B507" s="37">
        <v>12019</v>
      </c>
      <c r="C507" s="75" t="s">
        <v>116</v>
      </c>
      <c r="D507" s="37">
        <f t="shared" si="38"/>
        <v>659</v>
      </c>
      <c r="E507" s="147" t="s">
        <v>19</v>
      </c>
      <c r="F507" s="37">
        <f t="shared" si="39"/>
        <v>665</v>
      </c>
      <c r="G507" s="147" t="s">
        <v>20</v>
      </c>
      <c r="H507" s="37">
        <v>7007</v>
      </c>
      <c r="J507" s="147">
        <v>30</v>
      </c>
      <c r="K507" s="37">
        <v>1509</v>
      </c>
      <c r="L507" s="37" t="s">
        <v>117</v>
      </c>
      <c r="M507" s="37">
        <v>52018</v>
      </c>
      <c r="O507" s="37">
        <v>40</v>
      </c>
      <c r="P507" s="37">
        <v>15</v>
      </c>
      <c r="R507">
        <v>1</v>
      </c>
    </row>
    <row r="508" spans="1:18" s="68" customFormat="1">
      <c r="A508" s="155">
        <v>199043</v>
      </c>
      <c r="B508" s="62">
        <v>12013</v>
      </c>
      <c r="C508" s="75" t="s">
        <v>104</v>
      </c>
      <c r="D508" s="37">
        <f>D507+7</f>
        <v>666</v>
      </c>
      <c r="E508" s="147" t="s">
        <v>19</v>
      </c>
      <c r="F508" s="37">
        <f>F507+7</f>
        <v>672</v>
      </c>
      <c r="G508" s="144" t="s">
        <v>20</v>
      </c>
      <c r="H508" s="62">
        <v>7001</v>
      </c>
      <c r="J508" s="144">
        <v>30</v>
      </c>
      <c r="K508" s="62">
        <v>1503</v>
      </c>
      <c r="L508" s="62" t="s">
        <v>105</v>
      </c>
      <c r="M508" s="62">
        <v>52012</v>
      </c>
      <c r="N508" s="62"/>
      <c r="O508" s="62">
        <v>34</v>
      </c>
      <c r="P508" s="62">
        <v>9</v>
      </c>
      <c r="R508" s="68">
        <v>1</v>
      </c>
    </row>
    <row r="509" spans="1:18" s="68" customFormat="1">
      <c r="A509" s="155">
        <v>199044</v>
      </c>
      <c r="B509" s="62">
        <v>12014</v>
      </c>
      <c r="C509" s="75" t="s">
        <v>106</v>
      </c>
      <c r="D509" s="37">
        <f t="shared" ref="D509:D513" si="40">D508</f>
        <v>666</v>
      </c>
      <c r="E509" s="147" t="s">
        <v>19</v>
      </c>
      <c r="F509" s="37">
        <f t="shared" ref="F509:F513" si="41">F508</f>
        <v>672</v>
      </c>
      <c r="G509" s="144" t="s">
        <v>20</v>
      </c>
      <c r="H509" s="62">
        <v>7002</v>
      </c>
      <c r="J509" s="144">
        <v>30</v>
      </c>
      <c r="K509" s="62">
        <v>1504</v>
      </c>
      <c r="L509" s="62" t="s">
        <v>107</v>
      </c>
      <c r="M509" s="62">
        <v>52013</v>
      </c>
      <c r="O509" s="62">
        <v>35</v>
      </c>
      <c r="P509" s="62">
        <v>10</v>
      </c>
      <c r="R509" s="68">
        <v>1</v>
      </c>
    </row>
    <row r="510" spans="1:18" s="68" customFormat="1">
      <c r="A510" s="155">
        <v>199045</v>
      </c>
      <c r="B510" s="62">
        <v>12008</v>
      </c>
      <c r="C510" s="75" t="s">
        <v>118</v>
      </c>
      <c r="D510" s="37">
        <f t="shared" si="40"/>
        <v>666</v>
      </c>
      <c r="E510" s="147" t="s">
        <v>19</v>
      </c>
      <c r="F510" s="37">
        <f t="shared" si="41"/>
        <v>672</v>
      </c>
      <c r="G510" s="144" t="s">
        <v>20</v>
      </c>
      <c r="H510" s="62">
        <v>1002</v>
      </c>
      <c r="J510" s="144">
        <v>30</v>
      </c>
      <c r="K510" s="62">
        <v>1012</v>
      </c>
      <c r="L510" s="62" t="s">
        <v>119</v>
      </c>
      <c r="M510" s="62">
        <v>52008</v>
      </c>
      <c r="N510" s="62"/>
      <c r="O510" s="62">
        <v>22</v>
      </c>
      <c r="P510" s="62">
        <v>7</v>
      </c>
      <c r="R510" s="68">
        <v>1</v>
      </c>
    </row>
    <row r="511" spans="1:18" s="68" customFormat="1">
      <c r="A511" s="155">
        <v>199046</v>
      </c>
      <c r="B511" s="62">
        <v>12009</v>
      </c>
      <c r="C511" s="75" t="s">
        <v>85</v>
      </c>
      <c r="D511" s="37">
        <f t="shared" si="40"/>
        <v>666</v>
      </c>
      <c r="E511" s="147" t="s">
        <v>19</v>
      </c>
      <c r="F511" s="37">
        <f t="shared" si="41"/>
        <v>672</v>
      </c>
      <c r="G511" s="144" t="s">
        <v>20</v>
      </c>
      <c r="K511" s="62">
        <v>1013</v>
      </c>
      <c r="L511" s="62" t="s">
        <v>86</v>
      </c>
      <c r="N511" s="68">
        <v>52011</v>
      </c>
      <c r="O511" s="62">
        <v>33</v>
      </c>
      <c r="P511" s="62"/>
      <c r="R511" s="68">
        <v>1</v>
      </c>
    </row>
    <row r="512" spans="1:18" s="68" customFormat="1">
      <c r="A512" s="155">
        <v>199047</v>
      </c>
      <c r="B512" s="62">
        <v>12006</v>
      </c>
      <c r="C512" s="75" t="s">
        <v>89</v>
      </c>
      <c r="D512" s="37">
        <f t="shared" si="40"/>
        <v>666</v>
      </c>
      <c r="E512" s="147" t="s">
        <v>19</v>
      </c>
      <c r="F512" s="37">
        <f t="shared" si="41"/>
        <v>672</v>
      </c>
      <c r="G512" s="144" t="s">
        <v>20</v>
      </c>
      <c r="K512" s="62">
        <v>1003</v>
      </c>
      <c r="L512" s="62" t="s">
        <v>90</v>
      </c>
      <c r="O512" s="62">
        <v>5</v>
      </c>
      <c r="P512" s="62"/>
      <c r="R512" s="68">
        <v>1</v>
      </c>
    </row>
    <row r="513" spans="1:18" s="68" customFormat="1">
      <c r="A513" s="155">
        <v>199048</v>
      </c>
      <c r="B513" s="62">
        <v>12004</v>
      </c>
      <c r="C513" s="75" t="s">
        <v>91</v>
      </c>
      <c r="D513" s="37">
        <f t="shared" si="40"/>
        <v>666</v>
      </c>
      <c r="E513" s="147" t="s">
        <v>19</v>
      </c>
      <c r="F513" s="37">
        <f t="shared" si="41"/>
        <v>672</v>
      </c>
      <c r="G513" s="144" t="s">
        <v>20</v>
      </c>
      <c r="H513" s="62">
        <v>1003</v>
      </c>
      <c r="I513" s="62"/>
      <c r="J513" s="144">
        <v>30</v>
      </c>
      <c r="K513" s="62">
        <v>1010</v>
      </c>
      <c r="L513" s="62" t="s">
        <v>92</v>
      </c>
      <c r="M513" s="62">
        <v>52006</v>
      </c>
      <c r="N513" s="62"/>
      <c r="O513" s="62">
        <v>6</v>
      </c>
      <c r="P513" s="62">
        <v>3</v>
      </c>
      <c r="R513" s="68">
        <v>1</v>
      </c>
    </row>
    <row r="514" spans="1:18" s="1" customFormat="1">
      <c r="A514" s="155">
        <v>199049</v>
      </c>
      <c r="B514" s="37">
        <v>12008</v>
      </c>
      <c r="C514" s="75" t="s">
        <v>118</v>
      </c>
      <c r="D514" s="37">
        <f>D513+7</f>
        <v>673</v>
      </c>
      <c r="E514" s="147" t="s">
        <v>19</v>
      </c>
      <c r="F514" s="37">
        <f>F513+7</f>
        <v>679</v>
      </c>
      <c r="G514" s="147" t="s">
        <v>20</v>
      </c>
      <c r="H514" s="37">
        <v>1002</v>
      </c>
      <c r="J514" s="147">
        <v>30</v>
      </c>
      <c r="K514" s="37">
        <v>1012</v>
      </c>
      <c r="L514" s="37" t="s">
        <v>119</v>
      </c>
      <c r="M514" s="37">
        <v>52008</v>
      </c>
      <c r="N514" s="37"/>
      <c r="O514" s="37">
        <v>22</v>
      </c>
      <c r="P514" s="37">
        <v>7</v>
      </c>
      <c r="R514">
        <v>1</v>
      </c>
    </row>
    <row r="515" spans="1:18" s="1" customFormat="1">
      <c r="A515" s="155">
        <v>199050</v>
      </c>
      <c r="B515" s="37">
        <v>12009</v>
      </c>
      <c r="C515" s="75" t="s">
        <v>85</v>
      </c>
      <c r="D515" s="37">
        <f t="shared" ref="D515:D519" si="42">D514</f>
        <v>673</v>
      </c>
      <c r="E515" s="147" t="s">
        <v>19</v>
      </c>
      <c r="F515" s="37">
        <f t="shared" ref="F515:F519" si="43">F514</f>
        <v>679</v>
      </c>
      <c r="G515" s="147" t="s">
        <v>20</v>
      </c>
      <c r="K515" s="37">
        <v>1013</v>
      </c>
      <c r="L515" s="37" t="s">
        <v>86</v>
      </c>
      <c r="N515" s="1">
        <v>52011</v>
      </c>
      <c r="O515" s="37">
        <v>33</v>
      </c>
      <c r="P515" s="37"/>
      <c r="R515">
        <v>1</v>
      </c>
    </row>
    <row r="516" spans="1:18" s="1" customFormat="1">
      <c r="A516" s="155">
        <v>199051</v>
      </c>
      <c r="B516" s="37">
        <v>12006</v>
      </c>
      <c r="C516" s="75" t="s">
        <v>89</v>
      </c>
      <c r="D516" s="37">
        <f t="shared" si="42"/>
        <v>673</v>
      </c>
      <c r="E516" s="147" t="s">
        <v>19</v>
      </c>
      <c r="F516" s="37">
        <f t="shared" si="43"/>
        <v>679</v>
      </c>
      <c r="G516" s="147" t="s">
        <v>20</v>
      </c>
      <c r="K516" s="37">
        <v>1003</v>
      </c>
      <c r="L516" s="37" t="s">
        <v>90</v>
      </c>
      <c r="O516" s="37">
        <v>5</v>
      </c>
      <c r="P516" s="37"/>
      <c r="R516">
        <v>1</v>
      </c>
    </row>
    <row r="517" spans="1:18" s="1" customFormat="1">
      <c r="A517" s="155">
        <v>199052</v>
      </c>
      <c r="B517" s="37">
        <v>12004</v>
      </c>
      <c r="C517" s="75" t="s">
        <v>91</v>
      </c>
      <c r="D517" s="37">
        <f t="shared" si="42"/>
        <v>673</v>
      </c>
      <c r="E517" s="147" t="s">
        <v>19</v>
      </c>
      <c r="F517" s="37">
        <f t="shared" si="43"/>
        <v>679</v>
      </c>
      <c r="G517" s="147" t="s">
        <v>20</v>
      </c>
      <c r="H517" s="37">
        <v>1003</v>
      </c>
      <c r="I517" s="37"/>
      <c r="J517" s="147">
        <v>30</v>
      </c>
      <c r="K517" s="37">
        <v>1010</v>
      </c>
      <c r="L517" s="37" t="s">
        <v>92</v>
      </c>
      <c r="M517" s="37">
        <v>52006</v>
      </c>
      <c r="N517" s="37"/>
      <c r="O517" s="37">
        <v>6</v>
      </c>
      <c r="P517" s="37">
        <v>3</v>
      </c>
      <c r="R517">
        <v>1</v>
      </c>
    </row>
    <row r="518" spans="1:18" s="68" customFormat="1" ht="21" customHeight="1">
      <c r="A518" s="155">
        <v>199053</v>
      </c>
      <c r="B518" s="62">
        <v>12020</v>
      </c>
      <c r="C518" s="75" t="s">
        <v>95</v>
      </c>
      <c r="D518" s="37">
        <f t="shared" si="42"/>
        <v>673</v>
      </c>
      <c r="E518" s="147" t="s">
        <v>19</v>
      </c>
      <c r="F518" s="37">
        <f t="shared" si="43"/>
        <v>679</v>
      </c>
      <c r="G518" s="144" t="s">
        <v>20</v>
      </c>
      <c r="H518" s="62">
        <v>7008</v>
      </c>
      <c r="J518" s="144">
        <v>30</v>
      </c>
      <c r="K518" s="62">
        <v>1510</v>
      </c>
      <c r="L518" s="62" t="s">
        <v>96</v>
      </c>
      <c r="M518" s="62">
        <v>52019</v>
      </c>
      <c r="O518" s="62">
        <v>41</v>
      </c>
      <c r="P518" s="62">
        <v>16</v>
      </c>
    </row>
    <row r="519" spans="1:18" s="68" customFormat="1">
      <c r="A519" s="155">
        <v>199054</v>
      </c>
      <c r="B519" s="62">
        <v>12021</v>
      </c>
      <c r="C519" s="75" t="s">
        <v>110</v>
      </c>
      <c r="D519" s="37">
        <f t="shared" si="42"/>
        <v>673</v>
      </c>
      <c r="E519" s="147" t="s">
        <v>19</v>
      </c>
      <c r="F519" s="37">
        <f t="shared" si="43"/>
        <v>679</v>
      </c>
      <c r="G519" s="144" t="s">
        <v>20</v>
      </c>
      <c r="H519" s="62">
        <v>7009</v>
      </c>
      <c r="J519" s="144">
        <v>30</v>
      </c>
      <c r="K519" s="62">
        <v>1511</v>
      </c>
      <c r="L519" s="62" t="s">
        <v>111</v>
      </c>
      <c r="M519" s="62">
        <v>52020</v>
      </c>
      <c r="O519" s="62">
        <v>42</v>
      </c>
      <c r="P519" s="62">
        <v>17</v>
      </c>
    </row>
    <row r="520" spans="1:18" s="139" customFormat="1">
      <c r="A520" s="155">
        <v>199055</v>
      </c>
      <c r="B520" s="155">
        <v>12005</v>
      </c>
      <c r="C520" s="75" t="s">
        <v>112</v>
      </c>
      <c r="D520" s="37">
        <f>D519+7</f>
        <v>680</v>
      </c>
      <c r="E520" s="147" t="s">
        <v>19</v>
      </c>
      <c r="F520" s="37">
        <f>F519+7</f>
        <v>686</v>
      </c>
      <c r="G520" s="156" t="s">
        <v>20</v>
      </c>
      <c r="H520" s="155">
        <v>3101</v>
      </c>
      <c r="I520" s="155"/>
      <c r="J520" s="156">
        <v>30</v>
      </c>
      <c r="K520" s="155">
        <v>1011</v>
      </c>
      <c r="L520" s="155" t="s">
        <v>113</v>
      </c>
      <c r="M520" s="155">
        <v>52007</v>
      </c>
      <c r="N520" s="155"/>
      <c r="O520" s="155">
        <v>18</v>
      </c>
      <c r="P520" s="155">
        <v>6</v>
      </c>
      <c r="R520">
        <v>1</v>
      </c>
    </row>
    <row r="521" spans="1:18" s="139" customFormat="1">
      <c r="A521" s="155">
        <v>199056</v>
      </c>
      <c r="B521" s="155">
        <v>12009</v>
      </c>
      <c r="C521" s="75" t="s">
        <v>85</v>
      </c>
      <c r="D521" s="37">
        <f t="shared" ref="D521:D525" si="44">D520</f>
        <v>680</v>
      </c>
      <c r="E521" s="147" t="s">
        <v>19</v>
      </c>
      <c r="F521" s="37">
        <f t="shared" ref="F521:F525" si="45">F520</f>
        <v>686</v>
      </c>
      <c r="G521" s="156" t="s">
        <v>20</v>
      </c>
      <c r="K521" s="155">
        <v>1013</v>
      </c>
      <c r="L521" s="155" t="s">
        <v>86</v>
      </c>
      <c r="N521" s="139">
        <v>52011</v>
      </c>
      <c r="O521" s="155">
        <v>33</v>
      </c>
      <c r="P521" s="155"/>
      <c r="R521">
        <v>1</v>
      </c>
    </row>
    <row r="522" spans="1:18" s="139" customFormat="1">
      <c r="A522" s="155">
        <v>199057</v>
      </c>
      <c r="B522" s="155">
        <v>12006</v>
      </c>
      <c r="C522" s="75" t="s">
        <v>89</v>
      </c>
      <c r="D522" s="37">
        <f t="shared" si="44"/>
        <v>680</v>
      </c>
      <c r="E522" s="147" t="s">
        <v>19</v>
      </c>
      <c r="F522" s="37">
        <f t="shared" si="45"/>
        <v>686</v>
      </c>
      <c r="G522" s="156" t="s">
        <v>20</v>
      </c>
      <c r="K522" s="155">
        <v>1003</v>
      </c>
      <c r="L522" s="155" t="s">
        <v>90</v>
      </c>
      <c r="O522" s="155">
        <v>5</v>
      </c>
      <c r="P522" s="155"/>
      <c r="R522">
        <v>1</v>
      </c>
    </row>
    <row r="523" spans="1:18" s="139" customFormat="1">
      <c r="A523" s="155">
        <v>199058</v>
      </c>
      <c r="B523" s="155">
        <v>12010</v>
      </c>
      <c r="C523" s="75" t="s">
        <v>81</v>
      </c>
      <c r="D523" s="37">
        <f t="shared" si="44"/>
        <v>680</v>
      </c>
      <c r="E523" s="147" t="s">
        <v>19</v>
      </c>
      <c r="F523" s="37">
        <f t="shared" si="45"/>
        <v>686</v>
      </c>
      <c r="G523" s="156" t="s">
        <v>20</v>
      </c>
      <c r="H523" s="155">
        <v>990</v>
      </c>
      <c r="I523" s="155"/>
      <c r="J523" s="155">
        <v>30</v>
      </c>
      <c r="K523" s="155">
        <v>1015</v>
      </c>
      <c r="L523" s="155" t="s">
        <v>82</v>
      </c>
      <c r="M523" s="155">
        <v>52009</v>
      </c>
      <c r="N523" s="155"/>
      <c r="O523" s="155">
        <v>1</v>
      </c>
      <c r="P523" s="155">
        <v>1</v>
      </c>
      <c r="R523">
        <v>1</v>
      </c>
    </row>
    <row r="524" spans="1:18" s="1" customFormat="1">
      <c r="A524" s="155">
        <v>199059</v>
      </c>
      <c r="B524" s="37">
        <v>12018</v>
      </c>
      <c r="C524" s="75" t="s">
        <v>114</v>
      </c>
      <c r="D524" s="37">
        <f t="shared" si="44"/>
        <v>680</v>
      </c>
      <c r="E524" s="147" t="s">
        <v>19</v>
      </c>
      <c r="F524" s="37">
        <f t="shared" si="45"/>
        <v>686</v>
      </c>
      <c r="G524" s="147" t="s">
        <v>20</v>
      </c>
      <c r="H524" s="37">
        <v>7006</v>
      </c>
      <c r="J524" s="147">
        <v>30</v>
      </c>
      <c r="K524" s="37">
        <v>1508</v>
      </c>
      <c r="L524" s="37" t="s">
        <v>115</v>
      </c>
      <c r="M524" s="37">
        <v>52017</v>
      </c>
      <c r="O524" s="37">
        <v>39</v>
      </c>
      <c r="P524" s="37">
        <v>14</v>
      </c>
      <c r="R524">
        <v>1</v>
      </c>
    </row>
    <row r="525" spans="1:18" s="1" customFormat="1">
      <c r="A525" s="155">
        <v>199060</v>
      </c>
      <c r="B525" s="37">
        <v>12019</v>
      </c>
      <c r="C525" s="75" t="s">
        <v>116</v>
      </c>
      <c r="D525" s="37">
        <f t="shared" si="44"/>
        <v>680</v>
      </c>
      <c r="E525" s="147" t="s">
        <v>19</v>
      </c>
      <c r="F525" s="37">
        <f t="shared" si="45"/>
        <v>686</v>
      </c>
      <c r="G525" s="147" t="s">
        <v>20</v>
      </c>
      <c r="H525" s="37">
        <v>7007</v>
      </c>
      <c r="J525" s="147">
        <v>30</v>
      </c>
      <c r="K525" s="37">
        <v>1509</v>
      </c>
      <c r="L525" s="37" t="s">
        <v>117</v>
      </c>
      <c r="M525" s="37">
        <v>52018</v>
      </c>
      <c r="O525" s="37">
        <v>40</v>
      </c>
      <c r="P525" s="37">
        <v>15</v>
      </c>
      <c r="R525">
        <v>1</v>
      </c>
    </row>
    <row r="526" spans="1:18" s="68" customFormat="1">
      <c r="A526" s="155">
        <v>199061</v>
      </c>
      <c r="B526" s="62">
        <v>12013</v>
      </c>
      <c r="C526" s="75" t="s">
        <v>104</v>
      </c>
      <c r="D526" s="37">
        <f>D525+7</f>
        <v>687</v>
      </c>
      <c r="E526" s="147" t="s">
        <v>19</v>
      </c>
      <c r="F526" s="37">
        <f>F525+7</f>
        <v>693</v>
      </c>
      <c r="G526" s="144" t="s">
        <v>20</v>
      </c>
      <c r="H526" s="62">
        <v>7001</v>
      </c>
      <c r="J526" s="144">
        <v>30</v>
      </c>
      <c r="K526" s="62">
        <v>1503</v>
      </c>
      <c r="L526" s="62" t="s">
        <v>105</v>
      </c>
      <c r="M526" s="62">
        <v>52012</v>
      </c>
      <c r="N526" s="62"/>
      <c r="O526" s="62">
        <v>34</v>
      </c>
      <c r="P526" s="62">
        <v>9</v>
      </c>
      <c r="R526" s="68">
        <v>1</v>
      </c>
    </row>
    <row r="527" spans="1:18" s="68" customFormat="1">
      <c r="A527" s="155">
        <v>199062</v>
      </c>
      <c r="B527" s="62">
        <v>12014</v>
      </c>
      <c r="C527" s="75" t="s">
        <v>106</v>
      </c>
      <c r="D527" s="37">
        <f t="shared" ref="D527:D531" si="46">D526</f>
        <v>687</v>
      </c>
      <c r="E527" s="147" t="s">
        <v>19</v>
      </c>
      <c r="F527" s="37">
        <f t="shared" ref="F527:F531" si="47">F526</f>
        <v>693</v>
      </c>
      <c r="G527" s="144" t="s">
        <v>20</v>
      </c>
      <c r="H527" s="62">
        <v>7002</v>
      </c>
      <c r="J527" s="144">
        <v>30</v>
      </c>
      <c r="K527" s="62">
        <v>1504</v>
      </c>
      <c r="L527" s="62" t="s">
        <v>107</v>
      </c>
      <c r="M527" s="62">
        <v>52013</v>
      </c>
      <c r="O527" s="62">
        <v>35</v>
      </c>
      <c r="P527" s="62">
        <v>10</v>
      </c>
      <c r="R527" s="68">
        <v>1</v>
      </c>
    </row>
    <row r="528" spans="1:18" s="68" customFormat="1">
      <c r="A528" s="155">
        <v>199063</v>
      </c>
      <c r="B528" s="62">
        <v>12008</v>
      </c>
      <c r="C528" s="75" t="s">
        <v>118</v>
      </c>
      <c r="D528" s="37">
        <f t="shared" si="46"/>
        <v>687</v>
      </c>
      <c r="E528" s="147" t="s">
        <v>19</v>
      </c>
      <c r="F528" s="37">
        <f t="shared" si="47"/>
        <v>693</v>
      </c>
      <c r="G528" s="144" t="s">
        <v>20</v>
      </c>
      <c r="H528" s="62">
        <v>1002</v>
      </c>
      <c r="J528" s="144">
        <v>30</v>
      </c>
      <c r="K528" s="62">
        <v>1012</v>
      </c>
      <c r="L528" s="62" t="s">
        <v>119</v>
      </c>
      <c r="M528" s="62">
        <v>52008</v>
      </c>
      <c r="N528" s="62"/>
      <c r="O528" s="62">
        <v>22</v>
      </c>
      <c r="P528" s="62">
        <v>7</v>
      </c>
      <c r="R528" s="68">
        <v>1</v>
      </c>
    </row>
    <row r="529" spans="1:18" s="68" customFormat="1">
      <c r="A529" s="155">
        <v>199064</v>
      </c>
      <c r="B529" s="62">
        <v>12009</v>
      </c>
      <c r="C529" s="75" t="s">
        <v>85</v>
      </c>
      <c r="D529" s="37">
        <f t="shared" si="46"/>
        <v>687</v>
      </c>
      <c r="E529" s="147" t="s">
        <v>19</v>
      </c>
      <c r="F529" s="37">
        <f t="shared" si="47"/>
        <v>693</v>
      </c>
      <c r="G529" s="144" t="s">
        <v>20</v>
      </c>
      <c r="K529" s="62">
        <v>1013</v>
      </c>
      <c r="L529" s="62" t="s">
        <v>86</v>
      </c>
      <c r="N529" s="68">
        <v>52011</v>
      </c>
      <c r="O529" s="62">
        <v>33</v>
      </c>
      <c r="P529" s="62"/>
      <c r="R529" s="68">
        <v>1</v>
      </c>
    </row>
    <row r="530" spans="1:18" s="68" customFormat="1">
      <c r="A530" s="155">
        <v>199065</v>
      </c>
      <c r="B530" s="62">
        <v>12006</v>
      </c>
      <c r="C530" s="75" t="s">
        <v>89</v>
      </c>
      <c r="D530" s="37">
        <f t="shared" si="46"/>
        <v>687</v>
      </c>
      <c r="E530" s="147" t="s">
        <v>19</v>
      </c>
      <c r="F530" s="37">
        <f t="shared" si="47"/>
        <v>693</v>
      </c>
      <c r="G530" s="144" t="s">
        <v>20</v>
      </c>
      <c r="K530" s="62">
        <v>1003</v>
      </c>
      <c r="L530" s="62" t="s">
        <v>90</v>
      </c>
      <c r="O530" s="62">
        <v>5</v>
      </c>
      <c r="P530" s="62"/>
      <c r="R530" s="68">
        <v>1</v>
      </c>
    </row>
    <row r="531" spans="1:18" s="68" customFormat="1">
      <c r="A531" s="155">
        <v>199066</v>
      </c>
      <c r="B531" s="62">
        <v>12004</v>
      </c>
      <c r="C531" s="75" t="s">
        <v>91</v>
      </c>
      <c r="D531" s="37">
        <f t="shared" si="46"/>
        <v>687</v>
      </c>
      <c r="E531" s="147" t="s">
        <v>19</v>
      </c>
      <c r="F531" s="37">
        <f t="shared" si="47"/>
        <v>693</v>
      </c>
      <c r="G531" s="144" t="s">
        <v>20</v>
      </c>
      <c r="H531" s="62">
        <v>1003</v>
      </c>
      <c r="I531" s="62"/>
      <c r="J531" s="144">
        <v>30</v>
      </c>
      <c r="K531" s="62">
        <v>1010</v>
      </c>
      <c r="L531" s="62" t="s">
        <v>92</v>
      </c>
      <c r="M531" s="62">
        <v>52006</v>
      </c>
      <c r="N531" s="62"/>
      <c r="O531" s="62">
        <v>6</v>
      </c>
      <c r="P531" s="62">
        <v>3</v>
      </c>
      <c r="R531" s="68">
        <v>1</v>
      </c>
    </row>
    <row r="532" spans="1:18" s="1" customFormat="1">
      <c r="A532" s="155">
        <v>199067</v>
      </c>
      <c r="B532" s="37">
        <v>12008</v>
      </c>
      <c r="C532" s="75" t="s">
        <v>118</v>
      </c>
      <c r="D532" s="37">
        <f>D531+7</f>
        <v>694</v>
      </c>
      <c r="E532" s="147" t="s">
        <v>19</v>
      </c>
      <c r="F532" s="37">
        <f>F531+7</f>
        <v>700</v>
      </c>
      <c r="G532" s="147" t="s">
        <v>20</v>
      </c>
      <c r="H532" s="37">
        <v>1002</v>
      </c>
      <c r="J532" s="147">
        <v>30</v>
      </c>
      <c r="K532" s="37">
        <v>1012</v>
      </c>
      <c r="L532" s="37" t="s">
        <v>119</v>
      </c>
      <c r="M532" s="37">
        <v>52008</v>
      </c>
      <c r="N532" s="37"/>
      <c r="O532" s="37">
        <v>22</v>
      </c>
      <c r="P532" s="37">
        <v>7</v>
      </c>
      <c r="R532">
        <v>1</v>
      </c>
    </row>
    <row r="533" spans="1:18" s="1" customFormat="1">
      <c r="A533" s="155">
        <v>199068</v>
      </c>
      <c r="B533" s="37">
        <v>12009</v>
      </c>
      <c r="C533" s="75" t="s">
        <v>85</v>
      </c>
      <c r="D533" s="37">
        <f t="shared" ref="D533:D537" si="48">D532</f>
        <v>694</v>
      </c>
      <c r="E533" s="147" t="s">
        <v>19</v>
      </c>
      <c r="F533" s="37">
        <f t="shared" ref="F533:F537" si="49">F532</f>
        <v>700</v>
      </c>
      <c r="G533" s="147" t="s">
        <v>20</v>
      </c>
      <c r="K533" s="37">
        <v>1013</v>
      </c>
      <c r="L533" s="37" t="s">
        <v>86</v>
      </c>
      <c r="N533" s="1">
        <v>52011</v>
      </c>
      <c r="O533" s="37">
        <v>33</v>
      </c>
      <c r="P533" s="37"/>
      <c r="R533">
        <v>1</v>
      </c>
    </row>
    <row r="534" spans="1:18" s="1" customFormat="1">
      <c r="A534" s="155">
        <v>199069</v>
      </c>
      <c r="B534" s="37">
        <v>12006</v>
      </c>
      <c r="C534" s="75" t="s">
        <v>89</v>
      </c>
      <c r="D534" s="37">
        <f t="shared" si="48"/>
        <v>694</v>
      </c>
      <c r="E534" s="147" t="s">
        <v>19</v>
      </c>
      <c r="F534" s="37">
        <f t="shared" si="49"/>
        <v>700</v>
      </c>
      <c r="G534" s="147" t="s">
        <v>20</v>
      </c>
      <c r="K534" s="37">
        <v>1003</v>
      </c>
      <c r="L534" s="37" t="s">
        <v>90</v>
      </c>
      <c r="O534" s="37">
        <v>5</v>
      </c>
      <c r="P534" s="37"/>
      <c r="R534">
        <v>1</v>
      </c>
    </row>
    <row r="535" spans="1:18" s="1" customFormat="1">
      <c r="A535" s="155">
        <v>199070</v>
      </c>
      <c r="B535" s="37">
        <v>12004</v>
      </c>
      <c r="C535" s="75" t="s">
        <v>91</v>
      </c>
      <c r="D535" s="37">
        <f t="shared" si="48"/>
        <v>694</v>
      </c>
      <c r="E535" s="147" t="s">
        <v>19</v>
      </c>
      <c r="F535" s="37">
        <f t="shared" si="49"/>
        <v>700</v>
      </c>
      <c r="G535" s="147" t="s">
        <v>20</v>
      </c>
      <c r="H535" s="37">
        <v>1003</v>
      </c>
      <c r="I535" s="37"/>
      <c r="J535" s="147">
        <v>30</v>
      </c>
      <c r="K535" s="37">
        <v>1010</v>
      </c>
      <c r="L535" s="37" t="s">
        <v>92</v>
      </c>
      <c r="M535" s="37">
        <v>52006</v>
      </c>
      <c r="N535" s="37"/>
      <c r="O535" s="37">
        <v>6</v>
      </c>
      <c r="P535" s="37">
        <v>3</v>
      </c>
      <c r="R535">
        <v>1</v>
      </c>
    </row>
    <row r="536" spans="1:18" s="68" customFormat="1" ht="21" customHeight="1">
      <c r="A536" s="155">
        <v>199071</v>
      </c>
      <c r="B536" s="62">
        <v>12020</v>
      </c>
      <c r="C536" s="75" t="s">
        <v>95</v>
      </c>
      <c r="D536" s="37">
        <f t="shared" si="48"/>
        <v>694</v>
      </c>
      <c r="E536" s="147" t="s">
        <v>19</v>
      </c>
      <c r="F536" s="37">
        <f t="shared" si="49"/>
        <v>700</v>
      </c>
      <c r="G536" s="144" t="s">
        <v>20</v>
      </c>
      <c r="H536" s="62">
        <v>7008</v>
      </c>
      <c r="J536" s="144">
        <v>30</v>
      </c>
      <c r="K536" s="62">
        <v>1510</v>
      </c>
      <c r="L536" s="62" t="s">
        <v>96</v>
      </c>
      <c r="M536" s="62">
        <v>52019</v>
      </c>
      <c r="O536" s="62">
        <v>41</v>
      </c>
      <c r="P536" s="62">
        <v>16</v>
      </c>
    </row>
    <row r="537" spans="1:18" s="68" customFormat="1">
      <c r="A537" s="155">
        <v>199072</v>
      </c>
      <c r="B537" s="62">
        <v>12021</v>
      </c>
      <c r="C537" s="75" t="s">
        <v>110</v>
      </c>
      <c r="D537" s="37">
        <f t="shared" si="48"/>
        <v>694</v>
      </c>
      <c r="E537" s="147" t="s">
        <v>19</v>
      </c>
      <c r="F537" s="37">
        <f t="shared" si="49"/>
        <v>700</v>
      </c>
      <c r="G537" s="144" t="s">
        <v>20</v>
      </c>
      <c r="H537" s="62">
        <v>7009</v>
      </c>
      <c r="J537" s="144">
        <v>30</v>
      </c>
      <c r="K537" s="62">
        <v>1511</v>
      </c>
      <c r="L537" s="62" t="s">
        <v>111</v>
      </c>
      <c r="M537" s="62">
        <v>52020</v>
      </c>
      <c r="O537" s="62">
        <v>42</v>
      </c>
      <c r="P537" s="62">
        <v>17</v>
      </c>
    </row>
    <row r="538" spans="1:18" s="139" customFormat="1">
      <c r="A538" s="155">
        <v>199055</v>
      </c>
      <c r="B538" s="155">
        <v>12005</v>
      </c>
      <c r="C538" s="75" t="s">
        <v>112</v>
      </c>
      <c r="D538" s="37">
        <f>D537+7</f>
        <v>701</v>
      </c>
      <c r="E538" s="147" t="s">
        <v>19</v>
      </c>
      <c r="F538" s="37">
        <f>F537+7</f>
        <v>707</v>
      </c>
      <c r="G538" s="156" t="s">
        <v>20</v>
      </c>
      <c r="H538" s="155">
        <v>3101</v>
      </c>
      <c r="I538" s="155"/>
      <c r="J538" s="156">
        <v>30</v>
      </c>
      <c r="K538" s="155">
        <v>1011</v>
      </c>
      <c r="L538" s="155" t="s">
        <v>113</v>
      </c>
      <c r="M538" s="155">
        <v>52007</v>
      </c>
      <c r="N538" s="155"/>
      <c r="O538" s="155">
        <v>18</v>
      </c>
      <c r="P538" s="155">
        <v>6</v>
      </c>
      <c r="R538">
        <v>1</v>
      </c>
    </row>
    <row r="539" spans="1:18" s="139" customFormat="1">
      <c r="A539" s="155">
        <v>199056</v>
      </c>
      <c r="B539" s="155">
        <v>12009</v>
      </c>
      <c r="C539" s="75" t="s">
        <v>85</v>
      </c>
      <c r="D539" s="37">
        <f t="shared" ref="D539:D543" si="50">D538</f>
        <v>701</v>
      </c>
      <c r="E539" s="147" t="s">
        <v>19</v>
      </c>
      <c r="F539" s="37">
        <f t="shared" ref="F539:F543" si="51">F538</f>
        <v>707</v>
      </c>
      <c r="G539" s="156" t="s">
        <v>20</v>
      </c>
      <c r="K539" s="155">
        <v>1013</v>
      </c>
      <c r="L539" s="155" t="s">
        <v>86</v>
      </c>
      <c r="N539" s="139">
        <v>52011</v>
      </c>
      <c r="O539" s="155">
        <v>33</v>
      </c>
      <c r="P539" s="155"/>
      <c r="R539">
        <v>1</v>
      </c>
    </row>
    <row r="540" spans="1:18" s="139" customFormat="1">
      <c r="A540" s="155">
        <v>199057</v>
      </c>
      <c r="B540" s="155">
        <v>12006</v>
      </c>
      <c r="C540" s="75" t="s">
        <v>89</v>
      </c>
      <c r="D540" s="37">
        <f t="shared" si="50"/>
        <v>701</v>
      </c>
      <c r="E540" s="147" t="s">
        <v>19</v>
      </c>
      <c r="F540" s="37">
        <f t="shared" si="51"/>
        <v>707</v>
      </c>
      <c r="G540" s="156" t="s">
        <v>20</v>
      </c>
      <c r="K540" s="155">
        <v>1003</v>
      </c>
      <c r="L540" s="155" t="s">
        <v>90</v>
      </c>
      <c r="O540" s="155">
        <v>5</v>
      </c>
      <c r="P540" s="155"/>
      <c r="R540">
        <v>1</v>
      </c>
    </row>
    <row r="541" spans="1:18" s="139" customFormat="1">
      <c r="A541" s="155">
        <v>199058</v>
      </c>
      <c r="B541" s="155">
        <v>12010</v>
      </c>
      <c r="C541" s="75" t="s">
        <v>81</v>
      </c>
      <c r="D541" s="37">
        <f t="shared" si="50"/>
        <v>701</v>
      </c>
      <c r="E541" s="147" t="s">
        <v>19</v>
      </c>
      <c r="F541" s="37">
        <f t="shared" si="51"/>
        <v>707</v>
      </c>
      <c r="G541" s="156" t="s">
        <v>20</v>
      </c>
      <c r="H541" s="155">
        <v>990</v>
      </c>
      <c r="I541" s="155"/>
      <c r="J541" s="155">
        <v>30</v>
      </c>
      <c r="K541" s="155">
        <v>1015</v>
      </c>
      <c r="L541" s="155" t="s">
        <v>82</v>
      </c>
      <c r="M541" s="155">
        <v>52009</v>
      </c>
      <c r="N541" s="155"/>
      <c r="O541" s="155">
        <v>1</v>
      </c>
      <c r="P541" s="155">
        <v>1</v>
      </c>
      <c r="R541">
        <v>1</v>
      </c>
    </row>
    <row r="542" spans="1:18" s="1" customFormat="1">
      <c r="A542" s="155">
        <v>199059</v>
      </c>
      <c r="B542" s="37">
        <v>12018</v>
      </c>
      <c r="C542" s="75" t="s">
        <v>114</v>
      </c>
      <c r="D542" s="37">
        <f t="shared" si="50"/>
        <v>701</v>
      </c>
      <c r="E542" s="147" t="s">
        <v>19</v>
      </c>
      <c r="F542" s="37">
        <f t="shared" si="51"/>
        <v>707</v>
      </c>
      <c r="G542" s="147" t="s">
        <v>20</v>
      </c>
      <c r="H542" s="37">
        <v>7006</v>
      </c>
      <c r="J542" s="147">
        <v>30</v>
      </c>
      <c r="K542" s="37">
        <v>1508</v>
      </c>
      <c r="L542" s="37" t="s">
        <v>115</v>
      </c>
      <c r="M542" s="37">
        <v>52017</v>
      </c>
      <c r="O542" s="37">
        <v>39</v>
      </c>
      <c r="P542" s="37">
        <v>14</v>
      </c>
      <c r="R542">
        <v>1</v>
      </c>
    </row>
    <row r="543" spans="1:18" s="1" customFormat="1">
      <c r="A543" s="155">
        <v>199060</v>
      </c>
      <c r="B543" s="37">
        <v>12019</v>
      </c>
      <c r="C543" s="75" t="s">
        <v>116</v>
      </c>
      <c r="D543" s="37">
        <f t="shared" si="50"/>
        <v>701</v>
      </c>
      <c r="E543" s="147" t="s">
        <v>19</v>
      </c>
      <c r="F543" s="37">
        <f t="shared" si="51"/>
        <v>707</v>
      </c>
      <c r="G543" s="147" t="s">
        <v>20</v>
      </c>
      <c r="H543" s="37">
        <v>7007</v>
      </c>
      <c r="J543" s="147">
        <v>30</v>
      </c>
      <c r="K543" s="37">
        <v>1509</v>
      </c>
      <c r="L543" s="37" t="s">
        <v>117</v>
      </c>
      <c r="M543" s="37">
        <v>52018</v>
      </c>
      <c r="O543" s="37">
        <v>40</v>
      </c>
      <c r="P543" s="37">
        <v>15</v>
      </c>
      <c r="R543">
        <v>1</v>
      </c>
    </row>
    <row r="544" spans="1:18" s="68" customFormat="1">
      <c r="A544" s="155">
        <v>199061</v>
      </c>
      <c r="B544" s="62">
        <v>12013</v>
      </c>
      <c r="C544" s="75" t="s">
        <v>104</v>
      </c>
      <c r="D544" s="37">
        <f>D543+7</f>
        <v>708</v>
      </c>
      <c r="E544" s="147" t="s">
        <v>19</v>
      </c>
      <c r="F544" s="37">
        <f>F543+7</f>
        <v>714</v>
      </c>
      <c r="G544" s="144" t="s">
        <v>20</v>
      </c>
      <c r="H544" s="62">
        <v>7001</v>
      </c>
      <c r="J544" s="144">
        <v>30</v>
      </c>
      <c r="K544" s="62">
        <v>1503</v>
      </c>
      <c r="L544" s="62" t="s">
        <v>105</v>
      </c>
      <c r="M544" s="62">
        <v>52012</v>
      </c>
      <c r="N544" s="62"/>
      <c r="O544" s="62">
        <v>34</v>
      </c>
      <c r="P544" s="62">
        <v>9</v>
      </c>
      <c r="R544" s="68">
        <v>1</v>
      </c>
    </row>
    <row r="545" spans="1:18" s="68" customFormat="1">
      <c r="A545" s="155">
        <v>199062</v>
      </c>
      <c r="B545" s="62">
        <v>12014</v>
      </c>
      <c r="C545" s="75" t="s">
        <v>106</v>
      </c>
      <c r="D545" s="37">
        <f t="shared" ref="D545:D549" si="52">D544</f>
        <v>708</v>
      </c>
      <c r="E545" s="147" t="s">
        <v>19</v>
      </c>
      <c r="F545" s="37">
        <f t="shared" ref="F545:F549" si="53">F544</f>
        <v>714</v>
      </c>
      <c r="G545" s="144" t="s">
        <v>20</v>
      </c>
      <c r="H545" s="62">
        <v>7002</v>
      </c>
      <c r="J545" s="144">
        <v>30</v>
      </c>
      <c r="K545" s="62">
        <v>1504</v>
      </c>
      <c r="L545" s="62" t="s">
        <v>107</v>
      </c>
      <c r="M545" s="62">
        <v>52013</v>
      </c>
      <c r="O545" s="62">
        <v>35</v>
      </c>
      <c r="P545" s="62">
        <v>10</v>
      </c>
      <c r="R545" s="68">
        <v>1</v>
      </c>
    </row>
    <row r="546" spans="1:18" s="68" customFormat="1">
      <c r="A546" s="155">
        <v>199063</v>
      </c>
      <c r="B546" s="62">
        <v>12008</v>
      </c>
      <c r="C546" s="75" t="s">
        <v>118</v>
      </c>
      <c r="D546" s="37">
        <f t="shared" si="52"/>
        <v>708</v>
      </c>
      <c r="E546" s="147" t="s">
        <v>19</v>
      </c>
      <c r="F546" s="37">
        <f t="shared" si="53"/>
        <v>714</v>
      </c>
      <c r="G546" s="144" t="s">
        <v>20</v>
      </c>
      <c r="H546" s="62">
        <v>1002</v>
      </c>
      <c r="J546" s="144">
        <v>30</v>
      </c>
      <c r="K546" s="62">
        <v>1012</v>
      </c>
      <c r="L546" s="62" t="s">
        <v>119</v>
      </c>
      <c r="M546" s="62">
        <v>52008</v>
      </c>
      <c r="N546" s="62"/>
      <c r="O546" s="62">
        <v>22</v>
      </c>
      <c r="P546" s="62">
        <v>7</v>
      </c>
      <c r="R546" s="68">
        <v>1</v>
      </c>
    </row>
    <row r="547" spans="1:18" s="68" customFormat="1">
      <c r="A547" s="155">
        <v>199064</v>
      </c>
      <c r="B547" s="62">
        <v>12009</v>
      </c>
      <c r="C547" s="75" t="s">
        <v>85</v>
      </c>
      <c r="D547" s="37">
        <f t="shared" si="52"/>
        <v>708</v>
      </c>
      <c r="E547" s="147" t="s">
        <v>19</v>
      </c>
      <c r="F547" s="37">
        <f t="shared" si="53"/>
        <v>714</v>
      </c>
      <c r="G547" s="144" t="s">
        <v>20</v>
      </c>
      <c r="K547" s="62">
        <v>1013</v>
      </c>
      <c r="L547" s="62" t="s">
        <v>86</v>
      </c>
      <c r="N547" s="68">
        <v>52011</v>
      </c>
      <c r="O547" s="62">
        <v>33</v>
      </c>
      <c r="P547" s="62"/>
      <c r="R547" s="68">
        <v>1</v>
      </c>
    </row>
    <row r="548" spans="1:18" s="68" customFormat="1">
      <c r="A548" s="155">
        <v>199065</v>
      </c>
      <c r="B548" s="62">
        <v>12006</v>
      </c>
      <c r="C548" s="75" t="s">
        <v>89</v>
      </c>
      <c r="D548" s="37">
        <f t="shared" si="52"/>
        <v>708</v>
      </c>
      <c r="E548" s="147" t="s">
        <v>19</v>
      </c>
      <c r="F548" s="37">
        <f t="shared" si="53"/>
        <v>714</v>
      </c>
      <c r="G548" s="144" t="s">
        <v>20</v>
      </c>
      <c r="K548" s="62">
        <v>1003</v>
      </c>
      <c r="L548" s="62" t="s">
        <v>90</v>
      </c>
      <c r="O548" s="62">
        <v>5</v>
      </c>
      <c r="P548" s="62"/>
      <c r="R548" s="68">
        <v>1</v>
      </c>
    </row>
    <row r="549" spans="1:18" s="68" customFormat="1">
      <c r="A549" s="155">
        <v>199066</v>
      </c>
      <c r="B549" s="62">
        <v>12004</v>
      </c>
      <c r="C549" s="75" t="s">
        <v>91</v>
      </c>
      <c r="D549" s="37">
        <f t="shared" si="52"/>
        <v>708</v>
      </c>
      <c r="E549" s="147" t="s">
        <v>19</v>
      </c>
      <c r="F549" s="37">
        <f t="shared" si="53"/>
        <v>714</v>
      </c>
      <c r="G549" s="144" t="s">
        <v>20</v>
      </c>
      <c r="H549" s="62">
        <v>1003</v>
      </c>
      <c r="I549" s="62"/>
      <c r="J549" s="144">
        <v>30</v>
      </c>
      <c r="K549" s="62">
        <v>1010</v>
      </c>
      <c r="L549" s="62" t="s">
        <v>92</v>
      </c>
      <c r="M549" s="62">
        <v>52006</v>
      </c>
      <c r="N549" s="62"/>
      <c r="O549" s="62">
        <v>6</v>
      </c>
      <c r="P549" s="62">
        <v>3</v>
      </c>
      <c r="R549" s="68">
        <v>1</v>
      </c>
    </row>
    <row r="550" spans="1:18" s="1" customFormat="1">
      <c r="A550" s="155">
        <v>199067</v>
      </c>
      <c r="B550" s="37">
        <v>12008</v>
      </c>
      <c r="C550" s="75" t="s">
        <v>118</v>
      </c>
      <c r="D550" s="37">
        <f>D549+7</f>
        <v>715</v>
      </c>
      <c r="E550" s="147" t="s">
        <v>19</v>
      </c>
      <c r="F550" s="37">
        <f>F549+7</f>
        <v>721</v>
      </c>
      <c r="G550" s="147" t="s">
        <v>20</v>
      </c>
      <c r="H550" s="37">
        <v>1002</v>
      </c>
      <c r="J550" s="147">
        <v>30</v>
      </c>
      <c r="K550" s="37">
        <v>1012</v>
      </c>
      <c r="L550" s="37" t="s">
        <v>119</v>
      </c>
      <c r="M550" s="37">
        <v>52008</v>
      </c>
      <c r="N550" s="37"/>
      <c r="O550" s="37">
        <v>22</v>
      </c>
      <c r="P550" s="37">
        <v>7</v>
      </c>
      <c r="R550">
        <v>1</v>
      </c>
    </row>
    <row r="551" spans="1:18" s="1" customFormat="1">
      <c r="A551" s="155">
        <v>199068</v>
      </c>
      <c r="B551" s="37">
        <v>12009</v>
      </c>
      <c r="C551" s="75" t="s">
        <v>85</v>
      </c>
      <c r="D551" s="37">
        <f t="shared" ref="D551:D555" si="54">D550</f>
        <v>715</v>
      </c>
      <c r="E551" s="147" t="s">
        <v>19</v>
      </c>
      <c r="F551" s="37">
        <f t="shared" ref="F551:F555" si="55">F550</f>
        <v>721</v>
      </c>
      <c r="G551" s="147" t="s">
        <v>20</v>
      </c>
      <c r="K551" s="37">
        <v>1013</v>
      </c>
      <c r="L551" s="37" t="s">
        <v>86</v>
      </c>
      <c r="N551" s="1">
        <v>52011</v>
      </c>
      <c r="O551" s="37">
        <v>33</v>
      </c>
      <c r="P551" s="37"/>
      <c r="R551">
        <v>1</v>
      </c>
    </row>
    <row r="552" spans="1:18" s="1" customFormat="1">
      <c r="A552" s="155">
        <v>199069</v>
      </c>
      <c r="B552" s="37">
        <v>12006</v>
      </c>
      <c r="C552" s="75" t="s">
        <v>89</v>
      </c>
      <c r="D552" s="37">
        <f t="shared" si="54"/>
        <v>715</v>
      </c>
      <c r="E552" s="147" t="s">
        <v>19</v>
      </c>
      <c r="F552" s="37">
        <f t="shared" si="55"/>
        <v>721</v>
      </c>
      <c r="G552" s="147" t="s">
        <v>20</v>
      </c>
      <c r="K552" s="37">
        <v>1003</v>
      </c>
      <c r="L552" s="37" t="s">
        <v>90</v>
      </c>
      <c r="O552" s="37">
        <v>5</v>
      </c>
      <c r="P552" s="37"/>
      <c r="R552">
        <v>1</v>
      </c>
    </row>
    <row r="553" spans="1:18" s="1" customFormat="1">
      <c r="A553" s="155">
        <v>199070</v>
      </c>
      <c r="B553" s="37">
        <v>12004</v>
      </c>
      <c r="C553" s="75" t="s">
        <v>91</v>
      </c>
      <c r="D553" s="37">
        <f t="shared" si="54"/>
        <v>715</v>
      </c>
      <c r="E553" s="147" t="s">
        <v>19</v>
      </c>
      <c r="F553" s="37">
        <f t="shared" si="55"/>
        <v>721</v>
      </c>
      <c r="G553" s="147" t="s">
        <v>20</v>
      </c>
      <c r="H553" s="37">
        <v>1003</v>
      </c>
      <c r="I553" s="37"/>
      <c r="J553" s="147">
        <v>30</v>
      </c>
      <c r="K553" s="37">
        <v>1010</v>
      </c>
      <c r="L553" s="37" t="s">
        <v>92</v>
      </c>
      <c r="M553" s="37">
        <v>52006</v>
      </c>
      <c r="N553" s="37"/>
      <c r="O553" s="37">
        <v>6</v>
      </c>
      <c r="P553" s="37">
        <v>3</v>
      </c>
      <c r="R553">
        <v>1</v>
      </c>
    </row>
    <row r="554" spans="1:18" s="68" customFormat="1" ht="21" customHeight="1">
      <c r="A554" s="155">
        <v>199071</v>
      </c>
      <c r="B554" s="62">
        <v>12020</v>
      </c>
      <c r="C554" s="75" t="s">
        <v>95</v>
      </c>
      <c r="D554" s="37">
        <f t="shared" si="54"/>
        <v>715</v>
      </c>
      <c r="E554" s="147" t="s">
        <v>19</v>
      </c>
      <c r="F554" s="37">
        <f t="shared" si="55"/>
        <v>721</v>
      </c>
      <c r="G554" s="144" t="s">
        <v>20</v>
      </c>
      <c r="H554" s="62">
        <v>7008</v>
      </c>
      <c r="J554" s="144">
        <v>30</v>
      </c>
      <c r="K554" s="62">
        <v>1510</v>
      </c>
      <c r="L554" s="62" t="s">
        <v>96</v>
      </c>
      <c r="M554" s="62">
        <v>52019</v>
      </c>
      <c r="O554" s="62">
        <v>41</v>
      </c>
      <c r="P554" s="62">
        <v>16</v>
      </c>
    </row>
    <row r="555" spans="1:18" s="68" customFormat="1">
      <c r="A555" s="155">
        <v>199072</v>
      </c>
      <c r="B555" s="62">
        <v>12021</v>
      </c>
      <c r="C555" s="75" t="s">
        <v>110</v>
      </c>
      <c r="D555" s="37">
        <f t="shared" si="54"/>
        <v>715</v>
      </c>
      <c r="E555" s="147" t="s">
        <v>19</v>
      </c>
      <c r="F555" s="37">
        <f t="shared" si="55"/>
        <v>721</v>
      </c>
      <c r="G555" s="144" t="s">
        <v>20</v>
      </c>
      <c r="H555" s="62">
        <v>7009</v>
      </c>
      <c r="J555" s="144">
        <v>30</v>
      </c>
      <c r="K555" s="62">
        <v>1511</v>
      </c>
      <c r="L555" s="62" t="s">
        <v>111</v>
      </c>
      <c r="M555" s="62">
        <v>52020</v>
      </c>
      <c r="O555" s="62">
        <v>42</v>
      </c>
      <c r="P555" s="62">
        <v>17</v>
      </c>
    </row>
    <row r="556" spans="1:18" s="139" customFormat="1">
      <c r="A556" s="155">
        <v>199055</v>
      </c>
      <c r="B556" s="155">
        <v>12005</v>
      </c>
      <c r="C556" s="75" t="s">
        <v>112</v>
      </c>
      <c r="D556" s="37">
        <f>D555+7</f>
        <v>722</v>
      </c>
      <c r="E556" s="147" t="s">
        <v>19</v>
      </c>
      <c r="F556" s="37">
        <f>F555+7</f>
        <v>728</v>
      </c>
      <c r="G556" s="156" t="s">
        <v>20</v>
      </c>
      <c r="H556" s="155">
        <v>3101</v>
      </c>
      <c r="I556" s="155"/>
      <c r="J556" s="156">
        <v>30</v>
      </c>
      <c r="K556" s="155">
        <v>1011</v>
      </c>
      <c r="L556" s="155" t="s">
        <v>113</v>
      </c>
      <c r="M556" s="155">
        <v>52007</v>
      </c>
      <c r="N556" s="155"/>
      <c r="O556" s="155">
        <v>18</v>
      </c>
      <c r="P556" s="155">
        <v>6</v>
      </c>
      <c r="R556">
        <v>1</v>
      </c>
    </row>
    <row r="557" spans="1:18" s="139" customFormat="1">
      <c r="A557" s="155">
        <v>199056</v>
      </c>
      <c r="B557" s="155">
        <v>12009</v>
      </c>
      <c r="C557" s="75" t="s">
        <v>85</v>
      </c>
      <c r="D557" s="37">
        <f t="shared" ref="D557:D561" si="56">D556</f>
        <v>722</v>
      </c>
      <c r="E557" s="147" t="s">
        <v>19</v>
      </c>
      <c r="F557" s="37">
        <f t="shared" ref="F557:F561" si="57">F556</f>
        <v>728</v>
      </c>
      <c r="G557" s="156" t="s">
        <v>20</v>
      </c>
      <c r="K557" s="155">
        <v>1013</v>
      </c>
      <c r="L557" s="155" t="s">
        <v>86</v>
      </c>
      <c r="N557" s="139">
        <v>52011</v>
      </c>
      <c r="O557" s="155">
        <v>33</v>
      </c>
      <c r="P557" s="155"/>
      <c r="R557">
        <v>1</v>
      </c>
    </row>
    <row r="558" spans="1:18" s="139" customFormat="1">
      <c r="A558" s="155">
        <v>199057</v>
      </c>
      <c r="B558" s="155">
        <v>12006</v>
      </c>
      <c r="C558" s="75" t="s">
        <v>89</v>
      </c>
      <c r="D558" s="37">
        <f t="shared" si="56"/>
        <v>722</v>
      </c>
      <c r="E558" s="147" t="s">
        <v>19</v>
      </c>
      <c r="F558" s="37">
        <f t="shared" si="57"/>
        <v>728</v>
      </c>
      <c r="G558" s="156" t="s">
        <v>20</v>
      </c>
      <c r="K558" s="155">
        <v>1003</v>
      </c>
      <c r="L558" s="155" t="s">
        <v>90</v>
      </c>
      <c r="O558" s="155">
        <v>5</v>
      </c>
      <c r="P558" s="155"/>
      <c r="R558">
        <v>1</v>
      </c>
    </row>
    <row r="559" spans="1:18" s="139" customFormat="1">
      <c r="A559" s="155">
        <v>199058</v>
      </c>
      <c r="B559" s="155">
        <v>12010</v>
      </c>
      <c r="C559" s="75" t="s">
        <v>81</v>
      </c>
      <c r="D559" s="37">
        <f t="shared" si="56"/>
        <v>722</v>
      </c>
      <c r="E559" s="147" t="s">
        <v>19</v>
      </c>
      <c r="F559" s="37">
        <f t="shared" si="57"/>
        <v>728</v>
      </c>
      <c r="G559" s="156" t="s">
        <v>20</v>
      </c>
      <c r="H559" s="155">
        <v>990</v>
      </c>
      <c r="I559" s="155"/>
      <c r="J559" s="155">
        <v>30</v>
      </c>
      <c r="K559" s="155">
        <v>1015</v>
      </c>
      <c r="L559" s="155" t="s">
        <v>82</v>
      </c>
      <c r="M559" s="155">
        <v>52009</v>
      </c>
      <c r="N559" s="155"/>
      <c r="O559" s="155">
        <v>1</v>
      </c>
      <c r="P559" s="155">
        <v>1</v>
      </c>
      <c r="R559">
        <v>1</v>
      </c>
    </row>
    <row r="560" spans="1:18" s="1" customFormat="1">
      <c r="A560" s="155">
        <v>199059</v>
      </c>
      <c r="B560" s="37">
        <v>12018</v>
      </c>
      <c r="C560" s="75" t="s">
        <v>114</v>
      </c>
      <c r="D560" s="37">
        <f t="shared" si="56"/>
        <v>722</v>
      </c>
      <c r="E560" s="147" t="s">
        <v>19</v>
      </c>
      <c r="F560" s="37">
        <f t="shared" si="57"/>
        <v>728</v>
      </c>
      <c r="G560" s="147" t="s">
        <v>20</v>
      </c>
      <c r="H560" s="37">
        <v>7006</v>
      </c>
      <c r="J560" s="147">
        <v>30</v>
      </c>
      <c r="K560" s="37">
        <v>1508</v>
      </c>
      <c r="L560" s="37" t="s">
        <v>115</v>
      </c>
      <c r="M560" s="37">
        <v>52017</v>
      </c>
      <c r="O560" s="37">
        <v>39</v>
      </c>
      <c r="P560" s="37">
        <v>14</v>
      </c>
      <c r="R560">
        <v>1</v>
      </c>
    </row>
    <row r="561" spans="1:18" s="1" customFormat="1">
      <c r="A561" s="155">
        <v>199060</v>
      </c>
      <c r="B561" s="37">
        <v>12019</v>
      </c>
      <c r="C561" s="75" t="s">
        <v>116</v>
      </c>
      <c r="D561" s="37">
        <f t="shared" si="56"/>
        <v>722</v>
      </c>
      <c r="E561" s="147" t="s">
        <v>19</v>
      </c>
      <c r="F561" s="37">
        <f t="shared" si="57"/>
        <v>728</v>
      </c>
      <c r="G561" s="147" t="s">
        <v>20</v>
      </c>
      <c r="H561" s="37">
        <v>7007</v>
      </c>
      <c r="J561" s="147">
        <v>30</v>
      </c>
      <c r="K561" s="37">
        <v>1509</v>
      </c>
      <c r="L561" s="37" t="s">
        <v>117</v>
      </c>
      <c r="M561" s="37">
        <v>52018</v>
      </c>
      <c r="O561" s="37">
        <v>40</v>
      </c>
      <c r="P561" s="37">
        <v>15</v>
      </c>
      <c r="R561">
        <v>1</v>
      </c>
    </row>
    <row r="562" spans="1:18" s="68" customFormat="1">
      <c r="A562" s="155">
        <v>199061</v>
      </c>
      <c r="B562" s="62">
        <v>12013</v>
      </c>
      <c r="C562" s="75" t="s">
        <v>104</v>
      </c>
      <c r="D562" s="37">
        <f>D561+7</f>
        <v>729</v>
      </c>
      <c r="E562" s="147" t="s">
        <v>19</v>
      </c>
      <c r="F562" s="37">
        <f>F561+7</f>
        <v>735</v>
      </c>
      <c r="G562" s="144" t="s">
        <v>20</v>
      </c>
      <c r="H562" s="62">
        <v>7001</v>
      </c>
      <c r="J562" s="144">
        <v>30</v>
      </c>
      <c r="K562" s="62">
        <v>1503</v>
      </c>
      <c r="L562" s="62" t="s">
        <v>105</v>
      </c>
      <c r="M562" s="62">
        <v>52012</v>
      </c>
      <c r="N562" s="62"/>
      <c r="O562" s="62">
        <v>34</v>
      </c>
      <c r="P562" s="62">
        <v>9</v>
      </c>
      <c r="R562" s="68">
        <v>1</v>
      </c>
    </row>
    <row r="563" spans="1:18" s="68" customFormat="1">
      <c r="A563" s="155">
        <v>199062</v>
      </c>
      <c r="B563" s="62">
        <v>12014</v>
      </c>
      <c r="C563" s="75" t="s">
        <v>106</v>
      </c>
      <c r="D563" s="37">
        <f t="shared" ref="D563:D567" si="58">D562</f>
        <v>729</v>
      </c>
      <c r="E563" s="147" t="s">
        <v>19</v>
      </c>
      <c r="F563" s="37">
        <f t="shared" ref="F563:F567" si="59">F562</f>
        <v>735</v>
      </c>
      <c r="G563" s="144" t="s">
        <v>20</v>
      </c>
      <c r="H563" s="62">
        <v>7002</v>
      </c>
      <c r="J563" s="144">
        <v>30</v>
      </c>
      <c r="K563" s="62">
        <v>1504</v>
      </c>
      <c r="L563" s="62" t="s">
        <v>107</v>
      </c>
      <c r="M563" s="62">
        <v>52013</v>
      </c>
      <c r="O563" s="62">
        <v>35</v>
      </c>
      <c r="P563" s="62">
        <v>10</v>
      </c>
      <c r="R563" s="68">
        <v>1</v>
      </c>
    </row>
    <row r="564" spans="1:18" s="68" customFormat="1">
      <c r="A564" s="155">
        <v>199063</v>
      </c>
      <c r="B564" s="62">
        <v>12008</v>
      </c>
      <c r="C564" s="75" t="s">
        <v>118</v>
      </c>
      <c r="D564" s="37">
        <f t="shared" si="58"/>
        <v>729</v>
      </c>
      <c r="E564" s="147" t="s">
        <v>19</v>
      </c>
      <c r="F564" s="37">
        <f t="shared" si="59"/>
        <v>735</v>
      </c>
      <c r="G564" s="144" t="s">
        <v>20</v>
      </c>
      <c r="H564" s="62">
        <v>1002</v>
      </c>
      <c r="J564" s="144">
        <v>30</v>
      </c>
      <c r="K564" s="62">
        <v>1012</v>
      </c>
      <c r="L564" s="62" t="s">
        <v>119</v>
      </c>
      <c r="M564" s="62">
        <v>52008</v>
      </c>
      <c r="N564" s="62"/>
      <c r="O564" s="62">
        <v>22</v>
      </c>
      <c r="P564" s="62">
        <v>7</v>
      </c>
      <c r="R564" s="68">
        <v>1</v>
      </c>
    </row>
    <row r="565" spans="1:18" s="68" customFormat="1">
      <c r="A565" s="155">
        <v>199064</v>
      </c>
      <c r="B565" s="62">
        <v>12009</v>
      </c>
      <c r="C565" s="75" t="s">
        <v>85</v>
      </c>
      <c r="D565" s="37">
        <f t="shared" si="58"/>
        <v>729</v>
      </c>
      <c r="E565" s="147" t="s">
        <v>19</v>
      </c>
      <c r="F565" s="37">
        <f t="shared" si="59"/>
        <v>735</v>
      </c>
      <c r="G565" s="144" t="s">
        <v>20</v>
      </c>
      <c r="K565" s="62">
        <v>1013</v>
      </c>
      <c r="L565" s="62" t="s">
        <v>86</v>
      </c>
      <c r="N565" s="68">
        <v>52011</v>
      </c>
      <c r="O565" s="62">
        <v>33</v>
      </c>
      <c r="P565" s="62"/>
      <c r="R565" s="68">
        <v>1</v>
      </c>
    </row>
    <row r="566" spans="1:18" s="68" customFormat="1">
      <c r="A566" s="155">
        <v>199065</v>
      </c>
      <c r="B566" s="62">
        <v>12006</v>
      </c>
      <c r="C566" s="75" t="s">
        <v>89</v>
      </c>
      <c r="D566" s="37">
        <f t="shared" si="58"/>
        <v>729</v>
      </c>
      <c r="E566" s="147" t="s">
        <v>19</v>
      </c>
      <c r="F566" s="37">
        <f t="shared" si="59"/>
        <v>735</v>
      </c>
      <c r="G566" s="144" t="s">
        <v>20</v>
      </c>
      <c r="K566" s="62">
        <v>1003</v>
      </c>
      <c r="L566" s="62" t="s">
        <v>90</v>
      </c>
      <c r="O566" s="62">
        <v>5</v>
      </c>
      <c r="P566" s="62"/>
      <c r="R566" s="68">
        <v>1</v>
      </c>
    </row>
    <row r="567" spans="1:18" s="68" customFormat="1">
      <c r="A567" s="155">
        <v>199066</v>
      </c>
      <c r="B567" s="62">
        <v>12004</v>
      </c>
      <c r="C567" s="75" t="s">
        <v>91</v>
      </c>
      <c r="D567" s="37">
        <f t="shared" si="58"/>
        <v>729</v>
      </c>
      <c r="E567" s="147" t="s">
        <v>19</v>
      </c>
      <c r="F567" s="37">
        <f t="shared" si="59"/>
        <v>735</v>
      </c>
      <c r="G567" s="144" t="s">
        <v>20</v>
      </c>
      <c r="H567" s="62">
        <v>1003</v>
      </c>
      <c r="I567" s="62"/>
      <c r="J567" s="144">
        <v>30</v>
      </c>
      <c r="K567" s="62">
        <v>1010</v>
      </c>
      <c r="L567" s="62" t="s">
        <v>92</v>
      </c>
      <c r="M567" s="62">
        <v>52006</v>
      </c>
      <c r="N567" s="62"/>
      <c r="O567" s="62">
        <v>6</v>
      </c>
      <c r="P567" s="62">
        <v>3</v>
      </c>
      <c r="R567" s="68">
        <v>1</v>
      </c>
    </row>
    <row r="568" spans="1:18" s="1" customFormat="1">
      <c r="A568" s="155">
        <v>199067</v>
      </c>
      <c r="B568" s="37">
        <v>12008</v>
      </c>
      <c r="C568" s="75" t="s">
        <v>118</v>
      </c>
      <c r="D568" s="37">
        <f>D567+7</f>
        <v>736</v>
      </c>
      <c r="E568" s="147" t="s">
        <v>19</v>
      </c>
      <c r="F568" s="37">
        <f>F567+7</f>
        <v>742</v>
      </c>
      <c r="G568" s="147" t="s">
        <v>20</v>
      </c>
      <c r="H568" s="37">
        <v>1002</v>
      </c>
      <c r="J568" s="147">
        <v>30</v>
      </c>
      <c r="K568" s="37">
        <v>1012</v>
      </c>
      <c r="L568" s="37" t="s">
        <v>119</v>
      </c>
      <c r="M568" s="37">
        <v>52008</v>
      </c>
      <c r="N568" s="37"/>
      <c r="O568" s="37">
        <v>22</v>
      </c>
      <c r="P568" s="37">
        <v>7</v>
      </c>
      <c r="R568">
        <v>1</v>
      </c>
    </row>
    <row r="569" spans="1:18" s="1" customFormat="1">
      <c r="A569" s="155">
        <v>199068</v>
      </c>
      <c r="B569" s="37">
        <v>12009</v>
      </c>
      <c r="C569" s="75" t="s">
        <v>85</v>
      </c>
      <c r="D569" s="37">
        <f t="shared" ref="D569:D573" si="60">D568</f>
        <v>736</v>
      </c>
      <c r="E569" s="147" t="s">
        <v>19</v>
      </c>
      <c r="F569" s="37">
        <f t="shared" ref="F569:F573" si="61">F568</f>
        <v>742</v>
      </c>
      <c r="G569" s="147" t="s">
        <v>20</v>
      </c>
      <c r="K569" s="37">
        <v>1013</v>
      </c>
      <c r="L569" s="37" t="s">
        <v>86</v>
      </c>
      <c r="N569" s="1">
        <v>52011</v>
      </c>
      <c r="O569" s="37">
        <v>33</v>
      </c>
      <c r="P569" s="37"/>
      <c r="R569">
        <v>1</v>
      </c>
    </row>
    <row r="570" spans="1:18" s="1" customFormat="1">
      <c r="A570" s="155">
        <v>199069</v>
      </c>
      <c r="B570" s="37">
        <v>12006</v>
      </c>
      <c r="C570" s="75" t="s">
        <v>89</v>
      </c>
      <c r="D570" s="37">
        <f t="shared" si="60"/>
        <v>736</v>
      </c>
      <c r="E570" s="147" t="s">
        <v>19</v>
      </c>
      <c r="F570" s="37">
        <f t="shared" si="61"/>
        <v>742</v>
      </c>
      <c r="G570" s="147" t="s">
        <v>20</v>
      </c>
      <c r="K570" s="37">
        <v>1003</v>
      </c>
      <c r="L570" s="37" t="s">
        <v>90</v>
      </c>
      <c r="O570" s="37">
        <v>5</v>
      </c>
      <c r="P570" s="37"/>
      <c r="R570">
        <v>1</v>
      </c>
    </row>
    <row r="571" spans="1:18" s="1" customFormat="1">
      <c r="A571" s="155">
        <v>199070</v>
      </c>
      <c r="B571" s="37">
        <v>12004</v>
      </c>
      <c r="C571" s="75" t="s">
        <v>91</v>
      </c>
      <c r="D571" s="37">
        <f t="shared" si="60"/>
        <v>736</v>
      </c>
      <c r="E571" s="147" t="s">
        <v>19</v>
      </c>
      <c r="F571" s="37">
        <f t="shared" si="61"/>
        <v>742</v>
      </c>
      <c r="G571" s="147" t="s">
        <v>20</v>
      </c>
      <c r="H571" s="37">
        <v>1003</v>
      </c>
      <c r="I571" s="37"/>
      <c r="J571" s="147">
        <v>30</v>
      </c>
      <c r="K571" s="37">
        <v>1010</v>
      </c>
      <c r="L571" s="37" t="s">
        <v>92</v>
      </c>
      <c r="M571" s="37">
        <v>52006</v>
      </c>
      <c r="N571" s="37"/>
      <c r="O571" s="37">
        <v>6</v>
      </c>
      <c r="P571" s="37">
        <v>3</v>
      </c>
      <c r="R571">
        <v>1</v>
      </c>
    </row>
    <row r="572" spans="1:18" s="68" customFormat="1" ht="21" customHeight="1">
      <c r="A572" s="155">
        <v>199071</v>
      </c>
      <c r="B572" s="62">
        <v>12020</v>
      </c>
      <c r="C572" s="75" t="s">
        <v>95</v>
      </c>
      <c r="D572" s="37">
        <f t="shared" si="60"/>
        <v>736</v>
      </c>
      <c r="E572" s="147" t="s">
        <v>19</v>
      </c>
      <c r="F572" s="37">
        <f t="shared" si="61"/>
        <v>742</v>
      </c>
      <c r="G572" s="144" t="s">
        <v>20</v>
      </c>
      <c r="H572" s="62">
        <v>7008</v>
      </c>
      <c r="J572" s="144">
        <v>30</v>
      </c>
      <c r="K572" s="62">
        <v>1510</v>
      </c>
      <c r="L572" s="62" t="s">
        <v>96</v>
      </c>
      <c r="M572" s="62">
        <v>52019</v>
      </c>
      <c r="O572" s="62">
        <v>41</v>
      </c>
      <c r="P572" s="62">
        <v>16</v>
      </c>
    </row>
    <row r="573" spans="1:18" s="68" customFormat="1">
      <c r="A573" s="155">
        <v>199072</v>
      </c>
      <c r="B573" s="62">
        <v>12021</v>
      </c>
      <c r="C573" s="75" t="s">
        <v>110</v>
      </c>
      <c r="D573" s="37">
        <f t="shared" si="60"/>
        <v>736</v>
      </c>
      <c r="E573" s="147" t="s">
        <v>19</v>
      </c>
      <c r="F573" s="37">
        <f t="shared" si="61"/>
        <v>742</v>
      </c>
      <c r="G573" s="144" t="s">
        <v>20</v>
      </c>
      <c r="H573" s="62">
        <v>7009</v>
      </c>
      <c r="J573" s="144">
        <v>30</v>
      </c>
      <c r="K573" s="62">
        <v>1511</v>
      </c>
      <c r="L573" s="62" t="s">
        <v>111</v>
      </c>
      <c r="M573" s="62">
        <v>52020</v>
      </c>
      <c r="O573" s="62">
        <v>42</v>
      </c>
      <c r="P573" s="62">
        <v>17</v>
      </c>
    </row>
    <row r="574" spans="1:18" s="139" customFormat="1">
      <c r="A574" s="155">
        <v>199055</v>
      </c>
      <c r="B574" s="155">
        <v>12005</v>
      </c>
      <c r="C574" s="75" t="s">
        <v>112</v>
      </c>
      <c r="D574" s="37">
        <f>D573+7</f>
        <v>743</v>
      </c>
      <c r="E574" s="147" t="s">
        <v>19</v>
      </c>
      <c r="F574" s="37">
        <f>F573+7</f>
        <v>749</v>
      </c>
      <c r="G574" s="156" t="s">
        <v>20</v>
      </c>
      <c r="H574" s="155">
        <v>3101</v>
      </c>
      <c r="I574" s="155"/>
      <c r="J574" s="156">
        <v>30</v>
      </c>
      <c r="K574" s="155">
        <v>1011</v>
      </c>
      <c r="L574" s="155" t="s">
        <v>113</v>
      </c>
      <c r="M574" s="155">
        <v>52007</v>
      </c>
      <c r="N574" s="155"/>
      <c r="O574" s="155">
        <v>18</v>
      </c>
      <c r="P574" s="155">
        <v>6</v>
      </c>
      <c r="R574">
        <v>1</v>
      </c>
    </row>
    <row r="575" spans="1:18" s="139" customFormat="1">
      <c r="A575" s="155">
        <v>199056</v>
      </c>
      <c r="B575" s="155">
        <v>12009</v>
      </c>
      <c r="C575" s="75" t="s">
        <v>85</v>
      </c>
      <c r="D575" s="37">
        <f t="shared" ref="D575:D579" si="62">D574</f>
        <v>743</v>
      </c>
      <c r="E575" s="147" t="s">
        <v>19</v>
      </c>
      <c r="F575" s="37">
        <f t="shared" ref="F575:F579" si="63">F574</f>
        <v>749</v>
      </c>
      <c r="G575" s="156" t="s">
        <v>20</v>
      </c>
      <c r="K575" s="155">
        <v>1013</v>
      </c>
      <c r="L575" s="155" t="s">
        <v>86</v>
      </c>
      <c r="N575" s="139">
        <v>52011</v>
      </c>
      <c r="O575" s="155">
        <v>33</v>
      </c>
      <c r="P575" s="155"/>
      <c r="R575">
        <v>1</v>
      </c>
    </row>
    <row r="576" spans="1:18" s="139" customFormat="1">
      <c r="A576" s="155">
        <v>199057</v>
      </c>
      <c r="B576" s="155">
        <v>12006</v>
      </c>
      <c r="C576" s="75" t="s">
        <v>89</v>
      </c>
      <c r="D576" s="37">
        <f t="shared" si="62"/>
        <v>743</v>
      </c>
      <c r="E576" s="147" t="s">
        <v>19</v>
      </c>
      <c r="F576" s="37">
        <f t="shared" si="63"/>
        <v>749</v>
      </c>
      <c r="G576" s="156" t="s">
        <v>20</v>
      </c>
      <c r="K576" s="155">
        <v>1003</v>
      </c>
      <c r="L576" s="155" t="s">
        <v>90</v>
      </c>
      <c r="O576" s="155">
        <v>5</v>
      </c>
      <c r="P576" s="155"/>
      <c r="R576">
        <v>1</v>
      </c>
    </row>
    <row r="577" spans="1:18" s="139" customFormat="1">
      <c r="A577" s="155">
        <v>199058</v>
      </c>
      <c r="B577" s="155">
        <v>12010</v>
      </c>
      <c r="C577" s="75" t="s">
        <v>81</v>
      </c>
      <c r="D577" s="37">
        <f t="shared" si="62"/>
        <v>743</v>
      </c>
      <c r="E577" s="147" t="s">
        <v>19</v>
      </c>
      <c r="F577" s="37">
        <f t="shared" si="63"/>
        <v>749</v>
      </c>
      <c r="G577" s="156" t="s">
        <v>20</v>
      </c>
      <c r="H577" s="155">
        <v>990</v>
      </c>
      <c r="I577" s="155"/>
      <c r="J577" s="155">
        <v>30</v>
      </c>
      <c r="K577" s="155">
        <v>1015</v>
      </c>
      <c r="L577" s="155" t="s">
        <v>82</v>
      </c>
      <c r="M577" s="155">
        <v>52009</v>
      </c>
      <c r="N577" s="155"/>
      <c r="O577" s="155">
        <v>1</v>
      </c>
      <c r="P577" s="155">
        <v>1</v>
      </c>
      <c r="R577">
        <v>1</v>
      </c>
    </row>
    <row r="578" spans="1:18" s="1" customFormat="1">
      <c r="A578" s="155">
        <v>199059</v>
      </c>
      <c r="B578" s="37">
        <v>12018</v>
      </c>
      <c r="C578" s="75" t="s">
        <v>114</v>
      </c>
      <c r="D578" s="37">
        <f t="shared" si="62"/>
        <v>743</v>
      </c>
      <c r="E578" s="147" t="s">
        <v>19</v>
      </c>
      <c r="F578" s="37">
        <f t="shared" si="63"/>
        <v>749</v>
      </c>
      <c r="G578" s="147" t="s">
        <v>20</v>
      </c>
      <c r="H578" s="37">
        <v>7006</v>
      </c>
      <c r="J578" s="147">
        <v>30</v>
      </c>
      <c r="K578" s="37">
        <v>1508</v>
      </c>
      <c r="L578" s="37" t="s">
        <v>115</v>
      </c>
      <c r="M578" s="37">
        <v>52017</v>
      </c>
      <c r="O578" s="37">
        <v>39</v>
      </c>
      <c r="P578" s="37">
        <v>14</v>
      </c>
      <c r="R578">
        <v>1</v>
      </c>
    </row>
    <row r="579" spans="1:18" s="1" customFormat="1">
      <c r="A579" s="155">
        <v>199060</v>
      </c>
      <c r="B579" s="37">
        <v>12019</v>
      </c>
      <c r="C579" s="75" t="s">
        <v>116</v>
      </c>
      <c r="D579" s="37">
        <f t="shared" si="62"/>
        <v>743</v>
      </c>
      <c r="E579" s="147" t="s">
        <v>19</v>
      </c>
      <c r="F579" s="37">
        <f t="shared" si="63"/>
        <v>749</v>
      </c>
      <c r="G579" s="147" t="s">
        <v>20</v>
      </c>
      <c r="H579" s="37">
        <v>7007</v>
      </c>
      <c r="J579" s="147">
        <v>30</v>
      </c>
      <c r="K579" s="37">
        <v>1509</v>
      </c>
      <c r="L579" s="37" t="s">
        <v>117</v>
      </c>
      <c r="M579" s="37">
        <v>52018</v>
      </c>
      <c r="O579" s="37">
        <v>40</v>
      </c>
      <c r="P579" s="37">
        <v>15</v>
      </c>
      <c r="R579">
        <v>1</v>
      </c>
    </row>
    <row r="580" spans="1:18" s="68" customFormat="1">
      <c r="A580" s="155">
        <v>199061</v>
      </c>
      <c r="B580" s="62">
        <v>12013</v>
      </c>
      <c r="C580" s="75" t="s">
        <v>104</v>
      </c>
      <c r="D580" s="37">
        <f>D579+7</f>
        <v>750</v>
      </c>
      <c r="E580" s="147" t="s">
        <v>19</v>
      </c>
      <c r="F580" s="37">
        <f>F579+7</f>
        <v>756</v>
      </c>
      <c r="G580" s="144" t="s">
        <v>20</v>
      </c>
      <c r="H580" s="62">
        <v>7001</v>
      </c>
      <c r="J580" s="144">
        <v>30</v>
      </c>
      <c r="K580" s="62">
        <v>1503</v>
      </c>
      <c r="L580" s="62" t="s">
        <v>105</v>
      </c>
      <c r="M580" s="62">
        <v>52012</v>
      </c>
      <c r="N580" s="62"/>
      <c r="O580" s="62">
        <v>34</v>
      </c>
      <c r="P580" s="62">
        <v>9</v>
      </c>
      <c r="R580" s="68">
        <v>1</v>
      </c>
    </row>
    <row r="581" spans="1:18" s="68" customFormat="1">
      <c r="A581" s="155">
        <v>199062</v>
      </c>
      <c r="B581" s="62">
        <v>12014</v>
      </c>
      <c r="C581" s="75" t="s">
        <v>106</v>
      </c>
      <c r="D581" s="37">
        <f t="shared" ref="D581:D585" si="64">D580</f>
        <v>750</v>
      </c>
      <c r="E581" s="147" t="s">
        <v>19</v>
      </c>
      <c r="F581" s="37">
        <f t="shared" ref="F581:F585" si="65">F580</f>
        <v>756</v>
      </c>
      <c r="G581" s="144" t="s">
        <v>20</v>
      </c>
      <c r="H581" s="62">
        <v>7002</v>
      </c>
      <c r="J581" s="144">
        <v>30</v>
      </c>
      <c r="K581" s="62">
        <v>1504</v>
      </c>
      <c r="L581" s="62" t="s">
        <v>107</v>
      </c>
      <c r="M581" s="62">
        <v>52013</v>
      </c>
      <c r="O581" s="62">
        <v>35</v>
      </c>
      <c r="P581" s="62">
        <v>10</v>
      </c>
      <c r="R581" s="68">
        <v>1</v>
      </c>
    </row>
    <row r="582" spans="1:18" s="68" customFormat="1">
      <c r="A582" s="155">
        <v>199063</v>
      </c>
      <c r="B582" s="62">
        <v>12008</v>
      </c>
      <c r="C582" s="75" t="s">
        <v>118</v>
      </c>
      <c r="D582" s="37">
        <f t="shared" si="64"/>
        <v>750</v>
      </c>
      <c r="E582" s="147" t="s">
        <v>19</v>
      </c>
      <c r="F582" s="37">
        <f t="shared" si="65"/>
        <v>756</v>
      </c>
      <c r="G582" s="144" t="s">
        <v>20</v>
      </c>
      <c r="H582" s="62">
        <v>1002</v>
      </c>
      <c r="J582" s="144">
        <v>30</v>
      </c>
      <c r="K582" s="62">
        <v>1012</v>
      </c>
      <c r="L582" s="62" t="s">
        <v>119</v>
      </c>
      <c r="M582" s="62">
        <v>52008</v>
      </c>
      <c r="N582" s="62"/>
      <c r="O582" s="62">
        <v>22</v>
      </c>
      <c r="P582" s="62">
        <v>7</v>
      </c>
      <c r="R582" s="68">
        <v>1</v>
      </c>
    </row>
    <row r="583" spans="1:18" s="68" customFormat="1">
      <c r="A583" s="155">
        <v>199064</v>
      </c>
      <c r="B583" s="62">
        <v>12009</v>
      </c>
      <c r="C583" s="75" t="s">
        <v>85</v>
      </c>
      <c r="D583" s="37">
        <f t="shared" si="64"/>
        <v>750</v>
      </c>
      <c r="E583" s="147" t="s">
        <v>19</v>
      </c>
      <c r="F583" s="37">
        <f t="shared" si="65"/>
        <v>756</v>
      </c>
      <c r="G583" s="144" t="s">
        <v>20</v>
      </c>
      <c r="K583" s="62">
        <v>1013</v>
      </c>
      <c r="L583" s="62" t="s">
        <v>86</v>
      </c>
      <c r="N583" s="68">
        <v>52011</v>
      </c>
      <c r="O583" s="62">
        <v>33</v>
      </c>
      <c r="P583" s="62"/>
      <c r="R583" s="68">
        <v>1</v>
      </c>
    </row>
    <row r="584" spans="1:18" s="68" customFormat="1">
      <c r="A584" s="155">
        <v>199065</v>
      </c>
      <c r="B584" s="62">
        <v>12006</v>
      </c>
      <c r="C584" s="75" t="s">
        <v>89</v>
      </c>
      <c r="D584" s="37">
        <f t="shared" si="64"/>
        <v>750</v>
      </c>
      <c r="E584" s="147" t="s">
        <v>19</v>
      </c>
      <c r="F584" s="37">
        <f t="shared" si="65"/>
        <v>756</v>
      </c>
      <c r="G584" s="144" t="s">
        <v>20</v>
      </c>
      <c r="K584" s="62">
        <v>1003</v>
      </c>
      <c r="L584" s="62" t="s">
        <v>90</v>
      </c>
      <c r="O584" s="62">
        <v>5</v>
      </c>
      <c r="P584" s="62"/>
      <c r="R584" s="68">
        <v>1</v>
      </c>
    </row>
    <row r="585" spans="1:18" s="68" customFormat="1">
      <c r="A585" s="155">
        <v>199066</v>
      </c>
      <c r="B585" s="62">
        <v>12004</v>
      </c>
      <c r="C585" s="75" t="s">
        <v>91</v>
      </c>
      <c r="D585" s="37">
        <f t="shared" si="64"/>
        <v>750</v>
      </c>
      <c r="E585" s="147" t="s">
        <v>19</v>
      </c>
      <c r="F585" s="37">
        <f t="shared" si="65"/>
        <v>756</v>
      </c>
      <c r="G585" s="144" t="s">
        <v>20</v>
      </c>
      <c r="H585" s="62">
        <v>1003</v>
      </c>
      <c r="I585" s="62"/>
      <c r="J585" s="144">
        <v>30</v>
      </c>
      <c r="K585" s="62">
        <v>1010</v>
      </c>
      <c r="L585" s="62" t="s">
        <v>92</v>
      </c>
      <c r="M585" s="62">
        <v>52006</v>
      </c>
      <c r="N585" s="62"/>
      <c r="O585" s="62">
        <v>6</v>
      </c>
      <c r="P585" s="62">
        <v>3</v>
      </c>
      <c r="R585" s="68">
        <v>1</v>
      </c>
    </row>
    <row r="586" spans="1:18" s="1" customFormat="1">
      <c r="A586" s="155">
        <v>199067</v>
      </c>
      <c r="B586" s="37">
        <v>12008</v>
      </c>
      <c r="C586" s="75" t="s">
        <v>118</v>
      </c>
      <c r="D586" s="37">
        <f>D585+7</f>
        <v>757</v>
      </c>
      <c r="E586" s="147" t="s">
        <v>19</v>
      </c>
      <c r="F586" s="37">
        <f>F585+7</f>
        <v>763</v>
      </c>
      <c r="G586" s="147" t="s">
        <v>20</v>
      </c>
      <c r="H586" s="37">
        <v>1002</v>
      </c>
      <c r="J586" s="147">
        <v>30</v>
      </c>
      <c r="K586" s="37">
        <v>1012</v>
      </c>
      <c r="L586" s="37" t="s">
        <v>119</v>
      </c>
      <c r="M586" s="37">
        <v>52008</v>
      </c>
      <c r="N586" s="37"/>
      <c r="O586" s="37">
        <v>22</v>
      </c>
      <c r="P586" s="37">
        <v>7</v>
      </c>
      <c r="R586">
        <v>1</v>
      </c>
    </row>
    <row r="587" spans="1:18" s="1" customFormat="1">
      <c r="A587" s="155">
        <v>199068</v>
      </c>
      <c r="B587" s="37">
        <v>12009</v>
      </c>
      <c r="C587" s="75" t="s">
        <v>85</v>
      </c>
      <c r="D587" s="37">
        <f t="shared" ref="D587:D591" si="66">D586</f>
        <v>757</v>
      </c>
      <c r="E587" s="147" t="s">
        <v>19</v>
      </c>
      <c r="F587" s="37">
        <f t="shared" ref="F587:F591" si="67">F586</f>
        <v>763</v>
      </c>
      <c r="G587" s="147" t="s">
        <v>20</v>
      </c>
      <c r="K587" s="37">
        <v>1013</v>
      </c>
      <c r="L587" s="37" t="s">
        <v>86</v>
      </c>
      <c r="N587" s="1">
        <v>52011</v>
      </c>
      <c r="O587" s="37">
        <v>33</v>
      </c>
      <c r="P587" s="37"/>
      <c r="R587">
        <v>1</v>
      </c>
    </row>
    <row r="588" spans="1:18" s="1" customFormat="1">
      <c r="A588" s="155">
        <v>199069</v>
      </c>
      <c r="B588" s="37">
        <v>12006</v>
      </c>
      <c r="C588" s="75" t="s">
        <v>89</v>
      </c>
      <c r="D588" s="37">
        <f t="shared" si="66"/>
        <v>757</v>
      </c>
      <c r="E588" s="147" t="s">
        <v>19</v>
      </c>
      <c r="F588" s="37">
        <f t="shared" si="67"/>
        <v>763</v>
      </c>
      <c r="G588" s="147" t="s">
        <v>20</v>
      </c>
      <c r="K588" s="37">
        <v>1003</v>
      </c>
      <c r="L588" s="37" t="s">
        <v>90</v>
      </c>
      <c r="O588" s="37">
        <v>5</v>
      </c>
      <c r="P588" s="37"/>
      <c r="R588">
        <v>1</v>
      </c>
    </row>
    <row r="589" spans="1:18" s="1" customFormat="1">
      <c r="A589" s="155">
        <v>199070</v>
      </c>
      <c r="B589" s="37">
        <v>12004</v>
      </c>
      <c r="C589" s="75" t="s">
        <v>91</v>
      </c>
      <c r="D589" s="37">
        <f t="shared" si="66"/>
        <v>757</v>
      </c>
      <c r="E589" s="147" t="s">
        <v>19</v>
      </c>
      <c r="F589" s="37">
        <f t="shared" si="67"/>
        <v>763</v>
      </c>
      <c r="G589" s="147" t="s">
        <v>20</v>
      </c>
      <c r="H589" s="37">
        <v>1003</v>
      </c>
      <c r="I589" s="37"/>
      <c r="J589" s="147">
        <v>30</v>
      </c>
      <c r="K589" s="37">
        <v>1010</v>
      </c>
      <c r="L589" s="37" t="s">
        <v>92</v>
      </c>
      <c r="M589" s="37">
        <v>52006</v>
      </c>
      <c r="N589" s="37"/>
      <c r="O589" s="37">
        <v>6</v>
      </c>
      <c r="P589" s="37">
        <v>3</v>
      </c>
      <c r="R589">
        <v>1</v>
      </c>
    </row>
    <row r="590" spans="1:18" s="68" customFormat="1" ht="21" customHeight="1">
      <c r="A590" s="155">
        <v>199071</v>
      </c>
      <c r="B590" s="62">
        <v>12020</v>
      </c>
      <c r="C590" s="75" t="s">
        <v>95</v>
      </c>
      <c r="D590" s="37">
        <f t="shared" si="66"/>
        <v>757</v>
      </c>
      <c r="E590" s="147" t="s">
        <v>19</v>
      </c>
      <c r="F590" s="37">
        <f t="shared" si="67"/>
        <v>763</v>
      </c>
      <c r="G590" s="144" t="s">
        <v>20</v>
      </c>
      <c r="H590" s="62">
        <v>7008</v>
      </c>
      <c r="J590" s="144">
        <v>30</v>
      </c>
      <c r="K590" s="62">
        <v>1510</v>
      </c>
      <c r="L590" s="62" t="s">
        <v>96</v>
      </c>
      <c r="M590" s="62">
        <v>52019</v>
      </c>
      <c r="O590" s="62">
        <v>41</v>
      </c>
      <c r="P590" s="62">
        <v>16</v>
      </c>
    </row>
    <row r="591" spans="1:18" s="68" customFormat="1">
      <c r="A591" s="155">
        <v>199072</v>
      </c>
      <c r="B591" s="62">
        <v>12021</v>
      </c>
      <c r="C591" s="75" t="s">
        <v>110</v>
      </c>
      <c r="D591" s="37">
        <f t="shared" si="66"/>
        <v>757</v>
      </c>
      <c r="E591" s="147" t="s">
        <v>19</v>
      </c>
      <c r="F591" s="37">
        <f t="shared" si="67"/>
        <v>763</v>
      </c>
      <c r="G591" s="144" t="s">
        <v>20</v>
      </c>
      <c r="H591" s="62">
        <v>7009</v>
      </c>
      <c r="J591" s="144">
        <v>30</v>
      </c>
      <c r="K591" s="62">
        <v>1511</v>
      </c>
      <c r="L591" s="62" t="s">
        <v>111</v>
      </c>
      <c r="M591" s="62">
        <v>52020</v>
      </c>
      <c r="O591" s="62">
        <v>42</v>
      </c>
      <c r="P591" s="62">
        <v>17</v>
      </c>
    </row>
    <row r="592" spans="1:18" s="139" customFormat="1">
      <c r="A592" s="155">
        <v>199055</v>
      </c>
      <c r="B592" s="155">
        <v>12005</v>
      </c>
      <c r="C592" s="75" t="s">
        <v>112</v>
      </c>
      <c r="D592" s="37">
        <f>D591+7</f>
        <v>764</v>
      </c>
      <c r="E592" s="147" t="s">
        <v>19</v>
      </c>
      <c r="F592" s="37">
        <f>F591+7</f>
        <v>770</v>
      </c>
      <c r="G592" s="156" t="s">
        <v>20</v>
      </c>
      <c r="H592" s="155">
        <v>3101</v>
      </c>
      <c r="I592" s="155"/>
      <c r="J592" s="156">
        <v>30</v>
      </c>
      <c r="K592" s="155">
        <v>1011</v>
      </c>
      <c r="L592" s="155" t="s">
        <v>113</v>
      </c>
      <c r="M592" s="155">
        <v>52007</v>
      </c>
      <c r="N592" s="155"/>
      <c r="O592" s="155">
        <v>18</v>
      </c>
      <c r="P592" s="155">
        <v>6</v>
      </c>
      <c r="R592">
        <v>1</v>
      </c>
    </row>
    <row r="593" spans="1:18" s="139" customFormat="1">
      <c r="A593" s="155">
        <v>199056</v>
      </c>
      <c r="B593" s="155">
        <v>12009</v>
      </c>
      <c r="C593" s="75" t="s">
        <v>85</v>
      </c>
      <c r="D593" s="37">
        <f t="shared" ref="D593:D597" si="68">D592</f>
        <v>764</v>
      </c>
      <c r="E593" s="147" t="s">
        <v>19</v>
      </c>
      <c r="F593" s="37">
        <f t="shared" ref="F593:F597" si="69">F592</f>
        <v>770</v>
      </c>
      <c r="G593" s="156" t="s">
        <v>20</v>
      </c>
      <c r="K593" s="155">
        <v>1013</v>
      </c>
      <c r="L593" s="155" t="s">
        <v>86</v>
      </c>
      <c r="N593" s="139">
        <v>52011</v>
      </c>
      <c r="O593" s="155">
        <v>33</v>
      </c>
      <c r="P593" s="155"/>
      <c r="R593">
        <v>1</v>
      </c>
    </row>
    <row r="594" spans="1:18" s="139" customFormat="1">
      <c r="A594" s="155">
        <v>199057</v>
      </c>
      <c r="B594" s="155">
        <v>12006</v>
      </c>
      <c r="C594" s="75" t="s">
        <v>89</v>
      </c>
      <c r="D594" s="37">
        <f t="shared" si="68"/>
        <v>764</v>
      </c>
      <c r="E594" s="147" t="s">
        <v>19</v>
      </c>
      <c r="F594" s="37">
        <f t="shared" si="69"/>
        <v>770</v>
      </c>
      <c r="G594" s="156" t="s">
        <v>20</v>
      </c>
      <c r="K594" s="155">
        <v>1003</v>
      </c>
      <c r="L594" s="155" t="s">
        <v>90</v>
      </c>
      <c r="O594" s="155">
        <v>5</v>
      </c>
      <c r="P594" s="155"/>
      <c r="R594">
        <v>1</v>
      </c>
    </row>
    <row r="595" spans="1:18" s="139" customFormat="1">
      <c r="A595" s="155">
        <v>199058</v>
      </c>
      <c r="B595" s="155">
        <v>12010</v>
      </c>
      <c r="C595" s="75" t="s">
        <v>81</v>
      </c>
      <c r="D595" s="37">
        <f t="shared" si="68"/>
        <v>764</v>
      </c>
      <c r="E595" s="147" t="s">
        <v>19</v>
      </c>
      <c r="F595" s="37">
        <f t="shared" si="69"/>
        <v>770</v>
      </c>
      <c r="G595" s="156" t="s">
        <v>20</v>
      </c>
      <c r="H595" s="155">
        <v>990</v>
      </c>
      <c r="I595" s="155"/>
      <c r="J595" s="155">
        <v>30</v>
      </c>
      <c r="K595" s="155">
        <v>1015</v>
      </c>
      <c r="L595" s="155" t="s">
        <v>82</v>
      </c>
      <c r="M595" s="155">
        <v>52009</v>
      </c>
      <c r="N595" s="155"/>
      <c r="O595" s="155">
        <v>1</v>
      </c>
      <c r="P595" s="155">
        <v>1</v>
      </c>
      <c r="R595">
        <v>1</v>
      </c>
    </row>
    <row r="596" spans="1:18" s="1" customFormat="1">
      <c r="A596" s="155">
        <v>199059</v>
      </c>
      <c r="B596" s="37">
        <v>12018</v>
      </c>
      <c r="C596" s="75" t="s">
        <v>114</v>
      </c>
      <c r="D596" s="37">
        <f t="shared" si="68"/>
        <v>764</v>
      </c>
      <c r="E596" s="147" t="s">
        <v>19</v>
      </c>
      <c r="F596" s="37">
        <f t="shared" si="69"/>
        <v>770</v>
      </c>
      <c r="G596" s="147" t="s">
        <v>20</v>
      </c>
      <c r="H596" s="37">
        <v>7006</v>
      </c>
      <c r="J596" s="147">
        <v>30</v>
      </c>
      <c r="K596" s="37">
        <v>1508</v>
      </c>
      <c r="L596" s="37" t="s">
        <v>115</v>
      </c>
      <c r="M596" s="37">
        <v>52017</v>
      </c>
      <c r="O596" s="37">
        <v>39</v>
      </c>
      <c r="P596" s="37">
        <v>14</v>
      </c>
      <c r="R596">
        <v>1</v>
      </c>
    </row>
    <row r="597" spans="1:18" s="1" customFormat="1">
      <c r="A597" s="155">
        <v>199060</v>
      </c>
      <c r="B597" s="37">
        <v>12019</v>
      </c>
      <c r="C597" s="75" t="s">
        <v>116</v>
      </c>
      <c r="D597" s="37">
        <f t="shared" si="68"/>
        <v>764</v>
      </c>
      <c r="E597" s="147" t="s">
        <v>19</v>
      </c>
      <c r="F597" s="37">
        <f t="shared" si="69"/>
        <v>770</v>
      </c>
      <c r="G597" s="147" t="s">
        <v>20</v>
      </c>
      <c r="H597" s="37">
        <v>7007</v>
      </c>
      <c r="J597" s="147">
        <v>30</v>
      </c>
      <c r="K597" s="37">
        <v>1509</v>
      </c>
      <c r="L597" s="37" t="s">
        <v>117</v>
      </c>
      <c r="M597" s="37">
        <v>52018</v>
      </c>
      <c r="O597" s="37">
        <v>40</v>
      </c>
      <c r="P597" s="37">
        <v>15</v>
      </c>
      <c r="R597">
        <v>1</v>
      </c>
    </row>
    <row r="598" spans="1:18" s="68" customFormat="1">
      <c r="A598" s="155">
        <v>199061</v>
      </c>
      <c r="B598" s="62">
        <v>12013</v>
      </c>
      <c r="C598" s="75" t="s">
        <v>104</v>
      </c>
      <c r="D598" s="37">
        <f>D597+7</f>
        <v>771</v>
      </c>
      <c r="E598" s="147" t="s">
        <v>19</v>
      </c>
      <c r="F598" s="37">
        <f>F597+7</f>
        <v>777</v>
      </c>
      <c r="G598" s="144" t="s">
        <v>20</v>
      </c>
      <c r="H598" s="62">
        <v>7001</v>
      </c>
      <c r="J598" s="144">
        <v>30</v>
      </c>
      <c r="K598" s="62">
        <v>1503</v>
      </c>
      <c r="L598" s="62" t="s">
        <v>105</v>
      </c>
      <c r="M598" s="62">
        <v>52012</v>
      </c>
      <c r="N598" s="62"/>
      <c r="O598" s="62">
        <v>34</v>
      </c>
      <c r="P598" s="62">
        <v>9</v>
      </c>
      <c r="R598" s="68">
        <v>1</v>
      </c>
    </row>
    <row r="599" spans="1:18" s="68" customFormat="1">
      <c r="A599" s="155">
        <v>199062</v>
      </c>
      <c r="B599" s="62">
        <v>12014</v>
      </c>
      <c r="C599" s="75" t="s">
        <v>106</v>
      </c>
      <c r="D599" s="37">
        <f t="shared" ref="D599:D603" si="70">D598</f>
        <v>771</v>
      </c>
      <c r="E599" s="147" t="s">
        <v>19</v>
      </c>
      <c r="F599" s="37">
        <f t="shared" ref="F599:F603" si="71">F598</f>
        <v>777</v>
      </c>
      <c r="G599" s="144" t="s">
        <v>20</v>
      </c>
      <c r="H599" s="62">
        <v>7002</v>
      </c>
      <c r="J599" s="144">
        <v>30</v>
      </c>
      <c r="K599" s="62">
        <v>1504</v>
      </c>
      <c r="L599" s="62" t="s">
        <v>107</v>
      </c>
      <c r="M599" s="62">
        <v>52013</v>
      </c>
      <c r="O599" s="62">
        <v>35</v>
      </c>
      <c r="P599" s="62">
        <v>10</v>
      </c>
      <c r="R599" s="68">
        <v>1</v>
      </c>
    </row>
    <row r="600" spans="1:18" s="68" customFormat="1">
      <c r="A600" s="155">
        <v>199063</v>
      </c>
      <c r="B600" s="62">
        <v>12008</v>
      </c>
      <c r="C600" s="75" t="s">
        <v>118</v>
      </c>
      <c r="D600" s="37">
        <f t="shared" si="70"/>
        <v>771</v>
      </c>
      <c r="E600" s="147" t="s">
        <v>19</v>
      </c>
      <c r="F600" s="37">
        <f t="shared" si="71"/>
        <v>777</v>
      </c>
      <c r="G600" s="144" t="s">
        <v>20</v>
      </c>
      <c r="H600" s="62">
        <v>1002</v>
      </c>
      <c r="J600" s="144">
        <v>30</v>
      </c>
      <c r="K600" s="62">
        <v>1012</v>
      </c>
      <c r="L600" s="62" t="s">
        <v>119</v>
      </c>
      <c r="M600" s="62">
        <v>52008</v>
      </c>
      <c r="N600" s="62"/>
      <c r="O600" s="62">
        <v>22</v>
      </c>
      <c r="P600" s="62">
        <v>7</v>
      </c>
      <c r="R600" s="68">
        <v>1</v>
      </c>
    </row>
    <row r="601" spans="1:18" s="68" customFormat="1">
      <c r="A601" s="155">
        <v>199064</v>
      </c>
      <c r="B601" s="62">
        <v>12009</v>
      </c>
      <c r="C601" s="75" t="s">
        <v>85</v>
      </c>
      <c r="D601" s="37">
        <f t="shared" si="70"/>
        <v>771</v>
      </c>
      <c r="E601" s="147" t="s">
        <v>19</v>
      </c>
      <c r="F601" s="37">
        <f t="shared" si="71"/>
        <v>777</v>
      </c>
      <c r="G601" s="144" t="s">
        <v>20</v>
      </c>
      <c r="K601" s="62">
        <v>1013</v>
      </c>
      <c r="L601" s="62" t="s">
        <v>86</v>
      </c>
      <c r="N601" s="68">
        <v>52011</v>
      </c>
      <c r="O601" s="62">
        <v>33</v>
      </c>
      <c r="P601" s="62"/>
      <c r="R601" s="68">
        <v>1</v>
      </c>
    </row>
    <row r="602" spans="1:18" s="68" customFormat="1">
      <c r="A602" s="155">
        <v>199065</v>
      </c>
      <c r="B602" s="62">
        <v>12006</v>
      </c>
      <c r="C602" s="75" t="s">
        <v>89</v>
      </c>
      <c r="D602" s="37">
        <f t="shared" si="70"/>
        <v>771</v>
      </c>
      <c r="E602" s="147" t="s">
        <v>19</v>
      </c>
      <c r="F602" s="37">
        <f t="shared" si="71"/>
        <v>777</v>
      </c>
      <c r="G602" s="144" t="s">
        <v>20</v>
      </c>
      <c r="K602" s="62">
        <v>1003</v>
      </c>
      <c r="L602" s="62" t="s">
        <v>90</v>
      </c>
      <c r="O602" s="62">
        <v>5</v>
      </c>
      <c r="P602" s="62"/>
      <c r="R602" s="68">
        <v>1</v>
      </c>
    </row>
    <row r="603" spans="1:18" s="68" customFormat="1">
      <c r="A603" s="155">
        <v>199066</v>
      </c>
      <c r="B603" s="62">
        <v>12004</v>
      </c>
      <c r="C603" s="75" t="s">
        <v>91</v>
      </c>
      <c r="D603" s="37">
        <f t="shared" si="70"/>
        <v>771</v>
      </c>
      <c r="E603" s="147" t="s">
        <v>19</v>
      </c>
      <c r="F603" s="37">
        <f t="shared" si="71"/>
        <v>777</v>
      </c>
      <c r="G603" s="144" t="s">
        <v>20</v>
      </c>
      <c r="H603" s="62">
        <v>1003</v>
      </c>
      <c r="I603" s="62"/>
      <c r="J603" s="144">
        <v>30</v>
      </c>
      <c r="K603" s="62">
        <v>1010</v>
      </c>
      <c r="L603" s="62" t="s">
        <v>92</v>
      </c>
      <c r="M603" s="62">
        <v>52006</v>
      </c>
      <c r="N603" s="62"/>
      <c r="O603" s="62">
        <v>6</v>
      </c>
      <c r="P603" s="62">
        <v>3</v>
      </c>
      <c r="R603" s="68">
        <v>1</v>
      </c>
    </row>
    <row r="604" spans="1:18" s="1" customFormat="1">
      <c r="A604" s="155">
        <v>199067</v>
      </c>
      <c r="B604" s="37">
        <v>12008</v>
      </c>
      <c r="C604" s="75" t="s">
        <v>118</v>
      </c>
      <c r="D604" s="37">
        <f>D603+7</f>
        <v>778</v>
      </c>
      <c r="E604" s="147" t="s">
        <v>19</v>
      </c>
      <c r="F604" s="37">
        <f>F603+7</f>
        <v>784</v>
      </c>
      <c r="G604" s="147" t="s">
        <v>20</v>
      </c>
      <c r="H604" s="37">
        <v>1002</v>
      </c>
      <c r="J604" s="147">
        <v>30</v>
      </c>
      <c r="K604" s="37">
        <v>1012</v>
      </c>
      <c r="L604" s="37" t="s">
        <v>119</v>
      </c>
      <c r="M604" s="37">
        <v>52008</v>
      </c>
      <c r="N604" s="37"/>
      <c r="O604" s="37">
        <v>22</v>
      </c>
      <c r="P604" s="37">
        <v>7</v>
      </c>
      <c r="R604">
        <v>1</v>
      </c>
    </row>
    <row r="605" spans="1:18" s="1" customFormat="1">
      <c r="A605" s="155">
        <v>199068</v>
      </c>
      <c r="B605" s="37">
        <v>12009</v>
      </c>
      <c r="C605" s="75" t="s">
        <v>85</v>
      </c>
      <c r="D605" s="37">
        <f t="shared" ref="D605:D609" si="72">D604</f>
        <v>778</v>
      </c>
      <c r="E605" s="147" t="s">
        <v>19</v>
      </c>
      <c r="F605" s="37">
        <f t="shared" ref="F605:F609" si="73">F604</f>
        <v>784</v>
      </c>
      <c r="G605" s="147" t="s">
        <v>20</v>
      </c>
      <c r="K605" s="37">
        <v>1013</v>
      </c>
      <c r="L605" s="37" t="s">
        <v>86</v>
      </c>
      <c r="N605" s="1">
        <v>52011</v>
      </c>
      <c r="O605" s="37">
        <v>33</v>
      </c>
      <c r="P605" s="37"/>
      <c r="R605">
        <v>1</v>
      </c>
    </row>
    <row r="606" spans="1:18" s="1" customFormat="1">
      <c r="A606" s="155">
        <v>199069</v>
      </c>
      <c r="B606" s="37">
        <v>12006</v>
      </c>
      <c r="C606" s="75" t="s">
        <v>89</v>
      </c>
      <c r="D606" s="37">
        <f t="shared" si="72"/>
        <v>778</v>
      </c>
      <c r="E606" s="147" t="s">
        <v>19</v>
      </c>
      <c r="F606" s="37">
        <f t="shared" si="73"/>
        <v>784</v>
      </c>
      <c r="G606" s="147" t="s">
        <v>20</v>
      </c>
      <c r="K606" s="37">
        <v>1003</v>
      </c>
      <c r="L606" s="37" t="s">
        <v>90</v>
      </c>
      <c r="O606" s="37">
        <v>5</v>
      </c>
      <c r="P606" s="37"/>
      <c r="R606">
        <v>1</v>
      </c>
    </row>
    <row r="607" spans="1:18" s="1" customFormat="1">
      <c r="A607" s="155">
        <v>199070</v>
      </c>
      <c r="B607" s="37">
        <v>12004</v>
      </c>
      <c r="C607" s="75" t="s">
        <v>91</v>
      </c>
      <c r="D607" s="37">
        <f t="shared" si="72"/>
        <v>778</v>
      </c>
      <c r="E607" s="147" t="s">
        <v>19</v>
      </c>
      <c r="F607" s="37">
        <f t="shared" si="73"/>
        <v>784</v>
      </c>
      <c r="G607" s="147" t="s">
        <v>20</v>
      </c>
      <c r="H607" s="37">
        <v>1003</v>
      </c>
      <c r="I607" s="37"/>
      <c r="J607" s="147">
        <v>30</v>
      </c>
      <c r="K607" s="37">
        <v>1010</v>
      </c>
      <c r="L607" s="37" t="s">
        <v>92</v>
      </c>
      <c r="M607" s="37">
        <v>52006</v>
      </c>
      <c r="N607" s="37"/>
      <c r="O607" s="37">
        <v>6</v>
      </c>
      <c r="P607" s="37">
        <v>3</v>
      </c>
      <c r="R607">
        <v>1</v>
      </c>
    </row>
    <row r="608" spans="1:18" s="68" customFormat="1" ht="21" customHeight="1">
      <c r="A608" s="155">
        <v>199071</v>
      </c>
      <c r="B608" s="62">
        <v>12020</v>
      </c>
      <c r="C608" s="75" t="s">
        <v>95</v>
      </c>
      <c r="D608" s="37">
        <f t="shared" si="72"/>
        <v>778</v>
      </c>
      <c r="E608" s="147" t="s">
        <v>19</v>
      </c>
      <c r="F608" s="37">
        <f t="shared" si="73"/>
        <v>784</v>
      </c>
      <c r="G608" s="144" t="s">
        <v>20</v>
      </c>
      <c r="H608" s="62">
        <v>7008</v>
      </c>
      <c r="J608" s="144">
        <v>30</v>
      </c>
      <c r="K608" s="62">
        <v>1510</v>
      </c>
      <c r="L608" s="62" t="s">
        <v>96</v>
      </c>
      <c r="M608" s="62">
        <v>52019</v>
      </c>
      <c r="O608" s="62">
        <v>41</v>
      </c>
      <c r="P608" s="62">
        <v>16</v>
      </c>
    </row>
    <row r="609" spans="1:18" s="68" customFormat="1">
      <c r="A609" s="155">
        <v>199072</v>
      </c>
      <c r="B609" s="62">
        <v>12021</v>
      </c>
      <c r="C609" s="75" t="s">
        <v>110</v>
      </c>
      <c r="D609" s="37">
        <f t="shared" si="72"/>
        <v>778</v>
      </c>
      <c r="E609" s="147" t="s">
        <v>19</v>
      </c>
      <c r="F609" s="37">
        <f t="shared" si="73"/>
        <v>784</v>
      </c>
      <c r="G609" s="144" t="s">
        <v>20</v>
      </c>
      <c r="H609" s="62">
        <v>7009</v>
      </c>
      <c r="J609" s="144">
        <v>30</v>
      </c>
      <c r="K609" s="62">
        <v>1511</v>
      </c>
      <c r="L609" s="62" t="s">
        <v>111</v>
      </c>
      <c r="M609" s="62">
        <v>52020</v>
      </c>
      <c r="O609" s="62">
        <v>42</v>
      </c>
      <c r="P609" s="62">
        <v>17</v>
      </c>
    </row>
    <row r="610" spans="1:18" s="139" customFormat="1">
      <c r="A610" s="155">
        <v>199055</v>
      </c>
      <c r="B610" s="155">
        <v>12005</v>
      </c>
      <c r="C610" s="75" t="s">
        <v>112</v>
      </c>
      <c r="D610" s="37">
        <f>D609+7</f>
        <v>785</v>
      </c>
      <c r="E610" s="147" t="s">
        <v>19</v>
      </c>
      <c r="F610" s="37">
        <f>F609+7</f>
        <v>791</v>
      </c>
      <c r="G610" s="156" t="s">
        <v>20</v>
      </c>
      <c r="H610" s="155">
        <v>3101</v>
      </c>
      <c r="I610" s="155"/>
      <c r="J610" s="156">
        <v>30</v>
      </c>
      <c r="K610" s="155">
        <v>1011</v>
      </c>
      <c r="L610" s="155" t="s">
        <v>113</v>
      </c>
      <c r="M610" s="155">
        <v>52007</v>
      </c>
      <c r="N610" s="155"/>
      <c r="O610" s="155">
        <v>18</v>
      </c>
      <c r="P610" s="155">
        <v>6</v>
      </c>
      <c r="R610">
        <v>1</v>
      </c>
    </row>
    <row r="611" spans="1:18" s="139" customFormat="1">
      <c r="A611" s="155">
        <v>199056</v>
      </c>
      <c r="B611" s="155">
        <v>12009</v>
      </c>
      <c r="C611" s="75" t="s">
        <v>85</v>
      </c>
      <c r="D611" s="37">
        <f t="shared" ref="D611:D615" si="74">D610</f>
        <v>785</v>
      </c>
      <c r="E611" s="147" t="s">
        <v>19</v>
      </c>
      <c r="F611" s="37">
        <f t="shared" ref="F611:F615" si="75">F610</f>
        <v>791</v>
      </c>
      <c r="G611" s="156" t="s">
        <v>20</v>
      </c>
      <c r="K611" s="155">
        <v>1013</v>
      </c>
      <c r="L611" s="155" t="s">
        <v>86</v>
      </c>
      <c r="N611" s="139">
        <v>52011</v>
      </c>
      <c r="O611" s="155">
        <v>33</v>
      </c>
      <c r="P611" s="155"/>
      <c r="R611">
        <v>1</v>
      </c>
    </row>
    <row r="612" spans="1:18" s="139" customFormat="1">
      <c r="A612" s="155">
        <v>199057</v>
      </c>
      <c r="B612" s="155">
        <v>12006</v>
      </c>
      <c r="C612" s="75" t="s">
        <v>89</v>
      </c>
      <c r="D612" s="37">
        <f t="shared" si="74"/>
        <v>785</v>
      </c>
      <c r="E612" s="147" t="s">
        <v>19</v>
      </c>
      <c r="F612" s="37">
        <f t="shared" si="75"/>
        <v>791</v>
      </c>
      <c r="G612" s="156" t="s">
        <v>20</v>
      </c>
      <c r="K612" s="155">
        <v>1003</v>
      </c>
      <c r="L612" s="155" t="s">
        <v>90</v>
      </c>
      <c r="O612" s="155">
        <v>5</v>
      </c>
      <c r="P612" s="155"/>
      <c r="R612">
        <v>1</v>
      </c>
    </row>
    <row r="613" spans="1:18" s="139" customFormat="1">
      <c r="A613" s="155">
        <v>199058</v>
      </c>
      <c r="B613" s="155">
        <v>12010</v>
      </c>
      <c r="C613" s="75" t="s">
        <v>81</v>
      </c>
      <c r="D613" s="37">
        <f t="shared" si="74"/>
        <v>785</v>
      </c>
      <c r="E613" s="147" t="s">
        <v>19</v>
      </c>
      <c r="F613" s="37">
        <f t="shared" si="75"/>
        <v>791</v>
      </c>
      <c r="G613" s="156" t="s">
        <v>20</v>
      </c>
      <c r="H613" s="155">
        <v>990</v>
      </c>
      <c r="I613" s="155"/>
      <c r="J613" s="155">
        <v>30</v>
      </c>
      <c r="K613" s="155">
        <v>1015</v>
      </c>
      <c r="L613" s="155" t="s">
        <v>82</v>
      </c>
      <c r="M613" s="155">
        <v>52009</v>
      </c>
      <c r="N613" s="155"/>
      <c r="O613" s="155">
        <v>1</v>
      </c>
      <c r="P613" s="155">
        <v>1</v>
      </c>
      <c r="R613">
        <v>1</v>
      </c>
    </row>
    <row r="614" spans="1:18" s="1" customFormat="1">
      <c r="A614" s="155">
        <v>199059</v>
      </c>
      <c r="B614" s="37">
        <v>12018</v>
      </c>
      <c r="C614" s="75" t="s">
        <v>114</v>
      </c>
      <c r="D614" s="37">
        <f t="shared" si="74"/>
        <v>785</v>
      </c>
      <c r="E614" s="147" t="s">
        <v>19</v>
      </c>
      <c r="F614" s="37">
        <f t="shared" si="75"/>
        <v>791</v>
      </c>
      <c r="G614" s="147" t="s">
        <v>20</v>
      </c>
      <c r="H614" s="37">
        <v>7006</v>
      </c>
      <c r="J614" s="147">
        <v>30</v>
      </c>
      <c r="K614" s="37">
        <v>1508</v>
      </c>
      <c r="L614" s="37" t="s">
        <v>115</v>
      </c>
      <c r="M614" s="37">
        <v>52017</v>
      </c>
      <c r="O614" s="37">
        <v>39</v>
      </c>
      <c r="P614" s="37">
        <v>14</v>
      </c>
      <c r="R614">
        <v>1</v>
      </c>
    </row>
    <row r="615" spans="1:18" s="1" customFormat="1">
      <c r="A615" s="155">
        <v>199060</v>
      </c>
      <c r="B615" s="37">
        <v>12019</v>
      </c>
      <c r="C615" s="75" t="s">
        <v>116</v>
      </c>
      <c r="D615" s="37">
        <f t="shared" si="74"/>
        <v>785</v>
      </c>
      <c r="E615" s="147" t="s">
        <v>19</v>
      </c>
      <c r="F615" s="37">
        <f t="shared" si="75"/>
        <v>791</v>
      </c>
      <c r="G615" s="147" t="s">
        <v>20</v>
      </c>
      <c r="H615" s="37">
        <v>7007</v>
      </c>
      <c r="J615" s="147">
        <v>30</v>
      </c>
      <c r="K615" s="37">
        <v>1509</v>
      </c>
      <c r="L615" s="37" t="s">
        <v>117</v>
      </c>
      <c r="M615" s="37">
        <v>52018</v>
      </c>
      <c r="O615" s="37">
        <v>40</v>
      </c>
      <c r="P615" s="37">
        <v>15</v>
      </c>
      <c r="R615">
        <v>1</v>
      </c>
    </row>
    <row r="616" spans="1:18" s="68" customFormat="1">
      <c r="A616" s="155">
        <v>199061</v>
      </c>
      <c r="B616" s="62">
        <v>12013</v>
      </c>
      <c r="C616" s="75" t="s">
        <v>104</v>
      </c>
      <c r="D616" s="37">
        <f>D615+7</f>
        <v>792</v>
      </c>
      <c r="E616" s="147" t="s">
        <v>19</v>
      </c>
      <c r="F616" s="37">
        <f>F615+7</f>
        <v>798</v>
      </c>
      <c r="G616" s="144" t="s">
        <v>20</v>
      </c>
      <c r="H616" s="62">
        <v>7001</v>
      </c>
      <c r="J616" s="144">
        <v>30</v>
      </c>
      <c r="K616" s="62">
        <v>1503</v>
      </c>
      <c r="L616" s="62" t="s">
        <v>105</v>
      </c>
      <c r="M616" s="62">
        <v>52012</v>
      </c>
      <c r="N616" s="62"/>
      <c r="O616" s="62">
        <v>34</v>
      </c>
      <c r="P616" s="62">
        <v>9</v>
      </c>
      <c r="R616" s="68">
        <v>1</v>
      </c>
    </row>
    <row r="617" spans="1:18" s="68" customFormat="1">
      <c r="A617" s="155">
        <v>199062</v>
      </c>
      <c r="B617" s="62">
        <v>12014</v>
      </c>
      <c r="C617" s="75" t="s">
        <v>106</v>
      </c>
      <c r="D617" s="37">
        <f t="shared" ref="D617:D621" si="76">D616</f>
        <v>792</v>
      </c>
      <c r="E617" s="147" t="s">
        <v>19</v>
      </c>
      <c r="F617" s="37">
        <f t="shared" ref="F617:F621" si="77">F616</f>
        <v>798</v>
      </c>
      <c r="G617" s="144" t="s">
        <v>20</v>
      </c>
      <c r="H617" s="62">
        <v>7002</v>
      </c>
      <c r="J617" s="144">
        <v>30</v>
      </c>
      <c r="K617" s="62">
        <v>1504</v>
      </c>
      <c r="L617" s="62" t="s">
        <v>107</v>
      </c>
      <c r="M617" s="62">
        <v>52013</v>
      </c>
      <c r="O617" s="62">
        <v>35</v>
      </c>
      <c r="P617" s="62">
        <v>10</v>
      </c>
      <c r="R617" s="68">
        <v>1</v>
      </c>
    </row>
    <row r="618" spans="1:18" s="68" customFormat="1">
      <c r="A618" s="155">
        <v>199063</v>
      </c>
      <c r="B618" s="62">
        <v>12008</v>
      </c>
      <c r="C618" s="75" t="s">
        <v>118</v>
      </c>
      <c r="D618" s="37">
        <f t="shared" si="76"/>
        <v>792</v>
      </c>
      <c r="E618" s="147" t="s">
        <v>19</v>
      </c>
      <c r="F618" s="37">
        <f t="shared" si="77"/>
        <v>798</v>
      </c>
      <c r="G618" s="144" t="s">
        <v>20</v>
      </c>
      <c r="H618" s="62">
        <v>1002</v>
      </c>
      <c r="J618" s="144">
        <v>30</v>
      </c>
      <c r="K618" s="62">
        <v>1012</v>
      </c>
      <c r="L618" s="62" t="s">
        <v>119</v>
      </c>
      <c r="M618" s="62">
        <v>52008</v>
      </c>
      <c r="N618" s="62"/>
      <c r="O618" s="62">
        <v>22</v>
      </c>
      <c r="P618" s="62">
        <v>7</v>
      </c>
      <c r="R618" s="68">
        <v>1</v>
      </c>
    </row>
    <row r="619" spans="1:18" s="68" customFormat="1">
      <c r="A619" s="155">
        <v>199064</v>
      </c>
      <c r="B619" s="62">
        <v>12009</v>
      </c>
      <c r="C619" s="75" t="s">
        <v>85</v>
      </c>
      <c r="D619" s="37">
        <f t="shared" si="76"/>
        <v>792</v>
      </c>
      <c r="E619" s="147" t="s">
        <v>19</v>
      </c>
      <c r="F619" s="37">
        <f t="shared" si="77"/>
        <v>798</v>
      </c>
      <c r="G619" s="144" t="s">
        <v>20</v>
      </c>
      <c r="K619" s="62">
        <v>1013</v>
      </c>
      <c r="L619" s="62" t="s">
        <v>86</v>
      </c>
      <c r="N619" s="68">
        <v>52011</v>
      </c>
      <c r="O619" s="62">
        <v>33</v>
      </c>
      <c r="P619" s="62"/>
      <c r="R619" s="68">
        <v>1</v>
      </c>
    </row>
    <row r="620" spans="1:18" s="68" customFormat="1">
      <c r="A620" s="155">
        <v>199065</v>
      </c>
      <c r="B620" s="62">
        <v>12006</v>
      </c>
      <c r="C620" s="75" t="s">
        <v>89</v>
      </c>
      <c r="D620" s="37">
        <f t="shared" si="76"/>
        <v>792</v>
      </c>
      <c r="E620" s="147" t="s">
        <v>19</v>
      </c>
      <c r="F620" s="37">
        <f t="shared" si="77"/>
        <v>798</v>
      </c>
      <c r="G620" s="144" t="s">
        <v>20</v>
      </c>
      <c r="K620" s="62">
        <v>1003</v>
      </c>
      <c r="L620" s="62" t="s">
        <v>90</v>
      </c>
      <c r="O620" s="62">
        <v>5</v>
      </c>
      <c r="P620" s="62"/>
      <c r="R620" s="68">
        <v>1</v>
      </c>
    </row>
    <row r="621" spans="1:18" s="68" customFormat="1">
      <c r="A621" s="155">
        <v>199066</v>
      </c>
      <c r="B621" s="62">
        <v>12004</v>
      </c>
      <c r="C621" s="75" t="s">
        <v>91</v>
      </c>
      <c r="D621" s="37">
        <f t="shared" si="76"/>
        <v>792</v>
      </c>
      <c r="E621" s="147" t="s">
        <v>19</v>
      </c>
      <c r="F621" s="37">
        <f t="shared" si="77"/>
        <v>798</v>
      </c>
      <c r="G621" s="144" t="s">
        <v>20</v>
      </c>
      <c r="H621" s="62">
        <v>1003</v>
      </c>
      <c r="I621" s="62"/>
      <c r="J621" s="144">
        <v>30</v>
      </c>
      <c r="K621" s="62">
        <v>1010</v>
      </c>
      <c r="L621" s="62" t="s">
        <v>92</v>
      </c>
      <c r="M621" s="62">
        <v>52006</v>
      </c>
      <c r="N621" s="62"/>
      <c r="O621" s="62">
        <v>6</v>
      </c>
      <c r="P621" s="62">
        <v>3</v>
      </c>
      <c r="R621" s="68">
        <v>1</v>
      </c>
    </row>
    <row r="622" spans="1:18" s="1" customFormat="1">
      <c r="A622" s="155">
        <v>199067</v>
      </c>
      <c r="B622" s="37">
        <v>12008</v>
      </c>
      <c r="C622" s="75" t="s">
        <v>118</v>
      </c>
      <c r="D622" s="37">
        <f>D621+7</f>
        <v>799</v>
      </c>
      <c r="E622" s="147" t="s">
        <v>19</v>
      </c>
      <c r="F622" s="37">
        <f>F621+7</f>
        <v>805</v>
      </c>
      <c r="G622" s="147" t="s">
        <v>20</v>
      </c>
      <c r="H622" s="37">
        <v>1002</v>
      </c>
      <c r="J622" s="147">
        <v>30</v>
      </c>
      <c r="K622" s="37">
        <v>1012</v>
      </c>
      <c r="L622" s="37" t="s">
        <v>119</v>
      </c>
      <c r="M622" s="37">
        <v>52008</v>
      </c>
      <c r="N622" s="37"/>
      <c r="O622" s="37">
        <v>22</v>
      </c>
      <c r="P622" s="37">
        <v>7</v>
      </c>
      <c r="R622">
        <v>1</v>
      </c>
    </row>
    <row r="623" spans="1:18" s="1" customFormat="1">
      <c r="A623" s="155">
        <v>199068</v>
      </c>
      <c r="B623" s="37">
        <v>12009</v>
      </c>
      <c r="C623" s="75" t="s">
        <v>85</v>
      </c>
      <c r="D623" s="37">
        <f t="shared" ref="D623:D627" si="78">D622</f>
        <v>799</v>
      </c>
      <c r="E623" s="147" t="s">
        <v>19</v>
      </c>
      <c r="F623" s="37">
        <f t="shared" ref="F623:F627" si="79">F622</f>
        <v>805</v>
      </c>
      <c r="G623" s="147" t="s">
        <v>20</v>
      </c>
      <c r="K623" s="37">
        <v>1013</v>
      </c>
      <c r="L623" s="37" t="s">
        <v>86</v>
      </c>
      <c r="N623" s="1">
        <v>52011</v>
      </c>
      <c r="O623" s="37">
        <v>33</v>
      </c>
      <c r="P623" s="37"/>
      <c r="R623">
        <v>1</v>
      </c>
    </row>
    <row r="624" spans="1:18" s="1" customFormat="1">
      <c r="A624" s="155">
        <v>199069</v>
      </c>
      <c r="B624" s="37">
        <v>12006</v>
      </c>
      <c r="C624" s="75" t="s">
        <v>89</v>
      </c>
      <c r="D624" s="37">
        <f t="shared" si="78"/>
        <v>799</v>
      </c>
      <c r="E624" s="147" t="s">
        <v>19</v>
      </c>
      <c r="F624" s="37">
        <f t="shared" si="79"/>
        <v>805</v>
      </c>
      <c r="G624" s="147" t="s">
        <v>20</v>
      </c>
      <c r="K624" s="37">
        <v>1003</v>
      </c>
      <c r="L624" s="37" t="s">
        <v>90</v>
      </c>
      <c r="O624" s="37">
        <v>5</v>
      </c>
      <c r="P624" s="37"/>
      <c r="R624">
        <v>1</v>
      </c>
    </row>
    <row r="625" spans="1:18" s="1" customFormat="1">
      <c r="A625" s="155">
        <v>199070</v>
      </c>
      <c r="B625" s="37">
        <v>12004</v>
      </c>
      <c r="C625" s="75" t="s">
        <v>91</v>
      </c>
      <c r="D625" s="37">
        <f t="shared" si="78"/>
        <v>799</v>
      </c>
      <c r="E625" s="147" t="s">
        <v>19</v>
      </c>
      <c r="F625" s="37">
        <f t="shared" si="79"/>
        <v>805</v>
      </c>
      <c r="G625" s="147" t="s">
        <v>20</v>
      </c>
      <c r="H625" s="37">
        <v>1003</v>
      </c>
      <c r="I625" s="37"/>
      <c r="J625" s="147">
        <v>30</v>
      </c>
      <c r="K625" s="37">
        <v>1010</v>
      </c>
      <c r="L625" s="37" t="s">
        <v>92</v>
      </c>
      <c r="M625" s="37">
        <v>52006</v>
      </c>
      <c r="N625" s="37"/>
      <c r="O625" s="37">
        <v>6</v>
      </c>
      <c r="P625" s="37">
        <v>3</v>
      </c>
      <c r="R625">
        <v>1</v>
      </c>
    </row>
    <row r="626" spans="1:18" s="68" customFormat="1" ht="21" customHeight="1">
      <c r="A626" s="155">
        <v>199071</v>
      </c>
      <c r="B626" s="62">
        <v>12020</v>
      </c>
      <c r="C626" s="75" t="s">
        <v>95</v>
      </c>
      <c r="D626" s="37">
        <f t="shared" si="78"/>
        <v>799</v>
      </c>
      <c r="E626" s="147" t="s">
        <v>19</v>
      </c>
      <c r="F626" s="37">
        <f t="shared" si="79"/>
        <v>805</v>
      </c>
      <c r="G626" s="144" t="s">
        <v>20</v>
      </c>
      <c r="H626" s="62">
        <v>7008</v>
      </c>
      <c r="J626" s="144">
        <v>30</v>
      </c>
      <c r="K626" s="62">
        <v>1510</v>
      </c>
      <c r="L626" s="62" t="s">
        <v>96</v>
      </c>
      <c r="M626" s="62">
        <v>52019</v>
      </c>
      <c r="O626" s="62">
        <v>41</v>
      </c>
      <c r="P626" s="62">
        <v>16</v>
      </c>
    </row>
    <row r="627" spans="1:18" s="68" customFormat="1">
      <c r="A627" s="155">
        <v>199072</v>
      </c>
      <c r="B627" s="62">
        <v>12021</v>
      </c>
      <c r="C627" s="75" t="s">
        <v>110</v>
      </c>
      <c r="D627" s="37">
        <f t="shared" si="78"/>
        <v>799</v>
      </c>
      <c r="E627" s="147" t="s">
        <v>19</v>
      </c>
      <c r="F627" s="37">
        <f t="shared" si="79"/>
        <v>805</v>
      </c>
      <c r="G627" s="144" t="s">
        <v>20</v>
      </c>
      <c r="H627" s="62">
        <v>7009</v>
      </c>
      <c r="J627" s="144">
        <v>30</v>
      </c>
      <c r="K627" s="62">
        <v>1511</v>
      </c>
      <c r="L627" s="62" t="s">
        <v>111</v>
      </c>
      <c r="M627" s="62">
        <v>52020</v>
      </c>
      <c r="O627" s="62">
        <v>42</v>
      </c>
      <c r="P627" s="62">
        <v>17</v>
      </c>
    </row>
    <row r="628" spans="1:18" s="139" customFormat="1">
      <c r="A628" s="155">
        <v>199055</v>
      </c>
      <c r="B628" s="155">
        <v>12005</v>
      </c>
      <c r="C628" s="75" t="s">
        <v>112</v>
      </c>
      <c r="D628" s="37">
        <f>D627+7</f>
        <v>806</v>
      </c>
      <c r="E628" s="147" t="s">
        <v>19</v>
      </c>
      <c r="F628" s="37">
        <f>F627+7</f>
        <v>812</v>
      </c>
      <c r="G628" s="156" t="s">
        <v>20</v>
      </c>
      <c r="H628" s="155">
        <v>3101</v>
      </c>
      <c r="I628" s="155"/>
      <c r="J628" s="156">
        <v>30</v>
      </c>
      <c r="K628" s="155">
        <v>1011</v>
      </c>
      <c r="L628" s="155" t="s">
        <v>113</v>
      </c>
      <c r="M628" s="155">
        <v>52007</v>
      </c>
      <c r="N628" s="155"/>
      <c r="O628" s="155">
        <v>18</v>
      </c>
      <c r="P628" s="155">
        <v>6</v>
      </c>
      <c r="R628">
        <v>1</v>
      </c>
    </row>
    <row r="629" spans="1:18" s="139" customFormat="1">
      <c r="A629" s="155">
        <v>199056</v>
      </c>
      <c r="B629" s="155">
        <v>12009</v>
      </c>
      <c r="C629" s="75" t="s">
        <v>85</v>
      </c>
      <c r="D629" s="37">
        <f t="shared" ref="D629:D633" si="80">D628</f>
        <v>806</v>
      </c>
      <c r="E629" s="147" t="s">
        <v>19</v>
      </c>
      <c r="F629" s="37">
        <f t="shared" ref="F629:F633" si="81">F628</f>
        <v>812</v>
      </c>
      <c r="G629" s="156" t="s">
        <v>20</v>
      </c>
      <c r="K629" s="155">
        <v>1013</v>
      </c>
      <c r="L629" s="155" t="s">
        <v>86</v>
      </c>
      <c r="N629" s="139">
        <v>52011</v>
      </c>
      <c r="O629" s="155">
        <v>33</v>
      </c>
      <c r="P629" s="155"/>
      <c r="R629">
        <v>1</v>
      </c>
    </row>
    <row r="630" spans="1:18" s="139" customFormat="1">
      <c r="A630" s="155">
        <v>199057</v>
      </c>
      <c r="B630" s="155">
        <v>12006</v>
      </c>
      <c r="C630" s="75" t="s">
        <v>89</v>
      </c>
      <c r="D630" s="37">
        <f t="shared" si="80"/>
        <v>806</v>
      </c>
      <c r="E630" s="147" t="s">
        <v>19</v>
      </c>
      <c r="F630" s="37">
        <f t="shared" si="81"/>
        <v>812</v>
      </c>
      <c r="G630" s="156" t="s">
        <v>20</v>
      </c>
      <c r="K630" s="155">
        <v>1003</v>
      </c>
      <c r="L630" s="155" t="s">
        <v>90</v>
      </c>
      <c r="O630" s="155">
        <v>5</v>
      </c>
      <c r="P630" s="155"/>
      <c r="R630">
        <v>1</v>
      </c>
    </row>
    <row r="631" spans="1:18" s="139" customFormat="1">
      <c r="A631" s="155">
        <v>199058</v>
      </c>
      <c r="B631" s="155">
        <v>12010</v>
      </c>
      <c r="C631" s="75" t="s">
        <v>81</v>
      </c>
      <c r="D631" s="37">
        <f t="shared" si="80"/>
        <v>806</v>
      </c>
      <c r="E631" s="147" t="s">
        <v>19</v>
      </c>
      <c r="F631" s="37">
        <f t="shared" si="81"/>
        <v>812</v>
      </c>
      <c r="G631" s="156" t="s">
        <v>20</v>
      </c>
      <c r="H631" s="155">
        <v>990</v>
      </c>
      <c r="I631" s="155"/>
      <c r="J631" s="155">
        <v>30</v>
      </c>
      <c r="K631" s="155">
        <v>1015</v>
      </c>
      <c r="L631" s="155" t="s">
        <v>82</v>
      </c>
      <c r="M631" s="155">
        <v>52009</v>
      </c>
      <c r="N631" s="155"/>
      <c r="O631" s="155">
        <v>1</v>
      </c>
      <c r="P631" s="155">
        <v>1</v>
      </c>
      <c r="R631">
        <v>1</v>
      </c>
    </row>
    <row r="632" spans="1:18" s="1" customFormat="1">
      <c r="A632" s="155">
        <v>199059</v>
      </c>
      <c r="B632" s="37">
        <v>12018</v>
      </c>
      <c r="C632" s="75" t="s">
        <v>114</v>
      </c>
      <c r="D632" s="37">
        <f t="shared" si="80"/>
        <v>806</v>
      </c>
      <c r="E632" s="147" t="s">
        <v>19</v>
      </c>
      <c r="F632" s="37">
        <f t="shared" si="81"/>
        <v>812</v>
      </c>
      <c r="G632" s="147" t="s">
        <v>20</v>
      </c>
      <c r="H632" s="37">
        <v>7006</v>
      </c>
      <c r="J632" s="147">
        <v>30</v>
      </c>
      <c r="K632" s="37">
        <v>1508</v>
      </c>
      <c r="L632" s="37" t="s">
        <v>115</v>
      </c>
      <c r="M632" s="37">
        <v>52017</v>
      </c>
      <c r="O632" s="37">
        <v>39</v>
      </c>
      <c r="P632" s="37">
        <v>14</v>
      </c>
      <c r="R632">
        <v>1</v>
      </c>
    </row>
    <row r="633" spans="1:18" s="1" customFormat="1">
      <c r="A633" s="155">
        <v>199060</v>
      </c>
      <c r="B633" s="37">
        <v>12019</v>
      </c>
      <c r="C633" s="75" t="s">
        <v>116</v>
      </c>
      <c r="D633" s="37">
        <f t="shared" si="80"/>
        <v>806</v>
      </c>
      <c r="E633" s="147" t="s">
        <v>19</v>
      </c>
      <c r="F633" s="37">
        <f t="shared" si="81"/>
        <v>812</v>
      </c>
      <c r="G633" s="147" t="s">
        <v>20</v>
      </c>
      <c r="H633" s="37">
        <v>7007</v>
      </c>
      <c r="J633" s="147">
        <v>30</v>
      </c>
      <c r="K633" s="37">
        <v>1509</v>
      </c>
      <c r="L633" s="37" t="s">
        <v>117</v>
      </c>
      <c r="M633" s="37">
        <v>52018</v>
      </c>
      <c r="O633" s="37">
        <v>40</v>
      </c>
      <c r="P633" s="37">
        <v>15</v>
      </c>
      <c r="R633">
        <v>1</v>
      </c>
    </row>
    <row r="634" spans="1:18" s="68" customFormat="1">
      <c r="A634" s="155">
        <v>199061</v>
      </c>
      <c r="B634" s="62">
        <v>12013</v>
      </c>
      <c r="C634" s="75" t="s">
        <v>104</v>
      </c>
      <c r="D634" s="37">
        <f>D633+7</f>
        <v>813</v>
      </c>
      <c r="E634" s="147" t="s">
        <v>19</v>
      </c>
      <c r="F634" s="37">
        <f>F633+7</f>
        <v>819</v>
      </c>
      <c r="G634" s="144" t="s">
        <v>20</v>
      </c>
      <c r="H634" s="62">
        <v>7001</v>
      </c>
      <c r="J634" s="144">
        <v>30</v>
      </c>
      <c r="K634" s="62">
        <v>1503</v>
      </c>
      <c r="L634" s="62" t="s">
        <v>105</v>
      </c>
      <c r="M634" s="62">
        <v>52012</v>
      </c>
      <c r="N634" s="62"/>
      <c r="O634" s="62">
        <v>34</v>
      </c>
      <c r="P634" s="62">
        <v>9</v>
      </c>
      <c r="R634" s="68">
        <v>1</v>
      </c>
    </row>
    <row r="635" spans="1:18" s="68" customFormat="1">
      <c r="A635" s="155">
        <v>199062</v>
      </c>
      <c r="B635" s="62">
        <v>12014</v>
      </c>
      <c r="C635" s="75" t="s">
        <v>106</v>
      </c>
      <c r="D635" s="37">
        <f t="shared" ref="D635:D639" si="82">D634</f>
        <v>813</v>
      </c>
      <c r="E635" s="147" t="s">
        <v>19</v>
      </c>
      <c r="F635" s="37">
        <f t="shared" ref="F635:F639" si="83">F634</f>
        <v>819</v>
      </c>
      <c r="G635" s="144" t="s">
        <v>20</v>
      </c>
      <c r="H635" s="62">
        <v>7002</v>
      </c>
      <c r="J635" s="144">
        <v>30</v>
      </c>
      <c r="K635" s="62">
        <v>1504</v>
      </c>
      <c r="L635" s="62" t="s">
        <v>107</v>
      </c>
      <c r="M635" s="62">
        <v>52013</v>
      </c>
      <c r="O635" s="62">
        <v>35</v>
      </c>
      <c r="P635" s="62">
        <v>10</v>
      </c>
      <c r="R635" s="68">
        <v>1</v>
      </c>
    </row>
    <row r="636" spans="1:18" s="68" customFormat="1">
      <c r="A636" s="155">
        <v>199063</v>
      </c>
      <c r="B636" s="62">
        <v>12008</v>
      </c>
      <c r="C636" s="75" t="s">
        <v>118</v>
      </c>
      <c r="D636" s="37">
        <f t="shared" si="82"/>
        <v>813</v>
      </c>
      <c r="E636" s="147" t="s">
        <v>19</v>
      </c>
      <c r="F636" s="37">
        <f t="shared" si="83"/>
        <v>819</v>
      </c>
      <c r="G636" s="144" t="s">
        <v>20</v>
      </c>
      <c r="H636" s="62">
        <v>1002</v>
      </c>
      <c r="J636" s="144">
        <v>30</v>
      </c>
      <c r="K636" s="62">
        <v>1012</v>
      </c>
      <c r="L636" s="62" t="s">
        <v>119</v>
      </c>
      <c r="M636" s="62">
        <v>52008</v>
      </c>
      <c r="N636" s="62"/>
      <c r="O636" s="62">
        <v>22</v>
      </c>
      <c r="P636" s="62">
        <v>7</v>
      </c>
      <c r="R636" s="68">
        <v>1</v>
      </c>
    </row>
    <row r="637" spans="1:18" s="68" customFormat="1">
      <c r="A637" s="155">
        <v>199064</v>
      </c>
      <c r="B637" s="62">
        <v>12009</v>
      </c>
      <c r="C637" s="75" t="s">
        <v>85</v>
      </c>
      <c r="D637" s="37">
        <f t="shared" si="82"/>
        <v>813</v>
      </c>
      <c r="E637" s="147" t="s">
        <v>19</v>
      </c>
      <c r="F637" s="37">
        <f t="shared" si="83"/>
        <v>819</v>
      </c>
      <c r="G637" s="144" t="s">
        <v>20</v>
      </c>
      <c r="K637" s="62">
        <v>1013</v>
      </c>
      <c r="L637" s="62" t="s">
        <v>86</v>
      </c>
      <c r="N637" s="68">
        <v>52011</v>
      </c>
      <c r="O637" s="62">
        <v>33</v>
      </c>
      <c r="P637" s="62"/>
      <c r="R637" s="68">
        <v>1</v>
      </c>
    </row>
    <row r="638" spans="1:18" s="68" customFormat="1">
      <c r="A638" s="155">
        <v>199065</v>
      </c>
      <c r="B638" s="62">
        <v>12006</v>
      </c>
      <c r="C638" s="75" t="s">
        <v>89</v>
      </c>
      <c r="D638" s="37">
        <f t="shared" si="82"/>
        <v>813</v>
      </c>
      <c r="E638" s="147" t="s">
        <v>19</v>
      </c>
      <c r="F638" s="37">
        <f t="shared" si="83"/>
        <v>819</v>
      </c>
      <c r="G638" s="144" t="s">
        <v>20</v>
      </c>
      <c r="K638" s="62">
        <v>1003</v>
      </c>
      <c r="L638" s="62" t="s">
        <v>90</v>
      </c>
      <c r="O638" s="62">
        <v>5</v>
      </c>
      <c r="P638" s="62"/>
      <c r="R638" s="68">
        <v>1</v>
      </c>
    </row>
    <row r="639" spans="1:18" s="68" customFormat="1">
      <c r="A639" s="155">
        <v>199066</v>
      </c>
      <c r="B639" s="62">
        <v>12004</v>
      </c>
      <c r="C639" s="75" t="s">
        <v>91</v>
      </c>
      <c r="D639" s="37">
        <f t="shared" si="82"/>
        <v>813</v>
      </c>
      <c r="E639" s="147" t="s">
        <v>19</v>
      </c>
      <c r="F639" s="37">
        <f t="shared" si="83"/>
        <v>819</v>
      </c>
      <c r="G639" s="144" t="s">
        <v>20</v>
      </c>
      <c r="H639" s="62">
        <v>1003</v>
      </c>
      <c r="I639" s="62"/>
      <c r="J639" s="144">
        <v>30</v>
      </c>
      <c r="K639" s="62">
        <v>1010</v>
      </c>
      <c r="L639" s="62" t="s">
        <v>92</v>
      </c>
      <c r="M639" s="62">
        <v>52006</v>
      </c>
      <c r="N639" s="62"/>
      <c r="O639" s="62">
        <v>6</v>
      </c>
      <c r="P639" s="62">
        <v>3</v>
      </c>
      <c r="R639" s="68">
        <v>1</v>
      </c>
    </row>
    <row r="640" spans="1:18" s="1" customFormat="1">
      <c r="A640" s="155">
        <v>199067</v>
      </c>
      <c r="B640" s="37">
        <v>12008</v>
      </c>
      <c r="C640" s="75" t="s">
        <v>118</v>
      </c>
      <c r="D640" s="37">
        <f>D639+7</f>
        <v>820</v>
      </c>
      <c r="E640" s="147" t="s">
        <v>19</v>
      </c>
      <c r="F640" s="37">
        <f>F639+7</f>
        <v>826</v>
      </c>
      <c r="G640" s="147" t="s">
        <v>20</v>
      </c>
      <c r="H640" s="37">
        <v>1002</v>
      </c>
      <c r="J640" s="147">
        <v>30</v>
      </c>
      <c r="K640" s="37">
        <v>1012</v>
      </c>
      <c r="L640" s="37" t="s">
        <v>119</v>
      </c>
      <c r="M640" s="37">
        <v>52008</v>
      </c>
      <c r="N640" s="37"/>
      <c r="O640" s="37">
        <v>22</v>
      </c>
      <c r="P640" s="37">
        <v>7</v>
      </c>
      <c r="R640">
        <v>1</v>
      </c>
    </row>
    <row r="641" spans="1:18" s="1" customFormat="1">
      <c r="A641" s="155">
        <v>199068</v>
      </c>
      <c r="B641" s="37">
        <v>12009</v>
      </c>
      <c r="C641" s="75" t="s">
        <v>85</v>
      </c>
      <c r="D641" s="37">
        <f t="shared" ref="D641:D645" si="84">D640</f>
        <v>820</v>
      </c>
      <c r="E641" s="147" t="s">
        <v>19</v>
      </c>
      <c r="F641" s="37">
        <f t="shared" ref="F641:F645" si="85">F640</f>
        <v>826</v>
      </c>
      <c r="G641" s="147" t="s">
        <v>20</v>
      </c>
      <c r="K641" s="37">
        <v>1013</v>
      </c>
      <c r="L641" s="37" t="s">
        <v>86</v>
      </c>
      <c r="N641" s="1">
        <v>52011</v>
      </c>
      <c r="O641" s="37">
        <v>33</v>
      </c>
      <c r="P641" s="37"/>
      <c r="R641">
        <v>1</v>
      </c>
    </row>
    <row r="642" spans="1:18" s="1" customFormat="1">
      <c r="A642" s="155">
        <v>199069</v>
      </c>
      <c r="B642" s="37">
        <v>12006</v>
      </c>
      <c r="C642" s="75" t="s">
        <v>89</v>
      </c>
      <c r="D642" s="37">
        <f t="shared" si="84"/>
        <v>820</v>
      </c>
      <c r="E642" s="147" t="s">
        <v>19</v>
      </c>
      <c r="F642" s="37">
        <f t="shared" si="85"/>
        <v>826</v>
      </c>
      <c r="G642" s="147" t="s">
        <v>20</v>
      </c>
      <c r="K642" s="37">
        <v>1003</v>
      </c>
      <c r="L642" s="37" t="s">
        <v>90</v>
      </c>
      <c r="O642" s="37">
        <v>5</v>
      </c>
      <c r="P642" s="37"/>
      <c r="R642">
        <v>1</v>
      </c>
    </row>
    <row r="643" spans="1:18" s="1" customFormat="1">
      <c r="A643" s="155">
        <v>199070</v>
      </c>
      <c r="B643" s="37">
        <v>12004</v>
      </c>
      <c r="C643" s="75" t="s">
        <v>91</v>
      </c>
      <c r="D643" s="37">
        <f t="shared" si="84"/>
        <v>820</v>
      </c>
      <c r="E643" s="147" t="s">
        <v>19</v>
      </c>
      <c r="F643" s="37">
        <f t="shared" si="85"/>
        <v>826</v>
      </c>
      <c r="G643" s="147" t="s">
        <v>20</v>
      </c>
      <c r="H643" s="37">
        <v>1003</v>
      </c>
      <c r="I643" s="37"/>
      <c r="J643" s="147">
        <v>30</v>
      </c>
      <c r="K643" s="37">
        <v>1010</v>
      </c>
      <c r="L643" s="37" t="s">
        <v>92</v>
      </c>
      <c r="M643" s="37">
        <v>52006</v>
      </c>
      <c r="N643" s="37"/>
      <c r="O643" s="37">
        <v>6</v>
      </c>
      <c r="P643" s="37">
        <v>3</v>
      </c>
      <c r="R643">
        <v>1</v>
      </c>
    </row>
    <row r="644" spans="1:18" s="68" customFormat="1" ht="21" customHeight="1">
      <c r="A644" s="155">
        <v>199071</v>
      </c>
      <c r="B644" s="62">
        <v>12020</v>
      </c>
      <c r="C644" s="75" t="s">
        <v>95</v>
      </c>
      <c r="D644" s="37">
        <f t="shared" si="84"/>
        <v>820</v>
      </c>
      <c r="E644" s="147" t="s">
        <v>19</v>
      </c>
      <c r="F644" s="37">
        <f t="shared" si="85"/>
        <v>826</v>
      </c>
      <c r="G644" s="144" t="s">
        <v>20</v>
      </c>
      <c r="H644" s="62">
        <v>7008</v>
      </c>
      <c r="J644" s="144">
        <v>30</v>
      </c>
      <c r="K644" s="62">
        <v>1510</v>
      </c>
      <c r="L644" s="62" t="s">
        <v>96</v>
      </c>
      <c r="M644" s="62">
        <v>52019</v>
      </c>
      <c r="O644" s="62">
        <v>41</v>
      </c>
      <c r="P644" s="62">
        <v>16</v>
      </c>
    </row>
    <row r="645" spans="1:18" s="68" customFormat="1">
      <c r="A645" s="155">
        <v>199072</v>
      </c>
      <c r="B645" s="62">
        <v>12021</v>
      </c>
      <c r="C645" s="75" t="s">
        <v>110</v>
      </c>
      <c r="D645" s="37">
        <f t="shared" si="84"/>
        <v>820</v>
      </c>
      <c r="E645" s="147" t="s">
        <v>19</v>
      </c>
      <c r="F645" s="37">
        <f t="shared" si="85"/>
        <v>826</v>
      </c>
      <c r="G645" s="144" t="s">
        <v>20</v>
      </c>
      <c r="H645" s="62">
        <v>7009</v>
      </c>
      <c r="J645" s="144">
        <v>30</v>
      </c>
      <c r="K645" s="62">
        <v>1511</v>
      </c>
      <c r="L645" s="62" t="s">
        <v>111</v>
      </c>
      <c r="M645" s="62">
        <v>52020</v>
      </c>
      <c r="O645" s="62">
        <v>42</v>
      </c>
      <c r="P645" s="62">
        <v>17</v>
      </c>
    </row>
    <row r="646" spans="1:18" s="139" customFormat="1">
      <c r="A646" s="155">
        <v>199055</v>
      </c>
      <c r="B646" s="155">
        <v>12005</v>
      </c>
      <c r="C646" s="75" t="s">
        <v>112</v>
      </c>
      <c r="D646" s="37">
        <f>D645+7</f>
        <v>827</v>
      </c>
      <c r="E646" s="147" t="s">
        <v>19</v>
      </c>
      <c r="F646" s="37">
        <f>F645+7</f>
        <v>833</v>
      </c>
      <c r="G646" s="156" t="s">
        <v>20</v>
      </c>
      <c r="H646" s="155">
        <v>3101</v>
      </c>
      <c r="I646" s="155"/>
      <c r="J646" s="156">
        <v>30</v>
      </c>
      <c r="K646" s="155">
        <v>1011</v>
      </c>
      <c r="L646" s="155" t="s">
        <v>113</v>
      </c>
      <c r="M646" s="155">
        <v>52007</v>
      </c>
      <c r="N646" s="155"/>
      <c r="O646" s="155">
        <v>18</v>
      </c>
      <c r="P646" s="155">
        <v>6</v>
      </c>
      <c r="R646">
        <v>1</v>
      </c>
    </row>
    <row r="647" spans="1:18" s="139" customFormat="1">
      <c r="A647" s="155">
        <v>199056</v>
      </c>
      <c r="B647" s="155">
        <v>12009</v>
      </c>
      <c r="C647" s="75" t="s">
        <v>85</v>
      </c>
      <c r="D647" s="37">
        <f t="shared" ref="D647:D651" si="86">D646</f>
        <v>827</v>
      </c>
      <c r="E647" s="147" t="s">
        <v>19</v>
      </c>
      <c r="F647" s="37">
        <f t="shared" ref="F647:F651" si="87">F646</f>
        <v>833</v>
      </c>
      <c r="G647" s="156" t="s">
        <v>20</v>
      </c>
      <c r="K647" s="155">
        <v>1013</v>
      </c>
      <c r="L647" s="155" t="s">
        <v>86</v>
      </c>
      <c r="N647" s="139">
        <v>52011</v>
      </c>
      <c r="O647" s="155">
        <v>33</v>
      </c>
      <c r="P647" s="155"/>
      <c r="R647">
        <v>1</v>
      </c>
    </row>
    <row r="648" spans="1:18" s="139" customFormat="1">
      <c r="A648" s="155">
        <v>199057</v>
      </c>
      <c r="B648" s="155">
        <v>12006</v>
      </c>
      <c r="C648" s="75" t="s">
        <v>89</v>
      </c>
      <c r="D648" s="37">
        <f t="shared" si="86"/>
        <v>827</v>
      </c>
      <c r="E648" s="147" t="s">
        <v>19</v>
      </c>
      <c r="F648" s="37">
        <f t="shared" si="87"/>
        <v>833</v>
      </c>
      <c r="G648" s="156" t="s">
        <v>20</v>
      </c>
      <c r="K648" s="155">
        <v>1003</v>
      </c>
      <c r="L648" s="155" t="s">
        <v>90</v>
      </c>
      <c r="O648" s="155">
        <v>5</v>
      </c>
      <c r="P648" s="155"/>
      <c r="R648">
        <v>1</v>
      </c>
    </row>
    <row r="649" spans="1:18" s="139" customFormat="1">
      <c r="A649" s="155">
        <v>199058</v>
      </c>
      <c r="B649" s="155">
        <v>12010</v>
      </c>
      <c r="C649" s="75" t="s">
        <v>81</v>
      </c>
      <c r="D649" s="37">
        <f t="shared" si="86"/>
        <v>827</v>
      </c>
      <c r="E649" s="147" t="s">
        <v>19</v>
      </c>
      <c r="F649" s="37">
        <f t="shared" si="87"/>
        <v>833</v>
      </c>
      <c r="G649" s="156" t="s">
        <v>20</v>
      </c>
      <c r="H649" s="155">
        <v>990</v>
      </c>
      <c r="I649" s="155"/>
      <c r="J649" s="155">
        <v>30</v>
      </c>
      <c r="K649" s="155">
        <v>1015</v>
      </c>
      <c r="L649" s="155" t="s">
        <v>82</v>
      </c>
      <c r="M649" s="155">
        <v>52009</v>
      </c>
      <c r="N649" s="155"/>
      <c r="O649" s="155">
        <v>1</v>
      </c>
      <c r="P649" s="155">
        <v>1</v>
      </c>
      <c r="R649">
        <v>1</v>
      </c>
    </row>
    <row r="650" spans="1:18" s="1" customFormat="1">
      <c r="A650" s="155">
        <v>199059</v>
      </c>
      <c r="B650" s="37">
        <v>12018</v>
      </c>
      <c r="C650" s="75" t="s">
        <v>114</v>
      </c>
      <c r="D650" s="37">
        <f t="shared" si="86"/>
        <v>827</v>
      </c>
      <c r="E650" s="147" t="s">
        <v>19</v>
      </c>
      <c r="F650" s="37">
        <f t="shared" si="87"/>
        <v>833</v>
      </c>
      <c r="G650" s="147" t="s">
        <v>20</v>
      </c>
      <c r="H650" s="37">
        <v>7006</v>
      </c>
      <c r="J650" s="147">
        <v>30</v>
      </c>
      <c r="K650" s="37">
        <v>1508</v>
      </c>
      <c r="L650" s="37" t="s">
        <v>115</v>
      </c>
      <c r="M650" s="37">
        <v>52017</v>
      </c>
      <c r="O650" s="37">
        <v>39</v>
      </c>
      <c r="P650" s="37">
        <v>14</v>
      </c>
      <c r="R650">
        <v>1</v>
      </c>
    </row>
    <row r="651" spans="1:18" s="1" customFormat="1">
      <c r="A651" s="155">
        <v>199060</v>
      </c>
      <c r="B651" s="37">
        <v>12019</v>
      </c>
      <c r="C651" s="75" t="s">
        <v>116</v>
      </c>
      <c r="D651" s="37">
        <f t="shared" si="86"/>
        <v>827</v>
      </c>
      <c r="E651" s="147" t="s">
        <v>19</v>
      </c>
      <c r="F651" s="37">
        <f t="shared" si="87"/>
        <v>833</v>
      </c>
      <c r="G651" s="147" t="s">
        <v>20</v>
      </c>
      <c r="H651" s="37">
        <v>7007</v>
      </c>
      <c r="J651" s="147">
        <v>30</v>
      </c>
      <c r="K651" s="37">
        <v>1509</v>
      </c>
      <c r="L651" s="37" t="s">
        <v>117</v>
      </c>
      <c r="M651" s="37">
        <v>52018</v>
      </c>
      <c r="O651" s="37">
        <v>40</v>
      </c>
      <c r="P651" s="37">
        <v>15</v>
      </c>
      <c r="R651">
        <v>1</v>
      </c>
    </row>
    <row r="652" spans="1:18" s="68" customFormat="1">
      <c r="A652" s="155">
        <v>199061</v>
      </c>
      <c r="B652" s="62">
        <v>12013</v>
      </c>
      <c r="C652" s="75" t="s">
        <v>104</v>
      </c>
      <c r="D652" s="37">
        <f>D651+7</f>
        <v>834</v>
      </c>
      <c r="E652" s="147" t="s">
        <v>19</v>
      </c>
      <c r="F652" s="37">
        <f>F651+7</f>
        <v>840</v>
      </c>
      <c r="G652" s="144" t="s">
        <v>20</v>
      </c>
      <c r="H652" s="62">
        <v>7001</v>
      </c>
      <c r="J652" s="144">
        <v>30</v>
      </c>
      <c r="K652" s="62">
        <v>1503</v>
      </c>
      <c r="L652" s="62" t="s">
        <v>105</v>
      </c>
      <c r="M652" s="62">
        <v>52012</v>
      </c>
      <c r="N652" s="62"/>
      <c r="O652" s="62">
        <v>34</v>
      </c>
      <c r="P652" s="62">
        <v>9</v>
      </c>
      <c r="R652" s="68">
        <v>1</v>
      </c>
    </row>
    <row r="653" spans="1:18" s="68" customFormat="1">
      <c r="A653" s="155">
        <v>199062</v>
      </c>
      <c r="B653" s="62">
        <v>12014</v>
      </c>
      <c r="C653" s="75" t="s">
        <v>106</v>
      </c>
      <c r="D653" s="37">
        <f t="shared" ref="D653:D657" si="88">D652</f>
        <v>834</v>
      </c>
      <c r="E653" s="147" t="s">
        <v>19</v>
      </c>
      <c r="F653" s="37">
        <f t="shared" ref="F653:F657" si="89">F652</f>
        <v>840</v>
      </c>
      <c r="G653" s="144" t="s">
        <v>20</v>
      </c>
      <c r="H653" s="62">
        <v>7002</v>
      </c>
      <c r="J653" s="144">
        <v>30</v>
      </c>
      <c r="K653" s="62">
        <v>1504</v>
      </c>
      <c r="L653" s="62" t="s">
        <v>107</v>
      </c>
      <c r="M653" s="62">
        <v>52013</v>
      </c>
      <c r="O653" s="62">
        <v>35</v>
      </c>
      <c r="P653" s="62">
        <v>10</v>
      </c>
      <c r="R653" s="68">
        <v>1</v>
      </c>
    </row>
    <row r="654" spans="1:18" s="68" customFormat="1">
      <c r="A654" s="155">
        <v>199063</v>
      </c>
      <c r="B654" s="62">
        <v>12008</v>
      </c>
      <c r="C654" s="75" t="s">
        <v>118</v>
      </c>
      <c r="D654" s="37">
        <f t="shared" si="88"/>
        <v>834</v>
      </c>
      <c r="E654" s="147" t="s">
        <v>19</v>
      </c>
      <c r="F654" s="37">
        <f t="shared" si="89"/>
        <v>840</v>
      </c>
      <c r="G654" s="144" t="s">
        <v>20</v>
      </c>
      <c r="H654" s="62">
        <v>1002</v>
      </c>
      <c r="J654" s="144">
        <v>30</v>
      </c>
      <c r="K654" s="62">
        <v>1012</v>
      </c>
      <c r="L654" s="62" t="s">
        <v>119</v>
      </c>
      <c r="M654" s="62">
        <v>52008</v>
      </c>
      <c r="N654" s="62"/>
      <c r="O654" s="62">
        <v>22</v>
      </c>
      <c r="P654" s="62">
        <v>7</v>
      </c>
      <c r="R654" s="68">
        <v>1</v>
      </c>
    </row>
    <row r="655" spans="1:18" s="68" customFormat="1">
      <c r="A655" s="155">
        <v>199064</v>
      </c>
      <c r="B655" s="62">
        <v>12009</v>
      </c>
      <c r="C655" s="75" t="s">
        <v>85</v>
      </c>
      <c r="D655" s="37">
        <f t="shared" si="88"/>
        <v>834</v>
      </c>
      <c r="E655" s="147" t="s">
        <v>19</v>
      </c>
      <c r="F655" s="37">
        <f t="shared" si="89"/>
        <v>840</v>
      </c>
      <c r="G655" s="144" t="s">
        <v>20</v>
      </c>
      <c r="K655" s="62">
        <v>1013</v>
      </c>
      <c r="L655" s="62" t="s">
        <v>86</v>
      </c>
      <c r="N655" s="68">
        <v>52011</v>
      </c>
      <c r="O655" s="62">
        <v>33</v>
      </c>
      <c r="P655" s="62"/>
      <c r="R655" s="68">
        <v>1</v>
      </c>
    </row>
    <row r="656" spans="1:18" s="68" customFormat="1">
      <c r="A656" s="155">
        <v>199065</v>
      </c>
      <c r="B656" s="62">
        <v>12006</v>
      </c>
      <c r="C656" s="75" t="s">
        <v>89</v>
      </c>
      <c r="D656" s="37">
        <f t="shared" si="88"/>
        <v>834</v>
      </c>
      <c r="E656" s="147" t="s">
        <v>19</v>
      </c>
      <c r="F656" s="37">
        <f t="shared" si="89"/>
        <v>840</v>
      </c>
      <c r="G656" s="144" t="s">
        <v>20</v>
      </c>
      <c r="K656" s="62">
        <v>1003</v>
      </c>
      <c r="L656" s="62" t="s">
        <v>90</v>
      </c>
      <c r="O656" s="62">
        <v>5</v>
      </c>
      <c r="P656" s="62"/>
      <c r="R656" s="68">
        <v>1</v>
      </c>
    </row>
    <row r="657" spans="1:18" s="68" customFormat="1">
      <c r="A657" s="155">
        <v>199066</v>
      </c>
      <c r="B657" s="62">
        <v>12004</v>
      </c>
      <c r="C657" s="75" t="s">
        <v>91</v>
      </c>
      <c r="D657" s="37">
        <f t="shared" si="88"/>
        <v>834</v>
      </c>
      <c r="E657" s="147" t="s">
        <v>19</v>
      </c>
      <c r="F657" s="37">
        <f t="shared" si="89"/>
        <v>840</v>
      </c>
      <c r="G657" s="144" t="s">
        <v>20</v>
      </c>
      <c r="H657" s="62">
        <v>1003</v>
      </c>
      <c r="I657" s="62"/>
      <c r="J657" s="144">
        <v>30</v>
      </c>
      <c r="K657" s="62">
        <v>1010</v>
      </c>
      <c r="L657" s="62" t="s">
        <v>92</v>
      </c>
      <c r="M657" s="62">
        <v>52006</v>
      </c>
      <c r="N657" s="62"/>
      <c r="O657" s="62">
        <v>6</v>
      </c>
      <c r="P657" s="62">
        <v>3</v>
      </c>
      <c r="R657" s="68">
        <v>1</v>
      </c>
    </row>
    <row r="658" spans="1:18" s="1" customFormat="1">
      <c r="A658" s="155">
        <v>199067</v>
      </c>
      <c r="B658" s="37">
        <v>12008</v>
      </c>
      <c r="C658" s="75" t="s">
        <v>118</v>
      </c>
      <c r="D658" s="37">
        <f>D657+7</f>
        <v>841</v>
      </c>
      <c r="E658" s="147" t="s">
        <v>19</v>
      </c>
      <c r="F658" s="37">
        <f>F657+7</f>
        <v>847</v>
      </c>
      <c r="G658" s="147" t="s">
        <v>20</v>
      </c>
      <c r="H658" s="37">
        <v>1002</v>
      </c>
      <c r="J658" s="147">
        <v>30</v>
      </c>
      <c r="K658" s="37">
        <v>1012</v>
      </c>
      <c r="L658" s="37" t="s">
        <v>119</v>
      </c>
      <c r="M658" s="37">
        <v>52008</v>
      </c>
      <c r="N658" s="37"/>
      <c r="O658" s="37">
        <v>22</v>
      </c>
      <c r="P658" s="37">
        <v>7</v>
      </c>
      <c r="R658">
        <v>1</v>
      </c>
    </row>
    <row r="659" spans="1:18" s="1" customFormat="1">
      <c r="A659" s="155">
        <v>199068</v>
      </c>
      <c r="B659" s="37">
        <v>12009</v>
      </c>
      <c r="C659" s="75" t="s">
        <v>85</v>
      </c>
      <c r="D659" s="37">
        <f t="shared" ref="D659:D663" si="90">D658</f>
        <v>841</v>
      </c>
      <c r="E659" s="147" t="s">
        <v>19</v>
      </c>
      <c r="F659" s="37">
        <f t="shared" ref="F659:F663" si="91">F658</f>
        <v>847</v>
      </c>
      <c r="G659" s="147" t="s">
        <v>20</v>
      </c>
      <c r="K659" s="37">
        <v>1013</v>
      </c>
      <c r="L659" s="37" t="s">
        <v>86</v>
      </c>
      <c r="N659" s="1">
        <v>52011</v>
      </c>
      <c r="O659" s="37">
        <v>33</v>
      </c>
      <c r="P659" s="37"/>
      <c r="R659">
        <v>1</v>
      </c>
    </row>
    <row r="660" spans="1:18" s="1" customFormat="1">
      <c r="A660" s="155">
        <v>199069</v>
      </c>
      <c r="B660" s="37">
        <v>12006</v>
      </c>
      <c r="C660" s="75" t="s">
        <v>89</v>
      </c>
      <c r="D660" s="37">
        <f t="shared" si="90"/>
        <v>841</v>
      </c>
      <c r="E660" s="147" t="s">
        <v>19</v>
      </c>
      <c r="F660" s="37">
        <f t="shared" si="91"/>
        <v>847</v>
      </c>
      <c r="G660" s="147" t="s">
        <v>20</v>
      </c>
      <c r="K660" s="37">
        <v>1003</v>
      </c>
      <c r="L660" s="37" t="s">
        <v>90</v>
      </c>
      <c r="O660" s="37">
        <v>5</v>
      </c>
      <c r="P660" s="37"/>
      <c r="R660">
        <v>1</v>
      </c>
    </row>
    <row r="661" spans="1:18" s="1" customFormat="1">
      <c r="A661" s="155">
        <v>199070</v>
      </c>
      <c r="B661" s="37">
        <v>12004</v>
      </c>
      <c r="C661" s="75" t="s">
        <v>91</v>
      </c>
      <c r="D661" s="37">
        <f t="shared" si="90"/>
        <v>841</v>
      </c>
      <c r="E661" s="147" t="s">
        <v>19</v>
      </c>
      <c r="F661" s="37">
        <f t="shared" si="91"/>
        <v>847</v>
      </c>
      <c r="G661" s="147" t="s">
        <v>20</v>
      </c>
      <c r="H661" s="37">
        <v>1003</v>
      </c>
      <c r="I661" s="37"/>
      <c r="J661" s="147">
        <v>30</v>
      </c>
      <c r="K661" s="37">
        <v>1010</v>
      </c>
      <c r="L661" s="37" t="s">
        <v>92</v>
      </c>
      <c r="M661" s="37">
        <v>52006</v>
      </c>
      <c r="N661" s="37"/>
      <c r="O661" s="37">
        <v>6</v>
      </c>
      <c r="P661" s="37">
        <v>3</v>
      </c>
      <c r="R661">
        <v>1</v>
      </c>
    </row>
    <row r="662" spans="1:18" s="68" customFormat="1" ht="21" customHeight="1">
      <c r="A662" s="155">
        <v>199071</v>
      </c>
      <c r="B662" s="62">
        <v>12020</v>
      </c>
      <c r="C662" s="75" t="s">
        <v>95</v>
      </c>
      <c r="D662" s="37">
        <f t="shared" si="90"/>
        <v>841</v>
      </c>
      <c r="E662" s="147" t="s">
        <v>19</v>
      </c>
      <c r="F662" s="37">
        <f t="shared" si="91"/>
        <v>847</v>
      </c>
      <c r="G662" s="144" t="s">
        <v>20</v>
      </c>
      <c r="H662" s="62">
        <v>7008</v>
      </c>
      <c r="J662" s="144">
        <v>30</v>
      </c>
      <c r="K662" s="62">
        <v>1510</v>
      </c>
      <c r="L662" s="62" t="s">
        <v>96</v>
      </c>
      <c r="M662" s="62">
        <v>52019</v>
      </c>
      <c r="O662" s="62">
        <v>41</v>
      </c>
      <c r="P662" s="62">
        <v>16</v>
      </c>
    </row>
    <row r="663" spans="1:18" s="68" customFormat="1">
      <c r="A663" s="155">
        <v>199072</v>
      </c>
      <c r="B663" s="62">
        <v>12021</v>
      </c>
      <c r="C663" s="75" t="s">
        <v>110</v>
      </c>
      <c r="D663" s="37">
        <f t="shared" si="90"/>
        <v>841</v>
      </c>
      <c r="E663" s="147" t="s">
        <v>19</v>
      </c>
      <c r="F663" s="37">
        <f t="shared" si="91"/>
        <v>847</v>
      </c>
      <c r="G663" s="144" t="s">
        <v>20</v>
      </c>
      <c r="H663" s="62">
        <v>7009</v>
      </c>
      <c r="J663" s="144">
        <v>30</v>
      </c>
      <c r="K663" s="62">
        <v>1511</v>
      </c>
      <c r="L663" s="62" t="s">
        <v>111</v>
      </c>
      <c r="M663" s="62">
        <v>52020</v>
      </c>
      <c r="O663" s="62">
        <v>42</v>
      </c>
      <c r="P663" s="62">
        <v>17</v>
      </c>
    </row>
    <row r="664" spans="1:18" s="139" customFormat="1">
      <c r="A664" s="155">
        <v>199055</v>
      </c>
      <c r="B664" s="155">
        <v>12005</v>
      </c>
      <c r="C664" s="75" t="s">
        <v>112</v>
      </c>
      <c r="D664" s="37">
        <f>D663+7</f>
        <v>848</v>
      </c>
      <c r="E664" s="147" t="s">
        <v>19</v>
      </c>
      <c r="F664" s="37">
        <f>F663+7</f>
        <v>854</v>
      </c>
      <c r="G664" s="156" t="s">
        <v>20</v>
      </c>
      <c r="H664" s="155">
        <v>3101</v>
      </c>
      <c r="I664" s="155"/>
      <c r="J664" s="156">
        <v>30</v>
      </c>
      <c r="K664" s="155">
        <v>1011</v>
      </c>
      <c r="L664" s="155" t="s">
        <v>113</v>
      </c>
      <c r="M664" s="155">
        <v>52007</v>
      </c>
      <c r="N664" s="155"/>
      <c r="O664" s="155">
        <v>18</v>
      </c>
      <c r="P664" s="155">
        <v>6</v>
      </c>
      <c r="R664">
        <v>1</v>
      </c>
    </row>
    <row r="665" spans="1:18" s="139" customFormat="1">
      <c r="A665" s="155">
        <v>199056</v>
      </c>
      <c r="B665" s="155">
        <v>12009</v>
      </c>
      <c r="C665" s="75" t="s">
        <v>85</v>
      </c>
      <c r="D665" s="37">
        <f t="shared" ref="D665:D669" si="92">D664</f>
        <v>848</v>
      </c>
      <c r="E665" s="147" t="s">
        <v>19</v>
      </c>
      <c r="F665" s="37">
        <f t="shared" ref="F665:F669" si="93">F664</f>
        <v>854</v>
      </c>
      <c r="G665" s="156" t="s">
        <v>20</v>
      </c>
      <c r="K665" s="155">
        <v>1013</v>
      </c>
      <c r="L665" s="155" t="s">
        <v>86</v>
      </c>
      <c r="N665" s="139">
        <v>52011</v>
      </c>
      <c r="O665" s="155">
        <v>33</v>
      </c>
      <c r="P665" s="155"/>
      <c r="R665">
        <v>1</v>
      </c>
    </row>
    <row r="666" spans="1:18" s="139" customFormat="1">
      <c r="A666" s="155">
        <v>199057</v>
      </c>
      <c r="B666" s="155">
        <v>12006</v>
      </c>
      <c r="C666" s="75" t="s">
        <v>89</v>
      </c>
      <c r="D666" s="37">
        <f t="shared" si="92"/>
        <v>848</v>
      </c>
      <c r="E666" s="147" t="s">
        <v>19</v>
      </c>
      <c r="F666" s="37">
        <f t="shared" si="93"/>
        <v>854</v>
      </c>
      <c r="G666" s="156" t="s">
        <v>20</v>
      </c>
      <c r="K666" s="155">
        <v>1003</v>
      </c>
      <c r="L666" s="155" t="s">
        <v>90</v>
      </c>
      <c r="O666" s="155">
        <v>5</v>
      </c>
      <c r="P666" s="155"/>
      <c r="R666">
        <v>1</v>
      </c>
    </row>
    <row r="667" spans="1:18" s="139" customFormat="1">
      <c r="A667" s="155">
        <v>199058</v>
      </c>
      <c r="B667" s="155">
        <v>12010</v>
      </c>
      <c r="C667" s="75" t="s">
        <v>81</v>
      </c>
      <c r="D667" s="37">
        <f t="shared" si="92"/>
        <v>848</v>
      </c>
      <c r="E667" s="147" t="s">
        <v>19</v>
      </c>
      <c r="F667" s="37">
        <f t="shared" si="93"/>
        <v>854</v>
      </c>
      <c r="G667" s="156" t="s">
        <v>20</v>
      </c>
      <c r="H667" s="155">
        <v>990</v>
      </c>
      <c r="I667" s="155"/>
      <c r="J667" s="155">
        <v>30</v>
      </c>
      <c r="K667" s="155">
        <v>1015</v>
      </c>
      <c r="L667" s="155" t="s">
        <v>82</v>
      </c>
      <c r="M667" s="155">
        <v>52009</v>
      </c>
      <c r="N667" s="155"/>
      <c r="O667" s="155">
        <v>1</v>
      </c>
      <c r="P667" s="155">
        <v>1</v>
      </c>
      <c r="R667">
        <v>1</v>
      </c>
    </row>
    <row r="668" spans="1:18" s="1" customFormat="1">
      <c r="A668" s="155">
        <v>199059</v>
      </c>
      <c r="B668" s="37">
        <v>12018</v>
      </c>
      <c r="C668" s="75" t="s">
        <v>114</v>
      </c>
      <c r="D668" s="37">
        <f t="shared" si="92"/>
        <v>848</v>
      </c>
      <c r="E668" s="147" t="s">
        <v>19</v>
      </c>
      <c r="F668" s="37">
        <f t="shared" si="93"/>
        <v>854</v>
      </c>
      <c r="G668" s="147" t="s">
        <v>20</v>
      </c>
      <c r="H668" s="37">
        <v>7006</v>
      </c>
      <c r="J668" s="147">
        <v>30</v>
      </c>
      <c r="K668" s="37">
        <v>1508</v>
      </c>
      <c r="L668" s="37" t="s">
        <v>115</v>
      </c>
      <c r="M668" s="37">
        <v>52017</v>
      </c>
      <c r="O668" s="37">
        <v>39</v>
      </c>
      <c r="P668" s="37">
        <v>14</v>
      </c>
      <c r="R668">
        <v>1</v>
      </c>
    </row>
    <row r="669" spans="1:18" s="1" customFormat="1">
      <c r="A669" s="155">
        <v>199060</v>
      </c>
      <c r="B669" s="37">
        <v>12019</v>
      </c>
      <c r="C669" s="75" t="s">
        <v>116</v>
      </c>
      <c r="D669" s="37">
        <f t="shared" si="92"/>
        <v>848</v>
      </c>
      <c r="E669" s="147" t="s">
        <v>19</v>
      </c>
      <c r="F669" s="37">
        <f t="shared" si="93"/>
        <v>854</v>
      </c>
      <c r="G669" s="147" t="s">
        <v>20</v>
      </c>
      <c r="H669" s="37">
        <v>7007</v>
      </c>
      <c r="J669" s="147">
        <v>30</v>
      </c>
      <c r="K669" s="37">
        <v>1509</v>
      </c>
      <c r="L669" s="37" t="s">
        <v>117</v>
      </c>
      <c r="M669" s="37">
        <v>52018</v>
      </c>
      <c r="O669" s="37">
        <v>40</v>
      </c>
      <c r="P669" s="37">
        <v>15</v>
      </c>
      <c r="R669">
        <v>1</v>
      </c>
    </row>
    <row r="670" spans="1:18" s="68" customFormat="1">
      <c r="A670" s="155">
        <v>199061</v>
      </c>
      <c r="B670" s="62">
        <v>12013</v>
      </c>
      <c r="C670" s="75" t="s">
        <v>104</v>
      </c>
      <c r="D670" s="37">
        <f>D669+7</f>
        <v>855</v>
      </c>
      <c r="E670" s="147" t="s">
        <v>19</v>
      </c>
      <c r="F670" s="37">
        <f>F669+7</f>
        <v>861</v>
      </c>
      <c r="G670" s="144" t="s">
        <v>20</v>
      </c>
      <c r="H670" s="62">
        <v>7001</v>
      </c>
      <c r="J670" s="144">
        <v>30</v>
      </c>
      <c r="K670" s="62">
        <v>1503</v>
      </c>
      <c r="L670" s="62" t="s">
        <v>105</v>
      </c>
      <c r="M670" s="62">
        <v>52012</v>
      </c>
      <c r="N670" s="62"/>
      <c r="O670" s="62">
        <v>34</v>
      </c>
      <c r="P670" s="62">
        <v>9</v>
      </c>
      <c r="R670" s="68">
        <v>1</v>
      </c>
    </row>
    <row r="671" spans="1:18" s="68" customFormat="1">
      <c r="A671" s="155">
        <v>199062</v>
      </c>
      <c r="B671" s="62">
        <v>12014</v>
      </c>
      <c r="C671" s="75" t="s">
        <v>106</v>
      </c>
      <c r="D671" s="37">
        <f t="shared" ref="D671:D675" si="94">D670</f>
        <v>855</v>
      </c>
      <c r="E671" s="147" t="s">
        <v>19</v>
      </c>
      <c r="F671" s="37">
        <f t="shared" ref="F671:F675" si="95">F670</f>
        <v>861</v>
      </c>
      <c r="G671" s="144" t="s">
        <v>20</v>
      </c>
      <c r="H671" s="62">
        <v>7002</v>
      </c>
      <c r="J671" s="144">
        <v>30</v>
      </c>
      <c r="K671" s="62">
        <v>1504</v>
      </c>
      <c r="L671" s="62" t="s">
        <v>107</v>
      </c>
      <c r="M671" s="62">
        <v>52013</v>
      </c>
      <c r="O671" s="62">
        <v>35</v>
      </c>
      <c r="P671" s="62">
        <v>10</v>
      </c>
      <c r="R671" s="68">
        <v>1</v>
      </c>
    </row>
    <row r="672" spans="1:18" s="68" customFormat="1">
      <c r="A672" s="155">
        <v>199063</v>
      </c>
      <c r="B672" s="62">
        <v>12008</v>
      </c>
      <c r="C672" s="75" t="s">
        <v>118</v>
      </c>
      <c r="D672" s="37">
        <f t="shared" si="94"/>
        <v>855</v>
      </c>
      <c r="E672" s="147" t="s">
        <v>19</v>
      </c>
      <c r="F672" s="37">
        <f t="shared" si="95"/>
        <v>861</v>
      </c>
      <c r="G672" s="144" t="s">
        <v>20</v>
      </c>
      <c r="H672" s="62">
        <v>1002</v>
      </c>
      <c r="J672" s="144">
        <v>30</v>
      </c>
      <c r="K672" s="62">
        <v>1012</v>
      </c>
      <c r="L672" s="62" t="s">
        <v>119</v>
      </c>
      <c r="M672" s="62">
        <v>52008</v>
      </c>
      <c r="N672" s="62"/>
      <c r="O672" s="62">
        <v>22</v>
      </c>
      <c r="P672" s="62">
        <v>7</v>
      </c>
      <c r="R672" s="68">
        <v>1</v>
      </c>
    </row>
    <row r="673" spans="1:18" s="68" customFormat="1">
      <c r="A673" s="155">
        <v>199064</v>
      </c>
      <c r="B673" s="62">
        <v>12009</v>
      </c>
      <c r="C673" s="75" t="s">
        <v>85</v>
      </c>
      <c r="D673" s="37">
        <f t="shared" si="94"/>
        <v>855</v>
      </c>
      <c r="E673" s="147" t="s">
        <v>19</v>
      </c>
      <c r="F673" s="37">
        <f t="shared" si="95"/>
        <v>861</v>
      </c>
      <c r="G673" s="144" t="s">
        <v>20</v>
      </c>
      <c r="K673" s="62">
        <v>1013</v>
      </c>
      <c r="L673" s="62" t="s">
        <v>86</v>
      </c>
      <c r="N673" s="68">
        <v>52011</v>
      </c>
      <c r="O673" s="62">
        <v>33</v>
      </c>
      <c r="P673" s="62"/>
      <c r="R673" s="68">
        <v>1</v>
      </c>
    </row>
    <row r="674" spans="1:18" s="68" customFormat="1">
      <c r="A674" s="155">
        <v>199065</v>
      </c>
      <c r="B674" s="62">
        <v>12006</v>
      </c>
      <c r="C674" s="75" t="s">
        <v>89</v>
      </c>
      <c r="D674" s="37">
        <f t="shared" si="94"/>
        <v>855</v>
      </c>
      <c r="E674" s="147" t="s">
        <v>19</v>
      </c>
      <c r="F674" s="37">
        <f t="shared" si="95"/>
        <v>861</v>
      </c>
      <c r="G674" s="144" t="s">
        <v>20</v>
      </c>
      <c r="K674" s="62">
        <v>1003</v>
      </c>
      <c r="L674" s="62" t="s">
        <v>90</v>
      </c>
      <c r="O674" s="62">
        <v>5</v>
      </c>
      <c r="P674" s="62"/>
      <c r="R674" s="68">
        <v>1</v>
      </c>
    </row>
    <row r="675" spans="1:18" s="68" customFormat="1">
      <c r="A675" s="155">
        <v>199066</v>
      </c>
      <c r="B675" s="62">
        <v>12004</v>
      </c>
      <c r="C675" s="75" t="s">
        <v>91</v>
      </c>
      <c r="D675" s="37">
        <f t="shared" si="94"/>
        <v>855</v>
      </c>
      <c r="E675" s="147" t="s">
        <v>19</v>
      </c>
      <c r="F675" s="37">
        <f t="shared" si="95"/>
        <v>861</v>
      </c>
      <c r="G675" s="144" t="s">
        <v>20</v>
      </c>
      <c r="H675" s="62">
        <v>1003</v>
      </c>
      <c r="I675" s="62"/>
      <c r="J675" s="144">
        <v>30</v>
      </c>
      <c r="K675" s="62">
        <v>1010</v>
      </c>
      <c r="L675" s="62" t="s">
        <v>92</v>
      </c>
      <c r="M675" s="62">
        <v>52006</v>
      </c>
      <c r="N675" s="62"/>
      <c r="O675" s="62">
        <v>6</v>
      </c>
      <c r="P675" s="62">
        <v>3</v>
      </c>
      <c r="R675" s="68">
        <v>1</v>
      </c>
    </row>
    <row r="676" spans="1:18" s="1" customFormat="1">
      <c r="A676" s="155">
        <v>199067</v>
      </c>
      <c r="B676" s="37">
        <v>12008</v>
      </c>
      <c r="C676" s="75" t="s">
        <v>118</v>
      </c>
      <c r="D676" s="37">
        <f>D675+7</f>
        <v>862</v>
      </c>
      <c r="E676" s="147" t="s">
        <v>19</v>
      </c>
      <c r="F676" s="37">
        <f>F675+7</f>
        <v>868</v>
      </c>
      <c r="G676" s="147" t="s">
        <v>20</v>
      </c>
      <c r="H676" s="37">
        <v>1002</v>
      </c>
      <c r="J676" s="147">
        <v>30</v>
      </c>
      <c r="K676" s="37">
        <v>1012</v>
      </c>
      <c r="L676" s="37" t="s">
        <v>119</v>
      </c>
      <c r="M676" s="37">
        <v>52008</v>
      </c>
      <c r="N676" s="37"/>
      <c r="O676" s="37">
        <v>22</v>
      </c>
      <c r="P676" s="37">
        <v>7</v>
      </c>
      <c r="R676">
        <v>1</v>
      </c>
    </row>
    <row r="677" spans="1:18" s="1" customFormat="1">
      <c r="A677" s="155">
        <v>199068</v>
      </c>
      <c r="B677" s="37">
        <v>12009</v>
      </c>
      <c r="C677" s="75" t="s">
        <v>85</v>
      </c>
      <c r="D677" s="37">
        <f t="shared" ref="D677:D681" si="96">D676</f>
        <v>862</v>
      </c>
      <c r="E677" s="147" t="s">
        <v>19</v>
      </c>
      <c r="F677" s="37">
        <f t="shared" ref="F677:F681" si="97">F676</f>
        <v>868</v>
      </c>
      <c r="G677" s="147" t="s">
        <v>20</v>
      </c>
      <c r="K677" s="37">
        <v>1013</v>
      </c>
      <c r="L677" s="37" t="s">
        <v>86</v>
      </c>
      <c r="N677" s="1">
        <v>52011</v>
      </c>
      <c r="O677" s="37">
        <v>33</v>
      </c>
      <c r="P677" s="37"/>
      <c r="R677">
        <v>1</v>
      </c>
    </row>
    <row r="678" spans="1:18" s="1" customFormat="1">
      <c r="A678" s="155">
        <v>199069</v>
      </c>
      <c r="B678" s="37">
        <v>12006</v>
      </c>
      <c r="C678" s="75" t="s">
        <v>89</v>
      </c>
      <c r="D678" s="37">
        <f t="shared" si="96"/>
        <v>862</v>
      </c>
      <c r="E678" s="147" t="s">
        <v>19</v>
      </c>
      <c r="F678" s="37">
        <f t="shared" si="97"/>
        <v>868</v>
      </c>
      <c r="G678" s="147" t="s">
        <v>20</v>
      </c>
      <c r="K678" s="37">
        <v>1003</v>
      </c>
      <c r="L678" s="37" t="s">
        <v>90</v>
      </c>
      <c r="O678" s="37">
        <v>5</v>
      </c>
      <c r="P678" s="37"/>
      <c r="R678">
        <v>1</v>
      </c>
    </row>
    <row r="679" spans="1:18" s="1" customFormat="1">
      <c r="A679" s="155">
        <v>199070</v>
      </c>
      <c r="B679" s="37">
        <v>12004</v>
      </c>
      <c r="C679" s="75" t="s">
        <v>91</v>
      </c>
      <c r="D679" s="37">
        <f t="shared" si="96"/>
        <v>862</v>
      </c>
      <c r="E679" s="147" t="s">
        <v>19</v>
      </c>
      <c r="F679" s="37">
        <f t="shared" si="97"/>
        <v>868</v>
      </c>
      <c r="G679" s="147" t="s">
        <v>20</v>
      </c>
      <c r="H679" s="37">
        <v>1003</v>
      </c>
      <c r="I679" s="37"/>
      <c r="J679" s="147">
        <v>30</v>
      </c>
      <c r="K679" s="37">
        <v>1010</v>
      </c>
      <c r="L679" s="37" t="s">
        <v>92</v>
      </c>
      <c r="M679" s="37">
        <v>52006</v>
      </c>
      <c r="N679" s="37"/>
      <c r="O679" s="37">
        <v>6</v>
      </c>
      <c r="P679" s="37">
        <v>3</v>
      </c>
      <c r="R679">
        <v>1</v>
      </c>
    </row>
    <row r="680" spans="1:18" s="68" customFormat="1" ht="21" customHeight="1">
      <c r="A680" s="155">
        <v>199071</v>
      </c>
      <c r="B680" s="62">
        <v>12020</v>
      </c>
      <c r="C680" s="75" t="s">
        <v>95</v>
      </c>
      <c r="D680" s="37">
        <f t="shared" si="96"/>
        <v>862</v>
      </c>
      <c r="E680" s="147" t="s">
        <v>19</v>
      </c>
      <c r="F680" s="37">
        <f t="shared" si="97"/>
        <v>868</v>
      </c>
      <c r="G680" s="144" t="s">
        <v>20</v>
      </c>
      <c r="H680" s="62">
        <v>7008</v>
      </c>
      <c r="J680" s="144">
        <v>30</v>
      </c>
      <c r="K680" s="62">
        <v>1510</v>
      </c>
      <c r="L680" s="62" t="s">
        <v>96</v>
      </c>
      <c r="M680" s="62">
        <v>52019</v>
      </c>
      <c r="O680" s="62">
        <v>41</v>
      </c>
      <c r="P680" s="62">
        <v>16</v>
      </c>
    </row>
    <row r="681" spans="1:18" s="68" customFormat="1">
      <c r="A681" s="155">
        <v>199072</v>
      </c>
      <c r="B681" s="62">
        <v>12021</v>
      </c>
      <c r="C681" s="75" t="s">
        <v>110</v>
      </c>
      <c r="D681" s="37">
        <f t="shared" si="96"/>
        <v>862</v>
      </c>
      <c r="E681" s="147" t="s">
        <v>19</v>
      </c>
      <c r="F681" s="37">
        <f t="shared" si="97"/>
        <v>868</v>
      </c>
      <c r="G681" s="144" t="s">
        <v>20</v>
      </c>
      <c r="H681" s="62">
        <v>7009</v>
      </c>
      <c r="J681" s="144">
        <v>30</v>
      </c>
      <c r="K681" s="62">
        <v>1511</v>
      </c>
      <c r="L681" s="62" t="s">
        <v>111</v>
      </c>
      <c r="M681" s="62">
        <v>52020</v>
      </c>
      <c r="O681" s="62">
        <v>42</v>
      </c>
      <c r="P681" s="62">
        <v>17</v>
      </c>
    </row>
    <row r="682" spans="1:18" s="139" customFormat="1">
      <c r="A682" s="155">
        <v>199055</v>
      </c>
      <c r="B682" s="155">
        <v>12005</v>
      </c>
      <c r="C682" s="75" t="s">
        <v>112</v>
      </c>
      <c r="D682" s="37">
        <f>D681+7</f>
        <v>869</v>
      </c>
      <c r="E682" s="147" t="s">
        <v>19</v>
      </c>
      <c r="F682" s="37">
        <f>F681+7</f>
        <v>875</v>
      </c>
      <c r="G682" s="156" t="s">
        <v>20</v>
      </c>
      <c r="H682" s="155">
        <v>3101</v>
      </c>
      <c r="I682" s="155"/>
      <c r="J682" s="156">
        <v>30</v>
      </c>
      <c r="K682" s="155">
        <v>1011</v>
      </c>
      <c r="L682" s="155" t="s">
        <v>113</v>
      </c>
      <c r="M682" s="155">
        <v>52007</v>
      </c>
      <c r="N682" s="155"/>
      <c r="O682" s="155">
        <v>18</v>
      </c>
      <c r="P682" s="155">
        <v>6</v>
      </c>
      <c r="R682">
        <v>1</v>
      </c>
    </row>
    <row r="683" spans="1:18" s="139" customFormat="1">
      <c r="A683" s="155">
        <v>199056</v>
      </c>
      <c r="B683" s="155">
        <v>12009</v>
      </c>
      <c r="C683" s="75" t="s">
        <v>85</v>
      </c>
      <c r="D683" s="37">
        <f t="shared" ref="D683:D687" si="98">D682</f>
        <v>869</v>
      </c>
      <c r="E683" s="147" t="s">
        <v>19</v>
      </c>
      <c r="F683" s="37">
        <f t="shared" ref="F683:F687" si="99">F682</f>
        <v>875</v>
      </c>
      <c r="G683" s="156" t="s">
        <v>20</v>
      </c>
      <c r="K683" s="155">
        <v>1013</v>
      </c>
      <c r="L683" s="155" t="s">
        <v>86</v>
      </c>
      <c r="N683" s="139">
        <v>52011</v>
      </c>
      <c r="O683" s="155">
        <v>33</v>
      </c>
      <c r="P683" s="155"/>
      <c r="R683">
        <v>1</v>
      </c>
    </row>
    <row r="684" spans="1:18" s="139" customFormat="1">
      <c r="A684" s="155">
        <v>199057</v>
      </c>
      <c r="B684" s="155">
        <v>12006</v>
      </c>
      <c r="C684" s="75" t="s">
        <v>89</v>
      </c>
      <c r="D684" s="37">
        <f t="shared" si="98"/>
        <v>869</v>
      </c>
      <c r="E684" s="147" t="s">
        <v>19</v>
      </c>
      <c r="F684" s="37">
        <f t="shared" si="99"/>
        <v>875</v>
      </c>
      <c r="G684" s="156" t="s">
        <v>20</v>
      </c>
      <c r="K684" s="155">
        <v>1003</v>
      </c>
      <c r="L684" s="155" t="s">
        <v>90</v>
      </c>
      <c r="O684" s="155">
        <v>5</v>
      </c>
      <c r="P684" s="155"/>
      <c r="R684">
        <v>1</v>
      </c>
    </row>
    <row r="685" spans="1:18" s="139" customFormat="1">
      <c r="A685" s="155">
        <v>199058</v>
      </c>
      <c r="B685" s="155">
        <v>12010</v>
      </c>
      <c r="C685" s="75" t="s">
        <v>81</v>
      </c>
      <c r="D685" s="37">
        <f t="shared" si="98"/>
        <v>869</v>
      </c>
      <c r="E685" s="147" t="s">
        <v>19</v>
      </c>
      <c r="F685" s="37">
        <f t="shared" si="99"/>
        <v>875</v>
      </c>
      <c r="G685" s="156" t="s">
        <v>20</v>
      </c>
      <c r="H685" s="155">
        <v>990</v>
      </c>
      <c r="I685" s="155"/>
      <c r="J685" s="155">
        <v>30</v>
      </c>
      <c r="K685" s="155">
        <v>1015</v>
      </c>
      <c r="L685" s="155" t="s">
        <v>82</v>
      </c>
      <c r="M685" s="155">
        <v>52009</v>
      </c>
      <c r="N685" s="155"/>
      <c r="O685" s="155">
        <v>1</v>
      </c>
      <c r="P685" s="155">
        <v>1</v>
      </c>
      <c r="R685">
        <v>1</v>
      </c>
    </row>
    <row r="686" spans="1:18" s="1" customFormat="1">
      <c r="A686" s="155">
        <v>199059</v>
      </c>
      <c r="B686" s="37">
        <v>12018</v>
      </c>
      <c r="C686" s="75" t="s">
        <v>114</v>
      </c>
      <c r="D686" s="37">
        <f t="shared" si="98"/>
        <v>869</v>
      </c>
      <c r="E686" s="147" t="s">
        <v>19</v>
      </c>
      <c r="F686" s="37">
        <f t="shared" si="99"/>
        <v>875</v>
      </c>
      <c r="G686" s="147" t="s">
        <v>20</v>
      </c>
      <c r="H686" s="37">
        <v>7006</v>
      </c>
      <c r="J686" s="147">
        <v>30</v>
      </c>
      <c r="K686" s="37">
        <v>1508</v>
      </c>
      <c r="L686" s="37" t="s">
        <v>115</v>
      </c>
      <c r="M686" s="37">
        <v>52017</v>
      </c>
      <c r="O686" s="37">
        <v>39</v>
      </c>
      <c r="P686" s="37">
        <v>14</v>
      </c>
      <c r="R686">
        <v>1</v>
      </c>
    </row>
    <row r="687" spans="1:18" s="1" customFormat="1">
      <c r="A687" s="155">
        <v>199060</v>
      </c>
      <c r="B687" s="37">
        <v>12019</v>
      </c>
      <c r="C687" s="75" t="s">
        <v>116</v>
      </c>
      <c r="D687" s="37">
        <f t="shared" si="98"/>
        <v>869</v>
      </c>
      <c r="E687" s="147" t="s">
        <v>19</v>
      </c>
      <c r="F687" s="37">
        <f t="shared" si="99"/>
        <v>875</v>
      </c>
      <c r="G687" s="147" t="s">
        <v>20</v>
      </c>
      <c r="H687" s="37">
        <v>7007</v>
      </c>
      <c r="J687" s="147">
        <v>30</v>
      </c>
      <c r="K687" s="37">
        <v>1509</v>
      </c>
      <c r="L687" s="37" t="s">
        <v>117</v>
      </c>
      <c r="M687" s="37">
        <v>52018</v>
      </c>
      <c r="O687" s="37">
        <v>40</v>
      </c>
      <c r="P687" s="37">
        <v>15</v>
      </c>
      <c r="R687">
        <v>1</v>
      </c>
    </row>
    <row r="688" spans="1:18" s="68" customFormat="1">
      <c r="A688" s="155">
        <v>199061</v>
      </c>
      <c r="B688" s="62">
        <v>12013</v>
      </c>
      <c r="C688" s="75" t="s">
        <v>104</v>
      </c>
      <c r="D688" s="37">
        <f>D687+7</f>
        <v>876</v>
      </c>
      <c r="E688" s="147" t="s">
        <v>19</v>
      </c>
      <c r="F688" s="37">
        <f>F687+7</f>
        <v>882</v>
      </c>
      <c r="G688" s="144" t="s">
        <v>20</v>
      </c>
      <c r="H688" s="62">
        <v>7001</v>
      </c>
      <c r="J688" s="144">
        <v>30</v>
      </c>
      <c r="K688" s="62">
        <v>1503</v>
      </c>
      <c r="L688" s="62" t="s">
        <v>105</v>
      </c>
      <c r="M688" s="62">
        <v>52012</v>
      </c>
      <c r="N688" s="62"/>
      <c r="O688" s="62">
        <v>34</v>
      </c>
      <c r="P688" s="62">
        <v>9</v>
      </c>
      <c r="R688" s="68">
        <v>1</v>
      </c>
    </row>
    <row r="689" spans="1:18" s="68" customFormat="1">
      <c r="A689" s="155">
        <v>199062</v>
      </c>
      <c r="B689" s="62">
        <v>12014</v>
      </c>
      <c r="C689" s="75" t="s">
        <v>106</v>
      </c>
      <c r="D689" s="37">
        <f t="shared" ref="D689:D693" si="100">D688</f>
        <v>876</v>
      </c>
      <c r="E689" s="147" t="s">
        <v>19</v>
      </c>
      <c r="F689" s="37">
        <f t="shared" ref="F689:F693" si="101">F688</f>
        <v>882</v>
      </c>
      <c r="G689" s="144" t="s">
        <v>20</v>
      </c>
      <c r="H689" s="62">
        <v>7002</v>
      </c>
      <c r="J689" s="144">
        <v>30</v>
      </c>
      <c r="K689" s="62">
        <v>1504</v>
      </c>
      <c r="L689" s="62" t="s">
        <v>107</v>
      </c>
      <c r="M689" s="62">
        <v>52013</v>
      </c>
      <c r="O689" s="62">
        <v>35</v>
      </c>
      <c r="P689" s="62">
        <v>10</v>
      </c>
      <c r="R689" s="68">
        <v>1</v>
      </c>
    </row>
    <row r="690" spans="1:18" s="68" customFormat="1">
      <c r="A690" s="155">
        <v>199063</v>
      </c>
      <c r="B690" s="62">
        <v>12008</v>
      </c>
      <c r="C690" s="75" t="s">
        <v>118</v>
      </c>
      <c r="D690" s="37">
        <f t="shared" si="100"/>
        <v>876</v>
      </c>
      <c r="E690" s="147" t="s">
        <v>19</v>
      </c>
      <c r="F690" s="37">
        <f t="shared" si="101"/>
        <v>882</v>
      </c>
      <c r="G690" s="144" t="s">
        <v>20</v>
      </c>
      <c r="H690" s="62">
        <v>1002</v>
      </c>
      <c r="J690" s="144">
        <v>30</v>
      </c>
      <c r="K690" s="62">
        <v>1012</v>
      </c>
      <c r="L690" s="62" t="s">
        <v>119</v>
      </c>
      <c r="M690" s="62">
        <v>52008</v>
      </c>
      <c r="N690" s="62"/>
      <c r="O690" s="62">
        <v>22</v>
      </c>
      <c r="P690" s="62">
        <v>7</v>
      </c>
      <c r="R690" s="68">
        <v>1</v>
      </c>
    </row>
    <row r="691" spans="1:18" s="68" customFormat="1">
      <c r="A691" s="155">
        <v>199064</v>
      </c>
      <c r="B691" s="62">
        <v>12009</v>
      </c>
      <c r="C691" s="75" t="s">
        <v>85</v>
      </c>
      <c r="D691" s="37">
        <f t="shared" si="100"/>
        <v>876</v>
      </c>
      <c r="E691" s="147" t="s">
        <v>19</v>
      </c>
      <c r="F691" s="37">
        <f t="shared" si="101"/>
        <v>882</v>
      </c>
      <c r="G691" s="144" t="s">
        <v>20</v>
      </c>
      <c r="K691" s="62">
        <v>1013</v>
      </c>
      <c r="L691" s="62" t="s">
        <v>86</v>
      </c>
      <c r="N691" s="68">
        <v>52011</v>
      </c>
      <c r="O691" s="62">
        <v>33</v>
      </c>
      <c r="P691" s="62"/>
      <c r="R691" s="68">
        <v>1</v>
      </c>
    </row>
    <row r="692" spans="1:18" s="68" customFormat="1">
      <c r="A692" s="155">
        <v>199065</v>
      </c>
      <c r="B692" s="62">
        <v>12006</v>
      </c>
      <c r="C692" s="75" t="s">
        <v>89</v>
      </c>
      <c r="D692" s="37">
        <f t="shared" si="100"/>
        <v>876</v>
      </c>
      <c r="E692" s="147" t="s">
        <v>19</v>
      </c>
      <c r="F692" s="37">
        <f t="shared" si="101"/>
        <v>882</v>
      </c>
      <c r="G692" s="144" t="s">
        <v>20</v>
      </c>
      <c r="K692" s="62">
        <v>1003</v>
      </c>
      <c r="L692" s="62" t="s">
        <v>90</v>
      </c>
      <c r="O692" s="62">
        <v>5</v>
      </c>
      <c r="P692" s="62"/>
      <c r="R692" s="68">
        <v>1</v>
      </c>
    </row>
    <row r="693" spans="1:18" s="68" customFormat="1">
      <c r="A693" s="155">
        <v>199066</v>
      </c>
      <c r="B693" s="62">
        <v>12004</v>
      </c>
      <c r="C693" s="75" t="s">
        <v>91</v>
      </c>
      <c r="D693" s="37">
        <f t="shared" si="100"/>
        <v>876</v>
      </c>
      <c r="E693" s="147" t="s">
        <v>19</v>
      </c>
      <c r="F693" s="37">
        <f t="shared" si="101"/>
        <v>882</v>
      </c>
      <c r="G693" s="144" t="s">
        <v>20</v>
      </c>
      <c r="H693" s="62">
        <v>1003</v>
      </c>
      <c r="I693" s="62"/>
      <c r="J693" s="144">
        <v>30</v>
      </c>
      <c r="K693" s="62">
        <v>1010</v>
      </c>
      <c r="L693" s="62" t="s">
        <v>92</v>
      </c>
      <c r="M693" s="62">
        <v>52006</v>
      </c>
      <c r="N693" s="62"/>
      <c r="O693" s="62">
        <v>6</v>
      </c>
      <c r="P693" s="62">
        <v>3</v>
      </c>
      <c r="R693" s="68">
        <v>1</v>
      </c>
    </row>
    <row r="694" spans="1:18" s="1" customFormat="1">
      <c r="A694" s="155">
        <v>199067</v>
      </c>
      <c r="B694" s="37">
        <v>12008</v>
      </c>
      <c r="C694" s="75" t="s">
        <v>118</v>
      </c>
      <c r="D694" s="37">
        <f>D693+7</f>
        <v>883</v>
      </c>
      <c r="E694" s="147" t="s">
        <v>19</v>
      </c>
      <c r="F694" s="37">
        <f>F693+7</f>
        <v>889</v>
      </c>
      <c r="G694" s="147" t="s">
        <v>20</v>
      </c>
      <c r="H694" s="37">
        <v>1002</v>
      </c>
      <c r="J694" s="147">
        <v>30</v>
      </c>
      <c r="K694" s="37">
        <v>1012</v>
      </c>
      <c r="L694" s="37" t="s">
        <v>119</v>
      </c>
      <c r="M694" s="37">
        <v>52008</v>
      </c>
      <c r="N694" s="37"/>
      <c r="O694" s="37">
        <v>22</v>
      </c>
      <c r="P694" s="37">
        <v>7</v>
      </c>
      <c r="R694">
        <v>1</v>
      </c>
    </row>
    <row r="695" spans="1:18" s="1" customFormat="1">
      <c r="A695" s="155">
        <v>199068</v>
      </c>
      <c r="B695" s="37">
        <v>12009</v>
      </c>
      <c r="C695" s="75" t="s">
        <v>85</v>
      </c>
      <c r="D695" s="37">
        <f t="shared" ref="D695:D699" si="102">D694</f>
        <v>883</v>
      </c>
      <c r="E695" s="147" t="s">
        <v>19</v>
      </c>
      <c r="F695" s="37">
        <f t="shared" ref="F695:F699" si="103">F694</f>
        <v>889</v>
      </c>
      <c r="G695" s="147" t="s">
        <v>20</v>
      </c>
      <c r="K695" s="37">
        <v>1013</v>
      </c>
      <c r="L695" s="37" t="s">
        <v>86</v>
      </c>
      <c r="N695" s="1">
        <v>52011</v>
      </c>
      <c r="O695" s="37">
        <v>33</v>
      </c>
      <c r="P695" s="37"/>
      <c r="R695">
        <v>1</v>
      </c>
    </row>
    <row r="696" spans="1:18" s="1" customFormat="1">
      <c r="A696" s="155">
        <v>199069</v>
      </c>
      <c r="B696" s="37">
        <v>12006</v>
      </c>
      <c r="C696" s="75" t="s">
        <v>89</v>
      </c>
      <c r="D696" s="37">
        <f t="shared" si="102"/>
        <v>883</v>
      </c>
      <c r="E696" s="147" t="s">
        <v>19</v>
      </c>
      <c r="F696" s="37">
        <f t="shared" si="103"/>
        <v>889</v>
      </c>
      <c r="G696" s="147" t="s">
        <v>20</v>
      </c>
      <c r="K696" s="37">
        <v>1003</v>
      </c>
      <c r="L696" s="37" t="s">
        <v>90</v>
      </c>
      <c r="O696" s="37">
        <v>5</v>
      </c>
      <c r="P696" s="37"/>
      <c r="R696">
        <v>1</v>
      </c>
    </row>
    <row r="697" spans="1:18" s="1" customFormat="1">
      <c r="A697" s="155">
        <v>199070</v>
      </c>
      <c r="B697" s="37">
        <v>12004</v>
      </c>
      <c r="C697" s="75" t="s">
        <v>91</v>
      </c>
      <c r="D697" s="37">
        <f t="shared" si="102"/>
        <v>883</v>
      </c>
      <c r="E697" s="147" t="s">
        <v>19</v>
      </c>
      <c r="F697" s="37">
        <f t="shared" si="103"/>
        <v>889</v>
      </c>
      <c r="G697" s="147" t="s">
        <v>20</v>
      </c>
      <c r="H697" s="37">
        <v>1003</v>
      </c>
      <c r="I697" s="37"/>
      <c r="J697" s="147">
        <v>30</v>
      </c>
      <c r="K697" s="37">
        <v>1010</v>
      </c>
      <c r="L697" s="37" t="s">
        <v>92</v>
      </c>
      <c r="M697" s="37">
        <v>52006</v>
      </c>
      <c r="N697" s="37"/>
      <c r="O697" s="37">
        <v>6</v>
      </c>
      <c r="P697" s="37">
        <v>3</v>
      </c>
      <c r="R697">
        <v>1</v>
      </c>
    </row>
    <row r="698" spans="1:18" s="68" customFormat="1" ht="21" customHeight="1">
      <c r="A698" s="155">
        <v>199071</v>
      </c>
      <c r="B698" s="62">
        <v>12020</v>
      </c>
      <c r="C698" s="75" t="s">
        <v>95</v>
      </c>
      <c r="D698" s="37">
        <f t="shared" si="102"/>
        <v>883</v>
      </c>
      <c r="E698" s="147" t="s">
        <v>19</v>
      </c>
      <c r="F698" s="37">
        <f t="shared" si="103"/>
        <v>889</v>
      </c>
      <c r="G698" s="144" t="s">
        <v>20</v>
      </c>
      <c r="H698" s="62">
        <v>7008</v>
      </c>
      <c r="J698" s="144">
        <v>30</v>
      </c>
      <c r="K698" s="62">
        <v>1510</v>
      </c>
      <c r="L698" s="62" t="s">
        <v>96</v>
      </c>
      <c r="M698" s="62">
        <v>52019</v>
      </c>
      <c r="O698" s="62">
        <v>41</v>
      </c>
      <c r="P698" s="62">
        <v>16</v>
      </c>
    </row>
    <row r="699" spans="1:18" s="68" customFormat="1">
      <c r="A699" s="155">
        <v>199072</v>
      </c>
      <c r="B699" s="62">
        <v>12021</v>
      </c>
      <c r="C699" s="75" t="s">
        <v>110</v>
      </c>
      <c r="D699" s="37">
        <f t="shared" si="102"/>
        <v>883</v>
      </c>
      <c r="E699" s="147" t="s">
        <v>19</v>
      </c>
      <c r="F699" s="37">
        <f t="shared" si="103"/>
        <v>889</v>
      </c>
      <c r="G699" s="144" t="s">
        <v>20</v>
      </c>
      <c r="H699" s="62">
        <v>7009</v>
      </c>
      <c r="J699" s="144">
        <v>30</v>
      </c>
      <c r="K699" s="62">
        <v>1511</v>
      </c>
      <c r="L699" s="62" t="s">
        <v>111</v>
      </c>
      <c r="M699" s="62">
        <v>52020</v>
      </c>
      <c r="O699" s="62">
        <v>42</v>
      </c>
      <c r="P699" s="62">
        <v>17</v>
      </c>
    </row>
    <row r="700" spans="1:18" s="139" customFormat="1">
      <c r="A700" s="155">
        <v>199055</v>
      </c>
      <c r="B700" s="155">
        <v>12005</v>
      </c>
      <c r="C700" s="75" t="s">
        <v>112</v>
      </c>
      <c r="D700" s="37">
        <f>D699+7</f>
        <v>890</v>
      </c>
      <c r="E700" s="147" t="s">
        <v>19</v>
      </c>
      <c r="F700" s="37">
        <f>F699+7</f>
        <v>896</v>
      </c>
      <c r="G700" s="156" t="s">
        <v>20</v>
      </c>
      <c r="H700" s="155">
        <v>3101</v>
      </c>
      <c r="I700" s="155"/>
      <c r="J700" s="156">
        <v>30</v>
      </c>
      <c r="K700" s="155">
        <v>1011</v>
      </c>
      <c r="L700" s="155" t="s">
        <v>113</v>
      </c>
      <c r="M700" s="155">
        <v>52007</v>
      </c>
      <c r="N700" s="155"/>
      <c r="O700" s="155">
        <v>18</v>
      </c>
      <c r="P700" s="155">
        <v>6</v>
      </c>
      <c r="R700">
        <v>1</v>
      </c>
    </row>
    <row r="701" spans="1:18" s="139" customFormat="1">
      <c r="A701" s="155">
        <v>199056</v>
      </c>
      <c r="B701" s="155">
        <v>12009</v>
      </c>
      <c r="C701" s="75" t="s">
        <v>85</v>
      </c>
      <c r="D701" s="37">
        <f t="shared" ref="D701:D705" si="104">D700</f>
        <v>890</v>
      </c>
      <c r="E701" s="147" t="s">
        <v>19</v>
      </c>
      <c r="F701" s="37">
        <f t="shared" ref="F701:F705" si="105">F700</f>
        <v>896</v>
      </c>
      <c r="G701" s="156" t="s">
        <v>20</v>
      </c>
      <c r="K701" s="155">
        <v>1013</v>
      </c>
      <c r="L701" s="155" t="s">
        <v>86</v>
      </c>
      <c r="N701" s="139">
        <v>52011</v>
      </c>
      <c r="O701" s="155">
        <v>33</v>
      </c>
      <c r="P701" s="155"/>
      <c r="R701">
        <v>1</v>
      </c>
    </row>
    <row r="702" spans="1:18" s="139" customFormat="1">
      <c r="A702" s="155">
        <v>199057</v>
      </c>
      <c r="B702" s="155">
        <v>12006</v>
      </c>
      <c r="C702" s="75" t="s">
        <v>89</v>
      </c>
      <c r="D702" s="37">
        <f t="shared" si="104"/>
        <v>890</v>
      </c>
      <c r="E702" s="147" t="s">
        <v>19</v>
      </c>
      <c r="F702" s="37">
        <f t="shared" si="105"/>
        <v>896</v>
      </c>
      <c r="G702" s="156" t="s">
        <v>20</v>
      </c>
      <c r="K702" s="155">
        <v>1003</v>
      </c>
      <c r="L702" s="155" t="s">
        <v>90</v>
      </c>
      <c r="O702" s="155">
        <v>5</v>
      </c>
      <c r="P702" s="155"/>
      <c r="R702">
        <v>1</v>
      </c>
    </row>
    <row r="703" spans="1:18" s="139" customFormat="1">
      <c r="A703" s="155">
        <v>199058</v>
      </c>
      <c r="B703" s="155">
        <v>12010</v>
      </c>
      <c r="C703" s="75" t="s">
        <v>81</v>
      </c>
      <c r="D703" s="37">
        <f t="shared" si="104"/>
        <v>890</v>
      </c>
      <c r="E703" s="147" t="s">
        <v>19</v>
      </c>
      <c r="F703" s="37">
        <f t="shared" si="105"/>
        <v>896</v>
      </c>
      <c r="G703" s="156" t="s">
        <v>20</v>
      </c>
      <c r="H703" s="155">
        <v>990</v>
      </c>
      <c r="I703" s="155"/>
      <c r="J703" s="155">
        <v>30</v>
      </c>
      <c r="K703" s="155">
        <v>1015</v>
      </c>
      <c r="L703" s="155" t="s">
        <v>82</v>
      </c>
      <c r="M703" s="155">
        <v>52009</v>
      </c>
      <c r="N703" s="155"/>
      <c r="O703" s="155">
        <v>1</v>
      </c>
      <c r="P703" s="155">
        <v>1</v>
      </c>
      <c r="R703">
        <v>1</v>
      </c>
    </row>
    <row r="704" spans="1:18" s="1" customFormat="1">
      <c r="A704" s="155">
        <v>199059</v>
      </c>
      <c r="B704" s="37">
        <v>12018</v>
      </c>
      <c r="C704" s="75" t="s">
        <v>114</v>
      </c>
      <c r="D704" s="37">
        <f t="shared" si="104"/>
        <v>890</v>
      </c>
      <c r="E704" s="147" t="s">
        <v>19</v>
      </c>
      <c r="F704" s="37">
        <f t="shared" si="105"/>
        <v>896</v>
      </c>
      <c r="G704" s="147" t="s">
        <v>20</v>
      </c>
      <c r="H704" s="37">
        <v>7006</v>
      </c>
      <c r="J704" s="147">
        <v>30</v>
      </c>
      <c r="K704" s="37">
        <v>1508</v>
      </c>
      <c r="L704" s="37" t="s">
        <v>115</v>
      </c>
      <c r="M704" s="37">
        <v>52017</v>
      </c>
      <c r="O704" s="37">
        <v>39</v>
      </c>
      <c r="P704" s="37">
        <v>14</v>
      </c>
      <c r="R704">
        <v>1</v>
      </c>
    </row>
    <row r="705" spans="1:18" s="1" customFormat="1">
      <c r="A705" s="155">
        <v>199060</v>
      </c>
      <c r="B705" s="37">
        <v>12019</v>
      </c>
      <c r="C705" s="75" t="s">
        <v>116</v>
      </c>
      <c r="D705" s="37">
        <f t="shared" si="104"/>
        <v>890</v>
      </c>
      <c r="E705" s="147" t="s">
        <v>19</v>
      </c>
      <c r="F705" s="37">
        <f t="shared" si="105"/>
        <v>896</v>
      </c>
      <c r="G705" s="147" t="s">
        <v>20</v>
      </c>
      <c r="H705" s="37">
        <v>7007</v>
      </c>
      <c r="J705" s="147">
        <v>30</v>
      </c>
      <c r="K705" s="37">
        <v>1509</v>
      </c>
      <c r="L705" s="37" t="s">
        <v>117</v>
      </c>
      <c r="M705" s="37">
        <v>52018</v>
      </c>
      <c r="O705" s="37">
        <v>40</v>
      </c>
      <c r="P705" s="37">
        <v>15</v>
      </c>
      <c r="R705">
        <v>1</v>
      </c>
    </row>
    <row r="706" spans="1:18" s="68" customFormat="1">
      <c r="A706" s="155">
        <v>199061</v>
      </c>
      <c r="B706" s="62">
        <v>12013</v>
      </c>
      <c r="C706" s="75" t="s">
        <v>104</v>
      </c>
      <c r="D706" s="37">
        <f>D705+7</f>
        <v>897</v>
      </c>
      <c r="E706" s="147" t="s">
        <v>19</v>
      </c>
      <c r="F706" s="37">
        <f>F705+7</f>
        <v>903</v>
      </c>
      <c r="G706" s="144" t="s">
        <v>20</v>
      </c>
      <c r="H706" s="62">
        <v>7001</v>
      </c>
      <c r="J706" s="144">
        <v>30</v>
      </c>
      <c r="K706" s="62">
        <v>1503</v>
      </c>
      <c r="L706" s="62" t="s">
        <v>105</v>
      </c>
      <c r="M706" s="62">
        <v>52012</v>
      </c>
      <c r="N706" s="62"/>
      <c r="O706" s="62">
        <v>34</v>
      </c>
      <c r="P706" s="62">
        <v>9</v>
      </c>
      <c r="R706" s="68">
        <v>1</v>
      </c>
    </row>
    <row r="707" spans="1:18" s="68" customFormat="1">
      <c r="A707" s="155">
        <v>199062</v>
      </c>
      <c r="B707" s="62">
        <v>12014</v>
      </c>
      <c r="C707" s="75" t="s">
        <v>106</v>
      </c>
      <c r="D707" s="37">
        <f t="shared" ref="D707:D711" si="106">D706</f>
        <v>897</v>
      </c>
      <c r="E707" s="147" t="s">
        <v>19</v>
      </c>
      <c r="F707" s="37">
        <f t="shared" ref="F707:F711" si="107">F706</f>
        <v>903</v>
      </c>
      <c r="G707" s="144" t="s">
        <v>20</v>
      </c>
      <c r="H707" s="62">
        <v>7002</v>
      </c>
      <c r="J707" s="144">
        <v>30</v>
      </c>
      <c r="K707" s="62">
        <v>1504</v>
      </c>
      <c r="L707" s="62" t="s">
        <v>107</v>
      </c>
      <c r="M707" s="62">
        <v>52013</v>
      </c>
      <c r="O707" s="62">
        <v>35</v>
      </c>
      <c r="P707" s="62">
        <v>10</v>
      </c>
      <c r="R707" s="68">
        <v>1</v>
      </c>
    </row>
    <row r="708" spans="1:18" s="68" customFormat="1">
      <c r="A708" s="155">
        <v>199063</v>
      </c>
      <c r="B708" s="62">
        <v>12008</v>
      </c>
      <c r="C708" s="75" t="s">
        <v>118</v>
      </c>
      <c r="D708" s="37">
        <f t="shared" si="106"/>
        <v>897</v>
      </c>
      <c r="E708" s="147" t="s">
        <v>19</v>
      </c>
      <c r="F708" s="37">
        <f t="shared" si="107"/>
        <v>903</v>
      </c>
      <c r="G708" s="144" t="s">
        <v>20</v>
      </c>
      <c r="H708" s="62">
        <v>1002</v>
      </c>
      <c r="J708" s="144">
        <v>30</v>
      </c>
      <c r="K708" s="62">
        <v>1012</v>
      </c>
      <c r="L708" s="62" t="s">
        <v>119</v>
      </c>
      <c r="M708" s="62">
        <v>52008</v>
      </c>
      <c r="N708" s="62"/>
      <c r="O708" s="62">
        <v>22</v>
      </c>
      <c r="P708" s="62">
        <v>7</v>
      </c>
      <c r="R708" s="68">
        <v>1</v>
      </c>
    </row>
    <row r="709" spans="1:18" s="68" customFormat="1">
      <c r="A709" s="155">
        <v>199064</v>
      </c>
      <c r="B709" s="62">
        <v>12009</v>
      </c>
      <c r="C709" s="75" t="s">
        <v>85</v>
      </c>
      <c r="D709" s="37">
        <f t="shared" si="106"/>
        <v>897</v>
      </c>
      <c r="E709" s="147" t="s">
        <v>19</v>
      </c>
      <c r="F709" s="37">
        <f t="shared" si="107"/>
        <v>903</v>
      </c>
      <c r="G709" s="144" t="s">
        <v>20</v>
      </c>
      <c r="K709" s="62">
        <v>1013</v>
      </c>
      <c r="L709" s="62" t="s">
        <v>86</v>
      </c>
      <c r="N709" s="68">
        <v>52011</v>
      </c>
      <c r="O709" s="62">
        <v>33</v>
      </c>
      <c r="P709" s="62"/>
      <c r="R709" s="68">
        <v>1</v>
      </c>
    </row>
    <row r="710" spans="1:18" s="68" customFormat="1">
      <c r="A710" s="155">
        <v>199065</v>
      </c>
      <c r="B710" s="62">
        <v>12006</v>
      </c>
      <c r="C710" s="75" t="s">
        <v>89</v>
      </c>
      <c r="D710" s="37">
        <f t="shared" si="106"/>
        <v>897</v>
      </c>
      <c r="E710" s="147" t="s">
        <v>19</v>
      </c>
      <c r="F710" s="37">
        <f t="shared" si="107"/>
        <v>903</v>
      </c>
      <c r="G710" s="144" t="s">
        <v>20</v>
      </c>
      <c r="K710" s="62">
        <v>1003</v>
      </c>
      <c r="L710" s="62" t="s">
        <v>90</v>
      </c>
      <c r="O710" s="62">
        <v>5</v>
      </c>
      <c r="P710" s="62"/>
      <c r="R710" s="68">
        <v>1</v>
      </c>
    </row>
    <row r="711" spans="1:18" s="68" customFormat="1">
      <c r="A711" s="155">
        <v>199066</v>
      </c>
      <c r="B711" s="62">
        <v>12004</v>
      </c>
      <c r="C711" s="75" t="s">
        <v>91</v>
      </c>
      <c r="D711" s="37">
        <f t="shared" si="106"/>
        <v>897</v>
      </c>
      <c r="E711" s="147" t="s">
        <v>19</v>
      </c>
      <c r="F711" s="37">
        <f t="shared" si="107"/>
        <v>903</v>
      </c>
      <c r="G711" s="144" t="s">
        <v>20</v>
      </c>
      <c r="H711" s="62">
        <v>1003</v>
      </c>
      <c r="I711" s="62"/>
      <c r="J711" s="144">
        <v>30</v>
      </c>
      <c r="K711" s="62">
        <v>1010</v>
      </c>
      <c r="L711" s="62" t="s">
        <v>92</v>
      </c>
      <c r="M711" s="62">
        <v>52006</v>
      </c>
      <c r="N711" s="62"/>
      <c r="O711" s="62">
        <v>6</v>
      </c>
      <c r="P711" s="62">
        <v>3</v>
      </c>
      <c r="R711" s="68">
        <v>1</v>
      </c>
    </row>
    <row r="712" spans="1:18" s="1" customFormat="1">
      <c r="A712" s="155">
        <v>199067</v>
      </c>
      <c r="B712" s="37">
        <v>12008</v>
      </c>
      <c r="C712" s="75" t="s">
        <v>118</v>
      </c>
      <c r="D712" s="37">
        <f>D711+7</f>
        <v>904</v>
      </c>
      <c r="E712" s="147" t="s">
        <v>19</v>
      </c>
      <c r="F712" s="37">
        <f>F711+7</f>
        <v>910</v>
      </c>
      <c r="G712" s="147" t="s">
        <v>20</v>
      </c>
      <c r="H712" s="37">
        <v>1002</v>
      </c>
      <c r="J712" s="147">
        <v>30</v>
      </c>
      <c r="K712" s="37">
        <v>1012</v>
      </c>
      <c r="L712" s="37" t="s">
        <v>119</v>
      </c>
      <c r="M712" s="37">
        <v>52008</v>
      </c>
      <c r="N712" s="37"/>
      <c r="O712" s="37">
        <v>22</v>
      </c>
      <c r="P712" s="37">
        <v>7</v>
      </c>
      <c r="R712">
        <v>1</v>
      </c>
    </row>
    <row r="713" spans="1:18" s="1" customFormat="1">
      <c r="A713" s="155">
        <v>199068</v>
      </c>
      <c r="B713" s="37">
        <v>12009</v>
      </c>
      <c r="C713" s="75" t="s">
        <v>85</v>
      </c>
      <c r="D713" s="37">
        <f t="shared" ref="D713:D717" si="108">D712</f>
        <v>904</v>
      </c>
      <c r="E713" s="147" t="s">
        <v>19</v>
      </c>
      <c r="F713" s="37">
        <f t="shared" ref="F713:F717" si="109">F712</f>
        <v>910</v>
      </c>
      <c r="G713" s="147" t="s">
        <v>20</v>
      </c>
      <c r="K713" s="37">
        <v>1013</v>
      </c>
      <c r="L713" s="37" t="s">
        <v>86</v>
      </c>
      <c r="N713" s="1">
        <v>52011</v>
      </c>
      <c r="O713" s="37">
        <v>33</v>
      </c>
      <c r="P713" s="37"/>
      <c r="R713">
        <v>1</v>
      </c>
    </row>
    <row r="714" spans="1:18" s="1" customFormat="1">
      <c r="A714" s="155">
        <v>199069</v>
      </c>
      <c r="B714" s="37">
        <v>12006</v>
      </c>
      <c r="C714" s="75" t="s">
        <v>89</v>
      </c>
      <c r="D714" s="37">
        <f t="shared" si="108"/>
        <v>904</v>
      </c>
      <c r="E714" s="147" t="s">
        <v>19</v>
      </c>
      <c r="F714" s="37">
        <f t="shared" si="109"/>
        <v>910</v>
      </c>
      <c r="G714" s="147" t="s">
        <v>20</v>
      </c>
      <c r="K714" s="37">
        <v>1003</v>
      </c>
      <c r="L714" s="37" t="s">
        <v>90</v>
      </c>
      <c r="O714" s="37">
        <v>5</v>
      </c>
      <c r="P714" s="37"/>
      <c r="R714">
        <v>1</v>
      </c>
    </row>
    <row r="715" spans="1:18" s="1" customFormat="1">
      <c r="A715" s="155">
        <v>199070</v>
      </c>
      <c r="B715" s="37">
        <v>12004</v>
      </c>
      <c r="C715" s="75" t="s">
        <v>91</v>
      </c>
      <c r="D715" s="37">
        <f t="shared" si="108"/>
        <v>904</v>
      </c>
      <c r="E715" s="147" t="s">
        <v>19</v>
      </c>
      <c r="F715" s="37">
        <f t="shared" si="109"/>
        <v>910</v>
      </c>
      <c r="G715" s="147" t="s">
        <v>20</v>
      </c>
      <c r="H715" s="37">
        <v>1003</v>
      </c>
      <c r="I715" s="37"/>
      <c r="J715" s="147">
        <v>30</v>
      </c>
      <c r="K715" s="37">
        <v>1010</v>
      </c>
      <c r="L715" s="37" t="s">
        <v>92</v>
      </c>
      <c r="M715" s="37">
        <v>52006</v>
      </c>
      <c r="N715" s="37"/>
      <c r="O715" s="37">
        <v>6</v>
      </c>
      <c r="P715" s="37">
        <v>3</v>
      </c>
      <c r="R715">
        <v>1</v>
      </c>
    </row>
    <row r="716" spans="1:18" s="68" customFormat="1" ht="21" customHeight="1">
      <c r="A716" s="155">
        <v>199071</v>
      </c>
      <c r="B716" s="62">
        <v>12020</v>
      </c>
      <c r="C716" s="75" t="s">
        <v>95</v>
      </c>
      <c r="D716" s="37">
        <f t="shared" si="108"/>
        <v>904</v>
      </c>
      <c r="E716" s="147" t="s">
        <v>19</v>
      </c>
      <c r="F716" s="37">
        <f t="shared" si="109"/>
        <v>910</v>
      </c>
      <c r="G716" s="144" t="s">
        <v>20</v>
      </c>
      <c r="H716" s="62">
        <v>7008</v>
      </c>
      <c r="J716" s="144">
        <v>30</v>
      </c>
      <c r="K716" s="62">
        <v>1510</v>
      </c>
      <c r="L716" s="62" t="s">
        <v>96</v>
      </c>
      <c r="M716" s="62">
        <v>52019</v>
      </c>
      <c r="O716" s="62">
        <v>41</v>
      </c>
      <c r="P716" s="62">
        <v>16</v>
      </c>
    </row>
    <row r="717" spans="1:18" s="68" customFormat="1">
      <c r="A717" s="155">
        <v>199072</v>
      </c>
      <c r="B717" s="62">
        <v>12021</v>
      </c>
      <c r="C717" s="75" t="s">
        <v>110</v>
      </c>
      <c r="D717" s="37">
        <f t="shared" si="108"/>
        <v>904</v>
      </c>
      <c r="E717" s="147" t="s">
        <v>19</v>
      </c>
      <c r="F717" s="37">
        <f t="shared" si="109"/>
        <v>910</v>
      </c>
      <c r="G717" s="144" t="s">
        <v>20</v>
      </c>
      <c r="H717" s="62">
        <v>7009</v>
      </c>
      <c r="J717" s="144">
        <v>30</v>
      </c>
      <c r="K717" s="62">
        <v>1511</v>
      </c>
      <c r="L717" s="62" t="s">
        <v>111</v>
      </c>
      <c r="M717" s="62">
        <v>52020</v>
      </c>
      <c r="O717" s="62">
        <v>42</v>
      </c>
      <c r="P717" s="62">
        <v>17</v>
      </c>
    </row>
    <row r="718" spans="1:18" ht="24" customHeight="1">
      <c r="A718" s="12">
        <v>11990001</v>
      </c>
      <c r="B718" s="12">
        <v>12015</v>
      </c>
      <c r="C718" s="75" t="s">
        <v>120</v>
      </c>
      <c r="D718" s="12">
        <v>9999</v>
      </c>
      <c r="E718" s="66" t="s">
        <v>19</v>
      </c>
      <c r="F718" s="12">
        <v>9999</v>
      </c>
      <c r="G718" s="66" t="s">
        <v>20</v>
      </c>
      <c r="H718" s="12">
        <v>7003</v>
      </c>
      <c r="J718" s="66">
        <v>30</v>
      </c>
      <c r="K718" s="12">
        <v>1505</v>
      </c>
      <c r="L718" s="12" t="s">
        <v>121</v>
      </c>
      <c r="M718" s="12">
        <v>52014</v>
      </c>
      <c r="O718" s="12">
        <v>36</v>
      </c>
      <c r="P718" s="12">
        <v>11</v>
      </c>
      <c r="R718">
        <v>1</v>
      </c>
    </row>
    <row r="719" spans="1:18">
      <c r="A719" s="12">
        <v>11990002</v>
      </c>
      <c r="B719" s="12">
        <v>12016</v>
      </c>
      <c r="C719" s="75" t="s">
        <v>122</v>
      </c>
      <c r="D719" s="12">
        <v>9999</v>
      </c>
      <c r="E719" s="66" t="s">
        <v>19</v>
      </c>
      <c r="F719" s="12">
        <v>9999</v>
      </c>
      <c r="G719" s="66" t="s">
        <v>20</v>
      </c>
      <c r="H719" s="12">
        <v>7004</v>
      </c>
      <c r="J719" s="66">
        <v>30</v>
      </c>
      <c r="K719" s="12">
        <v>1506</v>
      </c>
      <c r="L719" s="12" t="s">
        <v>123</v>
      </c>
      <c r="M719" s="12">
        <v>52015</v>
      </c>
      <c r="N719" s="12"/>
      <c r="O719" s="12">
        <v>37</v>
      </c>
      <c r="P719" s="12">
        <v>12</v>
      </c>
      <c r="R719">
        <v>1</v>
      </c>
    </row>
    <row r="720" spans="1:18">
      <c r="A720" s="12">
        <v>11990003</v>
      </c>
      <c r="B720" s="12">
        <v>12017</v>
      </c>
      <c r="C720" s="75" t="s">
        <v>124</v>
      </c>
      <c r="D720" s="12">
        <v>9999</v>
      </c>
      <c r="E720" s="66" t="s">
        <v>19</v>
      </c>
      <c r="F720" s="12">
        <v>9999</v>
      </c>
      <c r="G720" s="66" t="s">
        <v>20</v>
      </c>
      <c r="H720" s="12">
        <v>7005</v>
      </c>
      <c r="J720" s="66">
        <v>30</v>
      </c>
      <c r="K720" s="12">
        <v>1507</v>
      </c>
      <c r="L720" s="12" t="s">
        <v>125</v>
      </c>
      <c r="M720" s="12">
        <v>52016</v>
      </c>
      <c r="O720" s="12">
        <v>38</v>
      </c>
      <c r="P720" s="12">
        <v>13</v>
      </c>
      <c r="R720">
        <v>1</v>
      </c>
    </row>
    <row r="721" spans="1:18">
      <c r="A721" s="12">
        <v>11990004</v>
      </c>
      <c r="B721" s="12">
        <v>12018</v>
      </c>
      <c r="C721" s="75" t="s">
        <v>114</v>
      </c>
      <c r="D721" s="12">
        <v>9999</v>
      </c>
      <c r="E721" s="66" t="s">
        <v>19</v>
      </c>
      <c r="F721" s="12">
        <v>9999</v>
      </c>
      <c r="G721" s="66" t="s">
        <v>20</v>
      </c>
      <c r="H721" s="12">
        <v>7006</v>
      </c>
      <c r="J721" s="66">
        <v>30</v>
      </c>
      <c r="K721" s="12">
        <v>1508</v>
      </c>
      <c r="L721" s="12" t="s">
        <v>115</v>
      </c>
      <c r="M721" s="12">
        <v>52017</v>
      </c>
      <c r="O721" s="12">
        <v>39</v>
      </c>
      <c r="P721" s="12">
        <v>14</v>
      </c>
      <c r="R721">
        <v>1</v>
      </c>
    </row>
    <row r="722" spans="1:18">
      <c r="A722" s="12">
        <v>11990005</v>
      </c>
      <c r="B722" s="12">
        <v>12019</v>
      </c>
      <c r="C722" s="75" t="s">
        <v>116</v>
      </c>
      <c r="D722" s="12">
        <v>9999</v>
      </c>
      <c r="E722" s="66" t="s">
        <v>19</v>
      </c>
      <c r="F722" s="12">
        <v>9999</v>
      </c>
      <c r="G722" s="66" t="s">
        <v>20</v>
      </c>
      <c r="H722" s="12">
        <v>7007</v>
      </c>
      <c r="J722" s="66">
        <v>30</v>
      </c>
      <c r="K722" s="12">
        <v>1509</v>
      </c>
      <c r="L722" s="12" t="s">
        <v>117</v>
      </c>
      <c r="M722" s="12">
        <v>52018</v>
      </c>
      <c r="O722" s="12">
        <v>40</v>
      </c>
      <c r="P722" s="12">
        <v>15</v>
      </c>
      <c r="R722">
        <v>1</v>
      </c>
    </row>
    <row r="723" spans="1:18">
      <c r="A723" s="12">
        <v>11990006</v>
      </c>
      <c r="B723" s="12">
        <v>12020</v>
      </c>
      <c r="C723" s="75" t="s">
        <v>95</v>
      </c>
      <c r="D723" s="12">
        <v>9999</v>
      </c>
      <c r="E723" s="66" t="s">
        <v>19</v>
      </c>
      <c r="F723" s="12">
        <v>9999</v>
      </c>
      <c r="G723" s="66" t="s">
        <v>20</v>
      </c>
      <c r="H723" s="12">
        <v>7008</v>
      </c>
      <c r="J723" s="66">
        <v>30</v>
      </c>
      <c r="K723" s="12">
        <v>1510</v>
      </c>
      <c r="L723" s="12" t="s">
        <v>96</v>
      </c>
      <c r="M723" s="12">
        <v>52019</v>
      </c>
      <c r="O723" s="12">
        <v>41</v>
      </c>
      <c r="P723" s="12">
        <v>16</v>
      </c>
    </row>
    <row r="724" spans="1:18">
      <c r="A724" s="12">
        <v>11990007</v>
      </c>
      <c r="B724" s="12">
        <v>12021</v>
      </c>
      <c r="C724" s="75" t="s">
        <v>110</v>
      </c>
      <c r="D724" s="12">
        <v>9999</v>
      </c>
      <c r="E724" s="66" t="s">
        <v>19</v>
      </c>
      <c r="F724" s="12">
        <v>9999</v>
      </c>
      <c r="G724" s="66" t="s">
        <v>20</v>
      </c>
      <c r="H724" s="12">
        <v>7009</v>
      </c>
      <c r="J724" s="66">
        <v>30</v>
      </c>
      <c r="K724" s="12">
        <v>1511</v>
      </c>
      <c r="L724" s="12" t="s">
        <v>111</v>
      </c>
      <c r="M724" s="12">
        <v>52020</v>
      </c>
      <c r="O724" s="12">
        <v>42</v>
      </c>
      <c r="P724" s="12">
        <v>17</v>
      </c>
    </row>
  </sheetData>
  <autoFilter ref="A1:R724" xr:uid="{00000000-0009-0000-0000-000002000000}"/>
  <conditionalFormatting sqref="O1:O11 O13:O17 O20:O23 O26:O28 O31:O34 O725:O1048576">
    <cfRule type="duplicateValues" dxfId="609" priority="583"/>
  </conditionalFormatting>
  <conditionalFormatting sqref="O12">
    <cfRule type="duplicateValues" dxfId="608" priority="111"/>
  </conditionalFormatting>
  <conditionalFormatting sqref="O18:O19">
    <cfRule type="duplicateValues" dxfId="607" priority="331"/>
  </conditionalFormatting>
  <conditionalFormatting sqref="O24">
    <cfRule type="duplicateValues" dxfId="606" priority="271"/>
  </conditionalFormatting>
  <conditionalFormatting sqref="O25">
    <cfRule type="duplicateValues" dxfId="605" priority="270"/>
  </conditionalFormatting>
  <conditionalFormatting sqref="O29:O30">
    <cfRule type="duplicateValues" dxfId="604" priority="269"/>
  </conditionalFormatting>
  <conditionalFormatting sqref="O35:O36">
    <cfRule type="duplicateValues" dxfId="603" priority="328"/>
  </conditionalFormatting>
  <conditionalFormatting sqref="O37">
    <cfRule type="duplicateValues" dxfId="602" priority="582"/>
  </conditionalFormatting>
  <conditionalFormatting sqref="O38">
    <cfRule type="duplicateValues" dxfId="601" priority="580"/>
  </conditionalFormatting>
  <conditionalFormatting sqref="O39:O40">
    <cfRule type="duplicateValues" dxfId="600" priority="579"/>
  </conditionalFormatting>
  <conditionalFormatting sqref="O41">
    <cfRule type="duplicateValues" dxfId="599" priority="268"/>
  </conditionalFormatting>
  <conditionalFormatting sqref="O42">
    <cfRule type="duplicateValues" dxfId="598" priority="267"/>
  </conditionalFormatting>
  <conditionalFormatting sqref="O43">
    <cfRule type="duplicateValues" dxfId="597" priority="578"/>
  </conditionalFormatting>
  <conditionalFormatting sqref="O44">
    <cfRule type="duplicateValues" dxfId="596" priority="577"/>
  </conditionalFormatting>
  <conditionalFormatting sqref="O45">
    <cfRule type="duplicateValues" dxfId="595" priority="576"/>
  </conditionalFormatting>
  <conditionalFormatting sqref="O46:O47">
    <cfRule type="duplicateValues" dxfId="594" priority="266"/>
  </conditionalFormatting>
  <conditionalFormatting sqref="O48">
    <cfRule type="duplicateValues" dxfId="593" priority="575"/>
  </conditionalFormatting>
  <conditionalFormatting sqref="O49">
    <cfRule type="duplicateValues" dxfId="592" priority="574"/>
  </conditionalFormatting>
  <conditionalFormatting sqref="O50">
    <cfRule type="duplicateValues" dxfId="591" priority="594"/>
  </conditionalFormatting>
  <conditionalFormatting sqref="O51:O52">
    <cfRule type="duplicateValues" dxfId="590" priority="325"/>
  </conditionalFormatting>
  <conditionalFormatting sqref="O53">
    <cfRule type="duplicateValues" dxfId="589" priority="571"/>
  </conditionalFormatting>
  <conditionalFormatting sqref="O54">
    <cfRule type="duplicateValues" dxfId="588" priority="570"/>
  </conditionalFormatting>
  <conditionalFormatting sqref="O55">
    <cfRule type="duplicateValues" dxfId="587" priority="569"/>
  </conditionalFormatting>
  <conditionalFormatting sqref="O56">
    <cfRule type="duplicateValues" dxfId="586" priority="265"/>
  </conditionalFormatting>
  <conditionalFormatting sqref="O57">
    <cfRule type="duplicateValues" dxfId="585" priority="264"/>
  </conditionalFormatting>
  <conditionalFormatting sqref="O58">
    <cfRule type="duplicateValues" dxfId="584" priority="567"/>
  </conditionalFormatting>
  <conditionalFormatting sqref="O59">
    <cfRule type="duplicateValues" dxfId="583" priority="566"/>
  </conditionalFormatting>
  <conditionalFormatting sqref="O60">
    <cfRule type="duplicateValues" dxfId="582" priority="565"/>
  </conditionalFormatting>
  <conditionalFormatting sqref="O61:O62">
    <cfRule type="duplicateValues" dxfId="581" priority="263"/>
  </conditionalFormatting>
  <conditionalFormatting sqref="O63">
    <cfRule type="duplicateValues" dxfId="580" priority="564"/>
  </conditionalFormatting>
  <conditionalFormatting sqref="O64">
    <cfRule type="duplicateValues" dxfId="579" priority="563"/>
  </conditionalFormatting>
  <conditionalFormatting sqref="O65:O66">
    <cfRule type="duplicateValues" dxfId="578" priority="322"/>
  </conditionalFormatting>
  <conditionalFormatting sqref="O67">
    <cfRule type="duplicateValues" dxfId="577" priority="562"/>
  </conditionalFormatting>
  <conditionalFormatting sqref="O68">
    <cfRule type="duplicateValues" dxfId="576" priority="561"/>
  </conditionalFormatting>
  <conditionalFormatting sqref="O69">
    <cfRule type="duplicateValues" dxfId="575" priority="560"/>
  </conditionalFormatting>
  <conditionalFormatting sqref="O70">
    <cfRule type="duplicateValues" dxfId="574" priority="262"/>
  </conditionalFormatting>
  <conditionalFormatting sqref="O71">
    <cfRule type="duplicateValues" dxfId="573" priority="261"/>
  </conditionalFormatting>
  <conditionalFormatting sqref="O72">
    <cfRule type="duplicateValues" dxfId="572" priority="559"/>
  </conditionalFormatting>
  <conditionalFormatting sqref="O73">
    <cfRule type="duplicateValues" dxfId="571" priority="558"/>
  </conditionalFormatting>
  <conditionalFormatting sqref="O74">
    <cfRule type="duplicateValues" dxfId="570" priority="557"/>
  </conditionalFormatting>
  <conditionalFormatting sqref="O75">
    <cfRule type="duplicateValues" dxfId="569" priority="556"/>
  </conditionalFormatting>
  <conditionalFormatting sqref="O76:O77">
    <cfRule type="duplicateValues" dxfId="568" priority="260"/>
  </conditionalFormatting>
  <conditionalFormatting sqref="O78">
    <cfRule type="duplicateValues" dxfId="567" priority="555"/>
  </conditionalFormatting>
  <conditionalFormatting sqref="O79">
    <cfRule type="duplicateValues" dxfId="566" priority="554"/>
  </conditionalFormatting>
  <conditionalFormatting sqref="O80">
    <cfRule type="duplicateValues" dxfId="565" priority="553"/>
  </conditionalFormatting>
  <conditionalFormatting sqref="O81:O82">
    <cfRule type="duplicateValues" dxfId="564" priority="319"/>
  </conditionalFormatting>
  <conditionalFormatting sqref="O83">
    <cfRule type="duplicateValues" dxfId="563" priority="551"/>
  </conditionalFormatting>
  <conditionalFormatting sqref="O84">
    <cfRule type="duplicateValues" dxfId="562" priority="550"/>
  </conditionalFormatting>
  <conditionalFormatting sqref="O85">
    <cfRule type="duplicateValues" dxfId="561" priority="549"/>
  </conditionalFormatting>
  <conditionalFormatting sqref="O86">
    <cfRule type="duplicateValues" dxfId="560" priority="259"/>
  </conditionalFormatting>
  <conditionalFormatting sqref="O87">
    <cfRule type="duplicateValues" dxfId="559" priority="258"/>
  </conditionalFormatting>
  <conditionalFormatting sqref="O88">
    <cfRule type="duplicateValues" dxfId="558" priority="547"/>
  </conditionalFormatting>
  <conditionalFormatting sqref="O89">
    <cfRule type="duplicateValues" dxfId="557" priority="546"/>
  </conditionalFormatting>
  <conditionalFormatting sqref="O90">
    <cfRule type="duplicateValues" dxfId="556" priority="545"/>
  </conditionalFormatting>
  <conditionalFormatting sqref="O91:O92">
    <cfRule type="duplicateValues" dxfId="555" priority="257"/>
  </conditionalFormatting>
  <conditionalFormatting sqref="O93">
    <cfRule type="duplicateValues" dxfId="554" priority="544"/>
  </conditionalFormatting>
  <conditionalFormatting sqref="O94">
    <cfRule type="duplicateValues" dxfId="553" priority="543"/>
  </conditionalFormatting>
  <conditionalFormatting sqref="O95">
    <cfRule type="duplicateValues" dxfId="552" priority="542"/>
  </conditionalFormatting>
  <conditionalFormatting sqref="O96:O97">
    <cfRule type="duplicateValues" dxfId="551" priority="316"/>
  </conditionalFormatting>
  <conditionalFormatting sqref="O98">
    <cfRule type="duplicateValues" dxfId="550" priority="541"/>
  </conditionalFormatting>
  <conditionalFormatting sqref="O99">
    <cfRule type="duplicateValues" dxfId="549" priority="540"/>
  </conditionalFormatting>
  <conditionalFormatting sqref="O100">
    <cfRule type="duplicateValues" dxfId="548" priority="539"/>
  </conditionalFormatting>
  <conditionalFormatting sqref="O101">
    <cfRule type="duplicateValues" dxfId="547" priority="256"/>
  </conditionalFormatting>
  <conditionalFormatting sqref="O102">
    <cfRule type="duplicateValues" dxfId="546" priority="255"/>
  </conditionalFormatting>
  <conditionalFormatting sqref="O103">
    <cfRule type="duplicateValues" dxfId="545" priority="538"/>
  </conditionalFormatting>
  <conditionalFormatting sqref="O104">
    <cfRule type="duplicateValues" dxfId="544" priority="537"/>
  </conditionalFormatting>
  <conditionalFormatting sqref="O105">
    <cfRule type="duplicateValues" dxfId="543" priority="536"/>
  </conditionalFormatting>
  <conditionalFormatting sqref="O106:O107">
    <cfRule type="duplicateValues" dxfId="542" priority="254"/>
  </conditionalFormatting>
  <conditionalFormatting sqref="O108">
    <cfRule type="duplicateValues" dxfId="541" priority="535"/>
  </conditionalFormatting>
  <conditionalFormatting sqref="O109">
    <cfRule type="duplicateValues" dxfId="540" priority="534"/>
  </conditionalFormatting>
  <conditionalFormatting sqref="O110">
    <cfRule type="duplicateValues" dxfId="539" priority="533"/>
  </conditionalFormatting>
  <conditionalFormatting sqref="O111:O112">
    <cfRule type="duplicateValues" dxfId="538" priority="313"/>
  </conditionalFormatting>
  <conditionalFormatting sqref="O113">
    <cfRule type="duplicateValues" dxfId="537" priority="532"/>
  </conditionalFormatting>
  <conditionalFormatting sqref="O114">
    <cfRule type="duplicateValues" dxfId="536" priority="531"/>
  </conditionalFormatting>
  <conditionalFormatting sqref="O115">
    <cfRule type="duplicateValues" dxfId="535" priority="530"/>
  </conditionalFormatting>
  <conditionalFormatting sqref="O116">
    <cfRule type="duplicateValues" dxfId="534" priority="253"/>
  </conditionalFormatting>
  <conditionalFormatting sqref="O117">
    <cfRule type="duplicateValues" dxfId="533" priority="252"/>
  </conditionalFormatting>
  <conditionalFormatting sqref="O118">
    <cfRule type="duplicateValues" dxfId="532" priority="529"/>
  </conditionalFormatting>
  <conditionalFormatting sqref="O119">
    <cfRule type="duplicateValues" dxfId="531" priority="528"/>
  </conditionalFormatting>
  <conditionalFormatting sqref="O120">
    <cfRule type="duplicateValues" dxfId="530" priority="527"/>
  </conditionalFormatting>
  <conditionalFormatting sqref="O121:O122">
    <cfRule type="duplicateValues" dxfId="529" priority="251"/>
  </conditionalFormatting>
  <conditionalFormatting sqref="O123">
    <cfRule type="duplicateValues" dxfId="528" priority="526"/>
  </conditionalFormatting>
  <conditionalFormatting sqref="O124">
    <cfRule type="duplicateValues" dxfId="527" priority="525"/>
  </conditionalFormatting>
  <conditionalFormatting sqref="O125">
    <cfRule type="duplicateValues" dxfId="526" priority="524"/>
  </conditionalFormatting>
  <conditionalFormatting sqref="O126:O127">
    <cfRule type="duplicateValues" dxfId="525" priority="310"/>
  </conditionalFormatting>
  <conditionalFormatting sqref="O128">
    <cfRule type="duplicateValues" dxfId="524" priority="523"/>
  </conditionalFormatting>
  <conditionalFormatting sqref="O129">
    <cfRule type="duplicateValues" dxfId="523" priority="522"/>
  </conditionalFormatting>
  <conditionalFormatting sqref="O130">
    <cfRule type="duplicateValues" dxfId="522" priority="521"/>
  </conditionalFormatting>
  <conditionalFormatting sqref="O131">
    <cfRule type="duplicateValues" dxfId="521" priority="250"/>
  </conditionalFormatting>
  <conditionalFormatting sqref="O132">
    <cfRule type="duplicateValues" dxfId="520" priority="249"/>
  </conditionalFormatting>
  <conditionalFormatting sqref="O133">
    <cfRule type="duplicateValues" dxfId="519" priority="520"/>
  </conditionalFormatting>
  <conditionalFormatting sqref="O134">
    <cfRule type="duplicateValues" dxfId="518" priority="519"/>
  </conditionalFormatting>
  <conditionalFormatting sqref="O135">
    <cfRule type="duplicateValues" dxfId="517" priority="518"/>
  </conditionalFormatting>
  <conditionalFormatting sqref="O136:O137">
    <cfRule type="duplicateValues" dxfId="516" priority="248"/>
  </conditionalFormatting>
  <conditionalFormatting sqref="O138">
    <cfRule type="duplicateValues" dxfId="515" priority="517"/>
  </conditionalFormatting>
  <conditionalFormatting sqref="O139">
    <cfRule type="duplicateValues" dxfId="514" priority="516"/>
  </conditionalFormatting>
  <conditionalFormatting sqref="O140">
    <cfRule type="duplicateValues" dxfId="513" priority="515"/>
  </conditionalFormatting>
  <conditionalFormatting sqref="O141:O142">
    <cfRule type="duplicateValues" dxfId="512" priority="307"/>
  </conditionalFormatting>
  <conditionalFormatting sqref="O143">
    <cfRule type="duplicateValues" dxfId="511" priority="514"/>
  </conditionalFormatting>
  <conditionalFormatting sqref="O144">
    <cfRule type="duplicateValues" dxfId="510" priority="513"/>
  </conditionalFormatting>
  <conditionalFormatting sqref="O145">
    <cfRule type="duplicateValues" dxfId="509" priority="512"/>
  </conditionalFormatting>
  <conditionalFormatting sqref="O146">
    <cfRule type="duplicateValues" dxfId="508" priority="247"/>
  </conditionalFormatting>
  <conditionalFormatting sqref="O147">
    <cfRule type="duplicateValues" dxfId="507" priority="246"/>
  </conditionalFormatting>
  <conditionalFormatting sqref="O148">
    <cfRule type="duplicateValues" dxfId="506" priority="511"/>
  </conditionalFormatting>
  <conditionalFormatting sqref="O149">
    <cfRule type="duplicateValues" dxfId="505" priority="510"/>
  </conditionalFormatting>
  <conditionalFormatting sqref="O150">
    <cfRule type="duplicateValues" dxfId="504" priority="509"/>
  </conditionalFormatting>
  <conditionalFormatting sqref="O151:O152">
    <cfRule type="duplicateValues" dxfId="503" priority="244"/>
  </conditionalFormatting>
  <conditionalFormatting sqref="O153">
    <cfRule type="duplicateValues" dxfId="502" priority="508"/>
  </conditionalFormatting>
  <conditionalFormatting sqref="O154">
    <cfRule type="duplicateValues" dxfId="501" priority="507"/>
  </conditionalFormatting>
  <conditionalFormatting sqref="O155">
    <cfRule type="duplicateValues" dxfId="500" priority="506"/>
  </conditionalFormatting>
  <conditionalFormatting sqref="O156:O157">
    <cfRule type="duplicateValues" dxfId="499" priority="304"/>
  </conditionalFormatting>
  <conditionalFormatting sqref="O158">
    <cfRule type="duplicateValues" dxfId="498" priority="505"/>
  </conditionalFormatting>
  <conditionalFormatting sqref="O159">
    <cfRule type="duplicateValues" dxfId="497" priority="504"/>
  </conditionalFormatting>
  <conditionalFormatting sqref="O160">
    <cfRule type="duplicateValues" dxfId="496" priority="503"/>
  </conditionalFormatting>
  <conditionalFormatting sqref="O161">
    <cfRule type="duplicateValues" dxfId="495" priority="243"/>
  </conditionalFormatting>
  <conditionalFormatting sqref="O162">
    <cfRule type="duplicateValues" dxfId="494" priority="242"/>
  </conditionalFormatting>
  <conditionalFormatting sqref="O163">
    <cfRule type="duplicateValues" dxfId="493" priority="502"/>
  </conditionalFormatting>
  <conditionalFormatting sqref="O164">
    <cfRule type="duplicateValues" dxfId="492" priority="501"/>
  </conditionalFormatting>
  <conditionalFormatting sqref="O165">
    <cfRule type="duplicateValues" dxfId="491" priority="500"/>
  </conditionalFormatting>
  <conditionalFormatting sqref="O166:O167">
    <cfRule type="duplicateValues" dxfId="490" priority="241"/>
  </conditionalFormatting>
  <conditionalFormatting sqref="O168">
    <cfRule type="duplicateValues" dxfId="489" priority="493"/>
  </conditionalFormatting>
  <conditionalFormatting sqref="O169">
    <cfRule type="duplicateValues" dxfId="488" priority="492"/>
  </conditionalFormatting>
  <conditionalFormatting sqref="O170">
    <cfRule type="duplicateValues" dxfId="487" priority="491"/>
  </conditionalFormatting>
  <conditionalFormatting sqref="O171:O172">
    <cfRule type="duplicateValues" dxfId="486" priority="301"/>
  </conditionalFormatting>
  <conditionalFormatting sqref="O173">
    <cfRule type="duplicateValues" dxfId="485" priority="490"/>
  </conditionalFormatting>
  <conditionalFormatting sqref="O174">
    <cfRule type="duplicateValues" dxfId="484" priority="489"/>
  </conditionalFormatting>
  <conditionalFormatting sqref="O175">
    <cfRule type="duplicateValues" dxfId="483" priority="488"/>
  </conditionalFormatting>
  <conditionalFormatting sqref="O176">
    <cfRule type="duplicateValues" dxfId="482" priority="240"/>
  </conditionalFormatting>
  <conditionalFormatting sqref="O177">
    <cfRule type="duplicateValues" dxfId="481" priority="239"/>
  </conditionalFormatting>
  <conditionalFormatting sqref="O178">
    <cfRule type="duplicateValues" dxfId="480" priority="487"/>
  </conditionalFormatting>
  <conditionalFormatting sqref="O179">
    <cfRule type="duplicateValues" dxfId="479" priority="486"/>
  </conditionalFormatting>
  <conditionalFormatting sqref="O180">
    <cfRule type="duplicateValues" dxfId="478" priority="485"/>
  </conditionalFormatting>
  <conditionalFormatting sqref="O181:O182">
    <cfRule type="duplicateValues" dxfId="477" priority="238"/>
  </conditionalFormatting>
  <conditionalFormatting sqref="O183">
    <cfRule type="duplicateValues" dxfId="476" priority="484"/>
  </conditionalFormatting>
  <conditionalFormatting sqref="O184">
    <cfRule type="duplicateValues" dxfId="475" priority="483"/>
  </conditionalFormatting>
  <conditionalFormatting sqref="O185">
    <cfRule type="duplicateValues" dxfId="474" priority="482"/>
  </conditionalFormatting>
  <conditionalFormatting sqref="O186:O187">
    <cfRule type="duplicateValues" dxfId="473" priority="298"/>
  </conditionalFormatting>
  <conditionalFormatting sqref="O188">
    <cfRule type="duplicateValues" dxfId="472" priority="481"/>
  </conditionalFormatting>
  <conditionalFormatting sqref="O189">
    <cfRule type="duplicateValues" dxfId="471" priority="480"/>
  </conditionalFormatting>
  <conditionalFormatting sqref="O190">
    <cfRule type="duplicateValues" dxfId="470" priority="479"/>
  </conditionalFormatting>
  <conditionalFormatting sqref="O191">
    <cfRule type="duplicateValues" dxfId="469" priority="237"/>
  </conditionalFormatting>
  <conditionalFormatting sqref="O192">
    <cfRule type="duplicateValues" dxfId="468" priority="236"/>
  </conditionalFormatting>
  <conditionalFormatting sqref="O193">
    <cfRule type="duplicateValues" dxfId="467" priority="478"/>
  </conditionalFormatting>
  <conditionalFormatting sqref="O194">
    <cfRule type="duplicateValues" dxfId="466" priority="477"/>
  </conditionalFormatting>
  <conditionalFormatting sqref="O195">
    <cfRule type="duplicateValues" dxfId="465" priority="476"/>
  </conditionalFormatting>
  <conditionalFormatting sqref="O196:O197">
    <cfRule type="duplicateValues" dxfId="464" priority="235"/>
  </conditionalFormatting>
  <conditionalFormatting sqref="O198">
    <cfRule type="duplicateValues" dxfId="463" priority="475"/>
  </conditionalFormatting>
  <conditionalFormatting sqref="O199">
    <cfRule type="duplicateValues" dxfId="462" priority="474"/>
  </conditionalFormatting>
  <conditionalFormatting sqref="O200">
    <cfRule type="duplicateValues" dxfId="461" priority="473"/>
  </conditionalFormatting>
  <conditionalFormatting sqref="O201:O202">
    <cfRule type="duplicateValues" dxfId="460" priority="295"/>
  </conditionalFormatting>
  <conditionalFormatting sqref="O203">
    <cfRule type="duplicateValues" dxfId="459" priority="472"/>
  </conditionalFormatting>
  <conditionalFormatting sqref="O204">
    <cfRule type="duplicateValues" dxfId="458" priority="471"/>
  </conditionalFormatting>
  <conditionalFormatting sqref="O205">
    <cfRule type="duplicateValues" dxfId="457" priority="470"/>
  </conditionalFormatting>
  <conditionalFormatting sqref="O206">
    <cfRule type="duplicateValues" dxfId="456" priority="234"/>
  </conditionalFormatting>
  <conditionalFormatting sqref="O207">
    <cfRule type="duplicateValues" dxfId="455" priority="233"/>
  </conditionalFormatting>
  <conditionalFormatting sqref="O208">
    <cfRule type="duplicateValues" dxfId="454" priority="469"/>
  </conditionalFormatting>
  <conditionalFormatting sqref="O209">
    <cfRule type="duplicateValues" dxfId="453" priority="468"/>
  </conditionalFormatting>
  <conditionalFormatting sqref="O210">
    <cfRule type="duplicateValues" dxfId="452" priority="467"/>
  </conditionalFormatting>
  <conditionalFormatting sqref="O211:O212">
    <cfRule type="duplicateValues" dxfId="451" priority="232"/>
  </conditionalFormatting>
  <conditionalFormatting sqref="O213">
    <cfRule type="duplicateValues" dxfId="450" priority="466"/>
  </conditionalFormatting>
  <conditionalFormatting sqref="O214">
    <cfRule type="duplicateValues" dxfId="449" priority="465"/>
  </conditionalFormatting>
  <conditionalFormatting sqref="O215">
    <cfRule type="duplicateValues" dxfId="448" priority="464"/>
  </conditionalFormatting>
  <conditionalFormatting sqref="O216:O217">
    <cfRule type="duplicateValues" dxfId="447" priority="292"/>
  </conditionalFormatting>
  <conditionalFormatting sqref="O218">
    <cfRule type="duplicateValues" dxfId="446" priority="463"/>
  </conditionalFormatting>
  <conditionalFormatting sqref="O219">
    <cfRule type="duplicateValues" dxfId="445" priority="462"/>
  </conditionalFormatting>
  <conditionalFormatting sqref="O220">
    <cfRule type="duplicateValues" dxfId="444" priority="461"/>
  </conditionalFormatting>
  <conditionalFormatting sqref="O221">
    <cfRule type="duplicateValues" dxfId="443" priority="231"/>
  </conditionalFormatting>
  <conditionalFormatting sqref="O222">
    <cfRule type="duplicateValues" dxfId="442" priority="230"/>
  </conditionalFormatting>
  <conditionalFormatting sqref="O223">
    <cfRule type="duplicateValues" dxfId="441" priority="460"/>
  </conditionalFormatting>
  <conditionalFormatting sqref="O224">
    <cfRule type="duplicateValues" dxfId="440" priority="459"/>
  </conditionalFormatting>
  <conditionalFormatting sqref="O225">
    <cfRule type="duplicateValues" dxfId="439" priority="458"/>
  </conditionalFormatting>
  <conditionalFormatting sqref="O226:O227">
    <cfRule type="duplicateValues" dxfId="438" priority="229"/>
  </conditionalFormatting>
  <conditionalFormatting sqref="O228">
    <cfRule type="duplicateValues" dxfId="437" priority="457"/>
  </conditionalFormatting>
  <conditionalFormatting sqref="O229">
    <cfRule type="duplicateValues" dxfId="436" priority="456"/>
  </conditionalFormatting>
  <conditionalFormatting sqref="O230">
    <cfRule type="duplicateValues" dxfId="435" priority="455"/>
  </conditionalFormatting>
  <conditionalFormatting sqref="O231:O232">
    <cfRule type="duplicateValues" dxfId="434" priority="289"/>
  </conditionalFormatting>
  <conditionalFormatting sqref="O233">
    <cfRule type="duplicateValues" dxfId="433" priority="454"/>
  </conditionalFormatting>
  <conditionalFormatting sqref="O234">
    <cfRule type="duplicateValues" dxfId="432" priority="453"/>
  </conditionalFormatting>
  <conditionalFormatting sqref="O235">
    <cfRule type="duplicateValues" dxfId="431" priority="452"/>
  </conditionalFormatting>
  <conditionalFormatting sqref="O236">
    <cfRule type="duplicateValues" dxfId="430" priority="228"/>
  </conditionalFormatting>
  <conditionalFormatting sqref="O237">
    <cfRule type="duplicateValues" dxfId="429" priority="227"/>
  </conditionalFormatting>
  <conditionalFormatting sqref="O238">
    <cfRule type="duplicateValues" dxfId="428" priority="451"/>
  </conditionalFormatting>
  <conditionalFormatting sqref="O239">
    <cfRule type="duplicateValues" dxfId="427" priority="450"/>
  </conditionalFormatting>
  <conditionalFormatting sqref="O240">
    <cfRule type="duplicateValues" dxfId="426" priority="449"/>
  </conditionalFormatting>
  <conditionalFormatting sqref="O241:O242">
    <cfRule type="duplicateValues" dxfId="425" priority="226"/>
  </conditionalFormatting>
  <conditionalFormatting sqref="O243">
    <cfRule type="duplicateValues" dxfId="424" priority="448"/>
  </conditionalFormatting>
  <conditionalFormatting sqref="O244">
    <cfRule type="duplicateValues" dxfId="423" priority="447"/>
  </conditionalFormatting>
  <conditionalFormatting sqref="O245">
    <cfRule type="duplicateValues" dxfId="422" priority="446"/>
  </conditionalFormatting>
  <conditionalFormatting sqref="O246:O247">
    <cfRule type="duplicateValues" dxfId="421" priority="286"/>
  </conditionalFormatting>
  <conditionalFormatting sqref="O248">
    <cfRule type="duplicateValues" dxfId="420" priority="445"/>
  </conditionalFormatting>
  <conditionalFormatting sqref="O249">
    <cfRule type="duplicateValues" dxfId="419" priority="444"/>
  </conditionalFormatting>
  <conditionalFormatting sqref="O250">
    <cfRule type="duplicateValues" dxfId="418" priority="443"/>
  </conditionalFormatting>
  <conditionalFormatting sqref="O251">
    <cfRule type="duplicateValues" dxfId="417" priority="225"/>
  </conditionalFormatting>
  <conditionalFormatting sqref="O252">
    <cfRule type="duplicateValues" dxfId="416" priority="224"/>
  </conditionalFormatting>
  <conditionalFormatting sqref="O253">
    <cfRule type="duplicateValues" dxfId="415" priority="442"/>
  </conditionalFormatting>
  <conditionalFormatting sqref="O254">
    <cfRule type="duplicateValues" dxfId="414" priority="441"/>
  </conditionalFormatting>
  <conditionalFormatting sqref="O255">
    <cfRule type="duplicateValues" dxfId="413" priority="440"/>
  </conditionalFormatting>
  <conditionalFormatting sqref="O256:O257">
    <cfRule type="duplicateValues" dxfId="412" priority="223"/>
  </conditionalFormatting>
  <conditionalFormatting sqref="O258">
    <cfRule type="duplicateValues" dxfId="411" priority="439"/>
  </conditionalFormatting>
  <conditionalFormatting sqref="O259">
    <cfRule type="duplicateValues" dxfId="410" priority="438"/>
  </conditionalFormatting>
  <conditionalFormatting sqref="O260">
    <cfRule type="duplicateValues" dxfId="409" priority="437"/>
  </conditionalFormatting>
  <conditionalFormatting sqref="O261:O262">
    <cfRule type="duplicateValues" dxfId="408" priority="283"/>
  </conditionalFormatting>
  <conditionalFormatting sqref="O263">
    <cfRule type="duplicateValues" dxfId="407" priority="436"/>
  </conditionalFormatting>
  <conditionalFormatting sqref="O264">
    <cfRule type="duplicateValues" dxfId="406" priority="435"/>
  </conditionalFormatting>
  <conditionalFormatting sqref="O265">
    <cfRule type="duplicateValues" dxfId="405" priority="434"/>
  </conditionalFormatting>
  <conditionalFormatting sqref="O266">
    <cfRule type="duplicateValues" dxfId="404" priority="222"/>
  </conditionalFormatting>
  <conditionalFormatting sqref="O267">
    <cfRule type="duplicateValues" dxfId="403" priority="221"/>
  </conditionalFormatting>
  <conditionalFormatting sqref="O268">
    <cfRule type="duplicateValues" dxfId="402" priority="433"/>
  </conditionalFormatting>
  <conditionalFormatting sqref="O269">
    <cfRule type="duplicateValues" dxfId="401" priority="432"/>
  </conditionalFormatting>
  <conditionalFormatting sqref="O270">
    <cfRule type="duplicateValues" dxfId="400" priority="431"/>
  </conditionalFormatting>
  <conditionalFormatting sqref="O271:O272">
    <cfRule type="duplicateValues" dxfId="399" priority="220"/>
  </conditionalFormatting>
  <conditionalFormatting sqref="O273">
    <cfRule type="duplicateValues" dxfId="398" priority="430"/>
  </conditionalFormatting>
  <conditionalFormatting sqref="O274">
    <cfRule type="duplicateValues" dxfId="397" priority="429"/>
  </conditionalFormatting>
  <conditionalFormatting sqref="O275">
    <cfRule type="duplicateValues" dxfId="396" priority="428"/>
  </conditionalFormatting>
  <conditionalFormatting sqref="O276:O277">
    <cfRule type="duplicateValues" dxfId="395" priority="281"/>
  </conditionalFormatting>
  <conditionalFormatting sqref="O278">
    <cfRule type="duplicateValues" dxfId="394" priority="427"/>
  </conditionalFormatting>
  <conditionalFormatting sqref="O279">
    <cfRule type="duplicateValues" dxfId="393" priority="426"/>
  </conditionalFormatting>
  <conditionalFormatting sqref="O280">
    <cfRule type="duplicateValues" dxfId="392" priority="425"/>
  </conditionalFormatting>
  <conditionalFormatting sqref="O281">
    <cfRule type="duplicateValues" dxfId="391" priority="219"/>
  </conditionalFormatting>
  <conditionalFormatting sqref="O282">
    <cfRule type="duplicateValues" dxfId="390" priority="218"/>
  </conditionalFormatting>
  <conditionalFormatting sqref="O283">
    <cfRule type="duplicateValues" dxfId="389" priority="424"/>
  </conditionalFormatting>
  <conditionalFormatting sqref="O284">
    <cfRule type="duplicateValues" dxfId="388" priority="423"/>
  </conditionalFormatting>
  <conditionalFormatting sqref="O285">
    <cfRule type="duplicateValues" dxfId="387" priority="422"/>
  </conditionalFormatting>
  <conditionalFormatting sqref="O286:O287">
    <cfRule type="duplicateValues" dxfId="386" priority="217"/>
  </conditionalFormatting>
  <conditionalFormatting sqref="O288">
    <cfRule type="duplicateValues" dxfId="385" priority="421"/>
  </conditionalFormatting>
  <conditionalFormatting sqref="O289">
    <cfRule type="duplicateValues" dxfId="384" priority="420"/>
  </conditionalFormatting>
  <conditionalFormatting sqref="O290">
    <cfRule type="duplicateValues" dxfId="383" priority="419"/>
  </conditionalFormatting>
  <conditionalFormatting sqref="O291:O292">
    <cfRule type="duplicateValues" dxfId="382" priority="280"/>
  </conditionalFormatting>
  <conditionalFormatting sqref="O293">
    <cfRule type="duplicateValues" dxfId="381" priority="418"/>
  </conditionalFormatting>
  <conditionalFormatting sqref="O294">
    <cfRule type="duplicateValues" dxfId="380" priority="417"/>
  </conditionalFormatting>
  <conditionalFormatting sqref="O295">
    <cfRule type="duplicateValues" dxfId="379" priority="416"/>
  </conditionalFormatting>
  <conditionalFormatting sqref="O296">
    <cfRule type="duplicateValues" dxfId="378" priority="216"/>
  </conditionalFormatting>
  <conditionalFormatting sqref="O297">
    <cfRule type="duplicateValues" dxfId="377" priority="215"/>
  </conditionalFormatting>
  <conditionalFormatting sqref="O298">
    <cfRule type="duplicateValues" dxfId="376" priority="415"/>
  </conditionalFormatting>
  <conditionalFormatting sqref="O299">
    <cfRule type="duplicateValues" dxfId="375" priority="414"/>
  </conditionalFormatting>
  <conditionalFormatting sqref="O300">
    <cfRule type="duplicateValues" dxfId="374" priority="413"/>
  </conditionalFormatting>
  <conditionalFormatting sqref="O301:O302">
    <cfRule type="duplicateValues" dxfId="373" priority="214"/>
  </conditionalFormatting>
  <conditionalFormatting sqref="O303">
    <cfRule type="duplicateValues" dxfId="372" priority="412"/>
  </conditionalFormatting>
  <conditionalFormatting sqref="O304">
    <cfRule type="duplicateValues" dxfId="371" priority="411"/>
  </conditionalFormatting>
  <conditionalFormatting sqref="O305">
    <cfRule type="duplicateValues" dxfId="370" priority="410"/>
  </conditionalFormatting>
  <conditionalFormatting sqref="O306:O307">
    <cfRule type="duplicateValues" dxfId="369" priority="279"/>
  </conditionalFormatting>
  <conditionalFormatting sqref="O308">
    <cfRule type="duplicateValues" dxfId="368" priority="409"/>
  </conditionalFormatting>
  <conditionalFormatting sqref="O309">
    <cfRule type="duplicateValues" dxfId="367" priority="408"/>
  </conditionalFormatting>
  <conditionalFormatting sqref="O310">
    <cfRule type="duplicateValues" dxfId="366" priority="407"/>
  </conditionalFormatting>
  <conditionalFormatting sqref="O311">
    <cfRule type="duplicateValues" dxfId="365" priority="213"/>
  </conditionalFormatting>
  <conditionalFormatting sqref="O312">
    <cfRule type="duplicateValues" dxfId="364" priority="212"/>
  </conditionalFormatting>
  <conditionalFormatting sqref="O313">
    <cfRule type="duplicateValues" dxfId="363" priority="397"/>
  </conditionalFormatting>
  <conditionalFormatting sqref="O314">
    <cfRule type="duplicateValues" dxfId="362" priority="396"/>
  </conditionalFormatting>
  <conditionalFormatting sqref="O315">
    <cfRule type="duplicateValues" dxfId="361" priority="395"/>
  </conditionalFormatting>
  <conditionalFormatting sqref="O316:O317">
    <cfRule type="duplicateValues" dxfId="360" priority="211"/>
  </conditionalFormatting>
  <conditionalFormatting sqref="O318">
    <cfRule type="duplicateValues" dxfId="359" priority="394"/>
  </conditionalFormatting>
  <conditionalFormatting sqref="O319">
    <cfRule type="duplicateValues" dxfId="358" priority="393"/>
  </conditionalFormatting>
  <conditionalFormatting sqref="O320">
    <cfRule type="duplicateValues" dxfId="357" priority="392"/>
  </conditionalFormatting>
  <conditionalFormatting sqref="O321:O322">
    <cfRule type="duplicateValues" dxfId="356" priority="278"/>
  </conditionalFormatting>
  <conditionalFormatting sqref="O323">
    <cfRule type="duplicateValues" dxfId="355" priority="391"/>
  </conditionalFormatting>
  <conditionalFormatting sqref="O324">
    <cfRule type="duplicateValues" dxfId="354" priority="390"/>
  </conditionalFormatting>
  <conditionalFormatting sqref="O325">
    <cfRule type="duplicateValues" dxfId="353" priority="389"/>
  </conditionalFormatting>
  <conditionalFormatting sqref="O326">
    <cfRule type="duplicateValues" dxfId="352" priority="210"/>
  </conditionalFormatting>
  <conditionalFormatting sqref="O327">
    <cfRule type="duplicateValues" dxfId="351" priority="209"/>
  </conditionalFormatting>
  <conditionalFormatting sqref="O328">
    <cfRule type="duplicateValues" dxfId="350" priority="388"/>
  </conditionalFormatting>
  <conditionalFormatting sqref="O329">
    <cfRule type="duplicateValues" dxfId="349" priority="387"/>
  </conditionalFormatting>
  <conditionalFormatting sqref="O330">
    <cfRule type="duplicateValues" dxfId="348" priority="386"/>
  </conditionalFormatting>
  <conditionalFormatting sqref="O331:O332">
    <cfRule type="duplicateValues" dxfId="347" priority="208"/>
  </conditionalFormatting>
  <conditionalFormatting sqref="O333">
    <cfRule type="duplicateValues" dxfId="346" priority="385"/>
  </conditionalFormatting>
  <conditionalFormatting sqref="O334">
    <cfRule type="duplicateValues" dxfId="345" priority="384"/>
  </conditionalFormatting>
  <conditionalFormatting sqref="O335">
    <cfRule type="duplicateValues" dxfId="344" priority="383"/>
  </conditionalFormatting>
  <conditionalFormatting sqref="O336:O337">
    <cfRule type="duplicateValues" dxfId="343" priority="277"/>
  </conditionalFormatting>
  <conditionalFormatting sqref="O338">
    <cfRule type="duplicateValues" dxfId="342" priority="382"/>
  </conditionalFormatting>
  <conditionalFormatting sqref="O339">
    <cfRule type="duplicateValues" dxfId="341" priority="381"/>
  </conditionalFormatting>
  <conditionalFormatting sqref="O340">
    <cfRule type="duplicateValues" dxfId="340" priority="380"/>
  </conditionalFormatting>
  <conditionalFormatting sqref="O341">
    <cfRule type="duplicateValues" dxfId="339" priority="207"/>
  </conditionalFormatting>
  <conditionalFormatting sqref="O342">
    <cfRule type="duplicateValues" dxfId="338" priority="206"/>
  </conditionalFormatting>
  <conditionalFormatting sqref="O343">
    <cfRule type="duplicateValues" dxfId="337" priority="379"/>
  </conditionalFormatting>
  <conditionalFormatting sqref="O344">
    <cfRule type="duplicateValues" dxfId="336" priority="378"/>
  </conditionalFormatting>
  <conditionalFormatting sqref="O345">
    <cfRule type="duplicateValues" dxfId="335" priority="377"/>
  </conditionalFormatting>
  <conditionalFormatting sqref="O346:O347">
    <cfRule type="duplicateValues" dxfId="334" priority="203"/>
  </conditionalFormatting>
  <conditionalFormatting sqref="O348">
    <cfRule type="duplicateValues" dxfId="333" priority="376"/>
  </conditionalFormatting>
  <conditionalFormatting sqref="O349">
    <cfRule type="duplicateValues" dxfId="332" priority="375"/>
  </conditionalFormatting>
  <conditionalFormatting sqref="O350">
    <cfRule type="duplicateValues" dxfId="331" priority="374"/>
  </conditionalFormatting>
  <conditionalFormatting sqref="O351:O352">
    <cfRule type="duplicateValues" dxfId="330" priority="276"/>
  </conditionalFormatting>
  <conditionalFormatting sqref="O353">
    <cfRule type="duplicateValues" dxfId="329" priority="373"/>
  </conditionalFormatting>
  <conditionalFormatting sqref="O354">
    <cfRule type="duplicateValues" dxfId="328" priority="372"/>
  </conditionalFormatting>
  <conditionalFormatting sqref="O355">
    <cfRule type="duplicateValues" dxfId="327" priority="371"/>
  </conditionalFormatting>
  <conditionalFormatting sqref="O356">
    <cfRule type="duplicateValues" dxfId="326" priority="202"/>
  </conditionalFormatting>
  <conditionalFormatting sqref="O357">
    <cfRule type="duplicateValues" dxfId="325" priority="201"/>
  </conditionalFormatting>
  <conditionalFormatting sqref="O358">
    <cfRule type="duplicateValues" dxfId="324" priority="363"/>
  </conditionalFormatting>
  <conditionalFormatting sqref="O359">
    <cfRule type="duplicateValues" dxfId="323" priority="366"/>
  </conditionalFormatting>
  <conditionalFormatting sqref="O360">
    <cfRule type="duplicateValues" dxfId="322" priority="365"/>
  </conditionalFormatting>
  <conditionalFormatting sqref="O361">
    <cfRule type="duplicateValues" dxfId="321" priority="362"/>
  </conditionalFormatting>
  <conditionalFormatting sqref="O362:O363">
    <cfRule type="duplicateValues" dxfId="320" priority="200"/>
  </conditionalFormatting>
  <conditionalFormatting sqref="O364">
    <cfRule type="duplicateValues" dxfId="319" priority="370"/>
  </conditionalFormatting>
  <conditionalFormatting sqref="O365">
    <cfRule type="duplicateValues" dxfId="318" priority="369"/>
  </conditionalFormatting>
  <conditionalFormatting sqref="O366">
    <cfRule type="duplicateValues" dxfId="317" priority="368"/>
  </conditionalFormatting>
  <conditionalFormatting sqref="O367">
    <cfRule type="duplicateValues" dxfId="316" priority="364"/>
  </conditionalFormatting>
  <conditionalFormatting sqref="O368:O369">
    <cfRule type="duplicateValues" dxfId="315" priority="275"/>
  </conditionalFormatting>
  <conditionalFormatting sqref="O370">
    <cfRule type="duplicateValues" dxfId="314" priority="355"/>
  </conditionalFormatting>
  <conditionalFormatting sqref="O371">
    <cfRule type="duplicateValues" dxfId="313" priority="358"/>
  </conditionalFormatting>
  <conditionalFormatting sqref="O372">
    <cfRule type="duplicateValues" dxfId="312" priority="357"/>
  </conditionalFormatting>
  <conditionalFormatting sqref="O373">
    <cfRule type="duplicateValues" dxfId="311" priority="354"/>
  </conditionalFormatting>
  <conditionalFormatting sqref="O374">
    <cfRule type="duplicateValues" dxfId="310" priority="199"/>
  </conditionalFormatting>
  <conditionalFormatting sqref="O375">
    <cfRule type="duplicateValues" dxfId="309" priority="198"/>
  </conditionalFormatting>
  <conditionalFormatting sqref="O376">
    <cfRule type="duplicateValues" dxfId="308" priority="361"/>
  </conditionalFormatting>
  <conditionalFormatting sqref="O377">
    <cfRule type="duplicateValues" dxfId="307" priority="360"/>
  </conditionalFormatting>
  <conditionalFormatting sqref="O378">
    <cfRule type="duplicateValues" dxfId="306" priority="359"/>
  </conditionalFormatting>
  <conditionalFormatting sqref="O379">
    <cfRule type="duplicateValues" dxfId="305" priority="356"/>
  </conditionalFormatting>
  <conditionalFormatting sqref="O380:O381">
    <cfRule type="duplicateValues" dxfId="304" priority="197"/>
  </conditionalFormatting>
  <conditionalFormatting sqref="O382">
    <cfRule type="duplicateValues" dxfId="303" priority="351"/>
  </conditionalFormatting>
  <conditionalFormatting sqref="O383">
    <cfRule type="duplicateValues" dxfId="302" priority="353"/>
  </conditionalFormatting>
  <conditionalFormatting sqref="O384">
    <cfRule type="duplicateValues" dxfId="301" priority="352"/>
  </conditionalFormatting>
  <conditionalFormatting sqref="O385">
    <cfRule type="duplicateValues" dxfId="300" priority="350"/>
  </conditionalFormatting>
  <conditionalFormatting sqref="O386:O387">
    <cfRule type="duplicateValues" dxfId="299" priority="274"/>
  </conditionalFormatting>
  <conditionalFormatting sqref="O388">
    <cfRule type="duplicateValues" dxfId="298" priority="349"/>
  </conditionalFormatting>
  <conditionalFormatting sqref="O389">
    <cfRule type="duplicateValues" dxfId="297" priority="348"/>
  </conditionalFormatting>
  <conditionalFormatting sqref="O390">
    <cfRule type="duplicateValues" dxfId="296" priority="347"/>
  </conditionalFormatting>
  <conditionalFormatting sqref="O391">
    <cfRule type="duplicateValues" dxfId="295" priority="346"/>
  </conditionalFormatting>
  <conditionalFormatting sqref="O392">
    <cfRule type="duplicateValues" dxfId="294" priority="196"/>
  </conditionalFormatting>
  <conditionalFormatting sqref="O393">
    <cfRule type="duplicateValues" dxfId="293" priority="195"/>
  </conditionalFormatting>
  <conditionalFormatting sqref="O394">
    <cfRule type="duplicateValues" dxfId="292" priority="343"/>
  </conditionalFormatting>
  <conditionalFormatting sqref="O395">
    <cfRule type="duplicateValues" dxfId="291" priority="345"/>
  </conditionalFormatting>
  <conditionalFormatting sqref="O396">
    <cfRule type="duplicateValues" dxfId="290" priority="344"/>
  </conditionalFormatting>
  <conditionalFormatting sqref="O397">
    <cfRule type="duplicateValues" dxfId="289" priority="342"/>
  </conditionalFormatting>
  <conditionalFormatting sqref="O398:O399">
    <cfRule type="duplicateValues" dxfId="288" priority="194"/>
  </conditionalFormatting>
  <conditionalFormatting sqref="O400:O401 O718:O722">
    <cfRule type="duplicateValues" dxfId="287" priority="341"/>
  </conditionalFormatting>
  <conditionalFormatting sqref="O402">
    <cfRule type="duplicateValues" dxfId="286" priority="335"/>
  </conditionalFormatting>
  <conditionalFormatting sqref="O403">
    <cfRule type="duplicateValues" dxfId="285" priority="334"/>
  </conditionalFormatting>
  <conditionalFormatting sqref="O404">
    <cfRule type="duplicateValues" dxfId="284" priority="333"/>
  </conditionalFormatting>
  <conditionalFormatting sqref="O405:O411">
    <cfRule type="duplicateValues" dxfId="283" priority="332"/>
  </conditionalFormatting>
  <conditionalFormatting sqref="O412">
    <cfRule type="duplicateValues" dxfId="282" priority="191"/>
  </conditionalFormatting>
  <conditionalFormatting sqref="O413">
    <cfRule type="duplicateValues" dxfId="281" priority="193"/>
  </conditionalFormatting>
  <conditionalFormatting sqref="O414">
    <cfRule type="duplicateValues" dxfId="280" priority="192"/>
  </conditionalFormatting>
  <conditionalFormatting sqref="O415">
    <cfRule type="duplicateValues" dxfId="279" priority="190"/>
  </conditionalFormatting>
  <conditionalFormatting sqref="O416:O417">
    <cfRule type="duplicateValues" dxfId="278" priority="189"/>
  </conditionalFormatting>
  <conditionalFormatting sqref="O418:O419">
    <cfRule type="duplicateValues" dxfId="277" priority="188"/>
  </conditionalFormatting>
  <conditionalFormatting sqref="O420">
    <cfRule type="duplicateValues" dxfId="276" priority="187"/>
  </conditionalFormatting>
  <conditionalFormatting sqref="O421">
    <cfRule type="duplicateValues" dxfId="275" priority="186"/>
  </conditionalFormatting>
  <conditionalFormatting sqref="O422">
    <cfRule type="duplicateValues" dxfId="274" priority="185"/>
  </conditionalFormatting>
  <conditionalFormatting sqref="O423">
    <cfRule type="duplicateValues" dxfId="273" priority="184"/>
  </conditionalFormatting>
  <conditionalFormatting sqref="O424:O429">
    <cfRule type="duplicateValues" dxfId="272" priority="183"/>
  </conditionalFormatting>
  <conditionalFormatting sqref="O430">
    <cfRule type="duplicateValues" dxfId="271" priority="180"/>
  </conditionalFormatting>
  <conditionalFormatting sqref="O431">
    <cfRule type="duplicateValues" dxfId="270" priority="182"/>
  </conditionalFormatting>
  <conditionalFormatting sqref="O432">
    <cfRule type="duplicateValues" dxfId="269" priority="181"/>
  </conditionalFormatting>
  <conditionalFormatting sqref="O433">
    <cfRule type="duplicateValues" dxfId="268" priority="179"/>
  </conditionalFormatting>
  <conditionalFormatting sqref="O434:O435">
    <cfRule type="duplicateValues" dxfId="267" priority="178"/>
  </conditionalFormatting>
  <conditionalFormatting sqref="O436:O437">
    <cfRule type="duplicateValues" dxfId="266" priority="177"/>
  </conditionalFormatting>
  <conditionalFormatting sqref="O438">
    <cfRule type="duplicateValues" dxfId="265" priority="176"/>
  </conditionalFormatting>
  <conditionalFormatting sqref="O439">
    <cfRule type="duplicateValues" dxfId="264" priority="175"/>
  </conditionalFormatting>
  <conditionalFormatting sqref="O440">
    <cfRule type="duplicateValues" dxfId="263" priority="174"/>
  </conditionalFormatting>
  <conditionalFormatting sqref="O441">
    <cfRule type="duplicateValues" dxfId="262" priority="173"/>
  </conditionalFormatting>
  <conditionalFormatting sqref="O442:O447">
    <cfRule type="duplicateValues" dxfId="261" priority="172"/>
  </conditionalFormatting>
  <conditionalFormatting sqref="O448">
    <cfRule type="duplicateValues" dxfId="260" priority="169"/>
  </conditionalFormatting>
  <conditionalFormatting sqref="O449">
    <cfRule type="duplicateValues" dxfId="259" priority="171"/>
  </conditionalFormatting>
  <conditionalFormatting sqref="O450">
    <cfRule type="duplicateValues" dxfId="258" priority="170"/>
  </conditionalFormatting>
  <conditionalFormatting sqref="O451">
    <cfRule type="duplicateValues" dxfId="257" priority="168"/>
  </conditionalFormatting>
  <conditionalFormatting sqref="O452:O453">
    <cfRule type="duplicateValues" dxfId="256" priority="167"/>
  </conditionalFormatting>
  <conditionalFormatting sqref="O454:O455">
    <cfRule type="duplicateValues" dxfId="255" priority="166"/>
  </conditionalFormatting>
  <conditionalFormatting sqref="O456">
    <cfRule type="duplicateValues" dxfId="254" priority="165"/>
  </conditionalFormatting>
  <conditionalFormatting sqref="O457">
    <cfRule type="duplicateValues" dxfId="253" priority="164"/>
  </conditionalFormatting>
  <conditionalFormatting sqref="O458">
    <cfRule type="duplicateValues" dxfId="252" priority="163"/>
  </conditionalFormatting>
  <conditionalFormatting sqref="O459">
    <cfRule type="duplicateValues" dxfId="251" priority="162"/>
  </conditionalFormatting>
  <conditionalFormatting sqref="O460:O465">
    <cfRule type="duplicateValues" dxfId="250" priority="161"/>
  </conditionalFormatting>
  <conditionalFormatting sqref="O466">
    <cfRule type="duplicateValues" dxfId="249" priority="158"/>
  </conditionalFormatting>
  <conditionalFormatting sqref="O467">
    <cfRule type="duplicateValues" dxfId="248" priority="160"/>
  </conditionalFormatting>
  <conditionalFormatting sqref="O468">
    <cfRule type="duplicateValues" dxfId="247" priority="159"/>
  </conditionalFormatting>
  <conditionalFormatting sqref="O469">
    <cfRule type="duplicateValues" dxfId="246" priority="157"/>
  </conditionalFormatting>
  <conditionalFormatting sqref="O470:O471">
    <cfRule type="duplicateValues" dxfId="245" priority="156"/>
  </conditionalFormatting>
  <conditionalFormatting sqref="O472:O473">
    <cfRule type="duplicateValues" dxfId="244" priority="150"/>
  </conditionalFormatting>
  <conditionalFormatting sqref="O474">
    <cfRule type="duplicateValues" dxfId="243" priority="149"/>
  </conditionalFormatting>
  <conditionalFormatting sqref="O475">
    <cfRule type="duplicateValues" dxfId="242" priority="148"/>
  </conditionalFormatting>
  <conditionalFormatting sqref="O476">
    <cfRule type="duplicateValues" dxfId="241" priority="147"/>
  </conditionalFormatting>
  <conditionalFormatting sqref="O477">
    <cfRule type="duplicateValues" dxfId="240" priority="146"/>
  </conditionalFormatting>
  <conditionalFormatting sqref="O478:O483">
    <cfRule type="duplicateValues" dxfId="239" priority="145"/>
  </conditionalFormatting>
  <conditionalFormatting sqref="O484">
    <cfRule type="duplicateValues" dxfId="238" priority="142"/>
  </conditionalFormatting>
  <conditionalFormatting sqref="O485">
    <cfRule type="duplicateValues" dxfId="237" priority="144"/>
  </conditionalFormatting>
  <conditionalFormatting sqref="O486">
    <cfRule type="duplicateValues" dxfId="236" priority="143"/>
  </conditionalFormatting>
  <conditionalFormatting sqref="O487">
    <cfRule type="duplicateValues" dxfId="235" priority="141"/>
  </conditionalFormatting>
  <conditionalFormatting sqref="O488:O489">
    <cfRule type="duplicateValues" dxfId="234" priority="140"/>
  </conditionalFormatting>
  <conditionalFormatting sqref="O490:O491">
    <cfRule type="duplicateValues" dxfId="233" priority="139"/>
  </conditionalFormatting>
  <conditionalFormatting sqref="O492">
    <cfRule type="duplicateValues" dxfId="232" priority="138"/>
  </conditionalFormatting>
  <conditionalFormatting sqref="O493">
    <cfRule type="duplicateValues" dxfId="231" priority="137"/>
  </conditionalFormatting>
  <conditionalFormatting sqref="O494">
    <cfRule type="duplicateValues" dxfId="230" priority="136"/>
  </conditionalFormatting>
  <conditionalFormatting sqref="O495">
    <cfRule type="duplicateValues" dxfId="229" priority="135"/>
  </conditionalFormatting>
  <conditionalFormatting sqref="O496:O501">
    <cfRule type="duplicateValues" dxfId="228" priority="134"/>
  </conditionalFormatting>
  <conditionalFormatting sqref="O502">
    <cfRule type="duplicateValues" dxfId="227" priority="131"/>
  </conditionalFormatting>
  <conditionalFormatting sqref="O503">
    <cfRule type="duplicateValues" dxfId="226" priority="133"/>
  </conditionalFormatting>
  <conditionalFormatting sqref="O504">
    <cfRule type="duplicateValues" dxfId="225" priority="132"/>
  </conditionalFormatting>
  <conditionalFormatting sqref="O505">
    <cfRule type="duplicateValues" dxfId="224" priority="130"/>
  </conditionalFormatting>
  <conditionalFormatting sqref="O506:O507">
    <cfRule type="duplicateValues" dxfId="223" priority="129"/>
  </conditionalFormatting>
  <conditionalFormatting sqref="O508:O509">
    <cfRule type="duplicateValues" dxfId="222" priority="128"/>
  </conditionalFormatting>
  <conditionalFormatting sqref="O510">
    <cfRule type="duplicateValues" dxfId="221" priority="127"/>
  </conditionalFormatting>
  <conditionalFormatting sqref="O511">
    <cfRule type="duplicateValues" dxfId="220" priority="126"/>
  </conditionalFormatting>
  <conditionalFormatting sqref="O512">
    <cfRule type="duplicateValues" dxfId="219" priority="125"/>
  </conditionalFormatting>
  <conditionalFormatting sqref="O513">
    <cfRule type="duplicateValues" dxfId="218" priority="124"/>
  </conditionalFormatting>
  <conditionalFormatting sqref="O514:O519">
    <cfRule type="duplicateValues" dxfId="217" priority="123"/>
  </conditionalFormatting>
  <conditionalFormatting sqref="O520">
    <cfRule type="duplicateValues" dxfId="216" priority="120"/>
  </conditionalFormatting>
  <conditionalFormatting sqref="O521">
    <cfRule type="duplicateValues" dxfId="215" priority="122"/>
  </conditionalFormatting>
  <conditionalFormatting sqref="O522">
    <cfRule type="duplicateValues" dxfId="214" priority="121"/>
  </conditionalFormatting>
  <conditionalFormatting sqref="O523">
    <cfRule type="duplicateValues" dxfId="213" priority="119"/>
  </conditionalFormatting>
  <conditionalFormatting sqref="O524:O525">
    <cfRule type="duplicateValues" dxfId="212" priority="118"/>
  </conditionalFormatting>
  <conditionalFormatting sqref="O526:O527">
    <cfRule type="duplicateValues" dxfId="211" priority="117"/>
  </conditionalFormatting>
  <conditionalFormatting sqref="O528">
    <cfRule type="duplicateValues" dxfId="210" priority="116"/>
  </conditionalFormatting>
  <conditionalFormatting sqref="O529">
    <cfRule type="duplicateValues" dxfId="209" priority="115"/>
  </conditionalFormatting>
  <conditionalFormatting sqref="O530">
    <cfRule type="duplicateValues" dxfId="208" priority="114"/>
  </conditionalFormatting>
  <conditionalFormatting sqref="O531">
    <cfRule type="duplicateValues" dxfId="207" priority="113"/>
  </conditionalFormatting>
  <conditionalFormatting sqref="O532:O537">
    <cfRule type="duplicateValues" dxfId="206" priority="112"/>
  </conditionalFormatting>
  <conditionalFormatting sqref="O538">
    <cfRule type="duplicateValues" dxfId="205" priority="108"/>
  </conditionalFormatting>
  <conditionalFormatting sqref="O539">
    <cfRule type="duplicateValues" dxfId="204" priority="110"/>
  </conditionalFormatting>
  <conditionalFormatting sqref="O540">
    <cfRule type="duplicateValues" dxfId="203" priority="109"/>
  </conditionalFormatting>
  <conditionalFormatting sqref="O541">
    <cfRule type="duplicateValues" dxfId="202" priority="107"/>
  </conditionalFormatting>
  <conditionalFormatting sqref="O542:O543">
    <cfRule type="duplicateValues" dxfId="201" priority="106"/>
  </conditionalFormatting>
  <conditionalFormatting sqref="O544:O545">
    <cfRule type="duplicateValues" dxfId="200" priority="105"/>
  </conditionalFormatting>
  <conditionalFormatting sqref="O546">
    <cfRule type="duplicateValues" dxfId="199" priority="104"/>
  </conditionalFormatting>
  <conditionalFormatting sqref="O547">
    <cfRule type="duplicateValues" dxfId="198" priority="103"/>
  </conditionalFormatting>
  <conditionalFormatting sqref="O548">
    <cfRule type="duplicateValues" dxfId="197" priority="102"/>
  </conditionalFormatting>
  <conditionalFormatting sqref="O549">
    <cfRule type="duplicateValues" dxfId="196" priority="101"/>
  </conditionalFormatting>
  <conditionalFormatting sqref="O550:O555">
    <cfRule type="duplicateValues" dxfId="195" priority="100"/>
  </conditionalFormatting>
  <conditionalFormatting sqref="O556">
    <cfRule type="duplicateValues" dxfId="194" priority="97"/>
  </conditionalFormatting>
  <conditionalFormatting sqref="O557">
    <cfRule type="duplicateValues" dxfId="193" priority="99"/>
  </conditionalFormatting>
  <conditionalFormatting sqref="O558">
    <cfRule type="duplicateValues" dxfId="192" priority="98"/>
  </conditionalFormatting>
  <conditionalFormatting sqref="O559">
    <cfRule type="duplicateValues" dxfId="191" priority="96"/>
  </conditionalFormatting>
  <conditionalFormatting sqref="O560:O561">
    <cfRule type="duplicateValues" dxfId="190" priority="95"/>
  </conditionalFormatting>
  <conditionalFormatting sqref="O562:O563">
    <cfRule type="duplicateValues" dxfId="189" priority="94"/>
  </conditionalFormatting>
  <conditionalFormatting sqref="O564">
    <cfRule type="duplicateValues" dxfId="188" priority="93"/>
  </conditionalFormatting>
  <conditionalFormatting sqref="O565">
    <cfRule type="duplicateValues" dxfId="187" priority="92"/>
  </conditionalFormatting>
  <conditionalFormatting sqref="O566">
    <cfRule type="duplicateValues" dxfId="186" priority="91"/>
  </conditionalFormatting>
  <conditionalFormatting sqref="O567">
    <cfRule type="duplicateValues" dxfId="185" priority="90"/>
  </conditionalFormatting>
  <conditionalFormatting sqref="O568:O573">
    <cfRule type="duplicateValues" dxfId="184" priority="89"/>
  </conditionalFormatting>
  <conditionalFormatting sqref="O574">
    <cfRule type="duplicateValues" dxfId="183" priority="86"/>
  </conditionalFormatting>
  <conditionalFormatting sqref="O575">
    <cfRule type="duplicateValues" dxfId="182" priority="88"/>
  </conditionalFormatting>
  <conditionalFormatting sqref="O576">
    <cfRule type="duplicateValues" dxfId="181" priority="87"/>
  </conditionalFormatting>
  <conditionalFormatting sqref="O577">
    <cfRule type="duplicateValues" dxfId="180" priority="85"/>
  </conditionalFormatting>
  <conditionalFormatting sqref="O578:O579">
    <cfRule type="duplicateValues" dxfId="179" priority="84"/>
  </conditionalFormatting>
  <conditionalFormatting sqref="O580:O581">
    <cfRule type="duplicateValues" dxfId="178" priority="83"/>
  </conditionalFormatting>
  <conditionalFormatting sqref="O582">
    <cfRule type="duplicateValues" dxfId="177" priority="82"/>
  </conditionalFormatting>
  <conditionalFormatting sqref="O583">
    <cfRule type="duplicateValues" dxfId="176" priority="81"/>
  </conditionalFormatting>
  <conditionalFormatting sqref="O584">
    <cfRule type="duplicateValues" dxfId="175" priority="80"/>
  </conditionalFormatting>
  <conditionalFormatting sqref="O585">
    <cfRule type="duplicateValues" dxfId="174" priority="79"/>
  </conditionalFormatting>
  <conditionalFormatting sqref="O586:O591">
    <cfRule type="duplicateValues" dxfId="173" priority="78"/>
  </conditionalFormatting>
  <conditionalFormatting sqref="O592">
    <cfRule type="duplicateValues" dxfId="172" priority="75"/>
  </conditionalFormatting>
  <conditionalFormatting sqref="O593">
    <cfRule type="duplicateValues" dxfId="171" priority="77"/>
  </conditionalFormatting>
  <conditionalFormatting sqref="O594">
    <cfRule type="duplicateValues" dxfId="170" priority="76"/>
  </conditionalFormatting>
  <conditionalFormatting sqref="O595">
    <cfRule type="duplicateValues" dxfId="169" priority="74"/>
  </conditionalFormatting>
  <conditionalFormatting sqref="O596:O597">
    <cfRule type="duplicateValues" dxfId="168" priority="73"/>
  </conditionalFormatting>
  <conditionalFormatting sqref="O598:O599">
    <cfRule type="duplicateValues" dxfId="167" priority="72"/>
  </conditionalFormatting>
  <conditionalFormatting sqref="O600">
    <cfRule type="duplicateValues" dxfId="166" priority="71"/>
  </conditionalFormatting>
  <conditionalFormatting sqref="O601">
    <cfRule type="duplicateValues" dxfId="165" priority="70"/>
  </conditionalFormatting>
  <conditionalFormatting sqref="O602">
    <cfRule type="duplicateValues" dxfId="164" priority="69"/>
  </conditionalFormatting>
  <conditionalFormatting sqref="O603">
    <cfRule type="duplicateValues" dxfId="163" priority="68"/>
  </conditionalFormatting>
  <conditionalFormatting sqref="O604:O609">
    <cfRule type="duplicateValues" dxfId="162" priority="67"/>
  </conditionalFormatting>
  <conditionalFormatting sqref="O610">
    <cfRule type="duplicateValues" dxfId="161" priority="64"/>
  </conditionalFormatting>
  <conditionalFormatting sqref="O611">
    <cfRule type="duplicateValues" dxfId="160" priority="66"/>
  </conditionalFormatting>
  <conditionalFormatting sqref="O612">
    <cfRule type="duplicateValues" dxfId="159" priority="65"/>
  </conditionalFormatting>
  <conditionalFormatting sqref="O613">
    <cfRule type="duplicateValues" dxfId="158" priority="63"/>
  </conditionalFormatting>
  <conditionalFormatting sqref="O614:O615">
    <cfRule type="duplicateValues" dxfId="157" priority="62"/>
  </conditionalFormatting>
  <conditionalFormatting sqref="O616:O617">
    <cfRule type="duplicateValues" dxfId="156" priority="61"/>
  </conditionalFormatting>
  <conditionalFormatting sqref="O618">
    <cfRule type="duplicateValues" dxfId="155" priority="60"/>
  </conditionalFormatting>
  <conditionalFormatting sqref="O619">
    <cfRule type="duplicateValues" dxfId="154" priority="59"/>
  </conditionalFormatting>
  <conditionalFormatting sqref="O620">
    <cfRule type="duplicateValues" dxfId="153" priority="58"/>
  </conditionalFormatting>
  <conditionalFormatting sqref="O621">
    <cfRule type="duplicateValues" dxfId="152" priority="57"/>
  </conditionalFormatting>
  <conditionalFormatting sqref="O622:O627">
    <cfRule type="duplicateValues" dxfId="151" priority="56"/>
  </conditionalFormatting>
  <conditionalFormatting sqref="O628">
    <cfRule type="duplicateValues" dxfId="150" priority="53"/>
  </conditionalFormatting>
  <conditionalFormatting sqref="O629">
    <cfRule type="duplicateValues" dxfId="149" priority="55"/>
  </conditionalFormatting>
  <conditionalFormatting sqref="O630">
    <cfRule type="duplicateValues" dxfId="148" priority="54"/>
  </conditionalFormatting>
  <conditionalFormatting sqref="O631">
    <cfRule type="duplicateValues" dxfId="147" priority="52"/>
  </conditionalFormatting>
  <conditionalFormatting sqref="O632:O633">
    <cfRule type="duplicateValues" dxfId="146" priority="51"/>
  </conditionalFormatting>
  <conditionalFormatting sqref="O634:O635">
    <cfRule type="duplicateValues" dxfId="145" priority="50"/>
  </conditionalFormatting>
  <conditionalFormatting sqref="O636">
    <cfRule type="duplicateValues" dxfId="144" priority="49"/>
  </conditionalFormatting>
  <conditionalFormatting sqref="O637">
    <cfRule type="duplicateValues" dxfId="143" priority="48"/>
  </conditionalFormatting>
  <conditionalFormatting sqref="O638">
    <cfRule type="duplicateValues" dxfId="142" priority="47"/>
  </conditionalFormatting>
  <conditionalFormatting sqref="O639">
    <cfRule type="duplicateValues" dxfId="141" priority="46"/>
  </conditionalFormatting>
  <conditionalFormatting sqref="O640:O645">
    <cfRule type="duplicateValues" dxfId="140" priority="45"/>
  </conditionalFormatting>
  <conditionalFormatting sqref="O646">
    <cfRule type="duplicateValues" dxfId="139" priority="42"/>
  </conditionalFormatting>
  <conditionalFormatting sqref="O647">
    <cfRule type="duplicateValues" dxfId="138" priority="44"/>
  </conditionalFormatting>
  <conditionalFormatting sqref="O648">
    <cfRule type="duplicateValues" dxfId="137" priority="43"/>
  </conditionalFormatting>
  <conditionalFormatting sqref="O649">
    <cfRule type="duplicateValues" dxfId="136" priority="41"/>
  </conditionalFormatting>
  <conditionalFormatting sqref="O650:O651">
    <cfRule type="duplicateValues" dxfId="135" priority="40"/>
  </conditionalFormatting>
  <conditionalFormatting sqref="O652:O653">
    <cfRule type="duplicateValues" dxfId="134" priority="39"/>
  </conditionalFormatting>
  <conditionalFormatting sqref="O654">
    <cfRule type="duplicateValues" dxfId="133" priority="38"/>
  </conditionalFormatting>
  <conditionalFormatting sqref="O655">
    <cfRule type="duplicateValues" dxfId="132" priority="37"/>
  </conditionalFormatting>
  <conditionalFormatting sqref="O656">
    <cfRule type="duplicateValues" dxfId="131" priority="36"/>
  </conditionalFormatting>
  <conditionalFormatting sqref="O657">
    <cfRule type="duplicateValues" dxfId="130" priority="35"/>
  </conditionalFormatting>
  <conditionalFormatting sqref="O658:O663">
    <cfRule type="duplicateValues" dxfId="129" priority="34"/>
  </conditionalFormatting>
  <conditionalFormatting sqref="O664">
    <cfRule type="duplicateValues" dxfId="128" priority="31"/>
  </conditionalFormatting>
  <conditionalFormatting sqref="O665">
    <cfRule type="duplicateValues" dxfId="127" priority="33"/>
  </conditionalFormatting>
  <conditionalFormatting sqref="O666">
    <cfRule type="duplicateValues" dxfId="126" priority="32"/>
  </conditionalFormatting>
  <conditionalFormatting sqref="O667">
    <cfRule type="duplicateValues" dxfId="125" priority="30"/>
  </conditionalFormatting>
  <conditionalFormatting sqref="O668:O669">
    <cfRule type="duplicateValues" dxfId="124" priority="29"/>
  </conditionalFormatting>
  <conditionalFormatting sqref="O670:O671">
    <cfRule type="duplicateValues" dxfId="123" priority="28"/>
  </conditionalFormatting>
  <conditionalFormatting sqref="O672">
    <cfRule type="duplicateValues" dxfId="122" priority="27"/>
  </conditionalFormatting>
  <conditionalFormatting sqref="O673">
    <cfRule type="duplicateValues" dxfId="121" priority="26"/>
  </conditionalFormatting>
  <conditionalFormatting sqref="O674">
    <cfRule type="duplicateValues" dxfId="120" priority="25"/>
  </conditionalFormatting>
  <conditionalFormatting sqref="O675">
    <cfRule type="duplicateValues" dxfId="119" priority="24"/>
  </conditionalFormatting>
  <conditionalFormatting sqref="O676:O681">
    <cfRule type="duplicateValues" dxfId="118" priority="23"/>
  </conditionalFormatting>
  <conditionalFormatting sqref="O682">
    <cfRule type="duplicateValues" dxfId="117" priority="20"/>
  </conditionalFormatting>
  <conditionalFormatting sqref="O683">
    <cfRule type="duplicateValues" dxfId="116" priority="22"/>
  </conditionalFormatting>
  <conditionalFormatting sqref="O684">
    <cfRule type="duplicateValues" dxfId="115" priority="21"/>
  </conditionalFormatting>
  <conditionalFormatting sqref="O685">
    <cfRule type="duplicateValues" dxfId="114" priority="19"/>
  </conditionalFormatting>
  <conditionalFormatting sqref="O686:O687">
    <cfRule type="duplicateValues" dxfId="113" priority="18"/>
  </conditionalFormatting>
  <conditionalFormatting sqref="O688:O689">
    <cfRule type="duplicateValues" dxfId="112" priority="17"/>
  </conditionalFormatting>
  <conditionalFormatting sqref="O690">
    <cfRule type="duplicateValues" dxfId="111" priority="16"/>
  </conditionalFormatting>
  <conditionalFormatting sqref="O691">
    <cfRule type="duplicateValues" dxfId="110" priority="15"/>
  </conditionalFormatting>
  <conditionalFormatting sqref="O692">
    <cfRule type="duplicateValues" dxfId="109" priority="14"/>
  </conditionalFormatting>
  <conditionalFormatting sqref="O693">
    <cfRule type="duplicateValues" dxfId="108" priority="13"/>
  </conditionalFormatting>
  <conditionalFormatting sqref="O694:O699">
    <cfRule type="duplicateValues" dxfId="107" priority="12"/>
  </conditionalFormatting>
  <conditionalFormatting sqref="O700">
    <cfRule type="duplicateValues" dxfId="106" priority="9"/>
  </conditionalFormatting>
  <conditionalFormatting sqref="O701">
    <cfRule type="duplicateValues" dxfId="105" priority="11"/>
  </conditionalFormatting>
  <conditionalFormatting sqref="O702">
    <cfRule type="duplicateValues" dxfId="104" priority="10"/>
  </conditionalFormatting>
  <conditionalFormatting sqref="O703">
    <cfRule type="duplicateValues" dxfId="103" priority="8"/>
  </conditionalFormatting>
  <conditionalFormatting sqref="O704:O705">
    <cfRule type="duplicateValues" dxfId="102" priority="7"/>
  </conditionalFormatting>
  <conditionalFormatting sqref="O706:O707">
    <cfRule type="duplicateValues" dxfId="101" priority="6"/>
  </conditionalFormatting>
  <conditionalFormatting sqref="O708">
    <cfRule type="duplicateValues" dxfId="100" priority="5"/>
  </conditionalFormatting>
  <conditionalFormatting sqref="O709">
    <cfRule type="duplicateValues" dxfId="99" priority="4"/>
  </conditionalFormatting>
  <conditionalFormatting sqref="O710">
    <cfRule type="duplicateValues" dxfId="98" priority="3"/>
  </conditionalFormatting>
  <conditionalFormatting sqref="O711">
    <cfRule type="duplicateValues" dxfId="97" priority="2"/>
  </conditionalFormatting>
  <conditionalFormatting sqref="O712:O717">
    <cfRule type="duplicateValues" dxfId="96" priority="1"/>
  </conditionalFormatting>
  <conditionalFormatting sqref="O723">
    <cfRule type="duplicateValues" dxfId="95" priority="273"/>
  </conditionalFormatting>
  <conditionalFormatting sqref="O724">
    <cfRule type="duplicateValues" dxfId="94" priority="272"/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326"/>
  <sheetViews>
    <sheetView workbookViewId="0">
      <pane ySplit="1" topLeftCell="A314" activePane="bottomLeft" state="frozen"/>
      <selection pane="bottomLeft" activeCell="E322" sqref="E322"/>
    </sheetView>
  </sheetViews>
  <sheetFormatPr defaultColWidth="9" defaultRowHeight="16.5"/>
  <cols>
    <col min="1" max="1" width="9" style="12"/>
    <col min="2" max="3" width="8.5" style="12" customWidth="1"/>
    <col min="5" max="5" width="35.5" customWidth="1"/>
  </cols>
  <sheetData>
    <row r="1" spans="1:5">
      <c r="A1" s="12" t="s">
        <v>126</v>
      </c>
      <c r="B1" s="12" t="s">
        <v>127</v>
      </c>
      <c r="C1" s="12" t="s">
        <v>0</v>
      </c>
      <c r="D1" s="124" t="s">
        <v>77</v>
      </c>
      <c r="E1" s="12"/>
    </row>
    <row r="2" spans="1:5">
      <c r="A2" s="12">
        <v>113001</v>
      </c>
      <c r="B2" s="12">
        <v>570001</v>
      </c>
      <c r="C2" s="12">
        <v>100001</v>
      </c>
      <c r="D2" s="124">
        <v>1</v>
      </c>
      <c r="E2" s="12"/>
    </row>
    <row r="3" spans="1:5">
      <c r="A3" s="12">
        <v>113002</v>
      </c>
      <c r="B3" s="12">
        <v>570002</v>
      </c>
      <c r="C3" s="12">
        <v>100001</v>
      </c>
      <c r="D3" s="124">
        <v>1</v>
      </c>
      <c r="E3" s="12"/>
    </row>
    <row r="4" spans="1:5">
      <c r="A4" s="12">
        <v>113003</v>
      </c>
      <c r="B4" s="12">
        <v>570003</v>
      </c>
      <c r="C4" s="12">
        <v>100001</v>
      </c>
      <c r="D4" s="124">
        <v>1</v>
      </c>
      <c r="E4" s="12"/>
    </row>
    <row r="5" spans="1:5">
      <c r="A5" s="12">
        <v>113004</v>
      </c>
      <c r="B5" s="12">
        <v>570004</v>
      </c>
      <c r="C5" s="12">
        <v>100001</v>
      </c>
      <c r="D5" s="124">
        <v>1</v>
      </c>
      <c r="E5" s="12"/>
    </row>
    <row r="6" spans="1:5">
      <c r="A6" s="12">
        <v>113005</v>
      </c>
      <c r="B6" s="12">
        <v>570005</v>
      </c>
      <c r="C6" s="12">
        <v>100001</v>
      </c>
      <c r="D6" s="124">
        <v>1</v>
      </c>
      <c r="E6" s="12"/>
    </row>
    <row r="7" spans="1:5">
      <c r="A7" s="12">
        <v>113006</v>
      </c>
      <c r="B7" s="12">
        <v>570006</v>
      </c>
      <c r="C7" s="12">
        <v>100001</v>
      </c>
      <c r="D7" s="124">
        <v>1</v>
      </c>
      <c r="E7" s="12"/>
    </row>
    <row r="8" spans="1:5">
      <c r="A8" s="12">
        <v>113007</v>
      </c>
      <c r="B8" s="12">
        <v>570007</v>
      </c>
      <c r="C8" s="12">
        <v>100001</v>
      </c>
      <c r="D8" s="124">
        <v>1</v>
      </c>
      <c r="E8" s="12"/>
    </row>
    <row r="9" spans="1:5">
      <c r="A9" s="12">
        <v>113008</v>
      </c>
      <c r="B9" s="12">
        <v>570008</v>
      </c>
      <c r="C9" s="12">
        <v>100001</v>
      </c>
      <c r="D9" s="124">
        <v>1</v>
      </c>
      <c r="E9" s="12"/>
    </row>
    <row r="10" spans="1:5">
      <c r="A10" s="12">
        <v>113009</v>
      </c>
      <c r="B10" s="12">
        <v>570009</v>
      </c>
      <c r="C10" s="12">
        <v>100001</v>
      </c>
      <c r="D10" s="124">
        <v>1</v>
      </c>
      <c r="E10" s="12"/>
    </row>
    <row r="11" spans="1:5">
      <c r="A11" s="12">
        <v>113010</v>
      </c>
      <c r="B11" s="12">
        <v>570010</v>
      </c>
      <c r="C11" s="12">
        <v>100001</v>
      </c>
      <c r="D11" s="124">
        <v>1</v>
      </c>
      <c r="E11" s="12"/>
    </row>
    <row r="12" spans="1:5">
      <c r="A12" s="37">
        <v>100001</v>
      </c>
      <c r="B12" s="37">
        <v>400001</v>
      </c>
      <c r="C12" s="37">
        <v>100002</v>
      </c>
      <c r="D12" s="124">
        <v>2</v>
      </c>
    </row>
    <row r="13" spans="1:5">
      <c r="A13" s="37">
        <v>100002</v>
      </c>
      <c r="B13" s="37">
        <v>400002</v>
      </c>
      <c r="C13" s="37">
        <v>100002</v>
      </c>
      <c r="D13" s="124">
        <v>2</v>
      </c>
    </row>
    <row r="14" spans="1:5">
      <c r="A14" s="37">
        <v>100003</v>
      </c>
      <c r="B14" s="37">
        <v>400003</v>
      </c>
      <c r="C14" s="37">
        <v>100002</v>
      </c>
      <c r="D14" s="124">
        <v>2</v>
      </c>
    </row>
    <row r="15" spans="1:5">
      <c r="A15" s="37">
        <v>100004</v>
      </c>
      <c r="B15" s="37">
        <v>400004</v>
      </c>
      <c r="C15" s="37">
        <v>100002</v>
      </c>
      <c r="D15" s="124">
        <v>2</v>
      </c>
    </row>
    <row r="16" spans="1:5">
      <c r="A16" s="37">
        <v>100005</v>
      </c>
      <c r="B16" s="37">
        <v>400005</v>
      </c>
      <c r="C16" s="37">
        <v>100002</v>
      </c>
      <c r="D16" s="124">
        <v>2</v>
      </c>
    </row>
    <row r="17" spans="1:4">
      <c r="A17" s="37">
        <v>100006</v>
      </c>
      <c r="B17" s="37">
        <v>400006</v>
      </c>
      <c r="C17" s="37">
        <v>100002</v>
      </c>
      <c r="D17" s="124">
        <v>2</v>
      </c>
    </row>
    <row r="18" spans="1:4">
      <c r="A18" s="37">
        <v>100007</v>
      </c>
      <c r="B18" s="37">
        <v>400007</v>
      </c>
      <c r="C18" s="37">
        <v>100002</v>
      </c>
      <c r="D18" s="124">
        <v>2</v>
      </c>
    </row>
    <row r="19" spans="1:4">
      <c r="A19" s="37">
        <v>100008</v>
      </c>
      <c r="B19" s="37">
        <v>400008</v>
      </c>
      <c r="C19" s="37">
        <v>100002</v>
      </c>
      <c r="D19" s="124">
        <v>2</v>
      </c>
    </row>
    <row r="20" spans="1:4">
      <c r="A20" s="37">
        <v>100009</v>
      </c>
      <c r="B20" s="37">
        <v>400009</v>
      </c>
      <c r="C20" s="37">
        <v>100002</v>
      </c>
      <c r="D20" s="124">
        <v>2</v>
      </c>
    </row>
    <row r="21" spans="1:4">
      <c r="A21" s="37">
        <v>100010</v>
      </c>
      <c r="B21" s="37">
        <v>400010</v>
      </c>
      <c r="C21" s="37">
        <v>100002</v>
      </c>
      <c r="D21" s="124">
        <v>2</v>
      </c>
    </row>
    <row r="22" spans="1:4">
      <c r="A22" s="12">
        <v>112001</v>
      </c>
      <c r="B22" s="12">
        <v>540001</v>
      </c>
      <c r="C22" s="12">
        <v>100003</v>
      </c>
      <c r="D22" s="124">
        <v>3</v>
      </c>
    </row>
    <row r="23" spans="1:4">
      <c r="A23" s="12">
        <v>112002</v>
      </c>
      <c r="B23" s="12">
        <v>540002</v>
      </c>
      <c r="C23" s="12">
        <v>100003</v>
      </c>
      <c r="D23" s="124">
        <v>3</v>
      </c>
    </row>
    <row r="24" spans="1:4">
      <c r="A24" s="12">
        <v>112003</v>
      </c>
      <c r="B24" s="12">
        <v>540003</v>
      </c>
      <c r="C24" s="12">
        <v>100003</v>
      </c>
      <c r="D24" s="124">
        <v>3</v>
      </c>
    </row>
    <row r="25" spans="1:4">
      <c r="A25" s="12">
        <v>112004</v>
      </c>
      <c r="B25" s="12">
        <v>540004</v>
      </c>
      <c r="C25" s="12">
        <v>100003</v>
      </c>
      <c r="D25" s="124">
        <v>3</v>
      </c>
    </row>
    <row r="26" spans="1:4">
      <c r="A26" s="12">
        <v>112005</v>
      </c>
      <c r="B26" s="12">
        <v>540005</v>
      </c>
      <c r="C26" s="12">
        <v>100003</v>
      </c>
      <c r="D26" s="124">
        <v>3</v>
      </c>
    </row>
    <row r="27" spans="1:4">
      <c r="A27" s="12">
        <v>112006</v>
      </c>
      <c r="B27" s="12">
        <v>540006</v>
      </c>
      <c r="C27" s="12">
        <v>100003</v>
      </c>
      <c r="D27" s="124">
        <v>3</v>
      </c>
    </row>
    <row r="28" spans="1:4">
      <c r="A28" s="12">
        <v>112007</v>
      </c>
      <c r="B28" s="12">
        <v>540007</v>
      </c>
      <c r="C28" s="12">
        <v>100003</v>
      </c>
      <c r="D28" s="124">
        <v>3</v>
      </c>
    </row>
    <row r="29" spans="1:4">
      <c r="A29" s="12">
        <v>112008</v>
      </c>
      <c r="B29" s="12">
        <v>540008</v>
      </c>
      <c r="C29" s="12">
        <v>100003</v>
      </c>
      <c r="D29" s="124">
        <v>3</v>
      </c>
    </row>
    <row r="30" spans="1:4">
      <c r="A30" s="12">
        <v>112009</v>
      </c>
      <c r="B30" s="12">
        <v>540009</v>
      </c>
      <c r="C30" s="12">
        <v>100003</v>
      </c>
      <c r="D30" s="124">
        <v>3</v>
      </c>
    </row>
    <row r="31" spans="1:4">
      <c r="A31" s="37">
        <v>102001</v>
      </c>
      <c r="B31" s="37">
        <v>420001</v>
      </c>
      <c r="C31" s="37">
        <v>100004</v>
      </c>
      <c r="D31" s="124">
        <v>4</v>
      </c>
    </row>
    <row r="32" spans="1:4">
      <c r="A32" s="37">
        <v>102002</v>
      </c>
      <c r="B32" s="37">
        <v>420002</v>
      </c>
      <c r="C32" s="37">
        <v>100004</v>
      </c>
      <c r="D32" s="124">
        <v>4</v>
      </c>
    </row>
    <row r="33" spans="1:4">
      <c r="A33" s="37">
        <v>102003</v>
      </c>
      <c r="B33" s="37">
        <v>420003</v>
      </c>
      <c r="C33" s="37">
        <v>100004</v>
      </c>
      <c r="D33" s="124">
        <v>4</v>
      </c>
    </row>
    <row r="34" spans="1:4">
      <c r="A34" s="37">
        <v>102004</v>
      </c>
      <c r="B34" s="37">
        <v>420004</v>
      </c>
      <c r="C34" s="37">
        <v>100004</v>
      </c>
      <c r="D34" s="124">
        <v>4</v>
      </c>
    </row>
    <row r="35" spans="1:4">
      <c r="A35" s="37">
        <v>102005</v>
      </c>
      <c r="B35" s="37">
        <v>420005</v>
      </c>
      <c r="C35" s="37">
        <v>100004</v>
      </c>
      <c r="D35" s="124">
        <v>4</v>
      </c>
    </row>
    <row r="36" spans="1:4">
      <c r="A36" s="12">
        <v>101001</v>
      </c>
      <c r="B36" s="12">
        <v>410001</v>
      </c>
      <c r="C36" s="12">
        <v>100005</v>
      </c>
      <c r="D36" s="124">
        <v>5</v>
      </c>
    </row>
    <row r="37" spans="1:4">
      <c r="A37" s="12">
        <v>101002</v>
      </c>
      <c r="B37" s="12">
        <v>410002</v>
      </c>
      <c r="C37" s="12">
        <v>100005</v>
      </c>
      <c r="D37" s="124">
        <v>5</v>
      </c>
    </row>
    <row r="38" spans="1:4">
      <c r="A38" s="12">
        <v>101003</v>
      </c>
      <c r="B38" s="12">
        <v>410003</v>
      </c>
      <c r="C38" s="12">
        <v>100005</v>
      </c>
      <c r="D38" s="124">
        <v>5</v>
      </c>
    </row>
    <row r="39" spans="1:4">
      <c r="A39" s="12">
        <v>101004</v>
      </c>
      <c r="B39" s="12">
        <v>410004</v>
      </c>
      <c r="C39" s="12">
        <v>100005</v>
      </c>
      <c r="D39" s="124">
        <v>5</v>
      </c>
    </row>
    <row r="40" spans="1:4">
      <c r="A40" s="12">
        <v>101005</v>
      </c>
      <c r="B40" s="12">
        <v>410005</v>
      </c>
      <c r="C40" s="12">
        <v>100005</v>
      </c>
      <c r="D40" s="124">
        <v>5</v>
      </c>
    </row>
    <row r="41" spans="1:4">
      <c r="A41" s="12">
        <v>101006</v>
      </c>
      <c r="B41" s="12">
        <v>410006</v>
      </c>
      <c r="C41" s="12">
        <v>100005</v>
      </c>
      <c r="D41" s="124">
        <v>5</v>
      </c>
    </row>
    <row r="42" spans="1:4">
      <c r="A42" s="12">
        <v>101007</v>
      </c>
      <c r="B42" s="12">
        <v>410007</v>
      </c>
      <c r="C42" s="12">
        <v>100005</v>
      </c>
      <c r="D42" s="124">
        <v>5</v>
      </c>
    </row>
    <row r="43" spans="1:4">
      <c r="A43" s="37">
        <v>105001</v>
      </c>
      <c r="B43" s="37">
        <v>510001</v>
      </c>
      <c r="C43" s="37">
        <v>101001</v>
      </c>
      <c r="D43" s="124">
        <v>6</v>
      </c>
    </row>
    <row r="44" spans="1:4">
      <c r="A44" s="37">
        <v>105002</v>
      </c>
      <c r="B44" s="37">
        <v>510002</v>
      </c>
      <c r="C44" s="37">
        <v>101001</v>
      </c>
      <c r="D44" s="124">
        <v>6</v>
      </c>
    </row>
    <row r="45" spans="1:4">
      <c r="A45" s="37">
        <v>105003</v>
      </c>
      <c r="B45" s="37">
        <v>510003</v>
      </c>
      <c r="C45" s="37">
        <v>101001</v>
      </c>
      <c r="D45" s="124">
        <v>6</v>
      </c>
    </row>
    <row r="46" spans="1:4">
      <c r="A46" s="37">
        <v>105004</v>
      </c>
      <c r="B46" s="37">
        <v>510004</v>
      </c>
      <c r="C46" s="37">
        <v>101001</v>
      </c>
      <c r="D46" s="124">
        <v>6</v>
      </c>
    </row>
    <row r="47" spans="1:4">
      <c r="A47" s="37">
        <v>105005</v>
      </c>
      <c r="B47" s="37">
        <v>510005</v>
      </c>
      <c r="C47" s="37">
        <v>101001</v>
      </c>
      <c r="D47" s="124">
        <v>6</v>
      </c>
    </row>
    <row r="48" spans="1:4">
      <c r="A48" s="37">
        <v>105006</v>
      </c>
      <c r="B48" s="37">
        <v>510006</v>
      </c>
      <c r="C48" s="37">
        <v>101001</v>
      </c>
      <c r="D48" s="124">
        <v>6</v>
      </c>
    </row>
    <row r="49" spans="1:4">
      <c r="A49" s="37">
        <v>105007</v>
      </c>
      <c r="B49" s="37">
        <v>510007</v>
      </c>
      <c r="C49" s="37">
        <v>101001</v>
      </c>
      <c r="D49" s="124">
        <v>6</v>
      </c>
    </row>
    <row r="50" spans="1:4">
      <c r="A50" s="37">
        <v>105008</v>
      </c>
      <c r="B50" s="37">
        <v>510008</v>
      </c>
      <c r="C50" s="37">
        <v>101001</v>
      </c>
      <c r="D50" s="124">
        <v>6</v>
      </c>
    </row>
    <row r="51" spans="1:4">
      <c r="A51" s="12">
        <v>109001</v>
      </c>
      <c r="B51" s="12">
        <v>420006</v>
      </c>
      <c r="C51" s="12">
        <v>101002</v>
      </c>
      <c r="D51" s="124">
        <v>7</v>
      </c>
    </row>
    <row r="52" spans="1:4">
      <c r="A52" s="12">
        <v>109002</v>
      </c>
      <c r="B52" s="12">
        <v>420007</v>
      </c>
      <c r="C52" s="12">
        <v>101002</v>
      </c>
      <c r="D52" s="124">
        <v>7</v>
      </c>
    </row>
    <row r="53" spans="1:4">
      <c r="A53" s="12">
        <v>109003</v>
      </c>
      <c r="B53" s="12">
        <v>420008</v>
      </c>
      <c r="C53" s="12">
        <v>101002</v>
      </c>
      <c r="D53" s="124">
        <v>7</v>
      </c>
    </row>
    <row r="54" spans="1:4">
      <c r="A54" s="12">
        <v>109004</v>
      </c>
      <c r="B54" s="12">
        <v>420009</v>
      </c>
      <c r="C54" s="12">
        <v>101002</v>
      </c>
      <c r="D54" s="124">
        <v>7</v>
      </c>
    </row>
    <row r="55" spans="1:4">
      <c r="A55" s="12">
        <v>109005</v>
      </c>
      <c r="B55" s="12">
        <v>420010</v>
      </c>
      <c r="C55" s="12">
        <v>101002</v>
      </c>
      <c r="D55" s="124">
        <v>7</v>
      </c>
    </row>
    <row r="56" spans="1:4">
      <c r="A56" s="37">
        <v>115001</v>
      </c>
      <c r="B56" s="37">
        <v>540001</v>
      </c>
      <c r="C56" s="37">
        <v>101003</v>
      </c>
      <c r="D56" s="124">
        <v>8</v>
      </c>
    </row>
    <row r="57" spans="1:4">
      <c r="A57" s="37">
        <v>115002</v>
      </c>
      <c r="B57" s="37">
        <v>540002</v>
      </c>
      <c r="C57" s="37">
        <v>101003</v>
      </c>
      <c r="D57" s="124">
        <v>8</v>
      </c>
    </row>
    <row r="58" spans="1:4">
      <c r="A58" s="37">
        <v>115003</v>
      </c>
      <c r="B58" s="37">
        <v>540003</v>
      </c>
      <c r="C58" s="37">
        <v>101003</v>
      </c>
      <c r="D58" s="124">
        <v>8</v>
      </c>
    </row>
    <row r="59" spans="1:4">
      <c r="A59" s="37">
        <v>115004</v>
      </c>
      <c r="B59" s="37">
        <v>540004</v>
      </c>
      <c r="C59" s="37">
        <v>101003</v>
      </c>
      <c r="D59" s="124">
        <v>8</v>
      </c>
    </row>
    <row r="60" spans="1:4">
      <c r="A60" s="37">
        <v>115005</v>
      </c>
      <c r="B60" s="37">
        <v>540005</v>
      </c>
      <c r="C60" s="37">
        <v>101003</v>
      </c>
      <c r="D60" s="124">
        <v>8</v>
      </c>
    </row>
    <row r="61" spans="1:4">
      <c r="A61" s="37">
        <v>115006</v>
      </c>
      <c r="B61" s="37">
        <v>540006</v>
      </c>
      <c r="C61" s="37">
        <v>101003</v>
      </c>
      <c r="D61" s="124">
        <v>8</v>
      </c>
    </row>
    <row r="62" spans="1:4">
      <c r="A62" s="37">
        <v>115007</v>
      </c>
      <c r="B62" s="37">
        <v>540007</v>
      </c>
      <c r="C62" s="37">
        <v>101003</v>
      </c>
      <c r="D62" s="124">
        <v>8</v>
      </c>
    </row>
    <row r="63" spans="1:4">
      <c r="A63" s="37">
        <v>115008</v>
      </c>
      <c r="B63" s="37">
        <v>540008</v>
      </c>
      <c r="C63" s="37">
        <v>101003</v>
      </c>
      <c r="D63" s="124">
        <v>8</v>
      </c>
    </row>
    <row r="64" spans="1:4">
      <c r="A64" s="37">
        <v>115009</v>
      </c>
      <c r="B64" s="37">
        <v>540009</v>
      </c>
      <c r="C64" s="37">
        <v>101003</v>
      </c>
      <c r="D64" s="124">
        <v>8</v>
      </c>
    </row>
    <row r="65" spans="1:4">
      <c r="A65" s="12">
        <v>108001</v>
      </c>
      <c r="B65" s="12">
        <v>410008</v>
      </c>
      <c r="C65" s="12">
        <v>101004</v>
      </c>
      <c r="D65" s="124">
        <v>9</v>
      </c>
    </row>
    <row r="66" spans="1:4">
      <c r="A66" s="12">
        <v>108002</v>
      </c>
      <c r="B66" s="12">
        <v>410009</v>
      </c>
      <c r="C66" s="12">
        <v>101004</v>
      </c>
      <c r="D66" s="124">
        <v>9</v>
      </c>
    </row>
    <row r="67" spans="1:4">
      <c r="A67" s="12">
        <v>108003</v>
      </c>
      <c r="B67" s="12">
        <v>410010</v>
      </c>
      <c r="C67" s="12">
        <v>101004</v>
      </c>
      <c r="D67" s="124">
        <v>9</v>
      </c>
    </row>
    <row r="68" spans="1:4">
      <c r="A68" s="12">
        <v>108004</v>
      </c>
      <c r="B68" s="12">
        <v>410011</v>
      </c>
      <c r="C68" s="12">
        <v>101004</v>
      </c>
      <c r="D68" s="124">
        <v>9</v>
      </c>
    </row>
    <row r="69" spans="1:4">
      <c r="A69" s="12">
        <v>108005</v>
      </c>
      <c r="B69" s="12">
        <v>410012</v>
      </c>
      <c r="C69" s="12">
        <v>101004</v>
      </c>
      <c r="D69" s="124">
        <v>9</v>
      </c>
    </row>
    <row r="70" spans="1:4">
      <c r="A70" s="12">
        <v>108006</v>
      </c>
      <c r="B70" s="12">
        <v>410013</v>
      </c>
      <c r="C70" s="12">
        <v>101004</v>
      </c>
      <c r="D70" s="124">
        <v>9</v>
      </c>
    </row>
    <row r="71" spans="1:4">
      <c r="A71" s="12">
        <v>108007</v>
      </c>
      <c r="B71" s="12">
        <v>410014</v>
      </c>
      <c r="C71" s="12">
        <v>101004</v>
      </c>
      <c r="D71" s="124">
        <v>9</v>
      </c>
    </row>
    <row r="72" spans="1:4">
      <c r="A72" s="37">
        <v>103001</v>
      </c>
      <c r="B72" s="37">
        <v>490001</v>
      </c>
      <c r="C72" s="37">
        <v>102001</v>
      </c>
      <c r="D72" s="124">
        <v>10</v>
      </c>
    </row>
    <row r="73" spans="1:4">
      <c r="A73" s="37">
        <v>103002</v>
      </c>
      <c r="B73" s="37">
        <v>490002</v>
      </c>
      <c r="C73" s="37">
        <v>102001</v>
      </c>
      <c r="D73" s="124">
        <v>10</v>
      </c>
    </row>
    <row r="74" spans="1:4">
      <c r="A74" s="37">
        <v>103003</v>
      </c>
      <c r="B74" s="37">
        <v>490003</v>
      </c>
      <c r="C74" s="37">
        <v>102001</v>
      </c>
      <c r="D74" s="124">
        <v>10</v>
      </c>
    </row>
    <row r="75" spans="1:4">
      <c r="A75" s="37">
        <v>103004</v>
      </c>
      <c r="B75" s="37">
        <v>490004</v>
      </c>
      <c r="C75" s="37">
        <v>102001</v>
      </c>
      <c r="D75" s="124">
        <v>10</v>
      </c>
    </row>
    <row r="76" spans="1:4">
      <c r="A76" s="37">
        <v>103005</v>
      </c>
      <c r="B76" s="37">
        <v>490005</v>
      </c>
      <c r="C76" s="37">
        <v>102001</v>
      </c>
      <c r="D76" s="124">
        <v>10</v>
      </c>
    </row>
    <row r="77" spans="1:4">
      <c r="A77" s="37">
        <v>103006</v>
      </c>
      <c r="B77" s="37">
        <v>490006</v>
      </c>
      <c r="C77" s="37">
        <v>102001</v>
      </c>
      <c r="D77" s="124">
        <v>10</v>
      </c>
    </row>
    <row r="78" spans="1:4">
      <c r="A78" s="37">
        <v>103007</v>
      </c>
      <c r="B78" s="37">
        <v>490007</v>
      </c>
      <c r="C78" s="37">
        <v>102001</v>
      </c>
      <c r="D78" s="124">
        <v>10</v>
      </c>
    </row>
    <row r="79" spans="1:4">
      <c r="A79" s="37">
        <v>103008</v>
      </c>
      <c r="B79" s="37">
        <v>490008</v>
      </c>
      <c r="C79" s="37">
        <v>102001</v>
      </c>
      <c r="D79" s="124">
        <v>10</v>
      </c>
    </row>
    <row r="80" spans="1:4">
      <c r="A80" s="12">
        <v>118001</v>
      </c>
      <c r="B80" s="12">
        <v>540001</v>
      </c>
      <c r="C80" s="12">
        <v>102002</v>
      </c>
      <c r="D80" s="124">
        <v>11</v>
      </c>
    </row>
    <row r="81" spans="1:4">
      <c r="A81" s="12">
        <v>118002</v>
      </c>
      <c r="B81" s="12">
        <v>540002</v>
      </c>
      <c r="C81" s="12">
        <v>102002</v>
      </c>
      <c r="D81" s="124">
        <v>11</v>
      </c>
    </row>
    <row r="82" spans="1:4">
      <c r="A82" s="12">
        <v>118003</v>
      </c>
      <c r="B82" s="12">
        <v>540003</v>
      </c>
      <c r="C82" s="12">
        <v>102002</v>
      </c>
      <c r="D82" s="124">
        <v>11</v>
      </c>
    </row>
    <row r="83" spans="1:4">
      <c r="A83" s="12">
        <v>118004</v>
      </c>
      <c r="B83" s="12">
        <v>540004</v>
      </c>
      <c r="C83" s="12">
        <v>102002</v>
      </c>
      <c r="D83" s="124">
        <v>11</v>
      </c>
    </row>
    <row r="84" spans="1:4">
      <c r="A84" s="12">
        <v>118005</v>
      </c>
      <c r="B84" s="12">
        <v>540005</v>
      </c>
      <c r="C84" s="12">
        <v>102002</v>
      </c>
      <c r="D84" s="124">
        <v>11</v>
      </c>
    </row>
    <row r="85" spans="1:4">
      <c r="A85" s="12">
        <v>118006</v>
      </c>
      <c r="B85" s="12">
        <v>540006</v>
      </c>
      <c r="C85" s="12">
        <v>102002</v>
      </c>
      <c r="D85" s="124">
        <v>11</v>
      </c>
    </row>
    <row r="86" spans="1:4">
      <c r="A86" s="12">
        <v>118007</v>
      </c>
      <c r="B86" s="12">
        <v>540007</v>
      </c>
      <c r="C86" s="12">
        <v>102002</v>
      </c>
      <c r="D86" s="124">
        <v>11</v>
      </c>
    </row>
    <row r="87" spans="1:4">
      <c r="A87" s="12">
        <v>118008</v>
      </c>
      <c r="B87" s="12">
        <v>540008</v>
      </c>
      <c r="C87" s="12">
        <v>102002</v>
      </c>
      <c r="D87" s="124">
        <v>11</v>
      </c>
    </row>
    <row r="88" spans="1:4">
      <c r="A88" s="12">
        <v>118009</v>
      </c>
      <c r="B88" s="12">
        <v>540009</v>
      </c>
      <c r="C88" s="12">
        <v>102002</v>
      </c>
      <c r="D88" s="124">
        <v>11</v>
      </c>
    </row>
    <row r="89" spans="1:4">
      <c r="A89" s="37">
        <v>111001</v>
      </c>
      <c r="B89" s="37">
        <v>420011</v>
      </c>
      <c r="C89" s="37">
        <v>102003</v>
      </c>
      <c r="D89" s="124">
        <v>12</v>
      </c>
    </row>
    <row r="90" spans="1:4">
      <c r="A90" s="37">
        <v>111002</v>
      </c>
      <c r="B90" s="37">
        <v>420012</v>
      </c>
      <c r="C90" s="37">
        <v>102003</v>
      </c>
      <c r="D90" s="124">
        <v>12</v>
      </c>
    </row>
    <row r="91" spans="1:4">
      <c r="A91" s="37">
        <v>111003</v>
      </c>
      <c r="B91" s="37">
        <v>420013</v>
      </c>
      <c r="C91" s="37">
        <v>102003</v>
      </c>
      <c r="D91" s="124">
        <v>12</v>
      </c>
    </row>
    <row r="92" spans="1:4">
      <c r="A92" s="37">
        <v>111004</v>
      </c>
      <c r="B92" s="37">
        <v>420014</v>
      </c>
      <c r="C92" s="37">
        <v>102003</v>
      </c>
      <c r="D92" s="124">
        <v>12</v>
      </c>
    </row>
    <row r="93" spans="1:4">
      <c r="A93" s="37">
        <v>111005</v>
      </c>
      <c r="B93" s="37">
        <v>420015</v>
      </c>
      <c r="C93" s="37">
        <v>102003</v>
      </c>
      <c r="D93" s="124">
        <v>12</v>
      </c>
    </row>
    <row r="94" spans="1:4">
      <c r="A94" s="12">
        <v>110001</v>
      </c>
      <c r="B94" s="12">
        <v>410015</v>
      </c>
      <c r="C94" s="12">
        <v>102004</v>
      </c>
      <c r="D94" s="124">
        <v>13</v>
      </c>
    </row>
    <row r="95" spans="1:4">
      <c r="A95" s="12">
        <v>110002</v>
      </c>
      <c r="B95" s="12">
        <v>410016</v>
      </c>
      <c r="C95" s="12">
        <v>102004</v>
      </c>
      <c r="D95" s="124">
        <v>13</v>
      </c>
    </row>
    <row r="96" spans="1:4">
      <c r="A96" s="12">
        <v>110003</v>
      </c>
      <c r="B96" s="12">
        <v>410017</v>
      </c>
      <c r="C96" s="12">
        <v>102004</v>
      </c>
      <c r="D96" s="124">
        <v>13</v>
      </c>
    </row>
    <row r="97" spans="1:4">
      <c r="A97" s="12">
        <v>110004</v>
      </c>
      <c r="B97" s="12">
        <v>410018</v>
      </c>
      <c r="C97" s="12">
        <v>102004</v>
      </c>
      <c r="D97" s="124">
        <v>13</v>
      </c>
    </row>
    <row r="98" spans="1:4">
      <c r="A98" s="12">
        <v>110005</v>
      </c>
      <c r="B98" s="12">
        <v>410019</v>
      </c>
      <c r="C98" s="12">
        <v>102004</v>
      </c>
      <c r="D98" s="124">
        <v>13</v>
      </c>
    </row>
    <row r="99" spans="1:4">
      <c r="A99" s="12">
        <v>110006</v>
      </c>
      <c r="B99" s="12">
        <v>410020</v>
      </c>
      <c r="C99" s="12">
        <v>102004</v>
      </c>
      <c r="D99" s="124">
        <v>13</v>
      </c>
    </row>
    <row r="100" spans="1:4">
      <c r="A100" s="12">
        <v>110007</v>
      </c>
      <c r="B100" s="12">
        <v>410021</v>
      </c>
      <c r="C100" s="12">
        <v>102004</v>
      </c>
      <c r="D100" s="124">
        <v>13</v>
      </c>
    </row>
    <row r="101" spans="1:4">
      <c r="A101" s="37">
        <v>104001</v>
      </c>
      <c r="B101" s="37">
        <v>480001</v>
      </c>
      <c r="C101" s="37">
        <v>103001</v>
      </c>
      <c r="D101" s="124">
        <v>14</v>
      </c>
    </row>
    <row r="102" spans="1:4">
      <c r="A102" s="37">
        <v>104002</v>
      </c>
      <c r="B102" s="37">
        <v>480002</v>
      </c>
      <c r="C102" s="37">
        <v>103001</v>
      </c>
      <c r="D102" s="124">
        <v>14</v>
      </c>
    </row>
    <row r="103" spans="1:4">
      <c r="A103" s="37">
        <v>104003</v>
      </c>
      <c r="B103" s="37">
        <v>480003</v>
      </c>
      <c r="C103" s="37">
        <v>103001</v>
      </c>
      <c r="D103" s="124">
        <v>14</v>
      </c>
    </row>
    <row r="104" spans="1:4">
      <c r="A104" s="37">
        <v>104004</v>
      </c>
      <c r="B104" s="37">
        <v>480004</v>
      </c>
      <c r="C104" s="37">
        <v>103001</v>
      </c>
      <c r="D104" s="124">
        <v>14</v>
      </c>
    </row>
    <row r="105" spans="1:4">
      <c r="A105" s="37">
        <v>104005</v>
      </c>
      <c r="B105" s="37">
        <v>480005</v>
      </c>
      <c r="C105" s="37">
        <v>103001</v>
      </c>
      <c r="D105" s="124">
        <v>14</v>
      </c>
    </row>
    <row r="106" spans="1:4">
      <c r="A106" s="37">
        <v>104006</v>
      </c>
      <c r="B106" s="37">
        <v>480006</v>
      </c>
      <c r="C106" s="37">
        <v>103001</v>
      </c>
      <c r="D106" s="124">
        <v>14</v>
      </c>
    </row>
    <row r="107" spans="1:4">
      <c r="A107" s="37">
        <v>104007</v>
      </c>
      <c r="B107" s="37">
        <v>480007</v>
      </c>
      <c r="C107" s="37">
        <v>103001</v>
      </c>
      <c r="D107" s="124">
        <v>14</v>
      </c>
    </row>
    <row r="108" spans="1:4">
      <c r="A108" s="37">
        <v>104008</v>
      </c>
      <c r="B108" s="37">
        <v>480008</v>
      </c>
      <c r="C108" s="37">
        <v>103001</v>
      </c>
      <c r="D108" s="124">
        <v>14</v>
      </c>
    </row>
    <row r="109" spans="1:4">
      <c r="A109" s="12">
        <v>120001</v>
      </c>
      <c r="B109" s="12">
        <v>540001</v>
      </c>
      <c r="C109" s="12">
        <v>103002</v>
      </c>
      <c r="D109" s="124">
        <v>15</v>
      </c>
    </row>
    <row r="110" spans="1:4">
      <c r="A110" s="12">
        <v>120002</v>
      </c>
      <c r="B110" s="12">
        <v>540002</v>
      </c>
      <c r="C110" s="12">
        <v>103002</v>
      </c>
      <c r="D110" s="124">
        <v>15</v>
      </c>
    </row>
    <row r="111" spans="1:4">
      <c r="A111" s="12">
        <v>120003</v>
      </c>
      <c r="B111" s="12">
        <v>540003</v>
      </c>
      <c r="C111" s="12">
        <v>103002</v>
      </c>
      <c r="D111" s="124">
        <v>15</v>
      </c>
    </row>
    <row r="112" spans="1:4">
      <c r="A112" s="12">
        <v>120004</v>
      </c>
      <c r="B112" s="12">
        <v>540004</v>
      </c>
      <c r="C112" s="12">
        <v>103002</v>
      </c>
      <c r="D112" s="124">
        <v>15</v>
      </c>
    </row>
    <row r="113" spans="1:4">
      <c r="A113" s="12">
        <v>120005</v>
      </c>
      <c r="B113" s="12">
        <v>540005</v>
      </c>
      <c r="C113" s="12">
        <v>103002</v>
      </c>
      <c r="D113" s="124">
        <v>15</v>
      </c>
    </row>
    <row r="114" spans="1:4">
      <c r="A114" s="12">
        <v>120006</v>
      </c>
      <c r="B114" s="12">
        <v>540006</v>
      </c>
      <c r="C114" s="12">
        <v>103002</v>
      </c>
      <c r="D114" s="124">
        <v>15</v>
      </c>
    </row>
    <row r="115" spans="1:4">
      <c r="A115" s="12">
        <v>120007</v>
      </c>
      <c r="B115" s="12">
        <v>540007</v>
      </c>
      <c r="C115" s="12">
        <v>103002</v>
      </c>
      <c r="D115" s="124">
        <v>15</v>
      </c>
    </row>
    <row r="116" spans="1:4">
      <c r="A116" s="12">
        <v>120008</v>
      </c>
      <c r="B116" s="12">
        <v>540008</v>
      </c>
      <c r="C116" s="12">
        <v>103002</v>
      </c>
      <c r="D116" s="124">
        <v>15</v>
      </c>
    </row>
    <row r="117" spans="1:4">
      <c r="A117" s="12">
        <v>120009</v>
      </c>
      <c r="B117" s="12">
        <v>540009</v>
      </c>
      <c r="C117" s="12">
        <v>103002</v>
      </c>
      <c r="D117" s="124">
        <v>15</v>
      </c>
    </row>
    <row r="118" spans="1:4">
      <c r="A118" s="37">
        <v>114001</v>
      </c>
      <c r="B118" s="37">
        <v>420006</v>
      </c>
      <c r="C118" s="37">
        <v>103003</v>
      </c>
      <c r="D118" s="124">
        <v>16</v>
      </c>
    </row>
    <row r="119" spans="1:4">
      <c r="A119" s="37">
        <v>114002</v>
      </c>
      <c r="B119" s="37">
        <v>420007</v>
      </c>
      <c r="C119" s="37">
        <v>103003</v>
      </c>
      <c r="D119" s="124">
        <v>16</v>
      </c>
    </row>
    <row r="120" spans="1:4">
      <c r="A120" s="37">
        <v>114003</v>
      </c>
      <c r="B120" s="37">
        <v>420008</v>
      </c>
      <c r="C120" s="37">
        <v>103003</v>
      </c>
      <c r="D120" s="124">
        <v>16</v>
      </c>
    </row>
    <row r="121" spans="1:4">
      <c r="A121" s="37">
        <v>114004</v>
      </c>
      <c r="B121" s="37">
        <v>420009</v>
      </c>
      <c r="C121" s="37">
        <v>103003</v>
      </c>
      <c r="D121" s="124">
        <v>16</v>
      </c>
    </row>
    <row r="122" spans="1:4">
      <c r="A122" s="37">
        <v>114005</v>
      </c>
      <c r="B122" s="37">
        <v>420010</v>
      </c>
      <c r="C122" s="37">
        <v>103003</v>
      </c>
      <c r="D122" s="124">
        <v>16</v>
      </c>
    </row>
    <row r="123" spans="1:4">
      <c r="A123" s="12">
        <v>116001</v>
      </c>
      <c r="B123" s="12">
        <v>410015</v>
      </c>
      <c r="C123" s="12">
        <v>103004</v>
      </c>
      <c r="D123" s="124">
        <v>17</v>
      </c>
    </row>
    <row r="124" spans="1:4">
      <c r="A124" s="12">
        <v>116002</v>
      </c>
      <c r="B124" s="12">
        <v>410016</v>
      </c>
      <c r="C124" s="12">
        <v>103004</v>
      </c>
      <c r="D124" s="124">
        <v>17</v>
      </c>
    </row>
    <row r="125" spans="1:4">
      <c r="A125" s="12">
        <v>116003</v>
      </c>
      <c r="B125" s="12">
        <v>410017</v>
      </c>
      <c r="C125" s="12">
        <v>103004</v>
      </c>
      <c r="D125" s="124">
        <v>17</v>
      </c>
    </row>
    <row r="126" spans="1:4">
      <c r="A126" s="12">
        <v>116004</v>
      </c>
      <c r="B126" s="12">
        <v>410018</v>
      </c>
      <c r="C126" s="12">
        <v>103004</v>
      </c>
      <c r="D126" s="124">
        <v>17</v>
      </c>
    </row>
    <row r="127" spans="1:4">
      <c r="A127" s="12">
        <v>116005</v>
      </c>
      <c r="B127" s="12">
        <v>410019</v>
      </c>
      <c r="C127" s="12">
        <v>103004</v>
      </c>
      <c r="D127" s="124">
        <v>17</v>
      </c>
    </row>
    <row r="128" spans="1:4">
      <c r="A128" s="12">
        <v>116006</v>
      </c>
      <c r="B128" s="12">
        <v>410020</v>
      </c>
      <c r="C128" s="12">
        <v>103004</v>
      </c>
      <c r="D128" s="124">
        <v>17</v>
      </c>
    </row>
    <row r="129" spans="1:4">
      <c r="A129" s="12">
        <v>116007</v>
      </c>
      <c r="B129" s="12">
        <v>410021</v>
      </c>
      <c r="C129" s="12">
        <v>103004</v>
      </c>
      <c r="D129" s="124">
        <v>17</v>
      </c>
    </row>
    <row r="130" spans="1:4">
      <c r="A130" s="37">
        <v>106001</v>
      </c>
      <c r="B130" s="37">
        <v>520001</v>
      </c>
      <c r="C130" s="37">
        <v>104001</v>
      </c>
      <c r="D130" s="124">
        <v>18</v>
      </c>
    </row>
    <row r="131" spans="1:4">
      <c r="A131" s="37">
        <v>106002</v>
      </c>
      <c r="B131" s="37">
        <v>520002</v>
      </c>
      <c r="C131" s="37">
        <v>104001</v>
      </c>
      <c r="D131" s="124">
        <v>18</v>
      </c>
    </row>
    <row r="132" spans="1:4">
      <c r="A132" s="37">
        <v>106003</v>
      </c>
      <c r="B132" s="37">
        <v>520003</v>
      </c>
      <c r="C132" s="37">
        <v>104001</v>
      </c>
      <c r="D132" s="124">
        <v>18</v>
      </c>
    </row>
    <row r="133" spans="1:4">
      <c r="A133" s="37">
        <v>106004</v>
      </c>
      <c r="B133" s="37">
        <v>520004</v>
      </c>
      <c r="C133" s="37">
        <v>104001</v>
      </c>
      <c r="D133" s="124">
        <v>18</v>
      </c>
    </row>
    <row r="134" spans="1:4">
      <c r="A134" s="37">
        <v>106005</v>
      </c>
      <c r="B134" s="37">
        <v>520005</v>
      </c>
      <c r="C134" s="37">
        <v>104001</v>
      </c>
      <c r="D134" s="124">
        <v>18</v>
      </c>
    </row>
    <row r="135" spans="1:4">
      <c r="A135" s="37">
        <v>106006</v>
      </c>
      <c r="B135" s="37">
        <v>520006</v>
      </c>
      <c r="C135" s="37">
        <v>104001</v>
      </c>
      <c r="D135" s="124">
        <v>18</v>
      </c>
    </row>
    <row r="136" spans="1:4">
      <c r="A136" s="37">
        <v>106007</v>
      </c>
      <c r="B136" s="37">
        <v>520007</v>
      </c>
      <c r="C136" s="37">
        <v>104001</v>
      </c>
      <c r="D136" s="124">
        <v>18</v>
      </c>
    </row>
    <row r="137" spans="1:4">
      <c r="A137" s="37">
        <v>106008</v>
      </c>
      <c r="B137" s="37">
        <v>520008</v>
      </c>
      <c r="C137" s="37">
        <v>104001</v>
      </c>
      <c r="D137" s="124">
        <v>18</v>
      </c>
    </row>
    <row r="138" spans="1:4">
      <c r="A138" s="12">
        <v>121001</v>
      </c>
      <c r="B138" s="12">
        <v>540001</v>
      </c>
      <c r="C138" s="12">
        <v>104002</v>
      </c>
      <c r="D138" s="124">
        <v>19</v>
      </c>
    </row>
    <row r="139" spans="1:4">
      <c r="A139" s="12">
        <v>121002</v>
      </c>
      <c r="B139" s="12">
        <v>540002</v>
      </c>
      <c r="C139" s="12">
        <v>104002</v>
      </c>
      <c r="D139" s="124">
        <v>19</v>
      </c>
    </row>
    <row r="140" spans="1:4">
      <c r="A140" s="12">
        <v>121003</v>
      </c>
      <c r="B140" s="12">
        <v>540003</v>
      </c>
      <c r="C140" s="12">
        <v>104002</v>
      </c>
      <c r="D140" s="124">
        <v>19</v>
      </c>
    </row>
    <row r="141" spans="1:4">
      <c r="A141" s="12">
        <v>121004</v>
      </c>
      <c r="B141" s="12">
        <v>540004</v>
      </c>
      <c r="C141" s="12">
        <v>104002</v>
      </c>
      <c r="D141" s="124">
        <v>19</v>
      </c>
    </row>
    <row r="142" spans="1:4">
      <c r="A142" s="12">
        <v>121005</v>
      </c>
      <c r="B142" s="12">
        <v>540005</v>
      </c>
      <c r="C142" s="12">
        <v>104002</v>
      </c>
      <c r="D142" s="124">
        <v>19</v>
      </c>
    </row>
    <row r="143" spans="1:4">
      <c r="A143" s="12">
        <v>121006</v>
      </c>
      <c r="B143" s="12">
        <v>540006</v>
      </c>
      <c r="C143" s="12">
        <v>104002</v>
      </c>
      <c r="D143" s="124">
        <v>19</v>
      </c>
    </row>
    <row r="144" spans="1:4">
      <c r="A144" s="12">
        <v>121007</v>
      </c>
      <c r="B144" s="12">
        <v>540007</v>
      </c>
      <c r="C144" s="12">
        <v>104002</v>
      </c>
      <c r="D144" s="124">
        <v>19</v>
      </c>
    </row>
    <row r="145" spans="1:4">
      <c r="A145" s="12">
        <v>121008</v>
      </c>
      <c r="B145" s="12">
        <v>540008</v>
      </c>
      <c r="C145" s="12">
        <v>104002</v>
      </c>
      <c r="D145" s="124">
        <v>19</v>
      </c>
    </row>
    <row r="146" spans="1:4">
      <c r="A146" s="12">
        <v>121009</v>
      </c>
      <c r="B146" s="12">
        <v>540009</v>
      </c>
      <c r="C146" s="12">
        <v>104002</v>
      </c>
      <c r="D146" s="124">
        <v>19</v>
      </c>
    </row>
    <row r="147" spans="1:4">
      <c r="A147" s="37">
        <v>117001</v>
      </c>
      <c r="B147" s="37">
        <v>420006</v>
      </c>
      <c r="C147" s="37">
        <v>104003</v>
      </c>
      <c r="D147" s="124">
        <v>20</v>
      </c>
    </row>
    <row r="148" spans="1:4">
      <c r="A148" s="37">
        <v>117002</v>
      </c>
      <c r="B148" s="37">
        <v>420007</v>
      </c>
      <c r="C148" s="37">
        <v>104003</v>
      </c>
      <c r="D148" s="124">
        <v>20</v>
      </c>
    </row>
    <row r="149" spans="1:4">
      <c r="A149" s="37">
        <v>117003</v>
      </c>
      <c r="B149" s="37">
        <v>420008</v>
      </c>
      <c r="C149" s="37">
        <v>104003</v>
      </c>
      <c r="D149" s="124">
        <v>20</v>
      </c>
    </row>
    <row r="150" spans="1:4">
      <c r="A150" s="37">
        <v>117004</v>
      </c>
      <c r="B150" s="37">
        <v>420009</v>
      </c>
      <c r="C150" s="37">
        <v>104003</v>
      </c>
      <c r="D150" s="124">
        <v>20</v>
      </c>
    </row>
    <row r="151" spans="1:4">
      <c r="A151" s="37">
        <v>117005</v>
      </c>
      <c r="B151" s="37">
        <v>420010</v>
      </c>
      <c r="C151" s="37">
        <v>104003</v>
      </c>
      <c r="D151" s="124">
        <v>20</v>
      </c>
    </row>
    <row r="152" spans="1:4">
      <c r="A152" s="12">
        <v>119001</v>
      </c>
      <c r="B152" s="12">
        <v>410015</v>
      </c>
      <c r="C152" s="12">
        <v>104004</v>
      </c>
      <c r="D152" s="124">
        <v>21</v>
      </c>
    </row>
    <row r="153" spans="1:4">
      <c r="A153" s="12">
        <v>119002</v>
      </c>
      <c r="B153" s="12">
        <v>410016</v>
      </c>
      <c r="C153" s="12">
        <v>104004</v>
      </c>
      <c r="D153" s="124">
        <v>21</v>
      </c>
    </row>
    <row r="154" spans="1:4">
      <c r="A154" s="12">
        <v>119003</v>
      </c>
      <c r="B154" s="12">
        <v>410017</v>
      </c>
      <c r="C154" s="12">
        <v>104004</v>
      </c>
      <c r="D154" s="124">
        <v>21</v>
      </c>
    </row>
    <row r="155" spans="1:4">
      <c r="A155" s="12">
        <v>119004</v>
      </c>
      <c r="B155" s="12">
        <v>410018</v>
      </c>
      <c r="C155" s="12">
        <v>104004</v>
      </c>
      <c r="D155" s="124">
        <v>21</v>
      </c>
    </row>
    <row r="156" spans="1:4">
      <c r="A156" s="12">
        <v>119005</v>
      </c>
      <c r="B156" s="12">
        <v>410019</v>
      </c>
      <c r="C156" s="12">
        <v>104004</v>
      </c>
      <c r="D156" s="124">
        <v>21</v>
      </c>
    </row>
    <row r="157" spans="1:4">
      <c r="A157" s="12">
        <v>119006</v>
      </c>
      <c r="B157" s="12">
        <v>410020</v>
      </c>
      <c r="C157" s="12">
        <v>104004</v>
      </c>
      <c r="D157" s="124">
        <v>21</v>
      </c>
    </row>
    <row r="158" spans="1:4">
      <c r="A158" s="12">
        <v>119007</v>
      </c>
      <c r="B158" s="12">
        <v>410021</v>
      </c>
      <c r="C158" s="12">
        <v>104004</v>
      </c>
      <c r="D158" s="124">
        <v>21</v>
      </c>
    </row>
    <row r="159" spans="1:4">
      <c r="A159" s="37">
        <v>107001</v>
      </c>
      <c r="B159" s="37">
        <v>530001</v>
      </c>
      <c r="C159" s="37">
        <v>105001</v>
      </c>
      <c r="D159" s="124">
        <v>22</v>
      </c>
    </row>
    <row r="160" spans="1:4">
      <c r="A160" s="37">
        <v>107002</v>
      </c>
      <c r="B160" s="37">
        <v>530002</v>
      </c>
      <c r="C160" s="37">
        <v>105001</v>
      </c>
      <c r="D160" s="124">
        <v>22</v>
      </c>
    </row>
    <row r="161" spans="1:4">
      <c r="A161" s="37">
        <v>107003</v>
      </c>
      <c r="B161" s="37">
        <v>530003</v>
      </c>
      <c r="C161" s="37">
        <v>105001</v>
      </c>
      <c r="D161" s="124">
        <v>22</v>
      </c>
    </row>
    <row r="162" spans="1:4">
      <c r="A162" s="37">
        <v>107004</v>
      </c>
      <c r="B162" s="37">
        <v>530004</v>
      </c>
      <c r="C162" s="37">
        <v>105001</v>
      </c>
      <c r="D162" s="124">
        <v>22</v>
      </c>
    </row>
    <row r="163" spans="1:4">
      <c r="A163" s="37">
        <v>107005</v>
      </c>
      <c r="B163" s="37">
        <v>530005</v>
      </c>
      <c r="C163" s="37">
        <v>105001</v>
      </c>
      <c r="D163" s="124">
        <v>22</v>
      </c>
    </row>
    <row r="164" spans="1:4">
      <c r="A164" s="37">
        <v>107006</v>
      </c>
      <c r="B164" s="37">
        <v>530006</v>
      </c>
      <c r="C164" s="37">
        <v>105001</v>
      </c>
      <c r="D164" s="124">
        <v>22</v>
      </c>
    </row>
    <row r="165" spans="1:4">
      <c r="A165" s="37">
        <v>107007</v>
      </c>
      <c r="B165" s="37">
        <v>530007</v>
      </c>
      <c r="C165" s="37">
        <v>105001</v>
      </c>
      <c r="D165" s="124">
        <v>22</v>
      </c>
    </row>
    <row r="166" spans="1:4">
      <c r="A166" s="37">
        <v>107008</v>
      </c>
      <c r="B166" s="37">
        <v>530008</v>
      </c>
      <c r="C166" s="37">
        <v>105001</v>
      </c>
      <c r="D166" s="124">
        <v>22</v>
      </c>
    </row>
    <row r="167" spans="1:4">
      <c r="A167" s="37">
        <v>107009</v>
      </c>
      <c r="B167" s="37">
        <v>530009</v>
      </c>
      <c r="C167" s="37">
        <v>105001</v>
      </c>
      <c r="D167" s="124">
        <v>22</v>
      </c>
    </row>
    <row r="168" spans="1:4">
      <c r="A168" s="37">
        <v>107010</v>
      </c>
      <c r="B168" s="37">
        <v>530010</v>
      </c>
      <c r="C168" s="37">
        <v>105001</v>
      </c>
      <c r="D168" s="124">
        <v>22</v>
      </c>
    </row>
    <row r="169" spans="1:4">
      <c r="A169" s="12">
        <v>123001</v>
      </c>
      <c r="B169" s="12">
        <v>540001</v>
      </c>
      <c r="C169" s="12">
        <v>105002</v>
      </c>
      <c r="D169" s="124">
        <v>23</v>
      </c>
    </row>
    <row r="170" spans="1:4">
      <c r="A170" s="12">
        <v>123002</v>
      </c>
      <c r="B170" s="12">
        <v>540002</v>
      </c>
      <c r="C170" s="12">
        <v>105002</v>
      </c>
      <c r="D170" s="124">
        <v>23</v>
      </c>
    </row>
    <row r="171" spans="1:4">
      <c r="A171" s="12">
        <v>123003</v>
      </c>
      <c r="B171" s="12">
        <v>540003</v>
      </c>
      <c r="C171" s="12">
        <v>105002</v>
      </c>
      <c r="D171" s="124">
        <v>23</v>
      </c>
    </row>
    <row r="172" spans="1:4">
      <c r="A172" s="12">
        <v>123004</v>
      </c>
      <c r="B172" s="12">
        <v>540004</v>
      </c>
      <c r="C172" s="12">
        <v>105002</v>
      </c>
      <c r="D172" s="124">
        <v>23</v>
      </c>
    </row>
    <row r="173" spans="1:4">
      <c r="A173" s="12">
        <v>123005</v>
      </c>
      <c r="B173" s="12">
        <v>540005</v>
      </c>
      <c r="C173" s="12">
        <v>105002</v>
      </c>
      <c r="D173" s="124">
        <v>23</v>
      </c>
    </row>
    <row r="174" spans="1:4">
      <c r="A174" s="12">
        <v>123006</v>
      </c>
      <c r="B174" s="12">
        <v>540006</v>
      </c>
      <c r="C174" s="12">
        <v>105002</v>
      </c>
      <c r="D174" s="124">
        <v>23</v>
      </c>
    </row>
    <row r="175" spans="1:4">
      <c r="A175" s="12">
        <v>123007</v>
      </c>
      <c r="B175" s="12">
        <v>540007</v>
      </c>
      <c r="C175" s="12">
        <v>105002</v>
      </c>
      <c r="D175" s="124">
        <v>23</v>
      </c>
    </row>
    <row r="176" spans="1:4">
      <c r="A176" s="12">
        <v>123008</v>
      </c>
      <c r="B176" s="12">
        <v>540008</v>
      </c>
      <c r="C176" s="12">
        <v>105002</v>
      </c>
      <c r="D176" s="124">
        <v>23</v>
      </c>
    </row>
    <row r="177" spans="1:4">
      <c r="A177" s="12">
        <v>123009</v>
      </c>
      <c r="B177" s="12">
        <v>540009</v>
      </c>
      <c r="C177" s="12">
        <v>105002</v>
      </c>
      <c r="D177" s="124">
        <v>23</v>
      </c>
    </row>
    <row r="178" spans="1:4">
      <c r="A178" s="37">
        <v>122001</v>
      </c>
      <c r="B178" s="37">
        <v>420006</v>
      </c>
      <c r="C178" s="37">
        <v>105003</v>
      </c>
      <c r="D178" s="124">
        <v>24</v>
      </c>
    </row>
    <row r="179" spans="1:4">
      <c r="A179" s="37">
        <v>122002</v>
      </c>
      <c r="B179" s="37">
        <v>420007</v>
      </c>
      <c r="C179" s="37">
        <v>105003</v>
      </c>
      <c r="D179" s="124">
        <v>24</v>
      </c>
    </row>
    <row r="180" spans="1:4">
      <c r="A180" s="37">
        <v>122003</v>
      </c>
      <c r="B180" s="37">
        <v>420008</v>
      </c>
      <c r="C180" s="37">
        <v>105003</v>
      </c>
      <c r="D180" s="124">
        <v>24</v>
      </c>
    </row>
    <row r="181" spans="1:4">
      <c r="A181" s="37">
        <v>122004</v>
      </c>
      <c r="B181" s="37">
        <v>420009</v>
      </c>
      <c r="C181" s="37">
        <v>105003</v>
      </c>
      <c r="D181" s="124">
        <v>24</v>
      </c>
    </row>
    <row r="182" spans="1:4">
      <c r="A182" s="37">
        <v>122005</v>
      </c>
      <c r="B182" s="37">
        <v>420010</v>
      </c>
      <c r="C182" s="37">
        <v>105003</v>
      </c>
      <c r="D182" s="124">
        <v>24</v>
      </c>
    </row>
    <row r="183" spans="1:4">
      <c r="A183" s="12">
        <v>124001</v>
      </c>
      <c r="B183" s="12">
        <v>410015</v>
      </c>
      <c r="C183" s="12">
        <v>105004</v>
      </c>
      <c r="D183" s="124">
        <v>25</v>
      </c>
    </row>
    <row r="184" spans="1:4">
      <c r="A184" s="12">
        <v>124002</v>
      </c>
      <c r="B184" s="12">
        <v>410016</v>
      </c>
      <c r="C184" s="12">
        <v>105004</v>
      </c>
      <c r="D184" s="124">
        <v>25</v>
      </c>
    </row>
    <row r="185" spans="1:4">
      <c r="A185" s="12">
        <v>124003</v>
      </c>
      <c r="B185" s="12">
        <v>410017</v>
      </c>
      <c r="C185" s="12">
        <v>105004</v>
      </c>
      <c r="D185" s="124">
        <v>25</v>
      </c>
    </row>
    <row r="186" spans="1:4">
      <c r="A186" s="12">
        <v>124004</v>
      </c>
      <c r="B186" s="12">
        <v>410018</v>
      </c>
      <c r="C186" s="12">
        <v>105004</v>
      </c>
      <c r="D186" s="124">
        <v>25</v>
      </c>
    </row>
    <row r="187" spans="1:4">
      <c r="A187" s="12">
        <v>124005</v>
      </c>
      <c r="B187" s="12">
        <v>410019</v>
      </c>
      <c r="C187" s="12">
        <v>105004</v>
      </c>
      <c r="D187" s="124">
        <v>25</v>
      </c>
    </row>
    <row r="188" spans="1:4">
      <c r="A188" s="12">
        <v>124006</v>
      </c>
      <c r="B188" s="12">
        <v>410020</v>
      </c>
      <c r="C188" s="12">
        <v>105004</v>
      </c>
      <c r="D188" s="124">
        <v>25</v>
      </c>
    </row>
    <row r="189" spans="1:4">
      <c r="A189" s="12">
        <v>124007</v>
      </c>
      <c r="B189" s="12">
        <v>410021</v>
      </c>
      <c r="C189" s="12">
        <v>105004</v>
      </c>
      <c r="D189" s="124">
        <v>25</v>
      </c>
    </row>
    <row r="190" spans="1:4">
      <c r="A190" s="37">
        <v>125001</v>
      </c>
      <c r="B190" s="37">
        <v>500001</v>
      </c>
      <c r="C190" s="37">
        <v>101005</v>
      </c>
      <c r="D190" s="124">
        <v>26</v>
      </c>
    </row>
    <row r="191" spans="1:4">
      <c r="A191" s="37">
        <v>125002</v>
      </c>
      <c r="B191" s="37">
        <v>500002</v>
      </c>
      <c r="C191" s="37">
        <v>101005</v>
      </c>
      <c r="D191" s="124">
        <v>26</v>
      </c>
    </row>
    <row r="192" spans="1:4">
      <c r="A192" s="37">
        <v>125003</v>
      </c>
      <c r="B192" s="37">
        <v>500003</v>
      </c>
      <c r="C192" s="37">
        <v>101005</v>
      </c>
      <c r="D192" s="124">
        <v>26</v>
      </c>
    </row>
    <row r="193" spans="1:4">
      <c r="A193" s="37">
        <v>125004</v>
      </c>
      <c r="B193" s="37">
        <v>500004</v>
      </c>
      <c r="C193" s="37">
        <v>101005</v>
      </c>
      <c r="D193" s="124">
        <v>26</v>
      </c>
    </row>
    <row r="194" spans="1:4">
      <c r="A194" s="37">
        <v>125005</v>
      </c>
      <c r="B194" s="37">
        <v>500005</v>
      </c>
      <c r="C194" s="37">
        <v>101005</v>
      </c>
      <c r="D194" s="124">
        <v>26</v>
      </c>
    </row>
    <row r="195" spans="1:4">
      <c r="A195" s="12">
        <v>126001</v>
      </c>
      <c r="B195" s="12">
        <v>590001</v>
      </c>
      <c r="C195" s="12">
        <v>102005</v>
      </c>
      <c r="D195" s="124">
        <v>27</v>
      </c>
    </row>
    <row r="196" spans="1:4">
      <c r="A196" s="12">
        <v>126002</v>
      </c>
      <c r="B196" s="12">
        <v>590002</v>
      </c>
      <c r="C196" s="12">
        <v>102005</v>
      </c>
      <c r="D196" s="124">
        <v>27</v>
      </c>
    </row>
    <row r="197" spans="1:4">
      <c r="A197" s="12">
        <v>126003</v>
      </c>
      <c r="B197" s="12">
        <v>590003</v>
      </c>
      <c r="C197" s="12">
        <v>102005</v>
      </c>
      <c r="D197" s="124">
        <v>27</v>
      </c>
    </row>
    <row r="198" spans="1:4">
      <c r="A198" s="12">
        <v>126004</v>
      </c>
      <c r="B198" s="12">
        <v>590004</v>
      </c>
      <c r="C198" s="12">
        <v>102005</v>
      </c>
      <c r="D198" s="124">
        <v>27</v>
      </c>
    </row>
    <row r="199" spans="1:4">
      <c r="A199" s="12">
        <v>126005</v>
      </c>
      <c r="B199" s="12">
        <v>590005</v>
      </c>
      <c r="C199" s="12">
        <v>102005</v>
      </c>
      <c r="D199" s="124">
        <v>27</v>
      </c>
    </row>
    <row r="200" spans="1:4">
      <c r="A200" s="12">
        <v>126006</v>
      </c>
      <c r="B200" s="12">
        <v>590006</v>
      </c>
      <c r="C200" s="12">
        <v>102005</v>
      </c>
      <c r="D200" s="124">
        <v>27</v>
      </c>
    </row>
    <row r="201" spans="1:4">
      <c r="A201" s="12">
        <v>126007</v>
      </c>
      <c r="B201" s="12">
        <v>590007</v>
      </c>
      <c r="C201" s="12">
        <v>102005</v>
      </c>
      <c r="D201" s="124">
        <v>27</v>
      </c>
    </row>
    <row r="202" spans="1:4">
      <c r="A202" s="12">
        <v>126008</v>
      </c>
      <c r="B202" s="12">
        <v>590008</v>
      </c>
      <c r="C202" s="12">
        <v>102005</v>
      </c>
      <c r="D202" s="124">
        <v>27</v>
      </c>
    </row>
    <row r="203" spans="1:4">
      <c r="A203" s="12">
        <v>126009</v>
      </c>
      <c r="B203" s="12">
        <v>590009</v>
      </c>
      <c r="C203" s="12">
        <v>102005</v>
      </c>
      <c r="D203" s="124">
        <v>27</v>
      </c>
    </row>
    <row r="204" spans="1:4">
      <c r="A204" s="12">
        <v>126010</v>
      </c>
      <c r="B204" s="12">
        <v>590010</v>
      </c>
      <c r="C204" s="12">
        <v>102005</v>
      </c>
      <c r="D204" s="124">
        <v>27</v>
      </c>
    </row>
    <row r="205" spans="1:4">
      <c r="A205" s="37">
        <v>127001</v>
      </c>
      <c r="B205" s="37">
        <v>600001</v>
      </c>
      <c r="C205" s="37">
        <v>103003</v>
      </c>
      <c r="D205" s="124">
        <v>28</v>
      </c>
    </row>
    <row r="206" spans="1:4">
      <c r="A206" s="37">
        <v>127002</v>
      </c>
      <c r="B206" s="37">
        <v>600002</v>
      </c>
      <c r="C206" s="37">
        <v>103003</v>
      </c>
      <c r="D206" s="124">
        <v>28</v>
      </c>
    </row>
    <row r="207" spans="1:4">
      <c r="A207" s="37">
        <v>127003</v>
      </c>
      <c r="B207" s="37">
        <v>600003</v>
      </c>
      <c r="C207" s="37">
        <v>103003</v>
      </c>
      <c r="D207" s="124">
        <v>28</v>
      </c>
    </row>
    <row r="208" spans="1:4">
      <c r="A208" s="12">
        <v>128001</v>
      </c>
      <c r="B208" s="12">
        <v>610001</v>
      </c>
      <c r="C208" s="12">
        <v>105003</v>
      </c>
      <c r="D208" s="124">
        <v>29</v>
      </c>
    </row>
    <row r="209" spans="1:4">
      <c r="A209" s="12">
        <v>128002</v>
      </c>
      <c r="B209" s="12">
        <v>610002</v>
      </c>
      <c r="C209" s="12">
        <v>105003</v>
      </c>
      <c r="D209" s="124">
        <v>29</v>
      </c>
    </row>
    <row r="210" spans="1:4">
      <c r="A210" s="12">
        <v>128003</v>
      </c>
      <c r="B210" s="12">
        <v>610003</v>
      </c>
      <c r="C210" s="12">
        <v>105003</v>
      </c>
      <c r="D210" s="124">
        <v>29</v>
      </c>
    </row>
    <row r="211" spans="1:4">
      <c r="A211" s="12">
        <v>128004</v>
      </c>
      <c r="B211" s="12">
        <v>610004</v>
      </c>
      <c r="C211" s="12">
        <v>105003</v>
      </c>
      <c r="D211" s="124">
        <v>29</v>
      </c>
    </row>
    <row r="212" spans="1:4">
      <c r="A212" s="12">
        <v>128005</v>
      </c>
      <c r="B212" s="12">
        <v>610005</v>
      </c>
      <c r="C212" s="12">
        <v>105003</v>
      </c>
      <c r="D212" s="124">
        <v>29</v>
      </c>
    </row>
    <row r="213" spans="1:4">
      <c r="A213" s="37">
        <v>130001</v>
      </c>
      <c r="B213" s="37">
        <v>630001</v>
      </c>
      <c r="C213" s="37">
        <v>106004</v>
      </c>
      <c r="D213" s="124">
        <v>31</v>
      </c>
    </row>
    <row r="214" spans="1:4">
      <c r="A214" s="37">
        <v>130002</v>
      </c>
      <c r="B214" s="37">
        <v>630002</v>
      </c>
      <c r="C214" s="37">
        <v>106004</v>
      </c>
      <c r="D214" s="124">
        <v>31</v>
      </c>
    </row>
    <row r="215" spans="1:4">
      <c r="A215" s="37">
        <v>130003</v>
      </c>
      <c r="B215" s="37">
        <v>630003</v>
      </c>
      <c r="C215" s="37">
        <v>106004</v>
      </c>
      <c r="D215" s="124">
        <v>31</v>
      </c>
    </row>
    <row r="216" spans="1:4">
      <c r="A216" s="37">
        <v>130004</v>
      </c>
      <c r="B216" s="37">
        <v>630004</v>
      </c>
      <c r="C216" s="37">
        <v>106004</v>
      </c>
      <c r="D216" s="124">
        <v>31</v>
      </c>
    </row>
    <row r="217" spans="1:4">
      <c r="A217" s="37">
        <v>130005</v>
      </c>
      <c r="B217" s="37">
        <v>630005</v>
      </c>
      <c r="C217" s="37">
        <v>106004</v>
      </c>
      <c r="D217" s="124">
        <v>31</v>
      </c>
    </row>
    <row r="218" spans="1:4">
      <c r="A218" s="37">
        <v>130006</v>
      </c>
      <c r="B218" s="37">
        <v>630006</v>
      </c>
      <c r="C218" s="37">
        <v>106004</v>
      </c>
      <c r="D218" s="124">
        <v>31</v>
      </c>
    </row>
    <row r="219" spans="1:4">
      <c r="A219" s="12">
        <v>140001</v>
      </c>
      <c r="B219" s="12">
        <v>400011</v>
      </c>
      <c r="C219" s="12">
        <v>110001</v>
      </c>
      <c r="D219" s="124">
        <v>32</v>
      </c>
    </row>
    <row r="220" spans="1:4">
      <c r="A220" s="12">
        <v>140002</v>
      </c>
      <c r="B220" s="12">
        <v>400012</v>
      </c>
      <c r="C220" s="12">
        <v>110001</v>
      </c>
      <c r="D220" s="124">
        <v>32</v>
      </c>
    </row>
    <row r="221" spans="1:4">
      <c r="A221" s="12">
        <v>140003</v>
      </c>
      <c r="B221" s="12">
        <v>400013</v>
      </c>
      <c r="C221" s="12">
        <v>110001</v>
      </c>
      <c r="D221" s="124">
        <v>32</v>
      </c>
    </row>
    <row r="222" spans="1:4">
      <c r="A222" s="12">
        <v>140004</v>
      </c>
      <c r="B222" s="12">
        <v>400014</v>
      </c>
      <c r="C222" s="12">
        <v>110001</v>
      </c>
      <c r="D222" s="124">
        <v>32</v>
      </c>
    </row>
    <row r="223" spans="1:4">
      <c r="A223" s="12">
        <v>140005</v>
      </c>
      <c r="B223" s="12">
        <v>400015</v>
      </c>
      <c r="C223" s="12">
        <v>110001</v>
      </c>
      <c r="D223" s="124">
        <v>32</v>
      </c>
    </row>
    <row r="224" spans="1:4">
      <c r="A224" s="12">
        <v>140006</v>
      </c>
      <c r="B224" s="12">
        <v>400016</v>
      </c>
      <c r="C224" s="12">
        <v>110001</v>
      </c>
      <c r="D224" s="124">
        <v>32</v>
      </c>
    </row>
    <row r="225" spans="1:4">
      <c r="A225" s="12">
        <v>140007</v>
      </c>
      <c r="B225" s="12">
        <v>400017</v>
      </c>
      <c r="C225" s="12">
        <v>110001</v>
      </c>
      <c r="D225" s="124">
        <v>32</v>
      </c>
    </row>
    <row r="226" spans="1:4">
      <c r="A226" s="12">
        <v>140008</v>
      </c>
      <c r="B226" s="12">
        <v>400018</v>
      </c>
      <c r="C226" s="12">
        <v>110001</v>
      </c>
      <c r="D226" s="124">
        <v>32</v>
      </c>
    </row>
    <row r="227" spans="1:4">
      <c r="A227" s="12">
        <v>150001</v>
      </c>
      <c r="B227" s="12">
        <v>541001</v>
      </c>
      <c r="C227" s="12">
        <v>105002</v>
      </c>
      <c r="D227" s="124">
        <v>33</v>
      </c>
    </row>
    <row r="228" spans="1:4">
      <c r="A228" s="12">
        <v>150002</v>
      </c>
      <c r="B228" s="12">
        <v>541002</v>
      </c>
      <c r="C228" s="12">
        <v>105002</v>
      </c>
      <c r="D228" s="124">
        <v>33</v>
      </c>
    </row>
    <row r="229" spans="1:4">
      <c r="A229" s="12">
        <v>150003</v>
      </c>
      <c r="B229" s="12">
        <v>541003</v>
      </c>
      <c r="C229" s="12">
        <v>105002</v>
      </c>
      <c r="D229" s="124">
        <v>33</v>
      </c>
    </row>
    <row r="230" spans="1:4">
      <c r="A230" s="12">
        <v>150004</v>
      </c>
      <c r="B230" s="12">
        <v>541004</v>
      </c>
      <c r="C230" s="12">
        <v>105002</v>
      </c>
      <c r="D230" s="124">
        <v>33</v>
      </c>
    </row>
    <row r="231" spans="1:4">
      <c r="A231" s="12">
        <v>150005</v>
      </c>
      <c r="B231" s="12">
        <v>541005</v>
      </c>
      <c r="C231" s="12">
        <v>105002</v>
      </c>
      <c r="D231" s="124">
        <v>33</v>
      </c>
    </row>
    <row r="232" spans="1:4">
      <c r="A232" s="12">
        <v>150006</v>
      </c>
      <c r="B232" s="12">
        <v>541006</v>
      </c>
      <c r="C232" s="12">
        <v>105002</v>
      </c>
      <c r="D232" s="124">
        <v>33</v>
      </c>
    </row>
    <row r="233" spans="1:4">
      <c r="A233" s="12">
        <v>150007</v>
      </c>
      <c r="B233" s="12">
        <v>541007</v>
      </c>
      <c r="C233" s="12">
        <v>105002</v>
      </c>
      <c r="D233" s="124">
        <v>33</v>
      </c>
    </row>
    <row r="234" spans="1:4">
      <c r="A234" s="12">
        <v>150008</v>
      </c>
      <c r="B234" s="12">
        <v>541008</v>
      </c>
      <c r="C234" s="12">
        <v>105002</v>
      </c>
      <c r="D234" s="124">
        <v>33</v>
      </c>
    </row>
    <row r="235" spans="1:4">
      <c r="A235" s="12">
        <v>150009</v>
      </c>
      <c r="B235" s="12">
        <v>541009</v>
      </c>
      <c r="C235" s="12">
        <v>105002</v>
      </c>
      <c r="D235" s="124">
        <v>33</v>
      </c>
    </row>
    <row r="236" spans="1:4">
      <c r="A236" s="37">
        <v>160001</v>
      </c>
      <c r="B236" s="37">
        <v>900801</v>
      </c>
      <c r="C236" s="37">
        <v>106001</v>
      </c>
      <c r="D236" s="125">
        <v>34</v>
      </c>
    </row>
    <row r="237" spans="1:4">
      <c r="A237" s="37">
        <v>160002</v>
      </c>
      <c r="B237" s="37">
        <v>900802</v>
      </c>
      <c r="C237" s="37">
        <v>106001</v>
      </c>
      <c r="D237" s="125">
        <v>34</v>
      </c>
    </row>
    <row r="238" spans="1:4">
      <c r="A238" s="37">
        <v>160003</v>
      </c>
      <c r="B238" s="37">
        <v>900803</v>
      </c>
      <c r="C238" s="37">
        <v>106001</v>
      </c>
      <c r="D238" s="125">
        <v>34</v>
      </c>
    </row>
    <row r="239" spans="1:4">
      <c r="A239" s="37">
        <v>160004</v>
      </c>
      <c r="B239" s="37">
        <v>900804</v>
      </c>
      <c r="C239" s="37">
        <v>106001</v>
      </c>
      <c r="D239" s="125">
        <v>34</v>
      </c>
    </row>
    <row r="240" spans="1:4">
      <c r="A240" s="37">
        <v>160005</v>
      </c>
      <c r="B240" s="37">
        <v>900805</v>
      </c>
      <c r="C240" s="37">
        <v>106001</v>
      </c>
      <c r="D240" s="125">
        <v>34</v>
      </c>
    </row>
    <row r="241" spans="1:4">
      <c r="A241" s="37">
        <v>160006</v>
      </c>
      <c r="B241" s="37">
        <v>900806</v>
      </c>
      <c r="C241" s="37">
        <v>106001</v>
      </c>
      <c r="D241" s="125">
        <v>34</v>
      </c>
    </row>
    <row r="242" spans="1:4">
      <c r="A242" s="37">
        <v>160007</v>
      </c>
      <c r="B242" s="37">
        <v>900807</v>
      </c>
      <c r="C242" s="37">
        <v>106001</v>
      </c>
      <c r="D242" s="125">
        <v>34</v>
      </c>
    </row>
    <row r="243" spans="1:4">
      <c r="A243" s="37">
        <v>160008</v>
      </c>
      <c r="B243" s="37">
        <v>900808</v>
      </c>
      <c r="C243" s="37">
        <v>106001</v>
      </c>
      <c r="D243" s="125">
        <v>34</v>
      </c>
    </row>
    <row r="244" spans="1:4">
      <c r="A244" s="37">
        <v>160009</v>
      </c>
      <c r="B244" s="37">
        <v>900809</v>
      </c>
      <c r="C244" s="37">
        <v>106001</v>
      </c>
      <c r="D244" s="125">
        <v>34</v>
      </c>
    </row>
    <row r="245" spans="1:4">
      <c r="A245" s="37">
        <v>160010</v>
      </c>
      <c r="B245" s="37">
        <v>900810</v>
      </c>
      <c r="C245" s="37">
        <v>106001</v>
      </c>
      <c r="D245" s="125">
        <v>34</v>
      </c>
    </row>
    <row r="246" spans="1:4">
      <c r="A246" s="62">
        <v>170001</v>
      </c>
      <c r="B246" s="62">
        <v>900901</v>
      </c>
      <c r="C246" s="62">
        <v>107001</v>
      </c>
      <c r="D246" s="126">
        <v>35</v>
      </c>
    </row>
    <row r="247" spans="1:4">
      <c r="A247" s="62">
        <v>170002</v>
      </c>
      <c r="B247" s="62">
        <v>900902</v>
      </c>
      <c r="C247" s="62">
        <v>107001</v>
      </c>
      <c r="D247" s="126">
        <v>35</v>
      </c>
    </row>
    <row r="248" spans="1:4">
      <c r="A248" s="62">
        <v>170003</v>
      </c>
      <c r="B248" s="62">
        <v>900903</v>
      </c>
      <c r="C248" s="62">
        <v>107001</v>
      </c>
      <c r="D248" s="126">
        <v>35</v>
      </c>
    </row>
    <row r="249" spans="1:4">
      <c r="A249" s="62">
        <v>170004</v>
      </c>
      <c r="B249" s="62">
        <v>900904</v>
      </c>
      <c r="C249" s="62">
        <v>107001</v>
      </c>
      <c r="D249" s="126">
        <v>35</v>
      </c>
    </row>
    <row r="250" spans="1:4">
      <c r="A250" s="62">
        <v>170005</v>
      </c>
      <c r="B250" s="62">
        <v>900905</v>
      </c>
      <c r="C250" s="62">
        <v>107001</v>
      </c>
      <c r="D250" s="126">
        <v>35</v>
      </c>
    </row>
    <row r="251" spans="1:4">
      <c r="A251" s="62">
        <v>170006</v>
      </c>
      <c r="B251" s="62">
        <v>900906</v>
      </c>
      <c r="C251" s="62">
        <v>107001</v>
      </c>
      <c r="D251" s="126">
        <v>35</v>
      </c>
    </row>
    <row r="252" spans="1:4">
      <c r="A252" s="62">
        <v>170007</v>
      </c>
      <c r="B252" s="62">
        <v>900907</v>
      </c>
      <c r="C252" s="62">
        <v>107001</v>
      </c>
      <c r="D252" s="126">
        <v>35</v>
      </c>
    </row>
    <row r="253" spans="1:4">
      <c r="A253" s="62">
        <v>170008</v>
      </c>
      <c r="B253" s="62">
        <v>900908</v>
      </c>
      <c r="C253" s="62">
        <v>107001</v>
      </c>
      <c r="D253" s="126">
        <v>35</v>
      </c>
    </row>
    <row r="254" spans="1:4">
      <c r="A254" s="62">
        <v>170009</v>
      </c>
      <c r="B254" s="62">
        <v>900909</v>
      </c>
      <c r="C254" s="62">
        <v>107001</v>
      </c>
      <c r="D254" s="126">
        <v>35</v>
      </c>
    </row>
    <row r="255" spans="1:4">
      <c r="A255" s="62">
        <v>170010</v>
      </c>
      <c r="B255" s="62">
        <v>900910</v>
      </c>
      <c r="C255" s="62">
        <v>107001</v>
      </c>
      <c r="D255" s="126">
        <v>35</v>
      </c>
    </row>
    <row r="256" spans="1:4">
      <c r="A256" s="115">
        <v>180001</v>
      </c>
      <c r="B256" s="115">
        <v>901001</v>
      </c>
      <c r="C256" s="115">
        <v>108001</v>
      </c>
      <c r="D256" s="127">
        <v>36</v>
      </c>
    </row>
    <row r="257" spans="1:4">
      <c r="A257" s="115">
        <v>180002</v>
      </c>
      <c r="B257" s="115">
        <v>901002</v>
      </c>
      <c r="C257" s="115">
        <v>108001</v>
      </c>
      <c r="D257" s="127">
        <v>36</v>
      </c>
    </row>
    <row r="258" spans="1:4">
      <c r="A258" s="115">
        <v>180003</v>
      </c>
      <c r="B258" s="115">
        <v>901003</v>
      </c>
      <c r="C258" s="115">
        <v>108001</v>
      </c>
      <c r="D258" s="127">
        <v>36</v>
      </c>
    </row>
    <row r="259" spans="1:4">
      <c r="A259" s="115">
        <v>180004</v>
      </c>
      <c r="B259" s="115">
        <v>901004</v>
      </c>
      <c r="C259" s="115">
        <v>108001</v>
      </c>
      <c r="D259" s="127">
        <v>36</v>
      </c>
    </row>
    <row r="260" spans="1:4">
      <c r="A260" s="115">
        <v>180005</v>
      </c>
      <c r="B260" s="115">
        <v>901005</v>
      </c>
      <c r="C260" s="115">
        <v>108001</v>
      </c>
      <c r="D260" s="127">
        <v>36</v>
      </c>
    </row>
    <row r="261" spans="1:4">
      <c r="A261" s="115">
        <v>180006</v>
      </c>
      <c r="B261" s="115">
        <v>901006</v>
      </c>
      <c r="C261" s="115">
        <v>108001</v>
      </c>
      <c r="D261" s="127">
        <v>36</v>
      </c>
    </row>
    <row r="262" spans="1:4">
      <c r="A262" s="115">
        <v>180007</v>
      </c>
      <c r="B262" s="115">
        <v>901007</v>
      </c>
      <c r="C262" s="115">
        <v>108001</v>
      </c>
      <c r="D262" s="127">
        <v>36</v>
      </c>
    </row>
    <row r="263" spans="1:4">
      <c r="A263" s="115">
        <v>180008</v>
      </c>
      <c r="B263" s="115">
        <v>901008</v>
      </c>
      <c r="C263" s="115">
        <v>108001</v>
      </c>
      <c r="D263" s="127">
        <v>36</v>
      </c>
    </row>
    <row r="264" spans="1:4">
      <c r="A264" s="115">
        <v>180009</v>
      </c>
      <c r="B264" s="115">
        <v>901009</v>
      </c>
      <c r="C264" s="115">
        <v>108001</v>
      </c>
      <c r="D264" s="127">
        <v>36</v>
      </c>
    </row>
    <row r="265" spans="1:4">
      <c r="A265" s="115">
        <v>180010</v>
      </c>
      <c r="B265" s="115">
        <v>901010</v>
      </c>
      <c r="C265" s="115">
        <v>108001</v>
      </c>
      <c r="D265" s="127">
        <v>36</v>
      </c>
    </row>
    <row r="266" spans="1:4">
      <c r="A266" s="37">
        <v>190001</v>
      </c>
      <c r="B266" s="42">
        <v>901101</v>
      </c>
      <c r="C266" s="37">
        <v>109001</v>
      </c>
      <c r="D266" s="125">
        <v>37</v>
      </c>
    </row>
    <row r="267" spans="1:4">
      <c r="A267" s="37">
        <v>190002</v>
      </c>
      <c r="B267" s="42">
        <v>901102</v>
      </c>
      <c r="C267" s="37">
        <v>109001</v>
      </c>
      <c r="D267" s="125">
        <v>37</v>
      </c>
    </row>
    <row r="268" spans="1:4">
      <c r="A268" s="37">
        <v>190003</v>
      </c>
      <c r="B268" s="42">
        <v>901103</v>
      </c>
      <c r="C268" s="37">
        <v>109001</v>
      </c>
      <c r="D268" s="125">
        <v>37</v>
      </c>
    </row>
    <row r="269" spans="1:4">
      <c r="A269" s="37">
        <v>190004</v>
      </c>
      <c r="B269" s="42">
        <v>901104</v>
      </c>
      <c r="C269" s="37">
        <v>109001</v>
      </c>
      <c r="D269" s="125">
        <v>37</v>
      </c>
    </row>
    <row r="270" spans="1:4">
      <c r="A270" s="37">
        <v>190005</v>
      </c>
      <c r="B270" s="42">
        <v>901105</v>
      </c>
      <c r="C270" s="37">
        <v>109001</v>
      </c>
      <c r="D270" s="125">
        <v>37</v>
      </c>
    </row>
    <row r="271" spans="1:4">
      <c r="A271" s="37">
        <v>190006</v>
      </c>
      <c r="B271" s="42">
        <v>901106</v>
      </c>
      <c r="C271" s="37">
        <v>109001</v>
      </c>
      <c r="D271" s="125">
        <v>37</v>
      </c>
    </row>
    <row r="272" spans="1:4">
      <c r="A272" s="37">
        <v>190007</v>
      </c>
      <c r="B272" s="42">
        <v>901107</v>
      </c>
      <c r="C272" s="37">
        <v>109001</v>
      </c>
      <c r="D272" s="125">
        <v>37</v>
      </c>
    </row>
    <row r="273" spans="1:4">
      <c r="A273" s="37">
        <v>190008</v>
      </c>
      <c r="B273" s="42">
        <v>901108</v>
      </c>
      <c r="C273" s="37">
        <v>109001</v>
      </c>
      <c r="D273" s="125">
        <v>37</v>
      </c>
    </row>
    <row r="274" spans="1:4">
      <c r="A274" s="37">
        <v>190009</v>
      </c>
      <c r="B274" s="42">
        <v>901109</v>
      </c>
      <c r="C274" s="37">
        <v>109001</v>
      </c>
      <c r="D274" s="125">
        <v>37</v>
      </c>
    </row>
    <row r="275" spans="1:4">
      <c r="A275" s="37">
        <v>190010</v>
      </c>
      <c r="B275" s="42">
        <v>901110</v>
      </c>
      <c r="C275" s="37">
        <v>109001</v>
      </c>
      <c r="D275" s="125">
        <v>37</v>
      </c>
    </row>
    <row r="276" spans="1:4">
      <c r="A276" s="62">
        <v>200001</v>
      </c>
      <c r="B276" s="128">
        <v>901201</v>
      </c>
      <c r="C276" s="62">
        <v>110001</v>
      </c>
      <c r="D276" s="126">
        <v>38</v>
      </c>
    </row>
    <row r="277" spans="1:4">
      <c r="A277" s="62">
        <v>200002</v>
      </c>
      <c r="B277" s="128">
        <v>901202</v>
      </c>
      <c r="C277" s="62">
        <v>110001</v>
      </c>
      <c r="D277" s="126">
        <v>38</v>
      </c>
    </row>
    <row r="278" spans="1:4">
      <c r="A278" s="62">
        <v>200003</v>
      </c>
      <c r="B278" s="128">
        <v>901203</v>
      </c>
      <c r="C278" s="62">
        <v>110001</v>
      </c>
      <c r="D278" s="126">
        <v>38</v>
      </c>
    </row>
    <row r="279" spans="1:4">
      <c r="A279" s="62">
        <v>200004</v>
      </c>
      <c r="B279" s="128">
        <v>901204</v>
      </c>
      <c r="C279" s="62">
        <v>110001</v>
      </c>
      <c r="D279" s="126">
        <v>38</v>
      </c>
    </row>
    <row r="280" spans="1:4">
      <c r="A280" s="62">
        <v>200005</v>
      </c>
      <c r="B280" s="128">
        <v>901205</v>
      </c>
      <c r="C280" s="62">
        <v>110001</v>
      </c>
      <c r="D280" s="126">
        <v>38</v>
      </c>
    </row>
    <row r="281" spans="1:4">
      <c r="A281" s="62">
        <v>200006</v>
      </c>
      <c r="B281" s="128">
        <v>901206</v>
      </c>
      <c r="C281" s="62">
        <v>110001</v>
      </c>
      <c r="D281" s="126">
        <v>38</v>
      </c>
    </row>
    <row r="282" spans="1:4">
      <c r="A282" s="62">
        <v>200007</v>
      </c>
      <c r="B282" s="128">
        <v>901207</v>
      </c>
      <c r="C282" s="62">
        <v>110001</v>
      </c>
      <c r="D282" s="126">
        <v>38</v>
      </c>
    </row>
    <row r="283" spans="1:4">
      <c r="A283" s="62">
        <v>200008</v>
      </c>
      <c r="B283" s="128">
        <v>901208</v>
      </c>
      <c r="C283" s="62">
        <v>110001</v>
      </c>
      <c r="D283" s="126">
        <v>38</v>
      </c>
    </row>
    <row r="284" spans="1:4">
      <c r="A284" s="62">
        <v>200009</v>
      </c>
      <c r="B284" s="128">
        <v>901209</v>
      </c>
      <c r="C284" s="62">
        <v>110001</v>
      </c>
      <c r="D284" s="126">
        <v>38</v>
      </c>
    </row>
    <row r="285" spans="1:4">
      <c r="A285" s="62">
        <v>200010</v>
      </c>
      <c r="B285" s="128">
        <v>901210</v>
      </c>
      <c r="C285" s="62">
        <v>110001</v>
      </c>
      <c r="D285" s="126">
        <v>38</v>
      </c>
    </row>
    <row r="286" spans="1:4">
      <c r="A286" s="115">
        <v>210001</v>
      </c>
      <c r="B286" s="129">
        <v>901301</v>
      </c>
      <c r="C286" s="115">
        <v>111001</v>
      </c>
      <c r="D286" s="127">
        <v>39</v>
      </c>
    </row>
    <row r="287" spans="1:4">
      <c r="A287" s="115">
        <v>210002</v>
      </c>
      <c r="B287" s="129">
        <v>901302</v>
      </c>
      <c r="C287" s="115">
        <v>111001</v>
      </c>
      <c r="D287" s="127">
        <v>39</v>
      </c>
    </row>
    <row r="288" spans="1:4">
      <c r="A288" s="115">
        <v>210003</v>
      </c>
      <c r="B288" s="129">
        <v>901303</v>
      </c>
      <c r="C288" s="115">
        <v>111001</v>
      </c>
      <c r="D288" s="127">
        <v>39</v>
      </c>
    </row>
    <row r="289" spans="1:4">
      <c r="A289" s="115">
        <v>210004</v>
      </c>
      <c r="B289" s="129">
        <v>901304</v>
      </c>
      <c r="C289" s="115">
        <v>111001</v>
      </c>
      <c r="D289" s="127">
        <v>39</v>
      </c>
    </row>
    <row r="290" spans="1:4">
      <c r="A290" s="115">
        <v>210005</v>
      </c>
      <c r="B290" s="129">
        <v>901305</v>
      </c>
      <c r="C290" s="115">
        <v>111001</v>
      </c>
      <c r="D290" s="127">
        <v>39</v>
      </c>
    </row>
    <row r="291" spans="1:4">
      <c r="A291" s="115">
        <v>210006</v>
      </c>
      <c r="B291" s="129">
        <v>901306</v>
      </c>
      <c r="C291" s="115">
        <v>111001</v>
      </c>
      <c r="D291" s="127">
        <v>39</v>
      </c>
    </row>
    <row r="292" spans="1:4">
      <c r="A292" s="115">
        <v>210007</v>
      </c>
      <c r="B292" s="129">
        <v>901307</v>
      </c>
      <c r="C292" s="115">
        <v>111001</v>
      </c>
      <c r="D292" s="127">
        <v>39</v>
      </c>
    </row>
    <row r="293" spans="1:4">
      <c r="A293" s="115">
        <v>210008</v>
      </c>
      <c r="B293" s="129">
        <v>901308</v>
      </c>
      <c r="C293" s="115">
        <v>111001</v>
      </c>
      <c r="D293" s="127">
        <v>39</v>
      </c>
    </row>
    <row r="294" spans="1:4">
      <c r="A294" s="115">
        <v>210009</v>
      </c>
      <c r="B294" s="129">
        <v>901309</v>
      </c>
      <c r="C294" s="115">
        <v>111001</v>
      </c>
      <c r="D294" s="127">
        <v>39</v>
      </c>
    </row>
    <row r="295" spans="1:4">
      <c r="A295" s="130">
        <v>220001</v>
      </c>
      <c r="B295" s="131">
        <v>901401</v>
      </c>
      <c r="C295" s="130">
        <v>112001</v>
      </c>
      <c r="D295" s="132">
        <v>40</v>
      </c>
    </row>
    <row r="296" spans="1:4">
      <c r="A296" s="130">
        <v>220002</v>
      </c>
      <c r="B296" s="131">
        <v>901402</v>
      </c>
      <c r="C296" s="130">
        <v>112001</v>
      </c>
      <c r="D296" s="132">
        <v>40</v>
      </c>
    </row>
    <row r="297" spans="1:4">
      <c r="A297" s="130">
        <v>220003</v>
      </c>
      <c r="B297" s="131">
        <v>901403</v>
      </c>
      <c r="C297" s="130">
        <v>112001</v>
      </c>
      <c r="D297" s="132">
        <v>40</v>
      </c>
    </row>
    <row r="298" spans="1:4">
      <c r="A298" s="130">
        <v>220004</v>
      </c>
      <c r="B298" s="131">
        <v>901404</v>
      </c>
      <c r="C298" s="130">
        <v>112001</v>
      </c>
      <c r="D298" s="132">
        <v>40</v>
      </c>
    </row>
    <row r="299" spans="1:4">
      <c r="A299" s="130">
        <v>220005</v>
      </c>
      <c r="B299" s="131">
        <v>901405</v>
      </c>
      <c r="C299" s="130">
        <v>112001</v>
      </c>
      <c r="D299" s="132">
        <v>40</v>
      </c>
    </row>
    <row r="300" spans="1:4">
      <c r="A300" s="130">
        <v>220006</v>
      </c>
      <c r="B300" s="131">
        <v>901406</v>
      </c>
      <c r="C300" s="130">
        <v>112001</v>
      </c>
      <c r="D300" s="132">
        <v>40</v>
      </c>
    </row>
    <row r="301" spans="1:4">
      <c r="A301" s="130">
        <v>220007</v>
      </c>
      <c r="B301" s="131">
        <v>901407</v>
      </c>
      <c r="C301" s="130">
        <v>112001</v>
      </c>
      <c r="D301" s="132">
        <v>40</v>
      </c>
    </row>
    <row r="302" spans="1:4">
      <c r="A302" s="130">
        <v>220008</v>
      </c>
      <c r="B302" s="131">
        <v>901408</v>
      </c>
      <c r="C302" s="130">
        <v>112001</v>
      </c>
      <c r="D302" s="132">
        <v>40</v>
      </c>
    </row>
    <row r="303" spans="1:4">
      <c r="A303" s="130">
        <v>220009</v>
      </c>
      <c r="B303" s="131">
        <v>901409</v>
      </c>
      <c r="C303" s="130">
        <v>112001</v>
      </c>
      <c r="D303" s="132">
        <v>40</v>
      </c>
    </row>
    <row r="304" spans="1:4">
      <c r="A304" s="130">
        <v>220010</v>
      </c>
      <c r="B304" s="131">
        <v>901410</v>
      </c>
      <c r="C304" s="130">
        <v>112001</v>
      </c>
      <c r="D304" s="132">
        <v>40</v>
      </c>
    </row>
    <row r="305" spans="1:4">
      <c r="A305" s="118">
        <v>230001</v>
      </c>
      <c r="B305" s="133">
        <v>901501</v>
      </c>
      <c r="C305" s="118">
        <v>113001</v>
      </c>
      <c r="D305" s="134">
        <v>41</v>
      </c>
    </row>
    <row r="306" spans="1:4">
      <c r="A306" s="118">
        <v>230002</v>
      </c>
      <c r="B306" s="133">
        <v>901502</v>
      </c>
      <c r="C306" s="118">
        <v>113001</v>
      </c>
      <c r="D306" s="134">
        <v>41</v>
      </c>
    </row>
    <row r="307" spans="1:4">
      <c r="A307" s="118">
        <v>230003</v>
      </c>
      <c r="B307" s="133">
        <v>901503</v>
      </c>
      <c r="C307" s="118">
        <v>113001</v>
      </c>
      <c r="D307" s="134">
        <v>41</v>
      </c>
    </row>
    <row r="308" spans="1:4">
      <c r="A308" s="118">
        <v>230004</v>
      </c>
      <c r="B308" s="133">
        <v>901504</v>
      </c>
      <c r="C308" s="118">
        <v>113001</v>
      </c>
      <c r="D308" s="134">
        <v>41</v>
      </c>
    </row>
    <row r="309" spans="1:4">
      <c r="A309" s="118">
        <v>230005</v>
      </c>
      <c r="B309" s="133">
        <v>901505</v>
      </c>
      <c r="C309" s="118">
        <v>113001</v>
      </c>
      <c r="D309" s="134">
        <v>41</v>
      </c>
    </row>
    <row r="310" spans="1:4">
      <c r="A310" s="118">
        <v>230006</v>
      </c>
      <c r="B310" s="133">
        <v>901506</v>
      </c>
      <c r="C310" s="118">
        <v>113001</v>
      </c>
      <c r="D310" s="134">
        <v>41</v>
      </c>
    </row>
    <row r="311" spans="1:4">
      <c r="A311" s="118">
        <v>230007</v>
      </c>
      <c r="B311" s="133">
        <v>901507</v>
      </c>
      <c r="C311" s="118">
        <v>113001</v>
      </c>
      <c r="D311" s="134">
        <v>41</v>
      </c>
    </row>
    <row r="312" spans="1:4">
      <c r="A312" s="118">
        <v>230008</v>
      </c>
      <c r="B312" s="133">
        <v>901508</v>
      </c>
      <c r="C312" s="118">
        <v>113001</v>
      </c>
      <c r="D312" s="134">
        <v>41</v>
      </c>
    </row>
    <row r="313" spans="1:4">
      <c r="A313" s="118">
        <v>230009</v>
      </c>
      <c r="B313" s="133">
        <v>901509</v>
      </c>
      <c r="C313" s="118">
        <v>113001</v>
      </c>
      <c r="D313" s="134">
        <v>41</v>
      </c>
    </row>
    <row r="314" spans="1:4">
      <c r="A314" s="118">
        <v>230010</v>
      </c>
      <c r="B314" s="133">
        <v>901510</v>
      </c>
      <c r="C314" s="118">
        <v>113001</v>
      </c>
      <c r="D314" s="134">
        <v>41</v>
      </c>
    </row>
    <row r="315" spans="1:4">
      <c r="A315" s="121">
        <v>240001</v>
      </c>
      <c r="B315" s="135">
        <v>901601</v>
      </c>
      <c r="C315" s="121">
        <v>114001</v>
      </c>
      <c r="D315" s="136">
        <v>42</v>
      </c>
    </row>
    <row r="316" spans="1:4">
      <c r="A316" s="121">
        <v>240002</v>
      </c>
      <c r="B316" s="135">
        <v>901602</v>
      </c>
      <c r="C316" s="121">
        <v>114001</v>
      </c>
      <c r="D316" s="136">
        <v>42</v>
      </c>
    </row>
    <row r="317" spans="1:4">
      <c r="A317" s="121">
        <v>240003</v>
      </c>
      <c r="B317" s="135">
        <v>901603</v>
      </c>
      <c r="C317" s="121">
        <v>114001</v>
      </c>
      <c r="D317" s="136">
        <v>42</v>
      </c>
    </row>
    <row r="318" spans="1:4">
      <c r="A318" s="121">
        <v>240004</v>
      </c>
      <c r="B318" s="135">
        <v>901604</v>
      </c>
      <c r="C318" s="121">
        <v>114001</v>
      </c>
      <c r="D318" s="136">
        <v>42</v>
      </c>
    </row>
    <row r="319" spans="1:4">
      <c r="A319" s="121">
        <v>240005</v>
      </c>
      <c r="B319" s="135">
        <v>901605</v>
      </c>
      <c r="C319" s="121">
        <v>114001</v>
      </c>
      <c r="D319" s="136">
        <v>42</v>
      </c>
    </row>
    <row r="320" spans="1:4">
      <c r="A320" s="121">
        <v>240006</v>
      </c>
      <c r="B320" s="135">
        <v>901606</v>
      </c>
      <c r="C320" s="121">
        <v>114001</v>
      </c>
      <c r="D320" s="136">
        <v>42</v>
      </c>
    </row>
    <row r="321" spans="1:4">
      <c r="A321" s="121">
        <v>240007</v>
      </c>
      <c r="B321" s="135">
        <v>901607</v>
      </c>
      <c r="C321" s="121">
        <v>114001</v>
      </c>
      <c r="D321" s="136">
        <v>42</v>
      </c>
    </row>
    <row r="322" spans="1:4">
      <c r="A322" s="121">
        <v>240008</v>
      </c>
      <c r="B322" s="135">
        <v>901608</v>
      </c>
      <c r="C322" s="121">
        <v>114001</v>
      </c>
      <c r="D322" s="136">
        <v>42</v>
      </c>
    </row>
    <row r="323" spans="1:4">
      <c r="A323" s="121">
        <v>240009</v>
      </c>
      <c r="B323" s="135">
        <v>901609</v>
      </c>
      <c r="C323" s="121">
        <v>114001</v>
      </c>
      <c r="D323" s="136">
        <v>42</v>
      </c>
    </row>
    <row r="324" spans="1:4">
      <c r="A324" s="121">
        <v>240010</v>
      </c>
      <c r="B324" s="135">
        <v>901610</v>
      </c>
      <c r="C324" s="121">
        <v>114001</v>
      </c>
      <c r="D324" s="136">
        <v>42</v>
      </c>
    </row>
    <row r="325" spans="1:4">
      <c r="D325" s="124"/>
    </row>
    <row r="326" spans="1:4">
      <c r="D326" s="124"/>
    </row>
  </sheetData>
  <conditionalFormatting sqref="A1:A226 A326:A1048576">
    <cfRule type="duplicateValues" dxfId="93" priority="79"/>
    <cfRule type="duplicateValues" dxfId="92" priority="78"/>
  </conditionalFormatting>
  <conditionalFormatting sqref="A22:A30">
    <cfRule type="duplicateValues" dxfId="91" priority="86"/>
  </conditionalFormatting>
  <conditionalFormatting sqref="A31:A35">
    <cfRule type="duplicateValues" dxfId="90" priority="85"/>
  </conditionalFormatting>
  <conditionalFormatting sqref="A43:A50">
    <cfRule type="duplicateValues" dxfId="89" priority="84"/>
  </conditionalFormatting>
  <conditionalFormatting sqref="A51:A55">
    <cfRule type="duplicateValues" dxfId="88" priority="83"/>
  </conditionalFormatting>
  <conditionalFormatting sqref="A56:A64">
    <cfRule type="duplicateValues" dxfId="87" priority="82"/>
  </conditionalFormatting>
  <conditionalFormatting sqref="A65:A71">
    <cfRule type="duplicateValues" dxfId="86" priority="81"/>
  </conditionalFormatting>
  <conditionalFormatting sqref="A72:A79 A36:A42 A1:A21 A89:A226 A327:A1048576">
    <cfRule type="duplicateValues" dxfId="85" priority="87"/>
  </conditionalFormatting>
  <conditionalFormatting sqref="A80:A88">
    <cfRule type="duplicateValues" dxfId="84" priority="80"/>
  </conditionalFormatting>
  <conditionalFormatting sqref="A227:A235">
    <cfRule type="duplicateValues" dxfId="83" priority="58"/>
    <cfRule type="duplicateValues" dxfId="82" priority="59"/>
    <cfRule type="duplicateValues" dxfId="81" priority="57"/>
  </conditionalFormatting>
  <conditionalFormatting sqref="A236:A245">
    <cfRule type="duplicateValues" dxfId="80" priority="56"/>
    <cfRule type="duplicateValues" dxfId="79" priority="55"/>
    <cfRule type="duplicateValues" dxfId="78" priority="54"/>
  </conditionalFormatting>
  <conditionalFormatting sqref="A246:A255">
    <cfRule type="duplicateValues" dxfId="77" priority="53"/>
    <cfRule type="duplicateValues" dxfId="76" priority="52"/>
    <cfRule type="duplicateValues" dxfId="75" priority="51"/>
  </conditionalFormatting>
  <conditionalFormatting sqref="A256:A265">
    <cfRule type="duplicateValues" dxfId="74" priority="50"/>
    <cfRule type="duplicateValues" dxfId="73" priority="49"/>
    <cfRule type="duplicateValues" dxfId="72" priority="48"/>
  </conditionalFormatting>
  <conditionalFormatting sqref="A266:A275">
    <cfRule type="duplicateValues" dxfId="71" priority="35"/>
    <cfRule type="duplicateValues" dxfId="70" priority="34"/>
    <cfRule type="duplicateValues" dxfId="69" priority="33"/>
  </conditionalFormatting>
  <conditionalFormatting sqref="A276:A285">
    <cfRule type="duplicateValues" dxfId="68" priority="30"/>
    <cfRule type="duplicateValues" dxfId="67" priority="31"/>
    <cfRule type="duplicateValues" dxfId="66" priority="32"/>
  </conditionalFormatting>
  <conditionalFormatting sqref="A286:A294">
    <cfRule type="duplicateValues" dxfId="65" priority="29"/>
    <cfRule type="duplicateValues" dxfId="64" priority="28"/>
    <cfRule type="duplicateValues" dxfId="63" priority="27"/>
  </conditionalFormatting>
  <conditionalFormatting sqref="A295:A304">
    <cfRule type="duplicateValues" dxfId="62" priority="26"/>
    <cfRule type="duplicateValues" dxfId="61" priority="25"/>
    <cfRule type="duplicateValues" dxfId="60" priority="24"/>
  </conditionalFormatting>
  <conditionalFormatting sqref="A305:A314">
    <cfRule type="duplicateValues" dxfId="59" priority="19"/>
    <cfRule type="duplicateValues" dxfId="58" priority="18"/>
    <cfRule type="duplicateValues" dxfId="57" priority="17"/>
  </conditionalFormatting>
  <conditionalFormatting sqref="A315:A324">
    <cfRule type="duplicateValues" dxfId="56" priority="12"/>
    <cfRule type="duplicateValues" dxfId="55" priority="11"/>
    <cfRule type="duplicateValues" dxfId="54" priority="10"/>
  </conditionalFormatting>
  <conditionalFormatting sqref="A325">
    <cfRule type="duplicateValues" dxfId="53" priority="3"/>
    <cfRule type="duplicateValues" dxfId="52" priority="4"/>
    <cfRule type="duplicateValues" dxfId="51" priority="5"/>
  </conditionalFormatting>
  <conditionalFormatting sqref="A326">
    <cfRule type="duplicateValues" dxfId="50" priority="1"/>
  </conditionalFormatting>
  <conditionalFormatting sqref="B72:B79">
    <cfRule type="duplicateValues" dxfId="49" priority="94"/>
    <cfRule type="duplicateValues" dxfId="48" priority="95"/>
    <cfRule type="duplicateValues" dxfId="47" priority="96"/>
  </conditionalFormatting>
  <conditionalFormatting sqref="B266:B304">
    <cfRule type="duplicateValues" dxfId="46" priority="23"/>
    <cfRule type="duplicateValues" dxfId="45" priority="22"/>
    <cfRule type="duplicateValues" dxfId="44" priority="21"/>
    <cfRule type="duplicateValues" dxfId="43" priority="20"/>
  </conditionalFormatting>
  <conditionalFormatting sqref="B305:B314">
    <cfRule type="duplicateValues" dxfId="42" priority="15"/>
    <cfRule type="duplicateValues" dxfId="41" priority="14"/>
    <cfRule type="duplicateValues" dxfId="40" priority="13"/>
    <cfRule type="duplicateValues" dxfId="39" priority="16"/>
  </conditionalFormatting>
  <conditionalFormatting sqref="B315:B324">
    <cfRule type="duplicateValues" dxfId="38" priority="9"/>
    <cfRule type="duplicateValues" dxfId="37" priority="8"/>
    <cfRule type="duplicateValues" dxfId="36" priority="7"/>
    <cfRule type="duplicateValues" dxfId="35" priority="6"/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03"/>
  <sheetViews>
    <sheetView workbookViewId="0">
      <pane ySplit="1" topLeftCell="A37" activePane="bottomLeft" state="frozen"/>
      <selection pane="bottomLeft" activeCell="F53" sqref="F53"/>
    </sheetView>
  </sheetViews>
  <sheetFormatPr defaultColWidth="9" defaultRowHeight="16.5"/>
  <cols>
    <col min="2" max="2" width="9" style="12"/>
    <col min="5" max="5" width="34" customWidth="1"/>
    <col min="6" max="6" width="41.875" style="109" customWidth="1"/>
    <col min="7" max="7" width="15.375" customWidth="1"/>
    <col min="8" max="8" width="26.75" customWidth="1"/>
    <col min="9" max="10" width="14.125" customWidth="1"/>
  </cols>
  <sheetData>
    <row r="1" spans="1:7">
      <c r="A1" s="12" t="s">
        <v>128</v>
      </c>
      <c r="B1" s="12" t="s">
        <v>0</v>
      </c>
      <c r="C1" s="12" t="s">
        <v>129</v>
      </c>
      <c r="D1" s="12" t="s">
        <v>130</v>
      </c>
      <c r="E1" s="12" t="s">
        <v>131</v>
      </c>
      <c r="F1" s="109" t="s">
        <v>43</v>
      </c>
      <c r="G1" s="12" t="s">
        <v>78</v>
      </c>
    </row>
    <row r="2" spans="1:7">
      <c r="A2" s="12">
        <v>100001</v>
      </c>
      <c r="B2" s="12">
        <v>100001</v>
      </c>
      <c r="C2" s="109">
        <v>1</v>
      </c>
      <c r="D2" s="109">
        <v>1</v>
      </c>
      <c r="E2" s="66" t="s">
        <v>132</v>
      </c>
      <c r="F2" s="109" t="s">
        <v>133</v>
      </c>
      <c r="G2" s="109">
        <v>1</v>
      </c>
    </row>
    <row r="3" spans="1:7">
      <c r="A3" s="12">
        <v>100002</v>
      </c>
      <c r="B3" s="12">
        <v>100001</v>
      </c>
      <c r="C3" s="109">
        <v>2</v>
      </c>
      <c r="D3" s="109">
        <v>2</v>
      </c>
      <c r="E3" s="66" t="s">
        <v>134</v>
      </c>
      <c r="F3" s="109" t="s">
        <v>133</v>
      </c>
      <c r="G3" s="109">
        <v>1</v>
      </c>
    </row>
    <row r="4" spans="1:7">
      <c r="A4" s="12">
        <v>100003</v>
      </c>
      <c r="B4" s="12">
        <v>100001</v>
      </c>
      <c r="C4" s="109">
        <v>3</v>
      </c>
      <c r="D4" s="109">
        <v>3</v>
      </c>
      <c r="E4" s="66" t="s">
        <v>135</v>
      </c>
      <c r="F4" s="109" t="s">
        <v>133</v>
      </c>
      <c r="G4" s="109">
        <v>1</v>
      </c>
    </row>
    <row r="5" spans="1:7">
      <c r="A5" s="12">
        <v>100004</v>
      </c>
      <c r="B5" s="12">
        <v>100001</v>
      </c>
      <c r="C5" s="109">
        <v>4</v>
      </c>
      <c r="D5" s="109">
        <v>5</v>
      </c>
      <c r="E5" s="66" t="s">
        <v>136</v>
      </c>
      <c r="F5" s="109" t="s">
        <v>137</v>
      </c>
      <c r="G5" s="109">
        <v>1</v>
      </c>
    </row>
    <row r="6" spans="1:7">
      <c r="A6" s="12">
        <v>100005</v>
      </c>
      <c r="B6" s="12">
        <v>100001</v>
      </c>
      <c r="C6" s="109">
        <v>6</v>
      </c>
      <c r="D6" s="109">
        <v>10</v>
      </c>
      <c r="E6" s="66" t="s">
        <v>138</v>
      </c>
      <c r="F6" s="109" t="s">
        <v>137</v>
      </c>
      <c r="G6" s="109">
        <v>1</v>
      </c>
    </row>
    <row r="7" spans="1:7">
      <c r="A7" s="12">
        <v>100006</v>
      </c>
      <c r="B7" s="12">
        <v>100001</v>
      </c>
      <c r="C7" s="109">
        <v>11</v>
      </c>
      <c r="D7" s="109">
        <v>30</v>
      </c>
      <c r="E7" s="66" t="s">
        <v>139</v>
      </c>
      <c r="F7" s="109" t="s">
        <v>137</v>
      </c>
      <c r="G7" s="109">
        <v>1</v>
      </c>
    </row>
    <row r="8" spans="1:7">
      <c r="A8" s="12">
        <v>101001</v>
      </c>
      <c r="B8" s="12">
        <v>100002</v>
      </c>
      <c r="C8" s="109">
        <v>1</v>
      </c>
      <c r="D8" s="109">
        <v>1</v>
      </c>
      <c r="E8" s="66" t="s">
        <v>132</v>
      </c>
      <c r="F8" s="109" t="s">
        <v>133</v>
      </c>
      <c r="G8" s="109">
        <v>2</v>
      </c>
    </row>
    <row r="9" spans="1:7">
      <c r="A9" s="12">
        <v>101002</v>
      </c>
      <c r="B9" s="12">
        <v>100002</v>
      </c>
      <c r="C9" s="109">
        <v>2</v>
      </c>
      <c r="D9" s="109">
        <v>2</v>
      </c>
      <c r="E9" s="66" t="s">
        <v>134</v>
      </c>
      <c r="F9" s="109" t="s">
        <v>133</v>
      </c>
      <c r="G9" s="109">
        <v>2</v>
      </c>
    </row>
    <row r="10" spans="1:7">
      <c r="A10" s="12">
        <v>101003</v>
      </c>
      <c r="B10" s="12">
        <v>100002</v>
      </c>
      <c r="C10" s="109">
        <v>3</v>
      </c>
      <c r="D10" s="109">
        <v>3</v>
      </c>
      <c r="E10" s="66" t="s">
        <v>135</v>
      </c>
      <c r="F10" s="109" t="s">
        <v>133</v>
      </c>
      <c r="G10" s="109">
        <v>2</v>
      </c>
    </row>
    <row r="11" spans="1:7">
      <c r="A11" s="12">
        <v>101004</v>
      </c>
      <c r="B11" s="12">
        <v>100002</v>
      </c>
      <c r="C11" s="109">
        <v>4</v>
      </c>
      <c r="D11" s="109">
        <v>5</v>
      </c>
      <c r="E11" s="66" t="s">
        <v>136</v>
      </c>
      <c r="F11" s="109" t="s">
        <v>137</v>
      </c>
      <c r="G11" s="109">
        <v>2</v>
      </c>
    </row>
    <row r="12" spans="1:7">
      <c r="A12" s="12">
        <v>101005</v>
      </c>
      <c r="B12" s="12">
        <v>100002</v>
      </c>
      <c r="C12" s="109">
        <v>6</v>
      </c>
      <c r="D12" s="109">
        <v>10</v>
      </c>
      <c r="E12" s="66" t="s">
        <v>138</v>
      </c>
      <c r="F12" s="109" t="s">
        <v>137</v>
      </c>
      <c r="G12" s="109">
        <v>2</v>
      </c>
    </row>
    <row r="13" spans="1:7">
      <c r="A13" s="12">
        <v>101006</v>
      </c>
      <c r="B13" s="12">
        <v>100002</v>
      </c>
      <c r="C13" s="109">
        <v>11</v>
      </c>
      <c r="D13" s="109">
        <v>30</v>
      </c>
      <c r="E13" s="66" t="s">
        <v>139</v>
      </c>
      <c r="F13" s="109" t="s">
        <v>137</v>
      </c>
      <c r="G13" s="109">
        <v>2</v>
      </c>
    </row>
    <row r="14" spans="1:7">
      <c r="A14" s="12">
        <v>102001</v>
      </c>
      <c r="B14" s="12">
        <v>101001</v>
      </c>
      <c r="C14" s="109">
        <v>1</v>
      </c>
      <c r="D14" s="109">
        <v>1</v>
      </c>
      <c r="E14" s="66" t="s">
        <v>132</v>
      </c>
      <c r="F14" s="109" t="s">
        <v>133</v>
      </c>
      <c r="G14" s="109">
        <v>3</v>
      </c>
    </row>
    <row r="15" spans="1:7">
      <c r="A15" s="12">
        <v>102002</v>
      </c>
      <c r="B15" s="12">
        <v>101001</v>
      </c>
      <c r="C15" s="109">
        <v>2</v>
      </c>
      <c r="D15" s="109">
        <v>2</v>
      </c>
      <c r="E15" s="66" t="s">
        <v>134</v>
      </c>
      <c r="F15" s="109" t="s">
        <v>133</v>
      </c>
      <c r="G15" s="109">
        <v>3</v>
      </c>
    </row>
    <row r="16" spans="1:7">
      <c r="A16" s="12">
        <v>102003</v>
      </c>
      <c r="B16" s="12">
        <v>101001</v>
      </c>
      <c r="C16" s="109">
        <v>3</v>
      </c>
      <c r="D16" s="109">
        <v>3</v>
      </c>
      <c r="E16" s="66" t="s">
        <v>135</v>
      </c>
      <c r="F16" s="109" t="s">
        <v>133</v>
      </c>
      <c r="G16" s="109">
        <v>3</v>
      </c>
    </row>
    <row r="17" spans="1:7">
      <c r="A17" s="12">
        <v>102004</v>
      </c>
      <c r="B17" s="12">
        <v>101001</v>
      </c>
      <c r="C17" s="109">
        <v>4</v>
      </c>
      <c r="D17" s="109">
        <v>5</v>
      </c>
      <c r="E17" s="66" t="s">
        <v>136</v>
      </c>
      <c r="F17" s="109" t="s">
        <v>137</v>
      </c>
      <c r="G17" s="109">
        <v>3</v>
      </c>
    </row>
    <row r="18" spans="1:7">
      <c r="A18" s="12">
        <v>102005</v>
      </c>
      <c r="B18" s="12">
        <v>101001</v>
      </c>
      <c r="C18" s="109">
        <v>6</v>
      </c>
      <c r="D18" s="109">
        <v>10</v>
      </c>
      <c r="E18" s="66" t="s">
        <v>138</v>
      </c>
      <c r="F18" s="109" t="s">
        <v>137</v>
      </c>
      <c r="G18" s="109">
        <v>3</v>
      </c>
    </row>
    <row r="19" spans="1:7">
      <c r="A19" s="12">
        <v>102006</v>
      </c>
      <c r="B19" s="12">
        <v>101001</v>
      </c>
      <c r="C19" s="109">
        <v>11</v>
      </c>
      <c r="D19" s="109">
        <v>30</v>
      </c>
      <c r="E19" s="66" t="s">
        <v>139</v>
      </c>
      <c r="F19" s="109" t="s">
        <v>137</v>
      </c>
      <c r="G19" s="109">
        <v>3</v>
      </c>
    </row>
    <row r="20" spans="1:7">
      <c r="A20" s="12">
        <v>103001</v>
      </c>
      <c r="B20" s="12">
        <v>102001</v>
      </c>
      <c r="C20" s="109">
        <v>1</v>
      </c>
      <c r="D20" s="109">
        <v>1</v>
      </c>
      <c r="E20" s="66" t="s">
        <v>132</v>
      </c>
      <c r="F20" s="109" t="s">
        <v>133</v>
      </c>
      <c r="G20" s="109">
        <v>4</v>
      </c>
    </row>
    <row r="21" spans="1:7">
      <c r="A21" s="12">
        <v>103002</v>
      </c>
      <c r="B21" s="12">
        <v>102001</v>
      </c>
      <c r="C21" s="109">
        <v>2</v>
      </c>
      <c r="D21" s="109">
        <v>2</v>
      </c>
      <c r="E21" s="66" t="s">
        <v>134</v>
      </c>
      <c r="F21" s="109" t="s">
        <v>133</v>
      </c>
      <c r="G21" s="109">
        <v>4</v>
      </c>
    </row>
    <row r="22" spans="1:7">
      <c r="A22" s="12">
        <v>103003</v>
      </c>
      <c r="B22" s="12">
        <v>102001</v>
      </c>
      <c r="C22" s="109">
        <v>3</v>
      </c>
      <c r="D22" s="109">
        <v>3</v>
      </c>
      <c r="E22" s="66" t="s">
        <v>135</v>
      </c>
      <c r="F22" s="109" t="s">
        <v>133</v>
      </c>
      <c r="G22" s="109">
        <v>4</v>
      </c>
    </row>
    <row r="23" spans="1:7">
      <c r="A23" s="12">
        <v>103004</v>
      </c>
      <c r="B23" s="12">
        <v>102001</v>
      </c>
      <c r="C23" s="109">
        <v>4</v>
      </c>
      <c r="D23" s="109">
        <v>5</v>
      </c>
      <c r="E23" s="66" t="s">
        <v>136</v>
      </c>
      <c r="F23" s="109" t="s">
        <v>137</v>
      </c>
      <c r="G23" s="109">
        <v>4</v>
      </c>
    </row>
    <row r="24" spans="1:7">
      <c r="A24" s="12">
        <v>103005</v>
      </c>
      <c r="B24" s="12">
        <v>102001</v>
      </c>
      <c r="C24" s="109">
        <v>6</v>
      </c>
      <c r="D24" s="109">
        <v>10</v>
      </c>
      <c r="E24" s="66" t="s">
        <v>138</v>
      </c>
      <c r="F24" s="109" t="s">
        <v>137</v>
      </c>
      <c r="G24" s="109">
        <v>4</v>
      </c>
    </row>
    <row r="25" spans="1:7">
      <c r="A25" s="12">
        <v>103006</v>
      </c>
      <c r="B25" s="12">
        <v>102001</v>
      </c>
      <c r="C25" s="109">
        <v>11</v>
      </c>
      <c r="D25" s="109">
        <v>30</v>
      </c>
      <c r="E25" s="66" t="s">
        <v>139</v>
      </c>
      <c r="F25" s="109" t="s">
        <v>137</v>
      </c>
      <c r="G25" s="109">
        <v>4</v>
      </c>
    </row>
    <row r="26" spans="1:7">
      <c r="A26" s="12">
        <v>104001</v>
      </c>
      <c r="B26" s="12">
        <v>103001</v>
      </c>
      <c r="C26" s="109">
        <v>1</v>
      </c>
      <c r="D26" s="109">
        <v>1</v>
      </c>
      <c r="E26" s="66" t="s">
        <v>132</v>
      </c>
      <c r="F26" s="109" t="s">
        <v>133</v>
      </c>
      <c r="G26" s="109">
        <v>5</v>
      </c>
    </row>
    <row r="27" spans="1:7">
      <c r="A27" s="12">
        <v>104002</v>
      </c>
      <c r="B27" s="12">
        <v>103001</v>
      </c>
      <c r="C27" s="109">
        <v>2</v>
      </c>
      <c r="D27" s="109">
        <v>2</v>
      </c>
      <c r="E27" s="66" t="s">
        <v>134</v>
      </c>
      <c r="F27" s="109" t="s">
        <v>133</v>
      </c>
      <c r="G27" s="109">
        <v>5</v>
      </c>
    </row>
    <row r="28" spans="1:7">
      <c r="A28" s="12">
        <v>104003</v>
      </c>
      <c r="B28" s="12">
        <v>103001</v>
      </c>
      <c r="C28" s="109">
        <v>3</v>
      </c>
      <c r="D28" s="109">
        <v>3</v>
      </c>
      <c r="E28" s="66" t="s">
        <v>135</v>
      </c>
      <c r="F28" s="109" t="s">
        <v>133</v>
      </c>
      <c r="G28" s="109">
        <v>5</v>
      </c>
    </row>
    <row r="29" spans="1:7">
      <c r="A29" s="12">
        <v>104004</v>
      </c>
      <c r="B29" s="12">
        <v>103001</v>
      </c>
      <c r="C29" s="109">
        <v>4</v>
      </c>
      <c r="D29" s="109">
        <v>5</v>
      </c>
      <c r="E29" s="66" t="s">
        <v>136</v>
      </c>
      <c r="F29" s="109" t="s">
        <v>137</v>
      </c>
      <c r="G29" s="109">
        <v>5</v>
      </c>
    </row>
    <row r="30" spans="1:7">
      <c r="A30" s="12">
        <v>104005</v>
      </c>
      <c r="B30" s="12">
        <v>103001</v>
      </c>
      <c r="C30" s="109">
        <v>6</v>
      </c>
      <c r="D30" s="109">
        <v>10</v>
      </c>
      <c r="E30" s="66" t="s">
        <v>138</v>
      </c>
      <c r="F30" s="109" t="s">
        <v>137</v>
      </c>
      <c r="G30" s="109">
        <v>5</v>
      </c>
    </row>
    <row r="31" spans="1:7">
      <c r="A31" s="12">
        <v>104006</v>
      </c>
      <c r="B31" s="12">
        <v>103001</v>
      </c>
      <c r="C31" s="109">
        <v>11</v>
      </c>
      <c r="D31" s="109">
        <v>30</v>
      </c>
      <c r="E31" s="66" t="s">
        <v>139</v>
      </c>
      <c r="F31" s="109" t="s">
        <v>137</v>
      </c>
      <c r="G31" s="109">
        <v>5</v>
      </c>
    </row>
    <row r="32" spans="1:7">
      <c r="A32" s="12">
        <v>105001</v>
      </c>
      <c r="B32" s="12">
        <v>104001</v>
      </c>
      <c r="C32" s="109">
        <v>1</v>
      </c>
      <c r="D32" s="109">
        <v>1</v>
      </c>
      <c r="E32" s="66" t="s">
        <v>132</v>
      </c>
      <c r="F32" s="109" t="s">
        <v>133</v>
      </c>
      <c r="G32" s="109">
        <v>6</v>
      </c>
    </row>
    <row r="33" spans="1:7">
      <c r="A33" s="12">
        <v>105002</v>
      </c>
      <c r="B33" s="12">
        <v>104001</v>
      </c>
      <c r="C33" s="109">
        <v>2</v>
      </c>
      <c r="D33" s="109">
        <v>2</v>
      </c>
      <c r="E33" s="66" t="s">
        <v>134</v>
      </c>
      <c r="F33" s="109" t="s">
        <v>133</v>
      </c>
      <c r="G33" s="109">
        <v>6</v>
      </c>
    </row>
    <row r="34" spans="1:7">
      <c r="A34" s="12">
        <v>105003</v>
      </c>
      <c r="B34" s="12">
        <v>104001</v>
      </c>
      <c r="C34" s="109">
        <v>3</v>
      </c>
      <c r="D34" s="109">
        <v>3</v>
      </c>
      <c r="E34" s="66" t="s">
        <v>135</v>
      </c>
      <c r="F34" s="109" t="s">
        <v>133</v>
      </c>
      <c r="G34" s="109">
        <v>6</v>
      </c>
    </row>
    <row r="35" spans="1:7">
      <c r="A35" s="12">
        <v>105004</v>
      </c>
      <c r="B35" s="12">
        <v>104001</v>
      </c>
      <c r="C35" s="109">
        <v>4</v>
      </c>
      <c r="D35" s="109">
        <v>5</v>
      </c>
      <c r="E35" s="66" t="s">
        <v>136</v>
      </c>
      <c r="F35" s="109" t="s">
        <v>137</v>
      </c>
      <c r="G35" s="109">
        <v>6</v>
      </c>
    </row>
    <row r="36" spans="1:7">
      <c r="A36" s="12">
        <v>105005</v>
      </c>
      <c r="B36" s="12">
        <v>104001</v>
      </c>
      <c r="C36" s="109">
        <v>6</v>
      </c>
      <c r="D36" s="109">
        <v>10</v>
      </c>
      <c r="E36" s="66" t="s">
        <v>138</v>
      </c>
      <c r="F36" s="109" t="s">
        <v>137</v>
      </c>
      <c r="G36" s="109">
        <v>6</v>
      </c>
    </row>
    <row r="37" spans="1:7">
      <c r="A37" s="12">
        <v>105006</v>
      </c>
      <c r="B37" s="12">
        <v>104001</v>
      </c>
      <c r="C37" s="109">
        <v>11</v>
      </c>
      <c r="D37" s="109">
        <v>30</v>
      </c>
      <c r="E37" s="66" t="s">
        <v>139</v>
      </c>
      <c r="F37" s="109" t="s">
        <v>137</v>
      </c>
      <c r="G37" s="109">
        <v>6</v>
      </c>
    </row>
    <row r="38" spans="1:7">
      <c r="A38" s="12">
        <v>106001</v>
      </c>
      <c r="B38" s="12">
        <v>105001</v>
      </c>
      <c r="C38" s="109">
        <v>1</v>
      </c>
      <c r="D38" s="109">
        <v>1</v>
      </c>
      <c r="E38" s="66" t="s">
        <v>132</v>
      </c>
      <c r="F38" s="109" t="s">
        <v>133</v>
      </c>
      <c r="G38" s="109">
        <v>7</v>
      </c>
    </row>
    <row r="39" spans="1:7">
      <c r="A39" s="12">
        <v>106002</v>
      </c>
      <c r="B39" s="12">
        <v>105001</v>
      </c>
      <c r="C39" s="109">
        <v>2</v>
      </c>
      <c r="D39" s="109">
        <v>2</v>
      </c>
      <c r="E39" s="66" t="s">
        <v>134</v>
      </c>
      <c r="F39" s="109" t="s">
        <v>133</v>
      </c>
      <c r="G39" s="109">
        <v>7</v>
      </c>
    </row>
    <row r="40" spans="1:7">
      <c r="A40" s="12">
        <v>106003</v>
      </c>
      <c r="B40" s="12">
        <v>105001</v>
      </c>
      <c r="C40" s="109">
        <v>3</v>
      </c>
      <c r="D40" s="109">
        <v>3</v>
      </c>
      <c r="E40" s="66" t="s">
        <v>135</v>
      </c>
      <c r="F40" s="109" t="s">
        <v>133</v>
      </c>
      <c r="G40" s="109">
        <v>7</v>
      </c>
    </row>
    <row r="41" spans="1:7">
      <c r="A41" s="12">
        <v>106004</v>
      </c>
      <c r="B41" s="12">
        <v>105001</v>
      </c>
      <c r="C41" s="109">
        <v>4</v>
      </c>
      <c r="D41" s="109">
        <v>5</v>
      </c>
      <c r="E41" s="66" t="s">
        <v>136</v>
      </c>
      <c r="F41" s="109" t="s">
        <v>137</v>
      </c>
      <c r="G41" s="109">
        <v>7</v>
      </c>
    </row>
    <row r="42" spans="1:7">
      <c r="A42" s="12">
        <v>106005</v>
      </c>
      <c r="B42" s="12">
        <v>105001</v>
      </c>
      <c r="C42" s="109">
        <v>6</v>
      </c>
      <c r="D42" s="109">
        <v>10</v>
      </c>
      <c r="E42" s="66" t="s">
        <v>138</v>
      </c>
      <c r="F42" s="109" t="s">
        <v>137</v>
      </c>
      <c r="G42" s="109">
        <v>7</v>
      </c>
    </row>
    <row r="43" spans="1:7">
      <c r="A43" s="12">
        <v>106006</v>
      </c>
      <c r="B43" s="12">
        <v>105001</v>
      </c>
      <c r="C43" s="109">
        <v>11</v>
      </c>
      <c r="D43" s="109">
        <v>30</v>
      </c>
      <c r="E43" s="66" t="s">
        <v>139</v>
      </c>
      <c r="F43" s="109" t="s">
        <v>137</v>
      </c>
      <c r="G43" s="109">
        <v>7</v>
      </c>
    </row>
    <row r="44" spans="1:7">
      <c r="A44" s="12">
        <v>107001</v>
      </c>
      <c r="B44" s="12">
        <v>102005</v>
      </c>
      <c r="C44" s="109">
        <v>1</v>
      </c>
      <c r="D44" s="109">
        <v>1</v>
      </c>
      <c r="E44" s="66" t="s">
        <v>140</v>
      </c>
      <c r="F44" s="109" t="s">
        <v>133</v>
      </c>
      <c r="G44" s="109">
        <v>8</v>
      </c>
    </row>
    <row r="45" spans="1:7">
      <c r="A45" s="12">
        <v>107002</v>
      </c>
      <c r="B45" s="12">
        <v>102005</v>
      </c>
      <c r="C45" s="109">
        <v>2</v>
      </c>
      <c r="D45" s="109">
        <v>2</v>
      </c>
      <c r="E45" s="66" t="s">
        <v>141</v>
      </c>
      <c r="F45" s="109" t="s">
        <v>133</v>
      </c>
      <c r="G45" s="109">
        <v>8</v>
      </c>
    </row>
    <row r="46" spans="1:7">
      <c r="A46" s="12">
        <v>107003</v>
      </c>
      <c r="B46" s="12">
        <v>102005</v>
      </c>
      <c r="C46" s="109">
        <v>3</v>
      </c>
      <c r="D46" s="109">
        <v>3</v>
      </c>
      <c r="E46" s="66" t="s">
        <v>142</v>
      </c>
      <c r="F46" s="109" t="s">
        <v>133</v>
      </c>
      <c r="G46" s="109">
        <v>8</v>
      </c>
    </row>
    <row r="47" spans="1:7">
      <c r="A47" s="12">
        <v>107004</v>
      </c>
      <c r="B47" s="12">
        <v>102005</v>
      </c>
      <c r="C47" s="109">
        <v>4</v>
      </c>
      <c r="D47" s="109">
        <v>5</v>
      </c>
      <c r="E47" s="66" t="s">
        <v>136</v>
      </c>
      <c r="F47" s="109" t="s">
        <v>137</v>
      </c>
      <c r="G47" s="109">
        <v>8</v>
      </c>
    </row>
    <row r="48" spans="1:7">
      <c r="A48" s="12">
        <v>107005</v>
      </c>
      <c r="B48" s="12">
        <v>102005</v>
      </c>
      <c r="C48" s="109">
        <v>6</v>
      </c>
      <c r="D48" s="109">
        <v>10</v>
      </c>
      <c r="E48" s="66" t="s">
        <v>138</v>
      </c>
      <c r="F48" s="109" t="s">
        <v>137</v>
      </c>
      <c r="G48" s="109">
        <v>8</v>
      </c>
    </row>
    <row r="49" spans="1:10">
      <c r="A49" s="12">
        <v>107006</v>
      </c>
      <c r="B49" s="12">
        <v>102005</v>
      </c>
      <c r="C49" s="109">
        <v>11</v>
      </c>
      <c r="D49" s="109">
        <v>100</v>
      </c>
      <c r="E49" s="66" t="s">
        <v>139</v>
      </c>
      <c r="F49" s="109" t="s">
        <v>137</v>
      </c>
      <c r="G49" s="109">
        <v>8</v>
      </c>
    </row>
    <row r="50" spans="1:10">
      <c r="A50" s="37">
        <v>108001</v>
      </c>
      <c r="B50" s="37">
        <v>106001</v>
      </c>
      <c r="C50" s="110">
        <v>1</v>
      </c>
      <c r="D50" s="110">
        <v>1</v>
      </c>
      <c r="E50" s="111" t="s">
        <v>143</v>
      </c>
      <c r="F50" s="111" t="s">
        <v>144</v>
      </c>
      <c r="G50" s="110">
        <v>9</v>
      </c>
      <c r="I50" s="114"/>
      <c r="J50" s="114"/>
    </row>
    <row r="51" spans="1:10">
      <c r="A51" s="37">
        <v>108002</v>
      </c>
      <c r="B51" s="37">
        <v>106001</v>
      </c>
      <c r="C51" s="110">
        <v>2</v>
      </c>
      <c r="D51" s="110">
        <v>2</v>
      </c>
      <c r="E51" s="111" t="s">
        <v>145</v>
      </c>
      <c r="F51" s="111" t="s">
        <v>146</v>
      </c>
      <c r="G51" s="110">
        <v>9</v>
      </c>
      <c r="I51" s="114"/>
      <c r="J51" s="114"/>
    </row>
    <row r="52" spans="1:10">
      <c r="A52" s="37">
        <v>108003</v>
      </c>
      <c r="B52" s="37">
        <v>106001</v>
      </c>
      <c r="C52" s="110">
        <v>3</v>
      </c>
      <c r="D52" s="110">
        <v>3</v>
      </c>
      <c r="E52" s="111" t="s">
        <v>147</v>
      </c>
      <c r="F52" s="111" t="s">
        <v>148</v>
      </c>
      <c r="G52" s="110">
        <v>9</v>
      </c>
      <c r="I52" s="114"/>
      <c r="J52" s="114"/>
    </row>
    <row r="53" spans="1:10">
      <c r="A53" s="37">
        <v>108004</v>
      </c>
      <c r="B53" s="37">
        <v>106001</v>
      </c>
      <c r="C53" s="110">
        <v>4</v>
      </c>
      <c r="D53" s="110">
        <v>5</v>
      </c>
      <c r="E53" s="111" t="s">
        <v>149</v>
      </c>
      <c r="F53" s="111" t="s">
        <v>150</v>
      </c>
      <c r="G53" s="110">
        <v>9</v>
      </c>
      <c r="I53" s="114"/>
      <c r="J53" s="114"/>
    </row>
    <row r="54" spans="1:10">
      <c r="A54" s="37">
        <v>108005</v>
      </c>
      <c r="B54" s="37">
        <v>106001</v>
      </c>
      <c r="C54" s="110">
        <v>6</v>
      </c>
      <c r="D54" s="110">
        <v>10</v>
      </c>
      <c r="E54" s="111" t="s">
        <v>151</v>
      </c>
      <c r="F54" s="111" t="s">
        <v>152</v>
      </c>
      <c r="G54" s="110">
        <v>9</v>
      </c>
      <c r="I54" s="114"/>
      <c r="J54" s="114"/>
    </row>
    <row r="55" spans="1:10">
      <c r="A55" s="37">
        <v>108006</v>
      </c>
      <c r="B55" s="37">
        <v>106001</v>
      </c>
      <c r="C55" s="110">
        <v>11</v>
      </c>
      <c r="D55" s="110">
        <v>100</v>
      </c>
      <c r="E55" s="111" t="s">
        <v>153</v>
      </c>
      <c r="F55" s="111" t="s">
        <v>154</v>
      </c>
      <c r="G55" s="110">
        <v>9</v>
      </c>
      <c r="I55" s="114"/>
      <c r="J55" s="114"/>
    </row>
    <row r="56" spans="1:10">
      <c r="A56" s="62">
        <v>109001</v>
      </c>
      <c r="B56" s="62">
        <v>107001</v>
      </c>
      <c r="C56" s="112">
        <v>1</v>
      </c>
      <c r="D56" s="112">
        <v>1</v>
      </c>
      <c r="E56" s="113" t="s">
        <v>155</v>
      </c>
      <c r="F56" s="113" t="s">
        <v>156</v>
      </c>
      <c r="G56" s="112">
        <v>10</v>
      </c>
      <c r="H56" s="114"/>
      <c r="I56" s="114"/>
      <c r="J56" s="114"/>
    </row>
    <row r="57" spans="1:10">
      <c r="A57" s="62">
        <v>109002</v>
      </c>
      <c r="B57" s="62">
        <v>107001</v>
      </c>
      <c r="C57" s="112">
        <v>2</v>
      </c>
      <c r="D57" s="112">
        <v>2</v>
      </c>
      <c r="E57" s="113" t="s">
        <v>157</v>
      </c>
      <c r="F57" s="113" t="s">
        <v>158</v>
      </c>
      <c r="G57" s="112">
        <v>10</v>
      </c>
      <c r="H57" s="114"/>
      <c r="I57" s="114"/>
      <c r="J57" s="114"/>
    </row>
    <row r="58" spans="1:10">
      <c r="A58" s="62">
        <v>109003</v>
      </c>
      <c r="B58" s="62">
        <v>107001</v>
      </c>
      <c r="C58" s="112">
        <v>3</v>
      </c>
      <c r="D58" s="112">
        <v>3</v>
      </c>
      <c r="E58" s="113" t="s">
        <v>159</v>
      </c>
      <c r="F58" s="113" t="s">
        <v>160</v>
      </c>
      <c r="G58" s="112">
        <v>10</v>
      </c>
      <c r="H58" s="114"/>
      <c r="I58" s="114"/>
      <c r="J58" s="114"/>
    </row>
    <row r="59" spans="1:10">
      <c r="A59" s="62">
        <v>109004</v>
      </c>
      <c r="B59" s="62">
        <v>107001</v>
      </c>
      <c r="C59" s="112">
        <v>4</v>
      </c>
      <c r="D59" s="112">
        <v>5</v>
      </c>
      <c r="E59" s="113" t="s">
        <v>161</v>
      </c>
      <c r="F59" s="113" t="s">
        <v>162</v>
      </c>
      <c r="G59" s="112">
        <v>10</v>
      </c>
      <c r="H59" s="114"/>
      <c r="I59" s="114"/>
      <c r="J59" s="114"/>
    </row>
    <row r="60" spans="1:10">
      <c r="A60" s="62">
        <v>109005</v>
      </c>
      <c r="B60" s="62">
        <v>107001</v>
      </c>
      <c r="C60" s="112">
        <v>6</v>
      </c>
      <c r="D60" s="112">
        <v>10</v>
      </c>
      <c r="E60" s="113" t="s">
        <v>163</v>
      </c>
      <c r="F60" s="113" t="s">
        <v>164</v>
      </c>
      <c r="G60" s="112">
        <v>10</v>
      </c>
      <c r="H60" s="114"/>
      <c r="I60" s="114"/>
      <c r="J60" s="114"/>
    </row>
    <row r="61" spans="1:10">
      <c r="A61" s="62">
        <v>109006</v>
      </c>
      <c r="B61" s="62">
        <v>107001</v>
      </c>
      <c r="C61" s="112">
        <v>11</v>
      </c>
      <c r="D61" s="112">
        <v>100</v>
      </c>
      <c r="E61" s="113" t="s">
        <v>165</v>
      </c>
      <c r="F61" s="113" t="s">
        <v>166</v>
      </c>
      <c r="G61" s="112">
        <v>10</v>
      </c>
      <c r="H61" s="114"/>
      <c r="I61" s="114"/>
      <c r="J61" s="114"/>
    </row>
    <row r="62" spans="1:10">
      <c r="A62" s="115">
        <v>110001</v>
      </c>
      <c r="B62" s="115">
        <v>108001</v>
      </c>
      <c r="C62" s="116">
        <v>1</v>
      </c>
      <c r="D62" s="116">
        <v>1</v>
      </c>
      <c r="E62" s="117" t="s">
        <v>140</v>
      </c>
      <c r="F62" s="116" t="s">
        <v>133</v>
      </c>
      <c r="G62" s="116">
        <v>11</v>
      </c>
    </row>
    <row r="63" spans="1:10">
      <c r="A63" s="115">
        <v>110002</v>
      </c>
      <c r="B63" s="115">
        <v>108001</v>
      </c>
      <c r="C63" s="116">
        <v>2</v>
      </c>
      <c r="D63" s="116">
        <v>2</v>
      </c>
      <c r="E63" s="117" t="s">
        <v>141</v>
      </c>
      <c r="F63" s="116" t="s">
        <v>133</v>
      </c>
      <c r="G63" s="116">
        <v>11</v>
      </c>
    </row>
    <row r="64" spans="1:10">
      <c r="A64" s="115">
        <v>110003</v>
      </c>
      <c r="B64" s="115">
        <v>108001</v>
      </c>
      <c r="C64" s="116">
        <v>3</v>
      </c>
      <c r="D64" s="116">
        <v>3</v>
      </c>
      <c r="E64" s="117" t="s">
        <v>142</v>
      </c>
      <c r="F64" s="116" t="s">
        <v>133</v>
      </c>
      <c r="G64" s="116">
        <v>11</v>
      </c>
    </row>
    <row r="65" spans="1:7">
      <c r="A65" s="115">
        <v>110004</v>
      </c>
      <c r="B65" s="115">
        <v>108001</v>
      </c>
      <c r="C65" s="116">
        <v>4</v>
      </c>
      <c r="D65" s="116">
        <v>5</v>
      </c>
      <c r="E65" s="117" t="s">
        <v>136</v>
      </c>
      <c r="F65" s="116" t="s">
        <v>137</v>
      </c>
      <c r="G65" s="116">
        <v>11</v>
      </c>
    </row>
    <row r="66" spans="1:7">
      <c r="A66" s="115">
        <v>110005</v>
      </c>
      <c r="B66" s="115">
        <v>108001</v>
      </c>
      <c r="C66" s="116">
        <v>6</v>
      </c>
      <c r="D66" s="116">
        <v>10</v>
      </c>
      <c r="E66" s="117" t="s">
        <v>138</v>
      </c>
      <c r="F66" s="116" t="s">
        <v>137</v>
      </c>
      <c r="G66" s="116">
        <v>11</v>
      </c>
    </row>
    <row r="67" spans="1:7">
      <c r="A67" s="115">
        <v>110006</v>
      </c>
      <c r="B67" s="115">
        <v>108001</v>
      </c>
      <c r="C67" s="116">
        <v>11</v>
      </c>
      <c r="D67" s="116">
        <v>100</v>
      </c>
      <c r="E67" s="117" t="s">
        <v>139</v>
      </c>
      <c r="F67" s="116" t="s">
        <v>137</v>
      </c>
      <c r="G67" s="116">
        <v>11</v>
      </c>
    </row>
    <row r="68" spans="1:7">
      <c r="A68" s="37">
        <v>111001</v>
      </c>
      <c r="B68" s="37">
        <v>109001</v>
      </c>
      <c r="C68" s="110">
        <v>1</v>
      </c>
      <c r="D68" s="110">
        <v>1</v>
      </c>
      <c r="E68" s="111" t="s">
        <v>143</v>
      </c>
      <c r="F68" s="111" t="s">
        <v>144</v>
      </c>
      <c r="G68" s="110">
        <v>12</v>
      </c>
    </row>
    <row r="69" spans="1:7">
      <c r="A69" s="37">
        <v>111002</v>
      </c>
      <c r="B69" s="37">
        <v>109001</v>
      </c>
      <c r="C69" s="110">
        <v>2</v>
      </c>
      <c r="D69" s="110">
        <v>2</v>
      </c>
      <c r="E69" s="111" t="s">
        <v>145</v>
      </c>
      <c r="F69" s="111" t="s">
        <v>146</v>
      </c>
      <c r="G69" s="110">
        <v>12</v>
      </c>
    </row>
    <row r="70" spans="1:7">
      <c r="A70" s="37">
        <v>111003</v>
      </c>
      <c r="B70" s="37">
        <v>109001</v>
      </c>
      <c r="C70" s="110">
        <v>3</v>
      </c>
      <c r="D70" s="110">
        <v>3</v>
      </c>
      <c r="E70" s="111" t="s">
        <v>147</v>
      </c>
      <c r="F70" s="111" t="s">
        <v>148</v>
      </c>
      <c r="G70" s="110">
        <v>12</v>
      </c>
    </row>
    <row r="71" spans="1:7">
      <c r="A71" s="37">
        <v>111004</v>
      </c>
      <c r="B71" s="37">
        <v>109001</v>
      </c>
      <c r="C71" s="110">
        <v>4</v>
      </c>
      <c r="D71" s="110">
        <v>5</v>
      </c>
      <c r="E71" s="111" t="s">
        <v>149</v>
      </c>
      <c r="F71" s="111" t="s">
        <v>150</v>
      </c>
      <c r="G71" s="110">
        <v>12</v>
      </c>
    </row>
    <row r="72" spans="1:7">
      <c r="A72" s="37">
        <v>111005</v>
      </c>
      <c r="B72" s="37">
        <v>109001</v>
      </c>
      <c r="C72" s="110">
        <v>6</v>
      </c>
      <c r="D72" s="110">
        <v>10</v>
      </c>
      <c r="E72" s="111" t="s">
        <v>151</v>
      </c>
      <c r="F72" s="111" t="s">
        <v>152</v>
      </c>
      <c r="G72" s="110">
        <v>12</v>
      </c>
    </row>
    <row r="73" spans="1:7">
      <c r="A73" s="37">
        <v>111006</v>
      </c>
      <c r="B73" s="37">
        <v>109001</v>
      </c>
      <c r="C73" s="110">
        <v>11</v>
      </c>
      <c r="D73" s="110">
        <v>100</v>
      </c>
      <c r="E73" s="111" t="s">
        <v>153</v>
      </c>
      <c r="F73" s="111" t="s">
        <v>154</v>
      </c>
      <c r="G73" s="110">
        <v>12</v>
      </c>
    </row>
    <row r="74" spans="1:7">
      <c r="A74" s="62">
        <v>112001</v>
      </c>
      <c r="B74" s="62">
        <v>110001</v>
      </c>
      <c r="C74" s="112">
        <v>1</v>
      </c>
      <c r="D74" s="112">
        <v>1</v>
      </c>
      <c r="E74" s="113" t="s">
        <v>155</v>
      </c>
      <c r="F74" s="113" t="s">
        <v>156</v>
      </c>
      <c r="G74" s="112">
        <v>13</v>
      </c>
    </row>
    <row r="75" spans="1:7">
      <c r="A75" s="62">
        <v>112002</v>
      </c>
      <c r="B75" s="62">
        <v>110001</v>
      </c>
      <c r="C75" s="112">
        <v>2</v>
      </c>
      <c r="D75" s="112">
        <v>2</v>
      </c>
      <c r="E75" s="113" t="s">
        <v>157</v>
      </c>
      <c r="F75" s="113" t="s">
        <v>158</v>
      </c>
      <c r="G75" s="112">
        <v>13</v>
      </c>
    </row>
    <row r="76" spans="1:7">
      <c r="A76" s="62">
        <v>112003</v>
      </c>
      <c r="B76" s="62">
        <v>110001</v>
      </c>
      <c r="C76" s="112">
        <v>3</v>
      </c>
      <c r="D76" s="112">
        <v>3</v>
      </c>
      <c r="E76" s="113" t="s">
        <v>159</v>
      </c>
      <c r="F76" s="113" t="s">
        <v>160</v>
      </c>
      <c r="G76" s="112">
        <v>13</v>
      </c>
    </row>
    <row r="77" spans="1:7">
      <c r="A77" s="62">
        <v>112004</v>
      </c>
      <c r="B77" s="62">
        <v>110001</v>
      </c>
      <c r="C77" s="112">
        <v>4</v>
      </c>
      <c r="D77" s="112">
        <v>5</v>
      </c>
      <c r="E77" s="113" t="s">
        <v>161</v>
      </c>
      <c r="F77" s="113" t="s">
        <v>162</v>
      </c>
      <c r="G77" s="112">
        <v>13</v>
      </c>
    </row>
    <row r="78" spans="1:7">
      <c r="A78" s="62">
        <v>112005</v>
      </c>
      <c r="B78" s="62">
        <v>110001</v>
      </c>
      <c r="C78" s="112">
        <v>6</v>
      </c>
      <c r="D78" s="112">
        <v>10</v>
      </c>
      <c r="E78" s="113" t="s">
        <v>163</v>
      </c>
      <c r="F78" s="113" t="s">
        <v>164</v>
      </c>
      <c r="G78" s="112">
        <v>13</v>
      </c>
    </row>
    <row r="79" spans="1:7">
      <c r="A79" s="62">
        <v>112006</v>
      </c>
      <c r="B79" s="62">
        <v>110001</v>
      </c>
      <c r="C79" s="112">
        <v>11</v>
      </c>
      <c r="D79" s="112">
        <v>100</v>
      </c>
      <c r="E79" s="113" t="s">
        <v>165</v>
      </c>
      <c r="F79" s="113" t="s">
        <v>166</v>
      </c>
      <c r="G79" s="112">
        <v>13</v>
      </c>
    </row>
    <row r="80" spans="1:7">
      <c r="A80" s="115">
        <v>113001</v>
      </c>
      <c r="B80" s="115">
        <v>111001</v>
      </c>
      <c r="C80" s="116">
        <v>1</v>
      </c>
      <c r="D80" s="116">
        <v>1</v>
      </c>
      <c r="E80" s="117" t="s">
        <v>167</v>
      </c>
      <c r="F80" s="116" t="s">
        <v>168</v>
      </c>
      <c r="G80" s="116">
        <v>14</v>
      </c>
    </row>
    <row r="81" spans="1:7">
      <c r="A81" s="115">
        <v>113002</v>
      </c>
      <c r="B81" s="115">
        <v>111001</v>
      </c>
      <c r="C81" s="116">
        <v>2</v>
      </c>
      <c r="D81" s="116">
        <v>2</v>
      </c>
      <c r="E81" s="117" t="s">
        <v>169</v>
      </c>
      <c r="F81" s="116" t="s">
        <v>170</v>
      </c>
      <c r="G81" s="116">
        <v>14</v>
      </c>
    </row>
    <row r="82" spans="1:7">
      <c r="A82" s="115">
        <v>113003</v>
      </c>
      <c r="B82" s="115">
        <v>111001</v>
      </c>
      <c r="C82" s="116">
        <v>3</v>
      </c>
      <c r="D82" s="116">
        <v>3</v>
      </c>
      <c r="E82" s="117" t="s">
        <v>171</v>
      </c>
      <c r="F82" s="116" t="s">
        <v>172</v>
      </c>
      <c r="G82" s="116">
        <v>14</v>
      </c>
    </row>
    <row r="83" spans="1:7">
      <c r="A83" s="115">
        <v>113004</v>
      </c>
      <c r="B83" s="115">
        <v>111001</v>
      </c>
      <c r="C83" s="116">
        <v>4</v>
      </c>
      <c r="D83" s="116">
        <v>5</v>
      </c>
      <c r="E83" s="117" t="s">
        <v>173</v>
      </c>
      <c r="F83" s="116" t="s">
        <v>162</v>
      </c>
      <c r="G83" s="116">
        <v>14</v>
      </c>
    </row>
    <row r="84" spans="1:7">
      <c r="A84" s="115">
        <v>113005</v>
      </c>
      <c r="B84" s="115">
        <v>111001</v>
      </c>
      <c r="C84" s="116">
        <v>6</v>
      </c>
      <c r="D84" s="116">
        <v>10</v>
      </c>
      <c r="E84" s="117" t="s">
        <v>163</v>
      </c>
      <c r="F84" s="116" t="s">
        <v>164</v>
      </c>
      <c r="G84" s="116">
        <v>14</v>
      </c>
    </row>
    <row r="85" spans="1:7">
      <c r="A85" s="115">
        <v>113006</v>
      </c>
      <c r="B85" s="115">
        <v>111001</v>
      </c>
      <c r="C85" s="116">
        <v>11</v>
      </c>
      <c r="D85" s="116">
        <v>100</v>
      </c>
      <c r="E85" s="117" t="s">
        <v>165</v>
      </c>
      <c r="F85" s="116" t="s">
        <v>166</v>
      </c>
      <c r="G85" s="116">
        <v>14</v>
      </c>
    </row>
    <row r="86" spans="1:7">
      <c r="A86" s="37">
        <v>114001</v>
      </c>
      <c r="B86" s="37">
        <v>112001</v>
      </c>
      <c r="C86" s="110">
        <v>1</v>
      </c>
      <c r="D86" s="110">
        <v>1</v>
      </c>
      <c r="E86" s="111" t="s">
        <v>174</v>
      </c>
      <c r="F86" s="111" t="s">
        <v>175</v>
      </c>
      <c r="G86" s="110">
        <v>15</v>
      </c>
    </row>
    <row r="87" spans="1:7">
      <c r="A87" s="37">
        <v>114002</v>
      </c>
      <c r="B87" s="37">
        <v>112001</v>
      </c>
      <c r="C87" s="110">
        <v>2</v>
      </c>
      <c r="D87" s="110">
        <v>2</v>
      </c>
      <c r="E87" s="111" t="s">
        <v>176</v>
      </c>
      <c r="F87" s="111" t="s">
        <v>177</v>
      </c>
      <c r="G87" s="110">
        <v>15</v>
      </c>
    </row>
    <row r="88" spans="1:7">
      <c r="A88" s="37">
        <v>114003</v>
      </c>
      <c r="B88" s="37">
        <v>112001</v>
      </c>
      <c r="C88" s="110">
        <v>3</v>
      </c>
      <c r="D88" s="110">
        <v>3</v>
      </c>
      <c r="E88" s="111" t="s">
        <v>178</v>
      </c>
      <c r="F88" s="111" t="s">
        <v>179</v>
      </c>
      <c r="G88" s="110">
        <v>15</v>
      </c>
    </row>
    <row r="89" spans="1:7">
      <c r="A89" s="37">
        <v>114004</v>
      </c>
      <c r="B89" s="37">
        <v>112001</v>
      </c>
      <c r="C89" s="110">
        <v>4</v>
      </c>
      <c r="D89" s="110">
        <v>5</v>
      </c>
      <c r="E89" s="111" t="s">
        <v>173</v>
      </c>
      <c r="F89" s="111" t="s">
        <v>162</v>
      </c>
      <c r="G89" s="110">
        <v>15</v>
      </c>
    </row>
    <row r="90" spans="1:7">
      <c r="A90" s="37">
        <v>114005</v>
      </c>
      <c r="B90" s="37">
        <v>112001</v>
      </c>
      <c r="C90" s="110">
        <v>6</v>
      </c>
      <c r="D90" s="110">
        <v>10</v>
      </c>
      <c r="E90" s="111" t="s">
        <v>163</v>
      </c>
      <c r="F90" s="111" t="s">
        <v>164</v>
      </c>
      <c r="G90" s="110">
        <v>15</v>
      </c>
    </row>
    <row r="91" spans="1:7">
      <c r="A91" s="37">
        <v>114006</v>
      </c>
      <c r="B91" s="37">
        <v>112001</v>
      </c>
      <c r="C91" s="110">
        <v>11</v>
      </c>
      <c r="D91" s="110">
        <v>100</v>
      </c>
      <c r="E91" s="111" t="s">
        <v>165</v>
      </c>
      <c r="F91" s="111" t="s">
        <v>166</v>
      </c>
      <c r="G91" s="110">
        <v>15</v>
      </c>
    </row>
    <row r="92" spans="1:7">
      <c r="A92" s="118">
        <v>115001</v>
      </c>
      <c r="B92" s="118">
        <v>113001</v>
      </c>
      <c r="C92" s="119">
        <v>1</v>
      </c>
      <c r="D92" s="119">
        <v>1</v>
      </c>
      <c r="E92" s="120" t="s">
        <v>180</v>
      </c>
      <c r="F92" s="119" t="s">
        <v>181</v>
      </c>
      <c r="G92" s="119">
        <v>16</v>
      </c>
    </row>
    <row r="93" spans="1:7">
      <c r="A93" s="118">
        <v>115002</v>
      </c>
      <c r="B93" s="118">
        <v>113001</v>
      </c>
      <c r="C93" s="119">
        <v>2</v>
      </c>
      <c r="D93" s="119">
        <v>2</v>
      </c>
      <c r="E93" s="120" t="s">
        <v>182</v>
      </c>
      <c r="F93" s="119" t="s">
        <v>183</v>
      </c>
      <c r="G93" s="119">
        <v>16</v>
      </c>
    </row>
    <row r="94" spans="1:7">
      <c r="A94" s="118">
        <v>115003</v>
      </c>
      <c r="B94" s="118">
        <v>113001</v>
      </c>
      <c r="C94" s="119">
        <v>3</v>
      </c>
      <c r="D94" s="119">
        <v>3</v>
      </c>
      <c r="E94" s="120" t="s">
        <v>184</v>
      </c>
      <c r="F94" s="119" t="s">
        <v>185</v>
      </c>
      <c r="G94" s="119">
        <v>16</v>
      </c>
    </row>
    <row r="95" spans="1:7">
      <c r="A95" s="118">
        <v>115004</v>
      </c>
      <c r="B95" s="118">
        <v>113001</v>
      </c>
      <c r="C95" s="119">
        <v>4</v>
      </c>
      <c r="D95" s="119">
        <v>5</v>
      </c>
      <c r="E95" s="120" t="s">
        <v>149</v>
      </c>
      <c r="F95" s="119" t="s">
        <v>150</v>
      </c>
      <c r="G95" s="119">
        <v>16</v>
      </c>
    </row>
    <row r="96" spans="1:7">
      <c r="A96" s="118">
        <v>115005</v>
      </c>
      <c r="B96" s="118">
        <v>113001</v>
      </c>
      <c r="C96" s="119">
        <v>6</v>
      </c>
      <c r="D96" s="119">
        <v>10</v>
      </c>
      <c r="E96" s="120" t="s">
        <v>151</v>
      </c>
      <c r="F96" s="119" t="s">
        <v>152</v>
      </c>
      <c r="G96" s="119">
        <v>16</v>
      </c>
    </row>
    <row r="97" spans="1:7">
      <c r="A97" s="118">
        <v>115006</v>
      </c>
      <c r="B97" s="118">
        <v>113001</v>
      </c>
      <c r="C97" s="119">
        <v>11</v>
      </c>
      <c r="D97" s="119">
        <v>100</v>
      </c>
      <c r="E97" s="120" t="s">
        <v>153</v>
      </c>
      <c r="F97" s="119" t="s">
        <v>154</v>
      </c>
      <c r="G97" s="119">
        <v>16</v>
      </c>
    </row>
    <row r="98" spans="1:7">
      <c r="A98" s="121">
        <v>116001</v>
      </c>
      <c r="B98" s="121">
        <v>114001</v>
      </c>
      <c r="C98" s="122">
        <v>1</v>
      </c>
      <c r="D98" s="122">
        <v>1</v>
      </c>
      <c r="E98" s="123" t="s">
        <v>186</v>
      </c>
      <c r="F98" s="123" t="s">
        <v>187</v>
      </c>
      <c r="G98" s="122">
        <v>17</v>
      </c>
    </row>
    <row r="99" spans="1:7">
      <c r="A99" s="121">
        <v>116002</v>
      </c>
      <c r="B99" s="121">
        <v>114001</v>
      </c>
      <c r="C99" s="122">
        <v>2</v>
      </c>
      <c r="D99" s="122">
        <v>2</v>
      </c>
      <c r="E99" s="123" t="s">
        <v>188</v>
      </c>
      <c r="F99" s="123" t="s">
        <v>189</v>
      </c>
      <c r="G99" s="122">
        <v>17</v>
      </c>
    </row>
    <row r="100" spans="1:7">
      <c r="A100" s="121">
        <v>116003</v>
      </c>
      <c r="B100" s="121">
        <v>114001</v>
      </c>
      <c r="C100" s="122">
        <v>3</v>
      </c>
      <c r="D100" s="122">
        <v>3</v>
      </c>
      <c r="E100" s="123" t="s">
        <v>190</v>
      </c>
      <c r="F100" s="123" t="s">
        <v>191</v>
      </c>
      <c r="G100" s="122">
        <v>17</v>
      </c>
    </row>
    <row r="101" spans="1:7">
      <c r="A101" s="121">
        <v>116004</v>
      </c>
      <c r="B101" s="121">
        <v>114001</v>
      </c>
      <c r="C101" s="122">
        <v>4</v>
      </c>
      <c r="D101" s="122">
        <v>5</v>
      </c>
      <c r="E101" s="123" t="s">
        <v>149</v>
      </c>
      <c r="F101" s="123" t="s">
        <v>150</v>
      </c>
      <c r="G101" s="122">
        <v>17</v>
      </c>
    </row>
    <row r="102" spans="1:7">
      <c r="A102" s="121">
        <v>116005</v>
      </c>
      <c r="B102" s="121">
        <v>114001</v>
      </c>
      <c r="C102" s="122">
        <v>6</v>
      </c>
      <c r="D102" s="122">
        <v>10</v>
      </c>
      <c r="E102" s="123" t="s">
        <v>151</v>
      </c>
      <c r="F102" s="123" t="s">
        <v>152</v>
      </c>
      <c r="G102" s="122">
        <v>17</v>
      </c>
    </row>
    <row r="103" spans="1:7">
      <c r="A103" s="121">
        <v>116006</v>
      </c>
      <c r="B103" s="121">
        <v>114001</v>
      </c>
      <c r="C103" s="122">
        <v>11</v>
      </c>
      <c r="D103" s="122">
        <v>100</v>
      </c>
      <c r="E103" s="123" t="s">
        <v>153</v>
      </c>
      <c r="F103" s="123" t="s">
        <v>154</v>
      </c>
      <c r="G103" s="122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41"/>
  <sheetViews>
    <sheetView topLeftCell="A20" workbookViewId="0">
      <selection activeCell="A32" sqref="A32"/>
    </sheetView>
  </sheetViews>
  <sheetFormatPr defaultColWidth="9" defaultRowHeight="14.25"/>
  <cols>
    <col min="3" max="3" width="23.5" customWidth="1"/>
  </cols>
  <sheetData>
    <row r="1" spans="1:3">
      <c r="A1" s="106" t="s">
        <v>70</v>
      </c>
      <c r="B1" s="106" t="s">
        <v>192</v>
      </c>
      <c r="C1" s="106" t="s">
        <v>193</v>
      </c>
    </row>
    <row r="2" spans="1:3">
      <c r="A2" s="106">
        <v>21700</v>
      </c>
      <c r="B2" s="14">
        <v>700</v>
      </c>
      <c r="C2" s="75" t="s">
        <v>194</v>
      </c>
    </row>
    <row r="3" spans="1:3">
      <c r="A3" s="106">
        <v>21600</v>
      </c>
      <c r="B3" s="14">
        <v>800</v>
      </c>
      <c r="C3" s="75" t="s">
        <v>195</v>
      </c>
    </row>
    <row r="4" spans="1:3" ht="28.5">
      <c r="A4" s="106">
        <v>14700</v>
      </c>
      <c r="B4" s="106">
        <v>400</v>
      </c>
      <c r="C4" s="75" t="s">
        <v>196</v>
      </c>
    </row>
    <row r="5" spans="1:3" ht="28.5">
      <c r="A5" s="106">
        <v>14701</v>
      </c>
      <c r="B5" s="106">
        <v>500</v>
      </c>
      <c r="C5" s="75" t="s">
        <v>197</v>
      </c>
    </row>
    <row r="6" spans="1:3" ht="28.5">
      <c r="A6" s="106">
        <v>14702</v>
      </c>
      <c r="B6" s="106">
        <v>600</v>
      </c>
      <c r="C6" s="75" t="s">
        <v>198</v>
      </c>
    </row>
    <row r="7" spans="1:3">
      <c r="A7" s="106">
        <v>21800</v>
      </c>
      <c r="B7" s="106">
        <v>900</v>
      </c>
      <c r="C7" s="75" t="s">
        <v>199</v>
      </c>
    </row>
    <row r="8" spans="1:3">
      <c r="A8" s="106">
        <v>14310</v>
      </c>
      <c r="B8" s="106">
        <v>1000</v>
      </c>
      <c r="C8" s="75" t="s">
        <v>200</v>
      </c>
    </row>
    <row r="9" spans="1:3">
      <c r="A9" s="106">
        <v>21701</v>
      </c>
      <c r="B9" s="106">
        <v>1100</v>
      </c>
      <c r="C9" s="75" t="s">
        <v>201</v>
      </c>
    </row>
    <row r="10" spans="1:3">
      <c r="A10" s="106">
        <v>18801</v>
      </c>
      <c r="B10" s="106">
        <v>1200</v>
      </c>
      <c r="C10" s="75" t="s">
        <v>202</v>
      </c>
    </row>
    <row r="11" spans="1:3">
      <c r="A11" s="14">
        <v>18900</v>
      </c>
      <c r="B11" s="106">
        <v>1300</v>
      </c>
      <c r="C11" s="75" t="s">
        <v>203</v>
      </c>
    </row>
    <row r="12" spans="1:3">
      <c r="A12" s="106">
        <v>772</v>
      </c>
      <c r="B12" s="106">
        <v>1400</v>
      </c>
      <c r="C12" s="75" t="s">
        <v>204</v>
      </c>
    </row>
    <row r="13" spans="1:3">
      <c r="A13" s="106">
        <v>14900</v>
      </c>
      <c r="B13" s="106">
        <v>1500</v>
      </c>
      <c r="C13" s="75" t="s">
        <v>205</v>
      </c>
    </row>
    <row r="14" spans="1:3">
      <c r="A14" s="106">
        <v>15401</v>
      </c>
      <c r="B14" s="106">
        <v>1600</v>
      </c>
      <c r="C14" s="75" t="s">
        <v>206</v>
      </c>
    </row>
    <row r="15" spans="1:3">
      <c r="A15" s="106">
        <v>15501</v>
      </c>
      <c r="B15" s="106">
        <v>1700</v>
      </c>
      <c r="C15" s="75" t="s">
        <v>207</v>
      </c>
    </row>
    <row r="16" spans="1:3" ht="28.5">
      <c r="A16" s="106">
        <v>12007</v>
      </c>
      <c r="B16" s="106">
        <v>1800</v>
      </c>
      <c r="C16" s="75" t="s">
        <v>208</v>
      </c>
    </row>
    <row r="17" spans="1:3" ht="28.5">
      <c r="A17" s="106">
        <v>13300</v>
      </c>
      <c r="B17" s="106">
        <v>1900</v>
      </c>
      <c r="C17" s="75" t="s">
        <v>209</v>
      </c>
    </row>
    <row r="18" spans="1:3" ht="28.5">
      <c r="A18" s="106">
        <v>14202</v>
      </c>
      <c r="B18" s="106">
        <v>2000</v>
      </c>
      <c r="C18" s="75" t="s">
        <v>210</v>
      </c>
    </row>
    <row r="19" spans="1:3" ht="28.5">
      <c r="A19" s="106">
        <v>14201</v>
      </c>
      <c r="B19" s="106">
        <v>2100</v>
      </c>
      <c r="C19" s="75" t="s">
        <v>211</v>
      </c>
    </row>
    <row r="20" spans="1:3" ht="42.75">
      <c r="A20" s="106">
        <v>13310</v>
      </c>
      <c r="B20" s="106">
        <v>2200</v>
      </c>
      <c r="C20" s="75" t="s">
        <v>212</v>
      </c>
    </row>
    <row r="21" spans="1:3">
      <c r="A21" s="106">
        <v>14300</v>
      </c>
      <c r="B21" s="106">
        <v>2300</v>
      </c>
      <c r="C21" s="75" t="s">
        <v>213</v>
      </c>
    </row>
    <row r="22" spans="1:3">
      <c r="A22" s="106">
        <v>15300</v>
      </c>
      <c r="B22" s="106">
        <v>2400</v>
      </c>
      <c r="C22" s="75" t="s">
        <v>214</v>
      </c>
    </row>
    <row r="23" spans="1:3">
      <c r="A23" s="106">
        <v>15200</v>
      </c>
      <c r="B23" s="106">
        <v>2500</v>
      </c>
      <c r="C23" s="75" t="s">
        <v>215</v>
      </c>
    </row>
    <row r="24" spans="1:3" ht="28.5">
      <c r="A24" s="106">
        <v>13500</v>
      </c>
      <c r="B24" s="106">
        <v>2600</v>
      </c>
      <c r="C24" s="75" t="s">
        <v>216</v>
      </c>
    </row>
    <row r="25" spans="1:3" ht="42.75">
      <c r="A25" s="106">
        <v>12010</v>
      </c>
      <c r="B25" s="106">
        <v>2700</v>
      </c>
      <c r="C25" s="75" t="s">
        <v>217</v>
      </c>
    </row>
    <row r="26" spans="1:3" ht="28.5">
      <c r="A26" s="106">
        <v>11000</v>
      </c>
      <c r="B26" s="106">
        <v>2800</v>
      </c>
      <c r="C26" s="75" t="s">
        <v>218</v>
      </c>
    </row>
    <row r="27" spans="1:3" ht="42.75">
      <c r="A27" s="106">
        <v>12001</v>
      </c>
      <c r="B27" s="106">
        <v>2900</v>
      </c>
      <c r="C27" s="75" t="s">
        <v>219</v>
      </c>
    </row>
    <row r="28" spans="1:3" ht="42.75">
      <c r="A28" s="106">
        <v>12012</v>
      </c>
      <c r="B28" s="106">
        <v>3000</v>
      </c>
      <c r="C28" s="75" t="s">
        <v>220</v>
      </c>
    </row>
    <row r="29" spans="1:3" ht="42.75">
      <c r="A29" s="106">
        <v>12009</v>
      </c>
      <c r="B29" s="106">
        <v>3100</v>
      </c>
      <c r="C29" s="75" t="s">
        <v>221</v>
      </c>
    </row>
    <row r="30" spans="1:3" ht="28.5">
      <c r="A30" s="106">
        <v>12013</v>
      </c>
      <c r="B30" s="106">
        <v>3200</v>
      </c>
      <c r="C30" s="75" t="s">
        <v>222</v>
      </c>
    </row>
    <row r="31" spans="1:3" ht="28.5">
      <c r="A31" s="106">
        <v>12014</v>
      </c>
      <c r="B31" s="106">
        <v>3300</v>
      </c>
      <c r="C31" s="75" t="s">
        <v>223</v>
      </c>
    </row>
    <row r="32" spans="1:3" ht="42.75">
      <c r="A32" s="106">
        <v>12015</v>
      </c>
      <c r="B32" s="106">
        <v>3400</v>
      </c>
      <c r="C32" s="75" t="s">
        <v>224</v>
      </c>
    </row>
    <row r="33" spans="1:3" ht="28.5">
      <c r="A33">
        <v>14710</v>
      </c>
      <c r="B33" s="106">
        <v>100</v>
      </c>
      <c r="C33" s="75" t="s">
        <v>225</v>
      </c>
    </row>
    <row r="34" spans="1:3" ht="28.5">
      <c r="A34">
        <v>14711</v>
      </c>
      <c r="B34" s="106">
        <v>200</v>
      </c>
      <c r="C34" s="75" t="s">
        <v>226</v>
      </c>
    </row>
    <row r="35" spans="1:3" ht="28.5">
      <c r="A35">
        <v>14712</v>
      </c>
      <c r="B35" s="106">
        <v>300</v>
      </c>
      <c r="C35" s="75" t="s">
        <v>227</v>
      </c>
    </row>
    <row r="36" spans="1:3">
      <c r="A36">
        <v>17341</v>
      </c>
      <c r="B36" s="14">
        <v>650</v>
      </c>
      <c r="C36" s="107" t="s">
        <v>228</v>
      </c>
    </row>
    <row r="37" spans="1:3" ht="28.5">
      <c r="A37" s="14">
        <v>17318</v>
      </c>
      <c r="B37" s="14">
        <v>500</v>
      </c>
      <c r="C37" s="75" t="s">
        <v>229</v>
      </c>
    </row>
    <row r="38" spans="1:3" ht="28.5">
      <c r="A38" s="108">
        <v>15511</v>
      </c>
      <c r="B38">
        <v>3401</v>
      </c>
      <c r="C38" s="75" t="s">
        <v>230</v>
      </c>
    </row>
    <row r="39" spans="1:3" ht="28.5">
      <c r="A39" s="108">
        <v>15512</v>
      </c>
      <c r="B39">
        <v>3402</v>
      </c>
      <c r="C39" s="75" t="s">
        <v>231</v>
      </c>
    </row>
    <row r="40" spans="1:3">
      <c r="A40" s="108">
        <v>15513</v>
      </c>
      <c r="B40">
        <v>3403</v>
      </c>
      <c r="C40" s="75" t="s">
        <v>232</v>
      </c>
    </row>
    <row r="41" spans="1:3">
      <c r="A41" s="108">
        <v>17319</v>
      </c>
      <c r="B41">
        <v>699</v>
      </c>
      <c r="C41" s="75" t="s">
        <v>233</v>
      </c>
    </row>
  </sheetData>
  <sortState xmlns:xlrd2="http://schemas.microsoft.com/office/spreadsheetml/2017/richdata2" ref="A2:C28">
    <sortCondition ref="B2"/>
  </sortState>
  <conditionalFormatting sqref="A13">
    <cfRule type="duplicateValues" dxfId="34" priority="5"/>
  </conditionalFormatting>
  <conditionalFormatting sqref="A14">
    <cfRule type="duplicateValues" dxfId="33" priority="4"/>
  </conditionalFormatting>
  <conditionalFormatting sqref="A25">
    <cfRule type="duplicateValues" dxfId="32" priority="2"/>
  </conditionalFormatting>
  <conditionalFormatting sqref="A27:A28">
    <cfRule type="duplicateValues" dxfId="31" priority="1"/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P99"/>
  <sheetViews>
    <sheetView topLeftCell="A10" workbookViewId="0">
      <pane xSplit="2" topLeftCell="C1" activePane="topRight" state="frozen"/>
      <selection pane="topRight" activeCell="G15" sqref="G15"/>
    </sheetView>
  </sheetViews>
  <sheetFormatPr defaultColWidth="9" defaultRowHeight="14.25"/>
  <cols>
    <col min="1" max="1" width="9.625" customWidth="1"/>
    <col min="2" max="2" width="17.5" customWidth="1"/>
    <col min="3" max="3" width="9.25" customWidth="1"/>
    <col min="6" max="6" width="15" customWidth="1"/>
    <col min="7" max="7" width="65.25" customWidth="1"/>
    <col min="8" max="8" width="33.75" style="71" customWidth="1"/>
    <col min="9" max="9" width="15.625" customWidth="1"/>
    <col min="10" max="10" width="13.375" customWidth="1"/>
    <col min="11" max="11" width="13.75" customWidth="1"/>
    <col min="12" max="12" width="20" customWidth="1"/>
    <col min="15" max="15" width="42.375" customWidth="1"/>
  </cols>
  <sheetData>
    <row r="1" spans="1:15" ht="16.5">
      <c r="A1" s="72" t="s">
        <v>0</v>
      </c>
      <c r="B1" s="72" t="s">
        <v>2</v>
      </c>
      <c r="C1" s="72" t="s">
        <v>3</v>
      </c>
      <c r="D1" s="72" t="s">
        <v>4</v>
      </c>
      <c r="E1" s="72" t="s">
        <v>5</v>
      </c>
      <c r="F1" s="72" t="s">
        <v>6</v>
      </c>
      <c r="G1" s="72" t="s">
        <v>234</v>
      </c>
      <c r="H1" s="73" t="s">
        <v>235</v>
      </c>
      <c r="I1" s="72" t="s">
        <v>236</v>
      </c>
      <c r="J1" s="72" t="s">
        <v>237</v>
      </c>
      <c r="K1" s="72" t="s">
        <v>238</v>
      </c>
      <c r="L1" s="88" t="s">
        <v>239</v>
      </c>
      <c r="M1" s="72" t="s">
        <v>15</v>
      </c>
      <c r="N1" s="72" t="s">
        <v>240</v>
      </c>
      <c r="O1" s="65" t="s">
        <v>193</v>
      </c>
    </row>
    <row r="2" spans="1:15" ht="28.5">
      <c r="A2" s="74">
        <v>100001</v>
      </c>
      <c r="B2" s="75" t="s">
        <v>241</v>
      </c>
      <c r="C2" s="74">
        <v>1</v>
      </c>
      <c r="D2" s="76" t="s">
        <v>19</v>
      </c>
      <c r="E2" s="74">
        <v>7</v>
      </c>
      <c r="F2" s="76" t="s">
        <v>20</v>
      </c>
      <c r="G2" s="77" t="s">
        <v>242</v>
      </c>
      <c r="H2" s="76" t="s">
        <v>243</v>
      </c>
      <c r="I2" s="74">
        <v>100</v>
      </c>
      <c r="J2" s="74">
        <v>4</v>
      </c>
      <c r="K2" s="74">
        <v>5</v>
      </c>
      <c r="L2" s="74">
        <v>1</v>
      </c>
      <c r="M2" s="74">
        <v>1014</v>
      </c>
      <c r="N2" s="74">
        <v>10001</v>
      </c>
      <c r="O2" s="89" t="s">
        <v>244</v>
      </c>
    </row>
    <row r="3" spans="1:15" ht="28.5">
      <c r="A3" s="74">
        <v>100002</v>
      </c>
      <c r="B3" s="75" t="s">
        <v>245</v>
      </c>
      <c r="C3" s="74">
        <f>C2+7</f>
        <v>8</v>
      </c>
      <c r="D3" s="76" t="s">
        <v>19</v>
      </c>
      <c r="E3" s="74">
        <f>E2+7</f>
        <v>14</v>
      </c>
      <c r="F3" s="76" t="s">
        <v>20</v>
      </c>
      <c r="G3" s="77" t="s">
        <v>246</v>
      </c>
      <c r="H3" s="76" t="s">
        <v>243</v>
      </c>
      <c r="I3" s="74">
        <v>100</v>
      </c>
      <c r="J3" s="74">
        <v>4</v>
      </c>
      <c r="K3" s="74">
        <v>5</v>
      </c>
      <c r="L3" s="74">
        <v>1</v>
      </c>
      <c r="M3" s="74">
        <v>1014</v>
      </c>
      <c r="N3" s="79">
        <v>10001</v>
      </c>
      <c r="O3" s="89" t="s">
        <v>247</v>
      </c>
    </row>
    <row r="4" spans="1:15" ht="28.5">
      <c r="A4" s="74">
        <v>100003</v>
      </c>
      <c r="B4" s="75" t="s">
        <v>248</v>
      </c>
      <c r="C4" s="74">
        <f>C3+7</f>
        <v>15</v>
      </c>
      <c r="D4" s="76" t="s">
        <v>19</v>
      </c>
      <c r="E4" s="74">
        <f>E3+7</f>
        <v>21</v>
      </c>
      <c r="F4" s="76" t="s">
        <v>20</v>
      </c>
      <c r="G4" s="77" t="s">
        <v>249</v>
      </c>
      <c r="H4" s="76" t="s">
        <v>243</v>
      </c>
      <c r="I4" s="74">
        <v>100</v>
      </c>
      <c r="J4" s="74">
        <v>4</v>
      </c>
      <c r="K4" s="74">
        <v>5</v>
      </c>
      <c r="L4" s="74">
        <v>1</v>
      </c>
      <c r="M4" s="74">
        <v>1014</v>
      </c>
      <c r="N4" s="79">
        <v>10001</v>
      </c>
      <c r="O4" s="89" t="s">
        <v>250</v>
      </c>
    </row>
    <row r="5" spans="1:15" ht="28.5">
      <c r="A5" s="72">
        <v>100004</v>
      </c>
      <c r="B5" s="75" t="s">
        <v>251</v>
      </c>
      <c r="C5" s="74">
        <f>C4+7</f>
        <v>22</v>
      </c>
      <c r="D5" s="73" t="s">
        <v>19</v>
      </c>
      <c r="E5" s="74">
        <f>E4+7</f>
        <v>28</v>
      </c>
      <c r="F5" s="73" t="s">
        <v>20</v>
      </c>
      <c r="G5" s="78" t="s">
        <v>252</v>
      </c>
      <c r="H5" s="73" t="s">
        <v>243</v>
      </c>
      <c r="I5" s="74">
        <v>100</v>
      </c>
      <c r="J5" s="72">
        <v>4</v>
      </c>
      <c r="K5" s="72">
        <v>5</v>
      </c>
      <c r="L5" s="72">
        <v>1</v>
      </c>
      <c r="M5" s="72">
        <v>1014</v>
      </c>
      <c r="N5" s="65">
        <v>10001</v>
      </c>
      <c r="O5" s="89" t="s">
        <v>253</v>
      </c>
    </row>
    <row r="6" spans="1:15" ht="28.5">
      <c r="A6" s="74">
        <v>200001</v>
      </c>
      <c r="B6" s="75" t="s">
        <v>254</v>
      </c>
      <c r="C6" s="74">
        <f>C5+7</f>
        <v>29</v>
      </c>
      <c r="D6" s="76" t="s">
        <v>19</v>
      </c>
      <c r="E6" s="74">
        <f>E5+7</f>
        <v>35</v>
      </c>
      <c r="F6" s="76" t="s">
        <v>20</v>
      </c>
      <c r="G6" s="77" t="s">
        <v>255</v>
      </c>
      <c r="H6" s="76" t="s">
        <v>243</v>
      </c>
      <c r="I6" s="74">
        <v>100</v>
      </c>
      <c r="J6" s="74">
        <v>4</v>
      </c>
      <c r="K6" s="74">
        <v>5</v>
      </c>
      <c r="L6" s="74">
        <v>1</v>
      </c>
      <c r="M6" s="74">
        <v>1014</v>
      </c>
      <c r="N6" s="79">
        <v>10001</v>
      </c>
      <c r="O6" s="89"/>
    </row>
    <row r="7" spans="1:15" ht="28.5">
      <c r="A7" s="79">
        <v>200002</v>
      </c>
      <c r="B7" s="75" t="s">
        <v>256</v>
      </c>
      <c r="C7" s="74">
        <f>C6+7</f>
        <v>36</v>
      </c>
      <c r="D7" s="76" t="s">
        <v>19</v>
      </c>
      <c r="E7" s="74">
        <f>E6+7</f>
        <v>42</v>
      </c>
      <c r="F7" s="76" t="s">
        <v>20</v>
      </c>
      <c r="G7" s="77" t="s">
        <v>257</v>
      </c>
      <c r="H7" s="76" t="s">
        <v>243</v>
      </c>
      <c r="I7" s="74">
        <v>100</v>
      </c>
      <c r="J7" s="74">
        <v>4</v>
      </c>
      <c r="K7" s="74">
        <v>5</v>
      </c>
      <c r="L7" s="74">
        <v>1</v>
      </c>
      <c r="M7" s="79">
        <v>1014</v>
      </c>
      <c r="N7" s="79">
        <v>10001</v>
      </c>
      <c r="O7" s="89" t="s">
        <v>258</v>
      </c>
    </row>
    <row r="8" spans="1:15" ht="28.5">
      <c r="A8" s="79">
        <v>200003</v>
      </c>
      <c r="B8" s="75" t="s">
        <v>259</v>
      </c>
      <c r="C8" s="74">
        <f t="shared" ref="C8:C71" si="0">C7+7</f>
        <v>43</v>
      </c>
      <c r="D8" s="76" t="s">
        <v>19</v>
      </c>
      <c r="E8" s="74">
        <f t="shared" ref="E8:E71" si="1">E7+7</f>
        <v>49</v>
      </c>
      <c r="F8" s="76" t="s">
        <v>20</v>
      </c>
      <c r="G8" s="80" t="s">
        <v>260</v>
      </c>
      <c r="H8" s="76" t="s">
        <v>243</v>
      </c>
      <c r="I8" s="74">
        <v>100</v>
      </c>
      <c r="J8" s="74">
        <v>4</v>
      </c>
      <c r="K8" s="74">
        <v>5</v>
      </c>
      <c r="L8" s="74">
        <v>1</v>
      </c>
      <c r="M8" s="74">
        <v>1014</v>
      </c>
      <c r="N8" s="79">
        <v>10001</v>
      </c>
      <c r="O8" s="90" t="s">
        <v>261</v>
      </c>
    </row>
    <row r="9" spans="1:15" ht="28.5">
      <c r="A9" s="79">
        <v>200004</v>
      </c>
      <c r="B9" s="75" t="s">
        <v>262</v>
      </c>
      <c r="C9" s="74">
        <f t="shared" si="0"/>
        <v>50</v>
      </c>
      <c r="D9" s="76" t="s">
        <v>19</v>
      </c>
      <c r="E9" s="74">
        <f t="shared" si="1"/>
        <v>56</v>
      </c>
      <c r="F9" s="76" t="s">
        <v>20</v>
      </c>
      <c r="G9" s="80" t="s">
        <v>263</v>
      </c>
      <c r="H9" s="76" t="s">
        <v>243</v>
      </c>
      <c r="I9" s="74">
        <v>100</v>
      </c>
      <c r="J9" s="74">
        <v>4</v>
      </c>
      <c r="K9" s="74">
        <v>5</v>
      </c>
      <c r="L9" s="74">
        <v>1</v>
      </c>
      <c r="M9" s="74">
        <v>1014</v>
      </c>
      <c r="N9" s="79">
        <v>10001</v>
      </c>
      <c r="O9" s="90" t="s">
        <v>264</v>
      </c>
    </row>
    <row r="10" spans="1:15" ht="28.5">
      <c r="A10" s="79">
        <v>200005</v>
      </c>
      <c r="B10" s="75" t="s">
        <v>265</v>
      </c>
      <c r="C10" s="74">
        <f t="shared" si="0"/>
        <v>57</v>
      </c>
      <c r="D10" s="73" t="s">
        <v>19</v>
      </c>
      <c r="E10" s="74">
        <f t="shared" si="1"/>
        <v>63</v>
      </c>
      <c r="F10" s="76" t="s">
        <v>20</v>
      </c>
      <c r="G10" s="80" t="s">
        <v>266</v>
      </c>
      <c r="H10" s="76" t="s">
        <v>243</v>
      </c>
      <c r="I10" s="74">
        <v>100</v>
      </c>
      <c r="J10" s="74">
        <v>4</v>
      </c>
      <c r="K10" s="74">
        <v>5</v>
      </c>
      <c r="L10" s="74">
        <v>1</v>
      </c>
      <c r="M10" s="74">
        <v>1014</v>
      </c>
      <c r="N10" s="79">
        <v>10001</v>
      </c>
      <c r="O10" s="90" t="s">
        <v>267</v>
      </c>
    </row>
    <row r="11" spans="1:15" ht="28.5">
      <c r="A11" s="79">
        <v>200006</v>
      </c>
      <c r="B11" s="75" t="s">
        <v>268</v>
      </c>
      <c r="C11" s="74">
        <f t="shared" si="0"/>
        <v>64</v>
      </c>
      <c r="D11" s="76" t="s">
        <v>19</v>
      </c>
      <c r="E11" s="74">
        <f t="shared" si="1"/>
        <v>70</v>
      </c>
      <c r="F11" s="76" t="s">
        <v>20</v>
      </c>
      <c r="G11" s="80" t="s">
        <v>269</v>
      </c>
      <c r="H11" s="76" t="s">
        <v>243</v>
      </c>
      <c r="I11" s="74">
        <v>100</v>
      </c>
      <c r="J11" s="74">
        <v>4</v>
      </c>
      <c r="K11" s="74">
        <v>5</v>
      </c>
      <c r="L11" s="74">
        <v>1</v>
      </c>
      <c r="M11" s="74">
        <v>1014</v>
      </c>
      <c r="N11" s="79">
        <v>10001</v>
      </c>
      <c r="O11" s="90" t="s">
        <v>270</v>
      </c>
    </row>
    <row r="12" spans="1:15" ht="28.5">
      <c r="A12" s="79">
        <v>200007</v>
      </c>
      <c r="B12" s="75" t="s">
        <v>271</v>
      </c>
      <c r="C12" s="74">
        <f t="shared" si="0"/>
        <v>71</v>
      </c>
      <c r="D12" s="76" t="s">
        <v>19</v>
      </c>
      <c r="E12" s="74">
        <f t="shared" si="1"/>
        <v>77</v>
      </c>
      <c r="F12" s="76" t="s">
        <v>20</v>
      </c>
      <c r="G12" s="77" t="s">
        <v>272</v>
      </c>
      <c r="H12" s="76" t="s">
        <v>243</v>
      </c>
      <c r="I12" s="74">
        <v>100</v>
      </c>
      <c r="J12" s="79">
        <v>4</v>
      </c>
      <c r="K12" s="79">
        <v>5</v>
      </c>
      <c r="L12" s="79">
        <v>1</v>
      </c>
      <c r="M12" s="79">
        <v>1014</v>
      </c>
      <c r="N12" s="79">
        <v>10001</v>
      </c>
      <c r="O12" s="90" t="s">
        <v>273</v>
      </c>
    </row>
    <row r="13" spans="1:15" ht="28.5">
      <c r="A13" s="79">
        <v>200008</v>
      </c>
      <c r="B13" s="75" t="s">
        <v>274</v>
      </c>
      <c r="C13" s="74">
        <f t="shared" si="0"/>
        <v>78</v>
      </c>
      <c r="D13" s="76" t="s">
        <v>19</v>
      </c>
      <c r="E13" s="74">
        <f t="shared" si="1"/>
        <v>84</v>
      </c>
      <c r="F13" s="76" t="s">
        <v>20</v>
      </c>
      <c r="G13" s="77" t="s">
        <v>275</v>
      </c>
      <c r="H13" s="76" t="s">
        <v>243</v>
      </c>
      <c r="I13" s="74">
        <v>100</v>
      </c>
      <c r="J13" s="79">
        <v>4</v>
      </c>
      <c r="K13" s="79">
        <v>5</v>
      </c>
      <c r="L13" s="79">
        <v>1</v>
      </c>
      <c r="M13" s="79">
        <v>1014</v>
      </c>
      <c r="N13" s="79">
        <v>10001</v>
      </c>
      <c r="O13" s="90" t="s">
        <v>276</v>
      </c>
    </row>
    <row r="14" spans="1:15" ht="28.5">
      <c r="A14" s="79">
        <v>200009</v>
      </c>
      <c r="B14" s="75" t="s">
        <v>277</v>
      </c>
      <c r="C14" s="74">
        <f t="shared" si="0"/>
        <v>85</v>
      </c>
      <c r="D14" s="76" t="s">
        <v>19</v>
      </c>
      <c r="E14" s="74">
        <f t="shared" si="1"/>
        <v>91</v>
      </c>
      <c r="F14" s="76" t="s">
        <v>20</v>
      </c>
      <c r="G14" s="77" t="s">
        <v>278</v>
      </c>
      <c r="H14" s="76" t="s">
        <v>243</v>
      </c>
      <c r="I14" s="74">
        <v>100</v>
      </c>
      <c r="J14" s="79">
        <v>4</v>
      </c>
      <c r="K14" s="79">
        <v>5</v>
      </c>
      <c r="L14" s="79">
        <v>1</v>
      </c>
      <c r="M14" s="79">
        <v>1014</v>
      </c>
      <c r="N14" s="79">
        <v>10001</v>
      </c>
      <c r="O14" s="90" t="s">
        <v>279</v>
      </c>
    </row>
    <row r="15" spans="1:15" ht="28.5">
      <c r="A15" s="79">
        <v>200010</v>
      </c>
      <c r="B15" s="75" t="s">
        <v>280</v>
      </c>
      <c r="C15" s="74">
        <f t="shared" si="0"/>
        <v>92</v>
      </c>
      <c r="D15" s="73" t="s">
        <v>19</v>
      </c>
      <c r="E15" s="74">
        <f t="shared" si="1"/>
        <v>98</v>
      </c>
      <c r="F15" s="76" t="s">
        <v>20</v>
      </c>
      <c r="G15" s="77" t="s">
        <v>281</v>
      </c>
      <c r="H15" s="76" t="s">
        <v>243</v>
      </c>
      <c r="I15" s="74">
        <v>100</v>
      </c>
      <c r="J15" s="79">
        <v>4</v>
      </c>
      <c r="K15" s="79">
        <v>5</v>
      </c>
      <c r="L15" s="79">
        <v>1</v>
      </c>
      <c r="M15" s="79">
        <v>1014</v>
      </c>
      <c r="N15" s="79">
        <v>10001</v>
      </c>
      <c r="O15" s="90" t="s">
        <v>282</v>
      </c>
    </row>
    <row r="16" spans="1:15" ht="28.5">
      <c r="A16" s="79">
        <v>200011</v>
      </c>
      <c r="B16" s="75" t="s">
        <v>283</v>
      </c>
      <c r="C16" s="74">
        <f t="shared" si="0"/>
        <v>99</v>
      </c>
      <c r="D16" s="76" t="s">
        <v>19</v>
      </c>
      <c r="E16" s="74">
        <f t="shared" si="1"/>
        <v>105</v>
      </c>
      <c r="F16" s="76" t="s">
        <v>20</v>
      </c>
      <c r="G16" s="77" t="s">
        <v>284</v>
      </c>
      <c r="H16" s="76" t="s">
        <v>243</v>
      </c>
      <c r="I16" s="74">
        <v>100</v>
      </c>
      <c r="J16" s="79">
        <v>4</v>
      </c>
      <c r="K16" s="79">
        <v>5</v>
      </c>
      <c r="L16" s="79">
        <v>1</v>
      </c>
      <c r="M16" s="79">
        <v>1014</v>
      </c>
      <c r="N16" s="79">
        <v>10001</v>
      </c>
      <c r="O16" s="90" t="s">
        <v>285</v>
      </c>
    </row>
    <row r="17" spans="1:15" ht="28.5">
      <c r="A17" s="79">
        <v>200012</v>
      </c>
      <c r="B17" s="75" t="s">
        <v>286</v>
      </c>
      <c r="C17" s="74">
        <f t="shared" si="0"/>
        <v>106</v>
      </c>
      <c r="D17" s="76" t="s">
        <v>19</v>
      </c>
      <c r="E17" s="74">
        <f t="shared" si="1"/>
        <v>112</v>
      </c>
      <c r="F17" s="76" t="s">
        <v>20</v>
      </c>
      <c r="G17" s="77" t="s">
        <v>287</v>
      </c>
      <c r="H17" s="76" t="s">
        <v>243</v>
      </c>
      <c r="I17" s="74">
        <v>100</v>
      </c>
      <c r="J17" s="79">
        <v>4</v>
      </c>
      <c r="K17" s="79">
        <v>5</v>
      </c>
      <c r="L17" s="79">
        <v>1</v>
      </c>
      <c r="M17" s="79">
        <v>1014</v>
      </c>
      <c r="N17" s="79">
        <v>10001</v>
      </c>
      <c r="O17" s="90" t="s">
        <v>288</v>
      </c>
    </row>
    <row r="18" spans="1:15" ht="28.5">
      <c r="A18" s="79">
        <v>200013</v>
      </c>
      <c r="B18" s="75" t="s">
        <v>289</v>
      </c>
      <c r="C18" s="74">
        <f t="shared" si="0"/>
        <v>113</v>
      </c>
      <c r="D18" s="76" t="s">
        <v>19</v>
      </c>
      <c r="E18" s="74">
        <f t="shared" si="1"/>
        <v>119</v>
      </c>
      <c r="F18" s="76" t="s">
        <v>20</v>
      </c>
      <c r="G18" s="80" t="s">
        <v>269</v>
      </c>
      <c r="H18" s="76" t="s">
        <v>243</v>
      </c>
      <c r="I18" s="74">
        <v>100</v>
      </c>
      <c r="J18" s="74">
        <v>4</v>
      </c>
      <c r="K18" s="74">
        <v>5</v>
      </c>
      <c r="L18" s="74">
        <v>1</v>
      </c>
      <c r="M18" s="74">
        <v>1014</v>
      </c>
      <c r="N18" s="79">
        <v>10001</v>
      </c>
      <c r="O18" s="90" t="s">
        <v>270</v>
      </c>
    </row>
    <row r="19" spans="1:15" s="68" customFormat="1" ht="28.5">
      <c r="A19" s="81">
        <v>200014</v>
      </c>
      <c r="B19" s="75" t="s">
        <v>290</v>
      </c>
      <c r="C19" s="74">
        <f t="shared" si="0"/>
        <v>120</v>
      </c>
      <c r="D19" s="76" t="s">
        <v>19</v>
      </c>
      <c r="E19" s="74">
        <f t="shared" si="1"/>
        <v>126</v>
      </c>
      <c r="F19" s="82" t="s">
        <v>20</v>
      </c>
      <c r="G19" s="83" t="s">
        <v>266</v>
      </c>
      <c r="H19" s="82" t="s">
        <v>243</v>
      </c>
      <c r="I19" s="91">
        <v>100</v>
      </c>
      <c r="J19" s="91">
        <v>4</v>
      </c>
      <c r="K19" s="91">
        <v>5</v>
      </c>
      <c r="L19" s="91">
        <v>1</v>
      </c>
      <c r="M19" s="91">
        <v>1014</v>
      </c>
      <c r="N19" s="81">
        <v>10001</v>
      </c>
      <c r="O19" s="92" t="s">
        <v>267</v>
      </c>
    </row>
    <row r="20" spans="1:15" s="68" customFormat="1" ht="28.5">
      <c r="A20" s="81">
        <v>200015</v>
      </c>
      <c r="B20" s="75" t="s">
        <v>291</v>
      </c>
      <c r="C20" s="74">
        <f t="shared" si="0"/>
        <v>127</v>
      </c>
      <c r="D20" s="73" t="s">
        <v>19</v>
      </c>
      <c r="E20" s="74">
        <f t="shared" si="1"/>
        <v>133</v>
      </c>
      <c r="F20" s="82" t="s">
        <v>20</v>
      </c>
      <c r="G20" s="84" t="s">
        <v>272</v>
      </c>
      <c r="H20" s="82" t="s">
        <v>243</v>
      </c>
      <c r="I20" s="91">
        <v>100</v>
      </c>
      <c r="J20" s="81">
        <v>4</v>
      </c>
      <c r="K20" s="81">
        <v>5</v>
      </c>
      <c r="L20" s="81">
        <v>1</v>
      </c>
      <c r="M20" s="81">
        <v>1014</v>
      </c>
      <c r="N20" s="81">
        <v>10001</v>
      </c>
      <c r="O20" s="92" t="s">
        <v>273</v>
      </c>
    </row>
    <row r="21" spans="1:15" s="68" customFormat="1" ht="28.5">
      <c r="A21" s="81">
        <v>200016</v>
      </c>
      <c r="B21" s="75" t="s">
        <v>292</v>
      </c>
      <c r="C21" s="74">
        <f t="shared" si="0"/>
        <v>134</v>
      </c>
      <c r="D21" s="76" t="s">
        <v>19</v>
      </c>
      <c r="E21" s="74">
        <f t="shared" si="1"/>
        <v>140</v>
      </c>
      <c r="F21" s="82" t="s">
        <v>20</v>
      </c>
      <c r="G21" s="84" t="s">
        <v>275</v>
      </c>
      <c r="H21" s="82" t="s">
        <v>243</v>
      </c>
      <c r="I21" s="91">
        <v>100</v>
      </c>
      <c r="J21" s="81">
        <v>4</v>
      </c>
      <c r="K21" s="81">
        <v>5</v>
      </c>
      <c r="L21" s="81">
        <v>1</v>
      </c>
      <c r="M21" s="81">
        <v>1014</v>
      </c>
      <c r="N21" s="81">
        <v>10001</v>
      </c>
      <c r="O21" s="92" t="s">
        <v>276</v>
      </c>
    </row>
    <row r="22" spans="1:15" ht="28.5">
      <c r="A22" s="81">
        <v>200017</v>
      </c>
      <c r="B22" s="75" t="s">
        <v>293</v>
      </c>
      <c r="C22" s="74">
        <f t="shared" si="0"/>
        <v>141</v>
      </c>
      <c r="D22" s="76" t="s">
        <v>19</v>
      </c>
      <c r="E22" s="74">
        <f t="shared" si="1"/>
        <v>147</v>
      </c>
      <c r="F22" s="82" t="s">
        <v>20</v>
      </c>
      <c r="G22" s="84" t="s">
        <v>294</v>
      </c>
      <c r="H22" s="82" t="s">
        <v>243</v>
      </c>
      <c r="I22" s="91">
        <v>100</v>
      </c>
      <c r="J22" s="81">
        <v>4</v>
      </c>
      <c r="K22" s="81">
        <v>5</v>
      </c>
      <c r="L22" s="81">
        <v>1</v>
      </c>
      <c r="M22" s="81">
        <v>1014</v>
      </c>
      <c r="N22" s="81">
        <v>10001</v>
      </c>
      <c r="O22" s="92" t="s">
        <v>295</v>
      </c>
    </row>
    <row r="23" spans="1:15" ht="28.5">
      <c r="A23" s="81">
        <v>200018</v>
      </c>
      <c r="B23" s="75" t="s">
        <v>296</v>
      </c>
      <c r="C23" s="74">
        <f t="shared" si="0"/>
        <v>148</v>
      </c>
      <c r="D23" s="76" t="s">
        <v>19</v>
      </c>
      <c r="E23" s="74">
        <f t="shared" si="1"/>
        <v>154</v>
      </c>
      <c r="F23" s="82" t="s">
        <v>20</v>
      </c>
      <c r="G23" s="84" t="s">
        <v>297</v>
      </c>
      <c r="H23" s="82" t="s">
        <v>243</v>
      </c>
      <c r="I23" s="91">
        <v>100</v>
      </c>
      <c r="J23" s="81">
        <v>4</v>
      </c>
      <c r="K23" s="81">
        <v>5</v>
      </c>
      <c r="L23" s="81">
        <v>1</v>
      </c>
      <c r="M23" s="81">
        <v>1014</v>
      </c>
      <c r="N23" s="81">
        <v>10001</v>
      </c>
      <c r="O23" s="92" t="s">
        <v>298</v>
      </c>
    </row>
    <row r="24" spans="1:15" ht="28.5">
      <c r="A24" s="81">
        <v>200019</v>
      </c>
      <c r="B24" s="75" t="s">
        <v>299</v>
      </c>
      <c r="C24" s="74">
        <f t="shared" si="0"/>
        <v>155</v>
      </c>
      <c r="D24" s="76" t="s">
        <v>19</v>
      </c>
      <c r="E24" s="74">
        <f t="shared" si="1"/>
        <v>161</v>
      </c>
      <c r="F24" s="82" t="s">
        <v>20</v>
      </c>
      <c r="G24" s="84" t="s">
        <v>300</v>
      </c>
      <c r="H24" s="82" t="s">
        <v>243</v>
      </c>
      <c r="I24" s="91">
        <v>100</v>
      </c>
      <c r="J24" s="81">
        <v>4</v>
      </c>
      <c r="K24" s="81">
        <v>5</v>
      </c>
      <c r="L24" s="81">
        <v>1</v>
      </c>
      <c r="M24" s="81">
        <v>1014</v>
      </c>
      <c r="N24" s="81">
        <v>10001</v>
      </c>
      <c r="O24" s="92" t="s">
        <v>301</v>
      </c>
    </row>
    <row r="25" spans="1:15" ht="28.5">
      <c r="A25" s="72">
        <v>200020</v>
      </c>
      <c r="B25" s="75" t="s">
        <v>302</v>
      </c>
      <c r="C25" s="74">
        <f t="shared" si="0"/>
        <v>162</v>
      </c>
      <c r="D25" s="73" t="s">
        <v>19</v>
      </c>
      <c r="E25" s="74">
        <f t="shared" si="1"/>
        <v>168</v>
      </c>
      <c r="F25" s="73" t="s">
        <v>20</v>
      </c>
      <c r="G25" s="78" t="s">
        <v>303</v>
      </c>
      <c r="H25" s="73" t="s">
        <v>243</v>
      </c>
      <c r="I25" s="74">
        <v>100</v>
      </c>
      <c r="J25" s="72">
        <v>4</v>
      </c>
      <c r="K25" s="72">
        <v>5</v>
      </c>
      <c r="L25" s="72">
        <v>1</v>
      </c>
      <c r="M25" s="72">
        <v>1014</v>
      </c>
      <c r="N25" s="65">
        <v>10001</v>
      </c>
      <c r="O25" s="89" t="s">
        <v>304</v>
      </c>
    </row>
    <row r="26" spans="1:15" ht="28.5">
      <c r="A26" s="72">
        <v>200021</v>
      </c>
      <c r="B26" s="75" t="s">
        <v>305</v>
      </c>
      <c r="C26" s="74">
        <f t="shared" si="0"/>
        <v>169</v>
      </c>
      <c r="D26" s="76" t="s">
        <v>19</v>
      </c>
      <c r="E26" s="74">
        <f t="shared" si="1"/>
        <v>175</v>
      </c>
      <c r="F26" s="73" t="s">
        <v>20</v>
      </c>
      <c r="G26" s="78" t="s">
        <v>306</v>
      </c>
      <c r="H26" s="73" t="s">
        <v>243</v>
      </c>
      <c r="I26" s="74">
        <v>100</v>
      </c>
      <c r="J26" s="72">
        <v>4</v>
      </c>
      <c r="K26" s="72">
        <v>5</v>
      </c>
      <c r="L26" s="72">
        <v>1</v>
      </c>
      <c r="M26" s="72">
        <v>1014</v>
      </c>
      <c r="N26" s="65">
        <v>10001</v>
      </c>
      <c r="O26" s="89" t="s">
        <v>307</v>
      </c>
    </row>
    <row r="27" spans="1:15" ht="28.5">
      <c r="A27" s="72">
        <v>200022</v>
      </c>
      <c r="B27" s="75" t="s">
        <v>308</v>
      </c>
      <c r="C27" s="74">
        <f t="shared" si="0"/>
        <v>176</v>
      </c>
      <c r="D27" s="76" t="s">
        <v>19</v>
      </c>
      <c r="E27" s="74">
        <f t="shared" si="1"/>
        <v>182</v>
      </c>
      <c r="F27" s="73" t="s">
        <v>20</v>
      </c>
      <c r="G27" s="84" t="s">
        <v>294</v>
      </c>
      <c r="H27" s="73" t="s">
        <v>243</v>
      </c>
      <c r="I27" s="74">
        <v>100</v>
      </c>
      <c r="J27" s="72">
        <v>4</v>
      </c>
      <c r="K27" s="72">
        <v>5</v>
      </c>
      <c r="L27" s="72">
        <v>1</v>
      </c>
      <c r="M27" s="72">
        <v>1014</v>
      </c>
      <c r="N27" s="65">
        <v>10001</v>
      </c>
      <c r="O27" s="89" t="s">
        <v>309</v>
      </c>
    </row>
    <row r="28" spans="1:15" ht="28.5">
      <c r="A28" s="72">
        <v>200023</v>
      </c>
      <c r="B28" s="75" t="s">
        <v>310</v>
      </c>
      <c r="C28" s="74">
        <f t="shared" si="0"/>
        <v>183</v>
      </c>
      <c r="D28" s="76" t="s">
        <v>19</v>
      </c>
      <c r="E28" s="74">
        <f t="shared" si="1"/>
        <v>189</v>
      </c>
      <c r="F28" s="73" t="s">
        <v>20</v>
      </c>
      <c r="G28" s="84" t="s">
        <v>297</v>
      </c>
      <c r="H28" s="73" t="s">
        <v>243</v>
      </c>
      <c r="I28" s="74">
        <v>100</v>
      </c>
      <c r="J28" s="72">
        <v>4</v>
      </c>
      <c r="K28" s="72">
        <v>5</v>
      </c>
      <c r="L28" s="72">
        <v>1</v>
      </c>
      <c r="M28" s="72">
        <v>1014</v>
      </c>
      <c r="N28" s="65">
        <v>10001</v>
      </c>
      <c r="O28" s="89" t="s">
        <v>311</v>
      </c>
    </row>
    <row r="29" spans="1:15" ht="28.5">
      <c r="A29" s="72">
        <v>200024</v>
      </c>
      <c r="B29" s="75" t="s">
        <v>312</v>
      </c>
      <c r="C29" s="74">
        <f t="shared" si="0"/>
        <v>190</v>
      </c>
      <c r="D29" s="76" t="s">
        <v>19</v>
      </c>
      <c r="E29" s="74">
        <f t="shared" si="1"/>
        <v>196</v>
      </c>
      <c r="F29" s="73" t="s">
        <v>20</v>
      </c>
      <c r="G29" s="85" t="s">
        <v>313</v>
      </c>
      <c r="H29" s="73" t="s">
        <v>243</v>
      </c>
      <c r="I29" s="74">
        <v>100</v>
      </c>
      <c r="J29" s="72">
        <v>4</v>
      </c>
      <c r="K29" s="72">
        <v>5</v>
      </c>
      <c r="L29" s="72">
        <v>1</v>
      </c>
      <c r="M29" s="72">
        <v>1014</v>
      </c>
      <c r="N29" s="65">
        <v>10001</v>
      </c>
      <c r="O29" s="89" t="s">
        <v>309</v>
      </c>
    </row>
    <row r="30" spans="1:15" ht="28.5">
      <c r="A30" s="72">
        <v>200025</v>
      </c>
      <c r="B30" s="75" t="s">
        <v>314</v>
      </c>
      <c r="C30" s="74">
        <f t="shared" si="0"/>
        <v>197</v>
      </c>
      <c r="D30" s="73" t="s">
        <v>19</v>
      </c>
      <c r="E30" s="74">
        <f t="shared" si="1"/>
        <v>203</v>
      </c>
      <c r="F30" s="73" t="s">
        <v>20</v>
      </c>
      <c r="G30" s="85" t="s">
        <v>315</v>
      </c>
      <c r="H30" s="73" t="s">
        <v>243</v>
      </c>
      <c r="I30" s="74">
        <v>100</v>
      </c>
      <c r="J30" s="72">
        <v>4</v>
      </c>
      <c r="K30" s="72">
        <v>5</v>
      </c>
      <c r="L30" s="72">
        <v>1</v>
      </c>
      <c r="M30" s="72">
        <v>1014</v>
      </c>
      <c r="N30" s="65">
        <v>10001</v>
      </c>
      <c r="O30" s="89" t="s">
        <v>311</v>
      </c>
    </row>
    <row r="31" spans="1:15" ht="28.5">
      <c r="A31" s="72">
        <v>200026</v>
      </c>
      <c r="B31" s="75" t="s">
        <v>316</v>
      </c>
      <c r="C31" s="74">
        <f t="shared" si="0"/>
        <v>204</v>
      </c>
      <c r="D31" s="76" t="s">
        <v>19</v>
      </c>
      <c r="E31" s="74">
        <f t="shared" si="1"/>
        <v>210</v>
      </c>
      <c r="F31" s="73" t="s">
        <v>20</v>
      </c>
      <c r="G31" s="85" t="s">
        <v>317</v>
      </c>
      <c r="H31" s="73" t="s">
        <v>243</v>
      </c>
      <c r="I31" s="74">
        <v>100</v>
      </c>
      <c r="J31" s="72">
        <v>4</v>
      </c>
      <c r="K31" s="72">
        <v>5</v>
      </c>
      <c r="L31" s="72">
        <v>1</v>
      </c>
      <c r="M31" s="72">
        <v>1014</v>
      </c>
      <c r="N31" s="65">
        <v>10001</v>
      </c>
      <c r="O31" s="89" t="s">
        <v>309</v>
      </c>
    </row>
    <row r="32" spans="1:15" ht="28.5">
      <c r="A32" s="72">
        <v>200027</v>
      </c>
      <c r="B32" s="75" t="s">
        <v>318</v>
      </c>
      <c r="C32" s="74">
        <f t="shared" si="0"/>
        <v>211</v>
      </c>
      <c r="D32" s="76" t="s">
        <v>19</v>
      </c>
      <c r="E32" s="74">
        <f t="shared" si="1"/>
        <v>217</v>
      </c>
      <c r="F32" s="73" t="s">
        <v>20</v>
      </c>
      <c r="G32" s="85" t="s">
        <v>319</v>
      </c>
      <c r="H32" s="73" t="s">
        <v>243</v>
      </c>
      <c r="I32" s="74">
        <v>100</v>
      </c>
      <c r="J32" s="72">
        <v>4</v>
      </c>
      <c r="K32" s="72">
        <v>5</v>
      </c>
      <c r="L32" s="72">
        <v>1</v>
      </c>
      <c r="M32" s="72">
        <v>1014</v>
      </c>
      <c r="N32" s="65">
        <v>10001</v>
      </c>
      <c r="O32" s="89" t="s">
        <v>311</v>
      </c>
    </row>
    <row r="33" spans="1:15" ht="28.5">
      <c r="A33" s="72">
        <v>200028</v>
      </c>
      <c r="B33" s="75" t="s">
        <v>320</v>
      </c>
      <c r="C33" s="74">
        <f t="shared" si="0"/>
        <v>218</v>
      </c>
      <c r="D33" s="76" t="s">
        <v>19</v>
      </c>
      <c r="E33" s="74">
        <f t="shared" si="1"/>
        <v>224</v>
      </c>
      <c r="F33" s="73" t="s">
        <v>20</v>
      </c>
      <c r="G33" s="85" t="s">
        <v>321</v>
      </c>
      <c r="H33" s="73" t="s">
        <v>243</v>
      </c>
      <c r="I33" s="74">
        <v>100</v>
      </c>
      <c r="J33" s="72">
        <v>4</v>
      </c>
      <c r="K33" s="72">
        <v>5</v>
      </c>
      <c r="L33" s="72">
        <v>1</v>
      </c>
      <c r="M33" s="72">
        <v>1014</v>
      </c>
      <c r="N33" s="65">
        <v>10001</v>
      </c>
      <c r="O33" s="89" t="s">
        <v>309</v>
      </c>
    </row>
    <row r="34" spans="1:15" ht="28.5">
      <c r="A34" s="72">
        <v>200029</v>
      </c>
      <c r="B34" s="75" t="s">
        <v>322</v>
      </c>
      <c r="C34" s="74">
        <f t="shared" si="0"/>
        <v>225</v>
      </c>
      <c r="D34" s="76" t="s">
        <v>19</v>
      </c>
      <c r="E34" s="74">
        <f t="shared" si="1"/>
        <v>231</v>
      </c>
      <c r="F34" s="73" t="s">
        <v>20</v>
      </c>
      <c r="G34" s="85" t="s">
        <v>323</v>
      </c>
      <c r="H34" s="73" t="s">
        <v>243</v>
      </c>
      <c r="I34" s="74">
        <v>100</v>
      </c>
      <c r="J34" s="72">
        <v>4</v>
      </c>
      <c r="K34" s="72">
        <v>5</v>
      </c>
      <c r="L34" s="72">
        <v>1</v>
      </c>
      <c r="M34" s="72">
        <v>1014</v>
      </c>
      <c r="N34" s="65">
        <v>10001</v>
      </c>
      <c r="O34" s="89" t="s">
        <v>311</v>
      </c>
    </row>
    <row r="35" spans="1:15" ht="28.5">
      <c r="A35" s="72">
        <v>200030</v>
      </c>
      <c r="B35" s="75" t="s">
        <v>324</v>
      </c>
      <c r="C35" s="74">
        <f t="shared" si="0"/>
        <v>232</v>
      </c>
      <c r="D35" s="73" t="s">
        <v>19</v>
      </c>
      <c r="E35" s="74">
        <f t="shared" si="1"/>
        <v>238</v>
      </c>
      <c r="F35" s="73" t="s">
        <v>20</v>
      </c>
      <c r="G35" s="85" t="s">
        <v>325</v>
      </c>
      <c r="H35" s="73" t="s">
        <v>243</v>
      </c>
      <c r="I35" s="74">
        <v>100</v>
      </c>
      <c r="J35" s="72">
        <v>4</v>
      </c>
      <c r="K35" s="72">
        <v>5</v>
      </c>
      <c r="L35" s="72">
        <v>1</v>
      </c>
      <c r="M35" s="72">
        <v>1014</v>
      </c>
      <c r="N35" s="65">
        <v>10001</v>
      </c>
      <c r="O35" s="89" t="s">
        <v>309</v>
      </c>
    </row>
    <row r="36" spans="1:15" ht="28.5">
      <c r="A36" s="72">
        <v>200031</v>
      </c>
      <c r="B36" s="75" t="s">
        <v>326</v>
      </c>
      <c r="C36" s="74">
        <f t="shared" si="0"/>
        <v>239</v>
      </c>
      <c r="D36" s="76" t="s">
        <v>19</v>
      </c>
      <c r="E36" s="74">
        <f t="shared" si="1"/>
        <v>245</v>
      </c>
      <c r="F36" s="73" t="s">
        <v>20</v>
      </c>
      <c r="G36" s="85" t="s">
        <v>327</v>
      </c>
      <c r="H36" s="73" t="s">
        <v>243</v>
      </c>
      <c r="I36" s="74">
        <v>100</v>
      </c>
      <c r="J36" s="72">
        <v>4</v>
      </c>
      <c r="K36" s="72">
        <v>5</v>
      </c>
      <c r="L36" s="72">
        <v>1</v>
      </c>
      <c r="M36" s="72">
        <v>1014</v>
      </c>
      <c r="N36" s="65">
        <v>10001</v>
      </c>
      <c r="O36" s="89" t="s">
        <v>311</v>
      </c>
    </row>
    <row r="37" spans="1:15" ht="28.5">
      <c r="A37" s="72">
        <v>200032</v>
      </c>
      <c r="B37" s="75" t="s">
        <v>328</v>
      </c>
      <c r="C37" s="74">
        <f t="shared" si="0"/>
        <v>246</v>
      </c>
      <c r="D37" s="76" t="s">
        <v>19</v>
      </c>
      <c r="E37" s="74">
        <f t="shared" si="1"/>
        <v>252</v>
      </c>
      <c r="F37" s="73" t="s">
        <v>20</v>
      </c>
      <c r="G37" s="85" t="s">
        <v>329</v>
      </c>
      <c r="H37" s="73" t="s">
        <v>243</v>
      </c>
      <c r="I37" s="74">
        <v>100</v>
      </c>
      <c r="J37" s="72">
        <v>4</v>
      </c>
      <c r="K37" s="72">
        <v>5</v>
      </c>
      <c r="L37" s="72">
        <v>1</v>
      </c>
      <c r="M37" s="72">
        <v>1014</v>
      </c>
      <c r="N37" s="65">
        <v>10001</v>
      </c>
      <c r="O37" s="89" t="s">
        <v>330</v>
      </c>
    </row>
    <row r="38" spans="1:15" s="1" customFormat="1" ht="28.5">
      <c r="A38" s="86">
        <v>200033</v>
      </c>
      <c r="B38" s="75" t="s">
        <v>331</v>
      </c>
      <c r="C38" s="74">
        <f t="shared" si="0"/>
        <v>253</v>
      </c>
      <c r="D38" s="76" t="s">
        <v>19</v>
      </c>
      <c r="E38" s="74">
        <f t="shared" si="1"/>
        <v>259</v>
      </c>
      <c r="F38" s="87" t="s">
        <v>20</v>
      </c>
      <c r="G38" s="85" t="s">
        <v>332</v>
      </c>
      <c r="H38" s="87" t="s">
        <v>243</v>
      </c>
      <c r="I38" s="86">
        <v>100</v>
      </c>
      <c r="J38" s="86">
        <v>4</v>
      </c>
      <c r="K38" s="86">
        <v>5</v>
      </c>
      <c r="L38" s="86">
        <v>1</v>
      </c>
      <c r="M38" s="86">
        <v>1014</v>
      </c>
      <c r="N38" s="93">
        <v>10001</v>
      </c>
      <c r="O38" s="94" t="s">
        <v>311</v>
      </c>
    </row>
    <row r="39" spans="1:15" s="1" customFormat="1" ht="28.5">
      <c r="A39" s="86">
        <v>200034</v>
      </c>
      <c r="B39" s="75" t="s">
        <v>333</v>
      </c>
      <c r="C39" s="74">
        <f t="shared" si="0"/>
        <v>260</v>
      </c>
      <c r="D39" s="76" t="s">
        <v>19</v>
      </c>
      <c r="E39" s="74">
        <f t="shared" si="1"/>
        <v>266</v>
      </c>
      <c r="F39" s="87" t="s">
        <v>20</v>
      </c>
      <c r="G39" s="85" t="s">
        <v>334</v>
      </c>
      <c r="H39" s="87" t="s">
        <v>243</v>
      </c>
      <c r="I39" s="86">
        <v>100</v>
      </c>
      <c r="J39" s="86">
        <v>4</v>
      </c>
      <c r="K39" s="86">
        <v>5</v>
      </c>
      <c r="L39" s="86">
        <v>1</v>
      </c>
      <c r="M39" s="86">
        <v>1014</v>
      </c>
      <c r="N39" s="93">
        <v>10001</v>
      </c>
      <c r="O39" s="94" t="s">
        <v>309</v>
      </c>
    </row>
    <row r="40" spans="1:15" s="1" customFormat="1" ht="28.5">
      <c r="A40" s="86">
        <v>200035</v>
      </c>
      <c r="B40" s="75" t="s">
        <v>335</v>
      </c>
      <c r="C40" s="74">
        <f t="shared" si="0"/>
        <v>267</v>
      </c>
      <c r="D40" s="73" t="s">
        <v>19</v>
      </c>
      <c r="E40" s="74">
        <f t="shared" si="1"/>
        <v>273</v>
      </c>
      <c r="F40" s="87" t="s">
        <v>20</v>
      </c>
      <c r="G40" s="85" t="s">
        <v>336</v>
      </c>
      <c r="H40" s="87" t="s">
        <v>243</v>
      </c>
      <c r="I40" s="86">
        <v>100</v>
      </c>
      <c r="J40" s="86">
        <v>4</v>
      </c>
      <c r="K40" s="86">
        <v>5</v>
      </c>
      <c r="L40" s="86">
        <v>1</v>
      </c>
      <c r="M40" s="86">
        <v>1014</v>
      </c>
      <c r="N40" s="93">
        <v>10001</v>
      </c>
      <c r="O40" s="94" t="s">
        <v>311</v>
      </c>
    </row>
    <row r="41" spans="1:15" s="1" customFormat="1" ht="28.5">
      <c r="A41" s="86">
        <v>200036</v>
      </c>
      <c r="B41" s="75" t="s">
        <v>337</v>
      </c>
      <c r="C41" s="74">
        <f t="shared" si="0"/>
        <v>274</v>
      </c>
      <c r="D41" s="76" t="s">
        <v>19</v>
      </c>
      <c r="E41" s="74">
        <f t="shared" si="1"/>
        <v>280</v>
      </c>
      <c r="F41" s="87" t="s">
        <v>20</v>
      </c>
      <c r="G41" s="84" t="s">
        <v>294</v>
      </c>
      <c r="H41" s="87" t="s">
        <v>243</v>
      </c>
      <c r="I41" s="86">
        <v>100</v>
      </c>
      <c r="J41" s="86">
        <v>4</v>
      </c>
      <c r="K41" s="86">
        <v>5</v>
      </c>
      <c r="L41" s="86">
        <v>1</v>
      </c>
      <c r="M41" s="86">
        <v>1014</v>
      </c>
      <c r="N41" s="93">
        <v>10001</v>
      </c>
      <c r="O41" s="94" t="s">
        <v>330</v>
      </c>
    </row>
    <row r="42" spans="1:15" s="1" customFormat="1" ht="28.5">
      <c r="A42" s="86">
        <v>200037</v>
      </c>
      <c r="B42" s="75" t="s">
        <v>338</v>
      </c>
      <c r="C42" s="74">
        <f t="shared" si="0"/>
        <v>281</v>
      </c>
      <c r="D42" s="76" t="s">
        <v>19</v>
      </c>
      <c r="E42" s="74">
        <f t="shared" si="1"/>
        <v>287</v>
      </c>
      <c r="F42" s="87" t="s">
        <v>20</v>
      </c>
      <c r="G42" s="84" t="s">
        <v>297</v>
      </c>
      <c r="H42" s="87" t="s">
        <v>243</v>
      </c>
      <c r="I42" s="86">
        <v>100</v>
      </c>
      <c r="J42" s="86">
        <v>4</v>
      </c>
      <c r="K42" s="86">
        <v>5</v>
      </c>
      <c r="L42" s="86">
        <v>1</v>
      </c>
      <c r="M42" s="86">
        <v>1014</v>
      </c>
      <c r="N42" s="93">
        <v>10001</v>
      </c>
      <c r="O42" s="94" t="s">
        <v>309</v>
      </c>
    </row>
    <row r="43" spans="1:15" s="1" customFormat="1" ht="28.5">
      <c r="A43" s="86">
        <v>200038</v>
      </c>
      <c r="B43" s="75" t="s">
        <v>339</v>
      </c>
      <c r="C43" s="74">
        <f t="shared" si="0"/>
        <v>288</v>
      </c>
      <c r="D43" s="76" t="s">
        <v>19</v>
      </c>
      <c r="E43" s="74">
        <f t="shared" si="1"/>
        <v>294</v>
      </c>
      <c r="F43" s="87" t="s">
        <v>20</v>
      </c>
      <c r="G43" s="85" t="s">
        <v>313</v>
      </c>
      <c r="H43" s="87" t="s">
        <v>243</v>
      </c>
      <c r="I43" s="86">
        <v>100</v>
      </c>
      <c r="J43" s="86">
        <v>4</v>
      </c>
      <c r="K43" s="86">
        <v>5</v>
      </c>
      <c r="L43" s="86">
        <v>1</v>
      </c>
      <c r="M43" s="86">
        <v>1014</v>
      </c>
      <c r="N43" s="93">
        <v>10001</v>
      </c>
      <c r="O43" s="94" t="s">
        <v>311</v>
      </c>
    </row>
    <row r="44" spans="1:15" s="1" customFormat="1" ht="28.5">
      <c r="A44" s="86">
        <v>200039</v>
      </c>
      <c r="B44" s="75" t="s">
        <v>340</v>
      </c>
      <c r="C44" s="74">
        <f t="shared" si="0"/>
        <v>295</v>
      </c>
      <c r="D44" s="76" t="s">
        <v>19</v>
      </c>
      <c r="E44" s="74">
        <f t="shared" si="1"/>
        <v>301</v>
      </c>
      <c r="F44" s="87" t="s">
        <v>20</v>
      </c>
      <c r="G44" s="85" t="s">
        <v>315</v>
      </c>
      <c r="H44" s="87" t="s">
        <v>243</v>
      </c>
      <c r="I44" s="86">
        <v>100</v>
      </c>
      <c r="J44" s="86">
        <v>4</v>
      </c>
      <c r="K44" s="86">
        <v>5</v>
      </c>
      <c r="L44" s="86">
        <v>1</v>
      </c>
      <c r="M44" s="86">
        <v>1014</v>
      </c>
      <c r="N44" s="93">
        <v>10001</v>
      </c>
      <c r="O44" s="94" t="s">
        <v>309</v>
      </c>
    </row>
    <row r="45" spans="1:15" s="1" customFormat="1" ht="28.5">
      <c r="A45" s="86">
        <v>200040</v>
      </c>
      <c r="B45" s="75" t="s">
        <v>341</v>
      </c>
      <c r="C45" s="74">
        <f t="shared" si="0"/>
        <v>302</v>
      </c>
      <c r="D45" s="73" t="s">
        <v>19</v>
      </c>
      <c r="E45" s="74">
        <f t="shared" si="1"/>
        <v>308</v>
      </c>
      <c r="F45" s="87" t="s">
        <v>20</v>
      </c>
      <c r="G45" s="85" t="s">
        <v>317</v>
      </c>
      <c r="H45" s="87" t="s">
        <v>243</v>
      </c>
      <c r="I45" s="86">
        <v>100</v>
      </c>
      <c r="J45" s="86">
        <v>4</v>
      </c>
      <c r="K45" s="86">
        <v>5</v>
      </c>
      <c r="L45" s="86">
        <v>1</v>
      </c>
      <c r="M45" s="86">
        <v>1014</v>
      </c>
      <c r="N45" s="93">
        <v>10001</v>
      </c>
      <c r="O45" s="94" t="s">
        <v>311</v>
      </c>
    </row>
    <row r="46" spans="1:15" s="1" customFormat="1" ht="28.5">
      <c r="A46" s="86">
        <v>200041</v>
      </c>
      <c r="B46" s="75" t="s">
        <v>342</v>
      </c>
      <c r="C46" s="74">
        <f t="shared" si="0"/>
        <v>309</v>
      </c>
      <c r="D46" s="76" t="s">
        <v>19</v>
      </c>
      <c r="E46" s="74">
        <f t="shared" si="1"/>
        <v>315</v>
      </c>
      <c r="F46" s="87" t="s">
        <v>20</v>
      </c>
      <c r="G46" s="85" t="s">
        <v>319</v>
      </c>
      <c r="H46" s="87" t="s">
        <v>243</v>
      </c>
      <c r="I46" s="86">
        <v>100</v>
      </c>
      <c r="J46" s="86">
        <v>4</v>
      </c>
      <c r="K46" s="86">
        <v>5</v>
      </c>
      <c r="L46" s="86">
        <v>1</v>
      </c>
      <c r="M46" s="86">
        <v>1014</v>
      </c>
      <c r="N46" s="93">
        <v>10001</v>
      </c>
      <c r="O46" s="94" t="s">
        <v>309</v>
      </c>
    </row>
    <row r="47" spans="1:15" s="1" customFormat="1" ht="28.5">
      <c r="A47" s="86">
        <v>200042</v>
      </c>
      <c r="B47" s="75" t="s">
        <v>343</v>
      </c>
      <c r="C47" s="74">
        <f t="shared" si="0"/>
        <v>316</v>
      </c>
      <c r="D47" s="76" t="s">
        <v>19</v>
      </c>
      <c r="E47" s="74">
        <f t="shared" si="1"/>
        <v>322</v>
      </c>
      <c r="F47" s="87" t="s">
        <v>20</v>
      </c>
      <c r="G47" s="85" t="s">
        <v>321</v>
      </c>
      <c r="H47" s="87" t="s">
        <v>243</v>
      </c>
      <c r="I47" s="86">
        <v>100</v>
      </c>
      <c r="J47" s="86">
        <v>4</v>
      </c>
      <c r="K47" s="86">
        <v>5</v>
      </c>
      <c r="L47" s="86">
        <v>1</v>
      </c>
      <c r="M47" s="86">
        <v>1014</v>
      </c>
      <c r="N47" s="93">
        <v>10001</v>
      </c>
      <c r="O47" s="94" t="s">
        <v>344</v>
      </c>
    </row>
    <row r="48" spans="1:15" s="1" customFormat="1" ht="28.5">
      <c r="A48" s="86">
        <v>200043</v>
      </c>
      <c r="B48" s="75" t="s">
        <v>345</v>
      </c>
      <c r="C48" s="74">
        <f t="shared" si="0"/>
        <v>323</v>
      </c>
      <c r="D48" s="76" t="s">
        <v>19</v>
      </c>
      <c r="E48" s="74">
        <f t="shared" si="1"/>
        <v>329</v>
      </c>
      <c r="F48" s="87" t="s">
        <v>20</v>
      </c>
      <c r="G48" s="85" t="s">
        <v>323</v>
      </c>
      <c r="H48" s="87" t="s">
        <v>243</v>
      </c>
      <c r="I48" s="86">
        <v>100</v>
      </c>
      <c r="J48" s="86">
        <v>4</v>
      </c>
      <c r="K48" s="86">
        <v>5</v>
      </c>
      <c r="L48" s="86">
        <v>1</v>
      </c>
      <c r="M48" s="86">
        <v>1014</v>
      </c>
      <c r="N48" s="93">
        <v>10001</v>
      </c>
      <c r="O48" s="94" t="s">
        <v>311</v>
      </c>
    </row>
    <row r="49" spans="1:15" s="1" customFormat="1" ht="28.5">
      <c r="A49" s="86">
        <v>200044</v>
      </c>
      <c r="B49" s="75" t="s">
        <v>346</v>
      </c>
      <c r="C49" s="74">
        <f t="shared" si="0"/>
        <v>330</v>
      </c>
      <c r="D49" s="76" t="s">
        <v>19</v>
      </c>
      <c r="E49" s="74">
        <f t="shared" si="1"/>
        <v>336</v>
      </c>
      <c r="F49" s="87" t="s">
        <v>20</v>
      </c>
      <c r="G49" s="85" t="s">
        <v>325</v>
      </c>
      <c r="H49" s="87" t="s">
        <v>243</v>
      </c>
      <c r="I49" s="86">
        <v>100</v>
      </c>
      <c r="J49" s="86">
        <v>4</v>
      </c>
      <c r="K49" s="86">
        <v>5</v>
      </c>
      <c r="L49" s="86">
        <v>1</v>
      </c>
      <c r="M49" s="86">
        <v>1014</v>
      </c>
      <c r="N49" s="93">
        <v>10001</v>
      </c>
      <c r="O49" s="94" t="s">
        <v>309</v>
      </c>
    </row>
    <row r="50" spans="1:15" s="1" customFormat="1" ht="28.5">
      <c r="A50" s="86">
        <v>200045</v>
      </c>
      <c r="B50" s="75" t="s">
        <v>347</v>
      </c>
      <c r="C50" s="74">
        <f t="shared" si="0"/>
        <v>337</v>
      </c>
      <c r="D50" s="73" t="s">
        <v>19</v>
      </c>
      <c r="E50" s="74">
        <f t="shared" si="1"/>
        <v>343</v>
      </c>
      <c r="F50" s="87" t="s">
        <v>20</v>
      </c>
      <c r="G50" s="85" t="s">
        <v>327</v>
      </c>
      <c r="H50" s="87" t="s">
        <v>243</v>
      </c>
      <c r="I50" s="86">
        <v>100</v>
      </c>
      <c r="J50" s="86">
        <v>4</v>
      </c>
      <c r="K50" s="86">
        <v>5</v>
      </c>
      <c r="L50" s="86">
        <v>1</v>
      </c>
      <c r="M50" s="86">
        <v>1014</v>
      </c>
      <c r="N50" s="93">
        <v>10001</v>
      </c>
      <c r="O50" s="94" t="s">
        <v>344</v>
      </c>
    </row>
    <row r="51" spans="1:15" s="1" customFormat="1" ht="28.5">
      <c r="A51" s="86">
        <v>200046</v>
      </c>
      <c r="B51" s="75" t="s">
        <v>348</v>
      </c>
      <c r="C51" s="74">
        <f t="shared" si="0"/>
        <v>344</v>
      </c>
      <c r="D51" s="76" t="s">
        <v>19</v>
      </c>
      <c r="E51" s="74">
        <f t="shared" si="1"/>
        <v>350</v>
      </c>
      <c r="F51" s="87" t="s">
        <v>20</v>
      </c>
      <c r="G51" s="85" t="s">
        <v>329</v>
      </c>
      <c r="H51" s="87" t="s">
        <v>243</v>
      </c>
      <c r="I51" s="86">
        <v>100</v>
      </c>
      <c r="J51" s="86">
        <v>4</v>
      </c>
      <c r="K51" s="86">
        <v>5</v>
      </c>
      <c r="L51" s="86">
        <v>1</v>
      </c>
      <c r="M51" s="86">
        <v>1014</v>
      </c>
      <c r="N51" s="93">
        <v>10001</v>
      </c>
      <c r="O51" s="94" t="s">
        <v>311</v>
      </c>
    </row>
    <row r="52" spans="1:15" s="1" customFormat="1" ht="28.5">
      <c r="A52" s="86">
        <v>200047</v>
      </c>
      <c r="B52" s="75" t="s">
        <v>349</v>
      </c>
      <c r="C52" s="74">
        <f t="shared" si="0"/>
        <v>351</v>
      </c>
      <c r="D52" s="76" t="s">
        <v>19</v>
      </c>
      <c r="E52" s="74">
        <f t="shared" si="1"/>
        <v>357</v>
      </c>
      <c r="F52" s="87" t="s">
        <v>20</v>
      </c>
      <c r="G52" s="85" t="s">
        <v>332</v>
      </c>
      <c r="H52" s="87" t="s">
        <v>243</v>
      </c>
      <c r="I52" s="86">
        <v>100</v>
      </c>
      <c r="J52" s="86">
        <v>4</v>
      </c>
      <c r="K52" s="86">
        <v>5</v>
      </c>
      <c r="L52" s="86">
        <v>1</v>
      </c>
      <c r="M52" s="86">
        <v>1014</v>
      </c>
      <c r="N52" s="93">
        <v>10001</v>
      </c>
      <c r="O52" s="94" t="s">
        <v>309</v>
      </c>
    </row>
    <row r="53" spans="1:15" s="1" customFormat="1" ht="28.5">
      <c r="A53" s="86">
        <v>200048</v>
      </c>
      <c r="B53" s="75" t="s">
        <v>350</v>
      </c>
      <c r="C53" s="74">
        <f t="shared" si="0"/>
        <v>358</v>
      </c>
      <c r="D53" s="76" t="s">
        <v>19</v>
      </c>
      <c r="E53" s="74">
        <f t="shared" si="1"/>
        <v>364</v>
      </c>
      <c r="F53" s="87" t="s">
        <v>20</v>
      </c>
      <c r="G53" s="85" t="s">
        <v>334</v>
      </c>
      <c r="H53" s="87" t="s">
        <v>243</v>
      </c>
      <c r="I53" s="86">
        <v>100</v>
      </c>
      <c r="J53" s="86">
        <v>4</v>
      </c>
      <c r="K53" s="86">
        <v>5</v>
      </c>
      <c r="L53" s="86">
        <v>1</v>
      </c>
      <c r="M53" s="86">
        <v>1014</v>
      </c>
      <c r="N53" s="93">
        <v>10001</v>
      </c>
      <c r="O53" s="94" t="s">
        <v>344</v>
      </c>
    </row>
    <row r="54" spans="1:15" s="1" customFormat="1" ht="28.5">
      <c r="A54" s="86">
        <v>200049</v>
      </c>
      <c r="B54" s="75" t="s">
        <v>351</v>
      </c>
      <c r="C54" s="74">
        <f t="shared" si="0"/>
        <v>365</v>
      </c>
      <c r="D54" s="76" t="s">
        <v>19</v>
      </c>
      <c r="E54" s="74">
        <f t="shared" si="1"/>
        <v>371</v>
      </c>
      <c r="F54" s="87" t="s">
        <v>20</v>
      </c>
      <c r="G54" s="85" t="s">
        <v>336</v>
      </c>
      <c r="H54" s="87" t="s">
        <v>243</v>
      </c>
      <c r="I54" s="86">
        <v>100</v>
      </c>
      <c r="J54" s="86">
        <v>4</v>
      </c>
      <c r="K54" s="86">
        <v>5</v>
      </c>
      <c r="L54" s="86">
        <v>1</v>
      </c>
      <c r="M54" s="86">
        <v>1014</v>
      </c>
      <c r="N54" s="93">
        <v>10001</v>
      </c>
      <c r="O54" s="94" t="s">
        <v>311</v>
      </c>
    </row>
    <row r="55" spans="1:15" s="1" customFormat="1" ht="28.5">
      <c r="A55" s="86">
        <v>200050</v>
      </c>
      <c r="B55" s="75" t="s">
        <v>352</v>
      </c>
      <c r="C55" s="74">
        <f t="shared" si="0"/>
        <v>372</v>
      </c>
      <c r="D55" s="73" t="s">
        <v>19</v>
      </c>
      <c r="E55" s="74">
        <f t="shared" si="1"/>
        <v>378</v>
      </c>
      <c r="F55" s="87" t="s">
        <v>20</v>
      </c>
      <c r="G55" s="84" t="s">
        <v>294</v>
      </c>
      <c r="H55" s="87" t="s">
        <v>243</v>
      </c>
      <c r="I55" s="86">
        <v>100</v>
      </c>
      <c r="J55" s="86">
        <v>4</v>
      </c>
      <c r="K55" s="86">
        <v>5</v>
      </c>
      <c r="L55" s="86">
        <v>1</v>
      </c>
      <c r="M55" s="86">
        <v>1014</v>
      </c>
      <c r="N55" s="93">
        <v>10001</v>
      </c>
      <c r="O55" s="94" t="s">
        <v>309</v>
      </c>
    </row>
    <row r="56" spans="1:15" s="1" customFormat="1" ht="28.5">
      <c r="A56" s="86">
        <v>200051</v>
      </c>
      <c r="B56" s="75" t="s">
        <v>353</v>
      </c>
      <c r="C56" s="74">
        <f t="shared" si="0"/>
        <v>379</v>
      </c>
      <c r="D56" s="76" t="s">
        <v>19</v>
      </c>
      <c r="E56" s="74">
        <f t="shared" si="1"/>
        <v>385</v>
      </c>
      <c r="F56" s="87" t="s">
        <v>20</v>
      </c>
      <c r="G56" s="84" t="s">
        <v>297</v>
      </c>
      <c r="H56" s="87" t="s">
        <v>243</v>
      </c>
      <c r="I56" s="86">
        <v>100</v>
      </c>
      <c r="J56" s="86">
        <v>4</v>
      </c>
      <c r="K56" s="86">
        <v>5</v>
      </c>
      <c r="L56" s="86">
        <v>1</v>
      </c>
      <c r="M56" s="86">
        <v>1014</v>
      </c>
      <c r="N56" s="93">
        <v>10001</v>
      </c>
      <c r="O56" s="94" t="s">
        <v>354</v>
      </c>
    </row>
    <row r="57" spans="1:15" s="1" customFormat="1" ht="28.5">
      <c r="A57" s="86">
        <v>200052</v>
      </c>
      <c r="B57" s="75" t="s">
        <v>355</v>
      </c>
      <c r="C57" s="74">
        <f t="shared" si="0"/>
        <v>386</v>
      </c>
      <c r="D57" s="76" t="s">
        <v>19</v>
      </c>
      <c r="E57" s="74">
        <f t="shared" si="1"/>
        <v>392</v>
      </c>
      <c r="F57" s="87" t="s">
        <v>20</v>
      </c>
      <c r="G57" s="85" t="s">
        <v>313</v>
      </c>
      <c r="H57" s="87" t="s">
        <v>243</v>
      </c>
      <c r="I57" s="86">
        <v>100</v>
      </c>
      <c r="J57" s="86">
        <v>4</v>
      </c>
      <c r="K57" s="86">
        <v>5</v>
      </c>
      <c r="L57" s="86">
        <v>1</v>
      </c>
      <c r="M57" s="86">
        <v>1014</v>
      </c>
      <c r="N57" s="93">
        <v>10001</v>
      </c>
      <c r="O57" s="94" t="s">
        <v>356</v>
      </c>
    </row>
    <row r="58" spans="1:15" s="1" customFormat="1" ht="28.5">
      <c r="A58" s="86">
        <v>200053</v>
      </c>
      <c r="B58" s="75" t="s">
        <v>357</v>
      </c>
      <c r="C58" s="74">
        <f t="shared" si="0"/>
        <v>393</v>
      </c>
      <c r="D58" s="76" t="s">
        <v>19</v>
      </c>
      <c r="E58" s="74">
        <f t="shared" si="1"/>
        <v>399</v>
      </c>
      <c r="F58" s="87" t="s">
        <v>20</v>
      </c>
      <c r="G58" s="85" t="s">
        <v>315</v>
      </c>
      <c r="H58" s="87" t="s">
        <v>243</v>
      </c>
      <c r="I58" s="86">
        <v>100</v>
      </c>
      <c r="J58" s="86">
        <v>4</v>
      </c>
      <c r="K58" s="86">
        <v>5</v>
      </c>
      <c r="L58" s="86">
        <v>1</v>
      </c>
      <c r="M58" s="86">
        <v>1014</v>
      </c>
      <c r="N58" s="93">
        <v>10001</v>
      </c>
      <c r="O58" s="94" t="s">
        <v>311</v>
      </c>
    </row>
    <row r="59" spans="1:15" s="1" customFormat="1" ht="28.5">
      <c r="A59" s="86">
        <v>200054</v>
      </c>
      <c r="B59" s="75" t="s">
        <v>358</v>
      </c>
      <c r="C59" s="74">
        <f t="shared" si="0"/>
        <v>400</v>
      </c>
      <c r="D59" s="76" t="s">
        <v>19</v>
      </c>
      <c r="E59" s="74">
        <f t="shared" si="1"/>
        <v>406</v>
      </c>
      <c r="F59" s="87" t="s">
        <v>20</v>
      </c>
      <c r="G59" s="85" t="s">
        <v>317</v>
      </c>
      <c r="H59" s="87" t="s">
        <v>243</v>
      </c>
      <c r="I59" s="86">
        <v>100</v>
      </c>
      <c r="J59" s="86">
        <v>4</v>
      </c>
      <c r="K59" s="86">
        <v>5</v>
      </c>
      <c r="L59" s="86">
        <v>1</v>
      </c>
      <c r="M59" s="86">
        <v>1014</v>
      </c>
      <c r="N59" s="93">
        <v>10001</v>
      </c>
      <c r="O59" s="94" t="s">
        <v>309</v>
      </c>
    </row>
    <row r="60" spans="1:15" s="1" customFormat="1" ht="28.5">
      <c r="A60" s="86">
        <v>200055</v>
      </c>
      <c r="B60" s="75" t="s">
        <v>359</v>
      </c>
      <c r="C60" s="74">
        <f t="shared" si="0"/>
        <v>407</v>
      </c>
      <c r="D60" s="73" t="s">
        <v>19</v>
      </c>
      <c r="E60" s="74">
        <f t="shared" si="1"/>
        <v>413</v>
      </c>
      <c r="F60" s="87" t="s">
        <v>20</v>
      </c>
      <c r="G60" s="85" t="s">
        <v>319</v>
      </c>
      <c r="H60" s="87" t="s">
        <v>243</v>
      </c>
      <c r="I60" s="86">
        <v>100</v>
      </c>
      <c r="J60" s="86">
        <v>4</v>
      </c>
      <c r="K60" s="86">
        <v>5</v>
      </c>
      <c r="L60" s="86">
        <v>1</v>
      </c>
      <c r="M60" s="86">
        <v>1014</v>
      </c>
      <c r="N60" s="93">
        <v>10001</v>
      </c>
      <c r="O60" s="94" t="s">
        <v>354</v>
      </c>
    </row>
    <row r="61" spans="1:15" s="1" customFormat="1" ht="28.5">
      <c r="A61" s="86">
        <v>200056</v>
      </c>
      <c r="B61" s="75" t="s">
        <v>360</v>
      </c>
      <c r="C61" s="74">
        <f t="shared" si="0"/>
        <v>414</v>
      </c>
      <c r="D61" s="76" t="s">
        <v>19</v>
      </c>
      <c r="E61" s="74">
        <f t="shared" si="1"/>
        <v>420</v>
      </c>
      <c r="F61" s="87" t="s">
        <v>20</v>
      </c>
      <c r="G61" s="85" t="s">
        <v>321</v>
      </c>
      <c r="H61" s="87" t="s">
        <v>243</v>
      </c>
      <c r="I61" s="86">
        <v>100</v>
      </c>
      <c r="J61" s="86">
        <v>4</v>
      </c>
      <c r="K61" s="86">
        <v>5</v>
      </c>
      <c r="L61" s="86">
        <v>1</v>
      </c>
      <c r="M61" s="86">
        <v>1014</v>
      </c>
      <c r="N61" s="93">
        <v>10001</v>
      </c>
      <c r="O61" s="94" t="s">
        <v>356</v>
      </c>
    </row>
    <row r="62" spans="1:15" s="1" customFormat="1" ht="28.5">
      <c r="A62" s="86">
        <v>200057</v>
      </c>
      <c r="B62" s="75" t="s">
        <v>357</v>
      </c>
      <c r="C62" s="74">
        <f t="shared" si="0"/>
        <v>421</v>
      </c>
      <c r="D62" s="76" t="s">
        <v>19</v>
      </c>
      <c r="E62" s="74">
        <f t="shared" si="1"/>
        <v>427</v>
      </c>
      <c r="F62" s="87" t="s">
        <v>20</v>
      </c>
      <c r="G62" s="85" t="s">
        <v>323</v>
      </c>
      <c r="H62" s="87" t="s">
        <v>243</v>
      </c>
      <c r="I62" s="86">
        <v>100</v>
      </c>
      <c r="J62" s="86">
        <v>4</v>
      </c>
      <c r="K62" s="86">
        <v>5</v>
      </c>
      <c r="L62" s="86">
        <v>1</v>
      </c>
      <c r="M62" s="86">
        <v>1014</v>
      </c>
      <c r="N62" s="93">
        <v>10001</v>
      </c>
      <c r="O62" s="94" t="s">
        <v>311</v>
      </c>
    </row>
    <row r="63" spans="1:15" s="1" customFormat="1" ht="28.5">
      <c r="A63" s="86">
        <v>200058</v>
      </c>
      <c r="B63" s="75" t="s">
        <v>358</v>
      </c>
      <c r="C63" s="74">
        <f t="shared" si="0"/>
        <v>428</v>
      </c>
      <c r="D63" s="76" t="s">
        <v>19</v>
      </c>
      <c r="E63" s="74">
        <f t="shared" si="1"/>
        <v>434</v>
      </c>
      <c r="F63" s="87" t="s">
        <v>20</v>
      </c>
      <c r="G63" s="85" t="s">
        <v>325</v>
      </c>
      <c r="H63" s="87" t="s">
        <v>243</v>
      </c>
      <c r="I63" s="86">
        <v>100</v>
      </c>
      <c r="J63" s="86">
        <v>4</v>
      </c>
      <c r="K63" s="86">
        <v>5</v>
      </c>
      <c r="L63" s="86">
        <v>1</v>
      </c>
      <c r="M63" s="86">
        <v>1014</v>
      </c>
      <c r="N63" s="93">
        <v>10001</v>
      </c>
      <c r="O63" s="94" t="s">
        <v>309</v>
      </c>
    </row>
    <row r="64" spans="1:15" s="1" customFormat="1" ht="28.5">
      <c r="A64" s="86">
        <v>200059</v>
      </c>
      <c r="B64" s="75" t="s">
        <v>359</v>
      </c>
      <c r="C64" s="74">
        <f t="shared" si="0"/>
        <v>435</v>
      </c>
      <c r="D64" s="76" t="s">
        <v>19</v>
      </c>
      <c r="E64" s="74">
        <f t="shared" si="1"/>
        <v>441</v>
      </c>
      <c r="F64" s="87" t="s">
        <v>20</v>
      </c>
      <c r="G64" s="85" t="s">
        <v>327</v>
      </c>
      <c r="H64" s="87" t="s">
        <v>243</v>
      </c>
      <c r="I64" s="86">
        <v>100</v>
      </c>
      <c r="J64" s="86">
        <v>4</v>
      </c>
      <c r="K64" s="86">
        <v>5</v>
      </c>
      <c r="L64" s="86">
        <v>1</v>
      </c>
      <c r="M64" s="86">
        <v>1014</v>
      </c>
      <c r="N64" s="93">
        <v>10001</v>
      </c>
      <c r="O64" s="94" t="s">
        <v>354</v>
      </c>
    </row>
    <row r="65" spans="1:16" s="1" customFormat="1" ht="28.5">
      <c r="A65" s="86">
        <v>200060</v>
      </c>
      <c r="B65" s="75" t="s">
        <v>360</v>
      </c>
      <c r="C65" s="74">
        <f t="shared" si="0"/>
        <v>442</v>
      </c>
      <c r="D65" s="73" t="s">
        <v>19</v>
      </c>
      <c r="E65" s="74">
        <f t="shared" si="1"/>
        <v>448</v>
      </c>
      <c r="F65" s="87" t="s">
        <v>20</v>
      </c>
      <c r="G65" s="85" t="s">
        <v>329</v>
      </c>
      <c r="H65" s="87" t="s">
        <v>243</v>
      </c>
      <c r="I65" s="86">
        <v>100</v>
      </c>
      <c r="J65" s="86">
        <v>4</v>
      </c>
      <c r="K65" s="86">
        <v>5</v>
      </c>
      <c r="L65" s="86">
        <v>1</v>
      </c>
      <c r="M65" s="86">
        <v>1014</v>
      </c>
      <c r="N65" s="93">
        <v>10001</v>
      </c>
      <c r="O65" s="94" t="s">
        <v>356</v>
      </c>
    </row>
    <row r="66" spans="1:16" s="1" customFormat="1" ht="28.5">
      <c r="A66" s="86">
        <v>200061</v>
      </c>
      <c r="B66" s="75" t="s">
        <v>361</v>
      </c>
      <c r="C66" s="74">
        <f t="shared" si="0"/>
        <v>449</v>
      </c>
      <c r="D66" s="76" t="s">
        <v>19</v>
      </c>
      <c r="E66" s="74">
        <f t="shared" si="1"/>
        <v>455</v>
      </c>
      <c r="F66" s="87" t="s">
        <v>20</v>
      </c>
      <c r="G66" s="85" t="s">
        <v>332</v>
      </c>
      <c r="H66" s="87" t="s">
        <v>243</v>
      </c>
      <c r="I66" s="86">
        <v>100</v>
      </c>
      <c r="J66" s="86">
        <v>4</v>
      </c>
      <c r="K66" s="86">
        <v>5</v>
      </c>
      <c r="L66" s="86">
        <v>1</v>
      </c>
      <c r="M66" s="86">
        <v>1014</v>
      </c>
      <c r="N66" s="93">
        <v>10001</v>
      </c>
      <c r="O66" s="94" t="s">
        <v>311</v>
      </c>
    </row>
    <row r="67" spans="1:16" s="1" customFormat="1" ht="28.5">
      <c r="A67" s="86">
        <v>200062</v>
      </c>
      <c r="B67" s="75" t="s">
        <v>362</v>
      </c>
      <c r="C67" s="74">
        <f t="shared" si="0"/>
        <v>456</v>
      </c>
      <c r="D67" s="76" t="s">
        <v>19</v>
      </c>
      <c r="E67" s="74">
        <f t="shared" si="1"/>
        <v>462</v>
      </c>
      <c r="F67" s="87" t="s">
        <v>20</v>
      </c>
      <c r="G67" s="85" t="s">
        <v>334</v>
      </c>
      <c r="H67" s="87" t="s">
        <v>243</v>
      </c>
      <c r="I67" s="86">
        <v>100</v>
      </c>
      <c r="J67" s="86">
        <v>4</v>
      </c>
      <c r="K67" s="86">
        <v>5</v>
      </c>
      <c r="L67" s="86">
        <v>1</v>
      </c>
      <c r="M67" s="86">
        <v>1014</v>
      </c>
      <c r="N67" s="93">
        <v>10001</v>
      </c>
      <c r="O67" s="94" t="s">
        <v>309</v>
      </c>
    </row>
    <row r="68" spans="1:16" s="1" customFormat="1" ht="28.5">
      <c r="A68" s="86">
        <v>200063</v>
      </c>
      <c r="B68" s="75" t="s">
        <v>363</v>
      </c>
      <c r="C68" s="74">
        <f t="shared" si="0"/>
        <v>463</v>
      </c>
      <c r="D68" s="76" t="s">
        <v>19</v>
      </c>
      <c r="E68" s="74">
        <f t="shared" si="1"/>
        <v>469</v>
      </c>
      <c r="F68" s="87" t="s">
        <v>20</v>
      </c>
      <c r="G68" s="85" t="s">
        <v>336</v>
      </c>
      <c r="H68" s="87" t="s">
        <v>243</v>
      </c>
      <c r="I68" s="86">
        <v>100</v>
      </c>
      <c r="J68" s="86">
        <v>4</v>
      </c>
      <c r="K68" s="86">
        <v>5</v>
      </c>
      <c r="L68" s="86">
        <v>1</v>
      </c>
      <c r="M68" s="86">
        <v>1014</v>
      </c>
      <c r="N68" s="93">
        <v>10001</v>
      </c>
      <c r="O68" s="94" t="s">
        <v>354</v>
      </c>
    </row>
    <row r="69" spans="1:16" s="1" customFormat="1" ht="28.5">
      <c r="A69" s="86">
        <v>200064</v>
      </c>
      <c r="B69" s="75" t="s">
        <v>364</v>
      </c>
      <c r="C69" s="74">
        <f t="shared" si="0"/>
        <v>470</v>
      </c>
      <c r="D69" s="76" t="s">
        <v>19</v>
      </c>
      <c r="E69" s="74">
        <f t="shared" si="1"/>
        <v>476</v>
      </c>
      <c r="F69" s="87" t="s">
        <v>20</v>
      </c>
      <c r="G69" s="95" t="s">
        <v>329</v>
      </c>
      <c r="H69" s="87" t="s">
        <v>243</v>
      </c>
      <c r="I69" s="86">
        <v>100</v>
      </c>
      <c r="J69" s="86">
        <v>4</v>
      </c>
      <c r="K69" s="86">
        <v>5</v>
      </c>
      <c r="L69" s="86">
        <v>1</v>
      </c>
      <c r="M69" s="86">
        <v>1014</v>
      </c>
      <c r="N69" s="93">
        <v>10001</v>
      </c>
      <c r="O69" s="94" t="s">
        <v>311</v>
      </c>
    </row>
    <row r="70" spans="1:16" s="1" customFormat="1" ht="28.5">
      <c r="A70" s="86">
        <v>200065</v>
      </c>
      <c r="B70" s="75" t="s">
        <v>365</v>
      </c>
      <c r="C70" s="74">
        <f t="shared" si="0"/>
        <v>477</v>
      </c>
      <c r="D70" s="73" t="s">
        <v>19</v>
      </c>
      <c r="E70" s="74">
        <f t="shared" si="1"/>
        <v>483</v>
      </c>
      <c r="F70" s="87" t="s">
        <v>20</v>
      </c>
      <c r="G70" s="95" t="s">
        <v>327</v>
      </c>
      <c r="H70" s="87" t="s">
        <v>243</v>
      </c>
      <c r="I70" s="86">
        <v>100</v>
      </c>
      <c r="J70" s="86">
        <v>4</v>
      </c>
      <c r="K70" s="86">
        <v>5</v>
      </c>
      <c r="L70" s="86">
        <v>1</v>
      </c>
      <c r="M70" s="86">
        <v>1014</v>
      </c>
      <c r="N70" s="93">
        <v>10001</v>
      </c>
      <c r="O70" s="94" t="s">
        <v>309</v>
      </c>
    </row>
    <row r="71" spans="1:16" s="1" customFormat="1" ht="28.5">
      <c r="A71" s="86">
        <v>200066</v>
      </c>
      <c r="B71" s="75" t="s">
        <v>366</v>
      </c>
      <c r="C71" s="74">
        <f t="shared" si="0"/>
        <v>484</v>
      </c>
      <c r="D71" s="76" t="s">
        <v>19</v>
      </c>
      <c r="E71" s="74">
        <f t="shared" si="1"/>
        <v>490</v>
      </c>
      <c r="F71" s="87" t="s">
        <v>20</v>
      </c>
      <c r="G71" s="95" t="s">
        <v>367</v>
      </c>
      <c r="H71" s="87" t="s">
        <v>243</v>
      </c>
      <c r="I71" s="86">
        <v>100</v>
      </c>
      <c r="J71" s="86">
        <v>4</v>
      </c>
      <c r="K71" s="86">
        <v>5</v>
      </c>
      <c r="L71" s="86">
        <v>1</v>
      </c>
      <c r="M71" s="86">
        <v>1014</v>
      </c>
      <c r="N71" s="93">
        <v>10001</v>
      </c>
      <c r="O71" s="94" t="s">
        <v>354</v>
      </c>
    </row>
    <row r="72" spans="1:16" s="1" customFormat="1" ht="28.5">
      <c r="A72" s="86">
        <v>200067</v>
      </c>
      <c r="B72" s="75" t="s">
        <v>368</v>
      </c>
      <c r="C72" s="74">
        <f t="shared" ref="C72:C99" si="2">C71+7</f>
        <v>491</v>
      </c>
      <c r="D72" s="76" t="s">
        <v>19</v>
      </c>
      <c r="E72" s="74">
        <f t="shared" ref="E72:E99" si="3">E71+7</f>
        <v>497</v>
      </c>
      <c r="F72" s="87" t="s">
        <v>20</v>
      </c>
      <c r="G72" s="84" t="s">
        <v>294</v>
      </c>
      <c r="H72" s="87" t="s">
        <v>243</v>
      </c>
      <c r="I72" s="86">
        <v>100</v>
      </c>
      <c r="J72" s="86">
        <v>4</v>
      </c>
      <c r="K72" s="86">
        <v>5</v>
      </c>
      <c r="L72" s="86">
        <v>1</v>
      </c>
      <c r="M72" s="86">
        <v>1014</v>
      </c>
      <c r="N72" s="93">
        <v>10001</v>
      </c>
      <c r="O72" s="92" t="s">
        <v>295</v>
      </c>
      <c r="P72" s="94"/>
    </row>
    <row r="73" spans="1:16" s="1" customFormat="1" ht="28.5">
      <c r="A73" s="86">
        <v>200068</v>
      </c>
      <c r="B73" s="75" t="s">
        <v>369</v>
      </c>
      <c r="C73" s="74">
        <f t="shared" si="2"/>
        <v>498</v>
      </c>
      <c r="D73" s="76" t="s">
        <v>19</v>
      </c>
      <c r="E73" s="74">
        <f t="shared" si="3"/>
        <v>504</v>
      </c>
      <c r="F73" s="87" t="s">
        <v>20</v>
      </c>
      <c r="G73" s="84" t="s">
        <v>297</v>
      </c>
      <c r="H73" s="87" t="s">
        <v>243</v>
      </c>
      <c r="I73" s="86">
        <v>100</v>
      </c>
      <c r="J73" s="86">
        <v>4</v>
      </c>
      <c r="K73" s="86">
        <v>5</v>
      </c>
      <c r="L73" s="86">
        <v>1</v>
      </c>
      <c r="M73" s="86">
        <v>1014</v>
      </c>
      <c r="N73" s="93">
        <v>10001</v>
      </c>
      <c r="O73" s="92" t="s">
        <v>298</v>
      </c>
      <c r="P73" s="94"/>
    </row>
    <row r="74" spans="1:16" s="69" customFormat="1" ht="28.5">
      <c r="A74" s="96">
        <v>200069</v>
      </c>
      <c r="B74" s="75" t="s">
        <v>370</v>
      </c>
      <c r="C74" s="74">
        <f t="shared" si="2"/>
        <v>505</v>
      </c>
      <c r="D74" s="76" t="s">
        <v>19</v>
      </c>
      <c r="E74" s="74">
        <f t="shared" si="3"/>
        <v>511</v>
      </c>
      <c r="F74" s="97" t="s">
        <v>20</v>
      </c>
      <c r="G74" s="85" t="s">
        <v>313</v>
      </c>
      <c r="H74" s="97" t="s">
        <v>243</v>
      </c>
      <c r="I74" s="96">
        <v>100</v>
      </c>
      <c r="J74" s="96">
        <v>4</v>
      </c>
      <c r="K74" s="96">
        <v>5</v>
      </c>
      <c r="L74" s="96">
        <v>1</v>
      </c>
      <c r="M74" s="96">
        <v>1014</v>
      </c>
      <c r="N74" s="101">
        <v>10001</v>
      </c>
      <c r="O74" s="102" t="s">
        <v>371</v>
      </c>
      <c r="P74" s="103"/>
    </row>
    <row r="75" spans="1:16" s="69" customFormat="1" ht="28.5">
      <c r="A75" s="96">
        <v>200070</v>
      </c>
      <c r="B75" s="75" t="s">
        <v>372</v>
      </c>
      <c r="C75" s="74">
        <f t="shared" si="2"/>
        <v>512</v>
      </c>
      <c r="D75" s="73" t="s">
        <v>19</v>
      </c>
      <c r="E75" s="74">
        <f t="shared" si="3"/>
        <v>518</v>
      </c>
      <c r="F75" s="97" t="s">
        <v>20</v>
      </c>
      <c r="G75" s="85" t="s">
        <v>315</v>
      </c>
      <c r="H75" s="97" t="s">
        <v>243</v>
      </c>
      <c r="I75" s="96">
        <v>100</v>
      </c>
      <c r="J75" s="96">
        <v>4</v>
      </c>
      <c r="K75" s="96">
        <v>5</v>
      </c>
      <c r="L75" s="96">
        <v>1</v>
      </c>
      <c r="M75" s="96">
        <v>1014</v>
      </c>
      <c r="N75" s="101">
        <v>10001</v>
      </c>
      <c r="O75" s="102" t="s">
        <v>373</v>
      </c>
      <c r="P75" s="103"/>
    </row>
    <row r="76" spans="1:16" s="69" customFormat="1" ht="28.5">
      <c r="A76" s="96">
        <v>200071</v>
      </c>
      <c r="B76" s="75" t="s">
        <v>374</v>
      </c>
      <c r="C76" s="74">
        <f t="shared" si="2"/>
        <v>519</v>
      </c>
      <c r="D76" s="76" t="s">
        <v>19</v>
      </c>
      <c r="E76" s="74">
        <f t="shared" si="3"/>
        <v>525</v>
      </c>
      <c r="F76" s="97" t="s">
        <v>20</v>
      </c>
      <c r="G76" s="85" t="s">
        <v>317</v>
      </c>
      <c r="H76" s="97" t="s">
        <v>243</v>
      </c>
      <c r="I76" s="96">
        <v>100</v>
      </c>
      <c r="J76" s="96">
        <v>4</v>
      </c>
      <c r="K76" s="96">
        <v>5</v>
      </c>
      <c r="L76" s="96">
        <v>1</v>
      </c>
      <c r="M76" s="96">
        <v>1014</v>
      </c>
      <c r="N76" s="101">
        <v>10001</v>
      </c>
      <c r="O76" s="102" t="s">
        <v>375</v>
      </c>
      <c r="P76" s="103"/>
    </row>
    <row r="77" spans="1:16" s="69" customFormat="1" ht="28.5">
      <c r="A77" s="96">
        <v>200072</v>
      </c>
      <c r="B77" s="75" t="s">
        <v>376</v>
      </c>
      <c r="C77" s="74">
        <f t="shared" si="2"/>
        <v>526</v>
      </c>
      <c r="D77" s="76" t="s">
        <v>19</v>
      </c>
      <c r="E77" s="74">
        <f t="shared" si="3"/>
        <v>532</v>
      </c>
      <c r="F77" s="97" t="s">
        <v>20</v>
      </c>
      <c r="G77" s="85" t="s">
        <v>319</v>
      </c>
      <c r="H77" s="97" t="s">
        <v>243</v>
      </c>
      <c r="I77" s="96">
        <v>100</v>
      </c>
      <c r="J77" s="96">
        <v>4</v>
      </c>
      <c r="K77" s="96">
        <v>5</v>
      </c>
      <c r="L77" s="96">
        <v>1</v>
      </c>
      <c r="M77" s="96">
        <v>1014</v>
      </c>
      <c r="N77" s="101">
        <v>10001</v>
      </c>
      <c r="O77" s="102" t="s">
        <v>375</v>
      </c>
      <c r="P77" s="103"/>
    </row>
    <row r="78" spans="1:16" s="69" customFormat="1" ht="28.5">
      <c r="A78" s="96">
        <v>200073</v>
      </c>
      <c r="B78" s="75" t="s">
        <v>377</v>
      </c>
      <c r="C78" s="74">
        <f t="shared" si="2"/>
        <v>533</v>
      </c>
      <c r="D78" s="76" t="s">
        <v>19</v>
      </c>
      <c r="E78" s="74">
        <f t="shared" si="3"/>
        <v>539</v>
      </c>
      <c r="F78" s="97" t="s">
        <v>20</v>
      </c>
      <c r="G78" s="85" t="s">
        <v>321</v>
      </c>
      <c r="H78" s="97" t="s">
        <v>243</v>
      </c>
      <c r="I78" s="96">
        <v>100</v>
      </c>
      <c r="J78" s="96">
        <v>4</v>
      </c>
      <c r="K78" s="96">
        <v>5</v>
      </c>
      <c r="L78" s="96">
        <v>1</v>
      </c>
      <c r="M78" s="96">
        <v>1014</v>
      </c>
      <c r="N78" s="101">
        <v>10001</v>
      </c>
      <c r="O78" s="102" t="s">
        <v>375</v>
      </c>
      <c r="P78" s="103"/>
    </row>
    <row r="79" spans="1:16" s="69" customFormat="1" ht="28.5">
      <c r="A79" s="96">
        <v>200074</v>
      </c>
      <c r="B79" s="75" t="s">
        <v>378</v>
      </c>
      <c r="C79" s="74">
        <f t="shared" si="2"/>
        <v>540</v>
      </c>
      <c r="D79" s="76" t="s">
        <v>19</v>
      </c>
      <c r="E79" s="74">
        <f t="shared" si="3"/>
        <v>546</v>
      </c>
      <c r="F79" s="97" t="s">
        <v>20</v>
      </c>
      <c r="G79" s="85" t="s">
        <v>323</v>
      </c>
      <c r="H79" s="97" t="s">
        <v>243</v>
      </c>
      <c r="I79" s="96">
        <v>100</v>
      </c>
      <c r="J79" s="96">
        <v>4</v>
      </c>
      <c r="K79" s="96">
        <v>5</v>
      </c>
      <c r="L79" s="96">
        <v>1</v>
      </c>
      <c r="M79" s="96">
        <v>1014</v>
      </c>
      <c r="N79" s="101">
        <v>10001</v>
      </c>
      <c r="O79" s="102" t="s">
        <v>375</v>
      </c>
      <c r="P79" s="103"/>
    </row>
    <row r="80" spans="1:16" s="69" customFormat="1" ht="28.5">
      <c r="A80" s="96">
        <v>200075</v>
      </c>
      <c r="B80" s="75" t="s">
        <v>379</v>
      </c>
      <c r="C80" s="74">
        <f t="shared" si="2"/>
        <v>547</v>
      </c>
      <c r="D80" s="73" t="s">
        <v>19</v>
      </c>
      <c r="E80" s="74">
        <f t="shared" si="3"/>
        <v>553</v>
      </c>
      <c r="F80" s="97" t="s">
        <v>20</v>
      </c>
      <c r="G80" s="85" t="s">
        <v>325</v>
      </c>
      <c r="H80" s="97" t="s">
        <v>243</v>
      </c>
      <c r="I80" s="96">
        <v>100</v>
      </c>
      <c r="J80" s="96">
        <v>4</v>
      </c>
      <c r="K80" s="96">
        <v>5</v>
      </c>
      <c r="L80" s="96">
        <v>1</v>
      </c>
      <c r="M80" s="96">
        <v>1014</v>
      </c>
      <c r="N80" s="101">
        <v>10001</v>
      </c>
      <c r="O80" s="102" t="s">
        <v>375</v>
      </c>
      <c r="P80" s="103"/>
    </row>
    <row r="81" spans="1:16" s="69" customFormat="1" ht="28.5">
      <c r="A81" s="96">
        <v>200076</v>
      </c>
      <c r="B81" s="75" t="s">
        <v>380</v>
      </c>
      <c r="C81" s="74">
        <f t="shared" si="2"/>
        <v>554</v>
      </c>
      <c r="D81" s="76" t="s">
        <v>19</v>
      </c>
      <c r="E81" s="74">
        <f t="shared" si="3"/>
        <v>560</v>
      </c>
      <c r="F81" s="97" t="s">
        <v>20</v>
      </c>
      <c r="G81" s="85" t="s">
        <v>327</v>
      </c>
      <c r="H81" s="97" t="s">
        <v>243</v>
      </c>
      <c r="I81" s="96">
        <v>100</v>
      </c>
      <c r="J81" s="96">
        <v>4</v>
      </c>
      <c r="K81" s="96">
        <v>5</v>
      </c>
      <c r="L81" s="96">
        <v>1</v>
      </c>
      <c r="M81" s="96">
        <v>1014</v>
      </c>
      <c r="N81" s="101">
        <v>10001</v>
      </c>
      <c r="O81" s="94" t="s">
        <v>309</v>
      </c>
      <c r="P81" s="103"/>
    </row>
    <row r="82" spans="1:16" s="69" customFormat="1" ht="28.5">
      <c r="A82" s="96">
        <v>200077</v>
      </c>
      <c r="B82" s="75" t="s">
        <v>381</v>
      </c>
      <c r="C82" s="74">
        <f t="shared" si="2"/>
        <v>561</v>
      </c>
      <c r="D82" s="76" t="s">
        <v>19</v>
      </c>
      <c r="E82" s="74">
        <f t="shared" si="3"/>
        <v>567</v>
      </c>
      <c r="F82" s="97" t="s">
        <v>20</v>
      </c>
      <c r="G82" s="85" t="s">
        <v>329</v>
      </c>
      <c r="H82" s="97" t="s">
        <v>243</v>
      </c>
      <c r="I82" s="96">
        <v>100</v>
      </c>
      <c r="J82" s="96">
        <v>4</v>
      </c>
      <c r="K82" s="96">
        <v>5</v>
      </c>
      <c r="L82" s="96">
        <v>1</v>
      </c>
      <c r="M82" s="96">
        <v>1014</v>
      </c>
      <c r="N82" s="101">
        <v>10001</v>
      </c>
      <c r="O82" s="94" t="s">
        <v>311</v>
      </c>
      <c r="P82" s="103"/>
    </row>
    <row r="83" spans="1:16" s="69" customFormat="1" ht="28.5">
      <c r="A83" s="96">
        <v>200078</v>
      </c>
      <c r="B83" s="75" t="s">
        <v>382</v>
      </c>
      <c r="C83" s="74">
        <f t="shared" si="2"/>
        <v>568</v>
      </c>
      <c r="D83" s="76" t="s">
        <v>19</v>
      </c>
      <c r="E83" s="74">
        <f t="shared" si="3"/>
        <v>574</v>
      </c>
      <c r="F83" s="97" t="s">
        <v>20</v>
      </c>
      <c r="G83" s="85" t="s">
        <v>332</v>
      </c>
      <c r="H83" s="97" t="s">
        <v>243</v>
      </c>
      <c r="I83" s="96">
        <v>100</v>
      </c>
      <c r="J83" s="96">
        <v>4</v>
      </c>
      <c r="K83" s="96">
        <v>5</v>
      </c>
      <c r="L83" s="96">
        <v>1</v>
      </c>
      <c r="M83" s="96">
        <v>1014</v>
      </c>
      <c r="N83" s="101">
        <v>10001</v>
      </c>
      <c r="O83" s="94" t="s">
        <v>311</v>
      </c>
      <c r="P83" s="103"/>
    </row>
    <row r="84" spans="1:16" s="69" customFormat="1" ht="28.5">
      <c r="A84" s="96">
        <v>200079</v>
      </c>
      <c r="B84" s="75" t="s">
        <v>383</v>
      </c>
      <c r="C84" s="74">
        <f t="shared" si="2"/>
        <v>575</v>
      </c>
      <c r="D84" s="76" t="s">
        <v>19</v>
      </c>
      <c r="E84" s="74">
        <f t="shared" si="3"/>
        <v>581</v>
      </c>
      <c r="F84" s="97" t="s">
        <v>20</v>
      </c>
      <c r="G84" s="85" t="s">
        <v>334</v>
      </c>
      <c r="H84" s="97" t="s">
        <v>243</v>
      </c>
      <c r="I84" s="96">
        <v>100</v>
      </c>
      <c r="J84" s="96">
        <v>4</v>
      </c>
      <c r="K84" s="96">
        <v>5</v>
      </c>
      <c r="L84" s="96">
        <v>1</v>
      </c>
      <c r="M84" s="96">
        <v>1014</v>
      </c>
      <c r="N84" s="101">
        <v>10001</v>
      </c>
      <c r="O84" s="94" t="s">
        <v>311</v>
      </c>
      <c r="P84" s="103"/>
    </row>
    <row r="85" spans="1:16" s="69" customFormat="1" ht="28.5">
      <c r="A85" s="96">
        <v>200080</v>
      </c>
      <c r="B85" s="75" t="s">
        <v>384</v>
      </c>
      <c r="C85" s="74">
        <f t="shared" si="2"/>
        <v>582</v>
      </c>
      <c r="D85" s="73" t="s">
        <v>19</v>
      </c>
      <c r="E85" s="74">
        <f t="shared" si="3"/>
        <v>588</v>
      </c>
      <c r="F85" s="97" t="s">
        <v>20</v>
      </c>
      <c r="G85" s="85" t="s">
        <v>385</v>
      </c>
      <c r="H85" s="97" t="s">
        <v>243</v>
      </c>
      <c r="I85" s="96">
        <v>100</v>
      </c>
      <c r="J85" s="96">
        <v>4</v>
      </c>
      <c r="K85" s="96">
        <v>5</v>
      </c>
      <c r="L85" s="96">
        <v>1</v>
      </c>
      <c r="M85" s="96">
        <v>1014</v>
      </c>
      <c r="N85" s="101">
        <v>10001</v>
      </c>
      <c r="O85" s="94" t="s">
        <v>386</v>
      </c>
      <c r="P85" s="103"/>
    </row>
    <row r="86" spans="1:16" s="69" customFormat="1" ht="28.5">
      <c r="A86" s="96">
        <v>200081</v>
      </c>
      <c r="B86" s="75" t="s">
        <v>387</v>
      </c>
      <c r="C86" s="74">
        <f t="shared" si="2"/>
        <v>589</v>
      </c>
      <c r="D86" s="76" t="s">
        <v>19</v>
      </c>
      <c r="E86" s="74">
        <f t="shared" si="3"/>
        <v>595</v>
      </c>
      <c r="F86" s="97" t="s">
        <v>20</v>
      </c>
      <c r="G86" s="85" t="s">
        <v>388</v>
      </c>
      <c r="H86" s="97" t="s">
        <v>243</v>
      </c>
      <c r="I86" s="96">
        <v>100</v>
      </c>
      <c r="J86" s="96">
        <v>4</v>
      </c>
      <c r="K86" s="96">
        <v>5</v>
      </c>
      <c r="L86" s="96">
        <v>1</v>
      </c>
      <c r="M86" s="96">
        <v>1014</v>
      </c>
      <c r="N86" s="101">
        <v>10001</v>
      </c>
      <c r="O86" s="94" t="s">
        <v>389</v>
      </c>
      <c r="P86" s="103"/>
    </row>
    <row r="87" spans="1:16" s="69" customFormat="1" ht="28.5">
      <c r="A87" s="96">
        <v>200082</v>
      </c>
      <c r="B87" s="75" t="s">
        <v>387</v>
      </c>
      <c r="C87" s="74">
        <f t="shared" si="2"/>
        <v>596</v>
      </c>
      <c r="D87" s="76" t="s">
        <v>19</v>
      </c>
      <c r="E87" s="74">
        <f t="shared" si="3"/>
        <v>602</v>
      </c>
      <c r="F87" s="97" t="s">
        <v>20</v>
      </c>
      <c r="G87" s="95" t="s">
        <v>390</v>
      </c>
      <c r="H87" s="97" t="s">
        <v>243</v>
      </c>
      <c r="I87" s="96">
        <v>100</v>
      </c>
      <c r="J87" s="96">
        <v>4</v>
      </c>
      <c r="K87" s="96">
        <v>5</v>
      </c>
      <c r="L87" s="96">
        <v>1</v>
      </c>
      <c r="M87" s="96">
        <v>1014</v>
      </c>
      <c r="N87" s="101">
        <v>10001</v>
      </c>
      <c r="O87" s="94" t="s">
        <v>389</v>
      </c>
      <c r="P87" s="103"/>
    </row>
    <row r="88" spans="1:16" s="69" customFormat="1" ht="28.5">
      <c r="A88" s="96">
        <v>200083</v>
      </c>
      <c r="B88" s="75" t="s">
        <v>391</v>
      </c>
      <c r="C88" s="74">
        <f t="shared" si="2"/>
        <v>603</v>
      </c>
      <c r="D88" s="76" t="s">
        <v>19</v>
      </c>
      <c r="E88" s="74">
        <f t="shared" si="3"/>
        <v>609</v>
      </c>
      <c r="F88" s="97" t="s">
        <v>20</v>
      </c>
      <c r="G88" s="85" t="s">
        <v>315</v>
      </c>
      <c r="H88" s="97" t="s">
        <v>243</v>
      </c>
      <c r="I88" s="96">
        <v>100</v>
      </c>
      <c r="J88" s="96">
        <v>4</v>
      </c>
      <c r="K88" s="96">
        <v>5</v>
      </c>
      <c r="L88" s="96">
        <v>1</v>
      </c>
      <c r="M88" s="96">
        <v>1014</v>
      </c>
      <c r="N88" s="101">
        <v>10001</v>
      </c>
      <c r="O88" s="94" t="s">
        <v>392</v>
      </c>
      <c r="P88" s="103"/>
    </row>
    <row r="89" spans="1:16" s="70" customFormat="1" ht="28.5">
      <c r="A89" s="98">
        <v>200084</v>
      </c>
      <c r="B89" s="75" t="s">
        <v>393</v>
      </c>
      <c r="C89" s="74">
        <f t="shared" si="2"/>
        <v>610</v>
      </c>
      <c r="D89" s="76" t="s">
        <v>19</v>
      </c>
      <c r="E89" s="74">
        <f t="shared" si="3"/>
        <v>616</v>
      </c>
      <c r="F89" s="99" t="s">
        <v>20</v>
      </c>
      <c r="G89" s="100" t="s">
        <v>394</v>
      </c>
      <c r="H89" s="99" t="s">
        <v>243</v>
      </c>
      <c r="I89" s="98">
        <v>100</v>
      </c>
      <c r="J89" s="98">
        <v>4</v>
      </c>
      <c r="K89" s="98">
        <v>5</v>
      </c>
      <c r="L89" s="98">
        <v>1</v>
      </c>
      <c r="M89" s="98">
        <v>1014</v>
      </c>
      <c r="N89" s="104">
        <v>10001</v>
      </c>
      <c r="O89" s="105" t="s">
        <v>395</v>
      </c>
    </row>
    <row r="90" spans="1:16" s="70" customFormat="1" ht="28.5">
      <c r="A90" s="98">
        <v>200085</v>
      </c>
      <c r="B90" s="75" t="s">
        <v>396</v>
      </c>
      <c r="C90" s="74">
        <f t="shared" si="2"/>
        <v>617</v>
      </c>
      <c r="D90" s="73" t="s">
        <v>19</v>
      </c>
      <c r="E90" s="74">
        <f t="shared" si="3"/>
        <v>623</v>
      </c>
      <c r="F90" s="99" t="s">
        <v>20</v>
      </c>
      <c r="G90" s="100" t="s">
        <v>397</v>
      </c>
      <c r="H90" s="99" t="s">
        <v>243</v>
      </c>
      <c r="I90" s="98">
        <v>100</v>
      </c>
      <c r="J90" s="98">
        <v>4</v>
      </c>
      <c r="K90" s="98">
        <v>5</v>
      </c>
      <c r="L90" s="98">
        <v>1</v>
      </c>
      <c r="M90" s="98">
        <v>1014</v>
      </c>
      <c r="N90" s="104">
        <v>10001</v>
      </c>
      <c r="O90" s="105" t="s">
        <v>398</v>
      </c>
    </row>
    <row r="91" spans="1:16" s="70" customFormat="1" ht="28.5">
      <c r="A91" s="98">
        <v>200086</v>
      </c>
      <c r="B91" s="75" t="s">
        <v>399</v>
      </c>
      <c r="C91" s="74">
        <f t="shared" si="2"/>
        <v>624</v>
      </c>
      <c r="D91" s="76" t="s">
        <v>19</v>
      </c>
      <c r="E91" s="74">
        <f t="shared" si="3"/>
        <v>630</v>
      </c>
      <c r="F91" s="99" t="s">
        <v>20</v>
      </c>
      <c r="G91" s="100" t="s">
        <v>400</v>
      </c>
      <c r="H91" s="99" t="s">
        <v>243</v>
      </c>
      <c r="I91" s="98">
        <v>100</v>
      </c>
      <c r="J91" s="98">
        <v>4</v>
      </c>
      <c r="K91" s="98">
        <v>5</v>
      </c>
      <c r="L91" s="98">
        <v>1</v>
      </c>
      <c r="M91" s="98">
        <v>1014</v>
      </c>
      <c r="N91" s="104">
        <v>10001</v>
      </c>
      <c r="O91" s="105" t="s">
        <v>401</v>
      </c>
    </row>
    <row r="92" spans="1:16" s="1" customFormat="1" ht="28.5">
      <c r="A92" s="86">
        <v>200087</v>
      </c>
      <c r="B92" s="75" t="s">
        <v>402</v>
      </c>
      <c r="C92" s="74">
        <f t="shared" si="2"/>
        <v>631</v>
      </c>
      <c r="D92" s="76" t="s">
        <v>19</v>
      </c>
      <c r="E92" s="74">
        <f t="shared" si="3"/>
        <v>637</v>
      </c>
      <c r="F92" s="87" t="s">
        <v>20</v>
      </c>
      <c r="G92" s="95" t="s">
        <v>403</v>
      </c>
      <c r="H92" s="87" t="s">
        <v>243</v>
      </c>
      <c r="I92" s="86">
        <v>100</v>
      </c>
      <c r="J92" s="86">
        <v>4</v>
      </c>
      <c r="K92" s="86">
        <v>5</v>
      </c>
      <c r="L92" s="86">
        <v>1</v>
      </c>
      <c r="M92" s="86">
        <v>1014</v>
      </c>
      <c r="N92" s="93">
        <v>10001</v>
      </c>
      <c r="O92" s="94" t="s">
        <v>404</v>
      </c>
    </row>
    <row r="93" spans="1:16" s="1" customFormat="1" ht="28.5">
      <c r="A93" s="86">
        <v>200088</v>
      </c>
      <c r="B93" s="75" t="s">
        <v>405</v>
      </c>
      <c r="C93" s="74">
        <f t="shared" si="2"/>
        <v>638</v>
      </c>
      <c r="D93" s="76" t="s">
        <v>19</v>
      </c>
      <c r="E93" s="74">
        <f t="shared" si="3"/>
        <v>644</v>
      </c>
      <c r="F93" s="87" t="s">
        <v>20</v>
      </c>
      <c r="G93" s="95" t="s">
        <v>406</v>
      </c>
      <c r="H93" s="87" t="s">
        <v>243</v>
      </c>
      <c r="I93" s="86">
        <v>100</v>
      </c>
      <c r="J93" s="86">
        <v>4</v>
      </c>
      <c r="K93" s="86">
        <v>5</v>
      </c>
      <c r="L93" s="86">
        <v>1</v>
      </c>
      <c r="M93" s="86">
        <v>1014</v>
      </c>
      <c r="N93" s="93">
        <v>10001</v>
      </c>
      <c r="O93" s="94" t="s">
        <v>407</v>
      </c>
    </row>
    <row r="94" spans="1:16" ht="28.5">
      <c r="A94" s="86">
        <v>200089</v>
      </c>
      <c r="B94" s="75" t="s">
        <v>408</v>
      </c>
      <c r="C94" s="74">
        <f t="shared" si="2"/>
        <v>645</v>
      </c>
      <c r="D94" s="76" t="s">
        <v>19</v>
      </c>
      <c r="E94" s="74">
        <f t="shared" si="3"/>
        <v>651</v>
      </c>
      <c r="F94" s="87" t="s">
        <v>20</v>
      </c>
      <c r="G94" t="s">
        <v>409</v>
      </c>
      <c r="H94" s="87" t="s">
        <v>243</v>
      </c>
      <c r="I94" s="86">
        <v>100</v>
      </c>
      <c r="J94" s="86">
        <v>4</v>
      </c>
      <c r="K94" s="86">
        <v>5</v>
      </c>
      <c r="L94" s="86">
        <v>1</v>
      </c>
      <c r="M94" s="86">
        <v>1014</v>
      </c>
      <c r="N94" s="93">
        <v>10001</v>
      </c>
      <c r="O94" t="s">
        <v>410</v>
      </c>
    </row>
    <row r="95" spans="1:16" ht="28.5">
      <c r="A95" s="86">
        <v>200090</v>
      </c>
      <c r="B95" s="75" t="s">
        <v>411</v>
      </c>
      <c r="C95" s="74">
        <f t="shared" si="2"/>
        <v>652</v>
      </c>
      <c r="D95" s="73" t="s">
        <v>19</v>
      </c>
      <c r="E95" s="74">
        <f t="shared" si="3"/>
        <v>658</v>
      </c>
      <c r="F95" s="87" t="s">
        <v>20</v>
      </c>
      <c r="G95" t="s">
        <v>412</v>
      </c>
      <c r="H95" s="87" t="s">
        <v>243</v>
      </c>
      <c r="I95" s="86">
        <v>100</v>
      </c>
      <c r="J95" s="86">
        <v>4</v>
      </c>
      <c r="K95" s="86">
        <v>5</v>
      </c>
      <c r="L95" s="86">
        <v>1</v>
      </c>
      <c r="M95" s="86">
        <v>1014</v>
      </c>
      <c r="N95" s="93">
        <v>10001</v>
      </c>
      <c r="O95" t="s">
        <v>413</v>
      </c>
    </row>
    <row r="96" spans="1:16" ht="28.5">
      <c r="A96" s="86">
        <v>200091</v>
      </c>
      <c r="B96" s="75" t="s">
        <v>414</v>
      </c>
      <c r="C96" s="74">
        <f t="shared" si="2"/>
        <v>659</v>
      </c>
      <c r="D96" s="76" t="s">
        <v>19</v>
      </c>
      <c r="E96" s="74">
        <f t="shared" si="3"/>
        <v>665</v>
      </c>
      <c r="F96" s="87" t="s">
        <v>20</v>
      </c>
      <c r="G96" t="s">
        <v>415</v>
      </c>
      <c r="H96" s="87" t="s">
        <v>243</v>
      </c>
      <c r="I96" s="86">
        <v>100</v>
      </c>
      <c r="J96" s="86">
        <v>4</v>
      </c>
      <c r="K96" s="86">
        <v>5</v>
      </c>
      <c r="L96" s="86">
        <v>1</v>
      </c>
      <c r="M96" s="86">
        <v>1014</v>
      </c>
      <c r="N96" s="93">
        <v>10001</v>
      </c>
      <c r="O96" t="s">
        <v>416</v>
      </c>
    </row>
    <row r="97" spans="1:15" ht="28.5">
      <c r="A97" s="86">
        <v>200092</v>
      </c>
      <c r="B97" s="75" t="s">
        <v>417</v>
      </c>
      <c r="C97" s="74">
        <f t="shared" si="2"/>
        <v>666</v>
      </c>
      <c r="D97" s="76" t="s">
        <v>19</v>
      </c>
      <c r="E97" s="74">
        <f t="shared" si="3"/>
        <v>672</v>
      </c>
      <c r="F97" s="87" t="s">
        <v>20</v>
      </c>
      <c r="G97" t="s">
        <v>418</v>
      </c>
      <c r="H97" s="87" t="s">
        <v>243</v>
      </c>
      <c r="I97" s="86">
        <v>100</v>
      </c>
      <c r="J97" s="86">
        <v>4</v>
      </c>
      <c r="K97" s="86">
        <v>5</v>
      </c>
      <c r="L97" s="86">
        <v>1</v>
      </c>
      <c r="M97" s="86">
        <v>1014</v>
      </c>
      <c r="N97" s="93">
        <v>10001</v>
      </c>
      <c r="O97" t="s">
        <v>419</v>
      </c>
    </row>
    <row r="98" spans="1:15" ht="28.5">
      <c r="A98" s="86">
        <v>200093</v>
      </c>
      <c r="B98" s="75" t="s">
        <v>420</v>
      </c>
      <c r="C98" s="74">
        <f t="shared" si="2"/>
        <v>673</v>
      </c>
      <c r="D98" s="76" t="s">
        <v>19</v>
      </c>
      <c r="E98" s="74">
        <f t="shared" si="3"/>
        <v>679</v>
      </c>
      <c r="F98" s="87" t="s">
        <v>20</v>
      </c>
      <c r="G98" t="s">
        <v>421</v>
      </c>
      <c r="H98" s="87" t="s">
        <v>243</v>
      </c>
      <c r="I98" s="86">
        <v>100</v>
      </c>
      <c r="J98" s="86">
        <v>4</v>
      </c>
      <c r="K98" s="86">
        <v>5</v>
      </c>
      <c r="L98" s="86">
        <v>1</v>
      </c>
      <c r="M98" s="86">
        <v>1014</v>
      </c>
      <c r="N98" s="93">
        <v>10001</v>
      </c>
      <c r="O98" t="s">
        <v>422</v>
      </c>
    </row>
    <row r="99" spans="1:15" ht="28.5">
      <c r="A99" s="86">
        <v>200094</v>
      </c>
      <c r="B99" s="75" t="s">
        <v>423</v>
      </c>
      <c r="C99" s="74">
        <f t="shared" si="2"/>
        <v>680</v>
      </c>
      <c r="D99" s="76" t="s">
        <v>19</v>
      </c>
      <c r="E99" s="74">
        <f t="shared" si="3"/>
        <v>686</v>
      </c>
      <c r="F99" s="87" t="s">
        <v>20</v>
      </c>
      <c r="G99" t="s">
        <v>424</v>
      </c>
      <c r="H99" s="87" t="s">
        <v>243</v>
      </c>
      <c r="I99" s="86">
        <v>100</v>
      </c>
      <c r="J99" s="86">
        <v>4</v>
      </c>
      <c r="K99" s="86">
        <v>5</v>
      </c>
      <c r="L99" s="86">
        <v>1</v>
      </c>
      <c r="M99" s="86">
        <v>1014</v>
      </c>
      <c r="N99" s="93">
        <v>10001</v>
      </c>
      <c r="O99" t="s">
        <v>425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3"/>
  <sheetViews>
    <sheetView workbookViewId="0">
      <selection activeCell="B30" sqref="B30"/>
    </sheetView>
  </sheetViews>
  <sheetFormatPr defaultColWidth="9" defaultRowHeight="14.25"/>
  <cols>
    <col min="2" max="2" width="9.75" customWidth="1"/>
    <col min="3" max="3" width="11" customWidth="1"/>
    <col min="4" max="4" width="12.25" customWidth="1"/>
    <col min="5" max="5" width="13.25" customWidth="1"/>
    <col min="6" max="7" width="13" customWidth="1"/>
    <col min="9" max="9" width="11" customWidth="1"/>
  </cols>
  <sheetData>
    <row r="1" spans="1:9" ht="16.5">
      <c r="A1" s="12" t="s">
        <v>126</v>
      </c>
      <c r="B1" s="12" t="s">
        <v>426</v>
      </c>
      <c r="C1" s="12" t="s">
        <v>427</v>
      </c>
      <c r="D1" s="12" t="s">
        <v>428</v>
      </c>
      <c r="E1" s="12" t="s">
        <v>40</v>
      </c>
      <c r="F1" s="12" t="s">
        <v>429</v>
      </c>
      <c r="G1" s="12" t="s">
        <v>430</v>
      </c>
      <c r="H1" s="12" t="s">
        <v>431</v>
      </c>
      <c r="I1" s="12" t="s">
        <v>432</v>
      </c>
    </row>
    <row r="2" spans="1:9" ht="17.25">
      <c r="A2" s="12">
        <v>1</v>
      </c>
      <c r="B2" s="67" t="s">
        <v>433</v>
      </c>
      <c r="C2" s="12">
        <v>1</v>
      </c>
      <c r="D2" s="12">
        <v>100044</v>
      </c>
      <c r="E2" s="12">
        <v>1</v>
      </c>
      <c r="F2" s="12">
        <v>200</v>
      </c>
      <c r="G2" s="12">
        <v>5000</v>
      </c>
      <c r="H2" s="12">
        <v>0</v>
      </c>
      <c r="I2" s="12">
        <v>0</v>
      </c>
    </row>
    <row r="3" spans="1:9" ht="17.25">
      <c r="A3" s="12">
        <v>2</v>
      </c>
      <c r="B3" s="67" t="s">
        <v>434</v>
      </c>
      <c r="C3" s="12">
        <v>10</v>
      </c>
      <c r="D3" s="12">
        <v>100044</v>
      </c>
      <c r="E3" s="12">
        <v>10</v>
      </c>
      <c r="F3" s="12">
        <v>2000</v>
      </c>
      <c r="G3" s="12">
        <v>50000</v>
      </c>
      <c r="H3" s="12">
        <v>1</v>
      </c>
      <c r="I3" s="1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F8"/>
  <sheetViews>
    <sheetView workbookViewId="0">
      <selection activeCell="C30" sqref="C30"/>
    </sheetView>
  </sheetViews>
  <sheetFormatPr defaultColWidth="9" defaultRowHeight="14.25"/>
  <cols>
    <col min="3" max="3" width="13.125" customWidth="1"/>
    <col min="6" max="6" width="43.375" customWidth="1"/>
  </cols>
  <sheetData>
    <row r="1" spans="1:6" ht="16.5">
      <c r="A1" s="12" t="s">
        <v>126</v>
      </c>
      <c r="B1" s="12" t="s">
        <v>427</v>
      </c>
      <c r="C1" s="12" t="s">
        <v>435</v>
      </c>
      <c r="D1" s="12" t="s">
        <v>436</v>
      </c>
      <c r="E1" s="12"/>
      <c r="F1" s="12"/>
    </row>
    <row r="2" spans="1:6" ht="16.5">
      <c r="A2" s="12">
        <v>1</v>
      </c>
      <c r="B2" s="12">
        <v>30</v>
      </c>
      <c r="C2" s="66" t="s">
        <v>437</v>
      </c>
      <c r="D2">
        <v>1</v>
      </c>
    </row>
    <row r="3" spans="1:6" ht="16.5">
      <c r="A3" s="12">
        <v>2</v>
      </c>
      <c r="B3" s="12">
        <v>50</v>
      </c>
      <c r="C3" s="66" t="s">
        <v>52</v>
      </c>
      <c r="D3">
        <v>1</v>
      </c>
    </row>
    <row r="4" spans="1:6" ht="16.5">
      <c r="A4" s="12">
        <v>3</v>
      </c>
      <c r="B4" s="12">
        <v>100</v>
      </c>
      <c r="C4" s="66" t="s">
        <v>438</v>
      </c>
      <c r="D4">
        <v>1</v>
      </c>
    </row>
    <row r="5" spans="1:6" ht="16.5">
      <c r="A5" s="12">
        <v>4</v>
      </c>
      <c r="B5" s="12">
        <v>200</v>
      </c>
      <c r="C5" s="66" t="s">
        <v>52</v>
      </c>
      <c r="D5">
        <v>1</v>
      </c>
    </row>
    <row r="6" spans="1:6" ht="16.5">
      <c r="A6" s="12">
        <v>5</v>
      </c>
      <c r="B6" s="12">
        <v>300</v>
      </c>
      <c r="C6" s="66" t="s">
        <v>439</v>
      </c>
      <c r="D6">
        <v>1</v>
      </c>
    </row>
    <row r="7" spans="1:6" ht="16.5">
      <c r="A7" s="12"/>
    </row>
    <row r="8" spans="1:6" ht="16.5">
      <c r="A8" s="12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2"/>
  <sheetViews>
    <sheetView workbookViewId="0">
      <selection activeCell="N12" sqref="N12:N13"/>
    </sheetView>
  </sheetViews>
  <sheetFormatPr defaultColWidth="9" defaultRowHeight="14.25"/>
  <cols>
    <col min="1" max="1" width="6.5" customWidth="1"/>
    <col min="2" max="2" width="9.25" customWidth="1"/>
  </cols>
  <sheetData>
    <row r="1" spans="1:2" ht="16.5">
      <c r="A1" t="s">
        <v>126</v>
      </c>
      <c r="B1" s="65" t="s">
        <v>15</v>
      </c>
    </row>
    <row r="2" spans="1:2">
      <c r="A2">
        <v>10001</v>
      </c>
      <c r="B2">
        <v>1016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F4"/>
  <sheetViews>
    <sheetView workbookViewId="0">
      <selection activeCell="C14" sqref="C14"/>
    </sheetView>
  </sheetViews>
  <sheetFormatPr defaultColWidth="9" defaultRowHeight="14.25"/>
  <cols>
    <col min="1" max="1" width="6.5" customWidth="1"/>
    <col min="2" max="2" width="17.375" customWidth="1"/>
    <col min="3" max="3" width="46" customWidth="1"/>
    <col min="5" max="5" width="7.25" customWidth="1"/>
    <col min="6" max="6" width="9.125" customWidth="1"/>
  </cols>
  <sheetData>
    <row r="1" spans="1:6">
      <c r="A1" t="s">
        <v>126</v>
      </c>
      <c r="B1" t="s">
        <v>440</v>
      </c>
      <c r="C1" t="s">
        <v>441</v>
      </c>
      <c r="D1" t="s">
        <v>442</v>
      </c>
      <c r="E1" t="s">
        <v>240</v>
      </c>
      <c r="F1" t="s">
        <v>443</v>
      </c>
    </row>
    <row r="2" spans="1:6" ht="16.5">
      <c r="A2">
        <v>10001</v>
      </c>
      <c r="B2">
        <v>1</v>
      </c>
      <c r="C2" s="64" t="s">
        <v>444</v>
      </c>
      <c r="D2">
        <v>1</v>
      </c>
      <c r="E2">
        <v>10001</v>
      </c>
      <c r="F2" s="12">
        <v>36001</v>
      </c>
    </row>
    <row r="3" spans="1:6" ht="16.5">
      <c r="A3">
        <v>10002</v>
      </c>
      <c r="B3">
        <v>2000</v>
      </c>
      <c r="C3" s="64" t="s">
        <v>445</v>
      </c>
      <c r="D3">
        <v>1</v>
      </c>
      <c r="E3">
        <v>10001</v>
      </c>
      <c r="F3" s="12">
        <v>36002</v>
      </c>
    </row>
    <row r="4" spans="1:6" ht="16.5">
      <c r="A4">
        <v>10003</v>
      </c>
      <c r="B4">
        <v>10000</v>
      </c>
      <c r="C4" s="64" t="s">
        <v>446</v>
      </c>
      <c r="D4">
        <v>1</v>
      </c>
      <c r="E4">
        <v>10001</v>
      </c>
      <c r="F4" s="12">
        <v>36003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G155"/>
  <sheetViews>
    <sheetView topLeftCell="A48" workbookViewId="0">
      <selection activeCell="H78" sqref="H78"/>
    </sheetView>
  </sheetViews>
  <sheetFormatPr defaultColWidth="9" defaultRowHeight="14.25"/>
  <sheetData>
    <row r="1" spans="1:7" ht="16.5">
      <c r="A1" s="12" t="s">
        <v>0</v>
      </c>
      <c r="B1" s="12" t="s">
        <v>3</v>
      </c>
      <c r="C1" s="12" t="s">
        <v>4</v>
      </c>
      <c r="D1" s="12" t="s">
        <v>5</v>
      </c>
      <c r="E1" s="12" t="s">
        <v>6</v>
      </c>
      <c r="F1" s="12" t="s">
        <v>447</v>
      </c>
      <c r="G1" s="12" t="s">
        <v>15</v>
      </c>
    </row>
    <row r="2" spans="1:7" ht="16.5">
      <c r="A2" s="12">
        <v>10001</v>
      </c>
      <c r="B2" s="12">
        <v>8</v>
      </c>
      <c r="C2" s="12" t="s">
        <v>19</v>
      </c>
      <c r="D2" s="12">
        <v>14</v>
      </c>
      <c r="E2" s="12" t="s">
        <v>20</v>
      </c>
      <c r="F2" s="12">
        <v>1</v>
      </c>
      <c r="G2" s="12">
        <v>1018</v>
      </c>
    </row>
    <row r="3" spans="1:7" ht="16.5">
      <c r="A3" s="12">
        <v>10002</v>
      </c>
      <c r="B3" s="12">
        <v>15</v>
      </c>
      <c r="C3" s="12" t="s">
        <v>19</v>
      </c>
      <c r="D3" s="12">
        <v>21</v>
      </c>
      <c r="E3" s="12" t="s">
        <v>20</v>
      </c>
      <c r="F3" s="12">
        <v>4</v>
      </c>
      <c r="G3" s="12">
        <v>1018</v>
      </c>
    </row>
    <row r="4" spans="1:7" ht="16.5">
      <c r="A4" s="12">
        <v>10003</v>
      </c>
      <c r="B4" s="12">
        <v>22</v>
      </c>
      <c r="C4" s="12" t="s">
        <v>19</v>
      </c>
      <c r="D4" s="12">
        <v>28</v>
      </c>
      <c r="E4" s="12" t="s">
        <v>20</v>
      </c>
      <c r="F4" s="12">
        <v>3</v>
      </c>
      <c r="G4" s="12">
        <v>1018</v>
      </c>
    </row>
    <row r="5" spans="1:7" ht="16.5">
      <c r="A5" s="12">
        <v>10004</v>
      </c>
      <c r="B5" s="12">
        <v>29</v>
      </c>
      <c r="C5" s="12" t="s">
        <v>19</v>
      </c>
      <c r="D5" s="12">
        <v>35</v>
      </c>
      <c r="E5" s="12" t="s">
        <v>20</v>
      </c>
      <c r="F5" s="12">
        <v>5</v>
      </c>
      <c r="G5" s="12">
        <v>1018</v>
      </c>
    </row>
    <row r="6" spans="1:7" ht="16.5">
      <c r="A6" s="12">
        <v>10005</v>
      </c>
      <c r="B6" s="12">
        <v>50</v>
      </c>
      <c r="C6" s="12" t="s">
        <v>19</v>
      </c>
      <c r="D6" s="12">
        <v>56</v>
      </c>
      <c r="E6" s="12" t="s">
        <v>20</v>
      </c>
      <c r="F6" s="12">
        <v>6</v>
      </c>
      <c r="G6" s="12">
        <v>1018</v>
      </c>
    </row>
    <row r="7" spans="1:7" ht="16.5">
      <c r="A7" s="12">
        <v>10006</v>
      </c>
      <c r="B7" s="12">
        <v>64</v>
      </c>
      <c r="C7" s="12" t="s">
        <v>19</v>
      </c>
      <c r="D7" s="12">
        <v>70</v>
      </c>
      <c r="E7" s="12" t="s">
        <v>20</v>
      </c>
      <c r="F7" s="12">
        <v>6</v>
      </c>
      <c r="G7" s="12">
        <v>1018</v>
      </c>
    </row>
    <row r="8" spans="1:7" ht="16.5">
      <c r="A8" s="12">
        <v>10008</v>
      </c>
      <c r="B8" s="12">
        <v>36</v>
      </c>
      <c r="C8" s="12" t="s">
        <v>19</v>
      </c>
      <c r="D8" s="12">
        <v>42</v>
      </c>
      <c r="E8" s="12" t="s">
        <v>20</v>
      </c>
      <c r="F8" s="12">
        <v>6</v>
      </c>
      <c r="G8" s="12">
        <v>1018</v>
      </c>
    </row>
    <row r="9" spans="1:7" ht="16.5">
      <c r="A9" s="12">
        <v>10009</v>
      </c>
      <c r="B9" s="12">
        <v>43</v>
      </c>
      <c r="C9" s="12" t="s">
        <v>19</v>
      </c>
      <c r="D9" s="12">
        <v>49</v>
      </c>
      <c r="E9" s="12" t="s">
        <v>20</v>
      </c>
      <c r="F9" s="12">
        <v>6</v>
      </c>
      <c r="G9" s="12">
        <v>1018</v>
      </c>
    </row>
    <row r="10" spans="1:7" ht="16.5">
      <c r="A10" s="12">
        <v>10010</v>
      </c>
      <c r="B10" s="12">
        <v>57</v>
      </c>
      <c r="C10" s="12" t="s">
        <v>19</v>
      </c>
      <c r="D10" s="12">
        <v>63</v>
      </c>
      <c r="E10" s="12" t="s">
        <v>20</v>
      </c>
      <c r="F10" s="12">
        <v>6</v>
      </c>
      <c r="G10" s="12">
        <v>1018</v>
      </c>
    </row>
    <row r="11" spans="1:7" ht="16.5">
      <c r="A11" s="12">
        <v>10011</v>
      </c>
      <c r="B11" s="12">
        <v>71</v>
      </c>
      <c r="C11" s="12" t="s">
        <v>19</v>
      </c>
      <c r="D11" s="12">
        <v>77</v>
      </c>
      <c r="E11" s="12" t="s">
        <v>20</v>
      </c>
      <c r="F11" s="12">
        <v>6</v>
      </c>
      <c r="G11" s="12">
        <v>1018</v>
      </c>
    </row>
    <row r="12" spans="1:7" ht="16.5">
      <c r="A12" s="12">
        <v>10012</v>
      </c>
      <c r="B12" s="12">
        <v>78</v>
      </c>
      <c r="C12" s="12" t="s">
        <v>19</v>
      </c>
      <c r="D12" s="12">
        <v>84</v>
      </c>
      <c r="E12" s="12" t="s">
        <v>20</v>
      </c>
      <c r="F12" s="12">
        <v>6</v>
      </c>
      <c r="G12" s="12">
        <v>1018</v>
      </c>
    </row>
    <row r="13" spans="1:7" ht="16.5">
      <c r="A13" s="12">
        <v>10013</v>
      </c>
      <c r="B13" s="12">
        <v>85</v>
      </c>
      <c r="C13" s="12" t="s">
        <v>19</v>
      </c>
      <c r="D13" s="12">
        <v>91</v>
      </c>
      <c r="E13" s="12" t="s">
        <v>20</v>
      </c>
      <c r="F13" s="12">
        <v>6</v>
      </c>
      <c r="G13" s="12">
        <v>1018</v>
      </c>
    </row>
    <row r="14" spans="1:7" ht="16.5">
      <c r="A14" s="12">
        <v>10014</v>
      </c>
      <c r="B14" s="12">
        <v>92</v>
      </c>
      <c r="C14" s="12" t="s">
        <v>19</v>
      </c>
      <c r="D14" s="12">
        <v>98</v>
      </c>
      <c r="E14" s="12" t="s">
        <v>20</v>
      </c>
      <c r="F14" s="12">
        <v>6</v>
      </c>
      <c r="G14" s="12">
        <v>1018</v>
      </c>
    </row>
    <row r="15" spans="1:7" ht="16.5">
      <c r="A15" s="12">
        <v>10015</v>
      </c>
      <c r="B15" s="12">
        <v>99</v>
      </c>
      <c r="C15" s="12" t="s">
        <v>19</v>
      </c>
      <c r="D15" s="12">
        <v>105</v>
      </c>
      <c r="E15" s="12" t="s">
        <v>20</v>
      </c>
      <c r="F15" s="12">
        <v>6</v>
      </c>
      <c r="G15" s="12">
        <v>1018</v>
      </c>
    </row>
    <row r="16" spans="1:7" ht="16.5">
      <c r="A16" s="12">
        <v>10016</v>
      </c>
      <c r="B16" s="12">
        <v>106</v>
      </c>
      <c r="C16" s="12" t="s">
        <v>19</v>
      </c>
      <c r="D16" s="12">
        <v>112</v>
      </c>
      <c r="E16" s="12" t="s">
        <v>20</v>
      </c>
      <c r="F16" s="12">
        <v>6</v>
      </c>
      <c r="G16" s="12">
        <v>1018</v>
      </c>
    </row>
    <row r="17" spans="1:7" ht="16.5">
      <c r="A17" s="12">
        <v>10017</v>
      </c>
      <c r="B17" s="12">
        <v>113</v>
      </c>
      <c r="C17" s="12" t="s">
        <v>19</v>
      </c>
      <c r="D17" s="12">
        <v>119</v>
      </c>
      <c r="E17" s="12" t="s">
        <v>20</v>
      </c>
      <c r="F17" s="12">
        <v>6</v>
      </c>
      <c r="G17" s="12">
        <v>1018</v>
      </c>
    </row>
    <row r="18" spans="1:7" ht="16.5">
      <c r="A18" s="62">
        <v>10018</v>
      </c>
      <c r="B18" s="62">
        <v>120</v>
      </c>
      <c r="C18" s="62" t="s">
        <v>19</v>
      </c>
      <c r="D18" s="62">
        <v>126</v>
      </c>
      <c r="E18" s="62" t="s">
        <v>20</v>
      </c>
      <c r="F18" s="62">
        <v>6</v>
      </c>
      <c r="G18" s="62">
        <v>1018</v>
      </c>
    </row>
    <row r="19" spans="1:7" ht="16.5">
      <c r="A19" s="62">
        <v>10019</v>
      </c>
      <c r="B19" s="62">
        <v>127</v>
      </c>
      <c r="C19" s="62" t="s">
        <v>19</v>
      </c>
      <c r="D19" s="62">
        <v>133</v>
      </c>
      <c r="E19" s="62" t="s">
        <v>20</v>
      </c>
      <c r="F19" s="62">
        <v>6</v>
      </c>
      <c r="G19" s="62">
        <v>1018</v>
      </c>
    </row>
    <row r="20" spans="1:7" ht="16.5">
      <c r="A20" s="62">
        <v>10020</v>
      </c>
      <c r="B20" s="62">
        <v>134</v>
      </c>
      <c r="C20" s="62" t="s">
        <v>19</v>
      </c>
      <c r="D20" s="62">
        <v>140</v>
      </c>
      <c r="E20" s="62" t="s">
        <v>20</v>
      </c>
      <c r="F20" s="62">
        <v>6</v>
      </c>
      <c r="G20" s="62">
        <v>1018</v>
      </c>
    </row>
    <row r="21" spans="1:7" ht="16.5">
      <c r="A21" s="62">
        <v>10021</v>
      </c>
      <c r="B21" s="62">
        <v>141</v>
      </c>
      <c r="C21" s="62" t="s">
        <v>19</v>
      </c>
      <c r="D21" s="62">
        <v>147</v>
      </c>
      <c r="E21" s="62" t="s">
        <v>20</v>
      </c>
      <c r="F21" s="62">
        <v>6</v>
      </c>
      <c r="G21" s="62">
        <v>1018</v>
      </c>
    </row>
    <row r="22" spans="1:7" ht="16.5">
      <c r="A22" s="62">
        <v>10022</v>
      </c>
      <c r="B22" s="62">
        <v>148</v>
      </c>
      <c r="C22" s="62" t="s">
        <v>19</v>
      </c>
      <c r="D22" s="62">
        <v>154</v>
      </c>
      <c r="E22" s="62" t="s">
        <v>20</v>
      </c>
      <c r="F22" s="62">
        <v>6</v>
      </c>
      <c r="G22" s="62">
        <v>1018</v>
      </c>
    </row>
    <row r="23" spans="1:7" ht="16.5">
      <c r="A23" s="62">
        <v>10023</v>
      </c>
      <c r="B23" s="62">
        <v>155</v>
      </c>
      <c r="C23" s="62" t="s">
        <v>19</v>
      </c>
      <c r="D23" s="62">
        <v>161</v>
      </c>
      <c r="E23" s="62" t="s">
        <v>20</v>
      </c>
      <c r="F23" s="62">
        <v>6</v>
      </c>
      <c r="G23" s="62">
        <v>1018</v>
      </c>
    </row>
    <row r="24" spans="1:7" ht="16.5">
      <c r="A24" s="62">
        <v>10024</v>
      </c>
      <c r="B24" s="62">
        <v>162</v>
      </c>
      <c r="C24" s="62" t="s">
        <v>19</v>
      </c>
      <c r="D24" s="62">
        <v>168</v>
      </c>
      <c r="E24" s="62" t="s">
        <v>20</v>
      </c>
      <c r="F24" s="62">
        <v>6</v>
      </c>
      <c r="G24" s="62">
        <v>1018</v>
      </c>
    </row>
    <row r="25" spans="1:7" ht="16.5">
      <c r="A25" s="62">
        <v>10025</v>
      </c>
      <c r="B25" s="62">
        <v>169</v>
      </c>
      <c r="C25" s="62" t="s">
        <v>19</v>
      </c>
      <c r="D25" s="62">
        <v>175</v>
      </c>
      <c r="E25" s="62" t="s">
        <v>20</v>
      </c>
      <c r="F25" s="62">
        <v>6</v>
      </c>
      <c r="G25" s="62">
        <v>1018</v>
      </c>
    </row>
    <row r="26" spans="1:7" ht="16.5">
      <c r="A26" s="62">
        <v>10026</v>
      </c>
      <c r="B26" s="62">
        <v>176</v>
      </c>
      <c r="C26" s="62" t="s">
        <v>19</v>
      </c>
      <c r="D26" s="62">
        <v>182</v>
      </c>
      <c r="E26" s="62" t="s">
        <v>20</v>
      </c>
      <c r="F26" s="62">
        <v>6</v>
      </c>
      <c r="G26" s="62">
        <v>1018</v>
      </c>
    </row>
    <row r="27" spans="1:7" ht="16.5">
      <c r="A27" s="62">
        <v>10027</v>
      </c>
      <c r="B27" s="62">
        <v>183</v>
      </c>
      <c r="C27" s="62" t="s">
        <v>19</v>
      </c>
      <c r="D27" s="62">
        <v>189</v>
      </c>
      <c r="E27" s="62" t="s">
        <v>20</v>
      </c>
      <c r="F27" s="62">
        <v>6</v>
      </c>
      <c r="G27" s="62">
        <v>1018</v>
      </c>
    </row>
    <row r="28" spans="1:7" ht="16.5">
      <c r="A28" s="62">
        <v>10028</v>
      </c>
      <c r="B28" s="62">
        <v>190</v>
      </c>
      <c r="C28" s="62" t="s">
        <v>19</v>
      </c>
      <c r="D28" s="62">
        <v>196</v>
      </c>
      <c r="E28" s="62" t="s">
        <v>20</v>
      </c>
      <c r="F28" s="62">
        <v>6</v>
      </c>
      <c r="G28" s="62">
        <v>1018</v>
      </c>
    </row>
    <row r="29" spans="1:7" ht="16.5">
      <c r="A29" s="62">
        <v>10029</v>
      </c>
      <c r="B29" s="62">
        <v>197</v>
      </c>
      <c r="C29" s="62" t="s">
        <v>19</v>
      </c>
      <c r="D29" s="62">
        <v>203</v>
      </c>
      <c r="E29" s="62" t="s">
        <v>20</v>
      </c>
      <c r="F29" s="62">
        <v>6</v>
      </c>
      <c r="G29" s="62">
        <v>1018</v>
      </c>
    </row>
    <row r="30" spans="1:7" ht="16.5">
      <c r="A30" s="62">
        <v>10030</v>
      </c>
      <c r="B30" s="62">
        <v>204</v>
      </c>
      <c r="C30" s="62" t="s">
        <v>19</v>
      </c>
      <c r="D30" s="62">
        <v>210</v>
      </c>
      <c r="E30" s="62" t="s">
        <v>20</v>
      </c>
      <c r="F30" s="62">
        <v>6</v>
      </c>
      <c r="G30" s="62">
        <v>1018</v>
      </c>
    </row>
    <row r="31" spans="1:7" ht="16.5">
      <c r="A31" s="62">
        <v>10031</v>
      </c>
      <c r="B31" s="62">
        <v>211</v>
      </c>
      <c r="C31" s="62" t="s">
        <v>19</v>
      </c>
      <c r="D31" s="62">
        <v>217</v>
      </c>
      <c r="E31" s="62" t="s">
        <v>20</v>
      </c>
      <c r="F31" s="62">
        <v>6</v>
      </c>
      <c r="G31" s="62">
        <v>1018</v>
      </c>
    </row>
    <row r="32" spans="1:7" ht="16.5">
      <c r="A32" s="62">
        <v>10032</v>
      </c>
      <c r="B32" s="62">
        <v>218</v>
      </c>
      <c r="C32" s="62" t="s">
        <v>19</v>
      </c>
      <c r="D32" s="62">
        <v>224</v>
      </c>
      <c r="E32" s="62" t="s">
        <v>20</v>
      </c>
      <c r="F32" s="62">
        <v>6</v>
      </c>
      <c r="G32" s="62">
        <v>1018</v>
      </c>
    </row>
    <row r="33" spans="1:7" ht="16.5">
      <c r="A33" s="62">
        <v>10033</v>
      </c>
      <c r="B33" s="62">
        <v>225</v>
      </c>
      <c r="C33" s="62" t="s">
        <v>19</v>
      </c>
      <c r="D33" s="62">
        <v>231</v>
      </c>
      <c r="E33" s="62" t="s">
        <v>20</v>
      </c>
      <c r="F33" s="62">
        <v>6</v>
      </c>
      <c r="G33" s="62">
        <v>1018</v>
      </c>
    </row>
    <row r="34" spans="1:7" ht="16.5">
      <c r="A34" s="62">
        <v>10034</v>
      </c>
      <c r="B34" s="62">
        <v>232</v>
      </c>
      <c r="C34" s="62" t="s">
        <v>19</v>
      </c>
      <c r="D34" s="62">
        <v>238</v>
      </c>
      <c r="E34" s="62" t="s">
        <v>20</v>
      </c>
      <c r="F34" s="62">
        <v>6</v>
      </c>
      <c r="G34" s="62">
        <v>1018</v>
      </c>
    </row>
    <row r="35" spans="1:7" ht="16.5">
      <c r="A35" s="62">
        <v>10035</v>
      </c>
      <c r="B35" s="62">
        <v>239</v>
      </c>
      <c r="C35" s="62" t="s">
        <v>19</v>
      </c>
      <c r="D35" s="62">
        <v>245</v>
      </c>
      <c r="E35" s="62" t="s">
        <v>20</v>
      </c>
      <c r="F35" s="62">
        <v>6</v>
      </c>
      <c r="G35" s="62">
        <v>1018</v>
      </c>
    </row>
    <row r="36" spans="1:7" ht="16.5">
      <c r="A36" s="62">
        <v>10036</v>
      </c>
      <c r="B36" s="63">
        <v>246</v>
      </c>
      <c r="C36" s="62" t="s">
        <v>19</v>
      </c>
      <c r="D36" s="63">
        <v>252</v>
      </c>
      <c r="E36" s="62" t="s">
        <v>20</v>
      </c>
      <c r="F36" s="62">
        <v>6</v>
      </c>
      <c r="G36" s="62">
        <v>1018</v>
      </c>
    </row>
    <row r="37" spans="1:7" ht="16.5">
      <c r="A37" s="37">
        <v>10037</v>
      </c>
      <c r="B37" s="37">
        <v>253</v>
      </c>
      <c r="C37" s="37" t="s">
        <v>19</v>
      </c>
      <c r="D37" s="37">
        <v>259</v>
      </c>
      <c r="E37" s="37" t="s">
        <v>20</v>
      </c>
      <c r="F37" s="37">
        <v>6</v>
      </c>
      <c r="G37" s="37">
        <v>1018</v>
      </c>
    </row>
    <row r="38" spans="1:7" ht="16.5">
      <c r="A38" s="37">
        <v>10038</v>
      </c>
      <c r="B38" s="37">
        <v>260</v>
      </c>
      <c r="C38" s="37" t="s">
        <v>19</v>
      </c>
      <c r="D38" s="37">
        <v>266</v>
      </c>
      <c r="E38" s="37" t="s">
        <v>20</v>
      </c>
      <c r="F38" s="37">
        <v>6</v>
      </c>
      <c r="G38" s="37">
        <v>1018</v>
      </c>
    </row>
    <row r="39" spans="1:7" ht="16.5">
      <c r="A39" s="37">
        <v>10039</v>
      </c>
      <c r="B39" s="37">
        <v>267</v>
      </c>
      <c r="C39" s="37" t="s">
        <v>19</v>
      </c>
      <c r="D39" s="37">
        <v>273</v>
      </c>
      <c r="E39" s="37" t="s">
        <v>20</v>
      </c>
      <c r="F39" s="37">
        <v>6</v>
      </c>
      <c r="G39" s="37">
        <v>1018</v>
      </c>
    </row>
    <row r="40" spans="1:7" ht="16.5">
      <c r="A40" s="37">
        <v>10040</v>
      </c>
      <c r="B40" s="37">
        <v>274</v>
      </c>
      <c r="C40" s="37" t="s">
        <v>19</v>
      </c>
      <c r="D40" s="37">
        <v>280</v>
      </c>
      <c r="E40" s="37" t="s">
        <v>20</v>
      </c>
      <c r="F40" s="37">
        <v>6</v>
      </c>
      <c r="G40" s="37">
        <v>1018</v>
      </c>
    </row>
    <row r="41" spans="1:7" ht="16.5">
      <c r="A41" s="37">
        <v>10041</v>
      </c>
      <c r="B41" s="37">
        <f t="shared" ref="B41:B70" si="0">B40+7</f>
        <v>281</v>
      </c>
      <c r="C41" s="37" t="s">
        <v>19</v>
      </c>
      <c r="D41" s="37">
        <f t="shared" ref="D41:D70" si="1">D40+7</f>
        <v>287</v>
      </c>
      <c r="E41" s="37" t="s">
        <v>20</v>
      </c>
      <c r="F41" s="37">
        <v>6</v>
      </c>
      <c r="G41" s="37">
        <v>1018</v>
      </c>
    </row>
    <row r="42" spans="1:7" ht="16.5">
      <c r="A42" s="37">
        <v>10042</v>
      </c>
      <c r="B42" s="37">
        <f t="shared" si="0"/>
        <v>288</v>
      </c>
      <c r="C42" s="37" t="s">
        <v>19</v>
      </c>
      <c r="D42" s="37">
        <f t="shared" si="1"/>
        <v>294</v>
      </c>
      <c r="E42" s="37" t="s">
        <v>20</v>
      </c>
      <c r="F42" s="37">
        <v>6</v>
      </c>
      <c r="G42" s="37">
        <v>1018</v>
      </c>
    </row>
    <row r="43" spans="1:7" ht="16.5">
      <c r="A43" s="37">
        <v>10043</v>
      </c>
      <c r="B43" s="37">
        <f t="shared" si="0"/>
        <v>295</v>
      </c>
      <c r="C43" s="37" t="s">
        <v>19</v>
      </c>
      <c r="D43" s="37">
        <f t="shared" si="1"/>
        <v>301</v>
      </c>
      <c r="E43" s="37" t="s">
        <v>20</v>
      </c>
      <c r="F43" s="37">
        <v>6</v>
      </c>
      <c r="G43" s="37">
        <v>1018</v>
      </c>
    </row>
    <row r="44" spans="1:7" ht="16.5">
      <c r="A44" s="37">
        <v>10044</v>
      </c>
      <c r="B44" s="37">
        <f t="shared" si="0"/>
        <v>302</v>
      </c>
      <c r="C44" s="37" t="s">
        <v>19</v>
      </c>
      <c r="D44" s="37">
        <f t="shared" si="1"/>
        <v>308</v>
      </c>
      <c r="E44" s="37" t="s">
        <v>20</v>
      </c>
      <c r="F44" s="37">
        <v>6</v>
      </c>
      <c r="G44" s="37">
        <v>1018</v>
      </c>
    </row>
    <row r="45" spans="1:7" ht="16.5">
      <c r="A45" s="37">
        <v>10045</v>
      </c>
      <c r="B45" s="37">
        <f t="shared" si="0"/>
        <v>309</v>
      </c>
      <c r="C45" s="37" t="s">
        <v>19</v>
      </c>
      <c r="D45" s="37">
        <f t="shared" si="1"/>
        <v>315</v>
      </c>
      <c r="E45" s="37" t="s">
        <v>20</v>
      </c>
      <c r="F45" s="37">
        <v>6</v>
      </c>
      <c r="G45" s="37">
        <v>1018</v>
      </c>
    </row>
    <row r="46" spans="1:7" ht="16.5">
      <c r="A46" s="37">
        <v>10046</v>
      </c>
      <c r="B46" s="37">
        <f t="shared" si="0"/>
        <v>316</v>
      </c>
      <c r="C46" s="37" t="s">
        <v>19</v>
      </c>
      <c r="D46" s="37">
        <f t="shared" si="1"/>
        <v>322</v>
      </c>
      <c r="E46" s="37" t="s">
        <v>20</v>
      </c>
      <c r="F46" s="37">
        <v>6</v>
      </c>
      <c r="G46" s="37">
        <v>1018</v>
      </c>
    </row>
    <row r="47" spans="1:7" ht="16.5">
      <c r="A47" s="37">
        <v>10047</v>
      </c>
      <c r="B47" s="37">
        <f t="shared" si="0"/>
        <v>323</v>
      </c>
      <c r="C47" s="37" t="s">
        <v>19</v>
      </c>
      <c r="D47" s="37">
        <f t="shared" si="1"/>
        <v>329</v>
      </c>
      <c r="E47" s="37" t="s">
        <v>20</v>
      </c>
      <c r="F47" s="37">
        <v>6</v>
      </c>
      <c r="G47" s="37">
        <v>1018</v>
      </c>
    </row>
    <row r="48" spans="1:7" ht="16.5">
      <c r="A48" s="37">
        <v>10048</v>
      </c>
      <c r="B48" s="37">
        <f t="shared" si="0"/>
        <v>330</v>
      </c>
      <c r="C48" s="37" t="s">
        <v>19</v>
      </c>
      <c r="D48" s="37">
        <f t="shared" si="1"/>
        <v>336</v>
      </c>
      <c r="E48" s="37" t="s">
        <v>20</v>
      </c>
      <c r="F48" s="37">
        <v>6</v>
      </c>
      <c r="G48" s="37">
        <v>1018</v>
      </c>
    </row>
    <row r="49" spans="1:7" ht="16.5">
      <c r="A49" s="37">
        <v>10049</v>
      </c>
      <c r="B49" s="37">
        <f t="shared" si="0"/>
        <v>337</v>
      </c>
      <c r="C49" s="37" t="s">
        <v>19</v>
      </c>
      <c r="D49" s="37">
        <f t="shared" si="1"/>
        <v>343</v>
      </c>
      <c r="E49" s="37" t="s">
        <v>20</v>
      </c>
      <c r="F49" s="37">
        <v>6</v>
      </c>
      <c r="G49" s="37">
        <v>1018</v>
      </c>
    </row>
    <row r="50" spans="1:7" ht="16.5">
      <c r="A50" s="37">
        <v>10050</v>
      </c>
      <c r="B50" s="37">
        <f t="shared" si="0"/>
        <v>344</v>
      </c>
      <c r="C50" s="37" t="s">
        <v>19</v>
      </c>
      <c r="D50" s="37">
        <f t="shared" si="1"/>
        <v>350</v>
      </c>
      <c r="E50" s="37" t="s">
        <v>20</v>
      </c>
      <c r="F50" s="37">
        <v>6</v>
      </c>
      <c r="G50" s="37">
        <v>1018</v>
      </c>
    </row>
    <row r="51" spans="1:7" ht="16.5">
      <c r="A51" s="37">
        <v>10051</v>
      </c>
      <c r="B51" s="37">
        <f t="shared" si="0"/>
        <v>351</v>
      </c>
      <c r="C51" s="37" t="s">
        <v>19</v>
      </c>
      <c r="D51" s="37">
        <f t="shared" si="1"/>
        <v>357</v>
      </c>
      <c r="E51" s="37" t="s">
        <v>20</v>
      </c>
      <c r="F51" s="37">
        <v>6</v>
      </c>
      <c r="G51" s="37">
        <v>1018</v>
      </c>
    </row>
    <row r="52" spans="1:7" ht="16.5">
      <c r="A52" s="37">
        <v>10052</v>
      </c>
      <c r="B52" s="37">
        <f t="shared" si="0"/>
        <v>358</v>
      </c>
      <c r="C52" s="37" t="s">
        <v>19</v>
      </c>
      <c r="D52" s="37">
        <f t="shared" si="1"/>
        <v>364</v>
      </c>
      <c r="E52" s="37" t="s">
        <v>20</v>
      </c>
      <c r="F52" s="37">
        <v>6</v>
      </c>
      <c r="G52" s="37">
        <v>1018</v>
      </c>
    </row>
    <row r="53" spans="1:7" ht="16.5">
      <c r="A53" s="37">
        <v>10053</v>
      </c>
      <c r="B53" s="37">
        <f t="shared" si="0"/>
        <v>365</v>
      </c>
      <c r="C53" s="37" t="s">
        <v>19</v>
      </c>
      <c r="D53" s="37">
        <f t="shared" si="1"/>
        <v>371</v>
      </c>
      <c r="E53" s="37" t="s">
        <v>20</v>
      </c>
      <c r="F53" s="37">
        <v>6</v>
      </c>
      <c r="G53" s="37">
        <v>1018</v>
      </c>
    </row>
    <row r="54" spans="1:7" ht="16.5">
      <c r="A54" s="37">
        <v>10054</v>
      </c>
      <c r="B54" s="37">
        <f t="shared" si="0"/>
        <v>372</v>
      </c>
      <c r="C54" s="37" t="s">
        <v>19</v>
      </c>
      <c r="D54" s="37">
        <f t="shared" si="1"/>
        <v>378</v>
      </c>
      <c r="E54" s="37" t="s">
        <v>20</v>
      </c>
      <c r="F54" s="37">
        <v>6</v>
      </c>
      <c r="G54" s="37">
        <v>1018</v>
      </c>
    </row>
    <row r="55" spans="1:7" ht="16.5">
      <c r="A55" s="37">
        <v>10055</v>
      </c>
      <c r="B55" s="37">
        <f t="shared" si="0"/>
        <v>379</v>
      </c>
      <c r="C55" s="37" t="s">
        <v>19</v>
      </c>
      <c r="D55" s="37">
        <f t="shared" si="1"/>
        <v>385</v>
      </c>
      <c r="E55" s="37" t="s">
        <v>20</v>
      </c>
      <c r="F55" s="37">
        <v>6</v>
      </c>
      <c r="G55" s="37">
        <v>1018</v>
      </c>
    </row>
    <row r="56" spans="1:7" ht="16.5">
      <c r="A56" s="37">
        <v>10056</v>
      </c>
      <c r="B56" s="37">
        <f t="shared" si="0"/>
        <v>386</v>
      </c>
      <c r="C56" s="37" t="s">
        <v>19</v>
      </c>
      <c r="D56" s="37">
        <f t="shared" si="1"/>
        <v>392</v>
      </c>
      <c r="E56" s="37" t="s">
        <v>20</v>
      </c>
      <c r="F56" s="37">
        <v>6</v>
      </c>
      <c r="G56" s="37">
        <v>1018</v>
      </c>
    </row>
    <row r="57" spans="1:7" ht="16.5">
      <c r="A57" s="37">
        <v>10057</v>
      </c>
      <c r="B57" s="37">
        <f t="shared" si="0"/>
        <v>393</v>
      </c>
      <c r="C57" s="37" t="s">
        <v>19</v>
      </c>
      <c r="D57" s="37">
        <f t="shared" si="1"/>
        <v>399</v>
      </c>
      <c r="E57" s="37" t="s">
        <v>20</v>
      </c>
      <c r="F57" s="37">
        <v>6</v>
      </c>
      <c r="G57" s="37">
        <v>1018</v>
      </c>
    </row>
    <row r="58" spans="1:7" ht="16.5">
      <c r="A58" s="37">
        <v>10058</v>
      </c>
      <c r="B58" s="37">
        <f t="shared" si="0"/>
        <v>400</v>
      </c>
      <c r="C58" s="37" t="s">
        <v>19</v>
      </c>
      <c r="D58" s="37">
        <f t="shared" si="1"/>
        <v>406</v>
      </c>
      <c r="E58" s="37" t="s">
        <v>20</v>
      </c>
      <c r="F58" s="37">
        <v>6</v>
      </c>
      <c r="G58" s="37">
        <v>1018</v>
      </c>
    </row>
    <row r="59" spans="1:7" ht="16.5">
      <c r="A59" s="37">
        <v>10059</v>
      </c>
      <c r="B59" s="37">
        <f t="shared" si="0"/>
        <v>407</v>
      </c>
      <c r="C59" s="37" t="s">
        <v>19</v>
      </c>
      <c r="D59" s="37">
        <f t="shared" si="1"/>
        <v>413</v>
      </c>
      <c r="E59" s="37" t="s">
        <v>20</v>
      </c>
      <c r="F59" s="37">
        <v>6</v>
      </c>
      <c r="G59" s="37">
        <v>1018</v>
      </c>
    </row>
    <row r="60" spans="1:7" ht="16.5">
      <c r="A60" s="37">
        <v>10060</v>
      </c>
      <c r="B60" s="37">
        <f t="shared" si="0"/>
        <v>414</v>
      </c>
      <c r="C60" s="37" t="s">
        <v>19</v>
      </c>
      <c r="D60" s="37">
        <f t="shared" si="1"/>
        <v>420</v>
      </c>
      <c r="E60" s="37" t="s">
        <v>20</v>
      </c>
      <c r="F60" s="37">
        <v>6</v>
      </c>
      <c r="G60" s="37">
        <v>1018</v>
      </c>
    </row>
    <row r="61" spans="1:7" ht="16.5">
      <c r="A61" s="37">
        <v>10061</v>
      </c>
      <c r="B61" s="37">
        <f t="shared" si="0"/>
        <v>421</v>
      </c>
      <c r="C61" s="37" t="s">
        <v>19</v>
      </c>
      <c r="D61" s="37">
        <f t="shared" si="1"/>
        <v>427</v>
      </c>
      <c r="E61" s="37" t="s">
        <v>20</v>
      </c>
      <c r="F61" s="37">
        <v>6</v>
      </c>
      <c r="G61" s="37">
        <v>1018</v>
      </c>
    </row>
    <row r="62" spans="1:7" ht="16.5">
      <c r="A62" s="37">
        <v>10062</v>
      </c>
      <c r="B62" s="37">
        <f t="shared" si="0"/>
        <v>428</v>
      </c>
      <c r="C62" s="37" t="s">
        <v>19</v>
      </c>
      <c r="D62" s="37">
        <f t="shared" si="1"/>
        <v>434</v>
      </c>
      <c r="E62" s="37" t="s">
        <v>20</v>
      </c>
      <c r="F62" s="37">
        <v>6</v>
      </c>
      <c r="G62" s="37">
        <v>1018</v>
      </c>
    </row>
    <row r="63" spans="1:7" ht="16.5">
      <c r="A63" s="37">
        <v>10063</v>
      </c>
      <c r="B63" s="37">
        <f t="shared" si="0"/>
        <v>435</v>
      </c>
      <c r="C63" s="37" t="s">
        <v>19</v>
      </c>
      <c r="D63" s="37">
        <f t="shared" si="1"/>
        <v>441</v>
      </c>
      <c r="E63" s="37" t="s">
        <v>20</v>
      </c>
      <c r="F63" s="37">
        <v>6</v>
      </c>
      <c r="G63" s="37">
        <v>1018</v>
      </c>
    </row>
    <row r="64" spans="1:7" ht="16.5">
      <c r="A64" s="37">
        <v>10064</v>
      </c>
      <c r="B64" s="37">
        <f t="shared" si="0"/>
        <v>442</v>
      </c>
      <c r="C64" s="37" t="s">
        <v>19</v>
      </c>
      <c r="D64" s="37">
        <f t="shared" si="1"/>
        <v>448</v>
      </c>
      <c r="E64" s="37" t="s">
        <v>20</v>
      </c>
      <c r="F64" s="37">
        <v>6</v>
      </c>
      <c r="G64" s="37">
        <v>1018</v>
      </c>
    </row>
    <row r="65" spans="1:7" ht="16.5">
      <c r="A65" s="37">
        <v>10065</v>
      </c>
      <c r="B65" s="37">
        <f t="shared" si="0"/>
        <v>449</v>
      </c>
      <c r="C65" s="37" t="s">
        <v>19</v>
      </c>
      <c r="D65" s="37">
        <f t="shared" si="1"/>
        <v>455</v>
      </c>
      <c r="E65" s="37" t="s">
        <v>20</v>
      </c>
      <c r="F65" s="37">
        <v>6</v>
      </c>
      <c r="G65" s="37">
        <v>1018</v>
      </c>
    </row>
    <row r="66" spans="1:7" ht="16.5">
      <c r="A66" s="37">
        <v>10066</v>
      </c>
      <c r="B66" s="37">
        <f t="shared" si="0"/>
        <v>456</v>
      </c>
      <c r="C66" s="37" t="s">
        <v>19</v>
      </c>
      <c r="D66" s="37">
        <f t="shared" si="1"/>
        <v>462</v>
      </c>
      <c r="E66" s="37" t="s">
        <v>20</v>
      </c>
      <c r="F66" s="37">
        <v>6</v>
      </c>
      <c r="G66" s="37">
        <v>1018</v>
      </c>
    </row>
    <row r="67" spans="1:7" ht="16.5">
      <c r="A67" s="37">
        <v>10067</v>
      </c>
      <c r="B67" s="37">
        <f t="shared" si="0"/>
        <v>463</v>
      </c>
      <c r="C67" s="37" t="s">
        <v>19</v>
      </c>
      <c r="D67" s="37">
        <f t="shared" si="1"/>
        <v>469</v>
      </c>
      <c r="E67" s="37" t="s">
        <v>20</v>
      </c>
      <c r="F67" s="37">
        <v>6</v>
      </c>
      <c r="G67" s="37">
        <v>1018</v>
      </c>
    </row>
    <row r="68" spans="1:7" ht="16.5">
      <c r="A68" s="37">
        <v>10068</v>
      </c>
      <c r="B68" s="37">
        <f t="shared" si="0"/>
        <v>470</v>
      </c>
      <c r="C68" s="37" t="s">
        <v>19</v>
      </c>
      <c r="D68" s="37">
        <f t="shared" si="1"/>
        <v>476</v>
      </c>
      <c r="E68" s="37" t="s">
        <v>20</v>
      </c>
      <c r="F68" s="37">
        <v>6</v>
      </c>
      <c r="G68" s="37">
        <v>1018</v>
      </c>
    </row>
    <row r="69" spans="1:7" ht="16.5">
      <c r="A69" s="37">
        <v>10069</v>
      </c>
      <c r="B69" s="37">
        <f t="shared" si="0"/>
        <v>477</v>
      </c>
      <c r="C69" s="37" t="s">
        <v>19</v>
      </c>
      <c r="D69" s="37">
        <f t="shared" si="1"/>
        <v>483</v>
      </c>
      <c r="E69" s="37" t="s">
        <v>20</v>
      </c>
      <c r="F69" s="37">
        <v>6</v>
      </c>
      <c r="G69" s="37">
        <v>1018</v>
      </c>
    </row>
    <row r="70" spans="1:7" ht="16.5">
      <c r="A70" s="37">
        <v>10070</v>
      </c>
      <c r="B70" s="37">
        <f t="shared" si="0"/>
        <v>484</v>
      </c>
      <c r="C70" s="37" t="s">
        <v>19</v>
      </c>
      <c r="D70" s="37">
        <f t="shared" si="1"/>
        <v>490</v>
      </c>
      <c r="E70" s="37" t="s">
        <v>20</v>
      </c>
      <c r="F70" s="37">
        <v>6</v>
      </c>
      <c r="G70" s="37">
        <v>1018</v>
      </c>
    </row>
    <row r="71" spans="1:7" ht="16.5">
      <c r="A71" s="37">
        <v>10071</v>
      </c>
      <c r="B71" s="37">
        <f t="shared" ref="B71:B82" si="2">B70+7</f>
        <v>491</v>
      </c>
      <c r="C71" s="37" t="s">
        <v>19</v>
      </c>
      <c r="D71" s="37">
        <f t="shared" ref="D71:D82" si="3">D70+7</f>
        <v>497</v>
      </c>
      <c r="E71" s="37" t="s">
        <v>20</v>
      </c>
      <c r="F71" s="37">
        <v>6</v>
      </c>
      <c r="G71" s="37">
        <v>1018</v>
      </c>
    </row>
    <row r="72" spans="1:7" ht="16.5">
      <c r="A72" s="37">
        <v>10072</v>
      </c>
      <c r="B72" s="37">
        <f t="shared" si="2"/>
        <v>498</v>
      </c>
      <c r="C72" s="37" t="s">
        <v>19</v>
      </c>
      <c r="D72" s="37">
        <f t="shared" si="3"/>
        <v>504</v>
      </c>
      <c r="E72" s="37" t="s">
        <v>20</v>
      </c>
      <c r="F72" s="37">
        <v>6</v>
      </c>
      <c r="G72" s="37">
        <v>1018</v>
      </c>
    </row>
    <row r="73" spans="1:7" ht="16.5">
      <c r="A73" s="37">
        <v>10073</v>
      </c>
      <c r="B73" s="37">
        <f t="shared" si="2"/>
        <v>505</v>
      </c>
      <c r="C73" s="37" t="s">
        <v>19</v>
      </c>
      <c r="D73" s="37">
        <f t="shared" si="3"/>
        <v>511</v>
      </c>
      <c r="E73" s="37" t="s">
        <v>20</v>
      </c>
      <c r="F73" s="37">
        <v>6</v>
      </c>
      <c r="G73" s="37">
        <v>1018</v>
      </c>
    </row>
    <row r="74" spans="1:7" ht="16.5">
      <c r="A74" s="37">
        <v>10074</v>
      </c>
      <c r="B74" s="37">
        <f t="shared" si="2"/>
        <v>512</v>
      </c>
      <c r="C74" s="37" t="s">
        <v>19</v>
      </c>
      <c r="D74" s="37">
        <f t="shared" si="3"/>
        <v>518</v>
      </c>
      <c r="E74" s="37" t="s">
        <v>20</v>
      </c>
      <c r="F74" s="37">
        <v>6</v>
      </c>
      <c r="G74" s="37">
        <v>1018</v>
      </c>
    </row>
    <row r="75" spans="1:7" ht="16.5">
      <c r="A75" s="37">
        <v>10075</v>
      </c>
      <c r="B75" s="37">
        <f t="shared" si="2"/>
        <v>519</v>
      </c>
      <c r="C75" s="37" t="s">
        <v>19</v>
      </c>
      <c r="D75" s="37">
        <f t="shared" si="3"/>
        <v>525</v>
      </c>
      <c r="E75" s="37" t="s">
        <v>20</v>
      </c>
      <c r="F75" s="37">
        <v>6</v>
      </c>
      <c r="G75" s="37">
        <v>1018</v>
      </c>
    </row>
    <row r="76" spans="1:7" ht="16.5">
      <c r="A76" s="37">
        <v>10076</v>
      </c>
      <c r="B76" s="37">
        <f t="shared" si="2"/>
        <v>526</v>
      </c>
      <c r="C76" s="37" t="s">
        <v>19</v>
      </c>
      <c r="D76" s="37">
        <f t="shared" si="3"/>
        <v>532</v>
      </c>
      <c r="E76" s="37" t="s">
        <v>20</v>
      </c>
      <c r="F76" s="37">
        <v>6</v>
      </c>
      <c r="G76" s="37">
        <v>1018</v>
      </c>
    </row>
    <row r="77" spans="1:7" ht="16.5">
      <c r="A77" s="37">
        <v>10077</v>
      </c>
      <c r="B77" s="37">
        <f t="shared" si="2"/>
        <v>533</v>
      </c>
      <c r="C77" s="37" t="s">
        <v>19</v>
      </c>
      <c r="D77" s="37">
        <f t="shared" si="3"/>
        <v>539</v>
      </c>
      <c r="E77" s="37" t="s">
        <v>20</v>
      </c>
      <c r="F77" s="37">
        <v>6</v>
      </c>
      <c r="G77" s="37">
        <v>1018</v>
      </c>
    </row>
    <row r="78" spans="1:7" ht="16.5">
      <c r="A78" s="37">
        <v>10078</v>
      </c>
      <c r="B78" s="37">
        <f t="shared" si="2"/>
        <v>540</v>
      </c>
      <c r="C78" s="37" t="s">
        <v>19</v>
      </c>
      <c r="D78" s="37">
        <f t="shared" si="3"/>
        <v>546</v>
      </c>
      <c r="E78" s="37" t="s">
        <v>20</v>
      </c>
      <c r="F78" s="37">
        <v>6</v>
      </c>
      <c r="G78" s="37">
        <v>1018</v>
      </c>
    </row>
    <row r="79" spans="1:7" ht="16.5">
      <c r="A79" s="37">
        <v>10079</v>
      </c>
      <c r="B79" s="37">
        <f t="shared" si="2"/>
        <v>547</v>
      </c>
      <c r="C79" s="37" t="s">
        <v>19</v>
      </c>
      <c r="D79" s="37">
        <f t="shared" si="3"/>
        <v>553</v>
      </c>
      <c r="E79" s="37" t="s">
        <v>20</v>
      </c>
      <c r="F79" s="37">
        <v>6</v>
      </c>
      <c r="G79" s="37">
        <v>1018</v>
      </c>
    </row>
    <row r="80" spans="1:7" ht="16.5">
      <c r="A80" s="37">
        <v>10080</v>
      </c>
      <c r="B80" s="37">
        <f t="shared" si="2"/>
        <v>554</v>
      </c>
      <c r="C80" s="37" t="s">
        <v>19</v>
      </c>
      <c r="D80" s="37">
        <f t="shared" si="3"/>
        <v>560</v>
      </c>
      <c r="E80" s="37" t="s">
        <v>20</v>
      </c>
      <c r="F80" s="37">
        <v>6</v>
      </c>
      <c r="G80" s="37">
        <v>1018</v>
      </c>
    </row>
    <row r="81" spans="1:7" ht="16.5">
      <c r="A81" s="37">
        <v>10081</v>
      </c>
      <c r="B81" s="37">
        <f t="shared" si="2"/>
        <v>561</v>
      </c>
      <c r="C81" s="37" t="s">
        <v>19</v>
      </c>
      <c r="D81" s="37">
        <f t="shared" si="3"/>
        <v>567</v>
      </c>
      <c r="E81" s="37" t="s">
        <v>20</v>
      </c>
      <c r="F81" s="37">
        <v>6</v>
      </c>
      <c r="G81" s="37">
        <v>1018</v>
      </c>
    </row>
    <row r="82" spans="1:7" ht="16.5">
      <c r="A82" s="37">
        <v>10082</v>
      </c>
      <c r="B82" s="37">
        <f t="shared" si="2"/>
        <v>568</v>
      </c>
      <c r="C82" s="37" t="s">
        <v>19</v>
      </c>
      <c r="D82" s="37">
        <f t="shared" si="3"/>
        <v>574</v>
      </c>
      <c r="E82" s="37" t="s">
        <v>20</v>
      </c>
      <c r="F82" s="37">
        <v>6</v>
      </c>
      <c r="G82" s="37">
        <v>1018</v>
      </c>
    </row>
    <row r="83" spans="1:7" ht="16.5">
      <c r="A83" s="37">
        <v>10083</v>
      </c>
      <c r="B83" s="37">
        <f t="shared" ref="B83:B102" si="4">B82+7</f>
        <v>575</v>
      </c>
      <c r="C83" s="37" t="s">
        <v>19</v>
      </c>
      <c r="D83" s="37">
        <f t="shared" ref="D83:D102" si="5">D82+7</f>
        <v>581</v>
      </c>
      <c r="E83" s="37" t="s">
        <v>20</v>
      </c>
      <c r="F83" s="37">
        <v>6</v>
      </c>
      <c r="G83" s="37">
        <v>1018</v>
      </c>
    </row>
    <row r="84" spans="1:7" ht="16.5">
      <c r="A84" s="37">
        <v>10084</v>
      </c>
      <c r="B84" s="37">
        <f t="shared" si="4"/>
        <v>582</v>
      </c>
      <c r="C84" s="37" t="s">
        <v>19</v>
      </c>
      <c r="D84" s="37">
        <f t="shared" si="5"/>
        <v>588</v>
      </c>
      <c r="E84" s="37" t="s">
        <v>20</v>
      </c>
      <c r="F84" s="37">
        <v>6</v>
      </c>
      <c r="G84" s="37">
        <v>1018</v>
      </c>
    </row>
    <row r="85" spans="1:7" ht="16.5">
      <c r="A85" s="37">
        <v>10085</v>
      </c>
      <c r="B85" s="37">
        <f t="shared" si="4"/>
        <v>589</v>
      </c>
      <c r="C85" s="37" t="s">
        <v>19</v>
      </c>
      <c r="D85" s="37">
        <f t="shared" si="5"/>
        <v>595</v>
      </c>
      <c r="E85" s="37" t="s">
        <v>20</v>
      </c>
      <c r="F85" s="37">
        <v>6</v>
      </c>
      <c r="G85" s="37">
        <v>1018</v>
      </c>
    </row>
    <row r="86" spans="1:7" ht="16.5">
      <c r="A86" s="37">
        <v>10086</v>
      </c>
      <c r="B86" s="37">
        <f t="shared" si="4"/>
        <v>596</v>
      </c>
      <c r="C86" s="37" t="s">
        <v>19</v>
      </c>
      <c r="D86" s="37">
        <f t="shared" si="5"/>
        <v>602</v>
      </c>
      <c r="E86" s="37" t="s">
        <v>20</v>
      </c>
      <c r="F86" s="37">
        <v>6</v>
      </c>
      <c r="G86" s="37">
        <v>1018</v>
      </c>
    </row>
    <row r="87" spans="1:7" ht="16.5">
      <c r="A87" s="37">
        <v>10087</v>
      </c>
      <c r="B87" s="37">
        <f t="shared" si="4"/>
        <v>603</v>
      </c>
      <c r="C87" s="37" t="s">
        <v>19</v>
      </c>
      <c r="D87" s="37">
        <f t="shared" si="5"/>
        <v>609</v>
      </c>
      <c r="E87" s="37" t="s">
        <v>20</v>
      </c>
      <c r="F87" s="37">
        <v>6</v>
      </c>
      <c r="G87" s="37">
        <v>1018</v>
      </c>
    </row>
    <row r="88" spans="1:7" ht="16.5">
      <c r="A88" s="37">
        <v>10088</v>
      </c>
      <c r="B88" s="37">
        <f t="shared" si="4"/>
        <v>610</v>
      </c>
      <c r="C88" s="37" t="s">
        <v>19</v>
      </c>
      <c r="D88" s="37">
        <f t="shared" si="5"/>
        <v>616</v>
      </c>
      <c r="E88" s="37" t="s">
        <v>20</v>
      </c>
      <c r="F88" s="37">
        <v>6</v>
      </c>
      <c r="G88" s="37">
        <v>1018</v>
      </c>
    </row>
    <row r="89" spans="1:7" ht="16.5">
      <c r="A89" s="37">
        <v>10089</v>
      </c>
      <c r="B89" s="37">
        <f t="shared" si="4"/>
        <v>617</v>
      </c>
      <c r="C89" s="37" t="s">
        <v>19</v>
      </c>
      <c r="D89" s="37">
        <f t="shared" si="5"/>
        <v>623</v>
      </c>
      <c r="E89" s="37" t="s">
        <v>20</v>
      </c>
      <c r="F89" s="37">
        <v>6</v>
      </c>
      <c r="G89" s="37">
        <v>1018</v>
      </c>
    </row>
    <row r="90" spans="1:7" ht="16.5">
      <c r="A90" s="37">
        <v>10090</v>
      </c>
      <c r="B90" s="37">
        <f t="shared" si="4"/>
        <v>624</v>
      </c>
      <c r="C90" s="37" t="s">
        <v>19</v>
      </c>
      <c r="D90" s="37">
        <f t="shared" si="5"/>
        <v>630</v>
      </c>
      <c r="E90" s="37" t="s">
        <v>20</v>
      </c>
      <c r="F90" s="37">
        <v>6</v>
      </c>
      <c r="G90" s="37">
        <v>1018</v>
      </c>
    </row>
    <row r="91" spans="1:7" ht="16.5">
      <c r="A91" s="37">
        <v>10091</v>
      </c>
      <c r="B91" s="37">
        <f t="shared" si="4"/>
        <v>631</v>
      </c>
      <c r="C91" s="37" t="s">
        <v>19</v>
      </c>
      <c r="D91" s="37">
        <f t="shared" si="5"/>
        <v>637</v>
      </c>
      <c r="E91" s="37" t="s">
        <v>20</v>
      </c>
      <c r="F91" s="37">
        <v>6</v>
      </c>
      <c r="G91" s="37">
        <v>1018</v>
      </c>
    </row>
    <row r="92" spans="1:7" ht="16.5">
      <c r="A92" s="37">
        <v>10092</v>
      </c>
      <c r="B92" s="37">
        <f t="shared" si="4"/>
        <v>638</v>
      </c>
      <c r="C92" s="37" t="s">
        <v>19</v>
      </c>
      <c r="D92" s="37">
        <f t="shared" si="5"/>
        <v>644</v>
      </c>
      <c r="E92" s="37" t="s">
        <v>20</v>
      </c>
      <c r="F92" s="37">
        <v>6</v>
      </c>
      <c r="G92" s="37">
        <v>1018</v>
      </c>
    </row>
    <row r="93" spans="1:7" ht="16.5">
      <c r="A93" s="37">
        <v>10093</v>
      </c>
      <c r="B93" s="37">
        <f t="shared" si="4"/>
        <v>645</v>
      </c>
      <c r="C93" s="37" t="s">
        <v>19</v>
      </c>
      <c r="D93" s="37">
        <f t="shared" si="5"/>
        <v>651</v>
      </c>
      <c r="E93" s="37" t="s">
        <v>20</v>
      </c>
      <c r="F93" s="37">
        <v>6</v>
      </c>
      <c r="G93" s="37">
        <v>1018</v>
      </c>
    </row>
    <row r="94" spans="1:7" ht="16.5">
      <c r="A94" s="37">
        <v>10094</v>
      </c>
      <c r="B94" s="37">
        <f t="shared" si="4"/>
        <v>652</v>
      </c>
      <c r="C94" s="37" t="s">
        <v>19</v>
      </c>
      <c r="D94" s="37">
        <f t="shared" si="5"/>
        <v>658</v>
      </c>
      <c r="E94" s="37" t="s">
        <v>20</v>
      </c>
      <c r="F94" s="37">
        <v>6</v>
      </c>
      <c r="G94" s="37">
        <v>1018</v>
      </c>
    </row>
    <row r="95" spans="1:7" ht="16.5">
      <c r="A95" s="37">
        <v>10095</v>
      </c>
      <c r="B95" s="37">
        <f t="shared" si="4"/>
        <v>659</v>
      </c>
      <c r="C95" s="37" t="s">
        <v>19</v>
      </c>
      <c r="D95" s="37">
        <f t="shared" si="5"/>
        <v>665</v>
      </c>
      <c r="E95" s="37" t="s">
        <v>20</v>
      </c>
      <c r="F95" s="37">
        <v>6</v>
      </c>
      <c r="G95" s="37">
        <v>1018</v>
      </c>
    </row>
    <row r="96" spans="1:7" ht="16.5">
      <c r="A96" s="37">
        <v>10096</v>
      </c>
      <c r="B96" s="37">
        <f t="shared" si="4"/>
        <v>666</v>
      </c>
      <c r="C96" s="37" t="s">
        <v>19</v>
      </c>
      <c r="D96" s="37">
        <f t="shared" si="5"/>
        <v>672</v>
      </c>
      <c r="E96" s="37" t="s">
        <v>20</v>
      </c>
      <c r="F96" s="37">
        <v>6</v>
      </c>
      <c r="G96" s="37">
        <v>1018</v>
      </c>
    </row>
    <row r="97" spans="1:7" ht="16.5">
      <c r="A97" s="37">
        <v>10097</v>
      </c>
      <c r="B97" s="37">
        <f t="shared" si="4"/>
        <v>673</v>
      </c>
      <c r="C97" s="37" t="s">
        <v>19</v>
      </c>
      <c r="D97" s="37">
        <f t="shared" si="5"/>
        <v>679</v>
      </c>
      <c r="E97" s="37" t="s">
        <v>20</v>
      </c>
      <c r="F97" s="37">
        <v>6</v>
      </c>
      <c r="G97" s="37">
        <v>1018</v>
      </c>
    </row>
    <row r="98" spans="1:7" ht="16.5">
      <c r="A98" s="37">
        <v>10098</v>
      </c>
      <c r="B98" s="37">
        <f t="shared" si="4"/>
        <v>680</v>
      </c>
      <c r="C98" s="37" t="s">
        <v>19</v>
      </c>
      <c r="D98" s="37">
        <f t="shared" si="5"/>
        <v>686</v>
      </c>
      <c r="E98" s="37" t="s">
        <v>20</v>
      </c>
      <c r="F98" s="37">
        <v>6</v>
      </c>
      <c r="G98" s="37">
        <v>1018</v>
      </c>
    </row>
    <row r="99" spans="1:7" ht="16.5">
      <c r="A99" s="37">
        <v>10099</v>
      </c>
      <c r="B99" s="37">
        <f t="shared" si="4"/>
        <v>687</v>
      </c>
      <c r="C99" s="37" t="s">
        <v>19</v>
      </c>
      <c r="D99" s="37">
        <f t="shared" si="5"/>
        <v>693</v>
      </c>
      <c r="E99" s="37" t="s">
        <v>20</v>
      </c>
      <c r="F99" s="37">
        <v>6</v>
      </c>
      <c r="G99" s="37">
        <v>1018</v>
      </c>
    </row>
    <row r="100" spans="1:7" ht="16.5">
      <c r="A100" s="37">
        <v>10100</v>
      </c>
      <c r="B100" s="37">
        <f t="shared" si="4"/>
        <v>694</v>
      </c>
      <c r="C100" s="37" t="s">
        <v>19</v>
      </c>
      <c r="D100" s="37">
        <f t="shared" si="5"/>
        <v>700</v>
      </c>
      <c r="E100" s="37" t="s">
        <v>20</v>
      </c>
      <c r="F100" s="37">
        <v>6</v>
      </c>
      <c r="G100" s="37">
        <v>1018</v>
      </c>
    </row>
    <row r="101" spans="1:7" ht="16.5">
      <c r="A101" s="37">
        <v>10101</v>
      </c>
      <c r="B101" s="37">
        <f t="shared" si="4"/>
        <v>701</v>
      </c>
      <c r="C101" s="37" t="s">
        <v>19</v>
      </c>
      <c r="D101" s="37">
        <f t="shared" si="5"/>
        <v>707</v>
      </c>
      <c r="E101" s="37" t="s">
        <v>20</v>
      </c>
      <c r="F101" s="37">
        <v>6</v>
      </c>
      <c r="G101" s="37">
        <v>1018</v>
      </c>
    </row>
    <row r="102" spans="1:7" ht="16.5">
      <c r="A102" s="37">
        <v>10102</v>
      </c>
      <c r="B102" s="37">
        <f t="shared" si="4"/>
        <v>708</v>
      </c>
      <c r="C102" s="37" t="s">
        <v>19</v>
      </c>
      <c r="D102" s="37">
        <f t="shared" si="5"/>
        <v>714</v>
      </c>
      <c r="E102" s="37" t="s">
        <v>20</v>
      </c>
      <c r="F102" s="37">
        <v>6</v>
      </c>
      <c r="G102" s="37">
        <v>1018</v>
      </c>
    </row>
    <row r="103" spans="1:7" ht="16.5">
      <c r="A103" s="37">
        <v>10103</v>
      </c>
      <c r="B103" s="37">
        <f t="shared" ref="B103:B155" si="6">B102+7</f>
        <v>715</v>
      </c>
      <c r="C103" s="37" t="s">
        <v>19</v>
      </c>
      <c r="D103" s="37">
        <f t="shared" ref="D103:D155" si="7">D102+7</f>
        <v>721</v>
      </c>
      <c r="E103" s="37" t="s">
        <v>20</v>
      </c>
      <c r="F103" s="37">
        <v>6</v>
      </c>
      <c r="G103" s="37">
        <v>1018</v>
      </c>
    </row>
    <row r="104" spans="1:7" ht="16.5">
      <c r="A104" s="37">
        <v>10104</v>
      </c>
      <c r="B104" s="37">
        <f t="shared" si="6"/>
        <v>722</v>
      </c>
      <c r="C104" s="37" t="s">
        <v>19</v>
      </c>
      <c r="D104" s="37">
        <f t="shared" si="7"/>
        <v>728</v>
      </c>
      <c r="E104" s="37" t="s">
        <v>20</v>
      </c>
      <c r="F104" s="37">
        <v>6</v>
      </c>
      <c r="G104" s="37">
        <v>1018</v>
      </c>
    </row>
    <row r="105" spans="1:7" ht="16.5">
      <c r="A105" s="37">
        <v>10105</v>
      </c>
      <c r="B105" s="37">
        <f t="shared" si="6"/>
        <v>729</v>
      </c>
      <c r="C105" s="37" t="s">
        <v>19</v>
      </c>
      <c r="D105" s="37">
        <f t="shared" si="7"/>
        <v>735</v>
      </c>
      <c r="E105" s="37" t="s">
        <v>20</v>
      </c>
      <c r="F105" s="37">
        <v>6</v>
      </c>
      <c r="G105" s="37">
        <v>1018</v>
      </c>
    </row>
    <row r="106" spans="1:7" ht="16.5">
      <c r="A106" s="37">
        <v>10106</v>
      </c>
      <c r="B106" s="37">
        <f t="shared" si="6"/>
        <v>736</v>
      </c>
      <c r="C106" s="37" t="s">
        <v>19</v>
      </c>
      <c r="D106" s="37">
        <f t="shared" si="7"/>
        <v>742</v>
      </c>
      <c r="E106" s="37" t="s">
        <v>20</v>
      </c>
      <c r="F106" s="37">
        <v>6</v>
      </c>
      <c r="G106" s="37">
        <v>1018</v>
      </c>
    </row>
    <row r="107" spans="1:7" ht="16.5">
      <c r="A107" s="37">
        <v>10107</v>
      </c>
      <c r="B107" s="37">
        <f t="shared" si="6"/>
        <v>743</v>
      </c>
      <c r="C107" s="37" t="s">
        <v>19</v>
      </c>
      <c r="D107" s="37">
        <f t="shared" si="7"/>
        <v>749</v>
      </c>
      <c r="E107" s="37" t="s">
        <v>20</v>
      </c>
      <c r="F107" s="37">
        <v>6</v>
      </c>
      <c r="G107" s="37">
        <v>1018</v>
      </c>
    </row>
    <row r="108" spans="1:7" ht="16.5">
      <c r="A108" s="37">
        <v>10108</v>
      </c>
      <c r="B108" s="37">
        <f t="shared" si="6"/>
        <v>750</v>
      </c>
      <c r="C108" s="37" t="s">
        <v>19</v>
      </c>
      <c r="D108" s="37">
        <f t="shared" si="7"/>
        <v>756</v>
      </c>
      <c r="E108" s="37" t="s">
        <v>20</v>
      </c>
      <c r="F108" s="37">
        <v>6</v>
      </c>
      <c r="G108" s="37">
        <v>1018</v>
      </c>
    </row>
    <row r="109" spans="1:7" ht="16.5">
      <c r="A109" s="37">
        <v>10109</v>
      </c>
      <c r="B109" s="37">
        <f t="shared" si="6"/>
        <v>757</v>
      </c>
      <c r="C109" s="37" t="s">
        <v>19</v>
      </c>
      <c r="D109" s="37">
        <f t="shared" si="7"/>
        <v>763</v>
      </c>
      <c r="E109" s="37" t="s">
        <v>20</v>
      </c>
      <c r="F109" s="37">
        <v>6</v>
      </c>
      <c r="G109" s="37">
        <v>1018</v>
      </c>
    </row>
    <row r="110" spans="1:7" ht="16.5">
      <c r="A110" s="37">
        <v>10110</v>
      </c>
      <c r="B110" s="37">
        <f t="shared" si="6"/>
        <v>764</v>
      </c>
      <c r="C110" s="37" t="s">
        <v>19</v>
      </c>
      <c r="D110" s="37">
        <f t="shared" si="7"/>
        <v>770</v>
      </c>
      <c r="E110" s="37" t="s">
        <v>20</v>
      </c>
      <c r="F110" s="37">
        <v>6</v>
      </c>
      <c r="G110" s="37">
        <v>1018</v>
      </c>
    </row>
    <row r="111" spans="1:7" ht="16.5">
      <c r="A111" s="37">
        <v>10111</v>
      </c>
      <c r="B111" s="37">
        <f t="shared" si="6"/>
        <v>771</v>
      </c>
      <c r="C111" s="37" t="s">
        <v>19</v>
      </c>
      <c r="D111" s="37">
        <f t="shared" si="7"/>
        <v>777</v>
      </c>
      <c r="E111" s="37" t="s">
        <v>20</v>
      </c>
      <c r="F111" s="37">
        <v>6</v>
      </c>
      <c r="G111" s="37">
        <v>1018</v>
      </c>
    </row>
    <row r="112" spans="1:7" ht="16.5">
      <c r="A112" s="37">
        <v>10112</v>
      </c>
      <c r="B112" s="37">
        <f t="shared" si="6"/>
        <v>778</v>
      </c>
      <c r="C112" s="37" t="s">
        <v>19</v>
      </c>
      <c r="D112" s="37">
        <f t="shared" si="7"/>
        <v>784</v>
      </c>
      <c r="E112" s="37" t="s">
        <v>20</v>
      </c>
      <c r="F112" s="37">
        <v>6</v>
      </c>
      <c r="G112" s="37">
        <v>1018</v>
      </c>
    </row>
    <row r="113" spans="1:7" ht="16.5">
      <c r="A113" s="37">
        <v>10113</v>
      </c>
      <c r="B113" s="37">
        <f t="shared" si="6"/>
        <v>785</v>
      </c>
      <c r="C113" s="37" t="s">
        <v>19</v>
      </c>
      <c r="D113" s="37">
        <f t="shared" si="7"/>
        <v>791</v>
      </c>
      <c r="E113" s="37" t="s">
        <v>20</v>
      </c>
      <c r="F113" s="37">
        <v>6</v>
      </c>
      <c r="G113" s="37">
        <v>1018</v>
      </c>
    </row>
    <row r="114" spans="1:7" ht="16.5">
      <c r="A114" s="37">
        <v>10114</v>
      </c>
      <c r="B114" s="37">
        <f t="shared" si="6"/>
        <v>792</v>
      </c>
      <c r="C114" s="37" t="s">
        <v>19</v>
      </c>
      <c r="D114" s="37">
        <f t="shared" si="7"/>
        <v>798</v>
      </c>
      <c r="E114" s="37" t="s">
        <v>20</v>
      </c>
      <c r="F114" s="37">
        <v>6</v>
      </c>
      <c r="G114" s="37">
        <v>1018</v>
      </c>
    </row>
    <row r="115" spans="1:7" ht="16.5">
      <c r="A115" s="37">
        <v>10115</v>
      </c>
      <c r="B115" s="37">
        <f t="shared" si="6"/>
        <v>799</v>
      </c>
      <c r="C115" s="37" t="s">
        <v>19</v>
      </c>
      <c r="D115" s="37">
        <f t="shared" si="7"/>
        <v>805</v>
      </c>
      <c r="E115" s="37" t="s">
        <v>20</v>
      </c>
      <c r="F115" s="37">
        <v>6</v>
      </c>
      <c r="G115" s="37">
        <v>1018</v>
      </c>
    </row>
    <row r="116" spans="1:7" ht="16.5">
      <c r="A116" s="37">
        <v>10116</v>
      </c>
      <c r="B116" s="37">
        <f t="shared" si="6"/>
        <v>806</v>
      </c>
      <c r="C116" s="37" t="s">
        <v>19</v>
      </c>
      <c r="D116" s="37">
        <f t="shared" si="7"/>
        <v>812</v>
      </c>
      <c r="E116" s="37" t="s">
        <v>20</v>
      </c>
      <c r="F116" s="37">
        <v>6</v>
      </c>
      <c r="G116" s="37">
        <v>1018</v>
      </c>
    </row>
    <row r="117" spans="1:7" ht="16.5">
      <c r="A117" s="37">
        <v>10117</v>
      </c>
      <c r="B117" s="37">
        <f t="shared" si="6"/>
        <v>813</v>
      </c>
      <c r="C117" s="37" t="s">
        <v>19</v>
      </c>
      <c r="D117" s="37">
        <f t="shared" si="7"/>
        <v>819</v>
      </c>
      <c r="E117" s="37" t="s">
        <v>20</v>
      </c>
      <c r="F117" s="37">
        <v>6</v>
      </c>
      <c r="G117" s="37">
        <v>1018</v>
      </c>
    </row>
    <row r="118" spans="1:7" ht="16.5">
      <c r="A118" s="37">
        <v>10118</v>
      </c>
      <c r="B118" s="37">
        <f t="shared" si="6"/>
        <v>820</v>
      </c>
      <c r="C118" s="37" t="s">
        <v>19</v>
      </c>
      <c r="D118" s="37">
        <f t="shared" si="7"/>
        <v>826</v>
      </c>
      <c r="E118" s="37" t="s">
        <v>20</v>
      </c>
      <c r="F118" s="37">
        <v>6</v>
      </c>
      <c r="G118" s="37">
        <v>1018</v>
      </c>
    </row>
    <row r="119" spans="1:7" ht="16.5">
      <c r="A119" s="37">
        <v>10119</v>
      </c>
      <c r="B119" s="37">
        <f t="shared" si="6"/>
        <v>827</v>
      </c>
      <c r="C119" s="37" t="s">
        <v>19</v>
      </c>
      <c r="D119" s="37">
        <f t="shared" si="7"/>
        <v>833</v>
      </c>
      <c r="E119" s="37" t="s">
        <v>20</v>
      </c>
      <c r="F119" s="37">
        <v>6</v>
      </c>
      <c r="G119" s="37">
        <v>1018</v>
      </c>
    </row>
    <row r="120" spans="1:7" ht="16.5">
      <c r="A120" s="37">
        <v>10120</v>
      </c>
      <c r="B120" s="37">
        <f t="shared" si="6"/>
        <v>834</v>
      </c>
      <c r="C120" s="37" t="s">
        <v>19</v>
      </c>
      <c r="D120" s="37">
        <f t="shared" si="7"/>
        <v>840</v>
      </c>
      <c r="E120" s="37" t="s">
        <v>20</v>
      </c>
      <c r="F120" s="37">
        <v>6</v>
      </c>
      <c r="G120" s="37">
        <v>1018</v>
      </c>
    </row>
    <row r="121" spans="1:7" ht="16.5">
      <c r="A121" s="37">
        <v>10121</v>
      </c>
      <c r="B121" s="37">
        <f t="shared" si="6"/>
        <v>841</v>
      </c>
      <c r="C121" s="37" t="s">
        <v>19</v>
      </c>
      <c r="D121" s="37">
        <f t="shared" si="7"/>
        <v>847</v>
      </c>
      <c r="E121" s="37" t="s">
        <v>20</v>
      </c>
      <c r="F121" s="37">
        <v>6</v>
      </c>
      <c r="G121" s="37">
        <v>1018</v>
      </c>
    </row>
    <row r="122" spans="1:7" ht="16.5">
      <c r="A122" s="37">
        <v>10122</v>
      </c>
      <c r="B122" s="37">
        <f t="shared" si="6"/>
        <v>848</v>
      </c>
      <c r="C122" s="37" t="s">
        <v>19</v>
      </c>
      <c r="D122" s="37">
        <f t="shared" si="7"/>
        <v>854</v>
      </c>
      <c r="E122" s="37" t="s">
        <v>20</v>
      </c>
      <c r="F122" s="37">
        <v>6</v>
      </c>
      <c r="G122" s="37">
        <v>1018</v>
      </c>
    </row>
    <row r="123" spans="1:7" ht="16.5">
      <c r="A123" s="37">
        <v>10123</v>
      </c>
      <c r="B123" s="37">
        <f t="shared" si="6"/>
        <v>855</v>
      </c>
      <c r="C123" s="37" t="s">
        <v>19</v>
      </c>
      <c r="D123" s="37">
        <f t="shared" si="7"/>
        <v>861</v>
      </c>
      <c r="E123" s="37" t="s">
        <v>20</v>
      </c>
      <c r="F123" s="37">
        <v>6</v>
      </c>
      <c r="G123" s="37">
        <v>1018</v>
      </c>
    </row>
    <row r="124" spans="1:7" ht="16.5">
      <c r="A124" s="37">
        <v>10124</v>
      </c>
      <c r="B124" s="37">
        <f t="shared" si="6"/>
        <v>862</v>
      </c>
      <c r="C124" s="37" t="s">
        <v>19</v>
      </c>
      <c r="D124" s="37">
        <f t="shared" si="7"/>
        <v>868</v>
      </c>
      <c r="E124" s="37" t="s">
        <v>20</v>
      </c>
      <c r="F124" s="37">
        <v>6</v>
      </c>
      <c r="G124" s="37">
        <v>1018</v>
      </c>
    </row>
    <row r="125" spans="1:7" ht="16.5">
      <c r="A125" s="37">
        <v>10125</v>
      </c>
      <c r="B125" s="37">
        <f t="shared" si="6"/>
        <v>869</v>
      </c>
      <c r="C125" s="37" t="s">
        <v>19</v>
      </c>
      <c r="D125" s="37">
        <f t="shared" si="7"/>
        <v>875</v>
      </c>
      <c r="E125" s="37" t="s">
        <v>20</v>
      </c>
      <c r="F125" s="37">
        <v>6</v>
      </c>
      <c r="G125" s="37">
        <v>1018</v>
      </c>
    </row>
    <row r="126" spans="1:7" ht="16.5">
      <c r="A126" s="37">
        <v>10126</v>
      </c>
      <c r="B126" s="37">
        <f t="shared" si="6"/>
        <v>876</v>
      </c>
      <c r="C126" s="37" t="s">
        <v>19</v>
      </c>
      <c r="D126" s="37">
        <f t="shared" si="7"/>
        <v>882</v>
      </c>
      <c r="E126" s="37" t="s">
        <v>20</v>
      </c>
      <c r="F126" s="37">
        <v>6</v>
      </c>
      <c r="G126" s="37">
        <v>1018</v>
      </c>
    </row>
    <row r="127" spans="1:7" ht="16.5">
      <c r="A127" s="37">
        <v>10127</v>
      </c>
      <c r="B127" s="37">
        <f t="shared" si="6"/>
        <v>883</v>
      </c>
      <c r="C127" s="37" t="s">
        <v>19</v>
      </c>
      <c r="D127" s="37">
        <f t="shared" si="7"/>
        <v>889</v>
      </c>
      <c r="E127" s="37" t="s">
        <v>20</v>
      </c>
      <c r="F127" s="37">
        <v>6</v>
      </c>
      <c r="G127" s="37">
        <v>1018</v>
      </c>
    </row>
    <row r="128" spans="1:7" ht="16.5">
      <c r="A128" s="37">
        <v>10128</v>
      </c>
      <c r="B128" s="37">
        <f t="shared" si="6"/>
        <v>890</v>
      </c>
      <c r="C128" s="37" t="s">
        <v>19</v>
      </c>
      <c r="D128" s="37">
        <f t="shared" si="7"/>
        <v>896</v>
      </c>
      <c r="E128" s="37" t="s">
        <v>20</v>
      </c>
      <c r="F128" s="37">
        <v>6</v>
      </c>
      <c r="G128" s="37">
        <v>1018</v>
      </c>
    </row>
    <row r="129" spans="1:7" ht="16.5">
      <c r="A129" s="37">
        <v>10129</v>
      </c>
      <c r="B129" s="37">
        <f t="shared" si="6"/>
        <v>897</v>
      </c>
      <c r="C129" s="37" t="s">
        <v>19</v>
      </c>
      <c r="D129" s="37">
        <f t="shared" si="7"/>
        <v>903</v>
      </c>
      <c r="E129" s="37" t="s">
        <v>20</v>
      </c>
      <c r="F129" s="37">
        <v>6</v>
      </c>
      <c r="G129" s="37">
        <v>1018</v>
      </c>
    </row>
    <row r="130" spans="1:7" ht="16.5">
      <c r="A130" s="37">
        <v>10130</v>
      </c>
      <c r="B130" s="37">
        <f t="shared" si="6"/>
        <v>904</v>
      </c>
      <c r="C130" s="37" t="s">
        <v>19</v>
      </c>
      <c r="D130" s="37">
        <f t="shared" si="7"/>
        <v>910</v>
      </c>
      <c r="E130" s="37" t="s">
        <v>20</v>
      </c>
      <c r="F130" s="37">
        <v>6</v>
      </c>
      <c r="G130" s="37">
        <v>1018</v>
      </c>
    </row>
    <row r="131" spans="1:7" ht="16.5">
      <c r="A131" s="37">
        <v>10131</v>
      </c>
      <c r="B131" s="37">
        <f t="shared" si="6"/>
        <v>911</v>
      </c>
      <c r="C131" s="37" t="s">
        <v>19</v>
      </c>
      <c r="D131" s="37">
        <f t="shared" si="7"/>
        <v>917</v>
      </c>
      <c r="E131" s="37" t="s">
        <v>20</v>
      </c>
      <c r="F131" s="37">
        <v>6</v>
      </c>
      <c r="G131" s="37">
        <v>1018</v>
      </c>
    </row>
    <row r="132" spans="1:7" ht="16.5">
      <c r="A132" s="37">
        <v>10132</v>
      </c>
      <c r="B132" s="37">
        <f t="shared" si="6"/>
        <v>918</v>
      </c>
      <c r="C132" s="37" t="s">
        <v>19</v>
      </c>
      <c r="D132" s="37">
        <f t="shared" si="7"/>
        <v>924</v>
      </c>
      <c r="E132" s="37" t="s">
        <v>20</v>
      </c>
      <c r="F132" s="37">
        <v>6</v>
      </c>
      <c r="G132" s="37">
        <v>1018</v>
      </c>
    </row>
    <row r="133" spans="1:7" ht="16.5">
      <c r="A133" s="37">
        <v>10133</v>
      </c>
      <c r="B133" s="37">
        <f t="shared" si="6"/>
        <v>925</v>
      </c>
      <c r="C133" s="37" t="s">
        <v>19</v>
      </c>
      <c r="D133" s="37">
        <f t="shared" si="7"/>
        <v>931</v>
      </c>
      <c r="E133" s="37" t="s">
        <v>20</v>
      </c>
      <c r="F133" s="37">
        <v>6</v>
      </c>
      <c r="G133" s="37">
        <v>1018</v>
      </c>
    </row>
    <row r="134" spans="1:7" ht="16.5">
      <c r="A134" s="37">
        <v>10134</v>
      </c>
      <c r="B134" s="37">
        <f t="shared" si="6"/>
        <v>932</v>
      </c>
      <c r="C134" s="37" t="s">
        <v>19</v>
      </c>
      <c r="D134" s="37">
        <f t="shared" si="7"/>
        <v>938</v>
      </c>
      <c r="E134" s="37" t="s">
        <v>20</v>
      </c>
      <c r="F134" s="37">
        <v>6</v>
      </c>
      <c r="G134" s="37">
        <v>1018</v>
      </c>
    </row>
    <row r="135" spans="1:7" ht="16.5">
      <c r="A135" s="37">
        <v>10135</v>
      </c>
      <c r="B135" s="37">
        <f t="shared" si="6"/>
        <v>939</v>
      </c>
      <c r="C135" s="37" t="s">
        <v>19</v>
      </c>
      <c r="D135" s="37">
        <f t="shared" si="7"/>
        <v>945</v>
      </c>
      <c r="E135" s="37" t="s">
        <v>20</v>
      </c>
      <c r="F135" s="37">
        <v>6</v>
      </c>
      <c r="G135" s="37">
        <v>1018</v>
      </c>
    </row>
    <row r="136" spans="1:7" ht="16.5">
      <c r="A136" s="37">
        <v>10136</v>
      </c>
      <c r="B136" s="37">
        <f t="shared" si="6"/>
        <v>946</v>
      </c>
      <c r="C136" s="37" t="s">
        <v>19</v>
      </c>
      <c r="D136" s="37">
        <f t="shared" si="7"/>
        <v>952</v>
      </c>
      <c r="E136" s="37" t="s">
        <v>20</v>
      </c>
      <c r="F136" s="37">
        <v>6</v>
      </c>
      <c r="G136" s="37">
        <v>1018</v>
      </c>
    </row>
    <row r="137" spans="1:7" ht="16.5">
      <c r="A137" s="37">
        <v>10137</v>
      </c>
      <c r="B137" s="37">
        <f t="shared" si="6"/>
        <v>953</v>
      </c>
      <c r="C137" s="37" t="s">
        <v>19</v>
      </c>
      <c r="D137" s="37">
        <f t="shared" si="7"/>
        <v>959</v>
      </c>
      <c r="E137" s="37" t="s">
        <v>20</v>
      </c>
      <c r="F137" s="37">
        <v>6</v>
      </c>
      <c r="G137" s="37">
        <v>1018</v>
      </c>
    </row>
    <row r="138" spans="1:7" ht="16.5">
      <c r="A138" s="37">
        <v>10138</v>
      </c>
      <c r="B138" s="37">
        <f t="shared" si="6"/>
        <v>960</v>
      </c>
      <c r="C138" s="37" t="s">
        <v>19</v>
      </c>
      <c r="D138" s="37">
        <f t="shared" si="7"/>
        <v>966</v>
      </c>
      <c r="E138" s="37" t="s">
        <v>20</v>
      </c>
      <c r="F138" s="37">
        <v>6</v>
      </c>
      <c r="G138" s="37">
        <v>1018</v>
      </c>
    </row>
    <row r="139" spans="1:7" ht="16.5">
      <c r="A139" s="37">
        <v>10139</v>
      </c>
      <c r="B139" s="37">
        <f t="shared" si="6"/>
        <v>967</v>
      </c>
      <c r="C139" s="37" t="s">
        <v>19</v>
      </c>
      <c r="D139" s="37">
        <f t="shared" si="7"/>
        <v>973</v>
      </c>
      <c r="E139" s="37" t="s">
        <v>20</v>
      </c>
      <c r="F139" s="37">
        <v>6</v>
      </c>
      <c r="G139" s="37">
        <v>1018</v>
      </c>
    </row>
    <row r="140" spans="1:7" ht="16.5">
      <c r="A140" s="37">
        <v>10140</v>
      </c>
      <c r="B140" s="37">
        <f t="shared" si="6"/>
        <v>974</v>
      </c>
      <c r="C140" s="37" t="s">
        <v>19</v>
      </c>
      <c r="D140" s="37">
        <f t="shared" si="7"/>
        <v>980</v>
      </c>
      <c r="E140" s="37" t="s">
        <v>20</v>
      </c>
      <c r="F140" s="37">
        <v>6</v>
      </c>
      <c r="G140" s="37">
        <v>1018</v>
      </c>
    </row>
    <row r="141" spans="1:7" ht="16.5">
      <c r="A141" s="37">
        <v>10141</v>
      </c>
      <c r="B141" s="37">
        <f t="shared" si="6"/>
        <v>981</v>
      </c>
      <c r="C141" s="37" t="s">
        <v>19</v>
      </c>
      <c r="D141" s="37">
        <f t="shared" si="7"/>
        <v>987</v>
      </c>
      <c r="E141" s="37" t="s">
        <v>20</v>
      </c>
      <c r="F141" s="37">
        <v>6</v>
      </c>
      <c r="G141" s="37">
        <v>1018</v>
      </c>
    </row>
    <row r="142" spans="1:7" ht="16.5">
      <c r="A142" s="37">
        <v>10142</v>
      </c>
      <c r="B142" s="37">
        <f t="shared" si="6"/>
        <v>988</v>
      </c>
      <c r="C142" s="37" t="s">
        <v>19</v>
      </c>
      <c r="D142" s="37">
        <f t="shared" si="7"/>
        <v>994</v>
      </c>
      <c r="E142" s="37" t="s">
        <v>20</v>
      </c>
      <c r="F142" s="37">
        <v>6</v>
      </c>
      <c r="G142" s="37">
        <v>1018</v>
      </c>
    </row>
    <row r="143" spans="1:7" ht="16.5">
      <c r="A143" s="37">
        <v>10143</v>
      </c>
      <c r="B143" s="37">
        <f t="shared" si="6"/>
        <v>995</v>
      </c>
      <c r="C143" s="37" t="s">
        <v>19</v>
      </c>
      <c r="D143" s="37">
        <f t="shared" si="7"/>
        <v>1001</v>
      </c>
      <c r="E143" s="37" t="s">
        <v>20</v>
      </c>
      <c r="F143" s="37">
        <v>6</v>
      </c>
      <c r="G143" s="37">
        <v>1018</v>
      </c>
    </row>
    <row r="144" spans="1:7" ht="16.5">
      <c r="A144" s="37">
        <v>10144</v>
      </c>
      <c r="B144" s="37">
        <f t="shared" si="6"/>
        <v>1002</v>
      </c>
      <c r="C144" s="37" t="s">
        <v>19</v>
      </c>
      <c r="D144" s="37">
        <f t="shared" si="7"/>
        <v>1008</v>
      </c>
      <c r="E144" s="37" t="s">
        <v>20</v>
      </c>
      <c r="F144" s="37">
        <v>6</v>
      </c>
      <c r="G144" s="37">
        <v>1018</v>
      </c>
    </row>
    <row r="145" spans="1:7" ht="16.5">
      <c r="A145" s="37">
        <v>10145</v>
      </c>
      <c r="B145" s="37">
        <f t="shared" si="6"/>
        <v>1009</v>
      </c>
      <c r="C145" s="37" t="s">
        <v>19</v>
      </c>
      <c r="D145" s="37">
        <f t="shared" si="7"/>
        <v>1015</v>
      </c>
      <c r="E145" s="37" t="s">
        <v>20</v>
      </c>
      <c r="F145" s="37">
        <v>6</v>
      </c>
      <c r="G145" s="37">
        <v>1018</v>
      </c>
    </row>
    <row r="146" spans="1:7" ht="16.5">
      <c r="A146" s="37">
        <v>10146</v>
      </c>
      <c r="B146" s="37">
        <f t="shared" si="6"/>
        <v>1016</v>
      </c>
      <c r="C146" s="37" t="s">
        <v>19</v>
      </c>
      <c r="D146" s="37">
        <f t="shared" si="7"/>
        <v>1022</v>
      </c>
      <c r="E146" s="37" t="s">
        <v>20</v>
      </c>
      <c r="F146" s="37">
        <v>6</v>
      </c>
      <c r="G146" s="37">
        <v>1018</v>
      </c>
    </row>
    <row r="147" spans="1:7" ht="16.5">
      <c r="A147" s="37">
        <v>10147</v>
      </c>
      <c r="B147" s="37">
        <f t="shared" si="6"/>
        <v>1023</v>
      </c>
      <c r="C147" s="37" t="s">
        <v>19</v>
      </c>
      <c r="D147" s="37">
        <f t="shared" si="7"/>
        <v>1029</v>
      </c>
      <c r="E147" s="37" t="s">
        <v>20</v>
      </c>
      <c r="F147" s="37">
        <v>6</v>
      </c>
      <c r="G147" s="37">
        <v>1018</v>
      </c>
    </row>
    <row r="148" spans="1:7" ht="16.5">
      <c r="A148" s="37">
        <v>10148</v>
      </c>
      <c r="B148" s="37">
        <f t="shared" si="6"/>
        <v>1030</v>
      </c>
      <c r="C148" s="37" t="s">
        <v>19</v>
      </c>
      <c r="D148" s="37">
        <f t="shared" si="7"/>
        <v>1036</v>
      </c>
      <c r="E148" s="37" t="s">
        <v>20</v>
      </c>
      <c r="F148" s="37">
        <v>6</v>
      </c>
      <c r="G148" s="37">
        <v>1018</v>
      </c>
    </row>
    <row r="149" spans="1:7" ht="16.5">
      <c r="A149" s="37">
        <v>10149</v>
      </c>
      <c r="B149" s="37">
        <f t="shared" si="6"/>
        <v>1037</v>
      </c>
      <c r="C149" s="37" t="s">
        <v>19</v>
      </c>
      <c r="D149" s="37">
        <f t="shared" si="7"/>
        <v>1043</v>
      </c>
      <c r="E149" s="37" t="s">
        <v>20</v>
      </c>
      <c r="F149" s="37">
        <v>6</v>
      </c>
      <c r="G149" s="37">
        <v>1018</v>
      </c>
    </row>
    <row r="150" spans="1:7" ht="16.5">
      <c r="A150" s="37">
        <v>10150</v>
      </c>
      <c r="B150" s="37">
        <f t="shared" si="6"/>
        <v>1044</v>
      </c>
      <c r="C150" s="37" t="s">
        <v>19</v>
      </c>
      <c r="D150" s="37">
        <f t="shared" si="7"/>
        <v>1050</v>
      </c>
      <c r="E150" s="37" t="s">
        <v>20</v>
      </c>
      <c r="F150" s="37">
        <v>6</v>
      </c>
      <c r="G150" s="37">
        <v>1018</v>
      </c>
    </row>
    <row r="151" spans="1:7" ht="16.5">
      <c r="A151" s="37">
        <v>10151</v>
      </c>
      <c r="B151" s="37">
        <f t="shared" si="6"/>
        <v>1051</v>
      </c>
      <c r="C151" s="37" t="s">
        <v>19</v>
      </c>
      <c r="D151" s="37">
        <f t="shared" si="7"/>
        <v>1057</v>
      </c>
      <c r="E151" s="37" t="s">
        <v>20</v>
      </c>
      <c r="F151" s="37">
        <v>6</v>
      </c>
      <c r="G151" s="37">
        <v>1018</v>
      </c>
    </row>
    <row r="152" spans="1:7" ht="16.5">
      <c r="A152" s="37">
        <v>10152</v>
      </c>
      <c r="B152" s="37">
        <f t="shared" si="6"/>
        <v>1058</v>
      </c>
      <c r="C152" s="37" t="s">
        <v>19</v>
      </c>
      <c r="D152" s="37">
        <f t="shared" si="7"/>
        <v>1064</v>
      </c>
      <c r="E152" s="37" t="s">
        <v>20</v>
      </c>
      <c r="F152" s="37">
        <v>6</v>
      </c>
      <c r="G152" s="37">
        <v>1018</v>
      </c>
    </row>
    <row r="153" spans="1:7" ht="16.5">
      <c r="A153" s="37">
        <v>10153</v>
      </c>
      <c r="B153" s="37">
        <f t="shared" si="6"/>
        <v>1065</v>
      </c>
      <c r="C153" s="37" t="s">
        <v>19</v>
      </c>
      <c r="D153" s="37">
        <f t="shared" si="7"/>
        <v>1071</v>
      </c>
      <c r="E153" s="37" t="s">
        <v>20</v>
      </c>
      <c r="F153" s="37">
        <v>6</v>
      </c>
      <c r="G153" s="37">
        <v>1018</v>
      </c>
    </row>
    <row r="154" spans="1:7" ht="16.5">
      <c r="A154" s="37">
        <v>10154</v>
      </c>
      <c r="B154" s="37">
        <f t="shared" si="6"/>
        <v>1072</v>
      </c>
      <c r="C154" s="37" t="s">
        <v>19</v>
      </c>
      <c r="D154" s="37">
        <f t="shared" si="7"/>
        <v>1078</v>
      </c>
      <c r="E154" s="37" t="s">
        <v>20</v>
      </c>
      <c r="F154" s="37">
        <v>6</v>
      </c>
      <c r="G154" s="37">
        <v>1018</v>
      </c>
    </row>
    <row r="155" spans="1:7" ht="16.5">
      <c r="A155" s="37">
        <v>10155</v>
      </c>
      <c r="B155" s="37">
        <f t="shared" si="6"/>
        <v>1079</v>
      </c>
      <c r="C155" s="37" t="s">
        <v>19</v>
      </c>
      <c r="D155" s="37">
        <f t="shared" si="7"/>
        <v>1085</v>
      </c>
      <c r="E155" s="37" t="s">
        <v>20</v>
      </c>
      <c r="F155" s="37">
        <v>6</v>
      </c>
      <c r="G155" s="37">
        <v>1018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92"/>
  <sheetViews>
    <sheetView workbookViewId="0">
      <pane xSplit="1" ySplit="1" topLeftCell="B2" activePane="bottomRight" state="frozen"/>
      <selection pane="topRight"/>
      <selection pane="bottomLeft"/>
      <selection pane="bottomRight" activeCell="B14" sqref="B14"/>
    </sheetView>
  </sheetViews>
  <sheetFormatPr defaultColWidth="9" defaultRowHeight="14.25"/>
  <cols>
    <col min="1" max="1" width="7.375" customWidth="1"/>
    <col min="2" max="2" width="55.625" customWidth="1"/>
    <col min="3" max="3" width="36.25" customWidth="1"/>
    <col min="4" max="4" width="9.25" customWidth="1"/>
    <col min="5" max="5" width="5.5" customWidth="1"/>
    <col min="6" max="6" width="9.25" customWidth="1"/>
    <col min="7" max="7" width="7.375" customWidth="1"/>
    <col min="9" max="9" width="66" customWidth="1"/>
  </cols>
  <sheetData>
    <row r="1" spans="1:9" ht="16.5">
      <c r="A1" s="43" t="s">
        <v>126</v>
      </c>
      <c r="B1" s="43" t="s">
        <v>441</v>
      </c>
      <c r="C1" s="43" t="s">
        <v>440</v>
      </c>
      <c r="D1" s="43" t="s">
        <v>448</v>
      </c>
      <c r="E1" s="43" t="s">
        <v>436</v>
      </c>
      <c r="F1" s="43" t="s">
        <v>443</v>
      </c>
      <c r="G1" s="43" t="s">
        <v>449</v>
      </c>
    </row>
    <row r="2" spans="1:9" ht="16.5">
      <c r="A2" s="43">
        <v>10001</v>
      </c>
      <c r="B2" s="44" t="s">
        <v>450</v>
      </c>
      <c r="C2" s="43">
        <v>2000</v>
      </c>
      <c r="D2" s="43">
        <v>1</v>
      </c>
      <c r="E2" s="43">
        <v>1</v>
      </c>
      <c r="F2" s="43">
        <v>35001</v>
      </c>
      <c r="G2" s="45">
        <v>10001</v>
      </c>
      <c r="I2" s="59" t="s">
        <v>451</v>
      </c>
    </row>
    <row r="3" spans="1:9" ht="16.5">
      <c r="A3" s="43">
        <v>10002</v>
      </c>
      <c r="B3" s="44" t="s">
        <v>452</v>
      </c>
      <c r="C3" s="43">
        <v>20000</v>
      </c>
      <c r="D3" s="43">
        <v>1</v>
      </c>
      <c r="E3" s="43">
        <v>1</v>
      </c>
      <c r="F3" s="43">
        <v>35002</v>
      </c>
      <c r="G3" s="45">
        <v>10002</v>
      </c>
      <c r="I3" s="59" t="s">
        <v>453</v>
      </c>
    </row>
    <row r="4" spans="1:9" ht="16.5">
      <c r="A4" s="43">
        <v>10003</v>
      </c>
      <c r="B4" s="44" t="s">
        <v>454</v>
      </c>
      <c r="C4" s="43">
        <v>45000</v>
      </c>
      <c r="D4" s="43">
        <v>3</v>
      </c>
      <c r="E4" s="43">
        <v>1</v>
      </c>
      <c r="F4" s="43">
        <v>35003</v>
      </c>
      <c r="G4" s="45">
        <v>10003</v>
      </c>
      <c r="I4" s="59" t="s">
        <v>455</v>
      </c>
    </row>
    <row r="5" spans="1:9" ht="16.5">
      <c r="A5" s="43">
        <v>10004</v>
      </c>
      <c r="B5" s="44" t="s">
        <v>456</v>
      </c>
      <c r="C5" s="43">
        <v>45000</v>
      </c>
      <c r="D5" s="43">
        <v>3</v>
      </c>
      <c r="E5" s="43">
        <v>1</v>
      </c>
      <c r="F5" s="43">
        <v>35004</v>
      </c>
      <c r="G5" s="45">
        <v>10004</v>
      </c>
      <c r="I5" s="59" t="s">
        <v>457</v>
      </c>
    </row>
    <row r="6" spans="1:9" ht="16.5">
      <c r="A6" s="43">
        <v>10005</v>
      </c>
      <c r="B6" s="44" t="s">
        <v>458</v>
      </c>
      <c r="C6" s="43">
        <v>65000</v>
      </c>
      <c r="D6" s="43">
        <v>3</v>
      </c>
      <c r="E6" s="43">
        <v>1</v>
      </c>
      <c r="F6" s="43">
        <v>35005</v>
      </c>
      <c r="G6" s="45">
        <v>10006</v>
      </c>
      <c r="I6" s="59" t="s">
        <v>459</v>
      </c>
    </row>
    <row r="7" spans="1:9" ht="16.5">
      <c r="A7" s="43">
        <v>10006</v>
      </c>
      <c r="B7" s="44" t="s">
        <v>460</v>
      </c>
      <c r="C7" s="43">
        <v>115000</v>
      </c>
      <c r="D7" s="43">
        <v>3</v>
      </c>
      <c r="E7" s="43">
        <v>1</v>
      </c>
      <c r="F7" s="43">
        <v>35006</v>
      </c>
      <c r="G7" s="45">
        <v>10009</v>
      </c>
      <c r="I7" s="59" t="s">
        <v>461</v>
      </c>
    </row>
    <row r="8" spans="1:9" ht="16.5">
      <c r="A8" s="43">
        <v>10008</v>
      </c>
      <c r="B8" s="44" t="s">
        <v>462</v>
      </c>
      <c r="C8" s="43">
        <v>215000</v>
      </c>
      <c r="D8" s="43">
        <v>3</v>
      </c>
      <c r="E8" s="43">
        <v>1</v>
      </c>
      <c r="F8" s="43">
        <v>35008</v>
      </c>
      <c r="G8" s="45">
        <v>10010</v>
      </c>
      <c r="I8" s="59" t="s">
        <v>463</v>
      </c>
    </row>
    <row r="9" spans="1:9" ht="16.5">
      <c r="A9" s="43">
        <v>10009</v>
      </c>
      <c r="B9" s="44" t="s">
        <v>464</v>
      </c>
      <c r="C9" s="43">
        <v>215000</v>
      </c>
      <c r="D9" s="43">
        <v>3</v>
      </c>
      <c r="E9" s="43">
        <v>1</v>
      </c>
      <c r="F9" s="43">
        <v>35009</v>
      </c>
      <c r="G9" s="45">
        <v>10011</v>
      </c>
      <c r="I9" s="59" t="s">
        <v>465</v>
      </c>
    </row>
    <row r="10" spans="1:9" ht="16.5">
      <c r="A10" s="46">
        <v>10010</v>
      </c>
      <c r="B10" s="47" t="s">
        <v>466</v>
      </c>
      <c r="C10" s="48">
        <v>65000</v>
      </c>
      <c r="D10" s="46">
        <v>3</v>
      </c>
      <c r="E10" s="46">
        <v>1</v>
      </c>
      <c r="F10" s="48">
        <v>35010</v>
      </c>
      <c r="G10" s="45">
        <v>10007</v>
      </c>
      <c r="I10" s="59" t="s">
        <v>467</v>
      </c>
    </row>
    <row r="11" spans="1:9" ht="16.5">
      <c r="A11" s="46">
        <v>10011</v>
      </c>
      <c r="B11" s="47" t="s">
        <v>468</v>
      </c>
      <c r="C11" s="48">
        <v>115000</v>
      </c>
      <c r="D11" s="46">
        <v>3</v>
      </c>
      <c r="E11" s="46">
        <v>1</v>
      </c>
      <c r="F11" s="48">
        <v>35011</v>
      </c>
      <c r="G11" s="49">
        <v>10008</v>
      </c>
      <c r="I11" s="59" t="s">
        <v>469</v>
      </c>
    </row>
    <row r="12" spans="1:9" ht="16.5">
      <c r="A12" s="46">
        <v>10012</v>
      </c>
      <c r="B12" s="47" t="s">
        <v>470</v>
      </c>
      <c r="C12" s="48">
        <v>215000</v>
      </c>
      <c r="D12" s="46">
        <v>20</v>
      </c>
      <c r="E12" s="46">
        <v>1</v>
      </c>
      <c r="F12" s="48">
        <v>35012</v>
      </c>
      <c r="G12" s="49">
        <v>10012</v>
      </c>
      <c r="I12" s="59" t="s">
        <v>471</v>
      </c>
    </row>
    <row r="13" spans="1:9" s="1" customFormat="1" ht="16.5">
      <c r="A13" s="50">
        <v>10013</v>
      </c>
      <c r="B13" s="51" t="s">
        <v>472</v>
      </c>
      <c r="C13" s="1">
        <v>45000</v>
      </c>
      <c r="D13" s="50">
        <v>2</v>
      </c>
      <c r="E13" s="50">
        <v>1</v>
      </c>
      <c r="F13" s="37">
        <v>35013</v>
      </c>
      <c r="G13" s="52">
        <v>10005</v>
      </c>
      <c r="I13" s="59" t="s">
        <v>473</v>
      </c>
    </row>
    <row r="14" spans="1:9" ht="16.5">
      <c r="A14" s="43">
        <v>20001</v>
      </c>
      <c r="B14" s="44" t="s">
        <v>474</v>
      </c>
      <c r="C14" s="43">
        <v>2000</v>
      </c>
      <c r="D14" s="43">
        <v>1</v>
      </c>
      <c r="E14" s="43">
        <v>2</v>
      </c>
      <c r="F14" s="43">
        <v>35101</v>
      </c>
      <c r="G14" s="45">
        <v>20001</v>
      </c>
      <c r="I14" s="59" t="s">
        <v>475</v>
      </c>
    </row>
    <row r="15" spans="1:9" ht="16.5">
      <c r="A15" s="43">
        <v>20002</v>
      </c>
      <c r="B15" s="44" t="s">
        <v>476</v>
      </c>
      <c r="C15" s="43">
        <v>20000</v>
      </c>
      <c r="D15" s="43">
        <v>1</v>
      </c>
      <c r="E15" s="43">
        <v>2</v>
      </c>
      <c r="F15" s="43">
        <v>35102</v>
      </c>
      <c r="G15" s="45">
        <v>20002</v>
      </c>
      <c r="I15" s="59" t="s">
        <v>477</v>
      </c>
    </row>
    <row r="16" spans="1:9" ht="16.5">
      <c r="A16" s="43">
        <v>20003</v>
      </c>
      <c r="B16" s="44" t="s">
        <v>478</v>
      </c>
      <c r="C16" s="43">
        <v>45000</v>
      </c>
      <c r="D16" s="43">
        <v>3</v>
      </c>
      <c r="E16" s="43">
        <v>2</v>
      </c>
      <c r="F16" s="43">
        <v>35103</v>
      </c>
      <c r="G16" s="45">
        <v>20003</v>
      </c>
      <c r="I16" s="59" t="s">
        <v>479</v>
      </c>
    </row>
    <row r="17" spans="1:9" ht="16.5">
      <c r="A17" s="43">
        <v>20011</v>
      </c>
      <c r="B17" s="44" t="s">
        <v>456</v>
      </c>
      <c r="C17" s="43">
        <v>45000</v>
      </c>
      <c r="D17" s="43">
        <v>3</v>
      </c>
      <c r="E17" s="43">
        <v>2</v>
      </c>
      <c r="F17" s="43">
        <v>35111</v>
      </c>
      <c r="G17" s="45">
        <v>20004</v>
      </c>
      <c r="I17" s="59" t="s">
        <v>457</v>
      </c>
    </row>
    <row r="18" spans="1:9" ht="16.5">
      <c r="A18" s="43">
        <v>20005</v>
      </c>
      <c r="B18" s="44" t="s">
        <v>480</v>
      </c>
      <c r="C18" s="43">
        <v>65000</v>
      </c>
      <c r="D18" s="43">
        <v>3</v>
      </c>
      <c r="E18" s="43">
        <v>2</v>
      </c>
      <c r="F18" s="43">
        <v>35105</v>
      </c>
      <c r="G18" s="45">
        <v>20005</v>
      </c>
      <c r="I18" s="59" t="s">
        <v>481</v>
      </c>
    </row>
    <row r="19" spans="1:9" ht="16.5">
      <c r="A19" s="43">
        <v>20006</v>
      </c>
      <c r="B19" s="44" t="s">
        <v>482</v>
      </c>
      <c r="C19" s="43">
        <v>115000</v>
      </c>
      <c r="D19" s="43">
        <v>3</v>
      </c>
      <c r="E19" s="43">
        <v>2</v>
      </c>
      <c r="F19" s="43">
        <v>35106</v>
      </c>
      <c r="G19" s="45">
        <v>20006</v>
      </c>
      <c r="I19" s="59" t="s">
        <v>483</v>
      </c>
    </row>
    <row r="20" spans="1:9" ht="16.5">
      <c r="A20" s="43">
        <v>20008</v>
      </c>
      <c r="B20" s="44" t="s">
        <v>484</v>
      </c>
      <c r="C20" s="43">
        <v>215000</v>
      </c>
      <c r="D20" s="43">
        <v>3</v>
      </c>
      <c r="E20" s="43">
        <v>2</v>
      </c>
      <c r="F20" s="43">
        <v>35108</v>
      </c>
      <c r="G20" s="45">
        <v>20008</v>
      </c>
      <c r="I20" s="59" t="s">
        <v>485</v>
      </c>
    </row>
    <row r="21" spans="1:9" ht="16.5">
      <c r="A21" s="46">
        <v>20012</v>
      </c>
      <c r="B21" s="47" t="s">
        <v>470</v>
      </c>
      <c r="C21" s="48">
        <v>215000</v>
      </c>
      <c r="D21" s="46">
        <v>20</v>
      </c>
      <c r="E21" s="46">
        <v>2</v>
      </c>
      <c r="F21" s="48">
        <v>35112</v>
      </c>
      <c r="G21" s="49">
        <v>20009</v>
      </c>
      <c r="I21" s="59" t="s">
        <v>471</v>
      </c>
    </row>
    <row r="22" spans="1:9" ht="16.5">
      <c r="A22" s="43">
        <v>30001</v>
      </c>
      <c r="B22" s="44" t="s">
        <v>450</v>
      </c>
      <c r="C22" s="43">
        <v>2000</v>
      </c>
      <c r="D22" s="43">
        <v>1</v>
      </c>
      <c r="E22" s="43">
        <v>3</v>
      </c>
      <c r="F22" s="43">
        <v>35201</v>
      </c>
      <c r="G22" s="45">
        <v>30001</v>
      </c>
      <c r="I22" s="59" t="s">
        <v>451</v>
      </c>
    </row>
    <row r="23" spans="1:9" ht="16.5">
      <c r="A23" s="43">
        <v>30002</v>
      </c>
      <c r="B23" s="44" t="s">
        <v>486</v>
      </c>
      <c r="C23" s="43">
        <v>20000</v>
      </c>
      <c r="D23" s="43">
        <v>1</v>
      </c>
      <c r="E23" s="43">
        <v>3</v>
      </c>
      <c r="F23" s="43">
        <v>35202</v>
      </c>
      <c r="G23" s="45">
        <v>30002</v>
      </c>
      <c r="I23" s="59" t="s">
        <v>487</v>
      </c>
    </row>
    <row r="24" spans="1:9" ht="16.5">
      <c r="A24" s="43">
        <v>30003</v>
      </c>
      <c r="B24" s="44" t="s">
        <v>472</v>
      </c>
      <c r="C24" s="43">
        <v>45000</v>
      </c>
      <c r="D24" s="43">
        <v>3</v>
      </c>
      <c r="E24" s="43">
        <v>3</v>
      </c>
      <c r="F24" s="43">
        <v>35203</v>
      </c>
      <c r="G24" s="45">
        <v>30003</v>
      </c>
      <c r="I24" s="59" t="s">
        <v>473</v>
      </c>
    </row>
    <row r="25" spans="1:9" ht="16.5">
      <c r="A25" s="43">
        <v>30004</v>
      </c>
      <c r="B25" s="44" t="s">
        <v>488</v>
      </c>
      <c r="C25" s="43">
        <v>45000</v>
      </c>
      <c r="D25" s="43">
        <v>3</v>
      </c>
      <c r="E25" s="43">
        <v>3</v>
      </c>
      <c r="F25" s="43">
        <v>35204</v>
      </c>
      <c r="G25" s="45">
        <v>30004</v>
      </c>
      <c r="I25" s="59" t="s">
        <v>489</v>
      </c>
    </row>
    <row r="26" spans="1:9" ht="16.5">
      <c r="A26" s="43">
        <v>30011</v>
      </c>
      <c r="B26" s="44" t="s">
        <v>456</v>
      </c>
      <c r="C26" s="43">
        <v>45000</v>
      </c>
      <c r="D26" s="43">
        <v>3</v>
      </c>
      <c r="E26" s="43">
        <v>3</v>
      </c>
      <c r="F26" s="43">
        <v>35211</v>
      </c>
      <c r="G26" s="45">
        <v>30005</v>
      </c>
      <c r="I26" s="59" t="s">
        <v>457</v>
      </c>
    </row>
    <row r="27" spans="1:9" ht="16.5">
      <c r="A27" s="43">
        <v>30005</v>
      </c>
      <c r="B27" s="44" t="s">
        <v>458</v>
      </c>
      <c r="C27" s="43">
        <v>65000</v>
      </c>
      <c r="D27" s="43">
        <v>3</v>
      </c>
      <c r="E27" s="43">
        <v>3</v>
      </c>
      <c r="F27" s="43">
        <v>35205</v>
      </c>
      <c r="G27" s="45">
        <v>30007</v>
      </c>
      <c r="I27" s="59" t="s">
        <v>459</v>
      </c>
    </row>
    <row r="28" spans="1:9" ht="16.5">
      <c r="A28" s="43">
        <v>30006</v>
      </c>
      <c r="B28" s="44" t="s">
        <v>460</v>
      </c>
      <c r="C28" s="43">
        <v>115000</v>
      </c>
      <c r="D28" s="43">
        <v>3</v>
      </c>
      <c r="E28" s="43">
        <v>3</v>
      </c>
      <c r="F28" s="43">
        <v>35206</v>
      </c>
      <c r="G28" s="45">
        <v>30010</v>
      </c>
      <c r="I28" s="59" t="s">
        <v>461</v>
      </c>
    </row>
    <row r="29" spans="1:9" ht="16.5">
      <c r="A29" s="43">
        <v>30007</v>
      </c>
      <c r="B29" s="44" t="s">
        <v>462</v>
      </c>
      <c r="C29" s="43">
        <v>215000</v>
      </c>
      <c r="D29" s="43">
        <v>3</v>
      </c>
      <c r="E29" s="43">
        <v>3</v>
      </c>
      <c r="F29" s="43">
        <v>35207</v>
      </c>
      <c r="G29" s="45">
        <v>30011</v>
      </c>
      <c r="I29" s="59" t="s">
        <v>463</v>
      </c>
    </row>
    <row r="30" spans="1:9" ht="16.5">
      <c r="A30" s="43">
        <v>30008</v>
      </c>
      <c r="B30" s="44" t="s">
        <v>464</v>
      </c>
      <c r="C30" s="43">
        <v>215000</v>
      </c>
      <c r="D30" s="43">
        <v>3</v>
      </c>
      <c r="E30" s="43">
        <v>3</v>
      </c>
      <c r="F30" s="43">
        <v>35208</v>
      </c>
      <c r="G30" s="45">
        <v>30012</v>
      </c>
      <c r="I30" s="59" t="s">
        <v>465</v>
      </c>
    </row>
    <row r="31" spans="1:9" ht="16.5">
      <c r="A31" s="48">
        <v>30012</v>
      </c>
      <c r="B31" s="47" t="s">
        <v>466</v>
      </c>
      <c r="C31" s="48">
        <v>65000</v>
      </c>
      <c r="D31" s="46">
        <v>3</v>
      </c>
      <c r="E31" s="48">
        <v>3</v>
      </c>
      <c r="F31" s="48">
        <v>35212</v>
      </c>
      <c r="G31" s="45">
        <v>30008</v>
      </c>
      <c r="I31" s="59" t="s">
        <v>467</v>
      </c>
    </row>
    <row r="32" spans="1:9" ht="16.5">
      <c r="A32" s="48">
        <v>30013</v>
      </c>
      <c r="B32" s="47" t="s">
        <v>490</v>
      </c>
      <c r="C32" s="48">
        <v>115000</v>
      </c>
      <c r="D32" s="46">
        <v>3</v>
      </c>
      <c r="E32" s="48">
        <v>3</v>
      </c>
      <c r="F32" s="48">
        <v>35213</v>
      </c>
      <c r="G32" s="49">
        <v>30009</v>
      </c>
      <c r="I32" s="59" t="s">
        <v>491</v>
      </c>
    </row>
    <row r="33" spans="1:9" ht="16.5">
      <c r="A33" s="46">
        <v>30014</v>
      </c>
      <c r="B33" s="47" t="s">
        <v>470</v>
      </c>
      <c r="C33" s="48">
        <v>215000</v>
      </c>
      <c r="D33" s="46">
        <v>20</v>
      </c>
      <c r="E33" s="46">
        <v>3</v>
      </c>
      <c r="F33" s="48">
        <v>35214</v>
      </c>
      <c r="G33" s="49">
        <v>30013</v>
      </c>
      <c r="I33" s="59" t="s">
        <v>471</v>
      </c>
    </row>
    <row r="34" spans="1:9" s="1" customFormat="1" ht="16.5">
      <c r="A34" s="50">
        <v>30015</v>
      </c>
      <c r="B34" s="51" t="s">
        <v>472</v>
      </c>
      <c r="C34" s="1">
        <v>45000</v>
      </c>
      <c r="D34" s="50">
        <v>2</v>
      </c>
      <c r="E34" s="50">
        <v>3</v>
      </c>
      <c r="F34" s="37">
        <v>35215</v>
      </c>
      <c r="G34" s="52">
        <v>30006</v>
      </c>
      <c r="I34" s="59" t="s">
        <v>473</v>
      </c>
    </row>
    <row r="35" spans="1:9" ht="16.5">
      <c r="A35" s="43">
        <v>40001</v>
      </c>
      <c r="B35" s="44" t="s">
        <v>450</v>
      </c>
      <c r="C35" s="43">
        <v>2000</v>
      </c>
      <c r="D35" s="43">
        <v>1</v>
      </c>
      <c r="E35" s="43">
        <v>4</v>
      </c>
      <c r="F35" s="43">
        <v>35301</v>
      </c>
      <c r="G35" s="45">
        <v>40001</v>
      </c>
      <c r="I35" s="59" t="s">
        <v>451</v>
      </c>
    </row>
    <row r="36" spans="1:9" ht="16.5">
      <c r="A36" s="43">
        <v>40002</v>
      </c>
      <c r="B36" s="44" t="s">
        <v>452</v>
      </c>
      <c r="C36" s="43">
        <v>20000</v>
      </c>
      <c r="D36" s="43">
        <v>1</v>
      </c>
      <c r="E36" s="43">
        <v>4</v>
      </c>
      <c r="F36" s="43">
        <v>35302</v>
      </c>
      <c r="G36" s="45">
        <v>40002</v>
      </c>
      <c r="I36" s="59" t="s">
        <v>453</v>
      </c>
    </row>
    <row r="37" spans="1:9" ht="16.5">
      <c r="A37" s="43">
        <v>40003</v>
      </c>
      <c r="B37" s="44" t="s">
        <v>454</v>
      </c>
      <c r="C37" s="43">
        <v>45000</v>
      </c>
      <c r="D37" s="43">
        <v>3</v>
      </c>
      <c r="E37" s="43">
        <v>4</v>
      </c>
      <c r="F37" s="43">
        <v>35303</v>
      </c>
      <c r="G37" s="45">
        <v>40003</v>
      </c>
      <c r="I37" s="59" t="s">
        <v>455</v>
      </c>
    </row>
    <row r="38" spans="1:9" ht="16.5">
      <c r="A38" s="43">
        <v>40004</v>
      </c>
      <c r="B38" s="44" t="s">
        <v>456</v>
      </c>
      <c r="C38" s="43">
        <v>45000</v>
      </c>
      <c r="D38" s="43">
        <v>3</v>
      </c>
      <c r="E38" s="43">
        <v>4</v>
      </c>
      <c r="F38" s="43">
        <v>35304</v>
      </c>
      <c r="G38" s="45">
        <v>40004</v>
      </c>
      <c r="I38" s="59" t="s">
        <v>457</v>
      </c>
    </row>
    <row r="39" spans="1:9" ht="16.5">
      <c r="A39" s="43">
        <v>40005</v>
      </c>
      <c r="B39" s="44" t="s">
        <v>458</v>
      </c>
      <c r="C39" s="43">
        <v>65000</v>
      </c>
      <c r="D39" s="43">
        <v>3</v>
      </c>
      <c r="E39" s="43">
        <v>4</v>
      </c>
      <c r="F39" s="43">
        <v>35305</v>
      </c>
      <c r="G39" s="45">
        <v>40009</v>
      </c>
      <c r="I39" s="59" t="s">
        <v>459</v>
      </c>
    </row>
    <row r="40" spans="1:9" ht="16.5">
      <c r="A40" s="43">
        <v>40006</v>
      </c>
      <c r="B40" s="44" t="s">
        <v>460</v>
      </c>
      <c r="C40" s="43">
        <v>115000</v>
      </c>
      <c r="D40" s="43">
        <v>3</v>
      </c>
      <c r="E40" s="43">
        <v>4</v>
      </c>
      <c r="F40" s="43">
        <v>35306</v>
      </c>
      <c r="G40" s="45">
        <v>40008</v>
      </c>
      <c r="I40" s="59" t="s">
        <v>461</v>
      </c>
    </row>
    <row r="41" spans="1:9" ht="16.5">
      <c r="A41" s="43">
        <v>40008</v>
      </c>
      <c r="B41" s="44" t="s">
        <v>462</v>
      </c>
      <c r="C41" s="43">
        <v>215000</v>
      </c>
      <c r="D41" s="43">
        <v>3</v>
      </c>
      <c r="E41" s="43">
        <v>4</v>
      </c>
      <c r="F41" s="43">
        <v>35308</v>
      </c>
      <c r="G41" s="45">
        <v>40010</v>
      </c>
      <c r="I41" s="59" t="s">
        <v>463</v>
      </c>
    </row>
    <row r="42" spans="1:9" ht="16.5">
      <c r="A42" s="43">
        <v>40009</v>
      </c>
      <c r="B42" s="44" t="s">
        <v>464</v>
      </c>
      <c r="C42" s="43">
        <v>215000</v>
      </c>
      <c r="D42" s="43">
        <v>3</v>
      </c>
      <c r="E42" s="43">
        <v>4</v>
      </c>
      <c r="F42" s="43">
        <v>35309</v>
      </c>
      <c r="G42" s="45">
        <v>40011</v>
      </c>
      <c r="I42" s="59" t="s">
        <v>465</v>
      </c>
    </row>
    <row r="43" spans="1:9" ht="16.5">
      <c r="A43" s="48">
        <v>40012</v>
      </c>
      <c r="B43" s="47" t="s">
        <v>466</v>
      </c>
      <c r="C43" s="48">
        <v>65000</v>
      </c>
      <c r="D43" s="46">
        <v>3</v>
      </c>
      <c r="E43" s="48">
        <v>4</v>
      </c>
      <c r="F43" s="48">
        <v>35312</v>
      </c>
      <c r="G43" s="45">
        <v>40006</v>
      </c>
      <c r="I43" s="59" t="s">
        <v>467</v>
      </c>
    </row>
    <row r="44" spans="1:9" ht="16.5">
      <c r="A44" s="48">
        <v>40013</v>
      </c>
      <c r="B44" s="47" t="s">
        <v>490</v>
      </c>
      <c r="C44" s="48">
        <v>115000</v>
      </c>
      <c r="D44" s="46">
        <v>3</v>
      </c>
      <c r="E44" s="48">
        <v>4</v>
      </c>
      <c r="F44" s="48">
        <v>35313</v>
      </c>
      <c r="G44" s="49">
        <v>40007</v>
      </c>
      <c r="I44" s="59" t="s">
        <v>491</v>
      </c>
    </row>
    <row r="45" spans="1:9" ht="16.5">
      <c r="A45" s="46">
        <v>40014</v>
      </c>
      <c r="B45" s="47" t="s">
        <v>470</v>
      </c>
      <c r="C45" s="48">
        <v>215000</v>
      </c>
      <c r="D45" s="46">
        <v>20</v>
      </c>
      <c r="E45" s="46">
        <v>4</v>
      </c>
      <c r="F45" s="48">
        <v>35314</v>
      </c>
      <c r="G45" s="49">
        <v>40012</v>
      </c>
      <c r="I45" s="59" t="s">
        <v>471</v>
      </c>
    </row>
    <row r="46" spans="1:9" s="1" customFormat="1" ht="16.5">
      <c r="A46" s="50">
        <v>40015</v>
      </c>
      <c r="B46" s="51" t="s">
        <v>472</v>
      </c>
      <c r="C46" s="1">
        <v>45000</v>
      </c>
      <c r="D46" s="50">
        <v>2</v>
      </c>
      <c r="E46" s="50">
        <v>4</v>
      </c>
      <c r="F46" s="37">
        <v>35316</v>
      </c>
      <c r="G46" s="52">
        <v>40005</v>
      </c>
      <c r="I46" s="59" t="s">
        <v>473</v>
      </c>
    </row>
    <row r="47" spans="1:9" ht="16.5">
      <c r="A47" s="43">
        <v>50001</v>
      </c>
      <c r="B47" s="44" t="s">
        <v>450</v>
      </c>
      <c r="C47" s="43">
        <v>2000</v>
      </c>
      <c r="D47" s="43">
        <v>1</v>
      </c>
      <c r="E47" s="43">
        <v>5</v>
      </c>
      <c r="F47" s="43">
        <v>35401</v>
      </c>
      <c r="G47" s="45">
        <v>1</v>
      </c>
      <c r="I47" s="59" t="s">
        <v>451</v>
      </c>
    </row>
    <row r="48" spans="1:9" ht="16.5">
      <c r="A48" s="43">
        <v>50002</v>
      </c>
      <c r="B48" s="44" t="s">
        <v>486</v>
      </c>
      <c r="C48" s="43">
        <v>20000</v>
      </c>
      <c r="D48" s="43">
        <v>1</v>
      </c>
      <c r="E48" s="43">
        <v>5</v>
      </c>
      <c r="F48" s="43">
        <v>35402</v>
      </c>
      <c r="G48" s="45">
        <v>3</v>
      </c>
      <c r="I48" s="59" t="s">
        <v>487</v>
      </c>
    </row>
    <row r="49" spans="1:9" ht="16.5">
      <c r="A49" s="43">
        <v>50003</v>
      </c>
      <c r="B49" s="44" t="s">
        <v>472</v>
      </c>
      <c r="C49" s="43">
        <v>45000</v>
      </c>
      <c r="D49" s="43">
        <v>3</v>
      </c>
      <c r="E49" s="43">
        <v>5</v>
      </c>
      <c r="F49" s="43">
        <v>35403</v>
      </c>
      <c r="G49" s="43">
        <v>5</v>
      </c>
      <c r="I49" s="59" t="s">
        <v>473</v>
      </c>
    </row>
    <row r="50" spans="1:9" ht="16.5">
      <c r="A50" s="43">
        <v>50004</v>
      </c>
      <c r="B50" s="44" t="s">
        <v>488</v>
      </c>
      <c r="C50" s="43">
        <v>45000</v>
      </c>
      <c r="D50" s="43">
        <v>3</v>
      </c>
      <c r="E50" s="43">
        <v>5</v>
      </c>
      <c r="F50" s="43">
        <v>35404</v>
      </c>
      <c r="G50" s="43">
        <v>6</v>
      </c>
      <c r="I50" s="59" t="s">
        <v>489</v>
      </c>
    </row>
    <row r="51" spans="1:9" ht="16.5">
      <c r="A51" s="43">
        <v>50010</v>
      </c>
      <c r="B51" s="44" t="s">
        <v>456</v>
      </c>
      <c r="C51" s="43">
        <v>45000</v>
      </c>
      <c r="D51" s="43">
        <v>3</v>
      </c>
      <c r="E51" s="43">
        <v>5</v>
      </c>
      <c r="F51" s="43">
        <v>35410</v>
      </c>
      <c r="G51" s="43">
        <v>7</v>
      </c>
      <c r="I51" s="59" t="s">
        <v>457</v>
      </c>
    </row>
    <row r="52" spans="1:9" ht="16.5">
      <c r="A52" s="43">
        <v>50005</v>
      </c>
      <c r="B52" s="44" t="s">
        <v>458</v>
      </c>
      <c r="C52" s="43">
        <v>65000</v>
      </c>
      <c r="D52" s="43">
        <v>3</v>
      </c>
      <c r="E52" s="43">
        <v>5</v>
      </c>
      <c r="F52" s="43">
        <v>35405</v>
      </c>
      <c r="G52" s="43">
        <v>10</v>
      </c>
      <c r="I52" s="59" t="s">
        <v>459</v>
      </c>
    </row>
    <row r="53" spans="1:9" ht="16.5">
      <c r="A53" s="43">
        <v>50006</v>
      </c>
      <c r="B53" s="44" t="s">
        <v>460</v>
      </c>
      <c r="C53" s="43">
        <v>115000</v>
      </c>
      <c r="D53" s="43">
        <v>3</v>
      </c>
      <c r="E53" s="43">
        <v>5</v>
      </c>
      <c r="F53" s="43">
        <v>35406</v>
      </c>
      <c r="G53" s="43">
        <v>12</v>
      </c>
      <c r="I53" s="59" t="s">
        <v>461</v>
      </c>
    </row>
    <row r="54" spans="1:9" ht="16.5">
      <c r="A54" s="43">
        <v>50007</v>
      </c>
      <c r="B54" s="44" t="s">
        <v>462</v>
      </c>
      <c r="C54" s="43">
        <v>215000</v>
      </c>
      <c r="D54" s="43">
        <v>3</v>
      </c>
      <c r="E54" s="43">
        <v>5</v>
      </c>
      <c r="F54" s="43">
        <v>35407</v>
      </c>
      <c r="G54" s="43">
        <v>16</v>
      </c>
      <c r="I54" s="59" t="s">
        <v>463</v>
      </c>
    </row>
    <row r="55" spans="1:9" ht="16.5">
      <c r="A55" s="43">
        <v>50008</v>
      </c>
      <c r="B55" s="44" t="s">
        <v>464</v>
      </c>
      <c r="C55" s="43">
        <v>215000</v>
      </c>
      <c r="D55" s="43">
        <v>3</v>
      </c>
      <c r="E55" s="43">
        <v>5</v>
      </c>
      <c r="F55" s="43">
        <v>35408</v>
      </c>
      <c r="G55" s="43">
        <v>17</v>
      </c>
      <c r="I55" s="59" t="s">
        <v>465</v>
      </c>
    </row>
    <row r="56" spans="1:9" ht="16.5">
      <c r="A56" s="43">
        <v>50009</v>
      </c>
      <c r="B56" s="44" t="s">
        <v>492</v>
      </c>
      <c r="C56" s="43">
        <v>215000</v>
      </c>
      <c r="D56" s="43">
        <v>7</v>
      </c>
      <c r="E56" s="43">
        <v>5</v>
      </c>
      <c r="F56" s="43">
        <v>35409</v>
      </c>
      <c r="G56" s="43">
        <v>18</v>
      </c>
      <c r="I56" s="59" t="s">
        <v>493</v>
      </c>
    </row>
    <row r="57" spans="1:9" ht="16.5">
      <c r="A57" s="43">
        <v>50011</v>
      </c>
      <c r="B57" s="53" t="s">
        <v>494</v>
      </c>
      <c r="C57" s="54">
        <v>2000</v>
      </c>
      <c r="D57" s="54">
        <v>1</v>
      </c>
      <c r="E57" s="54">
        <v>5</v>
      </c>
      <c r="F57" s="54">
        <v>35411</v>
      </c>
      <c r="G57" s="43">
        <v>2</v>
      </c>
      <c r="I57" s="59" t="s">
        <v>495</v>
      </c>
    </row>
    <row r="58" spans="1:9" ht="16.5">
      <c r="A58" s="43">
        <v>50012</v>
      </c>
      <c r="B58" s="55" t="s">
        <v>496</v>
      </c>
      <c r="C58" s="12">
        <v>45000</v>
      </c>
      <c r="D58" s="12">
        <v>3</v>
      </c>
      <c r="E58" s="12">
        <v>5</v>
      </c>
      <c r="F58" s="12">
        <v>35412</v>
      </c>
      <c r="G58" s="43">
        <v>4</v>
      </c>
      <c r="I58" s="59" t="s">
        <v>497</v>
      </c>
    </row>
    <row r="59" spans="1:9" ht="16.5">
      <c r="A59" s="43">
        <v>50013</v>
      </c>
      <c r="B59" s="55" t="s">
        <v>498</v>
      </c>
      <c r="C59" s="12">
        <v>115000</v>
      </c>
      <c r="D59" s="12">
        <v>3</v>
      </c>
      <c r="E59" s="12">
        <v>5</v>
      </c>
      <c r="F59" s="12">
        <v>35413</v>
      </c>
      <c r="G59" s="43">
        <v>15</v>
      </c>
      <c r="I59" s="59" t="s">
        <v>499</v>
      </c>
    </row>
    <row r="60" spans="1:9" ht="16.5">
      <c r="A60" s="43">
        <v>50014</v>
      </c>
      <c r="B60" s="56" t="s">
        <v>500</v>
      </c>
      <c r="C60" s="57">
        <v>215000</v>
      </c>
      <c r="D60" s="57">
        <v>3</v>
      </c>
      <c r="E60" s="57">
        <v>5</v>
      </c>
      <c r="F60" s="57">
        <v>35414</v>
      </c>
      <c r="G60" s="43">
        <v>19</v>
      </c>
      <c r="I60" s="59" t="s">
        <v>501</v>
      </c>
    </row>
    <row r="61" spans="1:9" ht="16.5">
      <c r="A61" s="48">
        <v>50015</v>
      </c>
      <c r="B61" s="47" t="s">
        <v>466</v>
      </c>
      <c r="C61" s="48">
        <v>65000</v>
      </c>
      <c r="D61" s="46">
        <v>3</v>
      </c>
      <c r="E61" s="48">
        <v>5</v>
      </c>
      <c r="F61" s="48">
        <v>35415</v>
      </c>
      <c r="G61" s="49">
        <v>9</v>
      </c>
      <c r="I61" s="59" t="s">
        <v>467</v>
      </c>
    </row>
    <row r="62" spans="1:9" ht="16.5">
      <c r="A62" s="48">
        <v>50016</v>
      </c>
      <c r="B62" s="47" t="s">
        <v>490</v>
      </c>
      <c r="C62" s="48">
        <v>115000</v>
      </c>
      <c r="D62" s="46">
        <v>3</v>
      </c>
      <c r="E62" s="48">
        <v>5</v>
      </c>
      <c r="F62" s="48">
        <v>35416</v>
      </c>
      <c r="G62" s="49">
        <v>11</v>
      </c>
      <c r="I62" s="59" t="s">
        <v>491</v>
      </c>
    </row>
    <row r="63" spans="1:9" ht="16.5">
      <c r="A63" s="46">
        <v>50017</v>
      </c>
      <c r="B63" s="47" t="s">
        <v>470</v>
      </c>
      <c r="C63" s="48">
        <v>215000</v>
      </c>
      <c r="D63" s="46">
        <v>20</v>
      </c>
      <c r="E63" s="46">
        <v>5</v>
      </c>
      <c r="F63" s="48">
        <v>35417</v>
      </c>
      <c r="G63" s="49">
        <v>20</v>
      </c>
      <c r="I63" s="59" t="s">
        <v>471</v>
      </c>
    </row>
    <row r="64" spans="1:9" s="1" customFormat="1" ht="16.5">
      <c r="A64" s="50">
        <v>50018</v>
      </c>
      <c r="B64" s="58" t="s">
        <v>502</v>
      </c>
      <c r="C64" s="1">
        <v>115000</v>
      </c>
      <c r="D64" s="50">
        <v>3</v>
      </c>
      <c r="E64" s="50">
        <v>5</v>
      </c>
      <c r="F64" s="4">
        <v>35418</v>
      </c>
      <c r="G64" s="52">
        <v>13</v>
      </c>
      <c r="I64" s="59" t="s">
        <v>503</v>
      </c>
    </row>
    <row r="65" spans="1:9" s="1" customFormat="1" ht="16.5">
      <c r="A65" s="50">
        <v>50019</v>
      </c>
      <c r="B65" s="58" t="s">
        <v>504</v>
      </c>
      <c r="C65" s="1">
        <v>115000</v>
      </c>
      <c r="D65" s="50">
        <v>3</v>
      </c>
      <c r="E65" s="50">
        <v>5</v>
      </c>
      <c r="F65" s="4">
        <v>35419</v>
      </c>
      <c r="G65" s="52">
        <v>14</v>
      </c>
      <c r="I65" s="59" t="s">
        <v>505</v>
      </c>
    </row>
    <row r="66" spans="1:9" s="1" customFormat="1" ht="16.5">
      <c r="A66" s="50">
        <v>50020</v>
      </c>
      <c r="B66" s="51" t="s">
        <v>472</v>
      </c>
      <c r="C66" s="1">
        <v>45000</v>
      </c>
      <c r="D66" s="50">
        <v>2</v>
      </c>
      <c r="E66" s="50">
        <v>5</v>
      </c>
      <c r="F66" s="4">
        <v>35420</v>
      </c>
      <c r="G66" s="52">
        <v>8</v>
      </c>
      <c r="I66" s="59" t="s">
        <v>473</v>
      </c>
    </row>
    <row r="67" spans="1:9" ht="16.5">
      <c r="A67" s="43">
        <v>60001</v>
      </c>
      <c r="B67" s="44" t="s">
        <v>450</v>
      </c>
      <c r="C67" s="43">
        <v>2000</v>
      </c>
      <c r="D67" s="43">
        <v>1</v>
      </c>
      <c r="E67" s="43">
        <v>6</v>
      </c>
      <c r="F67" s="43">
        <v>35501</v>
      </c>
      <c r="G67" s="43">
        <v>1</v>
      </c>
      <c r="I67" s="59" t="s">
        <v>451</v>
      </c>
    </row>
    <row r="68" spans="1:9" ht="16.5">
      <c r="A68" s="43">
        <v>60002</v>
      </c>
      <c r="B68" s="44" t="s">
        <v>452</v>
      </c>
      <c r="C68" s="43">
        <v>20000</v>
      </c>
      <c r="D68" s="43">
        <v>1</v>
      </c>
      <c r="E68" s="43">
        <v>6</v>
      </c>
      <c r="F68" s="43">
        <v>35502</v>
      </c>
      <c r="G68" s="43">
        <v>3</v>
      </c>
      <c r="I68" s="59" t="s">
        <v>453</v>
      </c>
    </row>
    <row r="69" spans="1:9" ht="16.5">
      <c r="A69" s="43">
        <v>60003</v>
      </c>
      <c r="B69" s="44" t="s">
        <v>454</v>
      </c>
      <c r="C69" s="43">
        <v>45000</v>
      </c>
      <c r="D69" s="43">
        <v>3</v>
      </c>
      <c r="E69" s="43">
        <v>6</v>
      </c>
      <c r="F69" s="43">
        <v>35503</v>
      </c>
      <c r="G69" s="43">
        <v>4</v>
      </c>
      <c r="I69" s="59" t="s">
        <v>455</v>
      </c>
    </row>
    <row r="70" spans="1:9" ht="16.5">
      <c r="A70" s="43">
        <v>60004</v>
      </c>
      <c r="B70" s="44" t="s">
        <v>456</v>
      </c>
      <c r="C70" s="43">
        <v>45000</v>
      </c>
      <c r="D70" s="43">
        <v>3</v>
      </c>
      <c r="E70" s="43">
        <v>6</v>
      </c>
      <c r="F70" s="43">
        <v>35504</v>
      </c>
      <c r="G70" s="43">
        <v>5</v>
      </c>
      <c r="I70" s="59" t="s">
        <v>457</v>
      </c>
    </row>
    <row r="71" spans="1:9" ht="16.5">
      <c r="A71" s="43">
        <v>60005</v>
      </c>
      <c r="B71" s="44" t="s">
        <v>458</v>
      </c>
      <c r="C71" s="43">
        <v>65000</v>
      </c>
      <c r="D71" s="43">
        <v>3</v>
      </c>
      <c r="E71" s="43">
        <v>6</v>
      </c>
      <c r="F71" s="43">
        <v>35505</v>
      </c>
      <c r="G71" s="43">
        <v>8</v>
      </c>
      <c r="I71" s="59" t="s">
        <v>459</v>
      </c>
    </row>
    <row r="72" spans="1:9" ht="16.5">
      <c r="A72" s="43">
        <v>60006</v>
      </c>
      <c r="B72" s="44" t="s">
        <v>460</v>
      </c>
      <c r="C72" s="43">
        <v>115000</v>
      </c>
      <c r="D72" s="43">
        <v>3</v>
      </c>
      <c r="E72" s="43">
        <v>6</v>
      </c>
      <c r="F72" s="43">
        <v>35506</v>
      </c>
      <c r="G72" s="43">
        <v>11</v>
      </c>
      <c r="I72" s="59" t="s">
        <v>461</v>
      </c>
    </row>
    <row r="73" spans="1:9" ht="16.5">
      <c r="A73" s="43">
        <v>60007</v>
      </c>
      <c r="B73" s="44" t="s">
        <v>462</v>
      </c>
      <c r="C73" s="43">
        <v>215000</v>
      </c>
      <c r="D73" s="43">
        <v>3</v>
      </c>
      <c r="E73" s="43">
        <v>6</v>
      </c>
      <c r="F73" s="43">
        <v>35507</v>
      </c>
      <c r="G73" s="43">
        <v>19</v>
      </c>
      <c r="I73" s="59" t="s">
        <v>463</v>
      </c>
    </row>
    <row r="74" spans="1:9" ht="16.5">
      <c r="A74" s="43">
        <v>60008</v>
      </c>
      <c r="B74" s="44" t="s">
        <v>464</v>
      </c>
      <c r="C74" s="43">
        <v>215000</v>
      </c>
      <c r="D74" s="43">
        <v>3</v>
      </c>
      <c r="E74" s="43">
        <v>6</v>
      </c>
      <c r="F74" s="43">
        <v>35508</v>
      </c>
      <c r="G74" s="43">
        <v>20</v>
      </c>
      <c r="I74" s="59" t="s">
        <v>465</v>
      </c>
    </row>
    <row r="75" spans="1:9" ht="16.5">
      <c r="A75" s="43">
        <v>60009</v>
      </c>
      <c r="B75" s="44" t="s">
        <v>492</v>
      </c>
      <c r="C75" s="43">
        <v>215000</v>
      </c>
      <c r="D75" s="43">
        <v>7</v>
      </c>
      <c r="E75" s="43">
        <v>6</v>
      </c>
      <c r="F75" s="43">
        <v>35509</v>
      </c>
      <c r="G75" s="43">
        <v>21</v>
      </c>
      <c r="I75" s="59" t="s">
        <v>493</v>
      </c>
    </row>
    <row r="76" spans="1:9" ht="16.5">
      <c r="A76" s="43">
        <v>60010</v>
      </c>
      <c r="B76" s="44" t="s">
        <v>502</v>
      </c>
      <c r="C76" s="43">
        <v>115000</v>
      </c>
      <c r="D76" s="43">
        <v>3</v>
      </c>
      <c r="E76" s="43">
        <v>6</v>
      </c>
      <c r="F76" s="43">
        <v>35510</v>
      </c>
      <c r="G76" s="43">
        <v>17</v>
      </c>
      <c r="I76" s="59" t="s">
        <v>503</v>
      </c>
    </row>
    <row r="77" spans="1:9" ht="16.5">
      <c r="A77" s="43">
        <v>60011</v>
      </c>
      <c r="B77" s="44" t="s">
        <v>504</v>
      </c>
      <c r="C77" s="43">
        <v>115000</v>
      </c>
      <c r="D77" s="43">
        <v>3</v>
      </c>
      <c r="E77" s="43">
        <v>6</v>
      </c>
      <c r="F77" s="43">
        <v>35511</v>
      </c>
      <c r="G77" s="43">
        <v>18</v>
      </c>
      <c r="I77" s="59" t="s">
        <v>505</v>
      </c>
    </row>
    <row r="78" spans="1:9" ht="16.5">
      <c r="A78" s="43">
        <v>60012</v>
      </c>
      <c r="B78" s="53" t="s">
        <v>494</v>
      </c>
      <c r="C78" s="12">
        <v>2000</v>
      </c>
      <c r="D78" s="12">
        <v>1</v>
      </c>
      <c r="E78" s="12">
        <v>6</v>
      </c>
      <c r="F78">
        <v>35512</v>
      </c>
      <c r="G78" s="43">
        <v>2</v>
      </c>
      <c r="I78" s="59" t="s">
        <v>495</v>
      </c>
    </row>
    <row r="79" spans="1:9" ht="16.5">
      <c r="A79" s="43">
        <v>60013</v>
      </c>
      <c r="B79" s="55" t="s">
        <v>496</v>
      </c>
      <c r="C79" s="12">
        <v>45000</v>
      </c>
      <c r="D79" s="12">
        <v>3</v>
      </c>
      <c r="E79" s="12">
        <v>6</v>
      </c>
      <c r="F79">
        <v>35513</v>
      </c>
      <c r="G79" s="43">
        <v>6</v>
      </c>
      <c r="I79" s="59" t="s">
        <v>497</v>
      </c>
    </row>
    <row r="80" spans="1:9" ht="16.5">
      <c r="A80" s="43">
        <v>60014</v>
      </c>
      <c r="B80" s="55" t="s">
        <v>498</v>
      </c>
      <c r="C80" s="12">
        <v>115000</v>
      </c>
      <c r="D80" s="12">
        <v>3</v>
      </c>
      <c r="E80" s="12">
        <v>6</v>
      </c>
      <c r="F80">
        <v>35514</v>
      </c>
      <c r="G80" s="43">
        <v>12</v>
      </c>
      <c r="I80" s="59" t="s">
        <v>499</v>
      </c>
    </row>
    <row r="81" spans="1:9" ht="16.5">
      <c r="A81" s="43">
        <v>60015</v>
      </c>
      <c r="B81" s="56" t="s">
        <v>500</v>
      </c>
      <c r="C81" s="57">
        <v>215000</v>
      </c>
      <c r="D81" s="57">
        <v>3</v>
      </c>
      <c r="E81" s="57">
        <v>6</v>
      </c>
      <c r="F81">
        <v>35515</v>
      </c>
      <c r="G81" s="43">
        <v>22</v>
      </c>
      <c r="I81" s="59" t="s">
        <v>501</v>
      </c>
    </row>
    <row r="82" spans="1:9" ht="16.5">
      <c r="A82" s="43">
        <v>60016</v>
      </c>
      <c r="B82" s="56" t="s">
        <v>506</v>
      </c>
      <c r="C82" s="57">
        <v>215000</v>
      </c>
      <c r="D82" s="12">
        <v>3</v>
      </c>
      <c r="E82" s="12">
        <v>6</v>
      </c>
      <c r="F82">
        <v>35516</v>
      </c>
      <c r="G82" s="43">
        <v>23</v>
      </c>
      <c r="I82" s="59" t="s">
        <v>507</v>
      </c>
    </row>
    <row r="83" spans="1:9" ht="16.5">
      <c r="A83" s="43">
        <v>60017</v>
      </c>
      <c r="B83" s="56" t="s">
        <v>508</v>
      </c>
      <c r="C83" s="12">
        <v>65000</v>
      </c>
      <c r="D83" s="12">
        <v>3</v>
      </c>
      <c r="E83" s="12">
        <v>6</v>
      </c>
      <c r="F83">
        <v>35517</v>
      </c>
      <c r="G83" s="14">
        <v>9</v>
      </c>
      <c r="I83" s="59" t="s">
        <v>509</v>
      </c>
    </row>
    <row r="84" spans="1:9" ht="16.5">
      <c r="A84" s="43">
        <v>60018</v>
      </c>
      <c r="B84" s="56" t="s">
        <v>510</v>
      </c>
      <c r="C84" s="12">
        <v>115000</v>
      </c>
      <c r="D84" s="12">
        <v>3</v>
      </c>
      <c r="E84" s="12">
        <v>6</v>
      </c>
      <c r="F84">
        <v>35518</v>
      </c>
      <c r="G84" s="14">
        <v>13</v>
      </c>
      <c r="I84" s="59" t="s">
        <v>511</v>
      </c>
    </row>
    <row r="85" spans="1:9" ht="16.5">
      <c r="A85" s="43">
        <v>60019</v>
      </c>
      <c r="B85" s="56" t="s">
        <v>512</v>
      </c>
      <c r="C85" s="12">
        <v>215000</v>
      </c>
      <c r="D85" s="12">
        <v>3</v>
      </c>
      <c r="E85" s="12">
        <v>6</v>
      </c>
      <c r="F85">
        <v>35519</v>
      </c>
      <c r="G85" s="14">
        <v>24</v>
      </c>
      <c r="I85" s="59" t="s">
        <v>513</v>
      </c>
    </row>
    <row r="86" spans="1:9" ht="16.5">
      <c r="A86" s="43">
        <v>60020</v>
      </c>
      <c r="B86" s="56" t="s">
        <v>514</v>
      </c>
      <c r="C86" s="12">
        <v>215000</v>
      </c>
      <c r="D86" s="12">
        <v>3</v>
      </c>
      <c r="E86" s="12">
        <v>6</v>
      </c>
      <c r="F86">
        <v>35520</v>
      </c>
      <c r="G86" s="14">
        <v>25</v>
      </c>
      <c r="I86" s="59" t="s">
        <v>515</v>
      </c>
    </row>
    <row r="87" spans="1:9" ht="16.5">
      <c r="A87" s="48">
        <v>60021</v>
      </c>
      <c r="B87" s="47" t="s">
        <v>466</v>
      </c>
      <c r="C87" s="48">
        <v>65000</v>
      </c>
      <c r="D87" s="46">
        <v>3</v>
      </c>
      <c r="E87" s="48">
        <v>6</v>
      </c>
      <c r="F87" s="48">
        <v>35521</v>
      </c>
      <c r="G87" s="60">
        <v>10</v>
      </c>
      <c r="I87" s="59" t="s">
        <v>467</v>
      </c>
    </row>
    <row r="88" spans="1:9" ht="16.5">
      <c r="A88" s="48">
        <v>60022</v>
      </c>
      <c r="B88" s="47" t="s">
        <v>490</v>
      </c>
      <c r="C88" s="48">
        <v>115000</v>
      </c>
      <c r="D88" s="46">
        <v>3</v>
      </c>
      <c r="E88" s="48">
        <v>6</v>
      </c>
      <c r="F88" s="48">
        <v>35522</v>
      </c>
      <c r="G88" s="60">
        <v>14</v>
      </c>
      <c r="I88" s="59" t="s">
        <v>491</v>
      </c>
    </row>
    <row r="89" spans="1:9" ht="16.5">
      <c r="A89" s="46">
        <v>60023</v>
      </c>
      <c r="B89" s="47" t="s">
        <v>470</v>
      </c>
      <c r="C89" s="48">
        <v>215000</v>
      </c>
      <c r="D89" s="46">
        <v>20</v>
      </c>
      <c r="E89" s="46">
        <v>6</v>
      </c>
      <c r="F89" s="48">
        <v>35523</v>
      </c>
      <c r="G89" s="60"/>
      <c r="I89" s="59" t="s">
        <v>471</v>
      </c>
    </row>
    <row r="90" spans="1:9" s="1" customFormat="1" ht="16.5">
      <c r="A90" s="50">
        <v>60024</v>
      </c>
      <c r="B90" s="58" t="s">
        <v>502</v>
      </c>
      <c r="C90" s="1">
        <v>115000</v>
      </c>
      <c r="D90" s="1">
        <v>3</v>
      </c>
      <c r="E90" s="1">
        <v>5</v>
      </c>
      <c r="F90" s="37">
        <v>35524</v>
      </c>
      <c r="G90" s="42">
        <v>15</v>
      </c>
      <c r="I90" s="59" t="s">
        <v>503</v>
      </c>
    </row>
    <row r="91" spans="1:9" s="1" customFormat="1" ht="16.5">
      <c r="A91" s="50">
        <v>60025</v>
      </c>
      <c r="B91" s="58" t="s">
        <v>504</v>
      </c>
      <c r="C91" s="1">
        <v>115000</v>
      </c>
      <c r="D91" s="1">
        <v>3</v>
      </c>
      <c r="E91" s="1">
        <v>5</v>
      </c>
      <c r="F91" s="37">
        <v>35525</v>
      </c>
      <c r="G91" s="42">
        <v>16</v>
      </c>
      <c r="I91" s="59" t="s">
        <v>505</v>
      </c>
    </row>
    <row r="92" spans="1:9" s="1" customFormat="1" ht="16.5">
      <c r="A92" s="50">
        <v>60026</v>
      </c>
      <c r="B92" s="51" t="s">
        <v>472</v>
      </c>
      <c r="C92" s="1">
        <v>45000</v>
      </c>
      <c r="D92" s="50">
        <v>2</v>
      </c>
      <c r="E92" s="50">
        <v>6</v>
      </c>
      <c r="F92" s="37">
        <v>35526</v>
      </c>
      <c r="G92" s="61">
        <v>7</v>
      </c>
      <c r="I92" s="59" t="s">
        <v>473</v>
      </c>
    </row>
  </sheetData>
  <conditionalFormatting sqref="F34">
    <cfRule type="duplicateValues" dxfId="30" priority="5"/>
    <cfRule type="duplicateValues" dxfId="29" priority="6"/>
    <cfRule type="duplicateValues" dxfId="28" priority="7"/>
    <cfRule type="cellIs" dxfId="27" priority="8" operator="equal">
      <formula>110509</formula>
    </cfRule>
  </conditionalFormatting>
  <conditionalFormatting sqref="F46">
    <cfRule type="duplicateValues" dxfId="26" priority="1"/>
    <cfRule type="duplicateValues" dxfId="25" priority="2"/>
    <cfRule type="duplicateValues" dxfId="24" priority="3"/>
    <cfRule type="cellIs" dxfId="23" priority="4" operator="equal">
      <formula>110509</formula>
    </cfRule>
  </conditionalFormatting>
  <conditionalFormatting sqref="G1 G14:G20 G93:G1048576">
    <cfRule type="duplicateValues" dxfId="22" priority="42"/>
  </conditionalFormatting>
  <conditionalFormatting sqref="G2:G13">
    <cfRule type="duplicateValues" dxfId="21" priority="44"/>
  </conditionalFormatting>
  <conditionalFormatting sqref="G21">
    <cfRule type="duplicateValues" dxfId="20" priority="17"/>
  </conditionalFormatting>
  <conditionalFormatting sqref="G22:G34">
    <cfRule type="duplicateValues" dxfId="19" priority="45"/>
  </conditionalFormatting>
  <conditionalFormatting sqref="G35:G46">
    <cfRule type="duplicateValues" dxfId="18" priority="46"/>
  </conditionalFormatting>
  <conditionalFormatting sqref="G47:G66">
    <cfRule type="duplicateValues" dxfId="17" priority="47"/>
  </conditionalFormatting>
  <conditionalFormatting sqref="G67:G92">
    <cfRule type="duplicateValues" dxfId="16" priority="48"/>
  </conditionalFormatting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41"/>
  <sheetViews>
    <sheetView topLeftCell="A16" workbookViewId="0">
      <selection activeCell="H30" sqref="H30"/>
    </sheetView>
  </sheetViews>
  <sheetFormatPr defaultColWidth="9" defaultRowHeight="14.25"/>
  <cols>
    <col min="2" max="2" width="11.25" customWidth="1"/>
    <col min="9" max="9" width="51" customWidth="1"/>
    <col min="10" max="10" width="13.25" customWidth="1"/>
    <col min="11" max="11" width="14" customWidth="1"/>
    <col min="13" max="13" width="44.125" customWidth="1"/>
  </cols>
  <sheetData>
    <row r="1" spans="1:14" ht="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516</v>
      </c>
      <c r="H1" s="7" t="s">
        <v>77</v>
      </c>
      <c r="I1" s="7" t="s">
        <v>517</v>
      </c>
      <c r="J1" s="7" t="s">
        <v>518</v>
      </c>
      <c r="K1" s="7" t="s">
        <v>519</v>
      </c>
      <c r="L1" s="7" t="s">
        <v>443</v>
      </c>
      <c r="M1" s="7" t="s">
        <v>193</v>
      </c>
      <c r="N1" s="7" t="s">
        <v>13</v>
      </c>
    </row>
    <row r="2" spans="1:14" ht="16.5">
      <c r="A2" s="12">
        <v>100001</v>
      </c>
      <c r="B2" s="12" t="s">
        <v>520</v>
      </c>
      <c r="C2" s="12">
        <v>2</v>
      </c>
      <c r="D2" s="12" t="s">
        <v>19</v>
      </c>
      <c r="E2" s="12">
        <v>22</v>
      </c>
      <c r="F2" s="12" t="s">
        <v>20</v>
      </c>
      <c r="G2" s="12">
        <v>1</v>
      </c>
      <c r="H2" s="12">
        <v>1</v>
      </c>
      <c r="I2" s="11" t="s">
        <v>521</v>
      </c>
      <c r="J2" s="12">
        <v>2000</v>
      </c>
      <c r="K2" s="12">
        <v>100000</v>
      </c>
      <c r="L2" s="12">
        <v>26001</v>
      </c>
      <c r="M2" t="s">
        <v>522</v>
      </c>
      <c r="N2" s="14">
        <v>61001</v>
      </c>
    </row>
    <row r="3" spans="1:14" ht="16.5">
      <c r="A3" s="12">
        <v>100002</v>
      </c>
      <c r="B3" s="12" t="s">
        <v>523</v>
      </c>
      <c r="C3" s="12">
        <v>29</v>
      </c>
      <c r="D3" s="12" t="s">
        <v>19</v>
      </c>
      <c r="E3" s="12">
        <v>49</v>
      </c>
      <c r="F3" s="12" t="s">
        <v>20</v>
      </c>
      <c r="G3" s="12">
        <v>2</v>
      </c>
      <c r="H3" s="12">
        <v>1</v>
      </c>
      <c r="I3" s="11" t="s">
        <v>524</v>
      </c>
      <c r="J3" s="12">
        <v>2000</v>
      </c>
      <c r="K3" s="12">
        <v>100000</v>
      </c>
      <c r="L3" s="12">
        <v>26002</v>
      </c>
      <c r="M3" t="s">
        <v>525</v>
      </c>
      <c r="N3" s="14">
        <v>61001</v>
      </c>
    </row>
    <row r="4" spans="1:14" ht="16.5">
      <c r="A4" s="12">
        <v>100003</v>
      </c>
      <c r="B4" s="12" t="s">
        <v>526</v>
      </c>
      <c r="C4" s="12">
        <v>56</v>
      </c>
      <c r="D4" s="12" t="s">
        <v>19</v>
      </c>
      <c r="E4" s="12">
        <v>76</v>
      </c>
      <c r="F4" s="12" t="s">
        <v>20</v>
      </c>
      <c r="G4" s="12">
        <v>3</v>
      </c>
      <c r="H4" s="12">
        <v>1</v>
      </c>
      <c r="I4" s="11" t="s">
        <v>527</v>
      </c>
      <c r="J4" s="12">
        <v>2000</v>
      </c>
      <c r="K4" s="12">
        <v>100000</v>
      </c>
      <c r="L4" s="12">
        <v>26003</v>
      </c>
      <c r="M4" t="s">
        <v>528</v>
      </c>
      <c r="N4" s="14">
        <v>61001</v>
      </c>
    </row>
    <row r="5" spans="1:14" ht="16.5">
      <c r="A5" s="12">
        <v>100004</v>
      </c>
      <c r="B5" s="12" t="s">
        <v>529</v>
      </c>
      <c r="C5" s="12">
        <v>83</v>
      </c>
      <c r="D5" s="12" t="s">
        <v>19</v>
      </c>
      <c r="E5" s="12">
        <v>103</v>
      </c>
      <c r="F5" s="12" t="s">
        <v>20</v>
      </c>
      <c r="G5" s="12">
        <v>4</v>
      </c>
      <c r="H5" s="12">
        <v>1</v>
      </c>
      <c r="I5" s="11" t="s">
        <v>521</v>
      </c>
      <c r="J5" s="12">
        <v>2000</v>
      </c>
      <c r="K5" s="12">
        <v>100000</v>
      </c>
      <c r="L5" s="12">
        <v>26004</v>
      </c>
      <c r="M5" t="s">
        <v>522</v>
      </c>
      <c r="N5" s="14">
        <v>61001</v>
      </c>
    </row>
    <row r="6" spans="1:14" ht="16.5">
      <c r="A6" s="12">
        <v>100005</v>
      </c>
      <c r="B6" s="12" t="s">
        <v>530</v>
      </c>
      <c r="C6" s="12">
        <v>110</v>
      </c>
      <c r="D6" s="12" t="s">
        <v>19</v>
      </c>
      <c r="E6" s="12">
        <v>130</v>
      </c>
      <c r="F6" s="12" t="s">
        <v>20</v>
      </c>
      <c r="G6" s="12">
        <v>5</v>
      </c>
      <c r="H6" s="12">
        <v>1</v>
      </c>
      <c r="I6" s="11" t="s">
        <v>531</v>
      </c>
      <c r="J6" s="12">
        <v>2000</v>
      </c>
      <c r="K6" s="12">
        <v>100000</v>
      </c>
      <c r="L6" s="12">
        <v>26005</v>
      </c>
      <c r="M6" t="s">
        <v>532</v>
      </c>
      <c r="N6" s="14">
        <v>61001</v>
      </c>
    </row>
    <row r="7" spans="1:14" ht="16.5">
      <c r="A7" s="12">
        <v>100006</v>
      </c>
      <c r="B7" s="12" t="s">
        <v>533</v>
      </c>
      <c r="C7" s="12">
        <v>137</v>
      </c>
      <c r="D7" s="12" t="s">
        <v>19</v>
      </c>
      <c r="E7" s="12">
        <v>157</v>
      </c>
      <c r="F7" s="12" t="s">
        <v>20</v>
      </c>
      <c r="G7" s="12">
        <v>6</v>
      </c>
      <c r="H7" s="12">
        <v>1</v>
      </c>
      <c r="I7" s="11" t="s">
        <v>534</v>
      </c>
      <c r="J7" s="12">
        <v>2000</v>
      </c>
      <c r="K7" s="12">
        <v>100000</v>
      </c>
      <c r="L7" s="12">
        <v>26006</v>
      </c>
      <c r="M7" t="s">
        <v>535</v>
      </c>
      <c r="N7" s="14">
        <v>61001</v>
      </c>
    </row>
    <row r="8" spans="1:14" ht="16.5">
      <c r="A8" s="12">
        <v>100007</v>
      </c>
      <c r="B8" s="12" t="s">
        <v>536</v>
      </c>
      <c r="C8" s="12">
        <v>164</v>
      </c>
      <c r="D8" s="12" t="s">
        <v>19</v>
      </c>
      <c r="E8" s="12">
        <v>184</v>
      </c>
      <c r="F8" s="12" t="s">
        <v>20</v>
      </c>
      <c r="G8" s="12">
        <v>6</v>
      </c>
      <c r="H8" s="12">
        <v>1</v>
      </c>
      <c r="I8" s="11" t="s">
        <v>534</v>
      </c>
      <c r="J8" s="12">
        <v>2000</v>
      </c>
      <c r="K8" s="12">
        <v>100000</v>
      </c>
      <c r="L8" s="12">
        <v>26007</v>
      </c>
      <c r="M8" t="s">
        <v>535</v>
      </c>
      <c r="N8" s="14">
        <v>61001</v>
      </c>
    </row>
    <row r="9" spans="1:14" ht="16.5">
      <c r="A9" s="12">
        <v>100008</v>
      </c>
      <c r="B9" s="12" t="s">
        <v>537</v>
      </c>
      <c r="C9" s="12">
        <v>191</v>
      </c>
      <c r="D9" s="12" t="s">
        <v>19</v>
      </c>
      <c r="E9" s="12">
        <v>211</v>
      </c>
      <c r="F9" s="12" t="s">
        <v>20</v>
      </c>
      <c r="G9" s="12">
        <v>7</v>
      </c>
      <c r="H9" s="12">
        <v>1</v>
      </c>
      <c r="I9" s="11" t="s">
        <v>531</v>
      </c>
      <c r="J9" s="12">
        <v>2000</v>
      </c>
      <c r="K9" s="12">
        <v>100000</v>
      </c>
      <c r="L9" s="12">
        <v>26008</v>
      </c>
      <c r="M9" t="s">
        <v>532</v>
      </c>
      <c r="N9" s="14">
        <v>61001</v>
      </c>
    </row>
    <row r="10" spans="1:14" ht="16.5">
      <c r="A10" s="12">
        <v>100009</v>
      </c>
      <c r="B10" s="12" t="s">
        <v>538</v>
      </c>
      <c r="C10" s="12">
        <v>218</v>
      </c>
      <c r="D10" s="12" t="s">
        <v>19</v>
      </c>
      <c r="E10" s="12">
        <v>238</v>
      </c>
      <c r="F10" s="12" t="s">
        <v>20</v>
      </c>
      <c r="G10" s="12">
        <v>8</v>
      </c>
      <c r="H10" s="12">
        <v>1</v>
      </c>
      <c r="I10" s="11" t="s">
        <v>539</v>
      </c>
      <c r="J10" s="12">
        <v>2000</v>
      </c>
      <c r="K10" s="12">
        <v>100000</v>
      </c>
      <c r="L10" s="12">
        <v>26009</v>
      </c>
      <c r="M10" t="s">
        <v>540</v>
      </c>
      <c r="N10" s="14">
        <v>61001</v>
      </c>
    </row>
    <row r="11" spans="1:14" ht="16.5">
      <c r="A11" s="12">
        <v>100010</v>
      </c>
      <c r="B11" s="12" t="s">
        <v>541</v>
      </c>
      <c r="C11" s="12">
        <v>245</v>
      </c>
      <c r="D11" s="12" t="s">
        <v>19</v>
      </c>
      <c r="E11" s="12">
        <v>265</v>
      </c>
      <c r="F11" s="12" t="s">
        <v>20</v>
      </c>
      <c r="G11" s="12">
        <v>9</v>
      </c>
      <c r="H11" s="12">
        <v>1</v>
      </c>
      <c r="I11" s="11" t="s">
        <v>542</v>
      </c>
      <c r="J11" s="12">
        <v>2000</v>
      </c>
      <c r="K11" s="12">
        <v>100000</v>
      </c>
      <c r="L11" s="12">
        <v>26010</v>
      </c>
      <c r="M11" s="29" t="s">
        <v>543</v>
      </c>
      <c r="N11" s="14">
        <v>61001</v>
      </c>
    </row>
    <row r="12" spans="1:14" ht="16.5">
      <c r="A12" s="12">
        <v>100011</v>
      </c>
      <c r="B12" s="12" t="s">
        <v>544</v>
      </c>
      <c r="C12" s="12">
        <v>272</v>
      </c>
      <c r="D12" s="12" t="s">
        <v>19</v>
      </c>
      <c r="E12" s="12">
        <v>292</v>
      </c>
      <c r="F12" s="12" t="s">
        <v>20</v>
      </c>
      <c r="G12" s="12">
        <v>10</v>
      </c>
      <c r="H12" s="12">
        <v>1</v>
      </c>
      <c r="I12" s="11" t="s">
        <v>539</v>
      </c>
      <c r="J12" s="12">
        <v>2000</v>
      </c>
      <c r="K12" s="12">
        <v>100000</v>
      </c>
      <c r="L12" s="12">
        <v>26011</v>
      </c>
      <c r="M12" t="s">
        <v>540</v>
      </c>
      <c r="N12" s="14">
        <v>61001</v>
      </c>
    </row>
    <row r="13" spans="1:14" ht="16.5">
      <c r="A13" s="12">
        <v>100012</v>
      </c>
      <c r="B13" s="12" t="s">
        <v>545</v>
      </c>
      <c r="C13" s="12">
        <v>299</v>
      </c>
      <c r="D13" s="12" t="s">
        <v>19</v>
      </c>
      <c r="E13" s="12">
        <v>319</v>
      </c>
      <c r="F13" s="12" t="s">
        <v>20</v>
      </c>
      <c r="G13" s="12">
        <v>11</v>
      </c>
      <c r="H13" s="12">
        <v>1</v>
      </c>
      <c r="I13" s="11" t="s">
        <v>542</v>
      </c>
      <c r="J13" s="12">
        <v>2000</v>
      </c>
      <c r="K13" s="12">
        <v>100000</v>
      </c>
      <c r="L13" s="12">
        <v>26012</v>
      </c>
      <c r="M13" s="29" t="s">
        <v>543</v>
      </c>
      <c r="N13" s="14">
        <v>61001</v>
      </c>
    </row>
    <row r="14" spans="1:14" ht="16.5">
      <c r="A14" s="12">
        <v>100013</v>
      </c>
      <c r="B14" s="12" t="s">
        <v>546</v>
      </c>
      <c r="C14" s="12">
        <v>326</v>
      </c>
      <c r="D14" s="12" t="s">
        <v>19</v>
      </c>
      <c r="E14" s="12">
        <v>346</v>
      </c>
      <c r="F14" s="12" t="s">
        <v>20</v>
      </c>
      <c r="G14" s="12">
        <v>12</v>
      </c>
      <c r="H14" s="12">
        <v>1</v>
      </c>
      <c r="I14" s="11" t="s">
        <v>539</v>
      </c>
      <c r="J14" s="12">
        <v>2000</v>
      </c>
      <c r="K14" s="12">
        <v>100000</v>
      </c>
      <c r="L14" s="12">
        <v>26013</v>
      </c>
      <c r="M14" t="s">
        <v>540</v>
      </c>
      <c r="N14" s="14">
        <v>61001</v>
      </c>
    </row>
    <row r="15" spans="1:14" ht="16.5">
      <c r="A15" s="12">
        <v>100014</v>
      </c>
      <c r="B15" s="12" t="s">
        <v>547</v>
      </c>
      <c r="C15" s="12">
        <v>353</v>
      </c>
      <c r="D15" s="12" t="s">
        <v>19</v>
      </c>
      <c r="E15" s="12">
        <v>373</v>
      </c>
      <c r="F15" s="12" t="s">
        <v>20</v>
      </c>
      <c r="G15" s="12">
        <v>13</v>
      </c>
      <c r="H15" s="12">
        <v>1</v>
      </c>
      <c r="I15" s="11" t="s">
        <v>539</v>
      </c>
      <c r="J15" s="12">
        <v>2000</v>
      </c>
      <c r="K15" s="12">
        <v>100000</v>
      </c>
      <c r="L15" s="12">
        <v>26014</v>
      </c>
      <c r="M15" t="s">
        <v>540</v>
      </c>
      <c r="N15" s="14">
        <v>61001</v>
      </c>
    </row>
    <row r="16" spans="1:14" ht="16.5">
      <c r="A16" s="12">
        <v>100015</v>
      </c>
      <c r="B16" s="12" t="s">
        <v>548</v>
      </c>
      <c r="C16" s="12">
        <f t="shared" ref="C16:C41" si="0">C15+27</f>
        <v>380</v>
      </c>
      <c r="D16" s="12" t="s">
        <v>19</v>
      </c>
      <c r="E16" s="12">
        <f t="shared" ref="E16:E41" si="1">E15+27</f>
        <v>400</v>
      </c>
      <c r="F16" s="12" t="s">
        <v>20</v>
      </c>
      <c r="G16" s="12">
        <v>14</v>
      </c>
      <c r="H16" s="12">
        <v>1</v>
      </c>
      <c r="I16" s="11" t="s">
        <v>539</v>
      </c>
      <c r="J16" s="12">
        <v>2000</v>
      </c>
      <c r="K16" s="12">
        <v>100000</v>
      </c>
      <c r="L16" s="12">
        <v>26015</v>
      </c>
      <c r="M16" t="s">
        <v>540</v>
      </c>
      <c r="N16" s="14">
        <v>61001</v>
      </c>
    </row>
    <row r="17" spans="1:14" ht="16.5">
      <c r="A17" s="12">
        <v>100016</v>
      </c>
      <c r="B17" s="12" t="s">
        <v>549</v>
      </c>
      <c r="C17" s="12">
        <f t="shared" si="0"/>
        <v>407</v>
      </c>
      <c r="D17" s="12" t="s">
        <v>19</v>
      </c>
      <c r="E17" s="12">
        <f t="shared" si="1"/>
        <v>427</v>
      </c>
      <c r="F17" s="12" t="s">
        <v>20</v>
      </c>
      <c r="G17" s="12">
        <v>14</v>
      </c>
      <c r="H17" s="12">
        <v>1</v>
      </c>
      <c r="I17" s="11" t="s">
        <v>539</v>
      </c>
      <c r="J17" s="12">
        <v>2000</v>
      </c>
      <c r="K17" s="12">
        <v>100000</v>
      </c>
      <c r="L17" s="12">
        <v>26016</v>
      </c>
      <c r="M17" t="s">
        <v>540</v>
      </c>
      <c r="N17" s="14">
        <v>61001</v>
      </c>
    </row>
    <row r="18" spans="1:14" ht="16.5">
      <c r="A18" s="12">
        <v>100017</v>
      </c>
      <c r="B18" s="12" t="s">
        <v>550</v>
      </c>
      <c r="C18" s="12">
        <f t="shared" si="0"/>
        <v>434</v>
      </c>
      <c r="D18" s="12" t="s">
        <v>19</v>
      </c>
      <c r="E18" s="12">
        <f t="shared" si="1"/>
        <v>454</v>
      </c>
      <c r="F18" s="12" t="s">
        <v>20</v>
      </c>
      <c r="G18" s="12">
        <v>14</v>
      </c>
      <c r="H18" s="12">
        <v>1</v>
      </c>
      <c r="I18" s="11" t="s">
        <v>539</v>
      </c>
      <c r="J18" s="12">
        <v>2000</v>
      </c>
      <c r="K18" s="12">
        <v>100000</v>
      </c>
      <c r="L18" s="12">
        <v>26017</v>
      </c>
      <c r="M18" t="s">
        <v>540</v>
      </c>
      <c r="N18" s="14">
        <v>61001</v>
      </c>
    </row>
    <row r="19" spans="1:14" ht="16.5">
      <c r="A19" s="36">
        <v>100018</v>
      </c>
      <c r="B19" s="36" t="s">
        <v>551</v>
      </c>
      <c r="C19" s="36">
        <f t="shared" si="0"/>
        <v>461</v>
      </c>
      <c r="D19" s="36" t="s">
        <v>19</v>
      </c>
      <c r="E19" s="36">
        <f t="shared" si="1"/>
        <v>481</v>
      </c>
      <c r="F19" s="36" t="s">
        <v>20</v>
      </c>
      <c r="G19" s="36">
        <v>14</v>
      </c>
      <c r="H19" s="36">
        <v>1</v>
      </c>
      <c r="I19" s="38" t="s">
        <v>539</v>
      </c>
      <c r="J19" s="36">
        <v>2000</v>
      </c>
      <c r="K19" s="12">
        <v>100000</v>
      </c>
      <c r="L19" s="36">
        <v>26018</v>
      </c>
      <c r="M19" s="39" t="s">
        <v>540</v>
      </c>
      <c r="N19" s="40">
        <v>61001</v>
      </c>
    </row>
    <row r="20" spans="1:14" ht="16.5">
      <c r="A20" s="36">
        <v>100019</v>
      </c>
      <c r="B20" s="36" t="s">
        <v>552</v>
      </c>
      <c r="C20" s="36">
        <f t="shared" si="0"/>
        <v>488</v>
      </c>
      <c r="D20" s="36" t="s">
        <v>19</v>
      </c>
      <c r="E20" s="36">
        <f t="shared" si="1"/>
        <v>508</v>
      </c>
      <c r="F20" s="36" t="s">
        <v>20</v>
      </c>
      <c r="G20" s="36">
        <v>14</v>
      </c>
      <c r="H20" s="36">
        <v>1</v>
      </c>
      <c r="I20" s="38" t="s">
        <v>539</v>
      </c>
      <c r="J20" s="36">
        <v>2000</v>
      </c>
      <c r="K20" s="12">
        <v>100000</v>
      </c>
      <c r="L20" s="36">
        <v>26019</v>
      </c>
      <c r="M20" s="39" t="s">
        <v>540</v>
      </c>
      <c r="N20" s="40">
        <v>61001</v>
      </c>
    </row>
    <row r="21" spans="1:14" ht="16.5">
      <c r="A21" s="36">
        <v>100020</v>
      </c>
      <c r="B21" s="36" t="s">
        <v>553</v>
      </c>
      <c r="C21" s="36">
        <f t="shared" si="0"/>
        <v>515</v>
      </c>
      <c r="D21" s="36" t="s">
        <v>19</v>
      </c>
      <c r="E21" s="36">
        <f t="shared" si="1"/>
        <v>535</v>
      </c>
      <c r="F21" s="36" t="s">
        <v>20</v>
      </c>
      <c r="G21" s="36">
        <v>14</v>
      </c>
      <c r="H21" s="36">
        <v>1</v>
      </c>
      <c r="I21" s="38" t="s">
        <v>539</v>
      </c>
      <c r="J21" s="36">
        <v>2000</v>
      </c>
      <c r="K21" s="12">
        <v>100000</v>
      </c>
      <c r="L21" s="36">
        <v>26020</v>
      </c>
      <c r="M21" s="39" t="s">
        <v>540</v>
      </c>
      <c r="N21" s="40">
        <v>61001</v>
      </c>
    </row>
    <row r="22" spans="1:14" ht="16.5">
      <c r="A22" s="36">
        <v>100021</v>
      </c>
      <c r="B22" s="36" t="s">
        <v>554</v>
      </c>
      <c r="C22" s="36">
        <f t="shared" si="0"/>
        <v>542</v>
      </c>
      <c r="D22" s="36" t="s">
        <v>19</v>
      </c>
      <c r="E22" s="36">
        <f t="shared" si="1"/>
        <v>562</v>
      </c>
      <c r="F22" s="36" t="s">
        <v>20</v>
      </c>
      <c r="G22" s="36">
        <v>14</v>
      </c>
      <c r="H22" s="36">
        <v>1</v>
      </c>
      <c r="I22" s="38" t="s">
        <v>539</v>
      </c>
      <c r="J22" s="36">
        <v>2000</v>
      </c>
      <c r="K22" s="12">
        <v>100000</v>
      </c>
      <c r="L22" s="36">
        <v>26021</v>
      </c>
      <c r="M22" s="39" t="s">
        <v>540</v>
      </c>
      <c r="N22" s="40">
        <v>61001</v>
      </c>
    </row>
    <row r="23" spans="1:14" ht="16.5">
      <c r="A23" s="36">
        <v>100022</v>
      </c>
      <c r="B23" s="36" t="s">
        <v>555</v>
      </c>
      <c r="C23" s="36">
        <f t="shared" si="0"/>
        <v>569</v>
      </c>
      <c r="D23" s="36" t="s">
        <v>19</v>
      </c>
      <c r="E23" s="36">
        <f t="shared" si="1"/>
        <v>589</v>
      </c>
      <c r="F23" s="36" t="s">
        <v>20</v>
      </c>
      <c r="G23" s="36">
        <v>14</v>
      </c>
      <c r="H23" s="36">
        <v>1</v>
      </c>
      <c r="I23" s="38" t="s">
        <v>539</v>
      </c>
      <c r="J23" s="36">
        <v>2000</v>
      </c>
      <c r="K23" s="12">
        <v>100000</v>
      </c>
      <c r="L23" s="36">
        <v>26022</v>
      </c>
      <c r="M23" s="39" t="s">
        <v>540</v>
      </c>
      <c r="N23" s="40">
        <v>61001</v>
      </c>
    </row>
    <row r="24" spans="1:14" ht="16.5">
      <c r="A24" s="36">
        <v>100023</v>
      </c>
      <c r="B24" s="36" t="s">
        <v>556</v>
      </c>
      <c r="C24" s="36">
        <f t="shared" si="0"/>
        <v>596</v>
      </c>
      <c r="D24" s="36" t="s">
        <v>19</v>
      </c>
      <c r="E24" s="36">
        <f t="shared" si="1"/>
        <v>616</v>
      </c>
      <c r="F24" s="36" t="s">
        <v>20</v>
      </c>
      <c r="G24" s="36">
        <v>14</v>
      </c>
      <c r="H24" s="36">
        <v>1</v>
      </c>
      <c r="I24" s="38" t="s">
        <v>539</v>
      </c>
      <c r="J24" s="36">
        <v>2000</v>
      </c>
      <c r="K24" s="12">
        <v>100000</v>
      </c>
      <c r="L24" s="36">
        <v>26023</v>
      </c>
      <c r="M24" s="39" t="s">
        <v>540</v>
      </c>
      <c r="N24" s="40">
        <v>61001</v>
      </c>
    </row>
    <row r="25" spans="1:14" ht="16.5">
      <c r="A25" s="36">
        <v>100024</v>
      </c>
      <c r="B25" s="36" t="s">
        <v>557</v>
      </c>
      <c r="C25" s="36">
        <f t="shared" si="0"/>
        <v>623</v>
      </c>
      <c r="D25" s="36" t="s">
        <v>19</v>
      </c>
      <c r="E25" s="36">
        <f t="shared" si="1"/>
        <v>643</v>
      </c>
      <c r="F25" s="36" t="s">
        <v>20</v>
      </c>
      <c r="G25" s="36">
        <v>14</v>
      </c>
      <c r="H25" s="36">
        <v>1</v>
      </c>
      <c r="I25" s="38" t="s">
        <v>539</v>
      </c>
      <c r="J25" s="36">
        <v>2000</v>
      </c>
      <c r="K25" s="12">
        <v>100000</v>
      </c>
      <c r="L25" s="36">
        <v>26024</v>
      </c>
      <c r="M25" s="39" t="s">
        <v>540</v>
      </c>
      <c r="N25" s="40">
        <v>61001</v>
      </c>
    </row>
    <row r="26" spans="1:14" ht="16.5">
      <c r="A26" s="36">
        <v>100025</v>
      </c>
      <c r="B26" s="36" t="s">
        <v>558</v>
      </c>
      <c r="C26" s="36">
        <f t="shared" si="0"/>
        <v>650</v>
      </c>
      <c r="D26" s="36" t="s">
        <v>19</v>
      </c>
      <c r="E26" s="36">
        <f t="shared" si="1"/>
        <v>670</v>
      </c>
      <c r="F26" s="36" t="s">
        <v>20</v>
      </c>
      <c r="G26" s="36">
        <v>14</v>
      </c>
      <c r="H26" s="36">
        <v>1</v>
      </c>
      <c r="I26" s="38" t="s">
        <v>539</v>
      </c>
      <c r="J26" s="36">
        <v>2000</v>
      </c>
      <c r="K26" s="12">
        <v>100000</v>
      </c>
      <c r="L26" s="36">
        <v>26025</v>
      </c>
      <c r="M26" s="39" t="s">
        <v>540</v>
      </c>
      <c r="N26" s="40">
        <v>61001</v>
      </c>
    </row>
    <row r="27" spans="1:14" ht="16.5">
      <c r="A27" s="36">
        <v>100026</v>
      </c>
      <c r="B27" s="36" t="s">
        <v>559</v>
      </c>
      <c r="C27" s="36">
        <f t="shared" si="0"/>
        <v>677</v>
      </c>
      <c r="D27" s="36" t="s">
        <v>19</v>
      </c>
      <c r="E27" s="36">
        <f t="shared" si="1"/>
        <v>697</v>
      </c>
      <c r="F27" s="36" t="s">
        <v>20</v>
      </c>
      <c r="G27" s="36">
        <v>14</v>
      </c>
      <c r="H27" s="36">
        <v>1</v>
      </c>
      <c r="I27" s="38" t="s">
        <v>539</v>
      </c>
      <c r="J27" s="36">
        <v>2000</v>
      </c>
      <c r="K27" s="12">
        <v>100000</v>
      </c>
      <c r="L27" s="36">
        <v>26026</v>
      </c>
      <c r="M27" s="39" t="s">
        <v>540</v>
      </c>
      <c r="N27" s="40">
        <v>61001</v>
      </c>
    </row>
    <row r="28" spans="1:14" ht="16.5">
      <c r="A28" s="36">
        <v>100027</v>
      </c>
      <c r="B28" s="36" t="s">
        <v>560</v>
      </c>
      <c r="C28" s="36">
        <f t="shared" si="0"/>
        <v>704</v>
      </c>
      <c r="D28" s="36" t="s">
        <v>19</v>
      </c>
      <c r="E28" s="36">
        <f t="shared" si="1"/>
        <v>724</v>
      </c>
      <c r="F28" s="36" t="s">
        <v>20</v>
      </c>
      <c r="G28" s="36">
        <v>14</v>
      </c>
      <c r="H28" s="36">
        <v>1</v>
      </c>
      <c r="I28" s="38" t="s">
        <v>539</v>
      </c>
      <c r="J28" s="36">
        <v>2000</v>
      </c>
      <c r="K28" s="12">
        <v>100000</v>
      </c>
      <c r="L28" s="36">
        <v>26027</v>
      </c>
      <c r="M28" s="39" t="s">
        <v>540</v>
      </c>
      <c r="N28" s="40">
        <v>61001</v>
      </c>
    </row>
    <row r="29" spans="1:14" ht="16.5">
      <c r="A29" s="36">
        <v>100028</v>
      </c>
      <c r="B29" s="36" t="s">
        <v>561</v>
      </c>
      <c r="C29" s="36">
        <f t="shared" si="0"/>
        <v>731</v>
      </c>
      <c r="D29" s="36" t="s">
        <v>19</v>
      </c>
      <c r="E29" s="36">
        <f t="shared" si="1"/>
        <v>751</v>
      </c>
      <c r="F29" s="36" t="s">
        <v>20</v>
      </c>
      <c r="G29" s="36">
        <v>14</v>
      </c>
      <c r="H29" s="36">
        <v>1</v>
      </c>
      <c r="I29" s="38" t="s">
        <v>539</v>
      </c>
      <c r="J29" s="36">
        <v>2000</v>
      </c>
      <c r="K29" s="12">
        <v>100000</v>
      </c>
      <c r="L29" s="36">
        <v>26028</v>
      </c>
      <c r="M29" s="39" t="s">
        <v>540</v>
      </c>
      <c r="N29" s="40">
        <v>61001</v>
      </c>
    </row>
    <row r="30" spans="1:14" s="1" customFormat="1" ht="16.5">
      <c r="A30" s="37">
        <v>100029</v>
      </c>
      <c r="B30" s="37" t="s">
        <v>562</v>
      </c>
      <c r="C30" s="37">
        <f t="shared" si="0"/>
        <v>758</v>
      </c>
      <c r="D30" s="37" t="s">
        <v>19</v>
      </c>
      <c r="E30" s="37">
        <f t="shared" si="1"/>
        <v>778</v>
      </c>
      <c r="F30" s="37" t="s">
        <v>20</v>
      </c>
      <c r="G30" s="37">
        <v>14</v>
      </c>
      <c r="H30" s="37">
        <v>1</v>
      </c>
      <c r="I30" s="41" t="s">
        <v>539</v>
      </c>
      <c r="J30" s="37">
        <v>2000</v>
      </c>
      <c r="K30" s="12">
        <v>100000</v>
      </c>
      <c r="L30" s="37">
        <v>26029</v>
      </c>
      <c r="M30" s="1" t="s">
        <v>540</v>
      </c>
      <c r="N30" s="42">
        <v>61001</v>
      </c>
    </row>
    <row r="31" spans="1:14" s="1" customFormat="1" ht="16.5">
      <c r="A31" s="37">
        <v>100030</v>
      </c>
      <c r="B31" s="37" t="s">
        <v>563</v>
      </c>
      <c r="C31" s="37">
        <f t="shared" si="0"/>
        <v>785</v>
      </c>
      <c r="D31" s="37" t="s">
        <v>19</v>
      </c>
      <c r="E31" s="37">
        <f t="shared" si="1"/>
        <v>805</v>
      </c>
      <c r="F31" s="37" t="s">
        <v>20</v>
      </c>
      <c r="G31" s="37">
        <v>14</v>
      </c>
      <c r="H31" s="37">
        <v>1</v>
      </c>
      <c r="I31" s="41" t="s">
        <v>539</v>
      </c>
      <c r="J31" s="37">
        <v>2000</v>
      </c>
      <c r="K31" s="12">
        <v>100000</v>
      </c>
      <c r="L31" s="37">
        <v>26030</v>
      </c>
      <c r="M31" s="1" t="s">
        <v>540</v>
      </c>
      <c r="N31" s="42">
        <v>61001</v>
      </c>
    </row>
    <row r="32" spans="1:14" s="1" customFormat="1" ht="16.5">
      <c r="A32" s="37">
        <v>100031</v>
      </c>
      <c r="B32" s="37" t="s">
        <v>564</v>
      </c>
      <c r="C32" s="37">
        <f t="shared" si="0"/>
        <v>812</v>
      </c>
      <c r="D32" s="37" t="s">
        <v>19</v>
      </c>
      <c r="E32" s="37">
        <f t="shared" si="1"/>
        <v>832</v>
      </c>
      <c r="F32" s="37" t="s">
        <v>20</v>
      </c>
      <c r="G32" s="37">
        <v>14</v>
      </c>
      <c r="H32" s="37">
        <v>1</v>
      </c>
      <c r="I32" s="41" t="s">
        <v>539</v>
      </c>
      <c r="J32" s="37">
        <v>2000</v>
      </c>
      <c r="K32" s="12">
        <v>100000</v>
      </c>
      <c r="L32" s="37">
        <v>26031</v>
      </c>
      <c r="M32" s="1" t="s">
        <v>540</v>
      </c>
      <c r="N32" s="42">
        <v>61001</v>
      </c>
    </row>
    <row r="33" spans="1:14" s="1" customFormat="1" ht="16.5">
      <c r="A33" s="37">
        <v>100032</v>
      </c>
      <c r="B33" s="37" t="s">
        <v>565</v>
      </c>
      <c r="C33" s="37">
        <f t="shared" si="0"/>
        <v>839</v>
      </c>
      <c r="D33" s="37" t="s">
        <v>19</v>
      </c>
      <c r="E33" s="37">
        <f t="shared" si="1"/>
        <v>859</v>
      </c>
      <c r="F33" s="37" t="s">
        <v>20</v>
      </c>
      <c r="G33" s="37">
        <v>14</v>
      </c>
      <c r="H33" s="37">
        <v>1</v>
      </c>
      <c r="I33" s="41" t="s">
        <v>539</v>
      </c>
      <c r="J33" s="37">
        <v>2000</v>
      </c>
      <c r="K33" s="12">
        <v>100000</v>
      </c>
      <c r="L33" s="37">
        <v>26032</v>
      </c>
      <c r="M33" s="1" t="s">
        <v>540</v>
      </c>
      <c r="N33" s="42">
        <v>61001</v>
      </c>
    </row>
    <row r="34" spans="1:14" s="1" customFormat="1" ht="16.5">
      <c r="A34" s="37">
        <v>100033</v>
      </c>
      <c r="B34" s="37" t="s">
        <v>566</v>
      </c>
      <c r="C34" s="37">
        <f t="shared" si="0"/>
        <v>866</v>
      </c>
      <c r="D34" s="37" t="s">
        <v>19</v>
      </c>
      <c r="E34" s="37">
        <f t="shared" si="1"/>
        <v>886</v>
      </c>
      <c r="F34" s="37" t="s">
        <v>20</v>
      </c>
      <c r="G34" s="37">
        <v>14</v>
      </c>
      <c r="H34" s="37">
        <v>1</v>
      </c>
      <c r="I34" s="41" t="s">
        <v>539</v>
      </c>
      <c r="J34" s="37">
        <v>2000</v>
      </c>
      <c r="K34" s="12">
        <v>100000</v>
      </c>
      <c r="L34" s="37">
        <v>26033</v>
      </c>
      <c r="M34" s="1" t="s">
        <v>540</v>
      </c>
      <c r="N34" s="42">
        <v>61001</v>
      </c>
    </row>
    <row r="35" spans="1:14" s="1" customFormat="1" ht="16.5">
      <c r="A35" s="37">
        <v>100034</v>
      </c>
      <c r="B35" s="37" t="s">
        <v>567</v>
      </c>
      <c r="C35" s="37">
        <f t="shared" si="0"/>
        <v>893</v>
      </c>
      <c r="D35" s="37" t="s">
        <v>19</v>
      </c>
      <c r="E35" s="37">
        <f t="shared" si="1"/>
        <v>913</v>
      </c>
      <c r="F35" s="37" t="s">
        <v>20</v>
      </c>
      <c r="G35" s="37">
        <v>14</v>
      </c>
      <c r="H35" s="37">
        <v>1</v>
      </c>
      <c r="I35" s="41" t="s">
        <v>539</v>
      </c>
      <c r="J35" s="37">
        <v>2000</v>
      </c>
      <c r="K35" s="12">
        <v>100000</v>
      </c>
      <c r="L35" s="37">
        <v>26034</v>
      </c>
      <c r="M35" s="1" t="s">
        <v>540</v>
      </c>
      <c r="N35" s="42">
        <v>61001</v>
      </c>
    </row>
    <row r="36" spans="1:14" s="1" customFormat="1" ht="16.5">
      <c r="A36" s="37">
        <v>100035</v>
      </c>
      <c r="B36" s="37" t="s">
        <v>568</v>
      </c>
      <c r="C36" s="37">
        <f t="shared" si="0"/>
        <v>920</v>
      </c>
      <c r="D36" s="37" t="s">
        <v>19</v>
      </c>
      <c r="E36" s="37">
        <f t="shared" si="1"/>
        <v>940</v>
      </c>
      <c r="F36" s="37" t="s">
        <v>20</v>
      </c>
      <c r="G36" s="37">
        <v>14</v>
      </c>
      <c r="H36" s="37">
        <v>1</v>
      </c>
      <c r="I36" s="41" t="s">
        <v>539</v>
      </c>
      <c r="J36" s="37">
        <v>2000</v>
      </c>
      <c r="K36" s="12">
        <v>100000</v>
      </c>
      <c r="L36" s="37">
        <v>26035</v>
      </c>
      <c r="M36" s="1" t="s">
        <v>540</v>
      </c>
      <c r="N36" s="42">
        <v>61001</v>
      </c>
    </row>
    <row r="37" spans="1:14" s="1" customFormat="1" ht="16.5">
      <c r="A37" s="37">
        <v>100036</v>
      </c>
      <c r="B37" s="37" t="s">
        <v>569</v>
      </c>
      <c r="C37" s="37">
        <f t="shared" si="0"/>
        <v>947</v>
      </c>
      <c r="D37" s="37" t="s">
        <v>19</v>
      </c>
      <c r="E37" s="37">
        <f t="shared" si="1"/>
        <v>967</v>
      </c>
      <c r="F37" s="37" t="s">
        <v>20</v>
      </c>
      <c r="G37" s="37">
        <v>14</v>
      </c>
      <c r="H37" s="37">
        <v>1</v>
      </c>
      <c r="I37" s="41" t="s">
        <v>539</v>
      </c>
      <c r="J37" s="37">
        <v>2000</v>
      </c>
      <c r="K37" s="12">
        <v>100000</v>
      </c>
      <c r="L37" s="37">
        <v>26036</v>
      </c>
      <c r="M37" s="1" t="s">
        <v>540</v>
      </c>
      <c r="N37" s="42">
        <v>61001</v>
      </c>
    </row>
    <row r="38" spans="1:14" s="1" customFormat="1" ht="16.5">
      <c r="A38" s="37">
        <v>100037</v>
      </c>
      <c r="B38" s="37" t="s">
        <v>570</v>
      </c>
      <c r="C38" s="37">
        <f t="shared" si="0"/>
        <v>974</v>
      </c>
      <c r="D38" s="37" t="s">
        <v>19</v>
      </c>
      <c r="E38" s="37">
        <f t="shared" si="1"/>
        <v>994</v>
      </c>
      <c r="F38" s="37" t="s">
        <v>20</v>
      </c>
      <c r="G38" s="37">
        <v>14</v>
      </c>
      <c r="H38" s="37">
        <v>1</v>
      </c>
      <c r="I38" s="41" t="s">
        <v>539</v>
      </c>
      <c r="J38" s="37">
        <v>2000</v>
      </c>
      <c r="K38" s="12">
        <v>100000</v>
      </c>
      <c r="L38" s="37">
        <v>26037</v>
      </c>
      <c r="M38" s="1" t="s">
        <v>540</v>
      </c>
      <c r="N38" s="42">
        <v>61001</v>
      </c>
    </row>
    <row r="39" spans="1:14" s="1" customFormat="1" ht="16.5">
      <c r="A39" s="37">
        <v>100038</v>
      </c>
      <c r="B39" s="37" t="s">
        <v>571</v>
      </c>
      <c r="C39" s="37">
        <f t="shared" si="0"/>
        <v>1001</v>
      </c>
      <c r="D39" s="37" t="s">
        <v>19</v>
      </c>
      <c r="E39" s="37">
        <f t="shared" si="1"/>
        <v>1021</v>
      </c>
      <c r="F39" s="37" t="s">
        <v>20</v>
      </c>
      <c r="G39" s="37">
        <v>14</v>
      </c>
      <c r="H39" s="37">
        <v>1</v>
      </c>
      <c r="I39" s="41" t="s">
        <v>539</v>
      </c>
      <c r="J39" s="37">
        <v>2000</v>
      </c>
      <c r="K39" s="12">
        <v>100000</v>
      </c>
      <c r="L39" s="37">
        <v>26038</v>
      </c>
      <c r="M39" s="1" t="s">
        <v>540</v>
      </c>
      <c r="N39" s="42">
        <v>61001</v>
      </c>
    </row>
    <row r="40" spans="1:14" s="1" customFormat="1" ht="16.5">
      <c r="A40" s="37">
        <v>100039</v>
      </c>
      <c r="B40" s="37" t="s">
        <v>572</v>
      </c>
      <c r="C40" s="37">
        <f t="shared" si="0"/>
        <v>1028</v>
      </c>
      <c r="D40" s="37" t="s">
        <v>19</v>
      </c>
      <c r="E40" s="37">
        <f t="shared" si="1"/>
        <v>1048</v>
      </c>
      <c r="F40" s="37" t="s">
        <v>20</v>
      </c>
      <c r="G40" s="37">
        <v>14</v>
      </c>
      <c r="H40" s="37">
        <v>1</v>
      </c>
      <c r="I40" s="41" t="s">
        <v>539</v>
      </c>
      <c r="J40" s="37">
        <v>2000</v>
      </c>
      <c r="K40" s="12">
        <v>100000</v>
      </c>
      <c r="L40" s="37">
        <v>26039</v>
      </c>
      <c r="M40" s="1" t="s">
        <v>540</v>
      </c>
      <c r="N40" s="42">
        <v>61001</v>
      </c>
    </row>
    <row r="41" spans="1:14" s="1" customFormat="1" ht="16.5">
      <c r="A41" s="37">
        <v>100040</v>
      </c>
      <c r="B41" s="37" t="s">
        <v>573</v>
      </c>
      <c r="C41" s="37">
        <f t="shared" si="0"/>
        <v>1055</v>
      </c>
      <c r="D41" s="37" t="s">
        <v>19</v>
      </c>
      <c r="E41" s="37">
        <f t="shared" si="1"/>
        <v>1075</v>
      </c>
      <c r="F41" s="37" t="s">
        <v>20</v>
      </c>
      <c r="G41" s="37">
        <v>14</v>
      </c>
      <c r="H41" s="37">
        <v>1</v>
      </c>
      <c r="I41" s="41" t="s">
        <v>539</v>
      </c>
      <c r="J41" s="37">
        <v>2000</v>
      </c>
      <c r="K41" s="12">
        <v>100000</v>
      </c>
      <c r="L41" s="37">
        <v>26040</v>
      </c>
      <c r="M41" s="1" t="s">
        <v>540</v>
      </c>
      <c r="N41" s="42">
        <v>61001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K435"/>
  <sheetViews>
    <sheetView workbookViewId="0">
      <pane xSplit="2" ySplit="1" topLeftCell="C32" activePane="bottomRight" state="frozen"/>
      <selection pane="topRight"/>
      <selection pane="bottomLeft"/>
      <selection pane="bottomRight" activeCell="D32" sqref="D32"/>
    </sheetView>
  </sheetViews>
  <sheetFormatPr defaultColWidth="9" defaultRowHeight="14.25"/>
  <cols>
    <col min="3" max="3" width="14.375" style="16" customWidth="1"/>
    <col min="4" max="4" width="29.375" style="16" customWidth="1"/>
    <col min="5" max="5" width="10.375" customWidth="1"/>
    <col min="6" max="6" width="17.25" customWidth="1"/>
    <col min="7" max="7" width="34.375" style="16" customWidth="1"/>
    <col min="8" max="8" width="22.75" customWidth="1"/>
  </cols>
  <sheetData>
    <row r="1" spans="1:7" ht="15">
      <c r="A1" s="7" t="s">
        <v>126</v>
      </c>
      <c r="B1" s="8" t="s">
        <v>574</v>
      </c>
      <c r="C1" s="8" t="s">
        <v>575</v>
      </c>
      <c r="D1" s="17" t="s">
        <v>576</v>
      </c>
      <c r="E1" s="8" t="s">
        <v>436</v>
      </c>
      <c r="F1" s="8" t="s">
        <v>577</v>
      </c>
      <c r="G1" s="8" t="s">
        <v>578</v>
      </c>
    </row>
    <row r="2" spans="1:7" ht="16.5">
      <c r="A2" s="12">
        <v>1</v>
      </c>
      <c r="B2" s="18">
        <v>0</v>
      </c>
      <c r="C2" s="10" t="s">
        <v>579</v>
      </c>
      <c r="D2" s="10" t="s">
        <v>580</v>
      </c>
      <c r="E2" s="18">
        <v>1</v>
      </c>
      <c r="F2" s="18" t="s">
        <v>581</v>
      </c>
      <c r="G2" s="10" t="s">
        <v>582</v>
      </c>
    </row>
    <row r="3" spans="1:7" ht="16.5">
      <c r="A3" s="12">
        <v>2</v>
      </c>
      <c r="B3" s="18">
        <v>400</v>
      </c>
      <c r="C3" s="10" t="s">
        <v>46</v>
      </c>
      <c r="D3" s="10" t="s">
        <v>583</v>
      </c>
      <c r="E3" s="18">
        <v>1</v>
      </c>
      <c r="F3" s="18" t="s">
        <v>584</v>
      </c>
      <c r="G3" s="10" t="s">
        <v>585</v>
      </c>
    </row>
    <row r="4" spans="1:7" ht="16.5">
      <c r="A4" s="12">
        <v>3</v>
      </c>
      <c r="B4" s="18">
        <v>800</v>
      </c>
      <c r="C4" s="10" t="s">
        <v>46</v>
      </c>
      <c r="D4" s="10" t="s">
        <v>583</v>
      </c>
      <c r="E4" s="18">
        <v>1</v>
      </c>
      <c r="F4" s="18" t="s">
        <v>584</v>
      </c>
      <c r="G4" s="10" t="s">
        <v>585</v>
      </c>
    </row>
    <row r="5" spans="1:7" ht="16.5">
      <c r="A5" s="12">
        <v>4</v>
      </c>
      <c r="B5" s="18">
        <v>1200</v>
      </c>
      <c r="C5" s="10" t="s">
        <v>46</v>
      </c>
      <c r="D5" s="10" t="s">
        <v>583</v>
      </c>
      <c r="E5" s="18">
        <v>1</v>
      </c>
      <c r="F5" s="18" t="s">
        <v>584</v>
      </c>
      <c r="G5" s="10" t="s">
        <v>585</v>
      </c>
    </row>
    <row r="6" spans="1:7" ht="16.5">
      <c r="A6" s="12">
        <v>5</v>
      </c>
      <c r="B6" s="18">
        <v>1600</v>
      </c>
      <c r="C6" s="10" t="s">
        <v>46</v>
      </c>
      <c r="D6" s="10" t="s">
        <v>583</v>
      </c>
      <c r="E6" s="18">
        <v>1</v>
      </c>
      <c r="F6" s="18" t="s">
        <v>584</v>
      </c>
      <c r="G6" s="10" t="s">
        <v>585</v>
      </c>
    </row>
    <row r="7" spans="1:7" ht="16.5">
      <c r="A7" s="12">
        <v>6</v>
      </c>
      <c r="B7" s="18">
        <v>2000</v>
      </c>
      <c r="C7" s="10" t="s">
        <v>586</v>
      </c>
      <c r="D7" s="10" t="s">
        <v>587</v>
      </c>
      <c r="E7" s="18">
        <v>1</v>
      </c>
      <c r="F7" s="18" t="s">
        <v>588</v>
      </c>
      <c r="G7" s="10" t="s">
        <v>589</v>
      </c>
    </row>
    <row r="8" spans="1:7" ht="16.5">
      <c r="A8" s="12">
        <v>7</v>
      </c>
      <c r="B8" s="18">
        <v>2400</v>
      </c>
      <c r="C8" s="10" t="s">
        <v>46</v>
      </c>
      <c r="D8" s="10" t="s">
        <v>583</v>
      </c>
      <c r="E8" s="18">
        <v>1</v>
      </c>
      <c r="F8" s="18" t="s">
        <v>584</v>
      </c>
      <c r="G8" s="10" t="s">
        <v>585</v>
      </c>
    </row>
    <row r="9" spans="1:7" ht="16.5">
      <c r="A9" s="12">
        <v>8</v>
      </c>
      <c r="B9" s="18">
        <v>2800</v>
      </c>
      <c r="C9" s="10" t="s">
        <v>46</v>
      </c>
      <c r="D9" s="10" t="s">
        <v>583</v>
      </c>
      <c r="E9" s="18">
        <v>1</v>
      </c>
      <c r="F9" s="18" t="s">
        <v>584</v>
      </c>
      <c r="G9" s="10" t="s">
        <v>585</v>
      </c>
    </row>
    <row r="10" spans="1:7" ht="16.5">
      <c r="A10" s="12">
        <v>9</v>
      </c>
      <c r="B10" s="18">
        <v>3200</v>
      </c>
      <c r="C10" s="10" t="s">
        <v>46</v>
      </c>
      <c r="D10" s="10" t="s">
        <v>583</v>
      </c>
      <c r="E10" s="18">
        <v>1</v>
      </c>
      <c r="F10" s="18" t="s">
        <v>584</v>
      </c>
      <c r="G10" s="10" t="s">
        <v>585</v>
      </c>
    </row>
    <row r="11" spans="1:7" ht="16.5">
      <c r="A11" s="12">
        <v>10</v>
      </c>
      <c r="B11" s="18">
        <v>3600</v>
      </c>
      <c r="C11" s="10" t="s">
        <v>46</v>
      </c>
      <c r="D11" s="10" t="s">
        <v>583</v>
      </c>
      <c r="E11" s="18">
        <v>1</v>
      </c>
      <c r="F11" s="18" t="s">
        <v>584</v>
      </c>
      <c r="G11" s="10" t="s">
        <v>585</v>
      </c>
    </row>
    <row r="12" spans="1:7" ht="16.5">
      <c r="A12" s="12">
        <v>11</v>
      </c>
      <c r="B12" s="18">
        <v>4000</v>
      </c>
      <c r="C12" s="10" t="s">
        <v>586</v>
      </c>
      <c r="D12" s="10" t="s">
        <v>587</v>
      </c>
      <c r="E12" s="18">
        <v>1</v>
      </c>
      <c r="F12" s="18" t="s">
        <v>588</v>
      </c>
      <c r="G12" s="10" t="s">
        <v>589</v>
      </c>
    </row>
    <row r="13" spans="1:7" ht="16.5">
      <c r="A13" s="12">
        <v>12</v>
      </c>
      <c r="B13" s="18">
        <v>4400</v>
      </c>
      <c r="C13" s="10" t="s">
        <v>46</v>
      </c>
      <c r="D13" s="10" t="s">
        <v>583</v>
      </c>
      <c r="E13" s="18">
        <v>1</v>
      </c>
      <c r="F13" s="18" t="s">
        <v>584</v>
      </c>
      <c r="G13" s="10" t="s">
        <v>585</v>
      </c>
    </row>
    <row r="14" spans="1:7" ht="16.5">
      <c r="A14" s="12">
        <v>13</v>
      </c>
      <c r="B14" s="18">
        <v>4800</v>
      </c>
      <c r="C14" s="10" t="s">
        <v>46</v>
      </c>
      <c r="D14" s="10" t="s">
        <v>583</v>
      </c>
      <c r="E14" s="18">
        <v>1</v>
      </c>
      <c r="F14" s="18" t="s">
        <v>584</v>
      </c>
      <c r="G14" s="10" t="s">
        <v>585</v>
      </c>
    </row>
    <row r="15" spans="1:7" ht="16.5">
      <c r="A15" s="12">
        <v>14</v>
      </c>
      <c r="B15" s="18">
        <v>5200</v>
      </c>
      <c r="C15" s="10" t="s">
        <v>46</v>
      </c>
      <c r="D15" s="10" t="s">
        <v>583</v>
      </c>
      <c r="E15" s="18">
        <v>1</v>
      </c>
      <c r="F15" s="18" t="s">
        <v>584</v>
      </c>
      <c r="G15" s="10" t="s">
        <v>585</v>
      </c>
    </row>
    <row r="16" spans="1:7" ht="16.5">
      <c r="A16" s="12">
        <v>15</v>
      </c>
      <c r="B16" s="18">
        <v>5600</v>
      </c>
      <c r="C16" s="10" t="s">
        <v>46</v>
      </c>
      <c r="D16" s="10" t="s">
        <v>583</v>
      </c>
      <c r="E16" s="18">
        <v>1</v>
      </c>
      <c r="F16" s="18" t="s">
        <v>584</v>
      </c>
      <c r="G16" s="10" t="s">
        <v>585</v>
      </c>
    </row>
    <row r="17" spans="1:7" ht="16.5">
      <c r="A17" s="12">
        <v>16</v>
      </c>
      <c r="B17" s="18">
        <v>6000</v>
      </c>
      <c r="C17" s="10" t="s">
        <v>586</v>
      </c>
      <c r="D17" s="10" t="s">
        <v>587</v>
      </c>
      <c r="E17" s="18">
        <v>1</v>
      </c>
      <c r="F17" s="18" t="s">
        <v>588</v>
      </c>
      <c r="G17" s="10" t="s">
        <v>589</v>
      </c>
    </row>
    <row r="18" spans="1:7" ht="16.5">
      <c r="A18" s="12">
        <v>17</v>
      </c>
      <c r="B18" s="18">
        <v>6400</v>
      </c>
      <c r="C18" s="10" t="s">
        <v>46</v>
      </c>
      <c r="D18" s="10" t="s">
        <v>583</v>
      </c>
      <c r="E18" s="18">
        <v>1</v>
      </c>
      <c r="F18" s="18" t="s">
        <v>584</v>
      </c>
      <c r="G18" s="10" t="s">
        <v>585</v>
      </c>
    </row>
    <row r="19" spans="1:7" ht="16.5">
      <c r="A19" s="12">
        <v>18</v>
      </c>
      <c r="B19" s="18">
        <v>6800</v>
      </c>
      <c r="C19" s="10" t="s">
        <v>46</v>
      </c>
      <c r="D19" s="10" t="s">
        <v>583</v>
      </c>
      <c r="E19" s="18">
        <v>1</v>
      </c>
      <c r="F19" s="18" t="s">
        <v>584</v>
      </c>
      <c r="G19" s="10" t="s">
        <v>585</v>
      </c>
    </row>
    <row r="20" spans="1:7" ht="16.5">
      <c r="A20" s="12">
        <v>19</v>
      </c>
      <c r="B20" s="18">
        <v>7200</v>
      </c>
      <c r="C20" s="10" t="s">
        <v>46</v>
      </c>
      <c r="D20" s="10" t="s">
        <v>583</v>
      </c>
      <c r="E20" s="18">
        <v>1</v>
      </c>
      <c r="F20" s="18" t="s">
        <v>584</v>
      </c>
      <c r="G20" s="10" t="s">
        <v>585</v>
      </c>
    </row>
    <row r="21" spans="1:7" ht="16.5">
      <c r="A21" s="12">
        <v>20</v>
      </c>
      <c r="B21" s="18">
        <v>7600</v>
      </c>
      <c r="C21" s="10" t="s">
        <v>46</v>
      </c>
      <c r="D21" s="10" t="s">
        <v>583</v>
      </c>
      <c r="E21" s="18">
        <v>1</v>
      </c>
      <c r="F21" s="18" t="s">
        <v>584</v>
      </c>
      <c r="G21" s="10" t="s">
        <v>585</v>
      </c>
    </row>
    <row r="22" spans="1:7" ht="16.5">
      <c r="A22" s="12">
        <v>21</v>
      </c>
      <c r="B22" s="18">
        <v>8000</v>
      </c>
      <c r="C22" s="10" t="s">
        <v>586</v>
      </c>
      <c r="D22" s="10" t="s">
        <v>587</v>
      </c>
      <c r="E22" s="18">
        <v>1</v>
      </c>
      <c r="F22" s="18" t="s">
        <v>588</v>
      </c>
      <c r="G22" s="10" t="s">
        <v>589</v>
      </c>
    </row>
    <row r="23" spans="1:7" ht="16.5">
      <c r="A23" s="12">
        <v>22</v>
      </c>
      <c r="B23" s="18">
        <v>8400</v>
      </c>
      <c r="C23" s="10" t="s">
        <v>46</v>
      </c>
      <c r="D23" s="10" t="s">
        <v>583</v>
      </c>
      <c r="E23" s="18">
        <v>1</v>
      </c>
      <c r="F23" s="18" t="s">
        <v>584</v>
      </c>
      <c r="G23" s="10" t="s">
        <v>585</v>
      </c>
    </row>
    <row r="24" spans="1:7" ht="16.5">
      <c r="A24" s="12">
        <v>23</v>
      </c>
      <c r="B24" s="18">
        <v>8800</v>
      </c>
      <c r="C24" s="10" t="s">
        <v>46</v>
      </c>
      <c r="D24" s="10" t="s">
        <v>583</v>
      </c>
      <c r="E24" s="18">
        <v>1</v>
      </c>
      <c r="F24" s="18" t="s">
        <v>584</v>
      </c>
      <c r="G24" s="10" t="s">
        <v>585</v>
      </c>
    </row>
    <row r="25" spans="1:7" ht="16.5">
      <c r="A25" s="12">
        <v>24</v>
      </c>
      <c r="B25" s="18">
        <v>9200</v>
      </c>
      <c r="C25" s="10" t="s">
        <v>46</v>
      </c>
      <c r="D25" s="10" t="s">
        <v>583</v>
      </c>
      <c r="E25" s="18">
        <v>1</v>
      </c>
      <c r="F25" s="18" t="s">
        <v>584</v>
      </c>
      <c r="G25" s="10" t="s">
        <v>585</v>
      </c>
    </row>
    <row r="26" spans="1:7" ht="16.5">
      <c r="A26" s="12">
        <v>25</v>
      </c>
      <c r="B26" s="18">
        <v>9600</v>
      </c>
      <c r="C26" s="10" t="s">
        <v>46</v>
      </c>
      <c r="D26" s="10" t="s">
        <v>583</v>
      </c>
      <c r="E26" s="18">
        <v>1</v>
      </c>
      <c r="F26" s="18" t="s">
        <v>584</v>
      </c>
      <c r="G26" s="10" t="s">
        <v>585</v>
      </c>
    </row>
    <row r="27" spans="1:7" ht="16.5">
      <c r="A27" s="12">
        <v>26</v>
      </c>
      <c r="B27" s="18">
        <v>10000</v>
      </c>
      <c r="C27" s="10" t="s">
        <v>44</v>
      </c>
      <c r="D27" s="10" t="s">
        <v>587</v>
      </c>
      <c r="E27" s="18">
        <v>1</v>
      </c>
      <c r="F27" s="18" t="s">
        <v>590</v>
      </c>
      <c r="G27" s="10" t="s">
        <v>589</v>
      </c>
    </row>
    <row r="28" spans="1:7" ht="16.5">
      <c r="A28" s="12">
        <v>27</v>
      </c>
      <c r="B28" s="18">
        <v>10400</v>
      </c>
      <c r="C28" s="10" t="s">
        <v>46</v>
      </c>
      <c r="D28" s="10" t="s">
        <v>583</v>
      </c>
      <c r="E28" s="18">
        <v>1</v>
      </c>
      <c r="F28" s="18" t="s">
        <v>584</v>
      </c>
      <c r="G28" s="10" t="s">
        <v>585</v>
      </c>
    </row>
    <row r="29" spans="1:7" ht="16.5">
      <c r="A29" s="12">
        <v>28</v>
      </c>
      <c r="B29" s="18">
        <v>10800</v>
      </c>
      <c r="C29" s="10" t="s">
        <v>46</v>
      </c>
      <c r="D29" s="10" t="s">
        <v>583</v>
      </c>
      <c r="E29" s="18">
        <v>1</v>
      </c>
      <c r="F29" s="18" t="s">
        <v>584</v>
      </c>
      <c r="G29" s="10" t="s">
        <v>585</v>
      </c>
    </row>
    <row r="30" spans="1:7" ht="16.5">
      <c r="A30" s="12">
        <v>29</v>
      </c>
      <c r="B30" s="18">
        <v>11200</v>
      </c>
      <c r="C30" s="10" t="s">
        <v>46</v>
      </c>
      <c r="D30" s="10" t="s">
        <v>583</v>
      </c>
      <c r="E30" s="18">
        <v>1</v>
      </c>
      <c r="F30" s="18" t="s">
        <v>584</v>
      </c>
      <c r="G30" s="10" t="s">
        <v>585</v>
      </c>
    </row>
    <row r="31" spans="1:7" ht="16.5">
      <c r="A31" s="12">
        <v>30</v>
      </c>
      <c r="B31" s="18">
        <v>11600</v>
      </c>
      <c r="C31" s="10" t="s">
        <v>46</v>
      </c>
      <c r="D31" s="10" t="s">
        <v>583</v>
      </c>
      <c r="E31" s="18">
        <v>1</v>
      </c>
      <c r="F31" s="18" t="s">
        <v>584</v>
      </c>
      <c r="G31" s="10" t="s">
        <v>585</v>
      </c>
    </row>
    <row r="32" spans="1:7" ht="16.5">
      <c r="A32" s="12">
        <v>31</v>
      </c>
      <c r="B32" s="18">
        <v>12000</v>
      </c>
      <c r="C32" s="10" t="s">
        <v>52</v>
      </c>
      <c r="D32" s="10" t="s">
        <v>769</v>
      </c>
      <c r="E32" s="18">
        <v>1</v>
      </c>
      <c r="F32" s="18" t="s">
        <v>591</v>
      </c>
      <c r="G32" s="10" t="s">
        <v>592</v>
      </c>
    </row>
    <row r="33" spans="1:7" ht="16.5">
      <c r="A33" s="19">
        <v>32</v>
      </c>
      <c r="B33" s="20">
        <v>0</v>
      </c>
      <c r="C33" s="21" t="s">
        <v>593</v>
      </c>
      <c r="D33" s="21" t="s">
        <v>580</v>
      </c>
      <c r="E33" s="20">
        <v>2</v>
      </c>
      <c r="F33" s="20" t="s">
        <v>594</v>
      </c>
      <c r="G33" s="21" t="s">
        <v>595</v>
      </c>
    </row>
    <row r="34" spans="1:7" ht="16.5">
      <c r="A34" s="19">
        <v>33</v>
      </c>
      <c r="B34" s="20">
        <v>400</v>
      </c>
      <c r="C34" s="21" t="s">
        <v>596</v>
      </c>
      <c r="D34" s="21" t="s">
        <v>597</v>
      </c>
      <c r="E34" s="20">
        <v>2</v>
      </c>
      <c r="F34" s="20" t="s">
        <v>598</v>
      </c>
      <c r="G34" s="21" t="s">
        <v>599</v>
      </c>
    </row>
    <row r="35" spans="1:7" ht="16.5">
      <c r="A35" s="19">
        <v>34</v>
      </c>
      <c r="B35" s="20">
        <v>800</v>
      </c>
      <c r="C35" s="21" t="s">
        <v>596</v>
      </c>
      <c r="D35" s="21" t="s">
        <v>600</v>
      </c>
      <c r="E35" s="20">
        <v>2</v>
      </c>
      <c r="F35" s="20" t="s">
        <v>598</v>
      </c>
      <c r="G35" s="21" t="s">
        <v>601</v>
      </c>
    </row>
    <row r="36" spans="1:7" ht="16.5">
      <c r="A36" s="19">
        <v>35</v>
      </c>
      <c r="B36" s="20">
        <v>1200</v>
      </c>
      <c r="C36" s="21" t="s">
        <v>596</v>
      </c>
      <c r="D36" s="21" t="s">
        <v>602</v>
      </c>
      <c r="E36" s="20">
        <v>2</v>
      </c>
      <c r="F36" s="20" t="s">
        <v>598</v>
      </c>
      <c r="G36" s="21" t="s">
        <v>603</v>
      </c>
    </row>
    <row r="37" spans="1:7" ht="16.5">
      <c r="A37" s="19">
        <v>36</v>
      </c>
      <c r="B37" s="20">
        <v>1600</v>
      </c>
      <c r="C37" s="21" t="s">
        <v>596</v>
      </c>
      <c r="D37" s="21" t="s">
        <v>604</v>
      </c>
      <c r="E37" s="20">
        <v>2</v>
      </c>
      <c r="F37" s="20" t="s">
        <v>598</v>
      </c>
      <c r="G37" s="21" t="s">
        <v>605</v>
      </c>
    </row>
    <row r="38" spans="1:7" ht="16.5">
      <c r="A38" s="19">
        <v>37</v>
      </c>
      <c r="B38" s="20">
        <v>2000</v>
      </c>
      <c r="C38" s="21" t="s">
        <v>606</v>
      </c>
      <c r="D38" s="21" t="s">
        <v>607</v>
      </c>
      <c r="E38" s="20">
        <v>2</v>
      </c>
      <c r="F38" s="20" t="s">
        <v>608</v>
      </c>
      <c r="G38" s="21" t="s">
        <v>609</v>
      </c>
    </row>
    <row r="39" spans="1:7" ht="16.5">
      <c r="A39" s="19">
        <v>38</v>
      </c>
      <c r="B39" s="20">
        <v>2400</v>
      </c>
      <c r="C39" s="21" t="s">
        <v>596</v>
      </c>
      <c r="D39" s="21" t="s">
        <v>597</v>
      </c>
      <c r="E39" s="20">
        <v>2</v>
      </c>
      <c r="F39" s="20" t="s">
        <v>598</v>
      </c>
      <c r="G39" s="21" t="s">
        <v>599</v>
      </c>
    </row>
    <row r="40" spans="1:7" ht="16.5">
      <c r="A40" s="19">
        <v>39</v>
      </c>
      <c r="B40" s="20">
        <v>2800</v>
      </c>
      <c r="C40" s="21" t="s">
        <v>596</v>
      </c>
      <c r="D40" s="21" t="s">
        <v>600</v>
      </c>
      <c r="E40" s="20">
        <v>2</v>
      </c>
      <c r="F40" s="20" t="s">
        <v>598</v>
      </c>
      <c r="G40" s="21" t="s">
        <v>601</v>
      </c>
    </row>
    <row r="41" spans="1:7" ht="16.5">
      <c r="A41" s="19">
        <v>40</v>
      </c>
      <c r="B41" s="20">
        <v>3200</v>
      </c>
      <c r="C41" s="21" t="s">
        <v>596</v>
      </c>
      <c r="D41" s="21" t="s">
        <v>602</v>
      </c>
      <c r="E41" s="20">
        <v>2</v>
      </c>
      <c r="F41" s="20" t="s">
        <v>598</v>
      </c>
      <c r="G41" s="21" t="s">
        <v>603</v>
      </c>
    </row>
    <row r="42" spans="1:7" ht="16.5">
      <c r="A42" s="19">
        <v>41</v>
      </c>
      <c r="B42" s="20">
        <v>3600</v>
      </c>
      <c r="C42" s="21" t="s">
        <v>596</v>
      </c>
      <c r="D42" s="21" t="s">
        <v>604</v>
      </c>
      <c r="E42" s="20">
        <v>2</v>
      </c>
      <c r="F42" s="20" t="s">
        <v>598</v>
      </c>
      <c r="G42" s="21" t="s">
        <v>605</v>
      </c>
    </row>
    <row r="43" spans="1:7" ht="16.5">
      <c r="A43" s="19">
        <v>42</v>
      </c>
      <c r="B43" s="20">
        <v>4000</v>
      </c>
      <c r="C43" s="21" t="s">
        <v>606</v>
      </c>
      <c r="D43" s="21" t="s">
        <v>607</v>
      </c>
      <c r="E43" s="20">
        <v>2</v>
      </c>
      <c r="F43" s="20" t="s">
        <v>608</v>
      </c>
      <c r="G43" s="21" t="s">
        <v>609</v>
      </c>
    </row>
    <row r="44" spans="1:7" ht="16.5">
      <c r="A44" s="19">
        <v>43</v>
      </c>
      <c r="B44" s="20">
        <v>4400</v>
      </c>
      <c r="C44" s="21" t="s">
        <v>596</v>
      </c>
      <c r="D44" s="21" t="s">
        <v>597</v>
      </c>
      <c r="E44" s="20">
        <v>2</v>
      </c>
      <c r="F44" s="20" t="s">
        <v>598</v>
      </c>
      <c r="G44" s="21" t="s">
        <v>599</v>
      </c>
    </row>
    <row r="45" spans="1:7" ht="16.5">
      <c r="A45" s="19">
        <v>44</v>
      </c>
      <c r="B45" s="20">
        <v>4800</v>
      </c>
      <c r="C45" s="21" t="s">
        <v>596</v>
      </c>
      <c r="D45" s="21" t="s">
        <v>600</v>
      </c>
      <c r="E45" s="20">
        <v>2</v>
      </c>
      <c r="F45" s="20" t="s">
        <v>598</v>
      </c>
      <c r="G45" s="21" t="s">
        <v>601</v>
      </c>
    </row>
    <row r="46" spans="1:7" ht="16.5">
      <c r="A46" s="19">
        <v>45</v>
      </c>
      <c r="B46" s="20">
        <v>5200</v>
      </c>
      <c r="C46" s="21" t="s">
        <v>596</v>
      </c>
      <c r="D46" s="21" t="s">
        <v>602</v>
      </c>
      <c r="E46" s="20">
        <v>2</v>
      </c>
      <c r="F46" s="20" t="s">
        <v>598</v>
      </c>
      <c r="G46" s="21" t="s">
        <v>603</v>
      </c>
    </row>
    <row r="47" spans="1:7" ht="16.5">
      <c r="A47" s="19">
        <v>46</v>
      </c>
      <c r="B47" s="20">
        <v>5600</v>
      </c>
      <c r="C47" s="21" t="s">
        <v>596</v>
      </c>
      <c r="D47" s="21" t="s">
        <v>604</v>
      </c>
      <c r="E47" s="20">
        <v>2</v>
      </c>
      <c r="F47" s="20" t="s">
        <v>598</v>
      </c>
      <c r="G47" s="21" t="s">
        <v>605</v>
      </c>
    </row>
    <row r="48" spans="1:7" ht="16.5">
      <c r="A48" s="19">
        <v>47</v>
      </c>
      <c r="B48" s="20">
        <v>6000</v>
      </c>
      <c r="C48" s="21" t="s">
        <v>606</v>
      </c>
      <c r="D48" s="21" t="s">
        <v>607</v>
      </c>
      <c r="E48" s="20">
        <v>2</v>
      </c>
      <c r="F48" s="20" t="s">
        <v>608</v>
      </c>
      <c r="G48" s="21" t="s">
        <v>609</v>
      </c>
    </row>
    <row r="49" spans="1:7" ht="16.5">
      <c r="A49" s="19">
        <v>48</v>
      </c>
      <c r="B49" s="20">
        <v>6400</v>
      </c>
      <c r="C49" s="21" t="s">
        <v>596</v>
      </c>
      <c r="D49" s="21" t="s">
        <v>597</v>
      </c>
      <c r="E49" s="20">
        <v>2</v>
      </c>
      <c r="F49" s="20" t="s">
        <v>598</v>
      </c>
      <c r="G49" s="21" t="s">
        <v>599</v>
      </c>
    </row>
    <row r="50" spans="1:7" ht="16.5">
      <c r="A50" s="19">
        <v>49</v>
      </c>
      <c r="B50" s="20">
        <v>6800</v>
      </c>
      <c r="C50" s="21" t="s">
        <v>596</v>
      </c>
      <c r="D50" s="21" t="s">
        <v>600</v>
      </c>
      <c r="E50" s="20">
        <v>2</v>
      </c>
      <c r="F50" s="20" t="s">
        <v>598</v>
      </c>
      <c r="G50" s="21" t="s">
        <v>601</v>
      </c>
    </row>
    <row r="51" spans="1:7" ht="16.5">
      <c r="A51" s="19">
        <v>50</v>
      </c>
      <c r="B51" s="20">
        <v>7200</v>
      </c>
      <c r="C51" s="21" t="s">
        <v>596</v>
      </c>
      <c r="D51" s="21" t="s">
        <v>602</v>
      </c>
      <c r="E51" s="20">
        <v>2</v>
      </c>
      <c r="F51" s="20" t="s">
        <v>598</v>
      </c>
      <c r="G51" s="21" t="s">
        <v>603</v>
      </c>
    </row>
    <row r="52" spans="1:7" ht="16.5">
      <c r="A52" s="19">
        <v>51</v>
      </c>
      <c r="B52" s="20">
        <v>7600</v>
      </c>
      <c r="C52" s="21" t="s">
        <v>596</v>
      </c>
      <c r="D52" s="21" t="s">
        <v>604</v>
      </c>
      <c r="E52" s="20">
        <v>2</v>
      </c>
      <c r="F52" s="20" t="s">
        <v>598</v>
      </c>
      <c r="G52" s="21" t="s">
        <v>605</v>
      </c>
    </row>
    <row r="53" spans="1:7" ht="16.5">
      <c r="A53" s="19">
        <v>52</v>
      </c>
      <c r="B53" s="20">
        <v>8000</v>
      </c>
      <c r="C53" s="21" t="s">
        <v>606</v>
      </c>
      <c r="D53" s="21" t="s">
        <v>610</v>
      </c>
      <c r="E53" s="20">
        <v>2</v>
      </c>
      <c r="F53" s="20" t="s">
        <v>608</v>
      </c>
      <c r="G53" s="21" t="s">
        <v>611</v>
      </c>
    </row>
    <row r="54" spans="1:7" ht="16.5">
      <c r="A54" s="19">
        <v>53</v>
      </c>
      <c r="B54" s="20">
        <v>8400</v>
      </c>
      <c r="C54" s="21" t="s">
        <v>596</v>
      </c>
      <c r="D54" s="21" t="s">
        <v>597</v>
      </c>
      <c r="E54" s="20">
        <v>2</v>
      </c>
      <c r="F54" s="20" t="s">
        <v>598</v>
      </c>
      <c r="G54" s="21" t="s">
        <v>599</v>
      </c>
    </row>
    <row r="55" spans="1:7" ht="16.5">
      <c r="A55" s="19">
        <v>54</v>
      </c>
      <c r="B55" s="20">
        <v>8800</v>
      </c>
      <c r="C55" s="21" t="s">
        <v>596</v>
      </c>
      <c r="D55" s="21" t="s">
        <v>600</v>
      </c>
      <c r="E55" s="20">
        <v>2</v>
      </c>
      <c r="F55" s="20" t="s">
        <v>598</v>
      </c>
      <c r="G55" s="21" t="s">
        <v>601</v>
      </c>
    </row>
    <row r="56" spans="1:7" ht="16.5">
      <c r="A56" s="19">
        <v>55</v>
      </c>
      <c r="B56" s="20">
        <v>9200</v>
      </c>
      <c r="C56" s="21" t="s">
        <v>596</v>
      </c>
      <c r="D56" s="21" t="s">
        <v>612</v>
      </c>
      <c r="E56" s="20">
        <v>2</v>
      </c>
      <c r="F56" s="20" t="s">
        <v>598</v>
      </c>
      <c r="G56" s="21" t="s">
        <v>613</v>
      </c>
    </row>
    <row r="57" spans="1:7" ht="16.5">
      <c r="A57" s="19">
        <v>56</v>
      </c>
      <c r="B57" s="20">
        <v>9600</v>
      </c>
      <c r="C57" s="21" t="s">
        <v>596</v>
      </c>
      <c r="D57" s="21" t="s">
        <v>604</v>
      </c>
      <c r="E57" s="20">
        <v>2</v>
      </c>
      <c r="F57" s="20" t="s">
        <v>598</v>
      </c>
      <c r="G57" s="21" t="s">
        <v>605</v>
      </c>
    </row>
    <row r="58" spans="1:7" ht="16.5">
      <c r="A58" s="19">
        <v>57</v>
      </c>
      <c r="B58" s="20">
        <v>10000</v>
      </c>
      <c r="C58" s="21" t="s">
        <v>44</v>
      </c>
      <c r="D58" s="21" t="s">
        <v>610</v>
      </c>
      <c r="E58" s="20">
        <v>2</v>
      </c>
      <c r="F58" s="20" t="s">
        <v>614</v>
      </c>
      <c r="G58" s="21" t="s">
        <v>611</v>
      </c>
    </row>
    <row r="59" spans="1:7" ht="16.5">
      <c r="A59" s="19">
        <v>58</v>
      </c>
      <c r="B59" s="20">
        <v>10400</v>
      </c>
      <c r="C59" s="21" t="s">
        <v>596</v>
      </c>
      <c r="D59" s="21" t="s">
        <v>597</v>
      </c>
      <c r="E59" s="20">
        <v>2</v>
      </c>
      <c r="F59" s="20" t="s">
        <v>598</v>
      </c>
      <c r="G59" s="21" t="s">
        <v>599</v>
      </c>
    </row>
    <row r="60" spans="1:7" ht="16.5">
      <c r="A60" s="19">
        <v>59</v>
      </c>
      <c r="B60" s="20">
        <v>10800</v>
      </c>
      <c r="C60" s="21" t="s">
        <v>596</v>
      </c>
      <c r="D60" s="21" t="s">
        <v>600</v>
      </c>
      <c r="E60" s="20">
        <v>2</v>
      </c>
      <c r="F60" s="20" t="s">
        <v>598</v>
      </c>
      <c r="G60" s="21" t="s">
        <v>601</v>
      </c>
    </row>
    <row r="61" spans="1:7" ht="16.5">
      <c r="A61" s="19">
        <v>60</v>
      </c>
      <c r="B61" s="20">
        <v>11200</v>
      </c>
      <c r="C61" s="21" t="s">
        <v>596</v>
      </c>
      <c r="D61" s="21" t="s">
        <v>615</v>
      </c>
      <c r="E61" s="20">
        <v>2</v>
      </c>
      <c r="F61" s="20" t="s">
        <v>598</v>
      </c>
      <c r="G61" s="21" t="s">
        <v>616</v>
      </c>
    </row>
    <row r="62" spans="1:7" ht="16.5">
      <c r="A62" s="19">
        <v>61</v>
      </c>
      <c r="B62" s="20">
        <v>11600</v>
      </c>
      <c r="C62" s="21" t="s">
        <v>596</v>
      </c>
      <c r="D62" s="21" t="s">
        <v>604</v>
      </c>
      <c r="E62" s="20">
        <v>2</v>
      </c>
      <c r="F62" s="20" t="s">
        <v>598</v>
      </c>
      <c r="G62" s="21" t="s">
        <v>605</v>
      </c>
    </row>
    <row r="63" spans="1:7" ht="16.5">
      <c r="A63" s="19">
        <v>62</v>
      </c>
      <c r="B63" s="20">
        <v>12000</v>
      </c>
      <c r="C63" s="21" t="s">
        <v>52</v>
      </c>
      <c r="D63" s="21" t="s">
        <v>617</v>
      </c>
      <c r="E63" s="20">
        <v>2</v>
      </c>
      <c r="F63" s="20" t="s">
        <v>618</v>
      </c>
      <c r="G63" s="21" t="s">
        <v>619</v>
      </c>
    </row>
    <row r="64" spans="1:7" ht="16.5">
      <c r="A64" s="12">
        <v>63</v>
      </c>
      <c r="B64" s="18">
        <v>0</v>
      </c>
      <c r="C64" s="10" t="s">
        <v>620</v>
      </c>
      <c r="D64" s="10" t="s">
        <v>580</v>
      </c>
      <c r="E64" s="18">
        <v>3</v>
      </c>
      <c r="F64" s="22" t="s">
        <v>621</v>
      </c>
      <c r="G64" s="23" t="s">
        <v>595</v>
      </c>
    </row>
    <row r="65" spans="1:7" ht="16.5">
      <c r="A65" s="12">
        <v>64</v>
      </c>
      <c r="B65" s="18">
        <v>400</v>
      </c>
      <c r="C65" s="10" t="s">
        <v>622</v>
      </c>
      <c r="D65" s="10" t="s">
        <v>623</v>
      </c>
      <c r="E65" s="18">
        <v>3</v>
      </c>
      <c r="F65" s="22" t="s">
        <v>624</v>
      </c>
      <c r="G65" s="23" t="s">
        <v>625</v>
      </c>
    </row>
    <row r="66" spans="1:7" ht="16.5">
      <c r="A66" s="12">
        <v>65</v>
      </c>
      <c r="B66" s="18">
        <v>800</v>
      </c>
      <c r="C66" s="10" t="s">
        <v>622</v>
      </c>
      <c r="D66" s="10" t="s">
        <v>623</v>
      </c>
      <c r="E66" s="18">
        <v>3</v>
      </c>
      <c r="F66" s="22" t="s">
        <v>624</v>
      </c>
      <c r="G66" s="23" t="s">
        <v>625</v>
      </c>
    </row>
    <row r="67" spans="1:7" ht="16.5">
      <c r="A67" s="12">
        <v>66</v>
      </c>
      <c r="B67" s="18">
        <v>1200</v>
      </c>
      <c r="C67" s="10" t="s">
        <v>622</v>
      </c>
      <c r="D67" s="10" t="s">
        <v>623</v>
      </c>
      <c r="E67" s="18">
        <v>3</v>
      </c>
      <c r="F67" s="22" t="s">
        <v>624</v>
      </c>
      <c r="G67" s="23" t="s">
        <v>625</v>
      </c>
    </row>
    <row r="68" spans="1:7" ht="16.5">
      <c r="A68" s="12">
        <v>67</v>
      </c>
      <c r="B68" s="18">
        <v>1600</v>
      </c>
      <c r="C68" s="10" t="s">
        <v>622</v>
      </c>
      <c r="D68" s="10" t="s">
        <v>623</v>
      </c>
      <c r="E68" s="18">
        <v>3</v>
      </c>
      <c r="F68" s="22" t="s">
        <v>624</v>
      </c>
      <c r="G68" s="23" t="s">
        <v>625</v>
      </c>
    </row>
    <row r="69" spans="1:7" ht="16.5">
      <c r="A69" s="12">
        <v>68</v>
      </c>
      <c r="B69" s="18">
        <v>2000</v>
      </c>
      <c r="C69" s="10" t="s">
        <v>626</v>
      </c>
      <c r="D69" s="10" t="s">
        <v>627</v>
      </c>
      <c r="E69" s="18">
        <v>3</v>
      </c>
      <c r="F69" s="22" t="s">
        <v>628</v>
      </c>
      <c r="G69" s="23" t="s">
        <v>629</v>
      </c>
    </row>
    <row r="70" spans="1:7" ht="16.5">
      <c r="A70" s="12">
        <v>69</v>
      </c>
      <c r="B70" s="18">
        <v>2400</v>
      </c>
      <c r="C70" s="10" t="s">
        <v>622</v>
      </c>
      <c r="D70" s="10" t="s">
        <v>623</v>
      </c>
      <c r="E70" s="18">
        <v>3</v>
      </c>
      <c r="F70" s="22" t="s">
        <v>624</v>
      </c>
      <c r="G70" s="23" t="s">
        <v>625</v>
      </c>
    </row>
    <row r="71" spans="1:7" ht="16.5">
      <c r="A71" s="12">
        <v>70</v>
      </c>
      <c r="B71" s="18">
        <v>2800</v>
      </c>
      <c r="C71" s="10" t="s">
        <v>622</v>
      </c>
      <c r="D71" s="10" t="s">
        <v>623</v>
      </c>
      <c r="E71" s="18">
        <v>3</v>
      </c>
      <c r="F71" s="22" t="s">
        <v>624</v>
      </c>
      <c r="G71" s="23" t="s">
        <v>625</v>
      </c>
    </row>
    <row r="72" spans="1:7" ht="16.5">
      <c r="A72" s="12">
        <v>71</v>
      </c>
      <c r="B72" s="18">
        <v>3200</v>
      </c>
      <c r="C72" s="10" t="s">
        <v>622</v>
      </c>
      <c r="D72" s="10" t="s">
        <v>623</v>
      </c>
      <c r="E72" s="18">
        <v>3</v>
      </c>
      <c r="F72" s="22" t="s">
        <v>624</v>
      </c>
      <c r="G72" s="23" t="s">
        <v>625</v>
      </c>
    </row>
    <row r="73" spans="1:7" ht="16.5">
      <c r="A73" s="12">
        <v>72</v>
      </c>
      <c r="B73" s="18">
        <v>3600</v>
      </c>
      <c r="C73" s="10" t="s">
        <v>622</v>
      </c>
      <c r="D73" s="10" t="s">
        <v>623</v>
      </c>
      <c r="E73" s="18">
        <v>3</v>
      </c>
      <c r="F73" s="22" t="s">
        <v>624</v>
      </c>
      <c r="G73" s="23" t="s">
        <v>625</v>
      </c>
    </row>
    <row r="74" spans="1:7" ht="16.5">
      <c r="A74" s="12">
        <v>73</v>
      </c>
      <c r="B74" s="18">
        <v>4000</v>
      </c>
      <c r="C74" s="10" t="s">
        <v>626</v>
      </c>
      <c r="D74" s="10" t="s">
        <v>627</v>
      </c>
      <c r="E74" s="18">
        <v>3</v>
      </c>
      <c r="F74" s="22" t="s">
        <v>628</v>
      </c>
      <c r="G74" s="23" t="s">
        <v>629</v>
      </c>
    </row>
    <row r="75" spans="1:7" ht="16.5">
      <c r="A75" s="12">
        <v>74</v>
      </c>
      <c r="B75" s="18">
        <v>4400</v>
      </c>
      <c r="C75" s="10" t="s">
        <v>622</v>
      </c>
      <c r="D75" s="10" t="s">
        <v>623</v>
      </c>
      <c r="E75" s="18">
        <v>3</v>
      </c>
      <c r="F75" s="22" t="s">
        <v>624</v>
      </c>
      <c r="G75" s="23" t="s">
        <v>625</v>
      </c>
    </row>
    <row r="76" spans="1:7" ht="16.5">
      <c r="A76" s="12">
        <v>75</v>
      </c>
      <c r="B76" s="18">
        <v>4800</v>
      </c>
      <c r="C76" s="10" t="s">
        <v>622</v>
      </c>
      <c r="D76" s="10" t="s">
        <v>623</v>
      </c>
      <c r="E76" s="18">
        <v>3</v>
      </c>
      <c r="F76" s="22" t="s">
        <v>624</v>
      </c>
      <c r="G76" s="23" t="s">
        <v>625</v>
      </c>
    </row>
    <row r="77" spans="1:7" ht="16.5">
      <c r="A77" s="12">
        <v>76</v>
      </c>
      <c r="B77" s="18">
        <v>5200</v>
      </c>
      <c r="C77" s="10" t="s">
        <v>622</v>
      </c>
      <c r="D77" s="10" t="s">
        <v>623</v>
      </c>
      <c r="E77" s="18">
        <v>3</v>
      </c>
      <c r="F77" s="22" t="s">
        <v>624</v>
      </c>
      <c r="G77" s="23" t="s">
        <v>625</v>
      </c>
    </row>
    <row r="78" spans="1:7" ht="16.5">
      <c r="A78" s="12">
        <v>77</v>
      </c>
      <c r="B78" s="18">
        <v>5600</v>
      </c>
      <c r="C78" s="10" t="s">
        <v>622</v>
      </c>
      <c r="D78" s="10" t="s">
        <v>623</v>
      </c>
      <c r="E78" s="18">
        <v>3</v>
      </c>
      <c r="F78" s="22" t="s">
        <v>624</v>
      </c>
      <c r="G78" s="23" t="s">
        <v>625</v>
      </c>
    </row>
    <row r="79" spans="1:7" ht="16.5">
      <c r="A79" s="12">
        <v>78</v>
      </c>
      <c r="B79" s="18">
        <v>6000</v>
      </c>
      <c r="C79" s="10" t="s">
        <v>626</v>
      </c>
      <c r="D79" s="10" t="s">
        <v>627</v>
      </c>
      <c r="E79" s="18">
        <v>3</v>
      </c>
      <c r="F79" s="22" t="s">
        <v>628</v>
      </c>
      <c r="G79" s="23" t="s">
        <v>629</v>
      </c>
    </row>
    <row r="80" spans="1:7" ht="16.5">
      <c r="A80" s="12">
        <v>79</v>
      </c>
      <c r="B80" s="18">
        <v>6400</v>
      </c>
      <c r="C80" s="10" t="s">
        <v>622</v>
      </c>
      <c r="D80" s="10" t="s">
        <v>623</v>
      </c>
      <c r="E80" s="18">
        <v>3</v>
      </c>
      <c r="F80" s="22" t="s">
        <v>624</v>
      </c>
      <c r="G80" s="23" t="s">
        <v>625</v>
      </c>
    </row>
    <row r="81" spans="1:7" ht="16.5">
      <c r="A81" s="12">
        <v>80</v>
      </c>
      <c r="B81" s="18">
        <v>6800</v>
      </c>
      <c r="C81" s="10" t="s">
        <v>622</v>
      </c>
      <c r="D81" s="10" t="s">
        <v>623</v>
      </c>
      <c r="E81" s="18">
        <v>3</v>
      </c>
      <c r="F81" s="22" t="s">
        <v>624</v>
      </c>
      <c r="G81" s="23" t="s">
        <v>625</v>
      </c>
    </row>
    <row r="82" spans="1:7" ht="16.5">
      <c r="A82" s="12">
        <v>81</v>
      </c>
      <c r="B82" s="18">
        <v>7200</v>
      </c>
      <c r="C82" s="10" t="s">
        <v>622</v>
      </c>
      <c r="D82" s="10" t="s">
        <v>623</v>
      </c>
      <c r="E82" s="18">
        <v>3</v>
      </c>
      <c r="F82" s="22" t="s">
        <v>624</v>
      </c>
      <c r="G82" s="23" t="s">
        <v>625</v>
      </c>
    </row>
    <row r="83" spans="1:7" ht="16.5">
      <c r="A83" s="12">
        <v>82</v>
      </c>
      <c r="B83" s="18">
        <v>7600</v>
      </c>
      <c r="C83" s="10" t="s">
        <v>622</v>
      </c>
      <c r="D83" s="10" t="s">
        <v>623</v>
      </c>
      <c r="E83" s="18">
        <v>3</v>
      </c>
      <c r="F83" s="22" t="s">
        <v>624</v>
      </c>
      <c r="G83" s="23" t="s">
        <v>625</v>
      </c>
    </row>
    <row r="84" spans="1:7" ht="16.5">
      <c r="A84" s="12">
        <v>83</v>
      </c>
      <c r="B84" s="18">
        <v>8000</v>
      </c>
      <c r="C84" s="10" t="s">
        <v>626</v>
      </c>
      <c r="D84" s="10" t="s">
        <v>627</v>
      </c>
      <c r="E84" s="18">
        <v>3</v>
      </c>
      <c r="F84" s="22" t="s">
        <v>628</v>
      </c>
      <c r="G84" s="23" t="s">
        <v>629</v>
      </c>
    </row>
    <row r="85" spans="1:7" ht="16.5">
      <c r="A85" s="12">
        <v>84</v>
      </c>
      <c r="B85" s="18">
        <v>8400</v>
      </c>
      <c r="C85" s="10" t="s">
        <v>622</v>
      </c>
      <c r="D85" s="10" t="s">
        <v>623</v>
      </c>
      <c r="E85" s="18">
        <v>3</v>
      </c>
      <c r="F85" s="22" t="s">
        <v>624</v>
      </c>
      <c r="G85" s="23" t="s">
        <v>625</v>
      </c>
    </row>
    <row r="86" spans="1:7" ht="16.5">
      <c r="A86" s="12">
        <v>85</v>
      </c>
      <c r="B86" s="18">
        <v>8800</v>
      </c>
      <c r="C86" s="10" t="s">
        <v>622</v>
      </c>
      <c r="D86" s="10" t="s">
        <v>623</v>
      </c>
      <c r="E86" s="18">
        <v>3</v>
      </c>
      <c r="F86" s="22" t="s">
        <v>624</v>
      </c>
      <c r="G86" s="23" t="s">
        <v>625</v>
      </c>
    </row>
    <row r="87" spans="1:7" ht="16.5">
      <c r="A87" s="12">
        <v>86</v>
      </c>
      <c r="B87" s="18">
        <v>9200</v>
      </c>
      <c r="C87" s="10" t="s">
        <v>622</v>
      </c>
      <c r="D87" s="10" t="s">
        <v>623</v>
      </c>
      <c r="E87" s="18">
        <v>3</v>
      </c>
      <c r="F87" s="22" t="s">
        <v>624</v>
      </c>
      <c r="G87" s="23" t="s">
        <v>625</v>
      </c>
    </row>
    <row r="88" spans="1:7" ht="16.5">
      <c r="A88" s="12">
        <v>87</v>
      </c>
      <c r="B88" s="18">
        <v>9600</v>
      </c>
      <c r="C88" s="10" t="s">
        <v>622</v>
      </c>
      <c r="D88" s="10" t="s">
        <v>623</v>
      </c>
      <c r="E88" s="18">
        <v>3</v>
      </c>
      <c r="F88" s="22" t="s">
        <v>624</v>
      </c>
      <c r="G88" s="23" t="s">
        <v>625</v>
      </c>
    </row>
    <row r="89" spans="1:7" ht="16.5">
      <c r="A89" s="12">
        <v>88</v>
      </c>
      <c r="B89" s="18">
        <v>10000</v>
      </c>
      <c r="C89" s="10" t="s">
        <v>44</v>
      </c>
      <c r="D89" s="10" t="s">
        <v>627</v>
      </c>
      <c r="E89" s="18">
        <v>3</v>
      </c>
      <c r="F89" s="22" t="s">
        <v>630</v>
      </c>
      <c r="G89" s="23" t="s">
        <v>629</v>
      </c>
    </row>
    <row r="90" spans="1:7" ht="16.5">
      <c r="A90" s="12">
        <v>89</v>
      </c>
      <c r="B90" s="18">
        <v>10400</v>
      </c>
      <c r="C90" s="10" t="s">
        <v>622</v>
      </c>
      <c r="D90" s="10" t="s">
        <v>623</v>
      </c>
      <c r="E90" s="18">
        <v>3</v>
      </c>
      <c r="F90" s="22" t="s">
        <v>624</v>
      </c>
      <c r="G90" s="23" t="s">
        <v>625</v>
      </c>
    </row>
    <row r="91" spans="1:7" ht="16.5">
      <c r="A91" s="12">
        <v>90</v>
      </c>
      <c r="B91" s="18">
        <v>10800</v>
      </c>
      <c r="C91" s="10" t="s">
        <v>622</v>
      </c>
      <c r="D91" s="10" t="s">
        <v>623</v>
      </c>
      <c r="E91" s="18">
        <v>3</v>
      </c>
      <c r="F91" s="22" t="s">
        <v>624</v>
      </c>
      <c r="G91" s="23" t="s">
        <v>625</v>
      </c>
    </row>
    <row r="92" spans="1:7" ht="16.5">
      <c r="A92" s="12">
        <v>91</v>
      </c>
      <c r="B92" s="18">
        <v>11200</v>
      </c>
      <c r="C92" s="10" t="s">
        <v>622</v>
      </c>
      <c r="D92" s="10" t="s">
        <v>623</v>
      </c>
      <c r="E92" s="18">
        <v>3</v>
      </c>
      <c r="F92" s="22" t="s">
        <v>624</v>
      </c>
      <c r="G92" s="23" t="s">
        <v>625</v>
      </c>
    </row>
    <row r="93" spans="1:7" ht="16.5">
      <c r="A93" s="12">
        <v>92</v>
      </c>
      <c r="B93" s="18">
        <v>11600</v>
      </c>
      <c r="C93" s="10" t="s">
        <v>622</v>
      </c>
      <c r="D93" s="10" t="s">
        <v>623</v>
      </c>
      <c r="E93" s="18">
        <v>3</v>
      </c>
      <c r="F93" s="22" t="s">
        <v>624</v>
      </c>
      <c r="G93" s="23" t="s">
        <v>625</v>
      </c>
    </row>
    <row r="94" spans="1:7" ht="16.5">
      <c r="A94" s="12">
        <v>93</v>
      </c>
      <c r="B94" s="18">
        <v>12000</v>
      </c>
      <c r="C94" s="10" t="s">
        <v>52</v>
      </c>
      <c r="D94" s="10" t="s">
        <v>631</v>
      </c>
      <c r="E94" s="18">
        <v>3</v>
      </c>
      <c r="F94" s="22" t="s">
        <v>632</v>
      </c>
      <c r="G94" s="23" t="s">
        <v>633</v>
      </c>
    </row>
    <row r="95" spans="1:7" ht="16.5">
      <c r="A95" s="12">
        <v>94</v>
      </c>
      <c r="B95" s="18">
        <v>0</v>
      </c>
      <c r="C95" s="10" t="s">
        <v>634</v>
      </c>
      <c r="D95" s="10" t="s">
        <v>580</v>
      </c>
      <c r="E95" s="18">
        <v>4</v>
      </c>
      <c r="F95" s="18" t="s">
        <v>635</v>
      </c>
      <c r="G95" s="10" t="s">
        <v>582</v>
      </c>
    </row>
    <row r="96" spans="1:7" ht="16.5">
      <c r="A96" s="12">
        <v>95</v>
      </c>
      <c r="B96" s="18">
        <v>400</v>
      </c>
      <c r="C96" s="10" t="s">
        <v>636</v>
      </c>
      <c r="D96" s="10" t="s">
        <v>583</v>
      </c>
      <c r="E96" s="18">
        <v>4</v>
      </c>
      <c r="F96" s="18" t="s">
        <v>637</v>
      </c>
      <c r="G96" s="10" t="s">
        <v>585</v>
      </c>
    </row>
    <row r="97" spans="1:7" ht="16.5">
      <c r="A97" s="12">
        <v>96</v>
      </c>
      <c r="B97" s="18">
        <v>800</v>
      </c>
      <c r="C97" s="10" t="s">
        <v>636</v>
      </c>
      <c r="D97" s="10" t="s">
        <v>583</v>
      </c>
      <c r="E97" s="18">
        <v>4</v>
      </c>
      <c r="F97" s="18" t="s">
        <v>637</v>
      </c>
      <c r="G97" s="10" t="s">
        <v>585</v>
      </c>
    </row>
    <row r="98" spans="1:7" ht="16.5">
      <c r="A98" s="12">
        <v>97</v>
      </c>
      <c r="B98" s="18">
        <v>1200</v>
      </c>
      <c r="C98" s="10" t="s">
        <v>636</v>
      </c>
      <c r="D98" s="10" t="s">
        <v>583</v>
      </c>
      <c r="E98" s="18">
        <v>4</v>
      </c>
      <c r="F98" s="18" t="s">
        <v>637</v>
      </c>
      <c r="G98" s="10" t="s">
        <v>585</v>
      </c>
    </row>
    <row r="99" spans="1:7" ht="16.5">
      <c r="A99" s="12">
        <v>98</v>
      </c>
      <c r="B99" s="18">
        <v>1600</v>
      </c>
      <c r="C99" s="10" t="s">
        <v>636</v>
      </c>
      <c r="D99" s="10" t="s">
        <v>583</v>
      </c>
      <c r="E99" s="18">
        <v>4</v>
      </c>
      <c r="F99" s="18" t="s">
        <v>637</v>
      </c>
      <c r="G99" s="10" t="s">
        <v>585</v>
      </c>
    </row>
    <row r="100" spans="1:7" ht="16.5">
      <c r="A100" s="12">
        <v>99</v>
      </c>
      <c r="B100" s="18">
        <v>2000</v>
      </c>
      <c r="C100" s="10" t="s">
        <v>638</v>
      </c>
      <c r="D100" s="10" t="s">
        <v>639</v>
      </c>
      <c r="E100" s="18">
        <v>4</v>
      </c>
      <c r="F100" s="18" t="s">
        <v>640</v>
      </c>
      <c r="G100" s="10" t="s">
        <v>641</v>
      </c>
    </row>
    <row r="101" spans="1:7" ht="16.5">
      <c r="A101" s="12">
        <v>100</v>
      </c>
      <c r="B101" s="18">
        <v>2400</v>
      </c>
      <c r="C101" s="10" t="s">
        <v>636</v>
      </c>
      <c r="D101" s="10" t="s">
        <v>583</v>
      </c>
      <c r="E101" s="18">
        <v>4</v>
      </c>
      <c r="F101" s="18" t="s">
        <v>637</v>
      </c>
      <c r="G101" s="10" t="s">
        <v>585</v>
      </c>
    </row>
    <row r="102" spans="1:7" ht="16.5">
      <c r="A102" s="12">
        <v>101</v>
      </c>
      <c r="B102" s="18">
        <v>2800</v>
      </c>
      <c r="C102" s="10" t="s">
        <v>636</v>
      </c>
      <c r="D102" s="10" t="s">
        <v>583</v>
      </c>
      <c r="E102" s="18">
        <v>4</v>
      </c>
      <c r="F102" s="18" t="s">
        <v>637</v>
      </c>
      <c r="G102" s="10" t="s">
        <v>585</v>
      </c>
    </row>
    <row r="103" spans="1:7" ht="16.5">
      <c r="A103" s="12">
        <v>102</v>
      </c>
      <c r="B103" s="18">
        <v>3200</v>
      </c>
      <c r="C103" s="10" t="s">
        <v>636</v>
      </c>
      <c r="D103" s="10" t="s">
        <v>583</v>
      </c>
      <c r="E103" s="18">
        <v>4</v>
      </c>
      <c r="F103" s="18" t="s">
        <v>637</v>
      </c>
      <c r="G103" s="10" t="s">
        <v>585</v>
      </c>
    </row>
    <row r="104" spans="1:7" ht="16.5">
      <c r="A104" s="12">
        <v>103</v>
      </c>
      <c r="B104" s="18">
        <v>3600</v>
      </c>
      <c r="C104" s="10" t="s">
        <v>636</v>
      </c>
      <c r="D104" s="10" t="s">
        <v>583</v>
      </c>
      <c r="E104" s="18">
        <v>4</v>
      </c>
      <c r="F104" s="18" t="s">
        <v>637</v>
      </c>
      <c r="G104" s="10" t="s">
        <v>585</v>
      </c>
    </row>
    <row r="105" spans="1:7" ht="16.5">
      <c r="A105" s="12">
        <v>104</v>
      </c>
      <c r="B105" s="18">
        <v>4000</v>
      </c>
      <c r="C105" s="10" t="s">
        <v>638</v>
      </c>
      <c r="D105" s="10" t="s">
        <v>639</v>
      </c>
      <c r="E105" s="18">
        <v>4</v>
      </c>
      <c r="F105" s="18" t="s">
        <v>640</v>
      </c>
      <c r="G105" s="10" t="s">
        <v>641</v>
      </c>
    </row>
    <row r="106" spans="1:7" ht="16.5">
      <c r="A106" s="12">
        <v>105</v>
      </c>
      <c r="B106" s="18">
        <v>4400</v>
      </c>
      <c r="C106" s="10" t="s">
        <v>636</v>
      </c>
      <c r="D106" s="10" t="s">
        <v>583</v>
      </c>
      <c r="E106" s="18">
        <v>4</v>
      </c>
      <c r="F106" s="18" t="s">
        <v>637</v>
      </c>
      <c r="G106" s="10" t="s">
        <v>585</v>
      </c>
    </row>
    <row r="107" spans="1:7" ht="16.5">
      <c r="A107" s="12">
        <v>106</v>
      </c>
      <c r="B107" s="18">
        <v>4800</v>
      </c>
      <c r="C107" s="10" t="s">
        <v>636</v>
      </c>
      <c r="D107" s="10" t="s">
        <v>583</v>
      </c>
      <c r="E107" s="18">
        <v>4</v>
      </c>
      <c r="F107" s="18" t="s">
        <v>637</v>
      </c>
      <c r="G107" s="10" t="s">
        <v>585</v>
      </c>
    </row>
    <row r="108" spans="1:7" ht="16.5">
      <c r="A108" s="12">
        <v>107</v>
      </c>
      <c r="B108" s="18">
        <v>5200</v>
      </c>
      <c r="C108" s="10" t="s">
        <v>636</v>
      </c>
      <c r="D108" s="10" t="s">
        <v>583</v>
      </c>
      <c r="E108" s="18">
        <v>4</v>
      </c>
      <c r="F108" s="18" t="s">
        <v>637</v>
      </c>
      <c r="G108" s="10" t="s">
        <v>585</v>
      </c>
    </row>
    <row r="109" spans="1:7" ht="16.5">
      <c r="A109" s="12">
        <v>108</v>
      </c>
      <c r="B109" s="18">
        <v>5600</v>
      </c>
      <c r="C109" s="10" t="s">
        <v>636</v>
      </c>
      <c r="D109" s="10" t="s">
        <v>583</v>
      </c>
      <c r="E109" s="18">
        <v>4</v>
      </c>
      <c r="F109" s="18" t="s">
        <v>637</v>
      </c>
      <c r="G109" s="10" t="s">
        <v>585</v>
      </c>
    </row>
    <row r="110" spans="1:7" ht="16.5">
      <c r="A110" s="12">
        <v>109</v>
      </c>
      <c r="B110" s="18">
        <v>6000</v>
      </c>
      <c r="C110" s="10" t="s">
        <v>638</v>
      </c>
      <c r="D110" s="10" t="s">
        <v>639</v>
      </c>
      <c r="E110" s="18">
        <v>4</v>
      </c>
      <c r="F110" s="18" t="s">
        <v>640</v>
      </c>
      <c r="G110" s="10" t="s">
        <v>641</v>
      </c>
    </row>
    <row r="111" spans="1:7" ht="16.5">
      <c r="A111" s="12">
        <v>110</v>
      </c>
      <c r="B111" s="18">
        <v>6400</v>
      </c>
      <c r="C111" s="10" t="s">
        <v>636</v>
      </c>
      <c r="D111" s="10" t="s">
        <v>583</v>
      </c>
      <c r="E111" s="18">
        <v>4</v>
      </c>
      <c r="F111" s="18" t="s">
        <v>637</v>
      </c>
      <c r="G111" s="10" t="s">
        <v>585</v>
      </c>
    </row>
    <row r="112" spans="1:7" ht="16.5">
      <c r="A112" s="12">
        <v>111</v>
      </c>
      <c r="B112" s="18">
        <v>6800</v>
      </c>
      <c r="C112" s="10" t="s">
        <v>636</v>
      </c>
      <c r="D112" s="10" t="s">
        <v>583</v>
      </c>
      <c r="E112" s="18">
        <v>4</v>
      </c>
      <c r="F112" s="18" t="s">
        <v>637</v>
      </c>
      <c r="G112" s="10" t="s">
        <v>585</v>
      </c>
    </row>
    <row r="113" spans="1:7" ht="16.5">
      <c r="A113" s="12">
        <v>112</v>
      </c>
      <c r="B113" s="18">
        <v>7200</v>
      </c>
      <c r="C113" s="10" t="s">
        <v>636</v>
      </c>
      <c r="D113" s="10" t="s">
        <v>583</v>
      </c>
      <c r="E113" s="18">
        <v>4</v>
      </c>
      <c r="F113" s="18" t="s">
        <v>637</v>
      </c>
      <c r="G113" s="10" t="s">
        <v>585</v>
      </c>
    </row>
    <row r="114" spans="1:7" ht="16.5">
      <c r="A114" s="12">
        <v>113</v>
      </c>
      <c r="B114" s="18">
        <v>7600</v>
      </c>
      <c r="C114" s="10" t="s">
        <v>636</v>
      </c>
      <c r="D114" s="10" t="s">
        <v>583</v>
      </c>
      <c r="E114" s="18">
        <v>4</v>
      </c>
      <c r="F114" s="18" t="s">
        <v>637</v>
      </c>
      <c r="G114" s="10" t="s">
        <v>585</v>
      </c>
    </row>
    <row r="115" spans="1:7" ht="16.5">
      <c r="A115" s="12">
        <v>114</v>
      </c>
      <c r="B115" s="18">
        <v>8000</v>
      </c>
      <c r="C115" s="10" t="s">
        <v>638</v>
      </c>
      <c r="D115" s="10" t="s">
        <v>639</v>
      </c>
      <c r="E115" s="18">
        <v>4</v>
      </c>
      <c r="F115" s="18" t="s">
        <v>640</v>
      </c>
      <c r="G115" s="10" t="s">
        <v>641</v>
      </c>
    </row>
    <row r="116" spans="1:7" ht="16.5">
      <c r="A116" s="12">
        <v>115</v>
      </c>
      <c r="B116" s="18">
        <v>8400</v>
      </c>
      <c r="C116" s="10" t="s">
        <v>636</v>
      </c>
      <c r="D116" s="10" t="s">
        <v>583</v>
      </c>
      <c r="E116" s="18">
        <v>4</v>
      </c>
      <c r="F116" s="18" t="s">
        <v>637</v>
      </c>
      <c r="G116" s="10" t="s">
        <v>585</v>
      </c>
    </row>
    <row r="117" spans="1:7" ht="16.5">
      <c r="A117" s="12">
        <v>116</v>
      </c>
      <c r="B117" s="18">
        <v>8800</v>
      </c>
      <c r="C117" s="10" t="s">
        <v>636</v>
      </c>
      <c r="D117" s="10" t="s">
        <v>583</v>
      </c>
      <c r="E117" s="18">
        <v>4</v>
      </c>
      <c r="F117" s="18" t="s">
        <v>637</v>
      </c>
      <c r="G117" s="10" t="s">
        <v>585</v>
      </c>
    </row>
    <row r="118" spans="1:7" ht="16.5">
      <c r="A118" s="12">
        <v>117</v>
      </c>
      <c r="B118" s="18">
        <v>9200</v>
      </c>
      <c r="C118" s="10" t="s">
        <v>636</v>
      </c>
      <c r="D118" s="10" t="s">
        <v>583</v>
      </c>
      <c r="E118" s="18">
        <v>4</v>
      </c>
      <c r="F118" s="18" t="s">
        <v>637</v>
      </c>
      <c r="G118" s="10" t="s">
        <v>585</v>
      </c>
    </row>
    <row r="119" spans="1:7" ht="16.5">
      <c r="A119" s="12">
        <v>118</v>
      </c>
      <c r="B119" s="18">
        <v>9600</v>
      </c>
      <c r="C119" s="10" t="s">
        <v>636</v>
      </c>
      <c r="D119" s="10" t="s">
        <v>583</v>
      </c>
      <c r="E119" s="18">
        <v>4</v>
      </c>
      <c r="F119" s="18" t="s">
        <v>637</v>
      </c>
      <c r="G119" s="10" t="s">
        <v>585</v>
      </c>
    </row>
    <row r="120" spans="1:7" ht="16.5">
      <c r="A120" s="12">
        <v>119</v>
      </c>
      <c r="B120" s="18">
        <v>10000</v>
      </c>
      <c r="C120" s="10" t="s">
        <v>44</v>
      </c>
      <c r="D120" s="10" t="s">
        <v>639</v>
      </c>
      <c r="E120" s="18">
        <v>4</v>
      </c>
      <c r="F120" s="18" t="s">
        <v>590</v>
      </c>
      <c r="G120" s="10" t="s">
        <v>641</v>
      </c>
    </row>
    <row r="121" spans="1:7" ht="16.5">
      <c r="A121" s="12">
        <v>120</v>
      </c>
      <c r="B121" s="18">
        <v>10400</v>
      </c>
      <c r="C121" s="10" t="s">
        <v>636</v>
      </c>
      <c r="D121" s="10" t="s">
        <v>583</v>
      </c>
      <c r="E121" s="18">
        <v>4</v>
      </c>
      <c r="F121" s="18" t="s">
        <v>637</v>
      </c>
      <c r="G121" s="10" t="s">
        <v>585</v>
      </c>
    </row>
    <row r="122" spans="1:7" ht="16.5">
      <c r="A122" s="12">
        <v>121</v>
      </c>
      <c r="B122" s="18">
        <v>10800</v>
      </c>
      <c r="C122" s="10" t="s">
        <v>636</v>
      </c>
      <c r="D122" s="10" t="s">
        <v>583</v>
      </c>
      <c r="E122" s="18">
        <v>4</v>
      </c>
      <c r="F122" s="18" t="s">
        <v>637</v>
      </c>
      <c r="G122" s="10" t="s">
        <v>585</v>
      </c>
    </row>
    <row r="123" spans="1:7" ht="16.5">
      <c r="A123" s="12">
        <v>122</v>
      </c>
      <c r="B123" s="18">
        <v>11200</v>
      </c>
      <c r="C123" s="10" t="s">
        <v>636</v>
      </c>
      <c r="D123" s="10" t="s">
        <v>583</v>
      </c>
      <c r="E123" s="18">
        <v>4</v>
      </c>
      <c r="F123" s="18" t="s">
        <v>637</v>
      </c>
      <c r="G123" s="10" t="s">
        <v>585</v>
      </c>
    </row>
    <row r="124" spans="1:7" ht="16.5">
      <c r="A124" s="12">
        <v>123</v>
      </c>
      <c r="B124" s="18">
        <v>11600</v>
      </c>
      <c r="C124" s="10" t="s">
        <v>636</v>
      </c>
      <c r="D124" s="10" t="s">
        <v>583</v>
      </c>
      <c r="E124" s="18">
        <v>4</v>
      </c>
      <c r="F124" s="18" t="s">
        <v>637</v>
      </c>
      <c r="G124" s="10" t="s">
        <v>585</v>
      </c>
    </row>
    <row r="125" spans="1:7" ht="16.5">
      <c r="A125" s="12">
        <v>124</v>
      </c>
      <c r="B125" s="18">
        <v>12000</v>
      </c>
      <c r="C125" s="10" t="s">
        <v>52</v>
      </c>
      <c r="D125" s="10" t="s">
        <v>770</v>
      </c>
      <c r="E125" s="18">
        <v>4</v>
      </c>
      <c r="F125" s="18" t="s">
        <v>591</v>
      </c>
      <c r="G125" s="10" t="s">
        <v>642</v>
      </c>
    </row>
    <row r="126" spans="1:7" ht="16.5">
      <c r="A126" s="12">
        <v>125</v>
      </c>
      <c r="B126" s="18">
        <v>0</v>
      </c>
      <c r="C126" s="24" t="s">
        <v>643</v>
      </c>
      <c r="D126" s="24" t="s">
        <v>644</v>
      </c>
      <c r="E126" s="18">
        <v>5</v>
      </c>
      <c r="F126" s="18" t="s">
        <v>645</v>
      </c>
      <c r="G126" s="10" t="s">
        <v>646</v>
      </c>
    </row>
    <row r="127" spans="1:7" ht="16.5">
      <c r="A127" s="12">
        <v>126</v>
      </c>
      <c r="B127" s="18">
        <v>400</v>
      </c>
      <c r="C127" s="24" t="s">
        <v>647</v>
      </c>
      <c r="D127" s="24" t="s">
        <v>648</v>
      </c>
      <c r="E127" s="18">
        <v>5</v>
      </c>
      <c r="F127" s="18" t="s">
        <v>649</v>
      </c>
      <c r="G127" s="10" t="s">
        <v>650</v>
      </c>
    </row>
    <row r="128" spans="1:7" ht="16.5">
      <c r="A128" s="12">
        <v>127</v>
      </c>
      <c r="B128" s="18">
        <v>800</v>
      </c>
      <c r="C128" s="24" t="s">
        <v>647</v>
      </c>
      <c r="D128" s="24" t="s">
        <v>648</v>
      </c>
      <c r="E128" s="18">
        <v>5</v>
      </c>
      <c r="F128" s="18" t="s">
        <v>649</v>
      </c>
      <c r="G128" s="10" t="s">
        <v>650</v>
      </c>
    </row>
    <row r="129" spans="1:7" ht="16.5">
      <c r="A129" s="12">
        <v>128</v>
      </c>
      <c r="B129" s="18">
        <v>1200</v>
      </c>
      <c r="C129" s="24" t="s">
        <v>647</v>
      </c>
      <c r="D129" s="24" t="s">
        <v>648</v>
      </c>
      <c r="E129" s="18">
        <v>5</v>
      </c>
      <c r="F129" s="18" t="s">
        <v>649</v>
      </c>
      <c r="G129" s="10" t="s">
        <v>650</v>
      </c>
    </row>
    <row r="130" spans="1:7" ht="16.5">
      <c r="A130" s="12">
        <v>129</v>
      </c>
      <c r="B130" s="18">
        <v>1600</v>
      </c>
      <c r="C130" s="24" t="s">
        <v>647</v>
      </c>
      <c r="D130" s="24" t="s">
        <v>648</v>
      </c>
      <c r="E130" s="18">
        <v>5</v>
      </c>
      <c r="F130" s="18" t="s">
        <v>649</v>
      </c>
      <c r="G130" s="10" t="s">
        <v>650</v>
      </c>
    </row>
    <row r="131" spans="1:7" ht="16.5">
      <c r="A131" s="12">
        <v>130</v>
      </c>
      <c r="B131" s="18">
        <v>2000</v>
      </c>
      <c r="C131" s="24" t="s">
        <v>643</v>
      </c>
      <c r="D131" s="24" t="s">
        <v>651</v>
      </c>
      <c r="E131" s="18">
        <v>5</v>
      </c>
      <c r="F131" s="18" t="s">
        <v>645</v>
      </c>
      <c r="G131" s="10" t="s">
        <v>652</v>
      </c>
    </row>
    <row r="132" spans="1:7" ht="16.5">
      <c r="A132" s="12">
        <v>131</v>
      </c>
      <c r="B132" s="18">
        <v>2400</v>
      </c>
      <c r="C132" s="24" t="s">
        <v>647</v>
      </c>
      <c r="D132" s="24" t="s">
        <v>648</v>
      </c>
      <c r="E132" s="18">
        <v>5</v>
      </c>
      <c r="F132" s="18" t="s">
        <v>649</v>
      </c>
      <c r="G132" s="10" t="s">
        <v>650</v>
      </c>
    </row>
    <row r="133" spans="1:7" ht="16.5">
      <c r="A133" s="12">
        <v>132</v>
      </c>
      <c r="B133" s="18">
        <v>2800</v>
      </c>
      <c r="C133" s="24" t="s">
        <v>647</v>
      </c>
      <c r="D133" s="24" t="s">
        <v>648</v>
      </c>
      <c r="E133" s="18">
        <v>5</v>
      </c>
      <c r="F133" s="18" t="s">
        <v>649</v>
      </c>
      <c r="G133" s="10" t="s">
        <v>650</v>
      </c>
    </row>
    <row r="134" spans="1:7" ht="16.5">
      <c r="A134" s="12">
        <v>133</v>
      </c>
      <c r="B134" s="18">
        <v>3200</v>
      </c>
      <c r="C134" s="24" t="s">
        <v>647</v>
      </c>
      <c r="D134" s="24" t="s">
        <v>648</v>
      </c>
      <c r="E134" s="18">
        <v>5</v>
      </c>
      <c r="F134" s="18" t="s">
        <v>649</v>
      </c>
      <c r="G134" s="10" t="s">
        <v>650</v>
      </c>
    </row>
    <row r="135" spans="1:7" ht="16.5">
      <c r="A135" s="12">
        <v>134</v>
      </c>
      <c r="B135" s="18">
        <v>3600</v>
      </c>
      <c r="C135" s="24" t="s">
        <v>647</v>
      </c>
      <c r="D135" s="24" t="s">
        <v>648</v>
      </c>
      <c r="E135" s="18">
        <v>5</v>
      </c>
      <c r="F135" s="18" t="s">
        <v>649</v>
      </c>
      <c r="G135" s="10" t="s">
        <v>650</v>
      </c>
    </row>
    <row r="136" spans="1:7" ht="16.5">
      <c r="A136" s="12">
        <v>135</v>
      </c>
      <c r="B136" s="18">
        <v>4000</v>
      </c>
      <c r="C136" s="24" t="s">
        <v>643</v>
      </c>
      <c r="D136" s="24" t="s">
        <v>651</v>
      </c>
      <c r="E136" s="18">
        <v>5</v>
      </c>
      <c r="F136" s="18" t="s">
        <v>645</v>
      </c>
      <c r="G136" s="10" t="s">
        <v>652</v>
      </c>
    </row>
    <row r="137" spans="1:7" ht="16.5">
      <c r="A137" s="12">
        <v>136</v>
      </c>
      <c r="B137" s="18">
        <v>4400</v>
      </c>
      <c r="C137" s="24" t="s">
        <v>647</v>
      </c>
      <c r="D137" s="24" t="s">
        <v>648</v>
      </c>
      <c r="E137" s="18">
        <v>5</v>
      </c>
      <c r="F137" s="18" t="s">
        <v>649</v>
      </c>
      <c r="G137" s="10" t="s">
        <v>650</v>
      </c>
    </row>
    <row r="138" spans="1:7" ht="16.5">
      <c r="A138" s="12">
        <v>137</v>
      </c>
      <c r="B138" s="18">
        <v>4800</v>
      </c>
      <c r="C138" s="24" t="s">
        <v>647</v>
      </c>
      <c r="D138" s="24" t="s">
        <v>648</v>
      </c>
      <c r="E138" s="18">
        <v>5</v>
      </c>
      <c r="F138" s="18" t="s">
        <v>649</v>
      </c>
      <c r="G138" s="10" t="s">
        <v>650</v>
      </c>
    </row>
    <row r="139" spans="1:7" ht="16.5">
      <c r="A139" s="12">
        <v>138</v>
      </c>
      <c r="B139" s="18">
        <v>5200</v>
      </c>
      <c r="C139" s="24" t="s">
        <v>647</v>
      </c>
      <c r="D139" s="24" t="s">
        <v>648</v>
      </c>
      <c r="E139" s="18">
        <v>5</v>
      </c>
      <c r="F139" s="18" t="s">
        <v>649</v>
      </c>
      <c r="G139" s="10" t="s">
        <v>650</v>
      </c>
    </row>
    <row r="140" spans="1:7" ht="16.5">
      <c r="A140" s="12">
        <v>139</v>
      </c>
      <c r="B140" s="18">
        <v>5600</v>
      </c>
      <c r="C140" s="24" t="s">
        <v>647</v>
      </c>
      <c r="D140" s="24" t="s">
        <v>648</v>
      </c>
      <c r="E140" s="18">
        <v>5</v>
      </c>
      <c r="F140" s="18" t="s">
        <v>649</v>
      </c>
      <c r="G140" s="10" t="s">
        <v>650</v>
      </c>
    </row>
    <row r="141" spans="1:7" ht="16.5">
      <c r="A141" s="12">
        <v>140</v>
      </c>
      <c r="B141" s="18">
        <v>6000</v>
      </c>
      <c r="C141" s="24" t="s">
        <v>643</v>
      </c>
      <c r="D141" s="24" t="s">
        <v>651</v>
      </c>
      <c r="E141" s="18">
        <v>5</v>
      </c>
      <c r="F141" s="18" t="s">
        <v>645</v>
      </c>
      <c r="G141" s="10" t="s">
        <v>652</v>
      </c>
    </row>
    <row r="142" spans="1:7" ht="16.5">
      <c r="A142" s="12">
        <v>141</v>
      </c>
      <c r="B142" s="18">
        <v>6400</v>
      </c>
      <c r="C142" s="24" t="s">
        <v>647</v>
      </c>
      <c r="D142" s="24" t="s">
        <v>648</v>
      </c>
      <c r="E142" s="18">
        <v>5</v>
      </c>
      <c r="F142" s="18" t="s">
        <v>649</v>
      </c>
      <c r="G142" s="10" t="s">
        <v>650</v>
      </c>
    </row>
    <row r="143" spans="1:7" ht="16.5">
      <c r="A143" s="12">
        <v>142</v>
      </c>
      <c r="B143" s="18">
        <v>6800</v>
      </c>
      <c r="C143" s="24" t="s">
        <v>647</v>
      </c>
      <c r="D143" s="24" t="s">
        <v>648</v>
      </c>
      <c r="E143" s="18">
        <v>5</v>
      </c>
      <c r="F143" s="18" t="s">
        <v>649</v>
      </c>
      <c r="G143" s="10" t="s">
        <v>650</v>
      </c>
    </row>
    <row r="144" spans="1:7" ht="16.5">
      <c r="A144" s="12">
        <v>143</v>
      </c>
      <c r="B144" s="18">
        <v>7200</v>
      </c>
      <c r="C144" s="24" t="s">
        <v>647</v>
      </c>
      <c r="D144" s="24" t="s">
        <v>648</v>
      </c>
      <c r="E144" s="18">
        <v>5</v>
      </c>
      <c r="F144" s="18" t="s">
        <v>649</v>
      </c>
      <c r="G144" s="10" t="s">
        <v>650</v>
      </c>
    </row>
    <row r="145" spans="1:7" ht="16.5">
      <c r="A145" s="12">
        <v>144</v>
      </c>
      <c r="B145" s="18">
        <v>7600</v>
      </c>
      <c r="C145" s="24" t="s">
        <v>647</v>
      </c>
      <c r="D145" s="24" t="s">
        <v>648</v>
      </c>
      <c r="E145" s="18">
        <v>5</v>
      </c>
      <c r="F145" s="18" t="s">
        <v>649</v>
      </c>
      <c r="G145" s="10" t="s">
        <v>650</v>
      </c>
    </row>
    <row r="146" spans="1:7" ht="16.5">
      <c r="A146" s="12">
        <v>145</v>
      </c>
      <c r="B146" s="18">
        <v>8000</v>
      </c>
      <c r="C146" s="24" t="s">
        <v>643</v>
      </c>
      <c r="D146" s="24" t="s">
        <v>651</v>
      </c>
      <c r="E146" s="18">
        <v>5</v>
      </c>
      <c r="F146" s="18" t="s">
        <v>645</v>
      </c>
      <c r="G146" s="10" t="s">
        <v>652</v>
      </c>
    </row>
    <row r="147" spans="1:7" ht="16.5">
      <c r="A147" s="12">
        <v>146</v>
      </c>
      <c r="B147" s="18">
        <v>8400</v>
      </c>
      <c r="C147" s="24" t="s">
        <v>647</v>
      </c>
      <c r="D147" s="24" t="s">
        <v>648</v>
      </c>
      <c r="E147" s="18">
        <v>5</v>
      </c>
      <c r="F147" s="18" t="s">
        <v>649</v>
      </c>
      <c r="G147" s="10" t="s">
        <v>650</v>
      </c>
    </row>
    <row r="148" spans="1:7" ht="16.5">
      <c r="A148" s="12">
        <v>147</v>
      </c>
      <c r="B148" s="18">
        <v>8800</v>
      </c>
      <c r="C148" s="24" t="s">
        <v>647</v>
      </c>
      <c r="D148" s="24" t="s">
        <v>648</v>
      </c>
      <c r="E148" s="18">
        <v>5</v>
      </c>
      <c r="F148" s="18" t="s">
        <v>649</v>
      </c>
      <c r="G148" s="10" t="s">
        <v>650</v>
      </c>
    </row>
    <row r="149" spans="1:7" ht="16.5">
      <c r="A149" s="12">
        <v>148</v>
      </c>
      <c r="B149" s="18">
        <v>9200</v>
      </c>
      <c r="C149" s="24" t="s">
        <v>647</v>
      </c>
      <c r="D149" s="24" t="s">
        <v>648</v>
      </c>
      <c r="E149" s="18">
        <v>5</v>
      </c>
      <c r="F149" s="18" t="s">
        <v>649</v>
      </c>
      <c r="G149" s="10" t="s">
        <v>650</v>
      </c>
    </row>
    <row r="150" spans="1:7" ht="16.5">
      <c r="A150" s="12">
        <v>149</v>
      </c>
      <c r="B150" s="18">
        <v>9600</v>
      </c>
      <c r="C150" s="24" t="s">
        <v>647</v>
      </c>
      <c r="D150" s="24" t="s">
        <v>648</v>
      </c>
      <c r="E150" s="18">
        <v>5</v>
      </c>
      <c r="F150" s="18" t="s">
        <v>649</v>
      </c>
      <c r="G150" s="10" t="s">
        <v>650</v>
      </c>
    </row>
    <row r="151" spans="1:7" ht="16.5">
      <c r="A151" s="12">
        <v>150</v>
      </c>
      <c r="B151" s="18">
        <v>10000</v>
      </c>
      <c r="C151" s="24" t="s">
        <v>44</v>
      </c>
      <c r="D151" s="24" t="s">
        <v>651</v>
      </c>
      <c r="E151" s="18">
        <v>5</v>
      </c>
      <c r="F151" s="18" t="s">
        <v>590</v>
      </c>
      <c r="G151" s="10" t="s">
        <v>652</v>
      </c>
    </row>
    <row r="152" spans="1:7" ht="16.5">
      <c r="A152" s="12">
        <v>151</v>
      </c>
      <c r="B152" s="18">
        <v>10400</v>
      </c>
      <c r="C152" s="24" t="s">
        <v>647</v>
      </c>
      <c r="D152" s="24" t="s">
        <v>648</v>
      </c>
      <c r="E152" s="18">
        <v>5</v>
      </c>
      <c r="F152" s="18" t="s">
        <v>649</v>
      </c>
      <c r="G152" s="10" t="s">
        <v>650</v>
      </c>
    </row>
    <row r="153" spans="1:7" ht="16.5">
      <c r="A153" s="12">
        <v>152</v>
      </c>
      <c r="B153" s="18">
        <v>10800</v>
      </c>
      <c r="C153" s="24" t="s">
        <v>647</v>
      </c>
      <c r="D153" s="24" t="s">
        <v>648</v>
      </c>
      <c r="E153" s="18">
        <v>5</v>
      </c>
      <c r="F153" s="18" t="s">
        <v>649</v>
      </c>
      <c r="G153" s="10" t="s">
        <v>650</v>
      </c>
    </row>
    <row r="154" spans="1:7" ht="16.5">
      <c r="A154" s="12">
        <v>153</v>
      </c>
      <c r="B154" s="18">
        <v>11200</v>
      </c>
      <c r="C154" s="24" t="s">
        <v>647</v>
      </c>
      <c r="D154" s="24" t="s">
        <v>648</v>
      </c>
      <c r="E154" s="18">
        <v>5</v>
      </c>
      <c r="F154" s="18" t="s">
        <v>649</v>
      </c>
      <c r="G154" s="10" t="s">
        <v>650</v>
      </c>
    </row>
    <row r="155" spans="1:7" ht="16.5">
      <c r="A155" s="12">
        <v>154</v>
      </c>
      <c r="B155" s="18">
        <v>11600</v>
      </c>
      <c r="C155" s="24" t="s">
        <v>647</v>
      </c>
      <c r="D155" s="24" t="s">
        <v>648</v>
      </c>
      <c r="E155" s="18">
        <v>5</v>
      </c>
      <c r="F155" s="18" t="s">
        <v>649</v>
      </c>
      <c r="G155" s="10" t="s">
        <v>650</v>
      </c>
    </row>
    <row r="156" spans="1:7" ht="16.5">
      <c r="A156" s="12">
        <v>155</v>
      </c>
      <c r="B156" s="18">
        <v>12000</v>
      </c>
      <c r="C156" s="24" t="s">
        <v>52</v>
      </c>
      <c r="D156" s="24" t="s">
        <v>653</v>
      </c>
      <c r="E156" s="18">
        <v>5</v>
      </c>
      <c r="F156" s="18" t="s">
        <v>654</v>
      </c>
      <c r="G156" s="10" t="s">
        <v>655</v>
      </c>
    </row>
    <row r="157" spans="1:7" ht="16.5">
      <c r="A157" s="12">
        <v>156</v>
      </c>
      <c r="B157" s="18">
        <v>0</v>
      </c>
      <c r="C157" s="25" t="s">
        <v>579</v>
      </c>
      <c r="D157" s="25" t="s">
        <v>656</v>
      </c>
      <c r="E157" s="18">
        <v>6</v>
      </c>
      <c r="F157" t="s">
        <v>581</v>
      </c>
      <c r="G157" s="16" t="s">
        <v>657</v>
      </c>
    </row>
    <row r="158" spans="1:7" ht="16.5">
      <c r="A158" s="12">
        <v>157</v>
      </c>
      <c r="B158" s="18">
        <v>400</v>
      </c>
      <c r="C158" s="25" t="s">
        <v>46</v>
      </c>
      <c r="D158" s="25" t="s">
        <v>658</v>
      </c>
      <c r="E158" s="18">
        <v>6</v>
      </c>
      <c r="F158" t="s">
        <v>584</v>
      </c>
      <c r="G158" s="16" t="s">
        <v>659</v>
      </c>
    </row>
    <row r="159" spans="1:7" ht="16.5">
      <c r="A159" s="12">
        <v>158</v>
      </c>
      <c r="B159" s="18">
        <v>800</v>
      </c>
      <c r="C159" s="25" t="s">
        <v>46</v>
      </c>
      <c r="D159" s="25" t="s">
        <v>660</v>
      </c>
      <c r="E159" s="18">
        <v>6</v>
      </c>
      <c r="F159" t="s">
        <v>584</v>
      </c>
      <c r="G159" s="16" t="s">
        <v>661</v>
      </c>
    </row>
    <row r="160" spans="1:7" ht="16.5">
      <c r="A160" s="12">
        <v>159</v>
      </c>
      <c r="B160" s="18">
        <v>1200</v>
      </c>
      <c r="C160" s="25" t="s">
        <v>46</v>
      </c>
      <c r="D160" s="25" t="s">
        <v>658</v>
      </c>
      <c r="E160" s="18">
        <v>6</v>
      </c>
      <c r="F160" t="s">
        <v>584</v>
      </c>
      <c r="G160" s="16" t="s">
        <v>659</v>
      </c>
    </row>
    <row r="161" spans="1:7" ht="16.5">
      <c r="A161" s="12">
        <v>160</v>
      </c>
      <c r="B161" s="18">
        <v>1600</v>
      </c>
      <c r="C161" s="25" t="s">
        <v>46</v>
      </c>
      <c r="D161" s="25" t="s">
        <v>660</v>
      </c>
      <c r="E161" s="18">
        <v>6</v>
      </c>
      <c r="F161" t="s">
        <v>584</v>
      </c>
      <c r="G161" s="16" t="s">
        <v>661</v>
      </c>
    </row>
    <row r="162" spans="1:7" ht="16.5">
      <c r="A162" s="12">
        <v>161</v>
      </c>
      <c r="B162" s="18">
        <v>2000</v>
      </c>
      <c r="C162" s="25" t="s">
        <v>586</v>
      </c>
      <c r="D162" s="25" t="s">
        <v>662</v>
      </c>
      <c r="E162" s="18">
        <v>6</v>
      </c>
      <c r="F162" t="s">
        <v>588</v>
      </c>
      <c r="G162" s="16" t="s">
        <v>663</v>
      </c>
    </row>
    <row r="163" spans="1:7" ht="16.5">
      <c r="A163" s="12">
        <v>162</v>
      </c>
      <c r="B163" s="18">
        <v>2400</v>
      </c>
      <c r="C163" s="25" t="s">
        <v>46</v>
      </c>
      <c r="D163" s="25" t="s">
        <v>658</v>
      </c>
      <c r="E163" s="18">
        <v>6</v>
      </c>
      <c r="F163" t="s">
        <v>584</v>
      </c>
      <c r="G163" s="16" t="s">
        <v>659</v>
      </c>
    </row>
    <row r="164" spans="1:7" ht="16.5">
      <c r="A164" s="12">
        <v>163</v>
      </c>
      <c r="B164" s="18">
        <v>2800</v>
      </c>
      <c r="C164" s="25" t="s">
        <v>46</v>
      </c>
      <c r="D164" s="25" t="s">
        <v>660</v>
      </c>
      <c r="E164" s="18">
        <v>6</v>
      </c>
      <c r="F164" t="s">
        <v>584</v>
      </c>
      <c r="G164" s="16" t="s">
        <v>661</v>
      </c>
    </row>
    <row r="165" spans="1:7" ht="16.5">
      <c r="A165" s="12">
        <v>164</v>
      </c>
      <c r="B165" s="18">
        <v>3200</v>
      </c>
      <c r="C165" s="25" t="s">
        <v>46</v>
      </c>
      <c r="D165" s="25" t="s">
        <v>658</v>
      </c>
      <c r="E165" s="18">
        <v>6</v>
      </c>
      <c r="F165" t="s">
        <v>584</v>
      </c>
      <c r="G165" s="16" t="s">
        <v>659</v>
      </c>
    </row>
    <row r="166" spans="1:7" ht="16.5">
      <c r="A166" s="12">
        <v>165</v>
      </c>
      <c r="B166" s="18">
        <v>3600</v>
      </c>
      <c r="C166" s="25" t="s">
        <v>46</v>
      </c>
      <c r="D166" s="25" t="s">
        <v>660</v>
      </c>
      <c r="E166" s="18">
        <v>6</v>
      </c>
      <c r="F166" t="s">
        <v>584</v>
      </c>
      <c r="G166" s="16" t="s">
        <v>661</v>
      </c>
    </row>
    <row r="167" spans="1:7" ht="16.5">
      <c r="A167" s="12">
        <v>166</v>
      </c>
      <c r="B167" s="18">
        <v>4000</v>
      </c>
      <c r="C167" s="25" t="s">
        <v>586</v>
      </c>
      <c r="D167" s="25" t="s">
        <v>662</v>
      </c>
      <c r="E167" s="18">
        <v>6</v>
      </c>
      <c r="F167" t="s">
        <v>588</v>
      </c>
      <c r="G167" s="16" t="s">
        <v>663</v>
      </c>
    </row>
    <row r="168" spans="1:7" ht="16.5">
      <c r="A168" s="12">
        <v>167</v>
      </c>
      <c r="B168" s="18">
        <v>4400</v>
      </c>
      <c r="C168" s="25" t="s">
        <v>46</v>
      </c>
      <c r="D168" s="25" t="s">
        <v>658</v>
      </c>
      <c r="E168" s="18">
        <v>6</v>
      </c>
      <c r="F168" t="s">
        <v>584</v>
      </c>
      <c r="G168" s="16" t="s">
        <v>659</v>
      </c>
    </row>
    <row r="169" spans="1:7" ht="16.5">
      <c r="A169" s="12">
        <v>168</v>
      </c>
      <c r="B169" s="18">
        <v>4800</v>
      </c>
      <c r="C169" s="25" t="s">
        <v>46</v>
      </c>
      <c r="D169" s="25" t="s">
        <v>660</v>
      </c>
      <c r="E169" s="18">
        <v>6</v>
      </c>
      <c r="F169" t="s">
        <v>584</v>
      </c>
      <c r="G169" s="16" t="s">
        <v>661</v>
      </c>
    </row>
    <row r="170" spans="1:7" ht="16.5">
      <c r="A170" s="12">
        <v>169</v>
      </c>
      <c r="B170" s="18">
        <v>5200</v>
      </c>
      <c r="C170" s="25" t="s">
        <v>46</v>
      </c>
      <c r="D170" s="25" t="s">
        <v>658</v>
      </c>
      <c r="E170" s="18">
        <v>6</v>
      </c>
      <c r="F170" t="s">
        <v>584</v>
      </c>
      <c r="G170" s="16" t="s">
        <v>659</v>
      </c>
    </row>
    <row r="171" spans="1:7" ht="16.5">
      <c r="A171" s="12">
        <v>170</v>
      </c>
      <c r="B171" s="18">
        <v>5600</v>
      </c>
      <c r="C171" s="25" t="s">
        <v>46</v>
      </c>
      <c r="D171" s="25" t="s">
        <v>660</v>
      </c>
      <c r="E171" s="18">
        <v>6</v>
      </c>
      <c r="F171" t="s">
        <v>584</v>
      </c>
      <c r="G171" s="16" t="s">
        <v>661</v>
      </c>
    </row>
    <row r="172" spans="1:7" ht="16.5">
      <c r="A172" s="12">
        <v>171</v>
      </c>
      <c r="B172" s="18">
        <v>6000</v>
      </c>
      <c r="C172" s="25" t="s">
        <v>586</v>
      </c>
      <c r="D172" s="25" t="s">
        <v>662</v>
      </c>
      <c r="E172" s="18">
        <v>6</v>
      </c>
      <c r="F172" t="s">
        <v>588</v>
      </c>
      <c r="G172" s="16" t="s">
        <v>663</v>
      </c>
    </row>
    <row r="173" spans="1:7" ht="16.5">
      <c r="A173" s="12">
        <v>172</v>
      </c>
      <c r="B173" s="18">
        <v>6400</v>
      </c>
      <c r="C173" s="25" t="s">
        <v>46</v>
      </c>
      <c r="D173" s="25" t="s">
        <v>658</v>
      </c>
      <c r="E173" s="18">
        <v>6</v>
      </c>
      <c r="F173" t="s">
        <v>584</v>
      </c>
      <c r="G173" s="16" t="s">
        <v>659</v>
      </c>
    </row>
    <row r="174" spans="1:7" ht="16.5">
      <c r="A174" s="12">
        <v>173</v>
      </c>
      <c r="B174" s="18">
        <v>6800</v>
      </c>
      <c r="C174" s="25" t="s">
        <v>46</v>
      </c>
      <c r="D174" s="25" t="s">
        <v>660</v>
      </c>
      <c r="E174" s="18">
        <v>6</v>
      </c>
      <c r="F174" t="s">
        <v>584</v>
      </c>
      <c r="G174" s="16" t="s">
        <v>661</v>
      </c>
    </row>
    <row r="175" spans="1:7" ht="16.5">
      <c r="A175" s="12">
        <v>174</v>
      </c>
      <c r="B175" s="18">
        <v>7200</v>
      </c>
      <c r="C175" s="25" t="s">
        <v>46</v>
      </c>
      <c r="D175" s="25" t="s">
        <v>658</v>
      </c>
      <c r="E175" s="18">
        <v>6</v>
      </c>
      <c r="F175" t="s">
        <v>584</v>
      </c>
      <c r="G175" s="16" t="s">
        <v>659</v>
      </c>
    </row>
    <row r="176" spans="1:7" ht="16.5">
      <c r="A176" s="12">
        <v>175</v>
      </c>
      <c r="B176" s="18">
        <v>7600</v>
      </c>
      <c r="C176" s="25" t="s">
        <v>46</v>
      </c>
      <c r="D176" s="25" t="s">
        <v>660</v>
      </c>
      <c r="E176" s="18">
        <v>6</v>
      </c>
      <c r="F176" t="s">
        <v>584</v>
      </c>
      <c r="G176" s="16" t="s">
        <v>661</v>
      </c>
    </row>
    <row r="177" spans="1:11" ht="16.5">
      <c r="A177" s="12">
        <v>176</v>
      </c>
      <c r="B177" s="18">
        <v>8000</v>
      </c>
      <c r="C177" s="25" t="s">
        <v>586</v>
      </c>
      <c r="D177" s="25" t="s">
        <v>662</v>
      </c>
      <c r="E177" s="18">
        <v>6</v>
      </c>
      <c r="F177" t="s">
        <v>588</v>
      </c>
      <c r="G177" s="16" t="s">
        <v>663</v>
      </c>
    </row>
    <row r="178" spans="1:11" ht="16.5">
      <c r="A178" s="12">
        <v>177</v>
      </c>
      <c r="B178" s="18">
        <v>8400</v>
      </c>
      <c r="C178" s="25" t="s">
        <v>46</v>
      </c>
      <c r="D178" s="25" t="s">
        <v>658</v>
      </c>
      <c r="E178" s="18">
        <v>6</v>
      </c>
      <c r="F178" t="s">
        <v>584</v>
      </c>
      <c r="G178" s="16" t="s">
        <v>659</v>
      </c>
    </row>
    <row r="179" spans="1:11" ht="16.5">
      <c r="A179" s="12">
        <v>178</v>
      </c>
      <c r="B179" s="18">
        <v>8800</v>
      </c>
      <c r="C179" s="25" t="s">
        <v>46</v>
      </c>
      <c r="D179" s="25" t="s">
        <v>660</v>
      </c>
      <c r="E179" s="18">
        <v>6</v>
      </c>
      <c r="F179" t="s">
        <v>584</v>
      </c>
      <c r="G179" s="16" t="s">
        <v>661</v>
      </c>
    </row>
    <row r="180" spans="1:11" ht="16.5">
      <c r="A180" s="12">
        <v>179</v>
      </c>
      <c r="B180" s="18">
        <v>9200</v>
      </c>
      <c r="C180" s="25" t="s">
        <v>46</v>
      </c>
      <c r="D180" s="25" t="s">
        <v>658</v>
      </c>
      <c r="E180" s="18">
        <v>6</v>
      </c>
      <c r="F180" t="s">
        <v>584</v>
      </c>
      <c r="G180" s="16" t="s">
        <v>659</v>
      </c>
    </row>
    <row r="181" spans="1:11" ht="16.5">
      <c r="A181" s="12">
        <v>180</v>
      </c>
      <c r="B181" s="18">
        <v>9600</v>
      </c>
      <c r="C181" s="25" t="s">
        <v>46</v>
      </c>
      <c r="D181" s="25" t="s">
        <v>660</v>
      </c>
      <c r="E181" s="18">
        <v>6</v>
      </c>
      <c r="F181" t="s">
        <v>584</v>
      </c>
      <c r="G181" s="16" t="s">
        <v>661</v>
      </c>
    </row>
    <row r="182" spans="1:11" ht="16.5">
      <c r="A182" s="12">
        <v>181</v>
      </c>
      <c r="B182" s="18">
        <v>10000</v>
      </c>
      <c r="C182" s="25" t="s">
        <v>44</v>
      </c>
      <c r="D182" s="25" t="s">
        <v>662</v>
      </c>
      <c r="E182" s="18">
        <v>6</v>
      </c>
      <c r="F182" t="s">
        <v>590</v>
      </c>
      <c r="G182" s="16" t="s">
        <v>663</v>
      </c>
    </row>
    <row r="183" spans="1:11" ht="16.5">
      <c r="A183" s="12">
        <v>182</v>
      </c>
      <c r="B183" s="18">
        <v>10400</v>
      </c>
      <c r="C183" s="25" t="s">
        <v>46</v>
      </c>
      <c r="D183" s="25" t="s">
        <v>658</v>
      </c>
      <c r="E183" s="18">
        <v>6</v>
      </c>
      <c r="F183" t="s">
        <v>584</v>
      </c>
      <c r="G183" s="16" t="s">
        <v>659</v>
      </c>
    </row>
    <row r="184" spans="1:11" ht="16.5">
      <c r="A184" s="12">
        <v>183</v>
      </c>
      <c r="B184" s="18">
        <v>10800</v>
      </c>
      <c r="C184" s="25" t="s">
        <v>46</v>
      </c>
      <c r="D184" s="25" t="s">
        <v>660</v>
      </c>
      <c r="E184" s="18">
        <v>6</v>
      </c>
      <c r="F184" t="s">
        <v>584</v>
      </c>
      <c r="G184" s="16" t="s">
        <v>661</v>
      </c>
    </row>
    <row r="185" spans="1:11" ht="16.5">
      <c r="A185" s="12">
        <v>184</v>
      </c>
      <c r="B185" s="18">
        <v>11200</v>
      </c>
      <c r="C185" s="25" t="s">
        <v>46</v>
      </c>
      <c r="D185" s="25" t="s">
        <v>658</v>
      </c>
      <c r="E185" s="18">
        <v>6</v>
      </c>
      <c r="F185" t="s">
        <v>584</v>
      </c>
      <c r="G185" s="16" t="s">
        <v>659</v>
      </c>
    </row>
    <row r="186" spans="1:11" ht="16.5">
      <c r="A186" s="12">
        <v>185</v>
      </c>
      <c r="B186" s="18">
        <v>11600</v>
      </c>
      <c r="C186" s="25" t="s">
        <v>46</v>
      </c>
      <c r="D186" s="25" t="s">
        <v>660</v>
      </c>
      <c r="E186" s="18">
        <v>6</v>
      </c>
      <c r="F186" t="s">
        <v>584</v>
      </c>
      <c r="G186" s="16" t="s">
        <v>661</v>
      </c>
    </row>
    <row r="187" spans="1:11" ht="16.5">
      <c r="A187" s="12">
        <v>186</v>
      </c>
      <c r="B187" s="18">
        <v>12000</v>
      </c>
      <c r="C187" s="25" t="s">
        <v>664</v>
      </c>
      <c r="D187" s="25" t="s">
        <v>665</v>
      </c>
      <c r="E187" s="18">
        <v>6</v>
      </c>
      <c r="F187" t="s">
        <v>666</v>
      </c>
      <c r="G187" s="16" t="s">
        <v>667</v>
      </c>
    </row>
    <row r="188" spans="1:11" ht="16.5">
      <c r="A188" s="12">
        <v>187</v>
      </c>
      <c r="B188" s="18">
        <v>0</v>
      </c>
      <c r="C188" s="24" t="s">
        <v>668</v>
      </c>
      <c r="D188" s="24" t="s">
        <v>669</v>
      </c>
      <c r="E188" s="18">
        <v>7</v>
      </c>
      <c r="F188" s="18" t="s">
        <v>670</v>
      </c>
      <c r="G188" s="10" t="s">
        <v>646</v>
      </c>
      <c r="I188">
        <v>250</v>
      </c>
      <c r="J188">
        <f>I188/5</f>
        <v>50</v>
      </c>
      <c r="K188">
        <v>2400</v>
      </c>
    </row>
    <row r="189" spans="1:11" ht="16.5">
      <c r="A189" s="12">
        <v>188</v>
      </c>
      <c r="B189" s="18">
        <v>400</v>
      </c>
      <c r="C189" s="24" t="s">
        <v>647</v>
      </c>
      <c r="D189" s="24" t="s">
        <v>671</v>
      </c>
      <c r="E189" s="18">
        <v>7</v>
      </c>
      <c r="F189" s="18" t="s">
        <v>649</v>
      </c>
      <c r="G189" s="10" t="s">
        <v>672</v>
      </c>
      <c r="I189">
        <v>500</v>
      </c>
      <c r="J189">
        <f t="shared" ref="J189:J217" si="0">I189/5</f>
        <v>100</v>
      </c>
    </row>
    <row r="190" spans="1:11" ht="16.5">
      <c r="A190" s="12">
        <v>189</v>
      </c>
      <c r="B190" s="18">
        <v>800</v>
      </c>
      <c r="C190" s="24" t="s">
        <v>647</v>
      </c>
      <c r="D190" s="24" t="s">
        <v>671</v>
      </c>
      <c r="E190" s="18">
        <v>7</v>
      </c>
      <c r="F190" s="18" t="s">
        <v>649</v>
      </c>
      <c r="G190" s="10" t="s">
        <v>672</v>
      </c>
      <c r="I190">
        <v>500</v>
      </c>
      <c r="J190">
        <f t="shared" si="0"/>
        <v>100</v>
      </c>
    </row>
    <row r="191" spans="1:11" ht="16.5">
      <c r="A191" s="12">
        <v>190</v>
      </c>
      <c r="B191" s="18">
        <v>1200</v>
      </c>
      <c r="C191" s="24" t="s">
        <v>647</v>
      </c>
      <c r="D191" s="24" t="s">
        <v>671</v>
      </c>
      <c r="E191" s="18">
        <v>7</v>
      </c>
      <c r="F191" s="18" t="s">
        <v>649</v>
      </c>
      <c r="G191" s="10" t="s">
        <v>672</v>
      </c>
      <c r="I191">
        <v>500</v>
      </c>
      <c r="J191">
        <f t="shared" si="0"/>
        <v>100</v>
      </c>
    </row>
    <row r="192" spans="1:11" ht="16.5">
      <c r="A192" s="12">
        <v>191</v>
      </c>
      <c r="B192" s="18">
        <v>1600</v>
      </c>
      <c r="C192" s="24" t="s">
        <v>647</v>
      </c>
      <c r="D192" s="24" t="s">
        <v>671</v>
      </c>
      <c r="E192" s="18">
        <v>7</v>
      </c>
      <c r="F192" s="18" t="s">
        <v>649</v>
      </c>
      <c r="G192" s="10" t="s">
        <v>672</v>
      </c>
      <c r="I192">
        <v>500</v>
      </c>
      <c r="J192">
        <f t="shared" si="0"/>
        <v>100</v>
      </c>
    </row>
    <row r="193" spans="1:10" ht="16.5">
      <c r="A193" s="12">
        <v>192</v>
      </c>
      <c r="B193" s="18">
        <v>2000</v>
      </c>
      <c r="C193" s="24" t="s">
        <v>668</v>
      </c>
      <c r="D193" s="24" t="s">
        <v>673</v>
      </c>
      <c r="E193" s="18">
        <v>7</v>
      </c>
      <c r="F193" s="18" t="s">
        <v>670</v>
      </c>
      <c r="G193" s="10" t="s">
        <v>652</v>
      </c>
      <c r="I193">
        <v>250</v>
      </c>
      <c r="J193">
        <f t="shared" si="0"/>
        <v>50</v>
      </c>
    </row>
    <row r="194" spans="1:10" ht="16.5">
      <c r="A194" s="12">
        <v>193</v>
      </c>
      <c r="B194" s="18">
        <v>2400</v>
      </c>
      <c r="C194" s="24" t="s">
        <v>647</v>
      </c>
      <c r="D194" s="24" t="s">
        <v>671</v>
      </c>
      <c r="E194" s="18">
        <v>7</v>
      </c>
      <c r="F194" s="18" t="s">
        <v>649</v>
      </c>
      <c r="G194" s="10" t="s">
        <v>672</v>
      </c>
      <c r="I194">
        <v>500</v>
      </c>
      <c r="J194">
        <f t="shared" si="0"/>
        <v>100</v>
      </c>
    </row>
    <row r="195" spans="1:10" ht="16.5">
      <c r="A195" s="12">
        <v>194</v>
      </c>
      <c r="B195" s="18">
        <v>2800</v>
      </c>
      <c r="C195" s="24" t="s">
        <v>647</v>
      </c>
      <c r="D195" s="24" t="s">
        <v>671</v>
      </c>
      <c r="E195" s="18">
        <v>7</v>
      </c>
      <c r="F195" s="18" t="s">
        <v>649</v>
      </c>
      <c r="G195" s="10" t="s">
        <v>672</v>
      </c>
      <c r="I195">
        <v>500</v>
      </c>
      <c r="J195">
        <f t="shared" si="0"/>
        <v>100</v>
      </c>
    </row>
    <row r="196" spans="1:10" ht="16.5">
      <c r="A196" s="12">
        <v>195</v>
      </c>
      <c r="B196" s="18">
        <v>3200</v>
      </c>
      <c r="C196" s="24" t="s">
        <v>647</v>
      </c>
      <c r="D196" s="24" t="s">
        <v>671</v>
      </c>
      <c r="E196" s="18">
        <v>7</v>
      </c>
      <c r="F196" s="18" t="s">
        <v>649</v>
      </c>
      <c r="G196" s="10" t="s">
        <v>672</v>
      </c>
      <c r="I196">
        <v>500</v>
      </c>
      <c r="J196">
        <f t="shared" si="0"/>
        <v>100</v>
      </c>
    </row>
    <row r="197" spans="1:10" ht="16.5">
      <c r="A197" s="12">
        <v>196</v>
      </c>
      <c r="B197" s="18">
        <v>3600</v>
      </c>
      <c r="C197" s="24" t="s">
        <v>647</v>
      </c>
      <c r="D197" s="24" t="s">
        <v>671</v>
      </c>
      <c r="E197" s="18">
        <v>7</v>
      </c>
      <c r="F197" s="18" t="s">
        <v>649</v>
      </c>
      <c r="G197" s="10" t="s">
        <v>672</v>
      </c>
      <c r="I197">
        <v>500</v>
      </c>
      <c r="J197">
        <f t="shared" si="0"/>
        <v>100</v>
      </c>
    </row>
    <row r="198" spans="1:10" ht="16.5">
      <c r="A198" s="12">
        <v>197</v>
      </c>
      <c r="B198" s="18">
        <v>4000</v>
      </c>
      <c r="C198" s="24" t="s">
        <v>668</v>
      </c>
      <c r="D198" s="24" t="s">
        <v>674</v>
      </c>
      <c r="E198" s="18">
        <v>7</v>
      </c>
      <c r="F198" s="18" t="s">
        <v>670</v>
      </c>
      <c r="G198" s="10" t="s">
        <v>652</v>
      </c>
      <c r="I198">
        <v>250</v>
      </c>
      <c r="J198">
        <f t="shared" si="0"/>
        <v>50</v>
      </c>
    </row>
    <row r="199" spans="1:10" ht="16.5">
      <c r="A199" s="12">
        <v>198</v>
      </c>
      <c r="B199" s="18">
        <v>4400</v>
      </c>
      <c r="C199" s="24" t="s">
        <v>647</v>
      </c>
      <c r="D199" s="24" t="s">
        <v>671</v>
      </c>
      <c r="E199" s="18">
        <v>7</v>
      </c>
      <c r="F199" s="18" t="s">
        <v>649</v>
      </c>
      <c r="G199" s="10" t="s">
        <v>672</v>
      </c>
      <c r="I199">
        <v>500</v>
      </c>
      <c r="J199">
        <f t="shared" si="0"/>
        <v>100</v>
      </c>
    </row>
    <row r="200" spans="1:10" ht="16.5">
      <c r="A200" s="12">
        <v>199</v>
      </c>
      <c r="B200" s="18">
        <v>4800</v>
      </c>
      <c r="C200" s="24" t="s">
        <v>647</v>
      </c>
      <c r="D200" s="24" t="s">
        <v>671</v>
      </c>
      <c r="E200" s="18">
        <v>7</v>
      </c>
      <c r="F200" s="18" t="s">
        <v>649</v>
      </c>
      <c r="G200" s="10" t="s">
        <v>672</v>
      </c>
      <c r="I200">
        <v>500</v>
      </c>
      <c r="J200">
        <f t="shared" si="0"/>
        <v>100</v>
      </c>
    </row>
    <row r="201" spans="1:10" ht="16.5">
      <c r="A201" s="12">
        <v>200</v>
      </c>
      <c r="B201" s="18">
        <v>5200</v>
      </c>
      <c r="C201" s="24" t="s">
        <v>647</v>
      </c>
      <c r="D201" s="24" t="s">
        <v>671</v>
      </c>
      <c r="E201" s="18">
        <v>7</v>
      </c>
      <c r="F201" s="18" t="s">
        <v>649</v>
      </c>
      <c r="G201" s="10" t="s">
        <v>672</v>
      </c>
      <c r="I201">
        <v>500</v>
      </c>
      <c r="J201">
        <f t="shared" si="0"/>
        <v>100</v>
      </c>
    </row>
    <row r="202" spans="1:10" ht="16.5">
      <c r="A202" s="12">
        <v>201</v>
      </c>
      <c r="B202" s="18">
        <v>5600</v>
      </c>
      <c r="C202" s="24" t="s">
        <v>647</v>
      </c>
      <c r="D202" s="24" t="s">
        <v>671</v>
      </c>
      <c r="E202" s="18">
        <v>7</v>
      </c>
      <c r="F202" s="18" t="s">
        <v>649</v>
      </c>
      <c r="G202" s="10" t="s">
        <v>672</v>
      </c>
      <c r="I202">
        <v>500</v>
      </c>
      <c r="J202">
        <f t="shared" si="0"/>
        <v>100</v>
      </c>
    </row>
    <row r="203" spans="1:10" ht="16.5">
      <c r="A203" s="12">
        <v>202</v>
      </c>
      <c r="B203" s="18">
        <v>6000</v>
      </c>
      <c r="C203" s="24" t="s">
        <v>668</v>
      </c>
      <c r="D203" s="24" t="s">
        <v>673</v>
      </c>
      <c r="E203" s="18">
        <v>7</v>
      </c>
      <c r="F203" s="18" t="s">
        <v>670</v>
      </c>
      <c r="G203" s="10" t="s">
        <v>652</v>
      </c>
      <c r="I203">
        <v>250</v>
      </c>
      <c r="J203">
        <f t="shared" si="0"/>
        <v>50</v>
      </c>
    </row>
    <row r="204" spans="1:10" ht="16.5">
      <c r="A204" s="12">
        <v>203</v>
      </c>
      <c r="B204" s="18">
        <v>6400</v>
      </c>
      <c r="C204" s="24" t="s">
        <v>647</v>
      </c>
      <c r="D204" s="24" t="s">
        <v>671</v>
      </c>
      <c r="E204" s="18">
        <v>7</v>
      </c>
      <c r="F204" s="18" t="s">
        <v>649</v>
      </c>
      <c r="G204" s="10" t="s">
        <v>672</v>
      </c>
      <c r="I204">
        <v>500</v>
      </c>
      <c r="J204">
        <f t="shared" si="0"/>
        <v>100</v>
      </c>
    </row>
    <row r="205" spans="1:10" ht="16.5">
      <c r="A205" s="12">
        <v>204</v>
      </c>
      <c r="B205" s="18">
        <v>6800</v>
      </c>
      <c r="C205" s="24" t="s">
        <v>647</v>
      </c>
      <c r="D205" s="24" t="s">
        <v>671</v>
      </c>
      <c r="E205" s="18">
        <v>7</v>
      </c>
      <c r="F205" s="18" t="s">
        <v>649</v>
      </c>
      <c r="G205" s="10" t="s">
        <v>672</v>
      </c>
      <c r="I205">
        <v>500</v>
      </c>
      <c r="J205">
        <f t="shared" si="0"/>
        <v>100</v>
      </c>
    </row>
    <row r="206" spans="1:10" ht="16.5">
      <c r="A206" s="12">
        <v>205</v>
      </c>
      <c r="B206" s="18">
        <v>7200</v>
      </c>
      <c r="C206" s="24" t="s">
        <v>647</v>
      </c>
      <c r="D206" s="24" t="s">
        <v>671</v>
      </c>
      <c r="E206" s="18">
        <v>7</v>
      </c>
      <c r="F206" s="18" t="s">
        <v>649</v>
      </c>
      <c r="G206" s="10" t="s">
        <v>672</v>
      </c>
      <c r="I206">
        <v>500</v>
      </c>
      <c r="J206">
        <f t="shared" si="0"/>
        <v>100</v>
      </c>
    </row>
    <row r="207" spans="1:10" ht="16.5">
      <c r="A207" s="12">
        <v>206</v>
      </c>
      <c r="B207" s="18">
        <v>7600</v>
      </c>
      <c r="C207" s="24" t="s">
        <v>647</v>
      </c>
      <c r="D207" s="24" t="s">
        <v>671</v>
      </c>
      <c r="E207" s="18">
        <v>7</v>
      </c>
      <c r="F207" s="18" t="s">
        <v>649</v>
      </c>
      <c r="G207" s="10" t="s">
        <v>672</v>
      </c>
      <c r="I207">
        <v>500</v>
      </c>
      <c r="J207">
        <f t="shared" si="0"/>
        <v>100</v>
      </c>
    </row>
    <row r="208" spans="1:10" ht="16.5">
      <c r="A208" s="12">
        <v>207</v>
      </c>
      <c r="B208" s="18">
        <v>8000</v>
      </c>
      <c r="C208" s="24" t="s">
        <v>668</v>
      </c>
      <c r="D208" s="24" t="s">
        <v>673</v>
      </c>
      <c r="E208" s="18">
        <v>7</v>
      </c>
      <c r="F208" s="18" t="s">
        <v>670</v>
      </c>
      <c r="G208" s="10" t="s">
        <v>652</v>
      </c>
      <c r="I208">
        <v>250</v>
      </c>
      <c r="J208">
        <f t="shared" si="0"/>
        <v>50</v>
      </c>
    </row>
    <row r="209" spans="1:10" ht="16.5">
      <c r="A209" s="12">
        <v>208</v>
      </c>
      <c r="B209" s="18">
        <v>8400</v>
      </c>
      <c r="C209" s="24" t="s">
        <v>647</v>
      </c>
      <c r="D209" s="24" t="s">
        <v>671</v>
      </c>
      <c r="E209" s="18">
        <v>7</v>
      </c>
      <c r="F209" s="18" t="s">
        <v>649</v>
      </c>
      <c r="G209" s="10" t="s">
        <v>672</v>
      </c>
      <c r="I209">
        <v>500</v>
      </c>
      <c r="J209">
        <f t="shared" si="0"/>
        <v>100</v>
      </c>
    </row>
    <row r="210" spans="1:10" ht="16.5">
      <c r="A210" s="12">
        <v>209</v>
      </c>
      <c r="B210" s="18">
        <v>8800</v>
      </c>
      <c r="C210" s="24" t="s">
        <v>647</v>
      </c>
      <c r="D210" s="24" t="s">
        <v>671</v>
      </c>
      <c r="E210" s="18">
        <v>7</v>
      </c>
      <c r="F210" s="18" t="s">
        <v>649</v>
      </c>
      <c r="G210" s="10" t="s">
        <v>672</v>
      </c>
      <c r="I210">
        <v>500</v>
      </c>
      <c r="J210">
        <f t="shared" si="0"/>
        <v>100</v>
      </c>
    </row>
    <row r="211" spans="1:10" ht="16.5">
      <c r="A211" s="12">
        <v>210</v>
      </c>
      <c r="B211" s="18">
        <v>9200</v>
      </c>
      <c r="C211" s="24" t="s">
        <v>647</v>
      </c>
      <c r="D211" s="24" t="s">
        <v>671</v>
      </c>
      <c r="E211" s="18">
        <v>7</v>
      </c>
      <c r="F211" s="18" t="s">
        <v>649</v>
      </c>
      <c r="G211" s="10" t="s">
        <v>672</v>
      </c>
      <c r="I211">
        <v>500</v>
      </c>
      <c r="J211">
        <f t="shared" si="0"/>
        <v>100</v>
      </c>
    </row>
    <row r="212" spans="1:10" ht="16.5">
      <c r="A212" s="12">
        <v>211</v>
      </c>
      <c r="B212" s="18">
        <v>9600</v>
      </c>
      <c r="C212" s="24" t="s">
        <v>647</v>
      </c>
      <c r="D212" s="24" t="s">
        <v>671</v>
      </c>
      <c r="E212" s="18">
        <v>7</v>
      </c>
      <c r="F212" s="18" t="s">
        <v>649</v>
      </c>
      <c r="G212" s="10" t="s">
        <v>672</v>
      </c>
      <c r="I212">
        <v>500</v>
      </c>
      <c r="J212">
        <f t="shared" si="0"/>
        <v>100</v>
      </c>
    </row>
    <row r="213" spans="1:10" ht="16.5">
      <c r="A213" s="12">
        <v>212</v>
      </c>
      <c r="B213" s="18">
        <v>10000</v>
      </c>
      <c r="C213" s="24" t="s">
        <v>668</v>
      </c>
      <c r="D213" s="24" t="s">
        <v>674</v>
      </c>
      <c r="E213" s="18">
        <v>7</v>
      </c>
      <c r="F213" s="18" t="s">
        <v>590</v>
      </c>
      <c r="G213" s="10" t="s">
        <v>652</v>
      </c>
      <c r="I213">
        <v>250</v>
      </c>
      <c r="J213">
        <f t="shared" si="0"/>
        <v>50</v>
      </c>
    </row>
    <row r="214" spans="1:10" ht="16.5">
      <c r="A214" s="12">
        <v>213</v>
      </c>
      <c r="B214" s="18">
        <v>10400</v>
      </c>
      <c r="C214" s="24" t="s">
        <v>647</v>
      </c>
      <c r="D214" s="24" t="s">
        <v>671</v>
      </c>
      <c r="E214" s="18">
        <v>7</v>
      </c>
      <c r="F214" s="18" t="s">
        <v>649</v>
      </c>
      <c r="G214" s="10" t="s">
        <v>672</v>
      </c>
      <c r="I214">
        <v>500</v>
      </c>
      <c r="J214">
        <f t="shared" si="0"/>
        <v>100</v>
      </c>
    </row>
    <row r="215" spans="1:10" ht="16.5">
      <c r="A215" s="12">
        <v>214</v>
      </c>
      <c r="B215" s="18">
        <v>10800</v>
      </c>
      <c r="C215" s="24" t="s">
        <v>647</v>
      </c>
      <c r="D215" s="24" t="s">
        <v>671</v>
      </c>
      <c r="E215" s="18">
        <v>7</v>
      </c>
      <c r="F215" s="18" t="s">
        <v>649</v>
      </c>
      <c r="G215" s="10" t="s">
        <v>672</v>
      </c>
      <c r="I215">
        <v>500</v>
      </c>
      <c r="J215">
        <f t="shared" si="0"/>
        <v>100</v>
      </c>
    </row>
    <row r="216" spans="1:10" ht="16.5">
      <c r="A216" s="12">
        <v>215</v>
      </c>
      <c r="B216" s="18">
        <v>11200</v>
      </c>
      <c r="C216" s="24" t="s">
        <v>647</v>
      </c>
      <c r="D216" s="24" t="s">
        <v>671</v>
      </c>
      <c r="E216" s="18">
        <v>7</v>
      </c>
      <c r="F216" s="18" t="s">
        <v>649</v>
      </c>
      <c r="G216" s="10" t="s">
        <v>672</v>
      </c>
      <c r="I216">
        <v>500</v>
      </c>
      <c r="J216">
        <f t="shared" si="0"/>
        <v>100</v>
      </c>
    </row>
    <row r="217" spans="1:10" ht="16.5">
      <c r="A217" s="12">
        <v>216</v>
      </c>
      <c r="B217" s="18">
        <v>11600</v>
      </c>
      <c r="C217" s="24" t="s">
        <v>647</v>
      </c>
      <c r="D217" s="24" t="s">
        <v>671</v>
      </c>
      <c r="E217" s="18">
        <v>7</v>
      </c>
      <c r="F217" s="18" t="s">
        <v>649</v>
      </c>
      <c r="G217" s="10" t="s">
        <v>672</v>
      </c>
      <c r="I217">
        <v>500</v>
      </c>
      <c r="J217">
        <f t="shared" si="0"/>
        <v>100</v>
      </c>
    </row>
    <row r="218" spans="1:10" ht="16.5">
      <c r="A218" s="12">
        <v>217</v>
      </c>
      <c r="B218" s="18">
        <v>12000</v>
      </c>
      <c r="C218" s="24" t="s">
        <v>675</v>
      </c>
      <c r="D218" s="24" t="s">
        <v>653</v>
      </c>
      <c r="E218" s="18">
        <v>7</v>
      </c>
      <c r="F218" s="18" t="s">
        <v>654</v>
      </c>
      <c r="G218" s="10" t="s">
        <v>655</v>
      </c>
    </row>
    <row r="219" spans="1:10" ht="16.5">
      <c r="A219" s="12">
        <v>218</v>
      </c>
      <c r="B219" s="26">
        <v>0</v>
      </c>
      <c r="C219" s="27" t="s">
        <v>676</v>
      </c>
      <c r="D219" s="27" t="s">
        <v>677</v>
      </c>
      <c r="E219" s="26">
        <v>8</v>
      </c>
      <c r="F219" s="26" t="s">
        <v>678</v>
      </c>
      <c r="G219" s="28" t="s">
        <v>679</v>
      </c>
      <c r="H219" s="27"/>
    </row>
    <row r="220" spans="1:10" ht="16.5">
      <c r="A220" s="12">
        <v>219</v>
      </c>
      <c r="B220" s="26">
        <v>400</v>
      </c>
      <c r="C220" s="27" t="s">
        <v>676</v>
      </c>
      <c r="D220" s="27" t="s">
        <v>680</v>
      </c>
      <c r="E220" s="26">
        <v>8</v>
      </c>
      <c r="F220" s="26" t="s">
        <v>678</v>
      </c>
      <c r="G220" s="28" t="s">
        <v>681</v>
      </c>
    </row>
    <row r="221" spans="1:10" ht="16.5">
      <c r="A221" s="12">
        <v>220</v>
      </c>
      <c r="B221" s="26">
        <v>800</v>
      </c>
      <c r="C221" s="27" t="s">
        <v>676</v>
      </c>
      <c r="D221" s="27" t="s">
        <v>680</v>
      </c>
      <c r="E221" s="26">
        <v>8</v>
      </c>
      <c r="F221" s="26" t="s">
        <v>678</v>
      </c>
      <c r="G221" s="28" t="s">
        <v>681</v>
      </c>
    </row>
    <row r="222" spans="1:10" ht="16.5">
      <c r="A222" s="12">
        <v>221</v>
      </c>
      <c r="B222" s="26">
        <v>1200</v>
      </c>
      <c r="C222" s="27" t="s">
        <v>676</v>
      </c>
      <c r="D222" s="27" t="s">
        <v>680</v>
      </c>
      <c r="E222" s="26">
        <v>8</v>
      </c>
      <c r="F222" s="26" t="s">
        <v>678</v>
      </c>
      <c r="G222" s="28" t="s">
        <v>681</v>
      </c>
    </row>
    <row r="223" spans="1:10" ht="16.5">
      <c r="A223" s="12">
        <v>222</v>
      </c>
      <c r="B223" s="26">
        <v>1600</v>
      </c>
      <c r="C223" s="27" t="s">
        <v>676</v>
      </c>
      <c r="D223" s="27" t="s">
        <v>680</v>
      </c>
      <c r="E223" s="26">
        <v>8</v>
      </c>
      <c r="F223" s="26" t="s">
        <v>678</v>
      </c>
      <c r="G223" s="28" t="s">
        <v>681</v>
      </c>
    </row>
    <row r="224" spans="1:10" ht="16.5">
      <c r="A224" s="12">
        <v>223</v>
      </c>
      <c r="B224" s="26">
        <v>2000</v>
      </c>
      <c r="C224" s="27" t="s">
        <v>682</v>
      </c>
      <c r="D224" s="27" t="s">
        <v>683</v>
      </c>
      <c r="E224" s="26">
        <v>8</v>
      </c>
      <c r="F224" s="26" t="s">
        <v>684</v>
      </c>
      <c r="G224" s="28" t="s">
        <v>685</v>
      </c>
    </row>
    <row r="225" spans="1:7" ht="16.5">
      <c r="A225" s="12">
        <v>224</v>
      </c>
      <c r="B225" s="26">
        <v>2400</v>
      </c>
      <c r="C225" s="27" t="s">
        <v>676</v>
      </c>
      <c r="D225" s="27" t="s">
        <v>680</v>
      </c>
      <c r="E225" s="26">
        <v>8</v>
      </c>
      <c r="F225" s="26" t="s">
        <v>678</v>
      </c>
      <c r="G225" s="28" t="s">
        <v>681</v>
      </c>
    </row>
    <row r="226" spans="1:7" ht="16.5">
      <c r="A226" s="12">
        <v>225</v>
      </c>
      <c r="B226" s="26">
        <v>2800</v>
      </c>
      <c r="C226" s="27" t="s">
        <v>676</v>
      </c>
      <c r="D226" s="27" t="s">
        <v>680</v>
      </c>
      <c r="E226" s="26">
        <v>8</v>
      </c>
      <c r="F226" s="26" t="s">
        <v>678</v>
      </c>
      <c r="G226" s="28" t="s">
        <v>681</v>
      </c>
    </row>
    <row r="227" spans="1:7" ht="16.5">
      <c r="A227" s="12">
        <v>226</v>
      </c>
      <c r="B227" s="26">
        <v>3200</v>
      </c>
      <c r="C227" s="27" t="s">
        <v>676</v>
      </c>
      <c r="D227" s="27" t="s">
        <v>680</v>
      </c>
      <c r="E227" s="26">
        <v>8</v>
      </c>
      <c r="F227" s="26" t="s">
        <v>678</v>
      </c>
      <c r="G227" s="28" t="s">
        <v>681</v>
      </c>
    </row>
    <row r="228" spans="1:7" ht="16.5">
      <c r="A228" s="12">
        <v>227</v>
      </c>
      <c r="B228" s="26">
        <v>3600</v>
      </c>
      <c r="C228" s="27" t="s">
        <v>676</v>
      </c>
      <c r="D228" s="27" t="s">
        <v>680</v>
      </c>
      <c r="E228" s="26">
        <v>8</v>
      </c>
      <c r="F228" s="26" t="s">
        <v>678</v>
      </c>
      <c r="G228" s="28" t="s">
        <v>681</v>
      </c>
    </row>
    <row r="229" spans="1:7" ht="16.5">
      <c r="A229" s="12">
        <v>228</v>
      </c>
      <c r="B229" s="26">
        <v>4000</v>
      </c>
      <c r="C229" s="27" t="s">
        <v>682</v>
      </c>
      <c r="D229" s="27" t="s">
        <v>683</v>
      </c>
      <c r="E229" s="26">
        <v>8</v>
      </c>
      <c r="F229" s="26" t="s">
        <v>686</v>
      </c>
      <c r="G229" s="28" t="s">
        <v>685</v>
      </c>
    </row>
    <row r="230" spans="1:7" ht="16.5">
      <c r="A230" s="12">
        <v>229</v>
      </c>
      <c r="B230" s="26">
        <v>4400</v>
      </c>
      <c r="C230" s="27" t="s">
        <v>676</v>
      </c>
      <c r="D230" s="27" t="s">
        <v>680</v>
      </c>
      <c r="E230" s="26">
        <v>8</v>
      </c>
      <c r="F230" s="26" t="s">
        <v>678</v>
      </c>
      <c r="G230" s="28" t="s">
        <v>681</v>
      </c>
    </row>
    <row r="231" spans="1:7" ht="16.5">
      <c r="A231" s="12">
        <v>230</v>
      </c>
      <c r="B231" s="26">
        <v>4800</v>
      </c>
      <c r="C231" s="27" t="s">
        <v>676</v>
      </c>
      <c r="D231" s="27" t="s">
        <v>680</v>
      </c>
      <c r="E231" s="26">
        <v>8</v>
      </c>
      <c r="F231" s="26" t="s">
        <v>678</v>
      </c>
      <c r="G231" s="28" t="s">
        <v>681</v>
      </c>
    </row>
    <row r="232" spans="1:7" ht="16.5">
      <c r="A232" s="12">
        <v>231</v>
      </c>
      <c r="B232" s="26">
        <v>5200</v>
      </c>
      <c r="C232" s="27" t="s">
        <v>676</v>
      </c>
      <c r="D232" s="27" t="s">
        <v>680</v>
      </c>
      <c r="E232" s="26">
        <v>8</v>
      </c>
      <c r="F232" s="26" t="s">
        <v>678</v>
      </c>
      <c r="G232" s="28" t="s">
        <v>681</v>
      </c>
    </row>
    <row r="233" spans="1:7" ht="16.5">
      <c r="A233" s="12">
        <v>232</v>
      </c>
      <c r="B233" s="26">
        <v>5600</v>
      </c>
      <c r="C233" s="27" t="s">
        <v>676</v>
      </c>
      <c r="D233" s="27" t="s">
        <v>680</v>
      </c>
      <c r="E233" s="26">
        <v>8</v>
      </c>
      <c r="F233" s="26" t="s">
        <v>678</v>
      </c>
      <c r="G233" s="28" t="s">
        <v>681</v>
      </c>
    </row>
    <row r="234" spans="1:7" ht="16.5">
      <c r="A234" s="12">
        <v>233</v>
      </c>
      <c r="B234" s="26">
        <v>6000</v>
      </c>
      <c r="C234" s="27" t="s">
        <v>682</v>
      </c>
      <c r="D234" s="27" t="s">
        <v>683</v>
      </c>
      <c r="E234" s="26">
        <v>8</v>
      </c>
      <c r="F234" s="26" t="s">
        <v>687</v>
      </c>
      <c r="G234" s="28" t="s">
        <v>685</v>
      </c>
    </row>
    <row r="235" spans="1:7" ht="16.5">
      <c r="A235" s="12">
        <v>234</v>
      </c>
      <c r="B235" s="26">
        <v>6400</v>
      </c>
      <c r="C235" s="27" t="s">
        <v>676</v>
      </c>
      <c r="D235" s="27" t="s">
        <v>680</v>
      </c>
      <c r="E235" s="26">
        <v>8</v>
      </c>
      <c r="F235" s="26" t="s">
        <v>678</v>
      </c>
      <c r="G235" s="28" t="s">
        <v>681</v>
      </c>
    </row>
    <row r="236" spans="1:7" ht="16.5">
      <c r="A236" s="12">
        <v>235</v>
      </c>
      <c r="B236" s="26">
        <v>6800</v>
      </c>
      <c r="C236" s="27" t="s">
        <v>676</v>
      </c>
      <c r="D236" s="27" t="s">
        <v>680</v>
      </c>
      <c r="E236" s="26">
        <v>8</v>
      </c>
      <c r="F236" s="26" t="s">
        <v>678</v>
      </c>
      <c r="G236" s="28" t="s">
        <v>681</v>
      </c>
    </row>
    <row r="237" spans="1:7" ht="16.5">
      <c r="A237" s="12">
        <v>236</v>
      </c>
      <c r="B237" s="26">
        <v>7200</v>
      </c>
      <c r="C237" s="27" t="s">
        <v>676</v>
      </c>
      <c r="D237" s="27" t="s">
        <v>680</v>
      </c>
      <c r="E237" s="26">
        <v>8</v>
      </c>
      <c r="F237" s="26" t="s">
        <v>678</v>
      </c>
      <c r="G237" s="28" t="s">
        <v>681</v>
      </c>
    </row>
    <row r="238" spans="1:7" ht="16.5">
      <c r="A238" s="12">
        <v>237</v>
      </c>
      <c r="B238" s="26">
        <v>7600</v>
      </c>
      <c r="C238" s="27" t="s">
        <v>676</v>
      </c>
      <c r="D238" s="27" t="s">
        <v>680</v>
      </c>
      <c r="E238" s="26">
        <v>8</v>
      </c>
      <c r="F238" s="26" t="s">
        <v>678</v>
      </c>
      <c r="G238" s="28" t="s">
        <v>681</v>
      </c>
    </row>
    <row r="239" spans="1:7" ht="16.5">
      <c r="A239" s="12">
        <v>238</v>
      </c>
      <c r="B239" s="26">
        <v>8000</v>
      </c>
      <c r="C239" s="27" t="s">
        <v>682</v>
      </c>
      <c r="D239" s="27" t="s">
        <v>683</v>
      </c>
      <c r="E239" s="26">
        <v>8</v>
      </c>
      <c r="F239" s="26" t="s">
        <v>688</v>
      </c>
      <c r="G239" s="28" t="s">
        <v>685</v>
      </c>
    </row>
    <row r="240" spans="1:7" ht="16.5">
      <c r="A240" s="12">
        <v>239</v>
      </c>
      <c r="B240" s="26">
        <v>8400</v>
      </c>
      <c r="C240" s="27" t="s">
        <v>676</v>
      </c>
      <c r="D240" s="27" t="s">
        <v>680</v>
      </c>
      <c r="E240" s="26">
        <v>8</v>
      </c>
      <c r="F240" s="26" t="s">
        <v>678</v>
      </c>
      <c r="G240" s="28" t="s">
        <v>681</v>
      </c>
    </row>
    <row r="241" spans="1:7" ht="16.5">
      <c r="A241" s="12">
        <v>240</v>
      </c>
      <c r="B241" s="26">
        <v>8800</v>
      </c>
      <c r="C241" s="27" t="s">
        <v>676</v>
      </c>
      <c r="D241" s="27" t="s">
        <v>680</v>
      </c>
      <c r="E241" s="26">
        <v>8</v>
      </c>
      <c r="F241" s="26" t="s">
        <v>678</v>
      </c>
      <c r="G241" s="28" t="s">
        <v>681</v>
      </c>
    </row>
    <row r="242" spans="1:7" ht="16.5">
      <c r="A242" s="12">
        <v>241</v>
      </c>
      <c r="B242" s="26">
        <v>9200</v>
      </c>
      <c r="C242" s="27" t="s">
        <v>676</v>
      </c>
      <c r="D242" s="27" t="s">
        <v>680</v>
      </c>
      <c r="E242" s="26">
        <v>8</v>
      </c>
      <c r="F242" s="26" t="s">
        <v>678</v>
      </c>
      <c r="G242" s="28" t="s">
        <v>681</v>
      </c>
    </row>
    <row r="243" spans="1:7" ht="16.5">
      <c r="A243" s="12">
        <v>242</v>
      </c>
      <c r="B243" s="26">
        <v>9600</v>
      </c>
      <c r="C243" s="27" t="s">
        <v>676</v>
      </c>
      <c r="D243" s="27" t="s">
        <v>680</v>
      </c>
      <c r="E243" s="26">
        <v>8</v>
      </c>
      <c r="F243" s="26" t="s">
        <v>678</v>
      </c>
      <c r="G243" s="28" t="s">
        <v>681</v>
      </c>
    </row>
    <row r="244" spans="1:7" ht="16.5">
      <c r="A244" s="12">
        <v>243</v>
      </c>
      <c r="B244" s="26">
        <v>10000</v>
      </c>
      <c r="C244" s="27" t="s">
        <v>682</v>
      </c>
      <c r="D244" s="27" t="s">
        <v>683</v>
      </c>
      <c r="E244" s="26">
        <v>8</v>
      </c>
      <c r="F244" s="26" t="s">
        <v>689</v>
      </c>
      <c r="G244" s="28" t="s">
        <v>685</v>
      </c>
    </row>
    <row r="245" spans="1:7" ht="16.5">
      <c r="A245" s="12">
        <v>244</v>
      </c>
      <c r="B245" s="26">
        <v>10400</v>
      </c>
      <c r="C245" s="27" t="s">
        <v>676</v>
      </c>
      <c r="D245" s="27" t="s">
        <v>680</v>
      </c>
      <c r="E245" s="26">
        <v>8</v>
      </c>
      <c r="F245" s="26" t="s">
        <v>678</v>
      </c>
      <c r="G245" s="28" t="s">
        <v>681</v>
      </c>
    </row>
    <row r="246" spans="1:7" ht="16.5">
      <c r="A246" s="12">
        <v>245</v>
      </c>
      <c r="B246" s="26">
        <v>10800</v>
      </c>
      <c r="C246" s="27" t="s">
        <v>676</v>
      </c>
      <c r="D246" s="27" t="s">
        <v>680</v>
      </c>
      <c r="E246" s="26">
        <v>8</v>
      </c>
      <c r="F246" s="26" t="s">
        <v>678</v>
      </c>
      <c r="G246" s="28" t="s">
        <v>681</v>
      </c>
    </row>
    <row r="247" spans="1:7" ht="16.5">
      <c r="A247" s="12">
        <v>246</v>
      </c>
      <c r="B247" s="26">
        <v>11200</v>
      </c>
      <c r="C247" s="27" t="s">
        <v>676</v>
      </c>
      <c r="D247" s="27" t="s">
        <v>680</v>
      </c>
      <c r="E247" s="26">
        <v>8</v>
      </c>
      <c r="F247" s="26" t="s">
        <v>678</v>
      </c>
      <c r="G247" s="28" t="s">
        <v>681</v>
      </c>
    </row>
    <row r="248" spans="1:7" ht="16.5">
      <c r="A248" s="12">
        <v>247</v>
      </c>
      <c r="B248" s="26">
        <v>11600</v>
      </c>
      <c r="C248" s="27" t="s">
        <v>676</v>
      </c>
      <c r="D248" s="27" t="s">
        <v>680</v>
      </c>
      <c r="E248" s="26">
        <v>8</v>
      </c>
      <c r="F248" s="26" t="s">
        <v>678</v>
      </c>
      <c r="G248" s="28" t="s">
        <v>681</v>
      </c>
    </row>
    <row r="249" spans="1:7" ht="16.5">
      <c r="A249" s="12">
        <v>248</v>
      </c>
      <c r="B249" s="26">
        <v>12000</v>
      </c>
      <c r="C249" s="27" t="s">
        <v>690</v>
      </c>
      <c r="D249" s="27" t="s">
        <v>691</v>
      </c>
      <c r="E249" s="26">
        <v>8</v>
      </c>
      <c r="F249" s="26" t="s">
        <v>692</v>
      </c>
      <c r="G249" s="28" t="s">
        <v>693</v>
      </c>
    </row>
    <row r="250" spans="1:7" ht="16.5">
      <c r="A250" s="12">
        <v>249</v>
      </c>
      <c r="B250" s="29">
        <v>0</v>
      </c>
      <c r="C250" s="30" t="s">
        <v>694</v>
      </c>
      <c r="D250" s="30" t="s">
        <v>695</v>
      </c>
      <c r="E250" s="29">
        <v>9</v>
      </c>
      <c r="F250" s="29" t="s">
        <v>696</v>
      </c>
      <c r="G250" s="30" t="s">
        <v>697</v>
      </c>
    </row>
    <row r="251" spans="1:7" ht="16.5">
      <c r="A251" s="12">
        <v>250</v>
      </c>
      <c r="B251" s="29">
        <v>400</v>
      </c>
      <c r="C251" s="30" t="s">
        <v>698</v>
      </c>
      <c r="D251" s="30" t="s">
        <v>699</v>
      </c>
      <c r="E251" s="29">
        <v>9</v>
      </c>
      <c r="F251" s="29" t="s">
        <v>700</v>
      </c>
      <c r="G251" s="30" t="s">
        <v>701</v>
      </c>
    </row>
    <row r="252" spans="1:7" ht="16.5">
      <c r="A252" s="12">
        <v>251</v>
      </c>
      <c r="B252" s="29">
        <v>800</v>
      </c>
      <c r="C252" s="30" t="s">
        <v>698</v>
      </c>
      <c r="D252" s="30" t="s">
        <v>699</v>
      </c>
      <c r="E252" s="29">
        <v>9</v>
      </c>
      <c r="F252" s="29" t="s">
        <v>700</v>
      </c>
      <c r="G252" s="30" t="s">
        <v>701</v>
      </c>
    </row>
    <row r="253" spans="1:7" ht="16.5">
      <c r="A253" s="12">
        <v>252</v>
      </c>
      <c r="B253" s="29">
        <v>1200</v>
      </c>
      <c r="C253" s="30" t="s">
        <v>698</v>
      </c>
      <c r="D253" s="30" t="s">
        <v>699</v>
      </c>
      <c r="E253" s="29">
        <v>9</v>
      </c>
      <c r="F253" s="29" t="s">
        <v>700</v>
      </c>
      <c r="G253" s="30" t="s">
        <v>701</v>
      </c>
    </row>
    <row r="254" spans="1:7" ht="16.5">
      <c r="A254" s="12">
        <v>253</v>
      </c>
      <c r="B254" s="29">
        <v>1600</v>
      </c>
      <c r="C254" s="30" t="s">
        <v>698</v>
      </c>
      <c r="D254" s="30" t="s">
        <v>699</v>
      </c>
      <c r="E254" s="29">
        <v>9</v>
      </c>
      <c r="F254" s="29" t="s">
        <v>700</v>
      </c>
      <c r="G254" s="30" t="s">
        <v>701</v>
      </c>
    </row>
    <row r="255" spans="1:7" ht="16.5">
      <c r="A255" s="12">
        <v>254</v>
      </c>
      <c r="B255" s="29">
        <v>2000</v>
      </c>
      <c r="C255" s="30" t="s">
        <v>702</v>
      </c>
      <c r="D255" s="30" t="s">
        <v>703</v>
      </c>
      <c r="E255" s="29">
        <v>9</v>
      </c>
      <c r="F255" s="29" t="s">
        <v>704</v>
      </c>
      <c r="G255" s="30" t="s">
        <v>705</v>
      </c>
    </row>
    <row r="256" spans="1:7" ht="16.5">
      <c r="A256" s="12">
        <v>255</v>
      </c>
      <c r="B256" s="29">
        <v>2400</v>
      </c>
      <c r="C256" s="30" t="s">
        <v>698</v>
      </c>
      <c r="D256" s="30" t="s">
        <v>699</v>
      </c>
      <c r="E256" s="29">
        <v>9</v>
      </c>
      <c r="F256" s="29" t="s">
        <v>700</v>
      </c>
      <c r="G256" s="30" t="s">
        <v>701</v>
      </c>
    </row>
    <row r="257" spans="1:7" ht="16.5">
      <c r="A257" s="12">
        <v>256</v>
      </c>
      <c r="B257" s="29">
        <v>2800</v>
      </c>
      <c r="C257" s="30" t="s">
        <v>698</v>
      </c>
      <c r="D257" s="30" t="s">
        <v>699</v>
      </c>
      <c r="E257" s="29">
        <v>9</v>
      </c>
      <c r="F257" s="29" t="s">
        <v>700</v>
      </c>
      <c r="G257" s="30" t="s">
        <v>701</v>
      </c>
    </row>
    <row r="258" spans="1:7" ht="16.5">
      <c r="A258" s="12">
        <v>257</v>
      </c>
      <c r="B258" s="29">
        <v>3200</v>
      </c>
      <c r="C258" s="30" t="s">
        <v>698</v>
      </c>
      <c r="D258" s="30" t="s">
        <v>699</v>
      </c>
      <c r="E258" s="29">
        <v>9</v>
      </c>
      <c r="F258" s="29" t="s">
        <v>700</v>
      </c>
      <c r="G258" s="30" t="s">
        <v>701</v>
      </c>
    </row>
    <row r="259" spans="1:7" ht="16.5">
      <c r="A259" s="12">
        <v>258</v>
      </c>
      <c r="B259" s="29">
        <v>3600</v>
      </c>
      <c r="C259" s="30" t="s">
        <v>698</v>
      </c>
      <c r="D259" s="30" t="s">
        <v>699</v>
      </c>
      <c r="E259" s="29">
        <v>9</v>
      </c>
      <c r="F259" s="29" t="s">
        <v>700</v>
      </c>
      <c r="G259" s="30" t="s">
        <v>701</v>
      </c>
    </row>
    <row r="260" spans="1:7" ht="16.5">
      <c r="A260" s="12">
        <v>259</v>
      </c>
      <c r="B260" s="29">
        <v>4000</v>
      </c>
      <c r="C260" s="30" t="s">
        <v>706</v>
      </c>
      <c r="D260" s="30" t="s">
        <v>703</v>
      </c>
      <c r="E260" s="29">
        <v>9</v>
      </c>
      <c r="F260" s="29" t="s">
        <v>707</v>
      </c>
      <c r="G260" s="30" t="s">
        <v>705</v>
      </c>
    </row>
    <row r="261" spans="1:7" ht="16.5">
      <c r="A261" s="12">
        <v>260</v>
      </c>
      <c r="B261" s="29">
        <v>4400</v>
      </c>
      <c r="C261" s="30" t="s">
        <v>698</v>
      </c>
      <c r="D261" s="30" t="s">
        <v>699</v>
      </c>
      <c r="E261" s="29">
        <v>9</v>
      </c>
      <c r="F261" s="29" t="s">
        <v>700</v>
      </c>
      <c r="G261" s="30" t="s">
        <v>701</v>
      </c>
    </row>
    <row r="262" spans="1:7" ht="16.5">
      <c r="A262" s="12">
        <v>261</v>
      </c>
      <c r="B262" s="29">
        <v>4800</v>
      </c>
      <c r="C262" s="30" t="s">
        <v>698</v>
      </c>
      <c r="D262" s="30" t="s">
        <v>699</v>
      </c>
      <c r="E262" s="29">
        <v>9</v>
      </c>
      <c r="F262" s="29" t="s">
        <v>700</v>
      </c>
      <c r="G262" s="30" t="s">
        <v>701</v>
      </c>
    </row>
    <row r="263" spans="1:7" ht="16.5">
      <c r="A263" s="12">
        <v>262</v>
      </c>
      <c r="B263" s="29">
        <v>5200</v>
      </c>
      <c r="C263" s="30" t="s">
        <v>698</v>
      </c>
      <c r="D263" s="30" t="s">
        <v>699</v>
      </c>
      <c r="E263" s="29">
        <v>9</v>
      </c>
      <c r="F263" s="29" t="s">
        <v>700</v>
      </c>
      <c r="G263" s="30" t="s">
        <v>701</v>
      </c>
    </row>
    <row r="264" spans="1:7" ht="16.5">
      <c r="A264" s="12">
        <v>263</v>
      </c>
      <c r="B264" s="29">
        <v>5600</v>
      </c>
      <c r="C264" s="30" t="s">
        <v>698</v>
      </c>
      <c r="D264" s="30" t="s">
        <v>699</v>
      </c>
      <c r="E264" s="29">
        <v>9</v>
      </c>
      <c r="F264" s="29" t="s">
        <v>700</v>
      </c>
      <c r="G264" s="30" t="s">
        <v>701</v>
      </c>
    </row>
    <row r="265" spans="1:7" ht="16.5">
      <c r="A265" s="12">
        <v>264</v>
      </c>
      <c r="B265" s="29">
        <v>6000</v>
      </c>
      <c r="C265" s="30" t="s">
        <v>708</v>
      </c>
      <c r="D265" s="30" t="s">
        <v>703</v>
      </c>
      <c r="E265" s="29">
        <v>9</v>
      </c>
      <c r="F265" s="29" t="s">
        <v>709</v>
      </c>
      <c r="G265" s="30" t="s">
        <v>705</v>
      </c>
    </row>
    <row r="266" spans="1:7" ht="16.5">
      <c r="A266" s="12">
        <v>265</v>
      </c>
      <c r="B266" s="29">
        <v>6400</v>
      </c>
      <c r="C266" s="30" t="s">
        <v>698</v>
      </c>
      <c r="D266" s="30" t="s">
        <v>699</v>
      </c>
      <c r="E266" s="29">
        <v>9</v>
      </c>
      <c r="F266" s="29" t="s">
        <v>700</v>
      </c>
      <c r="G266" s="30" t="s">
        <v>701</v>
      </c>
    </row>
    <row r="267" spans="1:7" ht="16.5">
      <c r="A267" s="12">
        <v>266</v>
      </c>
      <c r="B267" s="29">
        <v>6800</v>
      </c>
      <c r="C267" s="30" t="s">
        <v>698</v>
      </c>
      <c r="D267" s="30" t="s">
        <v>699</v>
      </c>
      <c r="E267" s="29">
        <v>9</v>
      </c>
      <c r="F267" s="29" t="s">
        <v>700</v>
      </c>
      <c r="G267" s="30" t="s">
        <v>701</v>
      </c>
    </row>
    <row r="268" spans="1:7" ht="16.5">
      <c r="A268" s="12">
        <v>267</v>
      </c>
      <c r="B268" s="29">
        <v>7200</v>
      </c>
      <c r="C268" s="30" t="s">
        <v>698</v>
      </c>
      <c r="D268" s="30" t="s">
        <v>699</v>
      </c>
      <c r="E268" s="29">
        <v>9</v>
      </c>
      <c r="F268" s="29" t="s">
        <v>700</v>
      </c>
      <c r="G268" s="30" t="s">
        <v>701</v>
      </c>
    </row>
    <row r="269" spans="1:7" ht="16.5">
      <c r="A269" s="12">
        <v>268</v>
      </c>
      <c r="B269" s="29">
        <v>7600</v>
      </c>
      <c r="C269" s="30" t="s">
        <v>698</v>
      </c>
      <c r="D269" s="30" t="s">
        <v>699</v>
      </c>
      <c r="E269" s="29">
        <v>9</v>
      </c>
      <c r="F269" s="29" t="s">
        <v>700</v>
      </c>
      <c r="G269" s="30" t="s">
        <v>701</v>
      </c>
    </row>
    <row r="270" spans="1:7" ht="16.5">
      <c r="A270" s="12">
        <v>269</v>
      </c>
      <c r="B270" s="29">
        <v>8000</v>
      </c>
      <c r="C270" s="30" t="s">
        <v>708</v>
      </c>
      <c r="D270" s="30" t="s">
        <v>703</v>
      </c>
      <c r="E270" s="29">
        <v>9</v>
      </c>
      <c r="F270" s="29" t="s">
        <v>709</v>
      </c>
      <c r="G270" s="30" t="s">
        <v>705</v>
      </c>
    </row>
    <row r="271" spans="1:7" ht="16.5">
      <c r="A271" s="12">
        <v>270</v>
      </c>
      <c r="B271" s="29">
        <v>8400</v>
      </c>
      <c r="C271" s="30" t="s">
        <v>698</v>
      </c>
      <c r="D271" s="30" t="s">
        <v>699</v>
      </c>
      <c r="E271" s="29">
        <v>9</v>
      </c>
      <c r="F271" s="29" t="s">
        <v>700</v>
      </c>
      <c r="G271" s="30" t="s">
        <v>701</v>
      </c>
    </row>
    <row r="272" spans="1:7" ht="16.5">
      <c r="A272" s="12">
        <v>271</v>
      </c>
      <c r="B272" s="29">
        <v>8800</v>
      </c>
      <c r="C272" s="30" t="s">
        <v>698</v>
      </c>
      <c r="D272" s="30" t="s">
        <v>699</v>
      </c>
      <c r="E272" s="29">
        <v>9</v>
      </c>
      <c r="F272" s="29" t="s">
        <v>700</v>
      </c>
      <c r="G272" s="30" t="s">
        <v>701</v>
      </c>
    </row>
    <row r="273" spans="1:7" ht="16.5">
      <c r="A273" s="12">
        <v>272</v>
      </c>
      <c r="B273" s="29">
        <v>9200</v>
      </c>
      <c r="C273" s="30" t="s">
        <v>698</v>
      </c>
      <c r="D273" s="30" t="s">
        <v>699</v>
      </c>
      <c r="E273" s="29">
        <v>9</v>
      </c>
      <c r="F273" s="29" t="s">
        <v>700</v>
      </c>
      <c r="G273" s="30" t="s">
        <v>701</v>
      </c>
    </row>
    <row r="274" spans="1:7" ht="16.5">
      <c r="A274" s="12">
        <v>273</v>
      </c>
      <c r="B274" s="29">
        <v>9600</v>
      </c>
      <c r="C274" s="30" t="s">
        <v>698</v>
      </c>
      <c r="D274" s="30" t="s">
        <v>699</v>
      </c>
      <c r="E274" s="29">
        <v>9</v>
      </c>
      <c r="F274" s="29" t="s">
        <v>700</v>
      </c>
      <c r="G274" s="30" t="s">
        <v>701</v>
      </c>
    </row>
    <row r="275" spans="1:7" ht="16.5">
      <c r="A275" s="12">
        <v>274</v>
      </c>
      <c r="B275" s="29">
        <v>10000</v>
      </c>
      <c r="C275" s="30" t="s">
        <v>708</v>
      </c>
      <c r="D275" s="30" t="s">
        <v>703</v>
      </c>
      <c r="E275" s="29">
        <v>9</v>
      </c>
      <c r="F275" s="29" t="s">
        <v>709</v>
      </c>
      <c r="G275" s="30" t="s">
        <v>705</v>
      </c>
    </row>
    <row r="276" spans="1:7" ht="16.5">
      <c r="A276" s="12">
        <v>275</v>
      </c>
      <c r="B276" s="29">
        <v>10400</v>
      </c>
      <c r="C276" s="30" t="s">
        <v>698</v>
      </c>
      <c r="D276" s="30" t="s">
        <v>699</v>
      </c>
      <c r="E276" s="29">
        <v>9</v>
      </c>
      <c r="F276" s="29" t="s">
        <v>700</v>
      </c>
      <c r="G276" s="30" t="s">
        <v>701</v>
      </c>
    </row>
    <row r="277" spans="1:7" ht="16.5">
      <c r="A277" s="12">
        <v>276</v>
      </c>
      <c r="B277" s="29">
        <v>10800</v>
      </c>
      <c r="C277" s="30" t="s">
        <v>698</v>
      </c>
      <c r="D277" s="30" t="s">
        <v>699</v>
      </c>
      <c r="E277" s="29">
        <v>9</v>
      </c>
      <c r="F277" s="29" t="s">
        <v>700</v>
      </c>
      <c r="G277" s="30" t="s">
        <v>701</v>
      </c>
    </row>
    <row r="278" spans="1:7" ht="16.5">
      <c r="A278" s="12">
        <v>277</v>
      </c>
      <c r="B278" s="29">
        <v>11200</v>
      </c>
      <c r="C278" s="30" t="s">
        <v>698</v>
      </c>
      <c r="D278" s="30" t="s">
        <v>699</v>
      </c>
      <c r="E278" s="29">
        <v>9</v>
      </c>
      <c r="F278" s="29" t="s">
        <v>700</v>
      </c>
      <c r="G278" s="30" t="s">
        <v>701</v>
      </c>
    </row>
    <row r="279" spans="1:7" ht="16.5">
      <c r="A279" s="12">
        <v>278</v>
      </c>
      <c r="B279" s="29">
        <v>11600</v>
      </c>
      <c r="C279" s="30" t="s">
        <v>698</v>
      </c>
      <c r="D279" s="30" t="s">
        <v>699</v>
      </c>
      <c r="E279" s="29">
        <v>9</v>
      </c>
      <c r="F279" s="29" t="s">
        <v>700</v>
      </c>
      <c r="G279" s="30" t="s">
        <v>701</v>
      </c>
    </row>
    <row r="280" spans="1:7" ht="16.5">
      <c r="A280" s="12">
        <v>279</v>
      </c>
      <c r="B280" s="29">
        <v>12000</v>
      </c>
      <c r="C280" s="30" t="s">
        <v>710</v>
      </c>
      <c r="D280" s="30" t="s">
        <v>711</v>
      </c>
      <c r="E280" s="29">
        <v>9</v>
      </c>
      <c r="F280" s="29" t="s">
        <v>712</v>
      </c>
      <c r="G280" s="30" t="s">
        <v>713</v>
      </c>
    </row>
    <row r="281" spans="1:7" ht="16.5">
      <c r="A281" s="12">
        <v>280</v>
      </c>
      <c r="B281" s="26">
        <v>0</v>
      </c>
      <c r="C281" s="27" t="s">
        <v>676</v>
      </c>
      <c r="D281" s="27" t="s">
        <v>677</v>
      </c>
      <c r="E281" s="26">
        <v>10</v>
      </c>
      <c r="F281" s="26" t="s">
        <v>678</v>
      </c>
      <c r="G281" s="28" t="s">
        <v>679</v>
      </c>
    </row>
    <row r="282" spans="1:7" ht="16.5">
      <c r="A282" s="12">
        <v>281</v>
      </c>
      <c r="B282" s="26">
        <v>400</v>
      </c>
      <c r="C282" s="27" t="s">
        <v>676</v>
      </c>
      <c r="D282" s="27" t="s">
        <v>680</v>
      </c>
      <c r="E282" s="26">
        <v>10</v>
      </c>
      <c r="F282" s="26" t="s">
        <v>678</v>
      </c>
      <c r="G282" s="28" t="s">
        <v>681</v>
      </c>
    </row>
    <row r="283" spans="1:7" ht="16.5">
      <c r="A283" s="12">
        <v>282</v>
      </c>
      <c r="B283" s="26">
        <v>800</v>
      </c>
      <c r="C283" s="27" t="s">
        <v>676</v>
      </c>
      <c r="D283" s="27" t="s">
        <v>680</v>
      </c>
      <c r="E283" s="26">
        <v>10</v>
      </c>
      <c r="F283" s="26" t="s">
        <v>678</v>
      </c>
      <c r="G283" s="28" t="s">
        <v>681</v>
      </c>
    </row>
    <row r="284" spans="1:7" ht="16.5">
      <c r="A284" s="12">
        <v>283</v>
      </c>
      <c r="B284" s="26">
        <v>1200</v>
      </c>
      <c r="C284" s="27" t="s">
        <v>676</v>
      </c>
      <c r="D284" s="27" t="s">
        <v>680</v>
      </c>
      <c r="E284" s="26">
        <v>10</v>
      </c>
      <c r="F284" s="26" t="s">
        <v>678</v>
      </c>
      <c r="G284" s="28" t="s">
        <v>681</v>
      </c>
    </row>
    <row r="285" spans="1:7" ht="16.5">
      <c r="A285" s="12">
        <v>284</v>
      </c>
      <c r="B285" s="26">
        <v>1600</v>
      </c>
      <c r="C285" s="27" t="s">
        <v>676</v>
      </c>
      <c r="D285" s="27" t="s">
        <v>680</v>
      </c>
      <c r="E285" s="26">
        <v>10</v>
      </c>
      <c r="F285" s="26" t="s">
        <v>678</v>
      </c>
      <c r="G285" s="28" t="s">
        <v>681</v>
      </c>
    </row>
    <row r="286" spans="1:7" ht="16.5">
      <c r="A286" s="12">
        <v>285</v>
      </c>
      <c r="B286" s="26">
        <v>2000</v>
      </c>
      <c r="C286" s="27" t="s">
        <v>682</v>
      </c>
      <c r="D286" s="27" t="s">
        <v>683</v>
      </c>
      <c r="E286" s="26">
        <v>10</v>
      </c>
      <c r="F286" s="26" t="s">
        <v>684</v>
      </c>
      <c r="G286" s="28" t="s">
        <v>685</v>
      </c>
    </row>
    <row r="287" spans="1:7" ht="16.5">
      <c r="A287" s="12">
        <v>286</v>
      </c>
      <c r="B287" s="26">
        <v>2400</v>
      </c>
      <c r="C287" s="27" t="s">
        <v>676</v>
      </c>
      <c r="D287" s="27" t="s">
        <v>680</v>
      </c>
      <c r="E287" s="26">
        <v>10</v>
      </c>
      <c r="F287" s="26" t="s">
        <v>678</v>
      </c>
      <c r="G287" s="28" t="s">
        <v>681</v>
      </c>
    </row>
    <row r="288" spans="1:7" ht="16.5">
      <c r="A288" s="12">
        <v>287</v>
      </c>
      <c r="B288" s="26">
        <v>2800</v>
      </c>
      <c r="C288" s="27" t="s">
        <v>676</v>
      </c>
      <c r="D288" s="27" t="s">
        <v>680</v>
      </c>
      <c r="E288" s="26">
        <v>10</v>
      </c>
      <c r="F288" s="26" t="s">
        <v>678</v>
      </c>
      <c r="G288" s="28" t="s">
        <v>681</v>
      </c>
    </row>
    <row r="289" spans="1:7" ht="16.5">
      <c r="A289" s="12">
        <v>288</v>
      </c>
      <c r="B289" s="26">
        <v>3200</v>
      </c>
      <c r="C289" s="27" t="s">
        <v>676</v>
      </c>
      <c r="D289" s="27" t="s">
        <v>680</v>
      </c>
      <c r="E289" s="26">
        <v>10</v>
      </c>
      <c r="F289" s="26" t="s">
        <v>678</v>
      </c>
      <c r="G289" s="28" t="s">
        <v>681</v>
      </c>
    </row>
    <row r="290" spans="1:7" ht="16.5">
      <c r="A290" s="12">
        <v>289</v>
      </c>
      <c r="B290" s="26">
        <v>3600</v>
      </c>
      <c r="C290" s="27" t="s">
        <v>676</v>
      </c>
      <c r="D290" s="27" t="s">
        <v>680</v>
      </c>
      <c r="E290" s="26">
        <v>10</v>
      </c>
      <c r="F290" s="26" t="s">
        <v>678</v>
      </c>
      <c r="G290" s="28" t="s">
        <v>681</v>
      </c>
    </row>
    <row r="291" spans="1:7" ht="16.5">
      <c r="A291" s="12">
        <v>290</v>
      </c>
      <c r="B291" s="26">
        <v>4000</v>
      </c>
      <c r="C291" s="27" t="s">
        <v>682</v>
      </c>
      <c r="D291" s="27" t="s">
        <v>683</v>
      </c>
      <c r="E291" s="26">
        <v>10</v>
      </c>
      <c r="F291" s="26" t="s">
        <v>686</v>
      </c>
      <c r="G291" s="28" t="s">
        <v>685</v>
      </c>
    </row>
    <row r="292" spans="1:7" ht="16.5">
      <c r="A292" s="12">
        <v>291</v>
      </c>
      <c r="B292" s="26">
        <v>4400</v>
      </c>
      <c r="C292" s="27" t="s">
        <v>676</v>
      </c>
      <c r="D292" s="27" t="s">
        <v>680</v>
      </c>
      <c r="E292" s="26">
        <v>10</v>
      </c>
      <c r="F292" s="26" t="s">
        <v>678</v>
      </c>
      <c r="G292" s="28" t="s">
        <v>681</v>
      </c>
    </row>
    <row r="293" spans="1:7" ht="16.5">
      <c r="A293" s="12">
        <v>292</v>
      </c>
      <c r="B293" s="26">
        <v>4800</v>
      </c>
      <c r="C293" s="27" t="s">
        <v>676</v>
      </c>
      <c r="D293" s="27" t="s">
        <v>680</v>
      </c>
      <c r="E293" s="26">
        <v>10</v>
      </c>
      <c r="F293" s="26" t="s">
        <v>678</v>
      </c>
      <c r="G293" s="28" t="s">
        <v>681</v>
      </c>
    </row>
    <row r="294" spans="1:7" ht="16.5">
      <c r="A294" s="12">
        <v>293</v>
      </c>
      <c r="B294" s="26">
        <v>5200</v>
      </c>
      <c r="C294" s="27" t="s">
        <v>676</v>
      </c>
      <c r="D294" s="27" t="s">
        <v>680</v>
      </c>
      <c r="E294" s="26">
        <v>10</v>
      </c>
      <c r="F294" s="26" t="s">
        <v>678</v>
      </c>
      <c r="G294" s="28" t="s">
        <v>681</v>
      </c>
    </row>
    <row r="295" spans="1:7" ht="16.5">
      <c r="A295" s="12">
        <v>294</v>
      </c>
      <c r="B295" s="26">
        <v>5600</v>
      </c>
      <c r="C295" s="27" t="s">
        <v>676</v>
      </c>
      <c r="D295" s="27" t="s">
        <v>680</v>
      </c>
      <c r="E295" s="26">
        <v>10</v>
      </c>
      <c r="F295" s="26" t="s">
        <v>678</v>
      </c>
      <c r="G295" s="28" t="s">
        <v>681</v>
      </c>
    </row>
    <row r="296" spans="1:7" ht="16.5">
      <c r="A296" s="12">
        <v>295</v>
      </c>
      <c r="B296" s="26">
        <v>6000</v>
      </c>
      <c r="C296" s="27" t="s">
        <v>682</v>
      </c>
      <c r="D296" s="27" t="s">
        <v>683</v>
      </c>
      <c r="E296" s="26">
        <v>10</v>
      </c>
      <c r="F296" s="26" t="s">
        <v>687</v>
      </c>
      <c r="G296" s="28" t="s">
        <v>685</v>
      </c>
    </row>
    <row r="297" spans="1:7" ht="16.5">
      <c r="A297" s="12">
        <v>296</v>
      </c>
      <c r="B297" s="26">
        <v>6400</v>
      </c>
      <c r="C297" s="27" t="s">
        <v>676</v>
      </c>
      <c r="D297" s="27" t="s">
        <v>680</v>
      </c>
      <c r="E297" s="26">
        <v>10</v>
      </c>
      <c r="F297" s="26" t="s">
        <v>678</v>
      </c>
      <c r="G297" s="28" t="s">
        <v>681</v>
      </c>
    </row>
    <row r="298" spans="1:7" ht="16.5">
      <c r="A298" s="12">
        <v>297</v>
      </c>
      <c r="B298" s="26">
        <v>6800</v>
      </c>
      <c r="C298" s="27" t="s">
        <v>676</v>
      </c>
      <c r="D298" s="27" t="s">
        <v>680</v>
      </c>
      <c r="E298" s="26">
        <v>10</v>
      </c>
      <c r="F298" s="26" t="s">
        <v>678</v>
      </c>
      <c r="G298" s="28" t="s">
        <v>681</v>
      </c>
    </row>
    <row r="299" spans="1:7" ht="16.5">
      <c r="A299" s="12">
        <v>298</v>
      </c>
      <c r="B299" s="26">
        <v>7200</v>
      </c>
      <c r="C299" s="27" t="s">
        <v>676</v>
      </c>
      <c r="D299" s="27" t="s">
        <v>680</v>
      </c>
      <c r="E299" s="26">
        <v>10</v>
      </c>
      <c r="F299" s="26" t="s">
        <v>678</v>
      </c>
      <c r="G299" s="28" t="s">
        <v>681</v>
      </c>
    </row>
    <row r="300" spans="1:7" ht="16.5">
      <c r="A300" s="12">
        <v>299</v>
      </c>
      <c r="B300" s="26">
        <v>7600</v>
      </c>
      <c r="C300" s="27" t="s">
        <v>676</v>
      </c>
      <c r="D300" s="27" t="s">
        <v>680</v>
      </c>
      <c r="E300" s="26">
        <v>10</v>
      </c>
      <c r="F300" s="26" t="s">
        <v>678</v>
      </c>
      <c r="G300" s="28" t="s">
        <v>681</v>
      </c>
    </row>
    <row r="301" spans="1:7" ht="16.5">
      <c r="A301" s="12">
        <v>300</v>
      </c>
      <c r="B301" s="26">
        <v>8000</v>
      </c>
      <c r="C301" s="27" t="s">
        <v>682</v>
      </c>
      <c r="D301" s="27" t="s">
        <v>683</v>
      </c>
      <c r="E301" s="26">
        <v>10</v>
      </c>
      <c r="F301" s="26" t="s">
        <v>688</v>
      </c>
      <c r="G301" s="28" t="s">
        <v>685</v>
      </c>
    </row>
    <row r="302" spans="1:7" ht="16.5">
      <c r="A302" s="12">
        <v>301</v>
      </c>
      <c r="B302" s="26">
        <v>8400</v>
      </c>
      <c r="C302" s="27" t="s">
        <v>676</v>
      </c>
      <c r="D302" s="27" t="s">
        <v>680</v>
      </c>
      <c r="E302" s="26">
        <v>10</v>
      </c>
      <c r="F302" s="26" t="s">
        <v>678</v>
      </c>
      <c r="G302" s="28" t="s">
        <v>681</v>
      </c>
    </row>
    <row r="303" spans="1:7" ht="16.5">
      <c r="A303" s="12">
        <v>302</v>
      </c>
      <c r="B303" s="26">
        <v>8800</v>
      </c>
      <c r="C303" s="27" t="s">
        <v>676</v>
      </c>
      <c r="D303" s="27" t="s">
        <v>680</v>
      </c>
      <c r="E303" s="26">
        <v>10</v>
      </c>
      <c r="F303" s="26" t="s">
        <v>678</v>
      </c>
      <c r="G303" s="28" t="s">
        <v>681</v>
      </c>
    </row>
    <row r="304" spans="1:7" ht="16.5">
      <c r="A304" s="12">
        <v>303</v>
      </c>
      <c r="B304" s="26">
        <v>9200</v>
      </c>
      <c r="C304" s="27" t="s">
        <v>676</v>
      </c>
      <c r="D304" s="27" t="s">
        <v>680</v>
      </c>
      <c r="E304" s="26">
        <v>10</v>
      </c>
      <c r="F304" s="26" t="s">
        <v>678</v>
      </c>
      <c r="G304" s="28" t="s">
        <v>681</v>
      </c>
    </row>
    <row r="305" spans="1:7" ht="16.5">
      <c r="A305" s="12">
        <v>304</v>
      </c>
      <c r="B305" s="26">
        <v>9600</v>
      </c>
      <c r="C305" s="27" t="s">
        <v>676</v>
      </c>
      <c r="D305" s="27" t="s">
        <v>680</v>
      </c>
      <c r="E305" s="26">
        <v>10</v>
      </c>
      <c r="F305" s="26" t="s">
        <v>678</v>
      </c>
      <c r="G305" s="28" t="s">
        <v>681</v>
      </c>
    </row>
    <row r="306" spans="1:7" ht="16.5">
      <c r="A306" s="12">
        <v>305</v>
      </c>
      <c r="B306" s="26">
        <v>10000</v>
      </c>
      <c r="C306" s="27" t="s">
        <v>682</v>
      </c>
      <c r="D306" s="27" t="s">
        <v>683</v>
      </c>
      <c r="E306" s="26">
        <v>10</v>
      </c>
      <c r="F306" s="26" t="s">
        <v>689</v>
      </c>
      <c r="G306" s="28" t="s">
        <v>685</v>
      </c>
    </row>
    <row r="307" spans="1:7" ht="16.5">
      <c r="A307" s="12">
        <v>306</v>
      </c>
      <c r="B307" s="26">
        <v>10400</v>
      </c>
      <c r="C307" s="27" t="s">
        <v>676</v>
      </c>
      <c r="D307" s="27" t="s">
        <v>680</v>
      </c>
      <c r="E307" s="26">
        <v>10</v>
      </c>
      <c r="F307" s="26" t="s">
        <v>678</v>
      </c>
      <c r="G307" s="28" t="s">
        <v>681</v>
      </c>
    </row>
    <row r="308" spans="1:7" ht="16.5">
      <c r="A308" s="12">
        <v>307</v>
      </c>
      <c r="B308" s="26">
        <v>10800</v>
      </c>
      <c r="C308" s="27" t="s">
        <v>676</v>
      </c>
      <c r="D308" s="27" t="s">
        <v>680</v>
      </c>
      <c r="E308" s="26">
        <v>10</v>
      </c>
      <c r="F308" s="26" t="s">
        <v>678</v>
      </c>
      <c r="G308" s="28" t="s">
        <v>681</v>
      </c>
    </row>
    <row r="309" spans="1:7" ht="16.5">
      <c r="A309" s="12">
        <v>308</v>
      </c>
      <c r="B309" s="26">
        <v>11200</v>
      </c>
      <c r="C309" s="27" t="s">
        <v>676</v>
      </c>
      <c r="D309" s="27" t="s">
        <v>680</v>
      </c>
      <c r="E309" s="26">
        <v>10</v>
      </c>
      <c r="F309" s="26" t="s">
        <v>678</v>
      </c>
      <c r="G309" s="28" t="s">
        <v>681</v>
      </c>
    </row>
    <row r="310" spans="1:7" ht="16.5">
      <c r="A310" s="12">
        <v>309</v>
      </c>
      <c r="B310" s="26">
        <v>11600</v>
      </c>
      <c r="C310" s="27" t="s">
        <v>676</v>
      </c>
      <c r="D310" s="27" t="s">
        <v>680</v>
      </c>
      <c r="E310" s="26">
        <v>10</v>
      </c>
      <c r="F310" s="26" t="s">
        <v>678</v>
      </c>
      <c r="G310" s="28" t="s">
        <v>681</v>
      </c>
    </row>
    <row r="311" spans="1:7" ht="16.5">
      <c r="A311" s="12">
        <v>310</v>
      </c>
      <c r="B311" s="26">
        <v>12000</v>
      </c>
      <c r="C311" s="27" t="s">
        <v>690</v>
      </c>
      <c r="D311" s="27" t="s">
        <v>691</v>
      </c>
      <c r="E311" s="26">
        <v>10</v>
      </c>
      <c r="F311" s="26" t="s">
        <v>692</v>
      </c>
      <c r="G311" s="28" t="s">
        <v>693</v>
      </c>
    </row>
    <row r="312" spans="1:7" ht="16.5">
      <c r="A312" s="12">
        <v>311</v>
      </c>
      <c r="B312" s="29">
        <v>0</v>
      </c>
      <c r="C312" s="30" t="s">
        <v>694</v>
      </c>
      <c r="D312" s="30" t="s">
        <v>695</v>
      </c>
      <c r="E312" s="29">
        <v>11</v>
      </c>
      <c r="F312" s="29" t="s">
        <v>696</v>
      </c>
      <c r="G312" s="30" t="s">
        <v>697</v>
      </c>
    </row>
    <row r="313" spans="1:7" ht="16.5">
      <c r="A313" s="12">
        <v>312</v>
      </c>
      <c r="B313" s="29">
        <v>400</v>
      </c>
      <c r="C313" s="30" t="s">
        <v>698</v>
      </c>
      <c r="D313" s="30" t="s">
        <v>699</v>
      </c>
      <c r="E313" s="29">
        <v>11</v>
      </c>
      <c r="F313" s="29" t="s">
        <v>700</v>
      </c>
      <c r="G313" s="30" t="s">
        <v>701</v>
      </c>
    </row>
    <row r="314" spans="1:7" ht="16.5">
      <c r="A314" s="12">
        <v>313</v>
      </c>
      <c r="B314" s="29">
        <v>800</v>
      </c>
      <c r="C314" s="30" t="s">
        <v>698</v>
      </c>
      <c r="D314" s="30" t="s">
        <v>699</v>
      </c>
      <c r="E314" s="29">
        <v>11</v>
      </c>
      <c r="F314" s="29" t="s">
        <v>700</v>
      </c>
      <c r="G314" s="30" t="s">
        <v>701</v>
      </c>
    </row>
    <row r="315" spans="1:7" ht="16.5">
      <c r="A315" s="12">
        <v>314</v>
      </c>
      <c r="B315" s="29">
        <v>1200</v>
      </c>
      <c r="C315" s="30" t="s">
        <v>698</v>
      </c>
      <c r="D315" s="30" t="s">
        <v>699</v>
      </c>
      <c r="E315" s="29">
        <v>11</v>
      </c>
      <c r="F315" s="29" t="s">
        <v>700</v>
      </c>
      <c r="G315" s="30" t="s">
        <v>701</v>
      </c>
    </row>
    <row r="316" spans="1:7" ht="16.5">
      <c r="A316" s="12">
        <v>315</v>
      </c>
      <c r="B316" s="29">
        <v>1600</v>
      </c>
      <c r="C316" s="30" t="s">
        <v>698</v>
      </c>
      <c r="D316" s="30" t="s">
        <v>699</v>
      </c>
      <c r="E316" s="29">
        <v>11</v>
      </c>
      <c r="F316" s="29" t="s">
        <v>700</v>
      </c>
      <c r="G316" s="30" t="s">
        <v>701</v>
      </c>
    </row>
    <row r="317" spans="1:7" ht="16.5">
      <c r="A317" s="12">
        <v>316</v>
      </c>
      <c r="B317" s="29">
        <v>2000</v>
      </c>
      <c r="C317" s="30" t="s">
        <v>702</v>
      </c>
      <c r="D317" s="30" t="s">
        <v>703</v>
      </c>
      <c r="E317" s="29">
        <v>11</v>
      </c>
      <c r="F317" s="29" t="s">
        <v>704</v>
      </c>
      <c r="G317" s="30" t="s">
        <v>705</v>
      </c>
    </row>
    <row r="318" spans="1:7" ht="16.5">
      <c r="A318" s="12">
        <v>317</v>
      </c>
      <c r="B318" s="29">
        <v>2400</v>
      </c>
      <c r="C318" s="30" t="s">
        <v>698</v>
      </c>
      <c r="D318" s="30" t="s">
        <v>699</v>
      </c>
      <c r="E318" s="29">
        <v>11</v>
      </c>
      <c r="F318" s="29" t="s">
        <v>700</v>
      </c>
      <c r="G318" s="30" t="s">
        <v>701</v>
      </c>
    </row>
    <row r="319" spans="1:7" ht="16.5">
      <c r="A319" s="12">
        <v>318</v>
      </c>
      <c r="B319" s="29">
        <v>2800</v>
      </c>
      <c r="C319" s="30" t="s">
        <v>698</v>
      </c>
      <c r="D319" s="30" t="s">
        <v>699</v>
      </c>
      <c r="E319" s="29">
        <v>11</v>
      </c>
      <c r="F319" s="29" t="s">
        <v>700</v>
      </c>
      <c r="G319" s="30" t="s">
        <v>701</v>
      </c>
    </row>
    <row r="320" spans="1:7" ht="16.5">
      <c r="A320" s="12">
        <v>319</v>
      </c>
      <c r="B320" s="29">
        <v>3200</v>
      </c>
      <c r="C320" s="30" t="s">
        <v>698</v>
      </c>
      <c r="D320" s="30" t="s">
        <v>699</v>
      </c>
      <c r="E320" s="29">
        <v>11</v>
      </c>
      <c r="F320" s="29" t="s">
        <v>700</v>
      </c>
      <c r="G320" s="30" t="s">
        <v>701</v>
      </c>
    </row>
    <row r="321" spans="1:7" ht="16.5">
      <c r="A321" s="12">
        <v>320</v>
      </c>
      <c r="B321" s="29">
        <v>3600</v>
      </c>
      <c r="C321" s="30" t="s">
        <v>698</v>
      </c>
      <c r="D321" s="30" t="s">
        <v>699</v>
      </c>
      <c r="E321" s="29">
        <v>11</v>
      </c>
      <c r="F321" s="29" t="s">
        <v>700</v>
      </c>
      <c r="G321" s="30" t="s">
        <v>701</v>
      </c>
    </row>
    <row r="322" spans="1:7" ht="16.5">
      <c r="A322" s="12">
        <v>321</v>
      </c>
      <c r="B322" s="29">
        <v>4000</v>
      </c>
      <c r="C322" s="30" t="s">
        <v>706</v>
      </c>
      <c r="D322" s="30" t="s">
        <v>703</v>
      </c>
      <c r="E322" s="29">
        <v>11</v>
      </c>
      <c r="F322" s="29" t="s">
        <v>707</v>
      </c>
      <c r="G322" s="30" t="s">
        <v>705</v>
      </c>
    </row>
    <row r="323" spans="1:7" ht="16.5">
      <c r="A323" s="12">
        <v>322</v>
      </c>
      <c r="B323" s="29">
        <v>4400</v>
      </c>
      <c r="C323" s="30" t="s">
        <v>698</v>
      </c>
      <c r="D323" s="30" t="s">
        <v>699</v>
      </c>
      <c r="E323" s="29">
        <v>11</v>
      </c>
      <c r="F323" s="29" t="s">
        <v>700</v>
      </c>
      <c r="G323" s="30" t="s">
        <v>701</v>
      </c>
    </row>
    <row r="324" spans="1:7" ht="16.5">
      <c r="A324" s="12">
        <v>323</v>
      </c>
      <c r="B324" s="29">
        <v>4800</v>
      </c>
      <c r="C324" s="30" t="s">
        <v>698</v>
      </c>
      <c r="D324" s="30" t="s">
        <v>699</v>
      </c>
      <c r="E324" s="29">
        <v>11</v>
      </c>
      <c r="F324" s="29" t="s">
        <v>700</v>
      </c>
      <c r="G324" s="30" t="s">
        <v>701</v>
      </c>
    </row>
    <row r="325" spans="1:7" ht="16.5">
      <c r="A325" s="12">
        <v>324</v>
      </c>
      <c r="B325" s="29">
        <v>5200</v>
      </c>
      <c r="C325" s="30" t="s">
        <v>698</v>
      </c>
      <c r="D325" s="30" t="s">
        <v>699</v>
      </c>
      <c r="E325" s="29">
        <v>11</v>
      </c>
      <c r="F325" s="29" t="s">
        <v>700</v>
      </c>
      <c r="G325" s="30" t="s">
        <v>701</v>
      </c>
    </row>
    <row r="326" spans="1:7" ht="16.5">
      <c r="A326" s="12">
        <v>325</v>
      </c>
      <c r="B326" s="29">
        <v>5600</v>
      </c>
      <c r="C326" s="30" t="s">
        <v>698</v>
      </c>
      <c r="D326" s="30" t="s">
        <v>699</v>
      </c>
      <c r="E326" s="29">
        <v>11</v>
      </c>
      <c r="F326" s="29" t="s">
        <v>700</v>
      </c>
      <c r="G326" s="30" t="s">
        <v>701</v>
      </c>
    </row>
    <row r="327" spans="1:7" ht="16.5">
      <c r="A327" s="12">
        <v>326</v>
      </c>
      <c r="B327" s="29">
        <v>6000</v>
      </c>
      <c r="C327" s="30" t="s">
        <v>708</v>
      </c>
      <c r="D327" s="30" t="s">
        <v>703</v>
      </c>
      <c r="E327" s="29">
        <v>11</v>
      </c>
      <c r="F327" s="29" t="s">
        <v>709</v>
      </c>
      <c r="G327" s="30" t="s">
        <v>705</v>
      </c>
    </row>
    <row r="328" spans="1:7" ht="16.5">
      <c r="A328" s="12">
        <v>327</v>
      </c>
      <c r="B328" s="29">
        <v>6400</v>
      </c>
      <c r="C328" s="30" t="s">
        <v>698</v>
      </c>
      <c r="D328" s="30" t="s">
        <v>699</v>
      </c>
      <c r="E328" s="29">
        <v>11</v>
      </c>
      <c r="F328" s="29" t="s">
        <v>700</v>
      </c>
      <c r="G328" s="30" t="s">
        <v>701</v>
      </c>
    </row>
    <row r="329" spans="1:7" ht="16.5">
      <c r="A329" s="12">
        <v>328</v>
      </c>
      <c r="B329" s="29">
        <v>6800</v>
      </c>
      <c r="C329" s="30" t="s">
        <v>698</v>
      </c>
      <c r="D329" s="30" t="s">
        <v>699</v>
      </c>
      <c r="E329" s="29">
        <v>11</v>
      </c>
      <c r="F329" s="29" t="s">
        <v>700</v>
      </c>
      <c r="G329" s="30" t="s">
        <v>701</v>
      </c>
    </row>
    <row r="330" spans="1:7" ht="16.5">
      <c r="A330" s="12">
        <v>329</v>
      </c>
      <c r="B330" s="29">
        <v>7200</v>
      </c>
      <c r="C330" s="30" t="s">
        <v>698</v>
      </c>
      <c r="D330" s="30" t="s">
        <v>699</v>
      </c>
      <c r="E330" s="29">
        <v>11</v>
      </c>
      <c r="F330" s="29" t="s">
        <v>700</v>
      </c>
      <c r="G330" s="30" t="s">
        <v>701</v>
      </c>
    </row>
    <row r="331" spans="1:7" ht="16.5">
      <c r="A331" s="12">
        <v>330</v>
      </c>
      <c r="B331" s="29">
        <v>7600</v>
      </c>
      <c r="C331" s="30" t="s">
        <v>698</v>
      </c>
      <c r="D331" s="30" t="s">
        <v>699</v>
      </c>
      <c r="E331" s="29">
        <v>11</v>
      </c>
      <c r="F331" s="29" t="s">
        <v>700</v>
      </c>
      <c r="G331" s="30" t="s">
        <v>701</v>
      </c>
    </row>
    <row r="332" spans="1:7" ht="16.5">
      <c r="A332" s="12">
        <v>331</v>
      </c>
      <c r="B332" s="29">
        <v>8000</v>
      </c>
      <c r="C332" s="30" t="s">
        <v>708</v>
      </c>
      <c r="D332" s="30" t="s">
        <v>703</v>
      </c>
      <c r="E332" s="29">
        <v>11</v>
      </c>
      <c r="F332" s="29" t="s">
        <v>709</v>
      </c>
      <c r="G332" s="30" t="s">
        <v>705</v>
      </c>
    </row>
    <row r="333" spans="1:7" ht="16.5">
      <c r="A333" s="12">
        <v>332</v>
      </c>
      <c r="B333" s="29">
        <v>8400</v>
      </c>
      <c r="C333" s="30" t="s">
        <v>698</v>
      </c>
      <c r="D333" s="30" t="s">
        <v>699</v>
      </c>
      <c r="E333" s="29">
        <v>11</v>
      </c>
      <c r="F333" s="29" t="s">
        <v>700</v>
      </c>
      <c r="G333" s="30" t="s">
        <v>701</v>
      </c>
    </row>
    <row r="334" spans="1:7" ht="16.5">
      <c r="A334" s="12">
        <v>333</v>
      </c>
      <c r="B334" s="29">
        <v>8800</v>
      </c>
      <c r="C334" s="30" t="s">
        <v>698</v>
      </c>
      <c r="D334" s="30" t="s">
        <v>699</v>
      </c>
      <c r="E334" s="29">
        <v>11</v>
      </c>
      <c r="F334" s="29" t="s">
        <v>700</v>
      </c>
      <c r="G334" s="30" t="s">
        <v>701</v>
      </c>
    </row>
    <row r="335" spans="1:7" ht="16.5">
      <c r="A335" s="12">
        <v>334</v>
      </c>
      <c r="B335" s="29">
        <v>9200</v>
      </c>
      <c r="C335" s="30" t="s">
        <v>698</v>
      </c>
      <c r="D335" s="30" t="s">
        <v>699</v>
      </c>
      <c r="E335" s="29">
        <v>11</v>
      </c>
      <c r="F335" s="29" t="s">
        <v>700</v>
      </c>
      <c r="G335" s="30" t="s">
        <v>701</v>
      </c>
    </row>
    <row r="336" spans="1:7" ht="16.5">
      <c r="A336" s="12">
        <v>335</v>
      </c>
      <c r="B336" s="29">
        <v>9600</v>
      </c>
      <c r="C336" s="30" t="s">
        <v>698</v>
      </c>
      <c r="D336" s="30" t="s">
        <v>699</v>
      </c>
      <c r="E336" s="29">
        <v>11</v>
      </c>
      <c r="F336" s="29" t="s">
        <v>700</v>
      </c>
      <c r="G336" s="30" t="s">
        <v>701</v>
      </c>
    </row>
    <row r="337" spans="1:7" ht="16.5">
      <c r="A337" s="12">
        <v>336</v>
      </c>
      <c r="B337" s="29">
        <v>10000</v>
      </c>
      <c r="C337" s="30" t="s">
        <v>708</v>
      </c>
      <c r="D337" s="30" t="s">
        <v>703</v>
      </c>
      <c r="E337" s="29">
        <v>11</v>
      </c>
      <c r="F337" s="29" t="s">
        <v>709</v>
      </c>
      <c r="G337" s="30" t="s">
        <v>705</v>
      </c>
    </row>
    <row r="338" spans="1:7" ht="16.5">
      <c r="A338" s="12">
        <v>337</v>
      </c>
      <c r="B338" s="29">
        <v>10400</v>
      </c>
      <c r="C338" s="30" t="s">
        <v>698</v>
      </c>
      <c r="D338" s="30" t="s">
        <v>699</v>
      </c>
      <c r="E338" s="29">
        <v>11</v>
      </c>
      <c r="F338" s="29" t="s">
        <v>700</v>
      </c>
      <c r="G338" s="30" t="s">
        <v>701</v>
      </c>
    </row>
    <row r="339" spans="1:7" ht="16.5">
      <c r="A339" s="12">
        <v>338</v>
      </c>
      <c r="B339" s="29">
        <v>10800</v>
      </c>
      <c r="C339" s="30" t="s">
        <v>698</v>
      </c>
      <c r="D339" s="30" t="s">
        <v>699</v>
      </c>
      <c r="E339" s="29">
        <v>11</v>
      </c>
      <c r="F339" s="29" t="s">
        <v>700</v>
      </c>
      <c r="G339" s="30" t="s">
        <v>701</v>
      </c>
    </row>
    <row r="340" spans="1:7" ht="16.5">
      <c r="A340" s="12">
        <v>339</v>
      </c>
      <c r="B340" s="29">
        <v>11200</v>
      </c>
      <c r="C340" s="30" t="s">
        <v>698</v>
      </c>
      <c r="D340" s="30" t="s">
        <v>699</v>
      </c>
      <c r="E340" s="29">
        <v>11</v>
      </c>
      <c r="F340" s="29" t="s">
        <v>700</v>
      </c>
      <c r="G340" s="30" t="s">
        <v>701</v>
      </c>
    </row>
    <row r="341" spans="1:7" ht="16.5">
      <c r="A341" s="12">
        <v>340</v>
      </c>
      <c r="B341" s="29">
        <v>11600</v>
      </c>
      <c r="C341" s="30" t="s">
        <v>698</v>
      </c>
      <c r="D341" s="30" t="s">
        <v>699</v>
      </c>
      <c r="E341" s="29">
        <v>11</v>
      </c>
      <c r="F341" s="29" t="s">
        <v>700</v>
      </c>
      <c r="G341" s="30" t="s">
        <v>701</v>
      </c>
    </row>
    <row r="342" spans="1:7" ht="16.5">
      <c r="A342" s="12">
        <v>341</v>
      </c>
      <c r="B342" s="29">
        <v>12000</v>
      </c>
      <c r="C342" s="30" t="s">
        <v>710</v>
      </c>
      <c r="D342" s="30" t="s">
        <v>711</v>
      </c>
      <c r="E342" s="29">
        <v>11</v>
      </c>
      <c r="F342" s="29" t="s">
        <v>712</v>
      </c>
      <c r="G342" s="30" t="s">
        <v>713</v>
      </c>
    </row>
    <row r="343" spans="1:7" ht="16.5">
      <c r="A343" s="12">
        <v>342</v>
      </c>
      <c r="B343" s="26">
        <v>0</v>
      </c>
      <c r="C343" s="27" t="s">
        <v>676</v>
      </c>
      <c r="D343" s="27" t="s">
        <v>677</v>
      </c>
      <c r="E343" s="26">
        <v>12</v>
      </c>
      <c r="F343" s="26" t="s">
        <v>678</v>
      </c>
      <c r="G343" s="28" t="s">
        <v>679</v>
      </c>
    </row>
    <row r="344" spans="1:7" ht="16.5">
      <c r="A344" s="12">
        <v>343</v>
      </c>
      <c r="B344" s="26">
        <v>400</v>
      </c>
      <c r="C344" s="27" t="s">
        <v>676</v>
      </c>
      <c r="D344" s="27" t="s">
        <v>680</v>
      </c>
      <c r="E344" s="26">
        <v>12</v>
      </c>
      <c r="F344" s="26" t="s">
        <v>678</v>
      </c>
      <c r="G344" s="28" t="s">
        <v>681</v>
      </c>
    </row>
    <row r="345" spans="1:7" ht="16.5">
      <c r="A345" s="12">
        <v>344</v>
      </c>
      <c r="B345" s="26">
        <v>800</v>
      </c>
      <c r="C345" s="27" t="s">
        <v>676</v>
      </c>
      <c r="D345" s="27" t="s">
        <v>680</v>
      </c>
      <c r="E345" s="26">
        <v>12</v>
      </c>
      <c r="F345" s="26" t="s">
        <v>678</v>
      </c>
      <c r="G345" s="28" t="s">
        <v>681</v>
      </c>
    </row>
    <row r="346" spans="1:7" ht="16.5">
      <c r="A346" s="12">
        <v>345</v>
      </c>
      <c r="B346" s="26">
        <v>1200</v>
      </c>
      <c r="C346" s="27" t="s">
        <v>676</v>
      </c>
      <c r="D346" s="27" t="s">
        <v>680</v>
      </c>
      <c r="E346" s="26">
        <v>12</v>
      </c>
      <c r="F346" s="26" t="s">
        <v>678</v>
      </c>
      <c r="G346" s="28" t="s">
        <v>681</v>
      </c>
    </row>
    <row r="347" spans="1:7" ht="16.5">
      <c r="A347" s="12">
        <v>346</v>
      </c>
      <c r="B347" s="26">
        <v>1600</v>
      </c>
      <c r="C347" s="27" t="s">
        <v>676</v>
      </c>
      <c r="D347" s="27" t="s">
        <v>680</v>
      </c>
      <c r="E347" s="26">
        <v>12</v>
      </c>
      <c r="F347" s="26" t="s">
        <v>678</v>
      </c>
      <c r="G347" s="28" t="s">
        <v>681</v>
      </c>
    </row>
    <row r="348" spans="1:7" ht="16.5">
      <c r="A348" s="12">
        <v>347</v>
      </c>
      <c r="B348" s="26">
        <v>2000</v>
      </c>
      <c r="C348" s="27" t="s">
        <v>682</v>
      </c>
      <c r="D348" s="27" t="s">
        <v>683</v>
      </c>
      <c r="E348" s="26">
        <v>12</v>
      </c>
      <c r="F348" s="26" t="s">
        <v>684</v>
      </c>
      <c r="G348" s="28" t="s">
        <v>685</v>
      </c>
    </row>
    <row r="349" spans="1:7" ht="16.5">
      <c r="A349" s="12">
        <v>348</v>
      </c>
      <c r="B349" s="26">
        <v>2400</v>
      </c>
      <c r="C349" s="27" t="s">
        <v>676</v>
      </c>
      <c r="D349" s="27" t="s">
        <v>680</v>
      </c>
      <c r="E349" s="26">
        <v>12</v>
      </c>
      <c r="F349" s="26" t="s">
        <v>678</v>
      </c>
      <c r="G349" s="28" t="s">
        <v>681</v>
      </c>
    </row>
    <row r="350" spans="1:7" ht="16.5">
      <c r="A350" s="12">
        <v>349</v>
      </c>
      <c r="B350" s="26">
        <v>2800</v>
      </c>
      <c r="C350" s="27" t="s">
        <v>676</v>
      </c>
      <c r="D350" s="27" t="s">
        <v>680</v>
      </c>
      <c r="E350" s="26">
        <v>12</v>
      </c>
      <c r="F350" s="26" t="s">
        <v>678</v>
      </c>
      <c r="G350" s="28" t="s">
        <v>681</v>
      </c>
    </row>
    <row r="351" spans="1:7" ht="16.5">
      <c r="A351" s="12">
        <v>350</v>
      </c>
      <c r="B351" s="26">
        <v>3200</v>
      </c>
      <c r="C351" s="27" t="s">
        <v>676</v>
      </c>
      <c r="D351" s="27" t="s">
        <v>680</v>
      </c>
      <c r="E351" s="26">
        <v>12</v>
      </c>
      <c r="F351" s="26" t="s">
        <v>678</v>
      </c>
      <c r="G351" s="28" t="s">
        <v>681</v>
      </c>
    </row>
    <row r="352" spans="1:7" ht="16.5">
      <c r="A352" s="12">
        <v>351</v>
      </c>
      <c r="B352" s="26">
        <v>3600</v>
      </c>
      <c r="C352" s="27" t="s">
        <v>676</v>
      </c>
      <c r="D352" s="27" t="s">
        <v>680</v>
      </c>
      <c r="E352" s="26">
        <v>12</v>
      </c>
      <c r="F352" s="26" t="s">
        <v>678</v>
      </c>
      <c r="G352" s="28" t="s">
        <v>681</v>
      </c>
    </row>
    <row r="353" spans="1:7" ht="16.5">
      <c r="A353" s="12">
        <v>352</v>
      </c>
      <c r="B353" s="26">
        <v>4000</v>
      </c>
      <c r="C353" s="27" t="s">
        <v>682</v>
      </c>
      <c r="D353" s="27" t="s">
        <v>683</v>
      </c>
      <c r="E353" s="26">
        <v>12</v>
      </c>
      <c r="F353" s="26" t="s">
        <v>686</v>
      </c>
      <c r="G353" s="28" t="s">
        <v>685</v>
      </c>
    </row>
    <row r="354" spans="1:7" ht="16.5">
      <c r="A354" s="12">
        <v>353</v>
      </c>
      <c r="B354" s="26">
        <v>4400</v>
      </c>
      <c r="C354" s="27" t="s">
        <v>676</v>
      </c>
      <c r="D354" s="27" t="s">
        <v>680</v>
      </c>
      <c r="E354" s="26">
        <v>12</v>
      </c>
      <c r="F354" s="26" t="s">
        <v>678</v>
      </c>
      <c r="G354" s="28" t="s">
        <v>681</v>
      </c>
    </row>
    <row r="355" spans="1:7" ht="16.5">
      <c r="A355" s="12">
        <v>354</v>
      </c>
      <c r="B355" s="26">
        <v>4800</v>
      </c>
      <c r="C355" s="27" t="s">
        <v>676</v>
      </c>
      <c r="D355" s="27" t="s">
        <v>680</v>
      </c>
      <c r="E355" s="26">
        <v>12</v>
      </c>
      <c r="F355" s="26" t="s">
        <v>678</v>
      </c>
      <c r="G355" s="28" t="s">
        <v>681</v>
      </c>
    </row>
    <row r="356" spans="1:7" ht="16.5">
      <c r="A356" s="12">
        <v>355</v>
      </c>
      <c r="B356" s="26">
        <v>5200</v>
      </c>
      <c r="C356" s="27" t="s">
        <v>676</v>
      </c>
      <c r="D356" s="27" t="s">
        <v>680</v>
      </c>
      <c r="E356" s="26">
        <v>12</v>
      </c>
      <c r="F356" s="26" t="s">
        <v>678</v>
      </c>
      <c r="G356" s="28" t="s">
        <v>681</v>
      </c>
    </row>
    <row r="357" spans="1:7" ht="16.5">
      <c r="A357" s="12">
        <v>356</v>
      </c>
      <c r="B357" s="26">
        <v>5600</v>
      </c>
      <c r="C357" s="27" t="s">
        <v>676</v>
      </c>
      <c r="D357" s="27" t="s">
        <v>680</v>
      </c>
      <c r="E357" s="26">
        <v>12</v>
      </c>
      <c r="F357" s="26" t="s">
        <v>678</v>
      </c>
      <c r="G357" s="28" t="s">
        <v>681</v>
      </c>
    </row>
    <row r="358" spans="1:7" ht="16.5">
      <c r="A358" s="12">
        <v>357</v>
      </c>
      <c r="B358" s="26">
        <v>6000</v>
      </c>
      <c r="C358" s="27" t="s">
        <v>682</v>
      </c>
      <c r="D358" s="27" t="s">
        <v>683</v>
      </c>
      <c r="E358" s="26">
        <v>12</v>
      </c>
      <c r="F358" s="26" t="s">
        <v>687</v>
      </c>
      <c r="G358" s="28" t="s">
        <v>685</v>
      </c>
    </row>
    <row r="359" spans="1:7" ht="16.5">
      <c r="A359" s="12">
        <v>358</v>
      </c>
      <c r="B359" s="26">
        <v>6400</v>
      </c>
      <c r="C359" s="27" t="s">
        <v>676</v>
      </c>
      <c r="D359" s="27" t="s">
        <v>680</v>
      </c>
      <c r="E359" s="26">
        <v>12</v>
      </c>
      <c r="F359" s="26" t="s">
        <v>678</v>
      </c>
      <c r="G359" s="28" t="s">
        <v>681</v>
      </c>
    </row>
    <row r="360" spans="1:7" ht="16.5">
      <c r="A360" s="12">
        <v>359</v>
      </c>
      <c r="B360" s="26">
        <v>6800</v>
      </c>
      <c r="C360" s="27" t="s">
        <v>676</v>
      </c>
      <c r="D360" s="27" t="s">
        <v>680</v>
      </c>
      <c r="E360" s="26">
        <v>12</v>
      </c>
      <c r="F360" s="26" t="s">
        <v>678</v>
      </c>
      <c r="G360" s="28" t="s">
        <v>681</v>
      </c>
    </row>
    <row r="361" spans="1:7" ht="16.5">
      <c r="A361" s="12">
        <v>360</v>
      </c>
      <c r="B361" s="26">
        <v>7200</v>
      </c>
      <c r="C361" s="27" t="s">
        <v>676</v>
      </c>
      <c r="D361" s="27" t="s">
        <v>680</v>
      </c>
      <c r="E361" s="26">
        <v>12</v>
      </c>
      <c r="F361" s="26" t="s">
        <v>678</v>
      </c>
      <c r="G361" s="28" t="s">
        <v>681</v>
      </c>
    </row>
    <row r="362" spans="1:7" ht="16.5">
      <c r="A362" s="12">
        <v>361</v>
      </c>
      <c r="B362" s="26">
        <v>7600</v>
      </c>
      <c r="C362" s="27" t="s">
        <v>676</v>
      </c>
      <c r="D362" s="27" t="s">
        <v>680</v>
      </c>
      <c r="E362" s="26">
        <v>12</v>
      </c>
      <c r="F362" s="26" t="s">
        <v>678</v>
      </c>
      <c r="G362" s="28" t="s">
        <v>681</v>
      </c>
    </row>
    <row r="363" spans="1:7" ht="16.5">
      <c r="A363" s="12">
        <v>362</v>
      </c>
      <c r="B363" s="26">
        <v>8000</v>
      </c>
      <c r="C363" s="27" t="s">
        <v>682</v>
      </c>
      <c r="D363" s="27" t="s">
        <v>683</v>
      </c>
      <c r="E363" s="26">
        <v>12</v>
      </c>
      <c r="F363" s="26" t="s">
        <v>688</v>
      </c>
      <c r="G363" s="28" t="s">
        <v>685</v>
      </c>
    </row>
    <row r="364" spans="1:7" ht="16.5">
      <c r="A364" s="12">
        <v>363</v>
      </c>
      <c r="B364" s="26">
        <v>8400</v>
      </c>
      <c r="C364" s="27" t="s">
        <v>676</v>
      </c>
      <c r="D364" s="27" t="s">
        <v>680</v>
      </c>
      <c r="E364" s="26">
        <v>12</v>
      </c>
      <c r="F364" s="26" t="s">
        <v>678</v>
      </c>
      <c r="G364" s="28" t="s">
        <v>681</v>
      </c>
    </row>
    <row r="365" spans="1:7" ht="16.5">
      <c r="A365" s="12">
        <v>364</v>
      </c>
      <c r="B365" s="26">
        <v>8800</v>
      </c>
      <c r="C365" s="27" t="s">
        <v>676</v>
      </c>
      <c r="D365" s="27" t="s">
        <v>680</v>
      </c>
      <c r="E365" s="26">
        <v>12</v>
      </c>
      <c r="F365" s="26" t="s">
        <v>678</v>
      </c>
      <c r="G365" s="28" t="s">
        <v>681</v>
      </c>
    </row>
    <row r="366" spans="1:7" ht="16.5">
      <c r="A366" s="12">
        <v>365</v>
      </c>
      <c r="B366" s="26">
        <v>9200</v>
      </c>
      <c r="C366" s="27" t="s">
        <v>676</v>
      </c>
      <c r="D366" s="27" t="s">
        <v>680</v>
      </c>
      <c r="E366" s="26">
        <v>12</v>
      </c>
      <c r="F366" s="26" t="s">
        <v>678</v>
      </c>
      <c r="G366" s="28" t="s">
        <v>681</v>
      </c>
    </row>
    <row r="367" spans="1:7" ht="16.5">
      <c r="A367" s="12">
        <v>366</v>
      </c>
      <c r="B367" s="26">
        <v>9600</v>
      </c>
      <c r="C367" s="27" t="s">
        <v>676</v>
      </c>
      <c r="D367" s="27" t="s">
        <v>680</v>
      </c>
      <c r="E367" s="26">
        <v>12</v>
      </c>
      <c r="F367" s="26" t="s">
        <v>678</v>
      </c>
      <c r="G367" s="28" t="s">
        <v>681</v>
      </c>
    </row>
    <row r="368" spans="1:7" ht="16.5">
      <c r="A368" s="12">
        <v>367</v>
      </c>
      <c r="B368" s="26">
        <v>10000</v>
      </c>
      <c r="C368" s="27" t="s">
        <v>682</v>
      </c>
      <c r="D368" s="27" t="s">
        <v>683</v>
      </c>
      <c r="E368" s="26">
        <v>12</v>
      </c>
      <c r="F368" s="26" t="s">
        <v>689</v>
      </c>
      <c r="G368" s="28" t="s">
        <v>685</v>
      </c>
    </row>
    <row r="369" spans="1:7" ht="16.5">
      <c r="A369" s="12">
        <v>368</v>
      </c>
      <c r="B369" s="26">
        <v>10400</v>
      </c>
      <c r="C369" s="27" t="s">
        <v>676</v>
      </c>
      <c r="D369" s="27" t="s">
        <v>680</v>
      </c>
      <c r="E369" s="26">
        <v>12</v>
      </c>
      <c r="F369" s="26" t="s">
        <v>678</v>
      </c>
      <c r="G369" s="28" t="s">
        <v>681</v>
      </c>
    </row>
    <row r="370" spans="1:7" ht="16.5">
      <c r="A370" s="12">
        <v>369</v>
      </c>
      <c r="B370" s="26">
        <v>10800</v>
      </c>
      <c r="C370" s="27" t="s">
        <v>676</v>
      </c>
      <c r="D370" s="27" t="s">
        <v>680</v>
      </c>
      <c r="E370" s="26">
        <v>12</v>
      </c>
      <c r="F370" s="26" t="s">
        <v>678</v>
      </c>
      <c r="G370" s="28" t="s">
        <v>681</v>
      </c>
    </row>
    <row r="371" spans="1:7" ht="16.5">
      <c r="A371" s="12">
        <v>370</v>
      </c>
      <c r="B371" s="26">
        <v>11200</v>
      </c>
      <c r="C371" s="27" t="s">
        <v>676</v>
      </c>
      <c r="D371" s="27" t="s">
        <v>680</v>
      </c>
      <c r="E371" s="26">
        <v>12</v>
      </c>
      <c r="F371" s="26" t="s">
        <v>678</v>
      </c>
      <c r="G371" s="28" t="s">
        <v>681</v>
      </c>
    </row>
    <row r="372" spans="1:7" ht="16.5">
      <c r="A372" s="12">
        <v>371</v>
      </c>
      <c r="B372" s="26">
        <v>11600</v>
      </c>
      <c r="C372" s="27" t="s">
        <v>676</v>
      </c>
      <c r="D372" s="27" t="s">
        <v>680</v>
      </c>
      <c r="E372" s="26">
        <v>12</v>
      </c>
      <c r="F372" s="26" t="s">
        <v>678</v>
      </c>
      <c r="G372" s="28" t="s">
        <v>681</v>
      </c>
    </row>
    <row r="373" spans="1:7" ht="16.5">
      <c r="A373" s="12">
        <v>372</v>
      </c>
      <c r="B373" s="26">
        <v>12000</v>
      </c>
      <c r="C373" s="27" t="s">
        <v>690</v>
      </c>
      <c r="D373" s="27" t="s">
        <v>691</v>
      </c>
      <c r="E373" s="26">
        <v>12</v>
      </c>
      <c r="F373" s="26" t="s">
        <v>692</v>
      </c>
      <c r="G373" s="28" t="s">
        <v>693</v>
      </c>
    </row>
    <row r="374" spans="1:7" ht="16.5">
      <c r="A374" s="12">
        <v>373</v>
      </c>
      <c r="B374" s="31">
        <v>0</v>
      </c>
      <c r="C374" s="24" t="s">
        <v>676</v>
      </c>
      <c r="D374" s="24" t="s">
        <v>677</v>
      </c>
      <c r="E374" s="31">
        <v>13</v>
      </c>
      <c r="F374" s="31" t="s">
        <v>678</v>
      </c>
      <c r="G374" s="32" t="s">
        <v>679</v>
      </c>
    </row>
    <row r="375" spans="1:7" ht="16.5">
      <c r="A375" s="12">
        <v>374</v>
      </c>
      <c r="B375" s="31">
        <v>400</v>
      </c>
      <c r="C375" s="24" t="s">
        <v>676</v>
      </c>
      <c r="D375" s="24" t="s">
        <v>680</v>
      </c>
      <c r="E375" s="31">
        <v>13</v>
      </c>
      <c r="F375" s="31" t="s">
        <v>678</v>
      </c>
      <c r="G375" s="32" t="s">
        <v>681</v>
      </c>
    </row>
    <row r="376" spans="1:7" ht="16.5">
      <c r="A376" s="12">
        <v>375</v>
      </c>
      <c r="B376" s="31">
        <v>800</v>
      </c>
      <c r="C376" s="24" t="s">
        <v>676</v>
      </c>
      <c r="D376" s="24" t="s">
        <v>680</v>
      </c>
      <c r="E376" s="31">
        <v>13</v>
      </c>
      <c r="F376" s="31" t="s">
        <v>678</v>
      </c>
      <c r="G376" s="32" t="s">
        <v>681</v>
      </c>
    </row>
    <row r="377" spans="1:7" ht="16.5">
      <c r="A377" s="12">
        <v>376</v>
      </c>
      <c r="B377" s="31">
        <v>1200</v>
      </c>
      <c r="C377" s="24" t="s">
        <v>676</v>
      </c>
      <c r="D377" s="24" t="s">
        <v>680</v>
      </c>
      <c r="E377" s="31">
        <v>13</v>
      </c>
      <c r="F377" s="31" t="s">
        <v>678</v>
      </c>
      <c r="G377" s="32" t="s">
        <v>681</v>
      </c>
    </row>
    <row r="378" spans="1:7" ht="16.5">
      <c r="A378" s="12">
        <v>377</v>
      </c>
      <c r="B378" s="31">
        <v>1600</v>
      </c>
      <c r="C378" s="24" t="s">
        <v>676</v>
      </c>
      <c r="D378" s="24" t="s">
        <v>680</v>
      </c>
      <c r="E378" s="31">
        <v>13</v>
      </c>
      <c r="F378" s="31" t="s">
        <v>678</v>
      </c>
      <c r="G378" s="32" t="s">
        <v>681</v>
      </c>
    </row>
    <row r="379" spans="1:7" ht="16.5">
      <c r="A379" s="12">
        <v>378</v>
      </c>
      <c r="B379" s="31">
        <v>2000</v>
      </c>
      <c r="C379" s="24" t="s">
        <v>682</v>
      </c>
      <c r="D379" s="24" t="s">
        <v>683</v>
      </c>
      <c r="E379" s="31">
        <v>13</v>
      </c>
      <c r="F379" s="31" t="s">
        <v>684</v>
      </c>
      <c r="G379" s="32" t="s">
        <v>685</v>
      </c>
    </row>
    <row r="380" spans="1:7" ht="16.5">
      <c r="A380" s="12">
        <v>379</v>
      </c>
      <c r="B380" s="31">
        <v>2400</v>
      </c>
      <c r="C380" s="24" t="s">
        <v>676</v>
      </c>
      <c r="D380" s="24" t="s">
        <v>680</v>
      </c>
      <c r="E380" s="31">
        <v>13</v>
      </c>
      <c r="F380" s="31" t="s">
        <v>678</v>
      </c>
      <c r="G380" s="32" t="s">
        <v>681</v>
      </c>
    </row>
    <row r="381" spans="1:7" ht="16.5">
      <c r="A381" s="12">
        <v>380</v>
      </c>
      <c r="B381" s="31">
        <v>2800</v>
      </c>
      <c r="C381" s="24" t="s">
        <v>676</v>
      </c>
      <c r="D381" s="24" t="s">
        <v>680</v>
      </c>
      <c r="E381" s="31">
        <v>13</v>
      </c>
      <c r="F381" s="31" t="s">
        <v>678</v>
      </c>
      <c r="G381" s="32" t="s">
        <v>681</v>
      </c>
    </row>
    <row r="382" spans="1:7" ht="16.5">
      <c r="A382" s="12">
        <v>381</v>
      </c>
      <c r="B382" s="31">
        <v>3200</v>
      </c>
      <c r="C382" s="24" t="s">
        <v>676</v>
      </c>
      <c r="D382" s="24" t="s">
        <v>680</v>
      </c>
      <c r="E382" s="31">
        <v>13</v>
      </c>
      <c r="F382" s="31" t="s">
        <v>678</v>
      </c>
      <c r="G382" s="32" t="s">
        <v>681</v>
      </c>
    </row>
    <row r="383" spans="1:7" ht="16.5">
      <c r="A383" s="12">
        <v>382</v>
      </c>
      <c r="B383" s="31">
        <v>3600</v>
      </c>
      <c r="C383" s="24" t="s">
        <v>676</v>
      </c>
      <c r="D383" s="24" t="s">
        <v>680</v>
      </c>
      <c r="E383" s="31">
        <v>13</v>
      </c>
      <c r="F383" s="31" t="s">
        <v>678</v>
      </c>
      <c r="G383" s="32" t="s">
        <v>681</v>
      </c>
    </row>
    <row r="384" spans="1:7" ht="16.5">
      <c r="A384" s="12">
        <v>383</v>
      </c>
      <c r="B384" s="31">
        <v>4000</v>
      </c>
      <c r="C384" s="24" t="s">
        <v>682</v>
      </c>
      <c r="D384" s="24" t="s">
        <v>683</v>
      </c>
      <c r="E384" s="31">
        <v>13</v>
      </c>
      <c r="F384" s="31" t="s">
        <v>686</v>
      </c>
      <c r="G384" s="32" t="s">
        <v>685</v>
      </c>
    </row>
    <row r="385" spans="1:7" ht="16.5">
      <c r="A385" s="12">
        <v>384</v>
      </c>
      <c r="B385" s="31">
        <v>4400</v>
      </c>
      <c r="C385" s="24" t="s">
        <v>676</v>
      </c>
      <c r="D385" s="24" t="s">
        <v>680</v>
      </c>
      <c r="E385" s="31">
        <v>13</v>
      </c>
      <c r="F385" s="31" t="s">
        <v>678</v>
      </c>
      <c r="G385" s="32" t="s">
        <v>681</v>
      </c>
    </row>
    <row r="386" spans="1:7" ht="16.5">
      <c r="A386" s="12">
        <v>385</v>
      </c>
      <c r="B386" s="31">
        <v>4800</v>
      </c>
      <c r="C386" s="24" t="s">
        <v>676</v>
      </c>
      <c r="D386" s="24" t="s">
        <v>680</v>
      </c>
      <c r="E386" s="31">
        <v>13</v>
      </c>
      <c r="F386" s="31" t="s">
        <v>678</v>
      </c>
      <c r="G386" s="32" t="s">
        <v>681</v>
      </c>
    </row>
    <row r="387" spans="1:7" ht="16.5">
      <c r="A387" s="12">
        <v>386</v>
      </c>
      <c r="B387" s="31">
        <v>5200</v>
      </c>
      <c r="C387" s="24" t="s">
        <v>676</v>
      </c>
      <c r="D387" s="24" t="s">
        <v>680</v>
      </c>
      <c r="E387" s="31">
        <v>13</v>
      </c>
      <c r="F387" s="31" t="s">
        <v>678</v>
      </c>
      <c r="G387" s="32" t="s">
        <v>681</v>
      </c>
    </row>
    <row r="388" spans="1:7" ht="16.5">
      <c r="A388" s="12">
        <v>387</v>
      </c>
      <c r="B388" s="31">
        <v>5600</v>
      </c>
      <c r="C388" s="24" t="s">
        <v>676</v>
      </c>
      <c r="D388" s="24" t="s">
        <v>680</v>
      </c>
      <c r="E388" s="31">
        <v>13</v>
      </c>
      <c r="F388" s="31" t="s">
        <v>678</v>
      </c>
      <c r="G388" s="32" t="s">
        <v>681</v>
      </c>
    </row>
    <row r="389" spans="1:7" ht="16.5">
      <c r="A389" s="12">
        <v>388</v>
      </c>
      <c r="B389" s="31">
        <v>6000</v>
      </c>
      <c r="C389" s="24" t="s">
        <v>682</v>
      </c>
      <c r="D389" s="24" t="s">
        <v>683</v>
      </c>
      <c r="E389" s="31">
        <v>13</v>
      </c>
      <c r="F389" s="31" t="s">
        <v>687</v>
      </c>
      <c r="G389" s="32" t="s">
        <v>685</v>
      </c>
    </row>
    <row r="390" spans="1:7" ht="16.5">
      <c r="A390" s="12">
        <v>389</v>
      </c>
      <c r="B390" s="31">
        <v>6400</v>
      </c>
      <c r="C390" s="24" t="s">
        <v>676</v>
      </c>
      <c r="D390" s="24" t="s">
        <v>680</v>
      </c>
      <c r="E390" s="31">
        <v>13</v>
      </c>
      <c r="F390" s="31" t="s">
        <v>678</v>
      </c>
      <c r="G390" s="32" t="s">
        <v>681</v>
      </c>
    </row>
    <row r="391" spans="1:7" ht="16.5">
      <c r="A391" s="12">
        <v>390</v>
      </c>
      <c r="B391" s="31">
        <v>6800</v>
      </c>
      <c r="C391" s="24" t="s">
        <v>676</v>
      </c>
      <c r="D391" s="24" t="s">
        <v>680</v>
      </c>
      <c r="E391" s="31">
        <v>13</v>
      </c>
      <c r="F391" s="31" t="s">
        <v>678</v>
      </c>
      <c r="G391" s="32" t="s">
        <v>681</v>
      </c>
    </row>
    <row r="392" spans="1:7" ht="16.5">
      <c r="A392" s="12">
        <v>391</v>
      </c>
      <c r="B392" s="31">
        <v>7200</v>
      </c>
      <c r="C392" s="24" t="s">
        <v>676</v>
      </c>
      <c r="D392" s="24" t="s">
        <v>680</v>
      </c>
      <c r="E392" s="31">
        <v>13</v>
      </c>
      <c r="F392" s="31" t="s">
        <v>678</v>
      </c>
      <c r="G392" s="32" t="s">
        <v>681</v>
      </c>
    </row>
    <row r="393" spans="1:7" ht="16.5">
      <c r="A393" s="12">
        <v>392</v>
      </c>
      <c r="B393" s="31">
        <v>7600</v>
      </c>
      <c r="C393" s="24" t="s">
        <v>676</v>
      </c>
      <c r="D393" s="24" t="s">
        <v>680</v>
      </c>
      <c r="E393" s="31">
        <v>13</v>
      </c>
      <c r="F393" s="31" t="s">
        <v>678</v>
      </c>
      <c r="G393" s="32" t="s">
        <v>681</v>
      </c>
    </row>
    <row r="394" spans="1:7" ht="16.5">
      <c r="A394" s="12">
        <v>393</v>
      </c>
      <c r="B394" s="31">
        <v>8000</v>
      </c>
      <c r="C394" s="24" t="s">
        <v>682</v>
      </c>
      <c r="D394" s="24" t="s">
        <v>683</v>
      </c>
      <c r="E394" s="31">
        <v>13</v>
      </c>
      <c r="F394" s="31" t="s">
        <v>688</v>
      </c>
      <c r="G394" s="32" t="s">
        <v>685</v>
      </c>
    </row>
    <row r="395" spans="1:7" ht="16.5">
      <c r="A395" s="12">
        <v>394</v>
      </c>
      <c r="B395" s="31">
        <v>8400</v>
      </c>
      <c r="C395" s="24" t="s">
        <v>676</v>
      </c>
      <c r="D395" s="24" t="s">
        <v>680</v>
      </c>
      <c r="E395" s="31">
        <v>13</v>
      </c>
      <c r="F395" s="31" t="s">
        <v>678</v>
      </c>
      <c r="G395" s="32" t="s">
        <v>681</v>
      </c>
    </row>
    <row r="396" spans="1:7" ht="16.5">
      <c r="A396" s="12">
        <v>395</v>
      </c>
      <c r="B396" s="31">
        <v>8800</v>
      </c>
      <c r="C396" s="24" t="s">
        <v>676</v>
      </c>
      <c r="D396" s="24" t="s">
        <v>680</v>
      </c>
      <c r="E396" s="31">
        <v>13</v>
      </c>
      <c r="F396" s="31" t="s">
        <v>678</v>
      </c>
      <c r="G396" s="32" t="s">
        <v>681</v>
      </c>
    </row>
    <row r="397" spans="1:7" ht="16.5">
      <c r="A397" s="12">
        <v>396</v>
      </c>
      <c r="B397" s="31">
        <v>9200</v>
      </c>
      <c r="C397" s="24" t="s">
        <v>676</v>
      </c>
      <c r="D397" s="24" t="s">
        <v>680</v>
      </c>
      <c r="E397" s="31">
        <v>13</v>
      </c>
      <c r="F397" s="31" t="s">
        <v>678</v>
      </c>
      <c r="G397" s="32" t="s">
        <v>681</v>
      </c>
    </row>
    <row r="398" spans="1:7" ht="16.5">
      <c r="A398" s="12">
        <v>397</v>
      </c>
      <c r="B398" s="31">
        <v>9600</v>
      </c>
      <c r="C398" s="24" t="s">
        <v>676</v>
      </c>
      <c r="D398" s="24" t="s">
        <v>680</v>
      </c>
      <c r="E398" s="31">
        <v>13</v>
      </c>
      <c r="F398" s="31" t="s">
        <v>678</v>
      </c>
      <c r="G398" s="32" t="s">
        <v>681</v>
      </c>
    </row>
    <row r="399" spans="1:7" ht="16.5">
      <c r="A399" s="12">
        <v>398</v>
      </c>
      <c r="B399" s="31">
        <v>10000</v>
      </c>
      <c r="C399" s="24" t="s">
        <v>682</v>
      </c>
      <c r="D399" s="24" t="s">
        <v>683</v>
      </c>
      <c r="E399" s="31">
        <v>13</v>
      </c>
      <c r="F399" s="31" t="s">
        <v>689</v>
      </c>
      <c r="G399" s="32" t="s">
        <v>685</v>
      </c>
    </row>
    <row r="400" spans="1:7" ht="16.5">
      <c r="A400" s="12">
        <v>399</v>
      </c>
      <c r="B400" s="31">
        <v>10400</v>
      </c>
      <c r="C400" s="24" t="s">
        <v>676</v>
      </c>
      <c r="D400" s="24" t="s">
        <v>680</v>
      </c>
      <c r="E400" s="31">
        <v>13</v>
      </c>
      <c r="F400" s="31" t="s">
        <v>678</v>
      </c>
      <c r="G400" s="32" t="s">
        <v>681</v>
      </c>
    </row>
    <row r="401" spans="1:7" ht="16.5">
      <c r="A401" s="12">
        <v>400</v>
      </c>
      <c r="B401" s="31">
        <v>10800</v>
      </c>
      <c r="C401" s="24" t="s">
        <v>676</v>
      </c>
      <c r="D401" s="24" t="s">
        <v>680</v>
      </c>
      <c r="E401" s="31">
        <v>13</v>
      </c>
      <c r="F401" s="31" t="s">
        <v>678</v>
      </c>
      <c r="G401" s="32" t="s">
        <v>681</v>
      </c>
    </row>
    <row r="402" spans="1:7" ht="16.5">
      <c r="A402" s="12">
        <v>401</v>
      </c>
      <c r="B402" s="31">
        <v>11200</v>
      </c>
      <c r="C402" s="24" t="s">
        <v>676</v>
      </c>
      <c r="D402" s="24" t="s">
        <v>680</v>
      </c>
      <c r="E402" s="31">
        <v>13</v>
      </c>
      <c r="F402" s="31" t="s">
        <v>678</v>
      </c>
      <c r="G402" s="32" t="s">
        <v>681</v>
      </c>
    </row>
    <row r="403" spans="1:7" ht="16.5">
      <c r="A403" s="12">
        <v>402</v>
      </c>
      <c r="B403" s="31">
        <v>11600</v>
      </c>
      <c r="C403" s="24" t="s">
        <v>676</v>
      </c>
      <c r="D403" s="24" t="s">
        <v>680</v>
      </c>
      <c r="E403" s="31">
        <v>13</v>
      </c>
      <c r="F403" s="31" t="s">
        <v>678</v>
      </c>
      <c r="G403" s="32" t="s">
        <v>681</v>
      </c>
    </row>
    <row r="404" spans="1:7" ht="16.5">
      <c r="A404" s="12">
        <v>403</v>
      </c>
      <c r="B404" s="31">
        <v>12000</v>
      </c>
      <c r="C404" s="24" t="s">
        <v>690</v>
      </c>
      <c r="D404" s="24" t="s">
        <v>691</v>
      </c>
      <c r="E404" s="31">
        <v>13</v>
      </c>
      <c r="F404" s="31" t="s">
        <v>692</v>
      </c>
      <c r="G404" s="32" t="s">
        <v>693</v>
      </c>
    </row>
    <row r="405" spans="1:7" ht="16.5">
      <c r="A405" s="12">
        <v>404</v>
      </c>
      <c r="B405" s="33">
        <v>0</v>
      </c>
      <c r="C405" s="34" t="s">
        <v>676</v>
      </c>
      <c r="D405" s="34" t="s">
        <v>677</v>
      </c>
      <c r="E405" s="33">
        <v>14</v>
      </c>
      <c r="F405" s="33" t="s">
        <v>678</v>
      </c>
      <c r="G405" s="35" t="s">
        <v>679</v>
      </c>
    </row>
    <row r="406" spans="1:7" ht="16.5">
      <c r="A406" s="12">
        <v>405</v>
      </c>
      <c r="B406" s="33">
        <v>400</v>
      </c>
      <c r="C406" s="34" t="s">
        <v>676</v>
      </c>
      <c r="D406" s="34" t="s">
        <v>680</v>
      </c>
      <c r="E406" s="33">
        <v>14</v>
      </c>
      <c r="F406" s="33" t="s">
        <v>678</v>
      </c>
      <c r="G406" s="35" t="s">
        <v>681</v>
      </c>
    </row>
    <row r="407" spans="1:7" ht="16.5">
      <c r="A407" s="12">
        <v>406</v>
      </c>
      <c r="B407" s="33">
        <v>800</v>
      </c>
      <c r="C407" s="34" t="s">
        <v>676</v>
      </c>
      <c r="D407" s="34" t="s">
        <v>680</v>
      </c>
      <c r="E407" s="33">
        <v>14</v>
      </c>
      <c r="F407" s="33" t="s">
        <v>678</v>
      </c>
      <c r="G407" s="35" t="s">
        <v>681</v>
      </c>
    </row>
    <row r="408" spans="1:7" ht="16.5">
      <c r="A408" s="12">
        <v>407</v>
      </c>
      <c r="B408" s="33">
        <v>1200</v>
      </c>
      <c r="C408" s="34" t="s">
        <v>676</v>
      </c>
      <c r="D408" s="34" t="s">
        <v>680</v>
      </c>
      <c r="E408" s="33">
        <v>14</v>
      </c>
      <c r="F408" s="33" t="s">
        <v>678</v>
      </c>
      <c r="G408" s="35" t="s">
        <v>681</v>
      </c>
    </row>
    <row r="409" spans="1:7" ht="16.5">
      <c r="A409" s="12">
        <v>408</v>
      </c>
      <c r="B409" s="33">
        <v>1600</v>
      </c>
      <c r="C409" s="34" t="s">
        <v>676</v>
      </c>
      <c r="D409" s="34" t="s">
        <v>680</v>
      </c>
      <c r="E409" s="33">
        <v>14</v>
      </c>
      <c r="F409" s="33" t="s">
        <v>678</v>
      </c>
      <c r="G409" s="35" t="s">
        <v>681</v>
      </c>
    </row>
    <row r="410" spans="1:7" ht="16.5">
      <c r="A410" s="12">
        <v>409</v>
      </c>
      <c r="B410" s="33">
        <v>2000</v>
      </c>
      <c r="C410" s="34" t="s">
        <v>682</v>
      </c>
      <c r="D410" s="34" t="s">
        <v>683</v>
      </c>
      <c r="E410" s="33">
        <v>14</v>
      </c>
      <c r="F410" s="33" t="s">
        <v>684</v>
      </c>
      <c r="G410" s="35" t="s">
        <v>685</v>
      </c>
    </row>
    <row r="411" spans="1:7" ht="16.5">
      <c r="A411" s="12">
        <v>410</v>
      </c>
      <c r="B411" s="33">
        <v>2400</v>
      </c>
      <c r="C411" s="34" t="s">
        <v>676</v>
      </c>
      <c r="D411" s="34" t="s">
        <v>680</v>
      </c>
      <c r="E411" s="33">
        <v>14</v>
      </c>
      <c r="F411" s="33" t="s">
        <v>678</v>
      </c>
      <c r="G411" s="35" t="s">
        <v>681</v>
      </c>
    </row>
    <row r="412" spans="1:7" ht="16.5">
      <c r="A412" s="12">
        <v>411</v>
      </c>
      <c r="B412" s="33">
        <v>2800</v>
      </c>
      <c r="C412" s="34" t="s">
        <v>676</v>
      </c>
      <c r="D412" s="34" t="s">
        <v>680</v>
      </c>
      <c r="E412" s="33">
        <v>14</v>
      </c>
      <c r="F412" s="33" t="s">
        <v>678</v>
      </c>
      <c r="G412" s="35" t="s">
        <v>681</v>
      </c>
    </row>
    <row r="413" spans="1:7" ht="16.5">
      <c r="A413" s="12">
        <v>412</v>
      </c>
      <c r="B413" s="33">
        <v>3200</v>
      </c>
      <c r="C413" s="34" t="s">
        <v>676</v>
      </c>
      <c r="D413" s="34" t="s">
        <v>680</v>
      </c>
      <c r="E413" s="33">
        <v>14</v>
      </c>
      <c r="F413" s="33" t="s">
        <v>678</v>
      </c>
      <c r="G413" s="35" t="s">
        <v>681</v>
      </c>
    </row>
    <row r="414" spans="1:7" ht="16.5">
      <c r="A414" s="12">
        <v>413</v>
      </c>
      <c r="B414" s="33">
        <v>3600</v>
      </c>
      <c r="C414" s="34" t="s">
        <v>676</v>
      </c>
      <c r="D414" s="34" t="s">
        <v>680</v>
      </c>
      <c r="E414" s="33">
        <v>14</v>
      </c>
      <c r="F414" s="33" t="s">
        <v>678</v>
      </c>
      <c r="G414" s="35" t="s">
        <v>681</v>
      </c>
    </row>
    <row r="415" spans="1:7" ht="16.5">
      <c r="A415" s="12">
        <v>414</v>
      </c>
      <c r="B415" s="33">
        <v>4000</v>
      </c>
      <c r="C415" s="34" t="s">
        <v>682</v>
      </c>
      <c r="D415" s="34" t="s">
        <v>683</v>
      </c>
      <c r="E415" s="33">
        <v>14</v>
      </c>
      <c r="F415" s="33" t="s">
        <v>686</v>
      </c>
      <c r="G415" s="35" t="s">
        <v>685</v>
      </c>
    </row>
    <row r="416" spans="1:7" ht="16.5">
      <c r="A416" s="12">
        <v>415</v>
      </c>
      <c r="B416" s="33">
        <v>4400</v>
      </c>
      <c r="C416" s="34" t="s">
        <v>676</v>
      </c>
      <c r="D416" s="34" t="s">
        <v>680</v>
      </c>
      <c r="E416" s="33">
        <v>14</v>
      </c>
      <c r="F416" s="33" t="s">
        <v>678</v>
      </c>
      <c r="G416" s="35" t="s">
        <v>681</v>
      </c>
    </row>
    <row r="417" spans="1:7" ht="16.5">
      <c r="A417" s="12">
        <v>416</v>
      </c>
      <c r="B417" s="33">
        <v>4800</v>
      </c>
      <c r="C417" s="34" t="s">
        <v>676</v>
      </c>
      <c r="D417" s="34" t="s">
        <v>680</v>
      </c>
      <c r="E417" s="33">
        <v>14</v>
      </c>
      <c r="F417" s="33" t="s">
        <v>678</v>
      </c>
      <c r="G417" s="35" t="s">
        <v>681</v>
      </c>
    </row>
    <row r="418" spans="1:7" ht="16.5">
      <c r="A418" s="12">
        <v>417</v>
      </c>
      <c r="B418" s="33">
        <v>5200</v>
      </c>
      <c r="C418" s="34" t="s">
        <v>676</v>
      </c>
      <c r="D418" s="34" t="s">
        <v>680</v>
      </c>
      <c r="E418" s="33">
        <v>14</v>
      </c>
      <c r="F418" s="33" t="s">
        <v>678</v>
      </c>
      <c r="G418" s="35" t="s">
        <v>681</v>
      </c>
    </row>
    <row r="419" spans="1:7" ht="16.5">
      <c r="A419" s="12">
        <v>418</v>
      </c>
      <c r="B419" s="33">
        <v>5600</v>
      </c>
      <c r="C419" s="34" t="s">
        <v>676</v>
      </c>
      <c r="D419" s="34" t="s">
        <v>680</v>
      </c>
      <c r="E419" s="33">
        <v>14</v>
      </c>
      <c r="F419" s="33" t="s">
        <v>678</v>
      </c>
      <c r="G419" s="35" t="s">
        <v>681</v>
      </c>
    </row>
    <row r="420" spans="1:7" ht="16.5">
      <c r="A420" s="12">
        <v>419</v>
      </c>
      <c r="B420" s="33">
        <v>6000</v>
      </c>
      <c r="C420" s="34" t="s">
        <v>682</v>
      </c>
      <c r="D420" s="34" t="s">
        <v>683</v>
      </c>
      <c r="E420" s="33">
        <v>14</v>
      </c>
      <c r="F420" s="33" t="s">
        <v>687</v>
      </c>
      <c r="G420" s="35" t="s">
        <v>685</v>
      </c>
    </row>
    <row r="421" spans="1:7" ht="16.5">
      <c r="A421" s="12">
        <v>420</v>
      </c>
      <c r="B421" s="33">
        <v>6400</v>
      </c>
      <c r="C421" s="34" t="s">
        <v>676</v>
      </c>
      <c r="D421" s="34" t="s">
        <v>680</v>
      </c>
      <c r="E421" s="33">
        <v>14</v>
      </c>
      <c r="F421" s="33" t="s">
        <v>678</v>
      </c>
      <c r="G421" s="35" t="s">
        <v>681</v>
      </c>
    </row>
    <row r="422" spans="1:7" ht="16.5">
      <c r="A422" s="12">
        <v>421</v>
      </c>
      <c r="B422" s="33">
        <v>6800</v>
      </c>
      <c r="C422" s="34" t="s">
        <v>676</v>
      </c>
      <c r="D422" s="34" t="s">
        <v>680</v>
      </c>
      <c r="E422" s="33">
        <v>14</v>
      </c>
      <c r="F422" s="33" t="s">
        <v>678</v>
      </c>
      <c r="G422" s="35" t="s">
        <v>681</v>
      </c>
    </row>
    <row r="423" spans="1:7" ht="16.5">
      <c r="A423" s="12">
        <v>422</v>
      </c>
      <c r="B423" s="33">
        <v>7200</v>
      </c>
      <c r="C423" s="34" t="s">
        <v>676</v>
      </c>
      <c r="D423" s="34" t="s">
        <v>680</v>
      </c>
      <c r="E423" s="33">
        <v>14</v>
      </c>
      <c r="F423" s="33" t="s">
        <v>678</v>
      </c>
      <c r="G423" s="35" t="s">
        <v>681</v>
      </c>
    </row>
    <row r="424" spans="1:7" ht="16.5">
      <c r="A424" s="12">
        <v>423</v>
      </c>
      <c r="B424" s="33">
        <v>7600</v>
      </c>
      <c r="C424" s="34" t="s">
        <v>676</v>
      </c>
      <c r="D424" s="34" t="s">
        <v>680</v>
      </c>
      <c r="E424" s="33">
        <v>14</v>
      </c>
      <c r="F424" s="33" t="s">
        <v>678</v>
      </c>
      <c r="G424" s="35" t="s">
        <v>681</v>
      </c>
    </row>
    <row r="425" spans="1:7" ht="16.5">
      <c r="A425" s="12">
        <v>424</v>
      </c>
      <c r="B425" s="33">
        <v>8000</v>
      </c>
      <c r="C425" s="34" t="s">
        <v>682</v>
      </c>
      <c r="D425" s="34" t="s">
        <v>683</v>
      </c>
      <c r="E425" s="33">
        <v>14</v>
      </c>
      <c r="F425" s="33" t="s">
        <v>688</v>
      </c>
      <c r="G425" s="35" t="s">
        <v>685</v>
      </c>
    </row>
    <row r="426" spans="1:7" ht="16.5">
      <c r="A426" s="12">
        <v>425</v>
      </c>
      <c r="B426" s="33">
        <v>8400</v>
      </c>
      <c r="C426" s="34" t="s">
        <v>676</v>
      </c>
      <c r="D426" s="34" t="s">
        <v>680</v>
      </c>
      <c r="E426" s="33">
        <v>14</v>
      </c>
      <c r="F426" s="33" t="s">
        <v>678</v>
      </c>
      <c r="G426" s="35" t="s">
        <v>681</v>
      </c>
    </row>
    <row r="427" spans="1:7" ht="16.5">
      <c r="A427" s="12">
        <v>426</v>
      </c>
      <c r="B427" s="33">
        <v>8800</v>
      </c>
      <c r="C427" s="34" t="s">
        <v>676</v>
      </c>
      <c r="D427" s="34" t="s">
        <v>680</v>
      </c>
      <c r="E427" s="33">
        <v>14</v>
      </c>
      <c r="F427" s="33" t="s">
        <v>678</v>
      </c>
      <c r="G427" s="35" t="s">
        <v>681</v>
      </c>
    </row>
    <row r="428" spans="1:7" ht="16.5">
      <c r="A428" s="12">
        <v>427</v>
      </c>
      <c r="B428" s="33">
        <v>9200</v>
      </c>
      <c r="C428" s="34" t="s">
        <v>676</v>
      </c>
      <c r="D428" s="34" t="s">
        <v>680</v>
      </c>
      <c r="E428" s="33">
        <v>14</v>
      </c>
      <c r="F428" s="33" t="s">
        <v>678</v>
      </c>
      <c r="G428" s="35" t="s">
        <v>681</v>
      </c>
    </row>
    <row r="429" spans="1:7" ht="16.5">
      <c r="A429" s="12">
        <v>428</v>
      </c>
      <c r="B429" s="33">
        <v>9600</v>
      </c>
      <c r="C429" s="34" t="s">
        <v>676</v>
      </c>
      <c r="D429" s="34" t="s">
        <v>680</v>
      </c>
      <c r="E429" s="33">
        <v>14</v>
      </c>
      <c r="F429" s="33" t="s">
        <v>678</v>
      </c>
      <c r="G429" s="35" t="s">
        <v>681</v>
      </c>
    </row>
    <row r="430" spans="1:7" ht="16.5">
      <c r="A430" s="12">
        <v>429</v>
      </c>
      <c r="B430" s="33">
        <v>10000</v>
      </c>
      <c r="C430" s="34" t="s">
        <v>682</v>
      </c>
      <c r="D430" s="34" t="s">
        <v>683</v>
      </c>
      <c r="E430" s="33">
        <v>14</v>
      </c>
      <c r="F430" s="33" t="s">
        <v>689</v>
      </c>
      <c r="G430" s="35" t="s">
        <v>685</v>
      </c>
    </row>
    <row r="431" spans="1:7" ht="16.5">
      <c r="A431" s="12">
        <v>430</v>
      </c>
      <c r="B431" s="33">
        <v>10400</v>
      </c>
      <c r="C431" s="34" t="s">
        <v>676</v>
      </c>
      <c r="D431" s="34" t="s">
        <v>680</v>
      </c>
      <c r="E431" s="33">
        <v>14</v>
      </c>
      <c r="F431" s="33" t="s">
        <v>678</v>
      </c>
      <c r="G431" s="35" t="s">
        <v>681</v>
      </c>
    </row>
    <row r="432" spans="1:7" ht="16.5">
      <c r="A432" s="12">
        <v>431</v>
      </c>
      <c r="B432" s="33">
        <v>10800</v>
      </c>
      <c r="C432" s="34" t="s">
        <v>676</v>
      </c>
      <c r="D432" s="34" t="s">
        <v>680</v>
      </c>
      <c r="E432" s="33">
        <v>14</v>
      </c>
      <c r="F432" s="33" t="s">
        <v>678</v>
      </c>
      <c r="G432" s="35" t="s">
        <v>681</v>
      </c>
    </row>
    <row r="433" spans="1:7" ht="16.5">
      <c r="A433" s="12">
        <v>432</v>
      </c>
      <c r="B433" s="33">
        <v>11200</v>
      </c>
      <c r="C433" s="34" t="s">
        <v>676</v>
      </c>
      <c r="D433" s="34" t="s">
        <v>680</v>
      </c>
      <c r="E433" s="33">
        <v>14</v>
      </c>
      <c r="F433" s="33" t="s">
        <v>678</v>
      </c>
      <c r="G433" s="35" t="s">
        <v>681</v>
      </c>
    </row>
    <row r="434" spans="1:7" ht="16.5">
      <c r="A434" s="12">
        <v>433</v>
      </c>
      <c r="B434" s="33">
        <v>11600</v>
      </c>
      <c r="C434" s="34" t="s">
        <v>676</v>
      </c>
      <c r="D434" s="34" t="s">
        <v>680</v>
      </c>
      <c r="E434" s="33">
        <v>14</v>
      </c>
      <c r="F434" s="33" t="s">
        <v>678</v>
      </c>
      <c r="G434" s="35" t="s">
        <v>681</v>
      </c>
    </row>
    <row r="435" spans="1:7" ht="16.5">
      <c r="A435" s="12">
        <v>434</v>
      </c>
      <c r="B435" s="33">
        <v>12000</v>
      </c>
      <c r="C435" s="34" t="s">
        <v>690</v>
      </c>
      <c r="D435" s="34" t="s">
        <v>691</v>
      </c>
      <c r="E435" s="33">
        <v>14</v>
      </c>
      <c r="F435" s="33" t="s">
        <v>692</v>
      </c>
      <c r="G435" s="35" t="s">
        <v>693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E17"/>
  <sheetViews>
    <sheetView workbookViewId="0">
      <selection activeCell="F16" sqref="F16"/>
    </sheetView>
  </sheetViews>
  <sheetFormatPr defaultColWidth="9" defaultRowHeight="14.25"/>
  <cols>
    <col min="5" max="5" width="12.5" customWidth="1"/>
  </cols>
  <sheetData>
    <row r="1" spans="1:5" ht="16.5">
      <c r="A1" s="12" t="s">
        <v>127</v>
      </c>
      <c r="B1" s="12" t="s">
        <v>714</v>
      </c>
      <c r="C1" s="12" t="s">
        <v>436</v>
      </c>
      <c r="D1" s="12" t="s">
        <v>449</v>
      </c>
      <c r="E1" s="12" t="s">
        <v>715</v>
      </c>
    </row>
    <row r="2" spans="1:5" ht="16.5">
      <c r="A2" s="12">
        <v>560001</v>
      </c>
      <c r="B2" s="12">
        <v>1</v>
      </c>
      <c r="C2" s="12">
        <v>1</v>
      </c>
      <c r="D2" s="12">
        <v>1</v>
      </c>
      <c r="E2" s="12" t="s">
        <v>716</v>
      </c>
    </row>
    <row r="3" spans="1:5" ht="16.5">
      <c r="A3" s="12">
        <v>560007</v>
      </c>
      <c r="B3" s="12">
        <v>1</v>
      </c>
      <c r="C3" s="12">
        <v>1</v>
      </c>
      <c r="D3" s="12">
        <v>3</v>
      </c>
      <c r="E3" s="12" t="s">
        <v>717</v>
      </c>
    </row>
    <row r="4" spans="1:5" ht="16.5">
      <c r="A4" s="12">
        <v>560002</v>
      </c>
      <c r="B4" s="12">
        <v>1</v>
      </c>
      <c r="C4" s="12">
        <v>1</v>
      </c>
      <c r="D4" s="12">
        <v>4</v>
      </c>
      <c r="E4" s="12"/>
    </row>
    <row r="5" spans="1:5" ht="16.5">
      <c r="A5" s="12">
        <v>560003</v>
      </c>
      <c r="B5" s="12">
        <v>1</v>
      </c>
      <c r="C5" s="12">
        <v>1</v>
      </c>
      <c r="D5" s="12">
        <v>5</v>
      </c>
      <c r="E5" s="12"/>
    </row>
    <row r="6" spans="1:5" ht="16.5">
      <c r="A6" s="12">
        <v>560004</v>
      </c>
      <c r="B6" s="12">
        <v>1</v>
      </c>
      <c r="C6" s="12">
        <v>1</v>
      </c>
      <c r="D6" s="12">
        <v>6</v>
      </c>
      <c r="E6" s="12"/>
    </row>
    <row r="7" spans="1:5" ht="16.5">
      <c r="A7" s="12">
        <v>560005</v>
      </c>
      <c r="B7" s="12">
        <v>1</v>
      </c>
      <c r="C7" s="12">
        <v>1</v>
      </c>
      <c r="D7" s="12">
        <v>7</v>
      </c>
      <c r="E7" s="12"/>
    </row>
    <row r="8" spans="1:5" ht="16.5">
      <c r="A8" s="12">
        <v>560006</v>
      </c>
      <c r="B8" s="12">
        <v>1</v>
      </c>
      <c r="C8" s="12">
        <v>1</v>
      </c>
      <c r="D8" s="12">
        <v>2</v>
      </c>
      <c r="E8" s="12"/>
    </row>
    <row r="9" spans="1:5" ht="16.5">
      <c r="A9" s="12">
        <v>561005</v>
      </c>
      <c r="B9" s="12">
        <v>2</v>
      </c>
      <c r="C9" s="12">
        <v>1</v>
      </c>
      <c r="D9" s="12">
        <v>1</v>
      </c>
      <c r="E9" s="12"/>
    </row>
    <row r="10" spans="1:5" ht="16.5">
      <c r="A10" s="12">
        <v>561006</v>
      </c>
      <c r="B10" s="12">
        <v>2</v>
      </c>
      <c r="C10" s="12">
        <v>1</v>
      </c>
      <c r="D10" s="12">
        <v>2</v>
      </c>
    </row>
    <row r="11" spans="1:5" ht="16.5">
      <c r="A11" s="12">
        <v>561001</v>
      </c>
      <c r="B11" s="12">
        <v>2</v>
      </c>
      <c r="C11" s="12">
        <v>1</v>
      </c>
      <c r="D11" s="12">
        <v>3</v>
      </c>
    </row>
    <row r="12" spans="1:5" ht="16.5">
      <c r="A12" s="12">
        <v>561002</v>
      </c>
      <c r="B12" s="12">
        <v>2</v>
      </c>
      <c r="C12" s="12">
        <v>1</v>
      </c>
      <c r="D12" s="12">
        <v>4</v>
      </c>
      <c r="E12" s="12"/>
    </row>
    <row r="13" spans="1:5" ht="16.5">
      <c r="A13" s="12">
        <v>561003</v>
      </c>
      <c r="B13" s="12">
        <v>2</v>
      </c>
      <c r="C13" s="12">
        <v>1</v>
      </c>
      <c r="D13" s="12">
        <v>5</v>
      </c>
    </row>
    <row r="14" spans="1:5" ht="16.5">
      <c r="A14" s="12">
        <v>561008</v>
      </c>
      <c r="B14" s="12">
        <v>2</v>
      </c>
      <c r="C14" s="12">
        <v>1</v>
      </c>
      <c r="D14" s="12">
        <v>6</v>
      </c>
    </row>
    <row r="15" spans="1:5" ht="16.5">
      <c r="A15" s="12">
        <v>561009</v>
      </c>
      <c r="B15" s="12">
        <v>2</v>
      </c>
      <c r="C15" s="12">
        <v>1</v>
      </c>
      <c r="D15" s="12">
        <v>7</v>
      </c>
    </row>
    <row r="16" spans="1:5" ht="16.5">
      <c r="A16" s="12">
        <v>561007</v>
      </c>
      <c r="B16" s="12">
        <v>2</v>
      </c>
      <c r="C16" s="12">
        <v>1</v>
      </c>
      <c r="D16" s="12">
        <v>8</v>
      </c>
    </row>
    <row r="17" spans="1:4" ht="16.5">
      <c r="A17" s="12">
        <v>561004</v>
      </c>
      <c r="B17" s="12">
        <v>2</v>
      </c>
      <c r="C17" s="12">
        <v>1</v>
      </c>
      <c r="D17" s="12">
        <v>9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M38"/>
  <sheetViews>
    <sheetView topLeftCell="A22" workbookViewId="0">
      <selection activeCell="J2" sqref="J2"/>
    </sheetView>
  </sheetViews>
  <sheetFormatPr defaultColWidth="9" defaultRowHeight="14.25"/>
  <cols>
    <col min="2" max="2" width="13.625" customWidth="1"/>
    <col min="8" max="8" width="49.125" customWidth="1"/>
    <col min="9" max="10" width="13.25" customWidth="1"/>
    <col min="11" max="11" width="9.25" customWidth="1"/>
    <col min="12" max="12" width="44.125" customWidth="1"/>
  </cols>
  <sheetData>
    <row r="1" spans="1:13" ht="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516</v>
      </c>
      <c r="H1" s="7" t="s">
        <v>517</v>
      </c>
      <c r="I1" s="7" t="s">
        <v>518</v>
      </c>
      <c r="J1" s="7" t="s">
        <v>519</v>
      </c>
      <c r="K1" s="7" t="s">
        <v>443</v>
      </c>
      <c r="L1" s="7" t="s">
        <v>193</v>
      </c>
      <c r="M1" s="7" t="s">
        <v>13</v>
      </c>
    </row>
    <row r="2" spans="1:13" ht="16.5">
      <c r="A2" s="12">
        <v>100001</v>
      </c>
      <c r="B2" s="12" t="s">
        <v>718</v>
      </c>
      <c r="C2" s="12">
        <v>1</v>
      </c>
      <c r="D2" s="12" t="s">
        <v>19</v>
      </c>
      <c r="E2" s="12">
        <v>30</v>
      </c>
      <c r="F2" s="12" t="s">
        <v>20</v>
      </c>
      <c r="G2" s="12">
        <v>1</v>
      </c>
      <c r="H2" s="11" t="s">
        <v>719</v>
      </c>
      <c r="I2" s="12">
        <v>2000</v>
      </c>
      <c r="J2" s="12">
        <v>100000</v>
      </c>
      <c r="K2" s="12">
        <v>26101</v>
      </c>
      <c r="L2" s="13" t="s">
        <v>720</v>
      </c>
      <c r="M2" s="14">
        <v>67002</v>
      </c>
    </row>
    <row r="3" spans="1:13" ht="16.5">
      <c r="A3" s="12">
        <v>100002</v>
      </c>
      <c r="B3" s="12" t="s">
        <v>721</v>
      </c>
      <c r="C3" s="12">
        <v>31</v>
      </c>
      <c r="D3" s="12" t="s">
        <v>19</v>
      </c>
      <c r="E3" s="12">
        <v>60</v>
      </c>
      <c r="F3" s="12" t="s">
        <v>20</v>
      </c>
      <c r="G3" s="12">
        <v>1</v>
      </c>
      <c r="H3" s="11" t="s">
        <v>719</v>
      </c>
      <c r="I3" s="12">
        <v>2000</v>
      </c>
      <c r="J3" s="12">
        <v>100000</v>
      </c>
      <c r="K3" s="12">
        <v>26102</v>
      </c>
      <c r="L3" s="13" t="s">
        <v>720</v>
      </c>
      <c r="M3" s="14">
        <v>67002</v>
      </c>
    </row>
    <row r="4" spans="1:13" ht="16.5">
      <c r="A4" s="12">
        <v>100003</v>
      </c>
      <c r="B4" s="12" t="s">
        <v>722</v>
      </c>
      <c r="C4" s="12">
        <v>61</v>
      </c>
      <c r="D4" s="12" t="s">
        <v>19</v>
      </c>
      <c r="E4" s="12">
        <v>90</v>
      </c>
      <c r="F4" s="12" t="s">
        <v>20</v>
      </c>
      <c r="G4" s="12">
        <v>1</v>
      </c>
      <c r="H4" s="11" t="s">
        <v>719</v>
      </c>
      <c r="I4" s="12">
        <v>2000</v>
      </c>
      <c r="J4" s="12">
        <v>100000</v>
      </c>
      <c r="K4" s="12">
        <v>26103</v>
      </c>
      <c r="L4" s="13" t="s">
        <v>720</v>
      </c>
      <c r="M4" s="14">
        <v>67002</v>
      </c>
    </row>
    <row r="5" spans="1:13" ht="16.5">
      <c r="A5" s="12">
        <v>100004</v>
      </c>
      <c r="B5" s="12" t="s">
        <v>723</v>
      </c>
      <c r="C5" s="12">
        <v>91</v>
      </c>
      <c r="D5" s="12" t="s">
        <v>19</v>
      </c>
      <c r="E5" s="12">
        <v>120</v>
      </c>
      <c r="F5" s="12" t="s">
        <v>20</v>
      </c>
      <c r="G5" s="12">
        <v>1</v>
      </c>
      <c r="H5" s="11" t="s">
        <v>719</v>
      </c>
      <c r="I5" s="12">
        <v>2000</v>
      </c>
      <c r="J5" s="12">
        <v>100000</v>
      </c>
      <c r="K5" s="12">
        <v>26104</v>
      </c>
      <c r="L5" s="13" t="s">
        <v>720</v>
      </c>
      <c r="M5" s="14">
        <v>67002</v>
      </c>
    </row>
    <row r="6" spans="1:13" ht="16.5">
      <c r="A6" s="12">
        <v>100005</v>
      </c>
      <c r="B6" s="12" t="s">
        <v>724</v>
      </c>
      <c r="C6" s="12">
        <v>121</v>
      </c>
      <c r="D6" s="12" t="s">
        <v>19</v>
      </c>
      <c r="E6" s="12">
        <v>150</v>
      </c>
      <c r="F6" s="12" t="s">
        <v>20</v>
      </c>
      <c r="G6" s="12">
        <v>1</v>
      </c>
      <c r="H6" s="11" t="s">
        <v>719</v>
      </c>
      <c r="I6" s="12">
        <v>2000</v>
      </c>
      <c r="J6" s="12">
        <v>100000</v>
      </c>
      <c r="K6" s="12">
        <v>26105</v>
      </c>
      <c r="L6" s="13" t="s">
        <v>720</v>
      </c>
      <c r="M6" s="14">
        <v>67002</v>
      </c>
    </row>
    <row r="7" spans="1:13" ht="16.5">
      <c r="A7" s="12">
        <v>100006</v>
      </c>
      <c r="B7" s="12" t="s">
        <v>725</v>
      </c>
      <c r="C7" s="12">
        <v>151</v>
      </c>
      <c r="D7" s="12" t="s">
        <v>19</v>
      </c>
      <c r="E7" s="12">
        <v>180</v>
      </c>
      <c r="F7" s="12" t="s">
        <v>20</v>
      </c>
      <c r="G7" s="12">
        <v>1</v>
      </c>
      <c r="H7" s="11" t="s">
        <v>719</v>
      </c>
      <c r="I7" s="12">
        <v>2000</v>
      </c>
      <c r="J7" s="12">
        <v>100000</v>
      </c>
      <c r="K7" s="12">
        <v>26106</v>
      </c>
      <c r="L7" s="13" t="s">
        <v>720</v>
      </c>
      <c r="M7" s="14">
        <v>67002</v>
      </c>
    </row>
    <row r="8" spans="1:13" ht="16.5">
      <c r="A8" s="12">
        <v>100007</v>
      </c>
      <c r="B8" s="12" t="s">
        <v>726</v>
      </c>
      <c r="C8" s="12">
        <v>181</v>
      </c>
      <c r="D8" s="12" t="s">
        <v>19</v>
      </c>
      <c r="E8" s="12">
        <v>210</v>
      </c>
      <c r="F8" s="12" t="s">
        <v>20</v>
      </c>
      <c r="G8" s="12">
        <v>1</v>
      </c>
      <c r="H8" s="11" t="s">
        <v>719</v>
      </c>
      <c r="I8" s="12">
        <v>2000</v>
      </c>
      <c r="J8" s="12">
        <v>100000</v>
      </c>
      <c r="K8" s="12">
        <v>26107</v>
      </c>
      <c r="L8" s="13" t="s">
        <v>720</v>
      </c>
      <c r="M8" s="14">
        <v>67002</v>
      </c>
    </row>
    <row r="9" spans="1:13" ht="16.5">
      <c r="A9" s="12">
        <v>100008</v>
      </c>
      <c r="B9" s="12" t="s">
        <v>727</v>
      </c>
      <c r="C9" s="12">
        <v>211</v>
      </c>
      <c r="D9" s="12" t="s">
        <v>19</v>
      </c>
      <c r="E9" s="12">
        <v>240</v>
      </c>
      <c r="F9" s="12" t="s">
        <v>20</v>
      </c>
      <c r="G9" s="12">
        <v>1</v>
      </c>
      <c r="H9" s="11" t="s">
        <v>719</v>
      </c>
      <c r="I9" s="12">
        <v>2000</v>
      </c>
      <c r="J9" s="12">
        <v>100000</v>
      </c>
      <c r="K9" s="12">
        <v>26108</v>
      </c>
      <c r="L9" s="13" t="s">
        <v>720</v>
      </c>
      <c r="M9" s="14">
        <v>67002</v>
      </c>
    </row>
    <row r="10" spans="1:13" ht="16.5">
      <c r="A10" s="12">
        <v>100009</v>
      </c>
      <c r="B10" s="12" t="s">
        <v>728</v>
      </c>
      <c r="C10" s="12">
        <v>241</v>
      </c>
      <c r="D10" s="12" t="s">
        <v>19</v>
      </c>
      <c r="E10" s="12">
        <v>270</v>
      </c>
      <c r="F10" s="12" t="s">
        <v>20</v>
      </c>
      <c r="G10" s="12">
        <v>1</v>
      </c>
      <c r="H10" s="11" t="s">
        <v>719</v>
      </c>
      <c r="I10" s="12">
        <v>2000</v>
      </c>
      <c r="J10" s="12">
        <v>100000</v>
      </c>
      <c r="K10" s="12">
        <v>26109</v>
      </c>
      <c r="L10" s="13" t="s">
        <v>720</v>
      </c>
      <c r="M10" s="14">
        <v>67002</v>
      </c>
    </row>
    <row r="11" spans="1:13" ht="16.5">
      <c r="A11" s="12">
        <v>100010</v>
      </c>
      <c r="B11" s="12" t="s">
        <v>729</v>
      </c>
      <c r="C11" s="12">
        <v>271</v>
      </c>
      <c r="D11" s="12" t="s">
        <v>19</v>
      </c>
      <c r="E11" s="12">
        <v>300</v>
      </c>
      <c r="F11" s="12" t="s">
        <v>20</v>
      </c>
      <c r="G11" s="12">
        <v>1</v>
      </c>
      <c r="H11" s="11" t="s">
        <v>719</v>
      </c>
      <c r="I11" s="12">
        <v>2000</v>
      </c>
      <c r="J11" s="12">
        <v>100000</v>
      </c>
      <c r="K11" s="12">
        <v>26110</v>
      </c>
      <c r="L11" s="13" t="s">
        <v>720</v>
      </c>
      <c r="M11" s="14">
        <v>67002</v>
      </c>
    </row>
    <row r="12" spans="1:13" ht="16.5">
      <c r="A12" s="12">
        <v>100011</v>
      </c>
      <c r="B12" s="12" t="s">
        <v>730</v>
      </c>
      <c r="C12" s="12">
        <v>301</v>
      </c>
      <c r="D12" s="12" t="s">
        <v>19</v>
      </c>
      <c r="E12" s="12">
        <v>330</v>
      </c>
      <c r="F12" s="12" t="s">
        <v>20</v>
      </c>
      <c r="G12" s="12">
        <v>1</v>
      </c>
      <c r="H12" s="11" t="s">
        <v>719</v>
      </c>
      <c r="I12" s="12">
        <v>2000</v>
      </c>
      <c r="J12" s="12">
        <v>100000</v>
      </c>
      <c r="K12" s="12">
        <v>26111</v>
      </c>
      <c r="L12" s="13" t="s">
        <v>720</v>
      </c>
      <c r="M12" s="14">
        <v>67002</v>
      </c>
    </row>
    <row r="13" spans="1:13" ht="16.5">
      <c r="A13" s="12">
        <v>100012</v>
      </c>
      <c r="B13" s="12" t="s">
        <v>731</v>
      </c>
      <c r="C13" s="12">
        <v>331</v>
      </c>
      <c r="D13" s="12" t="s">
        <v>19</v>
      </c>
      <c r="E13" s="12">
        <v>360</v>
      </c>
      <c r="F13" s="12" t="s">
        <v>20</v>
      </c>
      <c r="G13" s="12">
        <v>1</v>
      </c>
      <c r="H13" s="11" t="s">
        <v>719</v>
      </c>
      <c r="I13" s="12">
        <v>2000</v>
      </c>
      <c r="J13" s="12">
        <v>100000</v>
      </c>
      <c r="K13" s="12">
        <v>26112</v>
      </c>
      <c r="L13" s="13" t="s">
        <v>720</v>
      </c>
      <c r="M13" s="14">
        <v>67002</v>
      </c>
    </row>
    <row r="14" spans="1:13" ht="16.5">
      <c r="A14" s="12">
        <v>100013</v>
      </c>
      <c r="B14" s="12" t="s">
        <v>732</v>
      </c>
      <c r="C14" s="12">
        <v>361</v>
      </c>
      <c r="D14" s="12" t="s">
        <v>19</v>
      </c>
      <c r="E14" s="12">
        <v>390</v>
      </c>
      <c r="F14" s="12" t="s">
        <v>20</v>
      </c>
      <c r="G14" s="12">
        <v>1</v>
      </c>
      <c r="H14" s="11" t="s">
        <v>719</v>
      </c>
      <c r="I14" s="12">
        <v>2000</v>
      </c>
      <c r="J14" s="12">
        <v>100000</v>
      </c>
      <c r="K14" s="12">
        <v>26113</v>
      </c>
      <c r="L14" s="13" t="s">
        <v>720</v>
      </c>
      <c r="M14" s="14">
        <v>67002</v>
      </c>
    </row>
    <row r="15" spans="1:13" ht="16.5">
      <c r="A15" s="12">
        <v>100014</v>
      </c>
      <c r="B15" s="12" t="s">
        <v>733</v>
      </c>
      <c r="C15" s="12">
        <v>391</v>
      </c>
      <c r="D15" s="12" t="s">
        <v>19</v>
      </c>
      <c r="E15" s="12">
        <v>420</v>
      </c>
      <c r="F15" s="12" t="s">
        <v>20</v>
      </c>
      <c r="G15" s="12">
        <v>1</v>
      </c>
      <c r="H15" s="11" t="s">
        <v>719</v>
      </c>
      <c r="I15" s="12">
        <v>2000</v>
      </c>
      <c r="J15" s="12">
        <v>100000</v>
      </c>
      <c r="K15" s="12">
        <v>26114</v>
      </c>
      <c r="L15" s="13" t="s">
        <v>720</v>
      </c>
      <c r="M15" s="14">
        <v>67002</v>
      </c>
    </row>
    <row r="16" spans="1:13" ht="16.5">
      <c r="A16" s="12">
        <v>100015</v>
      </c>
      <c r="B16" s="12" t="s">
        <v>734</v>
      </c>
      <c r="C16" s="12">
        <v>421</v>
      </c>
      <c r="D16" s="12" t="s">
        <v>19</v>
      </c>
      <c r="E16" s="12">
        <v>450</v>
      </c>
      <c r="F16" s="12" t="s">
        <v>20</v>
      </c>
      <c r="G16" s="12">
        <v>1</v>
      </c>
      <c r="H16" s="11" t="s">
        <v>719</v>
      </c>
      <c r="I16" s="12">
        <v>2000</v>
      </c>
      <c r="J16" s="12">
        <v>100000</v>
      </c>
      <c r="K16" s="12">
        <v>26115</v>
      </c>
      <c r="L16" s="13" t="s">
        <v>720</v>
      </c>
      <c r="M16" s="14">
        <v>67002</v>
      </c>
    </row>
    <row r="17" spans="1:13" ht="16.5">
      <c r="A17" s="12">
        <v>100016</v>
      </c>
      <c r="B17" s="12" t="s">
        <v>735</v>
      </c>
      <c r="C17" s="12">
        <v>451</v>
      </c>
      <c r="D17" s="12" t="s">
        <v>19</v>
      </c>
      <c r="E17" s="12">
        <v>480</v>
      </c>
      <c r="F17" s="12" t="s">
        <v>20</v>
      </c>
      <c r="G17" s="12">
        <v>1</v>
      </c>
      <c r="H17" s="11" t="s">
        <v>719</v>
      </c>
      <c r="I17" s="12">
        <v>2000</v>
      </c>
      <c r="J17" s="12">
        <v>100000</v>
      </c>
      <c r="K17" s="12">
        <v>26116</v>
      </c>
      <c r="L17" s="13" t="s">
        <v>720</v>
      </c>
      <c r="M17" s="14">
        <v>67002</v>
      </c>
    </row>
    <row r="18" spans="1:13" ht="16.5">
      <c r="A18" s="12">
        <v>100017</v>
      </c>
      <c r="B18" s="12" t="s">
        <v>736</v>
      </c>
      <c r="C18" s="12">
        <v>481</v>
      </c>
      <c r="D18" s="12" t="s">
        <v>19</v>
      </c>
      <c r="E18" s="12">
        <v>510</v>
      </c>
      <c r="F18" s="12" t="s">
        <v>20</v>
      </c>
      <c r="G18" s="12">
        <v>1</v>
      </c>
      <c r="H18" s="11" t="s">
        <v>719</v>
      </c>
      <c r="I18" s="12">
        <v>2000</v>
      </c>
      <c r="J18" s="12">
        <v>100000</v>
      </c>
      <c r="K18" s="12">
        <v>26117</v>
      </c>
      <c r="L18" s="13" t="s">
        <v>720</v>
      </c>
      <c r="M18" s="14">
        <v>67002</v>
      </c>
    </row>
    <row r="19" spans="1:13" ht="16.5">
      <c r="A19" s="12">
        <v>100018</v>
      </c>
      <c r="B19" s="12" t="s">
        <v>737</v>
      </c>
      <c r="C19" s="12">
        <v>511</v>
      </c>
      <c r="D19" s="12" t="s">
        <v>19</v>
      </c>
      <c r="E19" s="12">
        <v>540</v>
      </c>
      <c r="F19" s="12" t="s">
        <v>20</v>
      </c>
      <c r="G19" s="12">
        <v>1</v>
      </c>
      <c r="H19" s="11" t="s">
        <v>719</v>
      </c>
      <c r="I19" s="12">
        <v>2000</v>
      </c>
      <c r="J19" s="12">
        <v>100000</v>
      </c>
      <c r="K19" s="12">
        <v>26118</v>
      </c>
      <c r="L19" s="13" t="s">
        <v>720</v>
      </c>
      <c r="M19" s="14">
        <v>67002</v>
      </c>
    </row>
    <row r="20" spans="1:13" ht="16.5">
      <c r="A20" s="12">
        <v>100019</v>
      </c>
      <c r="B20" s="12" t="s">
        <v>738</v>
      </c>
      <c r="C20" s="12">
        <v>541</v>
      </c>
      <c r="D20" s="12" t="s">
        <v>19</v>
      </c>
      <c r="E20" s="12">
        <v>570</v>
      </c>
      <c r="F20" s="12" t="s">
        <v>20</v>
      </c>
      <c r="G20" s="12">
        <v>1</v>
      </c>
      <c r="H20" s="11" t="s">
        <v>719</v>
      </c>
      <c r="I20" s="12">
        <v>2000</v>
      </c>
      <c r="J20" s="12">
        <v>100000</v>
      </c>
      <c r="K20" s="12">
        <v>26119</v>
      </c>
      <c r="L20" s="13" t="s">
        <v>720</v>
      </c>
      <c r="M20" s="14">
        <v>67002</v>
      </c>
    </row>
    <row r="21" spans="1:13" ht="16.5">
      <c r="A21" s="12">
        <v>100020</v>
      </c>
      <c r="B21" s="12" t="s">
        <v>739</v>
      </c>
      <c r="C21" s="12">
        <v>571</v>
      </c>
      <c r="D21" s="12" t="s">
        <v>19</v>
      </c>
      <c r="E21" s="12">
        <v>600</v>
      </c>
      <c r="F21" s="12" t="s">
        <v>20</v>
      </c>
      <c r="G21" s="12">
        <v>1</v>
      </c>
      <c r="H21" s="11" t="s">
        <v>719</v>
      </c>
      <c r="I21" s="12">
        <v>2000</v>
      </c>
      <c r="J21" s="12">
        <v>100000</v>
      </c>
      <c r="K21" s="12">
        <v>26120</v>
      </c>
      <c r="L21" s="13" t="s">
        <v>720</v>
      </c>
      <c r="M21" s="14">
        <v>67002</v>
      </c>
    </row>
    <row r="22" spans="1:13" ht="16.5">
      <c r="A22" s="12">
        <v>100021</v>
      </c>
      <c r="B22" s="12" t="s">
        <v>740</v>
      </c>
      <c r="C22" s="12">
        <f t="shared" ref="C22:C38" si="0">C21+30</f>
        <v>601</v>
      </c>
      <c r="D22" s="12" t="s">
        <v>19</v>
      </c>
      <c r="E22" s="12">
        <f t="shared" ref="E22:E38" si="1">E21+30</f>
        <v>630</v>
      </c>
      <c r="F22" s="12" t="s">
        <v>20</v>
      </c>
      <c r="G22" s="12">
        <v>1</v>
      </c>
      <c r="H22" s="11" t="s">
        <v>719</v>
      </c>
      <c r="I22" s="12">
        <v>2000</v>
      </c>
      <c r="J22" s="12">
        <v>100000</v>
      </c>
      <c r="K22" s="15">
        <v>26121</v>
      </c>
      <c r="L22" s="13" t="s">
        <v>720</v>
      </c>
      <c r="M22" s="14">
        <v>67002</v>
      </c>
    </row>
    <row r="23" spans="1:13" ht="16.5">
      <c r="A23" s="12">
        <v>100022</v>
      </c>
      <c r="B23" s="12" t="s">
        <v>741</v>
      </c>
      <c r="C23" s="12">
        <f t="shared" si="0"/>
        <v>631</v>
      </c>
      <c r="D23" s="12" t="s">
        <v>19</v>
      </c>
      <c r="E23" s="12">
        <f t="shared" si="1"/>
        <v>660</v>
      </c>
      <c r="F23" s="12" t="s">
        <v>20</v>
      </c>
      <c r="G23" s="12">
        <v>1</v>
      </c>
      <c r="H23" s="11" t="s">
        <v>719</v>
      </c>
      <c r="I23" s="12">
        <v>2000</v>
      </c>
      <c r="J23" s="12">
        <v>100000</v>
      </c>
      <c r="K23" s="15">
        <v>26122</v>
      </c>
      <c r="L23" s="13" t="s">
        <v>720</v>
      </c>
      <c r="M23" s="14">
        <v>67002</v>
      </c>
    </row>
    <row r="24" spans="1:13" ht="16.5">
      <c r="A24" s="12">
        <v>100023</v>
      </c>
      <c r="B24" s="12" t="s">
        <v>742</v>
      </c>
      <c r="C24" s="12">
        <f t="shared" si="0"/>
        <v>661</v>
      </c>
      <c r="D24" s="12" t="s">
        <v>19</v>
      </c>
      <c r="E24" s="12">
        <f t="shared" si="1"/>
        <v>690</v>
      </c>
      <c r="F24" s="12" t="s">
        <v>20</v>
      </c>
      <c r="G24" s="12">
        <v>1</v>
      </c>
      <c r="H24" s="11" t="s">
        <v>719</v>
      </c>
      <c r="I24" s="12">
        <v>2000</v>
      </c>
      <c r="J24" s="12">
        <v>100000</v>
      </c>
      <c r="K24" s="15">
        <v>26123</v>
      </c>
      <c r="L24" s="13" t="s">
        <v>720</v>
      </c>
      <c r="M24" s="14">
        <v>67002</v>
      </c>
    </row>
    <row r="25" spans="1:13" ht="16.5">
      <c r="A25" s="12">
        <v>100024</v>
      </c>
      <c r="B25" s="12" t="s">
        <v>743</v>
      </c>
      <c r="C25" s="12">
        <f t="shared" si="0"/>
        <v>691</v>
      </c>
      <c r="D25" s="12" t="s">
        <v>19</v>
      </c>
      <c r="E25" s="12">
        <f t="shared" si="1"/>
        <v>720</v>
      </c>
      <c r="F25" s="12" t="s">
        <v>20</v>
      </c>
      <c r="G25" s="12">
        <v>1</v>
      </c>
      <c r="H25" s="11" t="s">
        <v>719</v>
      </c>
      <c r="I25" s="12">
        <v>2000</v>
      </c>
      <c r="J25" s="12">
        <v>100000</v>
      </c>
      <c r="K25" s="15">
        <v>26124</v>
      </c>
      <c r="L25" s="13" t="s">
        <v>720</v>
      </c>
      <c r="M25" s="14">
        <v>67002</v>
      </c>
    </row>
    <row r="26" spans="1:13" ht="16.5">
      <c r="A26" s="12">
        <v>100025</v>
      </c>
      <c r="B26" s="12" t="s">
        <v>744</v>
      </c>
      <c r="C26" s="12">
        <f t="shared" si="0"/>
        <v>721</v>
      </c>
      <c r="D26" s="12" t="s">
        <v>19</v>
      </c>
      <c r="E26" s="12">
        <f t="shared" si="1"/>
        <v>750</v>
      </c>
      <c r="F26" s="12" t="s">
        <v>20</v>
      </c>
      <c r="G26" s="12">
        <v>1</v>
      </c>
      <c r="H26" s="11" t="s">
        <v>719</v>
      </c>
      <c r="I26" s="12">
        <v>2000</v>
      </c>
      <c r="J26" s="12">
        <v>100000</v>
      </c>
      <c r="K26" s="15">
        <v>26125</v>
      </c>
      <c r="L26" s="13" t="s">
        <v>720</v>
      </c>
      <c r="M26" s="14">
        <v>67002</v>
      </c>
    </row>
    <row r="27" spans="1:13" ht="16.5">
      <c r="A27" s="12">
        <v>100026</v>
      </c>
      <c r="B27" s="12" t="s">
        <v>745</v>
      </c>
      <c r="C27" s="12">
        <f t="shared" si="0"/>
        <v>751</v>
      </c>
      <c r="D27" s="12" t="s">
        <v>19</v>
      </c>
      <c r="E27" s="12">
        <f t="shared" si="1"/>
        <v>780</v>
      </c>
      <c r="F27" s="12" t="s">
        <v>20</v>
      </c>
      <c r="G27" s="12">
        <v>1</v>
      </c>
      <c r="H27" s="11" t="s">
        <v>719</v>
      </c>
      <c r="I27" s="12">
        <v>2000</v>
      </c>
      <c r="J27" s="12">
        <v>100000</v>
      </c>
      <c r="K27" s="15">
        <v>26126</v>
      </c>
      <c r="L27" s="13" t="s">
        <v>720</v>
      </c>
      <c r="M27" s="14">
        <v>67002</v>
      </c>
    </row>
    <row r="28" spans="1:13" ht="16.5">
      <c r="A28" s="12">
        <v>100027</v>
      </c>
      <c r="B28" s="12" t="s">
        <v>746</v>
      </c>
      <c r="C28" s="12">
        <f t="shared" si="0"/>
        <v>781</v>
      </c>
      <c r="D28" s="12" t="s">
        <v>19</v>
      </c>
      <c r="E28" s="12">
        <f t="shared" si="1"/>
        <v>810</v>
      </c>
      <c r="F28" s="12" t="s">
        <v>20</v>
      </c>
      <c r="G28" s="12">
        <v>1</v>
      </c>
      <c r="H28" s="11" t="s">
        <v>719</v>
      </c>
      <c r="I28" s="12">
        <v>2000</v>
      </c>
      <c r="J28" s="12">
        <v>100000</v>
      </c>
      <c r="K28" s="15">
        <v>26127</v>
      </c>
      <c r="L28" s="13" t="s">
        <v>720</v>
      </c>
      <c r="M28" s="14">
        <v>67002</v>
      </c>
    </row>
    <row r="29" spans="1:13" ht="16.5">
      <c r="A29" s="12">
        <v>100028</v>
      </c>
      <c r="B29" s="12" t="s">
        <v>747</v>
      </c>
      <c r="C29" s="12">
        <f t="shared" si="0"/>
        <v>811</v>
      </c>
      <c r="D29" s="12" t="s">
        <v>19</v>
      </c>
      <c r="E29" s="12">
        <f t="shared" si="1"/>
        <v>840</v>
      </c>
      <c r="F29" s="12" t="s">
        <v>20</v>
      </c>
      <c r="G29" s="12">
        <v>1</v>
      </c>
      <c r="H29" s="11" t="s">
        <v>719</v>
      </c>
      <c r="I29" s="12">
        <v>2000</v>
      </c>
      <c r="J29" s="12">
        <v>100000</v>
      </c>
      <c r="K29" s="15">
        <v>26128</v>
      </c>
      <c r="L29" s="13" t="s">
        <v>720</v>
      </c>
      <c r="M29" s="14">
        <v>67002</v>
      </c>
    </row>
    <row r="30" spans="1:13" ht="16.5">
      <c r="A30" s="12">
        <v>100029</v>
      </c>
      <c r="B30" s="12" t="s">
        <v>748</v>
      </c>
      <c r="C30" s="12">
        <f t="shared" si="0"/>
        <v>841</v>
      </c>
      <c r="D30" s="12" t="s">
        <v>19</v>
      </c>
      <c r="E30" s="12">
        <f t="shared" si="1"/>
        <v>870</v>
      </c>
      <c r="F30" s="12" t="s">
        <v>20</v>
      </c>
      <c r="G30" s="12">
        <v>1</v>
      </c>
      <c r="H30" s="11" t="s">
        <v>719</v>
      </c>
      <c r="I30" s="12">
        <v>2000</v>
      </c>
      <c r="J30" s="12">
        <v>100000</v>
      </c>
      <c r="K30" s="15">
        <v>26129</v>
      </c>
      <c r="L30" s="13" t="s">
        <v>720</v>
      </c>
      <c r="M30" s="14">
        <v>67002</v>
      </c>
    </row>
    <row r="31" spans="1:13" ht="16.5">
      <c r="A31" s="12">
        <v>100030</v>
      </c>
      <c r="B31" s="12" t="s">
        <v>749</v>
      </c>
      <c r="C31" s="12">
        <f t="shared" si="0"/>
        <v>871</v>
      </c>
      <c r="D31" s="12" t="s">
        <v>19</v>
      </c>
      <c r="E31" s="12">
        <f t="shared" si="1"/>
        <v>900</v>
      </c>
      <c r="F31" s="12" t="s">
        <v>20</v>
      </c>
      <c r="G31" s="12">
        <v>1</v>
      </c>
      <c r="H31" s="11" t="s">
        <v>719</v>
      </c>
      <c r="I31" s="12">
        <v>2000</v>
      </c>
      <c r="J31" s="12">
        <v>100000</v>
      </c>
      <c r="K31" s="15">
        <v>26130</v>
      </c>
      <c r="L31" s="13" t="s">
        <v>720</v>
      </c>
      <c r="M31" s="14">
        <v>67002</v>
      </c>
    </row>
    <row r="32" spans="1:13" ht="16.5">
      <c r="A32" s="12">
        <v>100031</v>
      </c>
      <c r="B32" s="12" t="s">
        <v>750</v>
      </c>
      <c r="C32" s="12">
        <f t="shared" si="0"/>
        <v>901</v>
      </c>
      <c r="D32" s="12" t="s">
        <v>19</v>
      </c>
      <c r="E32" s="12">
        <f t="shared" si="1"/>
        <v>930</v>
      </c>
      <c r="F32" s="12" t="s">
        <v>20</v>
      </c>
      <c r="G32" s="12">
        <v>1</v>
      </c>
      <c r="H32" s="11" t="s">
        <v>719</v>
      </c>
      <c r="I32" s="12">
        <v>2000</v>
      </c>
      <c r="J32" s="12">
        <v>100000</v>
      </c>
      <c r="K32" s="15">
        <v>26131</v>
      </c>
      <c r="L32" s="13" t="s">
        <v>720</v>
      </c>
      <c r="M32" s="14">
        <v>67002</v>
      </c>
    </row>
    <row r="33" spans="1:13" ht="16.5">
      <c r="A33" s="12">
        <v>100032</v>
      </c>
      <c r="B33" s="12" t="s">
        <v>751</v>
      </c>
      <c r="C33" s="12">
        <f t="shared" si="0"/>
        <v>931</v>
      </c>
      <c r="D33" s="12" t="s">
        <v>19</v>
      </c>
      <c r="E33" s="12">
        <f t="shared" si="1"/>
        <v>960</v>
      </c>
      <c r="F33" s="12" t="s">
        <v>20</v>
      </c>
      <c r="G33" s="12">
        <v>1</v>
      </c>
      <c r="H33" s="11" t="s">
        <v>719</v>
      </c>
      <c r="I33" s="12">
        <v>2000</v>
      </c>
      <c r="J33" s="12">
        <v>100000</v>
      </c>
      <c r="K33" s="15">
        <v>26132</v>
      </c>
      <c r="L33" s="13" t="s">
        <v>720</v>
      </c>
      <c r="M33" s="14">
        <v>67002</v>
      </c>
    </row>
    <row r="34" spans="1:13" ht="16.5">
      <c r="A34" s="12">
        <v>100033</v>
      </c>
      <c r="B34" s="12" t="s">
        <v>752</v>
      </c>
      <c r="C34" s="12">
        <f t="shared" si="0"/>
        <v>961</v>
      </c>
      <c r="D34" s="12" t="s">
        <v>19</v>
      </c>
      <c r="E34" s="12">
        <f t="shared" si="1"/>
        <v>990</v>
      </c>
      <c r="F34" s="12" t="s">
        <v>20</v>
      </c>
      <c r="G34" s="12">
        <v>1</v>
      </c>
      <c r="H34" s="11" t="s">
        <v>719</v>
      </c>
      <c r="I34" s="12">
        <v>2000</v>
      </c>
      <c r="J34" s="12">
        <v>100000</v>
      </c>
      <c r="K34" s="15">
        <v>26133</v>
      </c>
      <c r="L34" s="13" t="s">
        <v>720</v>
      </c>
      <c r="M34" s="14">
        <v>67002</v>
      </c>
    </row>
    <row r="35" spans="1:13" ht="16.5">
      <c r="A35" s="12">
        <v>100034</v>
      </c>
      <c r="B35" s="12" t="s">
        <v>753</v>
      </c>
      <c r="C35" s="12">
        <f t="shared" si="0"/>
        <v>991</v>
      </c>
      <c r="D35" s="12" t="s">
        <v>19</v>
      </c>
      <c r="E35" s="12">
        <f t="shared" si="1"/>
        <v>1020</v>
      </c>
      <c r="F35" s="12" t="s">
        <v>20</v>
      </c>
      <c r="G35" s="12">
        <v>1</v>
      </c>
      <c r="H35" s="11" t="s">
        <v>719</v>
      </c>
      <c r="I35" s="12">
        <v>2000</v>
      </c>
      <c r="J35" s="12">
        <v>100000</v>
      </c>
      <c r="K35" s="15">
        <v>26134</v>
      </c>
      <c r="L35" s="13" t="s">
        <v>720</v>
      </c>
      <c r="M35" s="14">
        <v>67002</v>
      </c>
    </row>
    <row r="36" spans="1:13" ht="16.5">
      <c r="A36" s="12">
        <v>100035</v>
      </c>
      <c r="B36" s="12" t="s">
        <v>754</v>
      </c>
      <c r="C36" s="12">
        <f t="shared" si="0"/>
        <v>1021</v>
      </c>
      <c r="D36" s="12" t="s">
        <v>19</v>
      </c>
      <c r="E36" s="12">
        <f t="shared" si="1"/>
        <v>1050</v>
      </c>
      <c r="F36" s="12" t="s">
        <v>20</v>
      </c>
      <c r="G36" s="12">
        <v>1</v>
      </c>
      <c r="H36" s="11" t="s">
        <v>719</v>
      </c>
      <c r="I36" s="12">
        <v>2000</v>
      </c>
      <c r="J36" s="12">
        <v>100000</v>
      </c>
      <c r="K36" s="15">
        <v>26135</v>
      </c>
      <c r="L36" s="13" t="s">
        <v>720</v>
      </c>
      <c r="M36" s="14">
        <v>67002</v>
      </c>
    </row>
    <row r="37" spans="1:13" ht="16.5">
      <c r="A37" s="12">
        <v>100036</v>
      </c>
      <c r="B37" s="12" t="s">
        <v>755</v>
      </c>
      <c r="C37" s="12">
        <f t="shared" si="0"/>
        <v>1051</v>
      </c>
      <c r="D37" s="12" t="s">
        <v>19</v>
      </c>
      <c r="E37" s="12">
        <f t="shared" si="1"/>
        <v>1080</v>
      </c>
      <c r="F37" s="12" t="s">
        <v>20</v>
      </c>
      <c r="G37" s="12">
        <v>1</v>
      </c>
      <c r="H37" s="11" t="s">
        <v>719</v>
      </c>
      <c r="I37" s="12">
        <v>2000</v>
      </c>
      <c r="J37" s="12">
        <v>100000</v>
      </c>
      <c r="K37" s="15">
        <v>26136</v>
      </c>
      <c r="L37" s="13" t="s">
        <v>720</v>
      </c>
      <c r="M37" s="14">
        <v>67002</v>
      </c>
    </row>
    <row r="38" spans="1:13" ht="16.5">
      <c r="A38" s="12">
        <v>100037</v>
      </c>
      <c r="B38" s="12" t="s">
        <v>756</v>
      </c>
      <c r="C38" s="12">
        <f t="shared" si="0"/>
        <v>1081</v>
      </c>
      <c r="D38" s="12" t="s">
        <v>19</v>
      </c>
      <c r="E38" s="12">
        <f t="shared" si="1"/>
        <v>1110</v>
      </c>
      <c r="F38" s="12" t="s">
        <v>20</v>
      </c>
      <c r="G38" s="12">
        <v>1</v>
      </c>
      <c r="H38" s="11" t="s">
        <v>719</v>
      </c>
      <c r="I38" s="12">
        <v>2000</v>
      </c>
      <c r="J38" s="12">
        <v>100000</v>
      </c>
      <c r="K38" s="15">
        <v>26137</v>
      </c>
      <c r="L38" s="13" t="s">
        <v>720</v>
      </c>
      <c r="M38" s="14">
        <v>67002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G32"/>
  <sheetViews>
    <sheetView topLeftCell="A10" workbookViewId="0">
      <selection activeCell="D32" sqref="D32"/>
    </sheetView>
  </sheetViews>
  <sheetFormatPr defaultColWidth="9" defaultRowHeight="14.25"/>
  <cols>
    <col min="3" max="3" width="14.375" customWidth="1"/>
    <col min="4" max="4" width="29.375" customWidth="1"/>
    <col min="6" max="6" width="15.375" customWidth="1"/>
    <col min="7" max="7" width="28.125" customWidth="1"/>
  </cols>
  <sheetData>
    <row r="1" spans="1:7" ht="15">
      <c r="A1" s="7" t="s">
        <v>126</v>
      </c>
      <c r="B1" s="8" t="s">
        <v>574</v>
      </c>
      <c r="C1" s="8" t="s">
        <v>575</v>
      </c>
      <c r="D1" s="8" t="s">
        <v>576</v>
      </c>
      <c r="E1" s="8" t="s">
        <v>436</v>
      </c>
      <c r="F1" s="8" t="s">
        <v>577</v>
      </c>
      <c r="G1" s="8" t="s">
        <v>578</v>
      </c>
    </row>
    <row r="2" spans="1:7" ht="16.5">
      <c r="A2" s="9">
        <v>1</v>
      </c>
      <c r="B2" s="10">
        <v>0</v>
      </c>
      <c r="C2" s="11" t="s">
        <v>579</v>
      </c>
      <c r="D2" s="11" t="s">
        <v>580</v>
      </c>
      <c r="E2" s="10">
        <v>1</v>
      </c>
      <c r="F2" s="11" t="s">
        <v>757</v>
      </c>
      <c r="G2" s="11" t="s">
        <v>758</v>
      </c>
    </row>
    <row r="3" spans="1:7" ht="16.5">
      <c r="A3" s="9">
        <v>2</v>
      </c>
      <c r="B3" s="10">
        <v>400</v>
      </c>
      <c r="C3" s="11" t="s">
        <v>759</v>
      </c>
      <c r="D3" s="11" t="s">
        <v>760</v>
      </c>
      <c r="E3" s="9">
        <v>1</v>
      </c>
      <c r="F3" s="11" t="s">
        <v>761</v>
      </c>
      <c r="G3" s="11" t="s">
        <v>762</v>
      </c>
    </row>
    <row r="4" spans="1:7" ht="16.5">
      <c r="A4" s="9">
        <v>3</v>
      </c>
      <c r="B4" s="10">
        <v>800</v>
      </c>
      <c r="C4" s="11" t="s">
        <v>759</v>
      </c>
      <c r="D4" s="11" t="s">
        <v>760</v>
      </c>
      <c r="E4" s="9">
        <v>1</v>
      </c>
      <c r="F4" s="11" t="s">
        <v>761</v>
      </c>
      <c r="G4" s="11" t="s">
        <v>762</v>
      </c>
    </row>
    <row r="5" spans="1:7" ht="16.5">
      <c r="A5" s="9">
        <v>4</v>
      </c>
      <c r="B5" s="10">
        <v>1200</v>
      </c>
      <c r="C5" s="11" t="s">
        <v>759</v>
      </c>
      <c r="D5" s="11" t="s">
        <v>760</v>
      </c>
      <c r="E5" s="9">
        <v>1</v>
      </c>
      <c r="F5" s="11" t="s">
        <v>761</v>
      </c>
      <c r="G5" s="11" t="s">
        <v>762</v>
      </c>
    </row>
    <row r="6" spans="1:7" ht="16.5">
      <c r="A6" s="9">
        <v>5</v>
      </c>
      <c r="B6" s="10">
        <v>1600</v>
      </c>
      <c r="C6" s="11" t="s">
        <v>759</v>
      </c>
      <c r="D6" s="11" t="s">
        <v>760</v>
      </c>
      <c r="E6" s="9">
        <v>1</v>
      </c>
      <c r="F6" s="11" t="s">
        <v>761</v>
      </c>
      <c r="G6" s="11" t="s">
        <v>762</v>
      </c>
    </row>
    <row r="7" spans="1:7" ht="16.5">
      <c r="A7" s="9">
        <v>6</v>
      </c>
      <c r="B7" s="10">
        <v>2000</v>
      </c>
      <c r="C7" s="11" t="s">
        <v>586</v>
      </c>
      <c r="D7" s="11" t="s">
        <v>763</v>
      </c>
      <c r="E7" s="9">
        <v>1</v>
      </c>
      <c r="F7" s="11" t="s">
        <v>764</v>
      </c>
      <c r="G7" s="11" t="s">
        <v>765</v>
      </c>
    </row>
    <row r="8" spans="1:7" ht="16.5">
      <c r="A8" s="9">
        <v>7</v>
      </c>
      <c r="B8" s="10">
        <v>2400</v>
      </c>
      <c r="C8" s="11" t="s">
        <v>759</v>
      </c>
      <c r="D8" s="11" t="s">
        <v>760</v>
      </c>
      <c r="E8" s="9">
        <v>1</v>
      </c>
      <c r="F8" s="11" t="s">
        <v>761</v>
      </c>
      <c r="G8" s="11" t="s">
        <v>762</v>
      </c>
    </row>
    <row r="9" spans="1:7" ht="16.5">
      <c r="A9" s="9">
        <v>8</v>
      </c>
      <c r="B9" s="10">
        <v>2800</v>
      </c>
      <c r="C9" s="11" t="s">
        <v>759</v>
      </c>
      <c r="D9" s="11" t="s">
        <v>760</v>
      </c>
      <c r="E9" s="9">
        <v>1</v>
      </c>
      <c r="F9" s="11" t="s">
        <v>761</v>
      </c>
      <c r="G9" s="11" t="s">
        <v>762</v>
      </c>
    </row>
    <row r="10" spans="1:7" ht="16.5">
      <c r="A10" s="9">
        <v>9</v>
      </c>
      <c r="B10" s="10">
        <v>3200</v>
      </c>
      <c r="C10" s="11" t="s">
        <v>759</v>
      </c>
      <c r="D10" s="11" t="s">
        <v>760</v>
      </c>
      <c r="E10" s="9">
        <v>1</v>
      </c>
      <c r="F10" s="11" t="s">
        <v>761</v>
      </c>
      <c r="G10" s="11" t="s">
        <v>762</v>
      </c>
    </row>
    <row r="11" spans="1:7" ht="16.5">
      <c r="A11" s="9">
        <v>10</v>
      </c>
      <c r="B11" s="10">
        <v>3600</v>
      </c>
      <c r="C11" s="11" t="s">
        <v>759</v>
      </c>
      <c r="D11" s="11" t="s">
        <v>760</v>
      </c>
      <c r="E11" s="9">
        <v>1</v>
      </c>
      <c r="F11" s="11" t="s">
        <v>761</v>
      </c>
      <c r="G11" s="11" t="s">
        <v>762</v>
      </c>
    </row>
    <row r="12" spans="1:7" ht="16.5">
      <c r="A12" s="9">
        <v>11</v>
      </c>
      <c r="B12" s="10">
        <v>4000</v>
      </c>
      <c r="C12" s="11" t="s">
        <v>586</v>
      </c>
      <c r="D12" s="11" t="s">
        <v>763</v>
      </c>
      <c r="E12" s="9">
        <v>1</v>
      </c>
      <c r="F12" s="11" t="s">
        <v>764</v>
      </c>
      <c r="G12" s="11" t="s">
        <v>765</v>
      </c>
    </row>
    <row r="13" spans="1:7" ht="16.5">
      <c r="A13" s="9">
        <v>12</v>
      </c>
      <c r="B13" s="10">
        <v>4400</v>
      </c>
      <c r="C13" s="11" t="s">
        <v>759</v>
      </c>
      <c r="D13" s="11" t="s">
        <v>760</v>
      </c>
      <c r="E13" s="9">
        <v>1</v>
      </c>
      <c r="F13" s="11" t="s">
        <v>761</v>
      </c>
      <c r="G13" s="11" t="s">
        <v>762</v>
      </c>
    </row>
    <row r="14" spans="1:7" ht="16.5">
      <c r="A14" s="9">
        <v>13</v>
      </c>
      <c r="B14" s="10">
        <v>4800</v>
      </c>
      <c r="C14" s="11" t="s">
        <v>759</v>
      </c>
      <c r="D14" s="11" t="s">
        <v>760</v>
      </c>
      <c r="E14" s="9">
        <v>1</v>
      </c>
      <c r="F14" s="11" t="s">
        <v>761</v>
      </c>
      <c r="G14" s="11" t="s">
        <v>762</v>
      </c>
    </row>
    <row r="15" spans="1:7" ht="16.5">
      <c r="A15" s="9">
        <v>14</v>
      </c>
      <c r="B15" s="10">
        <v>5200</v>
      </c>
      <c r="C15" s="11" t="s">
        <v>759</v>
      </c>
      <c r="D15" s="11" t="s">
        <v>760</v>
      </c>
      <c r="E15" s="9">
        <v>1</v>
      </c>
      <c r="F15" s="11" t="s">
        <v>761</v>
      </c>
      <c r="G15" s="11" t="s">
        <v>762</v>
      </c>
    </row>
    <row r="16" spans="1:7" ht="16.5">
      <c r="A16" s="9">
        <v>15</v>
      </c>
      <c r="B16" s="10">
        <v>5600</v>
      </c>
      <c r="C16" s="11" t="s">
        <v>759</v>
      </c>
      <c r="D16" s="11" t="s">
        <v>760</v>
      </c>
      <c r="E16" s="9">
        <v>1</v>
      </c>
      <c r="F16" s="11" t="s">
        <v>761</v>
      </c>
      <c r="G16" s="11" t="s">
        <v>762</v>
      </c>
    </row>
    <row r="17" spans="1:7" ht="16.5">
      <c r="A17" s="9">
        <v>16</v>
      </c>
      <c r="B17" s="10">
        <v>6000</v>
      </c>
      <c r="C17" s="11" t="s">
        <v>586</v>
      </c>
      <c r="D17" s="11" t="s">
        <v>763</v>
      </c>
      <c r="E17" s="9">
        <v>1</v>
      </c>
      <c r="F17" s="11" t="s">
        <v>764</v>
      </c>
      <c r="G17" s="11" t="s">
        <v>765</v>
      </c>
    </row>
    <row r="18" spans="1:7" ht="16.5">
      <c r="A18" s="9">
        <v>17</v>
      </c>
      <c r="B18" s="10">
        <v>6400</v>
      </c>
      <c r="C18" s="11" t="s">
        <v>759</v>
      </c>
      <c r="D18" s="11" t="s">
        <v>760</v>
      </c>
      <c r="E18" s="9">
        <v>1</v>
      </c>
      <c r="F18" s="11" t="s">
        <v>761</v>
      </c>
      <c r="G18" s="11" t="s">
        <v>762</v>
      </c>
    </row>
    <row r="19" spans="1:7" ht="16.5">
      <c r="A19" s="9">
        <v>18</v>
      </c>
      <c r="B19" s="10">
        <v>6800</v>
      </c>
      <c r="C19" s="11" t="s">
        <v>759</v>
      </c>
      <c r="D19" s="11" t="s">
        <v>760</v>
      </c>
      <c r="E19" s="9">
        <v>1</v>
      </c>
      <c r="F19" s="11" t="s">
        <v>761</v>
      </c>
      <c r="G19" s="11" t="s">
        <v>762</v>
      </c>
    </row>
    <row r="20" spans="1:7" ht="16.5">
      <c r="A20" s="9">
        <v>19</v>
      </c>
      <c r="B20" s="10">
        <v>7200</v>
      </c>
      <c r="C20" s="11" t="s">
        <v>759</v>
      </c>
      <c r="D20" s="11" t="s">
        <v>760</v>
      </c>
      <c r="E20" s="9">
        <v>1</v>
      </c>
      <c r="F20" s="11" t="s">
        <v>761</v>
      </c>
      <c r="G20" s="11" t="s">
        <v>762</v>
      </c>
    </row>
    <row r="21" spans="1:7" ht="16.5">
      <c r="A21" s="9">
        <v>20</v>
      </c>
      <c r="B21" s="10">
        <v>7600</v>
      </c>
      <c r="C21" s="11" t="s">
        <v>759</v>
      </c>
      <c r="D21" s="11" t="s">
        <v>760</v>
      </c>
      <c r="E21" s="9">
        <v>1</v>
      </c>
      <c r="F21" s="11" t="s">
        <v>761</v>
      </c>
      <c r="G21" s="11" t="s">
        <v>762</v>
      </c>
    </row>
    <row r="22" spans="1:7" ht="16.5">
      <c r="A22" s="9">
        <v>21</v>
      </c>
      <c r="B22" s="10">
        <v>8000</v>
      </c>
      <c r="C22" s="11" t="s">
        <v>586</v>
      </c>
      <c r="D22" s="11" t="s">
        <v>763</v>
      </c>
      <c r="E22" s="9">
        <v>1</v>
      </c>
      <c r="F22" s="11" t="s">
        <v>764</v>
      </c>
      <c r="G22" s="11" t="s">
        <v>765</v>
      </c>
    </row>
    <row r="23" spans="1:7" ht="16.5">
      <c r="A23" s="9">
        <v>22</v>
      </c>
      <c r="B23" s="10">
        <v>8400</v>
      </c>
      <c r="C23" s="11" t="s">
        <v>759</v>
      </c>
      <c r="D23" s="11" t="s">
        <v>760</v>
      </c>
      <c r="E23" s="9">
        <v>1</v>
      </c>
      <c r="F23" s="11" t="s">
        <v>761</v>
      </c>
      <c r="G23" s="11" t="s">
        <v>762</v>
      </c>
    </row>
    <row r="24" spans="1:7" ht="16.5">
      <c r="A24" s="9">
        <v>23</v>
      </c>
      <c r="B24" s="10">
        <v>8800</v>
      </c>
      <c r="C24" s="11" t="s">
        <v>759</v>
      </c>
      <c r="D24" s="11" t="s">
        <v>760</v>
      </c>
      <c r="E24" s="9">
        <v>1</v>
      </c>
      <c r="F24" s="11" t="s">
        <v>761</v>
      </c>
      <c r="G24" s="11" t="s">
        <v>762</v>
      </c>
    </row>
    <row r="25" spans="1:7" ht="16.5">
      <c r="A25" s="9">
        <v>24</v>
      </c>
      <c r="B25" s="10">
        <v>9200</v>
      </c>
      <c r="C25" s="11" t="s">
        <v>759</v>
      </c>
      <c r="D25" s="11" t="s">
        <v>760</v>
      </c>
      <c r="E25" s="9">
        <v>1</v>
      </c>
      <c r="F25" s="11" t="s">
        <v>761</v>
      </c>
      <c r="G25" s="11" t="s">
        <v>762</v>
      </c>
    </row>
    <row r="26" spans="1:7" ht="16.5">
      <c r="A26" s="9">
        <v>25</v>
      </c>
      <c r="B26" s="10">
        <v>9600</v>
      </c>
      <c r="C26" s="11" t="s">
        <v>759</v>
      </c>
      <c r="D26" s="11" t="s">
        <v>760</v>
      </c>
      <c r="E26" s="9">
        <v>1</v>
      </c>
      <c r="F26" s="11" t="s">
        <v>761</v>
      </c>
      <c r="G26" s="11" t="s">
        <v>762</v>
      </c>
    </row>
    <row r="27" spans="1:7" ht="16.5">
      <c r="A27" s="9">
        <v>26</v>
      </c>
      <c r="B27" s="10">
        <v>10000</v>
      </c>
      <c r="C27" s="11" t="s">
        <v>44</v>
      </c>
      <c r="D27" s="11" t="s">
        <v>763</v>
      </c>
      <c r="E27" s="9">
        <v>1</v>
      </c>
      <c r="F27" s="11" t="s">
        <v>614</v>
      </c>
      <c r="G27" s="11" t="s">
        <v>765</v>
      </c>
    </row>
    <row r="28" spans="1:7" ht="16.5">
      <c r="A28" s="9">
        <v>27</v>
      </c>
      <c r="B28" s="10">
        <v>10400</v>
      </c>
      <c r="C28" s="11" t="s">
        <v>759</v>
      </c>
      <c r="D28" s="11" t="s">
        <v>760</v>
      </c>
      <c r="E28" s="9">
        <v>1</v>
      </c>
      <c r="F28" s="11" t="s">
        <v>761</v>
      </c>
      <c r="G28" s="11" t="s">
        <v>762</v>
      </c>
    </row>
    <row r="29" spans="1:7" ht="16.5">
      <c r="A29" s="9">
        <v>28</v>
      </c>
      <c r="B29" s="10">
        <v>10800</v>
      </c>
      <c r="C29" s="11" t="s">
        <v>759</v>
      </c>
      <c r="D29" s="11" t="s">
        <v>760</v>
      </c>
      <c r="E29" s="9">
        <v>1</v>
      </c>
      <c r="F29" s="11" t="s">
        <v>761</v>
      </c>
      <c r="G29" s="11" t="s">
        <v>762</v>
      </c>
    </row>
    <row r="30" spans="1:7" ht="16.5">
      <c r="A30" s="9">
        <v>29</v>
      </c>
      <c r="B30" s="10">
        <v>11200</v>
      </c>
      <c r="C30" s="11" t="s">
        <v>759</v>
      </c>
      <c r="D30" s="11" t="s">
        <v>760</v>
      </c>
      <c r="E30" s="9">
        <v>1</v>
      </c>
      <c r="F30" s="11" t="s">
        <v>761</v>
      </c>
      <c r="G30" s="11" t="s">
        <v>762</v>
      </c>
    </row>
    <row r="31" spans="1:7" ht="16.5">
      <c r="A31" s="9">
        <v>30</v>
      </c>
      <c r="B31" s="10">
        <v>11600</v>
      </c>
      <c r="C31" s="11" t="s">
        <v>759</v>
      </c>
      <c r="D31" s="11" t="s">
        <v>760</v>
      </c>
      <c r="E31" s="9">
        <v>1</v>
      </c>
      <c r="F31" s="11" t="s">
        <v>761</v>
      </c>
      <c r="G31" s="11" t="s">
        <v>762</v>
      </c>
    </row>
    <row r="32" spans="1:7" ht="16.5">
      <c r="A32" s="9">
        <v>31</v>
      </c>
      <c r="B32" s="10">
        <v>12000</v>
      </c>
      <c r="C32" s="11" t="s">
        <v>52</v>
      </c>
      <c r="D32" s="11" t="s">
        <v>771</v>
      </c>
      <c r="E32" s="9">
        <v>1</v>
      </c>
      <c r="F32" s="11" t="s">
        <v>618</v>
      </c>
      <c r="G32" s="11" t="s">
        <v>766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3:H12"/>
  <sheetViews>
    <sheetView tabSelected="1" workbookViewId="0">
      <selection activeCell="C11" sqref="C11"/>
    </sheetView>
  </sheetViews>
  <sheetFormatPr defaultColWidth="9" defaultRowHeight="14.25"/>
  <sheetData>
    <row r="3" spans="1:8" s="1" customFormat="1" ht="16.5">
      <c r="A3" s="2">
        <v>10010</v>
      </c>
      <c r="B3" s="3" t="s">
        <v>767</v>
      </c>
      <c r="C3" s="2">
        <v>10000</v>
      </c>
      <c r="D3" s="2">
        <v>3</v>
      </c>
      <c r="E3" s="2">
        <v>1</v>
      </c>
      <c r="F3" s="4">
        <v>35010</v>
      </c>
      <c r="G3" s="5">
        <v>10002</v>
      </c>
      <c r="H3" s="3"/>
    </row>
    <row r="4" spans="1:8" s="1" customFormat="1" ht="16.5">
      <c r="A4" s="2">
        <v>10011</v>
      </c>
      <c r="B4" s="3" t="s">
        <v>768</v>
      </c>
      <c r="C4" s="2">
        <v>65000</v>
      </c>
      <c r="D4" s="2">
        <v>3</v>
      </c>
      <c r="E4" s="2">
        <v>1</v>
      </c>
      <c r="F4" s="4">
        <v>35011</v>
      </c>
      <c r="G4" s="5">
        <v>10007</v>
      </c>
      <c r="H4" s="3"/>
    </row>
    <row r="5" spans="1:8" s="1" customFormat="1" ht="16.5">
      <c r="A5" s="6">
        <v>30012</v>
      </c>
      <c r="B5" s="3" t="s">
        <v>767</v>
      </c>
      <c r="C5" s="2">
        <v>10000</v>
      </c>
      <c r="D5" s="2">
        <v>3</v>
      </c>
      <c r="E5" s="6">
        <v>3</v>
      </c>
      <c r="F5" s="4">
        <v>35212</v>
      </c>
      <c r="G5" s="5">
        <v>30002</v>
      </c>
      <c r="H5" s="3"/>
    </row>
    <row r="6" spans="1:8" s="1" customFormat="1" ht="16.5">
      <c r="A6" s="6">
        <v>30013</v>
      </c>
      <c r="B6" s="3" t="s">
        <v>768</v>
      </c>
      <c r="C6" s="2">
        <v>65000</v>
      </c>
      <c r="D6" s="2">
        <v>3</v>
      </c>
      <c r="E6" s="6">
        <v>3</v>
      </c>
      <c r="F6" s="4">
        <v>35213</v>
      </c>
      <c r="G6" s="5">
        <v>40008</v>
      </c>
      <c r="H6" s="3"/>
    </row>
    <row r="7" spans="1:8" s="1" customFormat="1" ht="16.5">
      <c r="A7" s="6">
        <v>40012</v>
      </c>
      <c r="B7" s="3" t="s">
        <v>767</v>
      </c>
      <c r="C7" s="2">
        <v>10000</v>
      </c>
      <c r="D7" s="2">
        <v>3</v>
      </c>
      <c r="E7" s="6">
        <v>4</v>
      </c>
      <c r="F7" s="4">
        <v>35312</v>
      </c>
      <c r="G7" s="5">
        <v>40002</v>
      </c>
      <c r="H7" s="3"/>
    </row>
    <row r="8" spans="1:8" s="1" customFormat="1" ht="16.5">
      <c r="A8" s="6">
        <v>40013</v>
      </c>
      <c r="B8" s="3" t="s">
        <v>768</v>
      </c>
      <c r="C8" s="2">
        <v>65000</v>
      </c>
      <c r="D8" s="2">
        <v>3</v>
      </c>
      <c r="E8" s="6">
        <v>4</v>
      </c>
      <c r="F8" s="4">
        <v>35313</v>
      </c>
      <c r="G8" s="5">
        <v>40007</v>
      </c>
      <c r="H8" s="3"/>
    </row>
    <row r="9" spans="1:8" s="1" customFormat="1" ht="16.5">
      <c r="A9" s="4">
        <v>50015</v>
      </c>
      <c r="B9" s="3" t="s">
        <v>767</v>
      </c>
      <c r="C9" s="2">
        <v>10000</v>
      </c>
      <c r="D9" s="2">
        <v>3</v>
      </c>
      <c r="E9" s="6">
        <v>5</v>
      </c>
      <c r="F9" s="4">
        <v>35415</v>
      </c>
      <c r="G9" s="5">
        <v>40002</v>
      </c>
      <c r="H9" s="3"/>
    </row>
    <row r="10" spans="1:8" s="1" customFormat="1" ht="16.5">
      <c r="A10" s="4">
        <v>50016</v>
      </c>
      <c r="B10" s="3" t="s">
        <v>768</v>
      </c>
      <c r="C10" s="2">
        <v>65000</v>
      </c>
      <c r="D10" s="2">
        <v>3</v>
      </c>
      <c r="E10" s="6">
        <v>5</v>
      </c>
      <c r="F10" s="4">
        <v>35416</v>
      </c>
      <c r="G10" s="5">
        <v>40007</v>
      </c>
      <c r="H10" s="3"/>
    </row>
    <row r="11" spans="1:8" s="1" customFormat="1" ht="16.5">
      <c r="A11" s="6">
        <v>60021</v>
      </c>
      <c r="B11" s="3" t="s">
        <v>767</v>
      </c>
      <c r="C11" s="2">
        <v>10000</v>
      </c>
      <c r="D11" s="2">
        <v>3</v>
      </c>
      <c r="E11" s="6">
        <v>6</v>
      </c>
      <c r="F11" s="4">
        <v>35521</v>
      </c>
      <c r="G11" s="5">
        <v>103</v>
      </c>
      <c r="H11" s="3"/>
    </row>
    <row r="12" spans="1:8" s="1" customFormat="1" ht="16.5">
      <c r="A12" s="6">
        <v>60022</v>
      </c>
      <c r="B12" s="3" t="s">
        <v>768</v>
      </c>
      <c r="C12" s="2">
        <v>65000</v>
      </c>
      <c r="D12" s="2">
        <v>3</v>
      </c>
      <c r="E12" s="6">
        <v>6</v>
      </c>
      <c r="F12" s="4">
        <v>35522</v>
      </c>
      <c r="G12" s="5">
        <v>110</v>
      </c>
      <c r="H12" s="3"/>
    </row>
  </sheetData>
  <conditionalFormatting sqref="F3:F4">
    <cfRule type="duplicateValues" dxfId="15" priority="15"/>
  </conditionalFormatting>
  <conditionalFormatting sqref="F3:F12">
    <cfRule type="cellIs" dxfId="14" priority="2" operator="equal">
      <formula>110509</formula>
    </cfRule>
  </conditionalFormatting>
  <conditionalFormatting sqref="F5:F6">
    <cfRule type="duplicateValues" dxfId="13" priority="9"/>
  </conditionalFormatting>
  <conditionalFormatting sqref="F7:F8">
    <cfRule type="duplicateValues" dxfId="12" priority="13"/>
  </conditionalFormatting>
  <conditionalFormatting sqref="F9:F10">
    <cfRule type="duplicateValues" dxfId="11" priority="1"/>
  </conditionalFormatting>
  <conditionalFormatting sqref="F11:F12">
    <cfRule type="duplicateValues" dxfId="10" priority="5"/>
  </conditionalFormatting>
  <conditionalFormatting sqref="G3">
    <cfRule type="duplicateValues" dxfId="9" priority="19"/>
  </conditionalFormatting>
  <conditionalFormatting sqref="G4">
    <cfRule type="duplicateValues" dxfId="8" priority="20"/>
  </conditionalFormatting>
  <conditionalFormatting sqref="G5">
    <cfRule type="duplicateValues" dxfId="7" priority="11"/>
  </conditionalFormatting>
  <conditionalFormatting sqref="G6">
    <cfRule type="duplicateValues" dxfId="6" priority="12"/>
  </conditionalFormatting>
  <conditionalFormatting sqref="G7">
    <cfRule type="duplicateValues" dxfId="5" priority="17"/>
  </conditionalFormatting>
  <conditionalFormatting sqref="G8">
    <cfRule type="duplicateValues" dxfId="4" priority="18"/>
  </conditionalFormatting>
  <conditionalFormatting sqref="G9">
    <cfRule type="duplicateValues" dxfId="3" priority="3"/>
  </conditionalFormatting>
  <conditionalFormatting sqref="G10">
    <cfRule type="duplicateValues" dxfId="2" priority="4"/>
  </conditionalFormatting>
  <conditionalFormatting sqref="G11">
    <cfRule type="duplicateValues" dxfId="1" priority="7"/>
  </conditionalFormatting>
  <conditionalFormatting sqref="G12">
    <cfRule type="duplicateValues" dxfId="0" priority="8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挂机掉落活动</vt:lpstr>
      <vt:lpstr>挂机掉落商店</vt:lpstr>
      <vt:lpstr>任务比拼活动</vt:lpstr>
      <vt:lpstr>任务比拼详情</vt:lpstr>
      <vt:lpstr>任务比拼排行榜</vt:lpstr>
      <vt:lpstr>限时活动排序</vt:lpstr>
      <vt:lpstr>精英召唤活动</vt:lpstr>
      <vt:lpstr>精英召唤方式</vt:lpstr>
      <vt:lpstr>精英召唤奖励</vt:lpstr>
      <vt:lpstr>精英召唤商店</vt:lpstr>
      <vt:lpstr>精英召唤商品</vt:lpstr>
      <vt:lpstr>每日限购活动</vt:lpstr>
      <vt:lpstr>每日限购活动商店</vt:lpstr>
      <vt:lpstr>战令活动基础</vt:lpstr>
      <vt:lpstr>战令积分奖励</vt:lpstr>
      <vt:lpstr>战令任务</vt:lpstr>
      <vt:lpstr>迷宫战令基础</vt:lpstr>
      <vt:lpstr>迷宫战令积分奖励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2006-09-16T00:00:00Z</dcterms:created>
  <dcterms:modified xsi:type="dcterms:W3CDTF">2025-11-06T08:21:23Z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14B5AD4CBBC3402CACF7B048EE7352C3</vt:lpwstr>
  </property>
</Properties>
</file>