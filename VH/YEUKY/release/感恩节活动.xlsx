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5050A675-4278-48E3-941D-915B342CDD52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感恩节活动基础" sheetId="1" r:id="rId1"/>
    <sheet name="感恩节活动召唤方式" sheetId="2" r:id="rId2"/>
    <sheet name="感恩节活动召唤分组" sheetId="3" r:id="rId3"/>
    <sheet name="作弊规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3" l="1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1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-1为无限
</t>
        </r>
      </text>
    </comment>
  </commentList>
</comments>
</file>

<file path=xl/sharedStrings.xml><?xml version="1.0" encoding="utf-8"?>
<sst xmlns="http://schemas.openxmlformats.org/spreadsheetml/2006/main" count="138" uniqueCount="129">
  <si>
    <t>活动ID</t>
  </si>
  <si>
    <t>活动名称</t>
  </si>
  <si>
    <t>开服天数</t>
  </si>
  <si>
    <t>开始时间</t>
  </si>
  <si>
    <t>结束时间</t>
  </si>
  <si>
    <t>活动分组</t>
  </si>
  <si>
    <t>奖励预览</t>
  </si>
  <si>
    <r>
      <rPr>
        <sz val="10.5"/>
        <color rgb="FF000000"/>
        <rFont val="Helvetica"/>
        <charset val="134"/>
      </rPr>
      <t>Gà tây thịnh yến</t>
    </r>
  </si>
  <si>
    <t>3:590004#3:500026#3:710025#3:400018</t>
  </si>
  <si>
    <r>
      <rPr>
        <sz val="10.5"/>
        <color rgb="FF000000"/>
        <rFont val="Helvetica"/>
        <charset val="134"/>
      </rPr>
      <t>Chè trôi nước</t>
    </r>
  </si>
  <si>
    <t>3:590004#3:500026#3:710022#3:400018</t>
  </si>
  <si>
    <t>ID</t>
  </si>
  <si>
    <t>召唤类型</t>
  </si>
  <si>
    <t>消耗道具数量</t>
  </si>
  <si>
    <t>次数</t>
  </si>
  <si>
    <t>所属召唤组</t>
  </si>
  <si>
    <t>0:1:0</t>
  </si>
  <si>
    <t>0:1:100</t>
  </si>
  <si>
    <t>3:100511:1</t>
  </si>
  <si>
    <t>道具ID</t>
  </si>
  <si>
    <t>权重</t>
  </si>
  <si>
    <t>是否公告</t>
  </si>
  <si>
    <t>*备注</t>
  </si>
  <si>
    <t>0:0:100000#3:200069:1</t>
  </si>
  <si>
    <t>金币*100000,食材*1</t>
  </si>
  <si>
    <t>0:4:100000#3:200069:1</t>
  </si>
  <si>
    <t>英雄经验*100000,食材*1</t>
  </si>
  <si>
    <t>3:100001:100#3:200069:1</t>
  </si>
  <si>
    <t>进阶石*100,食材*1</t>
  </si>
  <si>
    <t>3:100027:3#3:200069:1</t>
  </si>
  <si>
    <t>悬赏刷新券*3,食材*1</t>
  </si>
  <si>
    <t>3:100023:1#3:200069:1</t>
  </si>
  <si>
    <t>演武场挑战券*1,食材*1</t>
  </si>
  <si>
    <t>3:100059:1#3:200069:1</t>
  </si>
  <si>
    <t>魂丹*1,食材*1</t>
  </si>
  <si>
    <t>3:100004:100#3:200069:2</t>
  </si>
  <si>
    <t>鎏金粉*100,食材*2</t>
  </si>
  <si>
    <t>4:606002:5#3:200069:2</t>
  </si>
  <si>
    <t>5星随机碎片*5,食材*2</t>
  </si>
  <si>
    <t>3:100031:5#3:200069:1</t>
  </si>
  <si>
    <t>洗练石*5,食材*1</t>
  </si>
  <si>
    <t>3:400036:1#3:200069:2</t>
  </si>
  <si>
    <t>低级附魔自选*1,食材*2</t>
  </si>
  <si>
    <t>0:0:1000000#3:200069:1</t>
  </si>
  <si>
    <t>金币*1000000,食材*1</t>
  </si>
  <si>
    <t>0:4:1000000#3:200069:1</t>
  </si>
  <si>
    <t>英雄经验*1000000,食材*1</t>
  </si>
  <si>
    <t>3:100001:200#3:200069:2</t>
  </si>
  <si>
    <t>进阶石*200,食材*2</t>
  </si>
  <si>
    <t>3:100027:5#3:200069:2</t>
  </si>
  <si>
    <t>悬赏刷新券*5,食材*2</t>
  </si>
  <si>
    <t>3:100023:5#3:200069:2</t>
  </si>
  <si>
    <t>演武场挑战券*5,食材*2</t>
  </si>
  <si>
    <t>3:100059:5#3:200069:1</t>
  </si>
  <si>
    <t>魂丹*5,食材*1</t>
  </si>
  <si>
    <t>3:100004:1000#3:200069:3</t>
  </si>
  <si>
    <t>鎏金粉*1000,食材*3</t>
  </si>
  <si>
    <t>4:606002:10#3:200069:3</t>
  </si>
  <si>
    <t>5星随机碎片*10,食材*3</t>
  </si>
  <si>
    <t>3:100031:10#3:200069:2</t>
  </si>
  <si>
    <t>洗练石*10,食材*2</t>
  </si>
  <si>
    <t>3:400037:1#3:200069:3</t>
  </si>
  <si>
    <t>中级附魔自选*1,食材*3</t>
  </si>
  <si>
    <t>3:100022:1#3:200069:2</t>
  </si>
  <si>
    <t>高级点将券*1,食材*2</t>
  </si>
  <si>
    <t>3:100025:1#3:200069:3</t>
  </si>
  <si>
    <t>命签*1,食材*3</t>
  </si>
  <si>
    <t>3:100006:1#3:200069:3</t>
  </si>
  <si>
    <t>高级寻宝券*1,食材*3</t>
  </si>
  <si>
    <t>3:400038:1</t>
  </si>
  <si>
    <t>高级附魔自选*1</t>
  </si>
  <si>
    <t>3:100022:5</t>
  </si>
  <si>
    <t>高级点将券*5</t>
  </si>
  <si>
    <t>3:100022:10</t>
  </si>
  <si>
    <t>高级点将券*10</t>
  </si>
  <si>
    <t>3:100006:5</t>
  </si>
  <si>
    <t>高级寻宝券*5</t>
  </si>
  <si>
    <t>3:100006:10</t>
  </si>
  <si>
    <t>高级寻宝券*10</t>
  </si>
  <si>
    <t>5:20001:2</t>
  </si>
  <si>
    <t>龙魂*2</t>
  </si>
  <si>
    <t>3:500011:1</t>
  </si>
  <si>
    <t>篆印自选礼包*1</t>
  </si>
  <si>
    <t>3:400017:1</t>
  </si>
  <si>
    <t>随机篆印礼包*1</t>
  </si>
  <si>
    <t>4:606015:25</t>
  </si>
  <si>
    <t>5星神魔碎片*25</t>
  </si>
  <si>
    <t>3:400040:25</t>
  </si>
  <si>
    <t>福地珍藏*25</t>
  </si>
  <si>
    <t>3:200105:1</t>
  </si>
  <si>
    <t>幼年·应龙蛋*1</t>
  </si>
  <si>
    <t>3:200108:1</t>
  </si>
  <si>
    <t>幼年·云龙蛋*1</t>
  </si>
  <si>
    <t>3:200107:1</t>
  </si>
  <si>
    <t>幼年·虬龙蛋*1</t>
  </si>
  <si>
    <t>3:100217:100</t>
  </si>
  <si>
    <t>仙器精华*100</t>
  </si>
  <si>
    <t>3:100036:100</t>
  </si>
  <si>
    <t>兽魂碎片*100</t>
  </si>
  <si>
    <t>3:100253:50</t>
  </si>
  <si>
    <t>布偶*50</t>
  </si>
  <si>
    <t>3:100255:5</t>
  </si>
  <si>
    <t>兽灵技能书*5</t>
  </si>
  <si>
    <t>3:100046:1</t>
  </si>
  <si>
    <t>重铸丹*1</t>
  </si>
  <si>
    <t>3:200101:10</t>
  </si>
  <si>
    <t>龙鳞*10</t>
  </si>
  <si>
    <t>3:200102:20</t>
  </si>
  <si>
    <t>初级强化石*20</t>
  </si>
  <si>
    <t>3:560002:1</t>
  </si>
  <si>
    <t>龙雀之姿*1</t>
  </si>
  <si>
    <t>3:100231:1</t>
  </si>
  <si>
    <t>小型珍藏宝盒*1</t>
  </si>
  <si>
    <t>3:590007:1</t>
  </si>
  <si>
    <t>经典皮肤自选盒*1</t>
  </si>
  <si>
    <t>3:500026:1</t>
  </si>
  <si>
    <t>专属仙器自选*1</t>
  </si>
  <si>
    <t>3:590004:1</t>
  </si>
  <si>
    <t>龙王自选*1</t>
  </si>
  <si>
    <t>3:710022:5</t>
  </si>
  <si>
    <t>暗星魔王碎片*5</t>
  </si>
  <si>
    <t>3:400048:1</t>
  </si>
  <si>
    <t>红3定制装备*1</t>
  </si>
  <si>
    <t>3:400018:1</t>
  </si>
  <si>
    <t>天级兽魂礼包*1</t>
  </si>
  <si>
    <t>前多少次必得</t>
  </si>
  <si>
    <t>奖励道具</t>
  </si>
  <si>
    <t>2024-12-03 00:00:00</t>
  </si>
  <si>
    <t>2026-01-31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</si>
</sst>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.5"/>
      <color rgb="FF000000"/>
      <name val="Helvetica"/>
      <charset val="134"/>
    </font>
    <font>
      <b/>
      <sz val="9"/>
      <name val="SimSun"/>
      <charset val="134"/>
    </font>
    <font>
      <sz val="9"/>
      <name val="SimSun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10" fontId="0" fillId="0" borderId="0" xfId="0" applyNumberFormat="1"/>
    <xf numFmtId="0" fontId="0" fillId="2" borderId="0" xfId="0" applyFill="1" applyAlignment="1">
      <alignment vertical="center"/>
    </xf>
    <xf numFmtId="49" fontId="0" fillId="0" borderId="0" xfId="0" applyNumberFormat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"/>
  <sheetViews>
    <sheetView workbookViewId="0">
      <selection activeCell="D3" sqref="D3:E3"/>
    </sheetView>
  </sheetViews>
  <sheetFormatPr defaultColWidth="9" defaultRowHeight="15"/>
  <cols>
    <col min="1" max="1" width="7.5703125" customWidth="1"/>
    <col min="4" max="5" width="19.7109375" customWidth="1"/>
    <col min="7" max="7" width="3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41.25">
      <c r="A2">
        <v>1001</v>
      </c>
      <c r="B2" s="6" t="s">
        <v>7</v>
      </c>
      <c r="C2">
        <v>1</v>
      </c>
      <c r="D2" s="5" t="s">
        <v>127</v>
      </c>
      <c r="E2" s="5" t="s">
        <v>128</v>
      </c>
      <c r="F2">
        <v>1</v>
      </c>
      <c r="G2" t="s">
        <v>8</v>
      </c>
    </row>
    <row r="3" spans="1:7" ht="27.75">
      <c r="A3">
        <v>1002</v>
      </c>
      <c r="B3" s="6" t="s">
        <v>9</v>
      </c>
      <c r="C3">
        <v>1</v>
      </c>
      <c r="D3" s="5" t="s">
        <v>127</v>
      </c>
      <c r="E3" s="5" t="s">
        <v>128</v>
      </c>
      <c r="F3">
        <v>1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"/>
  <sheetViews>
    <sheetView workbookViewId="0">
      <selection activeCell="F29" sqref="F29"/>
    </sheetView>
  </sheetViews>
  <sheetFormatPr defaultColWidth="9" defaultRowHeight="15"/>
  <cols>
    <col min="3" max="3" width="13" customWidth="1"/>
    <col min="4" max="4" width="5.28515625" customWidth="1"/>
  </cols>
  <sheetData>
    <row r="1" spans="1:6">
      <c r="A1" t="s">
        <v>11</v>
      </c>
      <c r="B1" t="s">
        <v>12</v>
      </c>
      <c r="C1" t="s">
        <v>13</v>
      </c>
      <c r="D1" t="s">
        <v>14</v>
      </c>
      <c r="E1" t="s">
        <v>5</v>
      </c>
      <c r="F1" t="s">
        <v>15</v>
      </c>
    </row>
    <row r="2" spans="1:6">
      <c r="A2">
        <v>1001</v>
      </c>
      <c r="B2">
        <v>1</v>
      </c>
      <c r="C2" s="5" t="s">
        <v>16</v>
      </c>
      <c r="D2">
        <v>3</v>
      </c>
      <c r="E2">
        <v>1</v>
      </c>
      <c r="F2">
        <v>101</v>
      </c>
    </row>
    <row r="3" spans="1:6">
      <c r="A3">
        <v>2001</v>
      </c>
      <c r="B3">
        <v>2</v>
      </c>
      <c r="C3" s="5" t="s">
        <v>17</v>
      </c>
      <c r="D3">
        <v>10</v>
      </c>
      <c r="E3">
        <v>1</v>
      </c>
      <c r="F3">
        <v>102</v>
      </c>
    </row>
    <row r="4" spans="1:6">
      <c r="A4">
        <v>3001</v>
      </c>
      <c r="B4">
        <v>3</v>
      </c>
      <c r="C4" s="5" t="s">
        <v>18</v>
      </c>
      <c r="D4">
        <v>-1</v>
      </c>
      <c r="E4">
        <v>1</v>
      </c>
      <c r="F4">
        <v>103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2"/>
  <sheetViews>
    <sheetView topLeftCell="A22" workbookViewId="0">
      <selection activeCell="F45" sqref="F45"/>
    </sheetView>
  </sheetViews>
  <sheetFormatPr defaultColWidth="9" defaultRowHeight="15"/>
  <cols>
    <col min="2" max="2" width="24.5703125" customWidth="1"/>
    <col min="3" max="3" width="18.140625" customWidth="1"/>
    <col min="4" max="4" width="11" customWidth="1"/>
    <col min="5" max="5" width="8.85546875" customWidth="1"/>
    <col min="7" max="7" width="12.5703125" customWidth="1"/>
    <col min="8" max="8" width="12.5703125"/>
  </cols>
  <sheetData>
    <row r="1" spans="1:6">
      <c r="A1" t="s">
        <v>11</v>
      </c>
      <c r="B1" t="s">
        <v>19</v>
      </c>
      <c r="C1" t="s">
        <v>20</v>
      </c>
      <c r="D1" t="s">
        <v>15</v>
      </c>
      <c r="E1" t="s">
        <v>21</v>
      </c>
      <c r="F1" t="s">
        <v>22</v>
      </c>
    </row>
    <row r="2" spans="1:6">
      <c r="A2">
        <v>1001</v>
      </c>
      <c r="B2" t="s">
        <v>23</v>
      </c>
      <c r="C2">
        <v>50</v>
      </c>
      <c r="D2">
        <v>101</v>
      </c>
      <c r="F2" t="s">
        <v>24</v>
      </c>
    </row>
    <row r="3" spans="1:6">
      <c r="A3">
        <v>1002</v>
      </c>
      <c r="B3" t="s">
        <v>25</v>
      </c>
      <c r="C3">
        <v>50</v>
      </c>
      <c r="D3">
        <v>101</v>
      </c>
      <c r="F3" t="s">
        <v>26</v>
      </c>
    </row>
    <row r="4" spans="1:6">
      <c r="A4">
        <v>1003</v>
      </c>
      <c r="B4" t="s">
        <v>27</v>
      </c>
      <c r="C4">
        <v>20</v>
      </c>
      <c r="D4">
        <v>101</v>
      </c>
      <c r="F4" t="s">
        <v>28</v>
      </c>
    </row>
    <row r="5" spans="1:6">
      <c r="A5">
        <v>1004</v>
      </c>
      <c r="B5" t="s">
        <v>29</v>
      </c>
      <c r="C5">
        <v>50</v>
      </c>
      <c r="D5">
        <v>101</v>
      </c>
      <c r="F5" t="s">
        <v>30</v>
      </c>
    </row>
    <row r="6" spans="1:6">
      <c r="A6">
        <v>1005</v>
      </c>
      <c r="B6" t="s">
        <v>31</v>
      </c>
      <c r="C6">
        <v>50</v>
      </c>
      <c r="D6">
        <v>101</v>
      </c>
      <c r="F6" t="s">
        <v>32</v>
      </c>
    </row>
    <row r="7" spans="1:6">
      <c r="A7">
        <v>1006</v>
      </c>
      <c r="B7" t="s">
        <v>33</v>
      </c>
      <c r="C7">
        <v>50</v>
      </c>
      <c r="D7">
        <v>101</v>
      </c>
      <c r="F7" t="s">
        <v>34</v>
      </c>
    </row>
    <row r="8" spans="1:6">
      <c r="A8">
        <v>1007</v>
      </c>
      <c r="B8" t="s">
        <v>35</v>
      </c>
      <c r="C8">
        <v>10</v>
      </c>
      <c r="D8">
        <v>101</v>
      </c>
      <c r="F8" t="s">
        <v>36</v>
      </c>
    </row>
    <row r="9" spans="1:6">
      <c r="A9">
        <v>1008</v>
      </c>
      <c r="B9" t="s">
        <v>37</v>
      </c>
      <c r="C9">
        <v>10</v>
      </c>
      <c r="D9">
        <v>101</v>
      </c>
      <c r="F9" t="s">
        <v>38</v>
      </c>
    </row>
    <row r="10" spans="1:6">
      <c r="A10">
        <v>1009</v>
      </c>
      <c r="B10" t="s">
        <v>39</v>
      </c>
      <c r="C10">
        <v>20</v>
      </c>
      <c r="D10">
        <v>101</v>
      </c>
      <c r="F10" t="s">
        <v>40</v>
      </c>
    </row>
    <row r="11" spans="1:6">
      <c r="A11">
        <v>1010</v>
      </c>
      <c r="B11" t="s">
        <v>41</v>
      </c>
      <c r="C11">
        <v>10</v>
      </c>
      <c r="D11">
        <v>101</v>
      </c>
      <c r="F11" t="s">
        <v>42</v>
      </c>
    </row>
    <row r="12" spans="1:6">
      <c r="A12">
        <v>2001</v>
      </c>
      <c r="B12" t="s">
        <v>43</v>
      </c>
      <c r="C12">
        <v>50</v>
      </c>
      <c r="D12">
        <v>102</v>
      </c>
      <c r="F12" t="s">
        <v>44</v>
      </c>
    </row>
    <row r="13" spans="1:6">
      <c r="A13">
        <v>2002</v>
      </c>
      <c r="B13" t="s">
        <v>45</v>
      </c>
      <c r="C13">
        <v>50</v>
      </c>
      <c r="D13">
        <v>102</v>
      </c>
      <c r="F13" t="s">
        <v>46</v>
      </c>
    </row>
    <row r="14" spans="1:6">
      <c r="A14">
        <v>2003</v>
      </c>
      <c r="B14" t="s">
        <v>47</v>
      </c>
      <c r="C14">
        <v>20</v>
      </c>
      <c r="D14">
        <v>102</v>
      </c>
      <c r="F14" t="s">
        <v>48</v>
      </c>
    </row>
    <row r="15" spans="1:6">
      <c r="A15">
        <v>2004</v>
      </c>
      <c r="B15" t="s">
        <v>49</v>
      </c>
      <c r="C15">
        <v>50</v>
      </c>
      <c r="D15">
        <v>102</v>
      </c>
      <c r="F15" t="s">
        <v>50</v>
      </c>
    </row>
    <row r="16" spans="1:6">
      <c r="A16">
        <v>2005</v>
      </c>
      <c r="B16" t="s">
        <v>51</v>
      </c>
      <c r="C16">
        <v>50</v>
      </c>
      <c r="D16">
        <v>102</v>
      </c>
      <c r="F16" t="s">
        <v>52</v>
      </c>
    </row>
    <row r="17" spans="1:8">
      <c r="A17">
        <v>2006</v>
      </c>
      <c r="B17" t="s">
        <v>53</v>
      </c>
      <c r="C17">
        <v>50</v>
      </c>
      <c r="D17">
        <v>102</v>
      </c>
      <c r="F17" t="s">
        <v>54</v>
      </c>
    </row>
    <row r="18" spans="1:8">
      <c r="A18">
        <v>2007</v>
      </c>
      <c r="B18" t="s">
        <v>55</v>
      </c>
      <c r="C18">
        <v>10</v>
      </c>
      <c r="D18">
        <v>102</v>
      </c>
      <c r="F18" t="s">
        <v>56</v>
      </c>
    </row>
    <row r="19" spans="1:8">
      <c r="A19">
        <v>2008</v>
      </c>
      <c r="B19" t="s">
        <v>57</v>
      </c>
      <c r="C19">
        <v>10</v>
      </c>
      <c r="D19">
        <v>102</v>
      </c>
      <c r="F19" t="s">
        <v>58</v>
      </c>
    </row>
    <row r="20" spans="1:8">
      <c r="A20">
        <v>2009</v>
      </c>
      <c r="B20" t="s">
        <v>59</v>
      </c>
      <c r="C20">
        <v>20</v>
      </c>
      <c r="D20">
        <v>102</v>
      </c>
      <c r="F20" t="s">
        <v>60</v>
      </c>
    </row>
    <row r="21" spans="1:8">
      <c r="A21">
        <v>2010</v>
      </c>
      <c r="B21" t="s">
        <v>61</v>
      </c>
      <c r="C21">
        <v>10</v>
      </c>
      <c r="D21">
        <v>102</v>
      </c>
      <c r="F21" t="s">
        <v>62</v>
      </c>
    </row>
    <row r="22" spans="1:8">
      <c r="A22">
        <v>2011</v>
      </c>
      <c r="B22" t="s">
        <v>63</v>
      </c>
      <c r="C22">
        <v>10</v>
      </c>
      <c r="D22">
        <v>102</v>
      </c>
      <c r="F22" t="s">
        <v>64</v>
      </c>
    </row>
    <row r="23" spans="1:8">
      <c r="A23">
        <v>2012</v>
      </c>
      <c r="B23" t="s">
        <v>65</v>
      </c>
      <c r="C23">
        <v>5</v>
      </c>
      <c r="D23">
        <v>102</v>
      </c>
      <c r="F23" t="s">
        <v>66</v>
      </c>
    </row>
    <row r="24" spans="1:8">
      <c r="A24">
        <v>2013</v>
      </c>
      <c r="B24" t="s">
        <v>67</v>
      </c>
      <c r="C24">
        <v>5</v>
      </c>
      <c r="D24">
        <v>102</v>
      </c>
      <c r="F24" t="s">
        <v>68</v>
      </c>
    </row>
    <row r="25" spans="1:8" ht="15.75">
      <c r="A25" s="1">
        <v>3001</v>
      </c>
      <c r="B25" s="2" t="s">
        <v>69</v>
      </c>
      <c r="C25" s="1">
        <v>42</v>
      </c>
      <c r="D25" s="1">
        <v>103</v>
      </c>
      <c r="E25" s="1"/>
      <c r="F25" s="1" t="s">
        <v>70</v>
      </c>
      <c r="H25" s="3">
        <f t="shared" ref="H25:H32" si="0">C25/SUM($C$25:$C$52)</f>
        <v>2.9146426092990979E-2</v>
      </c>
    </row>
    <row r="26" spans="1:8" ht="15.75">
      <c r="A26" s="1">
        <v>3002</v>
      </c>
      <c r="B26" s="2" t="s">
        <v>71</v>
      </c>
      <c r="C26" s="1">
        <v>200</v>
      </c>
      <c r="D26" s="1">
        <v>103</v>
      </c>
      <c r="E26" s="1"/>
      <c r="F26" s="1" t="s">
        <v>72</v>
      </c>
      <c r="H26" s="3">
        <f t="shared" si="0"/>
        <v>0.13879250520471895</v>
      </c>
    </row>
    <row r="27" spans="1:8" ht="15.75">
      <c r="A27" s="1">
        <v>3003</v>
      </c>
      <c r="B27" s="2" t="s">
        <v>73</v>
      </c>
      <c r="C27" s="1">
        <v>75</v>
      </c>
      <c r="D27" s="1">
        <v>103</v>
      </c>
      <c r="E27" s="1"/>
      <c r="F27" s="1" t="s">
        <v>74</v>
      </c>
      <c r="H27" s="3">
        <f t="shared" si="0"/>
        <v>5.2047189451769602E-2</v>
      </c>
    </row>
    <row r="28" spans="1:8" ht="15.75">
      <c r="A28" s="1">
        <v>3004</v>
      </c>
      <c r="B28" s="2" t="s">
        <v>75</v>
      </c>
      <c r="C28" s="1">
        <v>150</v>
      </c>
      <c r="D28" s="1">
        <v>103</v>
      </c>
      <c r="E28" s="1"/>
      <c r="F28" s="1" t="s">
        <v>76</v>
      </c>
      <c r="H28" s="3">
        <f t="shared" si="0"/>
        <v>0.1040943789035392</v>
      </c>
    </row>
    <row r="29" spans="1:8" ht="15.75">
      <c r="A29" s="1">
        <v>3004</v>
      </c>
      <c r="B29" s="2" t="s">
        <v>77</v>
      </c>
      <c r="C29" s="1">
        <v>50</v>
      </c>
      <c r="D29" s="1">
        <v>103</v>
      </c>
      <c r="E29" s="1"/>
      <c r="F29" s="1" t="s">
        <v>78</v>
      </c>
      <c r="H29" s="3">
        <f t="shared" si="0"/>
        <v>3.4698126301179737E-2</v>
      </c>
    </row>
    <row r="30" spans="1:8" ht="15.75">
      <c r="A30" s="1">
        <v>3005</v>
      </c>
      <c r="B30" s="2" t="s">
        <v>79</v>
      </c>
      <c r="C30" s="1">
        <v>25</v>
      </c>
      <c r="D30" s="1">
        <v>103</v>
      </c>
      <c r="E30" s="1">
        <v>1</v>
      </c>
      <c r="F30" s="1" t="s">
        <v>80</v>
      </c>
      <c r="H30" s="3">
        <f t="shared" si="0"/>
        <v>1.7349063150589868E-2</v>
      </c>
    </row>
    <row r="31" spans="1:8" ht="15.75">
      <c r="A31" s="1">
        <v>3006</v>
      </c>
      <c r="B31" s="2" t="s">
        <v>81</v>
      </c>
      <c r="C31" s="1">
        <v>20</v>
      </c>
      <c r="D31" s="1">
        <v>103</v>
      </c>
      <c r="E31" s="1">
        <v>1</v>
      </c>
      <c r="F31" s="1" t="s">
        <v>82</v>
      </c>
      <c r="H31" s="3">
        <f t="shared" si="0"/>
        <v>1.3879250520471894E-2</v>
      </c>
    </row>
    <row r="32" spans="1:8" ht="15.75">
      <c r="A32" s="1">
        <v>3006</v>
      </c>
      <c r="B32" s="2" t="s">
        <v>83</v>
      </c>
      <c r="C32" s="1">
        <v>40</v>
      </c>
      <c r="D32" s="1">
        <v>103</v>
      </c>
      <c r="E32" s="1">
        <v>1</v>
      </c>
      <c r="F32" s="1" t="s">
        <v>84</v>
      </c>
      <c r="H32" s="3">
        <f t="shared" si="0"/>
        <v>2.7758501040943788E-2</v>
      </c>
    </row>
    <row r="33" spans="1:8" ht="15.75">
      <c r="A33" s="1">
        <v>3007</v>
      </c>
      <c r="B33" s="2" t="s">
        <v>85</v>
      </c>
      <c r="C33" s="1">
        <v>35</v>
      </c>
      <c r="D33" s="1">
        <v>103</v>
      </c>
      <c r="E33" s="1">
        <v>1</v>
      </c>
      <c r="F33" s="1" t="s">
        <v>86</v>
      </c>
      <c r="H33" s="3">
        <f t="shared" ref="H33:H52" si="1">C33/SUM($C$25:$C$52)</f>
        <v>2.4288688410825817E-2</v>
      </c>
    </row>
    <row r="34" spans="1:8" ht="15.75">
      <c r="A34" s="1">
        <v>3008</v>
      </c>
      <c r="B34" s="2" t="s">
        <v>87</v>
      </c>
      <c r="C34" s="1">
        <v>75</v>
      </c>
      <c r="D34" s="1">
        <v>103</v>
      </c>
      <c r="E34" s="1"/>
      <c r="F34" s="1" t="s">
        <v>88</v>
      </c>
      <c r="H34" s="3">
        <f t="shared" si="1"/>
        <v>5.2047189451769602E-2</v>
      </c>
    </row>
    <row r="35" spans="1:8" ht="15.75">
      <c r="A35" s="1">
        <v>3009</v>
      </c>
      <c r="B35" s="2" t="s">
        <v>89</v>
      </c>
      <c r="C35" s="1">
        <v>75</v>
      </c>
      <c r="D35" s="1">
        <v>103</v>
      </c>
      <c r="E35" s="1">
        <v>1</v>
      </c>
      <c r="F35" s="1" t="s">
        <v>90</v>
      </c>
      <c r="H35" s="3">
        <f t="shared" si="1"/>
        <v>5.2047189451769602E-2</v>
      </c>
    </row>
    <row r="36" spans="1:8" ht="15.75">
      <c r="A36" s="1">
        <v>3010</v>
      </c>
      <c r="B36" s="2" t="s">
        <v>91</v>
      </c>
      <c r="C36" s="1">
        <v>75</v>
      </c>
      <c r="D36" s="1">
        <v>103</v>
      </c>
      <c r="E36" s="1"/>
      <c r="F36" s="1" t="s">
        <v>92</v>
      </c>
      <c r="H36" s="3">
        <f t="shared" si="1"/>
        <v>5.2047189451769602E-2</v>
      </c>
    </row>
    <row r="37" spans="1:8" ht="15.75">
      <c r="A37" s="1">
        <v>3011</v>
      </c>
      <c r="B37" s="2" t="s">
        <v>93</v>
      </c>
      <c r="C37" s="1">
        <v>75</v>
      </c>
      <c r="D37" s="1">
        <v>103</v>
      </c>
      <c r="E37" s="1"/>
      <c r="F37" s="1" t="s">
        <v>94</v>
      </c>
      <c r="H37" s="3">
        <f t="shared" si="1"/>
        <v>5.2047189451769602E-2</v>
      </c>
    </row>
    <row r="38" spans="1:8" ht="15.75">
      <c r="A38" s="1">
        <v>3012</v>
      </c>
      <c r="B38" s="2" t="s">
        <v>95</v>
      </c>
      <c r="C38" s="1">
        <v>15</v>
      </c>
      <c r="D38" s="1">
        <v>103</v>
      </c>
      <c r="E38" s="1"/>
      <c r="F38" s="1" t="s">
        <v>96</v>
      </c>
      <c r="H38" s="3">
        <f t="shared" si="1"/>
        <v>1.0409437890353921E-2</v>
      </c>
    </row>
    <row r="39" spans="1:8" ht="15.75">
      <c r="A39" s="1">
        <v>3013</v>
      </c>
      <c r="B39" s="2" t="s">
        <v>97</v>
      </c>
      <c r="C39" s="1">
        <v>20</v>
      </c>
      <c r="D39" s="1">
        <v>103</v>
      </c>
      <c r="E39" s="1">
        <v>1</v>
      </c>
      <c r="F39" s="1" t="s">
        <v>98</v>
      </c>
      <c r="H39" s="3">
        <f t="shared" si="1"/>
        <v>1.3879250520471894E-2</v>
      </c>
    </row>
    <row r="40" spans="1:8" ht="15.75">
      <c r="A40" s="1">
        <v>3014</v>
      </c>
      <c r="B40" s="2" t="s">
        <v>99</v>
      </c>
      <c r="C40" s="1">
        <v>45</v>
      </c>
      <c r="D40" s="1">
        <v>103</v>
      </c>
      <c r="E40" s="1"/>
      <c r="F40" s="1" t="s">
        <v>100</v>
      </c>
      <c r="H40" s="3">
        <f t="shared" si="1"/>
        <v>3.1228313671061762E-2</v>
      </c>
    </row>
    <row r="41" spans="1:8" ht="15.75">
      <c r="A41" s="1">
        <v>3015</v>
      </c>
      <c r="B41" s="2" t="s">
        <v>101</v>
      </c>
      <c r="C41" s="1">
        <v>45</v>
      </c>
      <c r="D41" s="1">
        <v>103</v>
      </c>
      <c r="E41" s="1"/>
      <c r="F41" s="1" t="s">
        <v>102</v>
      </c>
      <c r="H41" s="3">
        <f t="shared" si="1"/>
        <v>3.1228313671061762E-2</v>
      </c>
    </row>
    <row r="42" spans="1:8" ht="15.75">
      <c r="A42" s="1">
        <v>3016</v>
      </c>
      <c r="B42" s="2" t="s">
        <v>103</v>
      </c>
      <c r="C42" s="1">
        <v>45</v>
      </c>
      <c r="D42" s="1">
        <v>103</v>
      </c>
      <c r="E42" s="1">
        <v>1</v>
      </c>
      <c r="F42" s="1" t="s">
        <v>104</v>
      </c>
      <c r="H42" s="3">
        <f t="shared" si="1"/>
        <v>3.1228313671061762E-2</v>
      </c>
    </row>
    <row r="43" spans="1:8" ht="15.75">
      <c r="A43" s="1">
        <v>3017</v>
      </c>
      <c r="B43" s="2" t="s">
        <v>105</v>
      </c>
      <c r="C43" s="1">
        <v>100</v>
      </c>
      <c r="D43" s="1">
        <v>103</v>
      </c>
      <c r="E43" s="1">
        <v>1</v>
      </c>
      <c r="F43" s="1" t="s">
        <v>106</v>
      </c>
      <c r="H43" s="3">
        <f t="shared" si="1"/>
        <v>6.9396252602359473E-2</v>
      </c>
    </row>
    <row r="44" spans="1:8" ht="15.75">
      <c r="A44" s="1">
        <v>3018</v>
      </c>
      <c r="B44" s="2" t="s">
        <v>107</v>
      </c>
      <c r="C44" s="1">
        <v>45</v>
      </c>
      <c r="D44" s="1">
        <v>103</v>
      </c>
      <c r="E44" s="1">
        <v>1</v>
      </c>
      <c r="F44" s="1" t="s">
        <v>108</v>
      </c>
      <c r="H44" s="3">
        <f t="shared" si="1"/>
        <v>3.1228313671061762E-2</v>
      </c>
    </row>
    <row r="45" spans="1:8" ht="15.75">
      <c r="A45" s="1">
        <v>3019</v>
      </c>
      <c r="B45" s="2" t="s">
        <v>109</v>
      </c>
      <c r="C45" s="1">
        <v>2</v>
      </c>
      <c r="D45" s="1">
        <v>103</v>
      </c>
      <c r="E45" s="1">
        <v>1</v>
      </c>
      <c r="F45" s="1" t="s">
        <v>110</v>
      </c>
      <c r="H45" s="3">
        <f t="shared" si="1"/>
        <v>1.3879250520471894E-3</v>
      </c>
    </row>
    <row r="46" spans="1:8" ht="15.75">
      <c r="A46" s="1">
        <v>3020</v>
      </c>
      <c r="B46" s="2" t="s">
        <v>111</v>
      </c>
      <c r="C46" s="1">
        <v>6</v>
      </c>
      <c r="D46" s="1">
        <v>103</v>
      </c>
      <c r="E46" s="1">
        <v>1</v>
      </c>
      <c r="F46" s="1" t="s">
        <v>112</v>
      </c>
      <c r="H46" s="3">
        <f t="shared" si="1"/>
        <v>4.1637751561415682E-3</v>
      </c>
    </row>
    <row r="47" spans="1:8" ht="15.75">
      <c r="A47" s="1">
        <v>3021</v>
      </c>
      <c r="B47" s="2" t="s">
        <v>113</v>
      </c>
      <c r="C47" s="1">
        <v>15</v>
      </c>
      <c r="D47" s="1">
        <v>103</v>
      </c>
      <c r="E47" s="1">
        <v>1</v>
      </c>
      <c r="F47" s="1" t="s">
        <v>114</v>
      </c>
      <c r="H47" s="3">
        <f t="shared" si="1"/>
        <v>1.0409437890353921E-2</v>
      </c>
    </row>
    <row r="48" spans="1:8" ht="15.75">
      <c r="A48" s="1">
        <v>3022</v>
      </c>
      <c r="B48" s="2" t="s">
        <v>115</v>
      </c>
      <c r="C48" s="1">
        <v>10</v>
      </c>
      <c r="D48" s="1">
        <v>103</v>
      </c>
      <c r="E48" s="1">
        <v>1</v>
      </c>
      <c r="F48" s="1" t="s">
        <v>116</v>
      </c>
      <c r="H48" s="3">
        <f t="shared" si="1"/>
        <v>6.939625260235947E-3</v>
      </c>
    </row>
    <row r="49" spans="1:8" ht="15.75">
      <c r="A49" s="1">
        <v>3023</v>
      </c>
      <c r="B49" s="2" t="s">
        <v>117</v>
      </c>
      <c r="C49" s="1">
        <v>6</v>
      </c>
      <c r="D49" s="1">
        <v>103</v>
      </c>
      <c r="E49" s="1">
        <v>1</v>
      </c>
      <c r="F49" s="1" t="s">
        <v>118</v>
      </c>
      <c r="H49" s="3">
        <f t="shared" si="1"/>
        <v>4.1637751561415682E-3</v>
      </c>
    </row>
    <row r="50" spans="1:8" ht="15.75">
      <c r="A50" s="1">
        <v>3024</v>
      </c>
      <c r="B50" s="2" t="s">
        <v>119</v>
      </c>
      <c r="C50" s="1">
        <v>130</v>
      </c>
      <c r="D50" s="1">
        <v>103</v>
      </c>
      <c r="E50" s="1">
        <v>1</v>
      </c>
      <c r="F50" s="1" t="s">
        <v>120</v>
      </c>
      <c r="H50" s="3">
        <f t="shared" si="1"/>
        <v>9.021512838306732E-2</v>
      </c>
    </row>
    <row r="51" spans="1:8" ht="15.75">
      <c r="A51" s="1">
        <v>3025</v>
      </c>
      <c r="B51" s="2" t="s">
        <v>121</v>
      </c>
      <c r="C51" s="1">
        <v>10</v>
      </c>
      <c r="D51" s="1">
        <v>103</v>
      </c>
      <c r="E51" s="1">
        <v>1</v>
      </c>
      <c r="F51" s="4" t="s">
        <v>122</v>
      </c>
      <c r="H51" s="3">
        <f t="shared" si="1"/>
        <v>6.939625260235947E-3</v>
      </c>
    </row>
    <row r="52" spans="1:8" ht="15.75">
      <c r="A52" s="1">
        <v>3026</v>
      </c>
      <c r="B52" s="2" t="s">
        <v>123</v>
      </c>
      <c r="C52" s="1">
        <v>10</v>
      </c>
      <c r="D52" s="1">
        <v>103</v>
      </c>
      <c r="E52" s="1">
        <v>1</v>
      </c>
      <c r="F52" s="4" t="s">
        <v>124</v>
      </c>
      <c r="H52" s="3">
        <f t="shared" si="1"/>
        <v>6.939625260235947E-3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"/>
  <sheetViews>
    <sheetView tabSelected="1" workbookViewId="0">
      <selection activeCell="B1" sqref="B1"/>
    </sheetView>
  </sheetViews>
  <sheetFormatPr defaultColWidth="9" defaultRowHeight="15"/>
  <cols>
    <col min="2" max="2" width="13" customWidth="1"/>
    <col min="3" max="3" width="11.42578125" customWidth="1"/>
  </cols>
  <sheetData>
    <row r="1" spans="1:5">
      <c r="A1" t="s">
        <v>11</v>
      </c>
      <c r="B1" t="s">
        <v>125</v>
      </c>
      <c r="C1" t="s">
        <v>126</v>
      </c>
      <c r="D1" t="s">
        <v>12</v>
      </c>
      <c r="E1" t="s">
        <v>21</v>
      </c>
    </row>
    <row r="2" spans="1:5">
      <c r="A2">
        <v>1</v>
      </c>
      <c r="B2">
        <v>30</v>
      </c>
      <c r="C2" t="s">
        <v>81</v>
      </c>
      <c r="D2">
        <v>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感恩节活动基础</vt:lpstr>
      <vt:lpstr>感恩节活动召唤方式</vt:lpstr>
      <vt:lpstr>感恩节活动召唤分组</vt:lpstr>
      <vt:lpstr>作弊规则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DD0332ED3A37460C8E6C8E8C5D2AAE68</vt:lpwstr>
  </property>
  <property fmtid="{D5CDD505-2E9C-101B-9397-08002B2CF9AE}" pid="3" name="KSOProductBuildVer">
    <vt:lpwstr>1033-12.2.0.13266</vt:lpwstr>
  </property>
</Properties>
</file>