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esktop\release\"/>
    </mc:Choice>
  </mc:AlternateContent>
  <xr:revisionPtr revIDLastSave="0" documentId="13_ncr:1_{EE3CA6AC-1157-4722-AC83-B99CF6B44F11}" xr6:coauthVersionLast="47" xr6:coauthVersionMax="47" xr10:uidLastSave="{00000000-0000-0000-0000-000000000000}"/>
  <bookViews>
    <workbookView xWindow="30" yWindow="0" windowWidth="17145" windowHeight="15435" activeTab="1" xr2:uid="{00000000-000D-0000-FFFF-FFFF00000000}"/>
  </bookViews>
  <sheets>
    <sheet name="我的洞天福地" sheetId="1" r:id="rId1"/>
    <sheet name="掠夺" sheetId="2" r:id="rId2"/>
    <sheet name="稀有道具掠夺概率" sheetId="3" r:id="rId3"/>
    <sheet name="Sheet1" sheetId="4" r:id="rId4"/>
  </sheets>
  <calcPr calcId="181029"/>
</workbook>
</file>

<file path=xl/calcChain.xml><?xml version="1.0" encoding="utf-8"?>
<calcChain xmlns="http://schemas.openxmlformats.org/spreadsheetml/2006/main">
  <c r="E51" i="2" l="1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H91" i="2" l="1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 l="1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J50" i="4" l="1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" i="4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升级我的洞天福地消耗</t>
        </r>
      </text>
    </comment>
    <comment ref="D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我的洞天福地寻宝时间上限，秒
</t>
        </r>
      </text>
    </comment>
  </commentList>
</comments>
</file>

<file path=xl/sharedStrings.xml><?xml version="1.0" encoding="utf-8"?>
<sst xmlns="http://schemas.openxmlformats.org/spreadsheetml/2006/main" count="1316" uniqueCount="291">
  <si>
    <t>等级</t>
  </si>
  <si>
    <t>每分钟产出组包</t>
  </si>
  <si>
    <t>升级消耗</t>
  </si>
  <si>
    <t>寻宝时间上限</t>
  </si>
  <si>
    <t>收益动画icon</t>
  </si>
  <si>
    <t>收益动画频率</t>
  </si>
  <si>
    <t>每分钟资源产出</t>
  </si>
  <si>
    <t>103:40#104:30#105:30#106:30</t>
  </si>
  <si>
    <t>3:100215:50000</t>
  </si>
  <si>
    <t>1004#1002#1001#1003</t>
  </si>
  <si>
    <t>0:0:907#0:4:907</t>
  </si>
  <si>
    <t>3:100215:60000</t>
  </si>
  <si>
    <t>0:0:990#0:4:990</t>
  </si>
  <si>
    <t>3:100215:70000</t>
  </si>
  <si>
    <t>0:0:1072#0:4:1072</t>
  </si>
  <si>
    <t>3:100215:80000</t>
  </si>
  <si>
    <t>0:0:1155#0:4:1155</t>
  </si>
  <si>
    <t>3:100215:90000</t>
  </si>
  <si>
    <t>0:0:1237#0:4:1237</t>
  </si>
  <si>
    <t>3:100215:100000</t>
  </si>
  <si>
    <t>0:0:1320#0:4:1320</t>
  </si>
  <si>
    <t>3:100215:120000</t>
  </si>
  <si>
    <t>0:0:1402#0:4:1402</t>
  </si>
  <si>
    <t>103:40#104:30#105:30#107:30</t>
  </si>
  <si>
    <t>3:100215:150000</t>
  </si>
  <si>
    <t>0:0:1485#0:4:1485</t>
  </si>
  <si>
    <t>3:100215:200000</t>
  </si>
  <si>
    <t>0:0:1567#0:4:1567</t>
  </si>
  <si>
    <t>3:100215:300000</t>
  </si>
  <si>
    <t>0:0:1650#0:4:1650</t>
  </si>
  <si>
    <t>主键id</t>
  </si>
  <si>
    <t>洞天福地id</t>
  </si>
  <si>
    <t>据点等级</t>
  </si>
  <si>
    <t>洞天名称</t>
  </si>
  <si>
    <t>据点名称</t>
  </si>
  <si>
    <t>据点位置</t>
  </si>
  <si>
    <t>层数</t>
  </si>
  <si>
    <t>寻宝时长</t>
  </si>
  <si>
    <t>普通掉落产出</t>
  </si>
  <si>
    <t>稀有掉落产出</t>
  </si>
  <si>
    <t>防守怪物</t>
  </si>
  <si>
    <t>挑战据点等级</t>
  </si>
  <si>
    <t>挑战据点战力</t>
  </si>
  <si>
    <t>进入等级限制</t>
  </si>
  <si>
    <t>进入战力限制</t>
  </si>
  <si>
    <t>地图id</t>
  </si>
  <si>
    <t>面板美术字</t>
  </si>
  <si>
    <t>背景图片</t>
  </si>
  <si>
    <t>守关怪物阵容</t>
  </si>
  <si>
    <t>战斗背景</t>
  </si>
  <si>
    <t>水晶品质</t>
  </si>
  <si>
    <t>1011:18 #1014:0</t>
  </si>
  <si>
    <t>hs_bg4</t>
  </si>
  <si>
    <t>zi5</t>
  </si>
  <si>
    <t>bg2</t>
  </si>
  <si>
    <t>3:100215:6#0:0:908#0:4:908</t>
  </si>
  <si>
    <t>battle_bg2</t>
  </si>
  <si>
    <t>1011:19 #1014:0</t>
  </si>
  <si>
    <t>3:100215:6#0:0:957#0:4:957</t>
  </si>
  <si>
    <t>1011:20 #1014:0</t>
  </si>
  <si>
    <t>3:100215:6#0:0:1007#0:4:1007</t>
  </si>
  <si>
    <t>1012:21 #1014:0</t>
  </si>
  <si>
    <t>3:100215:7#0:0:1056#0:4:1056</t>
  </si>
  <si>
    <t>1012:22 #1014:0</t>
  </si>
  <si>
    <t>3:100215:7#0:0:1106#0:4:1106</t>
  </si>
  <si>
    <t>1012:23 #1014:0</t>
  </si>
  <si>
    <t>3:100215:7#0:0:1155#0:4:1155</t>
  </si>
  <si>
    <t>1013:24 #1014:0</t>
  </si>
  <si>
    <t>3:100215:8#0:0:1205#0:4:1205</t>
  </si>
  <si>
    <t>1013:25 #1014:0</t>
  </si>
  <si>
    <t>3:100215:8#0:0:1254#0:4:1254</t>
  </si>
  <si>
    <t>1013:26 #1014:0</t>
  </si>
  <si>
    <t>3:100215:8#0:0:1304#0:4:1304</t>
  </si>
  <si>
    <t>1013:27 #1014:5</t>
  </si>
  <si>
    <t>3:100215:12#0:0:1353#0:4:1353</t>
  </si>
  <si>
    <t>zi4</t>
  </si>
  <si>
    <t>bg3</t>
  </si>
  <si>
    <t>battle_bg1</t>
  </si>
  <si>
    <t>1011:21 #1014:0</t>
  </si>
  <si>
    <t>1011:22 #1014:0</t>
  </si>
  <si>
    <t>1012:24 #1014:0</t>
  </si>
  <si>
    <t>1012:25 #1014:0</t>
  </si>
  <si>
    <t>1013:26 #1014:1</t>
  </si>
  <si>
    <t>1013:27 #1014:1</t>
  </si>
  <si>
    <t>1013:28 #1014:1</t>
  </si>
  <si>
    <t>1013:29 #1014:10</t>
  </si>
  <si>
    <t>zi3</t>
  </si>
  <si>
    <t>bg4</t>
  </si>
  <si>
    <t>3:100215:8#0:0:1040#0:4:1040</t>
  </si>
  <si>
    <t>battle_bg3</t>
  </si>
  <si>
    <t>3:100215:8#0:0:1089#0:4:1089</t>
  </si>
  <si>
    <t>1011:23 #1014:0</t>
  </si>
  <si>
    <t>3:100215:8#0:0:1139#0:4:1139</t>
  </si>
  <si>
    <t>3:100215:9#0:0:1188#0:4:1188</t>
  </si>
  <si>
    <t>3:100215:9#0:0:1238#0:4:1238</t>
  </si>
  <si>
    <t>1012:26 #1014:0</t>
  </si>
  <si>
    <t>3:100215:9#0:0:1287#0:4:1287</t>
  </si>
  <si>
    <t>1013:27 #1014:2</t>
  </si>
  <si>
    <t>3:100215:10#0:0:1337#0:4:1337</t>
  </si>
  <si>
    <t>1013:28 #1014:2</t>
  </si>
  <si>
    <t>3:100215:10#0:0:1386#0:4:1386</t>
  </si>
  <si>
    <t>1013:29 #1014:2</t>
  </si>
  <si>
    <t>3:100215:10#0:0:1436#0:4:1436</t>
  </si>
  <si>
    <t>1013:30 #1014:15</t>
  </si>
  <si>
    <t>3:100215:16#0:0:1485#0:4:1485</t>
  </si>
  <si>
    <t>zi1</t>
  </si>
  <si>
    <t>bg5</t>
  </si>
  <si>
    <t>3:100215:9#0:0:1106#0:4:1106</t>
  </si>
  <si>
    <t>battle_bg4</t>
  </si>
  <si>
    <t>3:100215:9#0:0:1155#0:4:1155</t>
  </si>
  <si>
    <t>3:100215:9#0:0:1205#0:4:1205</t>
  </si>
  <si>
    <t>1013:25 #1014:1</t>
  </si>
  <si>
    <t>3:100215:10#0:0:1254#0:4:1254</t>
  </si>
  <si>
    <t>3:100215:10#0:0:1304#0:4:1304</t>
  </si>
  <si>
    <t>3:100215:10#0:0:1353#0:4:1353</t>
  </si>
  <si>
    <t>1013:28 #1014:3</t>
  </si>
  <si>
    <t>3:100215:11#0:0:1403#0:4:1403</t>
  </si>
  <si>
    <t>1013:29 #1014:3</t>
  </si>
  <si>
    <t>3:100215:11#0:0:1452#0:4:1452</t>
  </si>
  <si>
    <t>1013:30 #1014:3</t>
  </si>
  <si>
    <t>3:100215:11#0:0:1502#0:4:1502</t>
  </si>
  <si>
    <t>1013:31 #1014:20</t>
  </si>
  <si>
    <t>3:100215:18#0:0:1551#0:4:1551</t>
  </si>
  <si>
    <t>1013:24 #1014:1</t>
  </si>
  <si>
    <t>zi2</t>
  </si>
  <si>
    <t>bg6</t>
  </si>
  <si>
    <t>3:100215:10#0:0:1172#0:4:1172</t>
  </si>
  <si>
    <t>battle_bg13</t>
  </si>
  <si>
    <t>3:100215:10#0:0:1221#0:4:1221</t>
  </si>
  <si>
    <t>3:100215:10#0:0:1271#0:4:1271</t>
  </si>
  <si>
    <t>3:100215:11#0:0:1320#0:4:1320</t>
  </si>
  <si>
    <t>3:100215:11#0:0:1370#0:4:1370</t>
  </si>
  <si>
    <t>3:100215:11#0:0:1419#0:4:1419</t>
  </si>
  <si>
    <t>1013:30 #1014:4</t>
  </si>
  <si>
    <t>3:100215:12#0:0:1469#0:4:1469</t>
  </si>
  <si>
    <t>1013:31 #1014:4</t>
  </si>
  <si>
    <t>3:100215:12#0:0:1518#0:4:1518</t>
  </si>
  <si>
    <t>1013:32 #1014:4</t>
  </si>
  <si>
    <t>3:100215:12#0:0:1568#0:4:1568</t>
  </si>
  <si>
    <t>1013:33 #1014:25</t>
  </si>
  <si>
    <t>3:100215:20#0:0:1617#0:4:1617</t>
  </si>
  <si>
    <t>ID</t>
  </si>
  <si>
    <t>物品大类ID</t>
  </si>
  <si>
    <t>物品ID</t>
  </si>
  <si>
    <t>被掠夺概率</t>
  </si>
  <si>
    <t xml:space="preserve">1011:18 </t>
  </si>
  <si>
    <t>#</t>
  </si>
  <si>
    <t>1014:0</t>
  </si>
  <si>
    <t xml:space="preserve">1011:19 </t>
  </si>
  <si>
    <t xml:space="preserve">1011:20 </t>
  </si>
  <si>
    <t xml:space="preserve">1012:21 </t>
  </si>
  <si>
    <t xml:space="preserve">1012:22 </t>
  </si>
  <si>
    <t xml:space="preserve">1012:23 </t>
  </si>
  <si>
    <t xml:space="preserve">1013:24 </t>
  </si>
  <si>
    <t xml:space="preserve">1013:25 </t>
  </si>
  <si>
    <t xml:space="preserve">1013:26 </t>
  </si>
  <si>
    <t xml:space="preserve">1013:27 </t>
  </si>
  <si>
    <t>1014:5</t>
  </si>
  <si>
    <t xml:space="preserve">1011:21 </t>
  </si>
  <si>
    <t xml:space="preserve">1011:22 </t>
  </si>
  <si>
    <t xml:space="preserve">1012:24 </t>
  </si>
  <si>
    <t xml:space="preserve">1012:25 </t>
  </si>
  <si>
    <t>1014:1</t>
  </si>
  <si>
    <t xml:space="preserve">1013:28 </t>
  </si>
  <si>
    <t xml:space="preserve">1013:29 </t>
  </si>
  <si>
    <t>1014:10</t>
  </si>
  <si>
    <t xml:space="preserve">1011:23 </t>
  </si>
  <si>
    <t xml:space="preserve">1012:26 </t>
  </si>
  <si>
    <t>1014:2</t>
  </si>
  <si>
    <t xml:space="preserve">1013:30 </t>
  </si>
  <si>
    <t>1014:15</t>
  </si>
  <si>
    <t>1014:3</t>
  </si>
  <si>
    <t xml:space="preserve">1013:31 </t>
  </si>
  <si>
    <t>1014:20</t>
  </si>
  <si>
    <t>1014:4</t>
  </si>
  <si>
    <t xml:space="preserve">1013:32 </t>
  </si>
  <si>
    <t xml:space="preserve">1013:33 </t>
  </si>
  <si>
    <t>1014:25</t>
  </si>
  <si>
    <t>1002:30#1005:30#1006:30#1007:30#1008:30</t>
  </si>
  <si>
    <r>
      <t>bg</t>
    </r>
    <r>
      <rPr>
        <sz val="11"/>
        <color theme="1"/>
        <rFont val="Calibri"/>
        <family val="3"/>
        <charset val="134"/>
        <scheme val="minor"/>
      </rPr>
      <t>8</t>
    </r>
    <phoneticPr fontId="5" type="noConversion"/>
  </si>
  <si>
    <r>
      <t>bg</t>
    </r>
    <r>
      <rPr>
        <sz val="11"/>
        <color theme="1"/>
        <rFont val="Calibri"/>
        <family val="3"/>
        <charset val="134"/>
        <scheme val="minor"/>
      </rPr>
      <t>8</t>
    </r>
    <r>
      <rPr>
        <sz val="11"/>
        <color theme="1"/>
        <rFont val="Calibri"/>
        <family val="2"/>
        <charset val="134"/>
        <scheme val="minor"/>
      </rPr>
      <t/>
    </r>
  </si>
  <si>
    <t>bg7</t>
  </si>
  <si>
    <t>bg7</t>
    <phoneticPr fontId="5" type="noConversion"/>
  </si>
  <si>
    <r>
      <t>zi</t>
    </r>
    <r>
      <rPr>
        <sz val="11"/>
        <color theme="1"/>
        <rFont val="Calibri"/>
        <family val="3"/>
        <charset val="134"/>
        <scheme val="minor"/>
      </rPr>
      <t>8</t>
    </r>
    <phoneticPr fontId="5" type="noConversion"/>
  </si>
  <si>
    <r>
      <t>zi</t>
    </r>
    <r>
      <rPr>
        <sz val="11"/>
        <color theme="1"/>
        <rFont val="Calibri"/>
        <family val="3"/>
        <charset val="134"/>
        <scheme val="minor"/>
      </rPr>
      <t>8</t>
    </r>
    <r>
      <rPr>
        <sz val="11"/>
        <color theme="1"/>
        <rFont val="Calibri"/>
        <family val="2"/>
        <charset val="134"/>
        <scheme val="minor"/>
      </rPr>
      <t/>
    </r>
  </si>
  <si>
    <r>
      <t>zi</t>
    </r>
    <r>
      <rPr>
        <sz val="11"/>
        <color theme="1"/>
        <rFont val="Calibri"/>
        <family val="3"/>
        <charset val="134"/>
        <scheme val="minor"/>
      </rPr>
      <t>7</t>
    </r>
    <phoneticPr fontId="5" type="noConversion"/>
  </si>
  <si>
    <r>
      <t>zi</t>
    </r>
    <r>
      <rPr>
        <sz val="11"/>
        <color theme="1"/>
        <rFont val="Calibri"/>
        <family val="3"/>
        <charset val="134"/>
        <scheme val="minor"/>
      </rPr>
      <t>7</t>
    </r>
    <r>
      <rPr>
        <sz val="11"/>
        <color theme="1"/>
        <rFont val="Calibri"/>
        <family val="2"/>
        <charset val="134"/>
        <scheme val="minor"/>
      </rPr>
      <t/>
    </r>
  </si>
  <si>
    <r>
      <t>bg</t>
    </r>
    <r>
      <rPr>
        <sz val="11"/>
        <color theme="1"/>
        <rFont val="Calibri"/>
        <family val="3"/>
        <charset val="134"/>
        <scheme val="minor"/>
      </rPr>
      <t>9</t>
    </r>
    <phoneticPr fontId="5" type="noConversion"/>
  </si>
  <si>
    <r>
      <t>bg</t>
    </r>
    <r>
      <rPr>
        <sz val="11"/>
        <color theme="1"/>
        <rFont val="Calibri"/>
        <family val="3"/>
        <charset val="134"/>
        <scheme val="minor"/>
      </rPr>
      <t>9</t>
    </r>
    <r>
      <rPr>
        <sz val="11"/>
        <color theme="1"/>
        <rFont val="Calibri"/>
        <family val="2"/>
        <charset val="134"/>
        <scheme val="minor"/>
      </rPr>
      <t/>
    </r>
  </si>
  <si>
    <r>
      <t>zi</t>
    </r>
    <r>
      <rPr>
        <sz val="11"/>
        <color theme="1"/>
        <rFont val="Calibri"/>
        <family val="3"/>
        <charset val="134"/>
        <scheme val="minor"/>
      </rPr>
      <t>9</t>
    </r>
    <phoneticPr fontId="5" type="noConversion"/>
  </si>
  <si>
    <r>
      <t>zi</t>
    </r>
    <r>
      <rPr>
        <sz val="11"/>
        <color theme="1"/>
        <rFont val="Calibri"/>
        <family val="3"/>
        <charset val="134"/>
        <scheme val="minor"/>
      </rPr>
      <t>9</t>
    </r>
    <r>
      <rPr>
        <sz val="11"/>
        <color theme="1"/>
        <rFont val="Calibri"/>
        <family val="2"/>
        <charset val="134"/>
        <scheme val="minor"/>
      </rPr>
      <t/>
    </r>
  </si>
  <si>
    <r>
      <t>zi</t>
    </r>
    <r>
      <rPr>
        <sz val="11"/>
        <color theme="1"/>
        <rFont val="Calibri"/>
        <family val="3"/>
        <charset val="134"/>
        <scheme val="minor"/>
      </rPr>
      <t>10</t>
    </r>
    <phoneticPr fontId="5" type="noConversion"/>
  </si>
  <si>
    <r>
      <t>zi</t>
    </r>
    <r>
      <rPr>
        <sz val="11"/>
        <color theme="1"/>
        <rFont val="Calibri"/>
        <family val="3"/>
        <charset val="134"/>
        <scheme val="minor"/>
      </rPr>
      <t>10</t>
    </r>
    <r>
      <rPr>
        <sz val="11"/>
        <color theme="1"/>
        <rFont val="Calibri"/>
        <family val="2"/>
        <charset val="134"/>
        <scheme val="minor"/>
      </rPr>
      <t/>
    </r>
  </si>
  <si>
    <r>
      <t>bg</t>
    </r>
    <r>
      <rPr>
        <sz val="11"/>
        <color theme="1"/>
        <rFont val="Calibri"/>
        <family val="3"/>
        <charset val="134"/>
        <scheme val="minor"/>
      </rPr>
      <t>10</t>
    </r>
    <phoneticPr fontId="5" type="noConversion"/>
  </si>
  <si>
    <r>
      <t>bg</t>
    </r>
    <r>
      <rPr>
        <sz val="11"/>
        <color theme="1"/>
        <rFont val="Calibri"/>
        <family val="3"/>
        <charset val="134"/>
        <scheme val="minor"/>
      </rPr>
      <t>10</t>
    </r>
    <r>
      <rPr>
        <sz val="11"/>
        <color theme="1"/>
        <rFont val="Calibri"/>
        <family val="2"/>
        <charset val="134"/>
        <scheme val="minor"/>
      </rPr>
      <t/>
    </r>
  </si>
  <si>
    <t>3:100215:20#3:999999:350#0:4:1617</t>
  </si>
  <si>
    <t>3:100215:11#3:999999:210#0:4:1419</t>
  </si>
  <si>
    <t>3:100215:12#3:999999:312#0:4:1568</t>
  </si>
  <si>
    <t>3:100215:11#3:999999:280#0:4:1419</t>
  </si>
  <si>
    <t>3:100215:14#3:999999:175#0:4:1419</t>
  </si>
  <si>
    <t>3:100215:9#3:999999:140#0:4:1370</t>
  </si>
  <si>
    <t>3:100215:9#3:999999:105#0:4:1370</t>
  </si>
  <si>
    <t>3:100215:9#3:999999:70#0:4:1370</t>
  </si>
  <si>
    <t>Hoang Cổ Kiếm Trủng</t>
  </si>
  <si>
    <t>Thiên Đình Mật Đạo</t>
  </si>
  <si>
    <t>Vạn Pháp Yêu Thành</t>
  </si>
  <si>
    <t>Bồng Lai Tiên Cảnh</t>
  </si>
  <si>
    <t>Hồng Quân di tích</t>
  </si>
  <si>
    <t>Biển trúc phúc địa</t>
  </si>
  <si>
    <t>Thuỷ Liêm Động Thiên</t>
  </si>
  <si>
    <t>Nguyên Thủy nguyên</t>
  </si>
  <si>
    <t>Nguyên Thủy Thiên Nguyên</t>
  </si>
  <si>
    <t>Mộ kiếm hoang cổ</t>
  </si>
  <si>
    <t>Di Tích Hồng Quân</t>
  </si>
  <si>
    <t>Mỏ Cấp Thấp</t>
  </si>
  <si>
    <t>Mỏ Trung Cấp</t>
  </si>
  <si>
    <t>Mỏ Cao Cấp</t>
  </si>
  <si>
    <t>Long Mạch</t>
  </si>
  <si>
    <t xml:space="preserve">Yêu Thành </t>
  </si>
  <si>
    <t xml:space="preserve">Thiên Đình </t>
  </si>
  <si>
    <t xml:space="preserve">Hoang Cổ </t>
  </si>
  <si>
    <t xml:space="preserve">Bồng Lai </t>
  </si>
  <si>
    <t xml:space="preserve">Hồng Quân </t>
  </si>
  <si>
    <t>Trúc Hải di tích 1</t>
  </si>
  <si>
    <t>Trúc Hải di tích 2</t>
  </si>
  <si>
    <t>Trúc Hải di tích 3</t>
  </si>
  <si>
    <t>Trúc Hải di tích 4</t>
  </si>
  <si>
    <t>Trúc Hải di tích 5</t>
  </si>
  <si>
    <t>Trúc Hải di tích 6</t>
  </si>
  <si>
    <t>Trúc Hải di tích 7</t>
  </si>
  <si>
    <t>Trúc Hải di tích 8</t>
  </si>
  <si>
    <t>Trúc Hải di tích 9</t>
  </si>
  <si>
    <t>Trúc Hải di tích 10</t>
  </si>
  <si>
    <t>Thuỷ Liêm Di tích 1</t>
  </si>
  <si>
    <t>Thuỷ Liêm Di tích 2</t>
  </si>
  <si>
    <t>Thuỷ Liêm Di tích 3</t>
  </si>
  <si>
    <t>Thuỷ Liêm Di tích 4</t>
  </si>
  <si>
    <t>Thuỷ Liêm Di tích 5</t>
  </si>
  <si>
    <t>Thuỷ Liêm Di tích 6</t>
  </si>
  <si>
    <t>Thuỷ Liêm Di tích 7</t>
  </si>
  <si>
    <t>Thuỷ Liêm Di tích 8</t>
  </si>
  <si>
    <t>Thuỷ Liêm Di tích 9</t>
  </si>
  <si>
    <t>Thuỷ Liêm Di tích 10</t>
  </si>
  <si>
    <t>Địa Nguyên di tích 1</t>
  </si>
  <si>
    <t>Địa Nguyên di tích 2</t>
  </si>
  <si>
    <t>Địa Nguyên di tích 3</t>
  </si>
  <si>
    <t>Địa Nguyên di tích 4</t>
  </si>
  <si>
    <t>Địa Nguyên di tích 5</t>
  </si>
  <si>
    <t>Địa Nguyên di tích 6</t>
  </si>
  <si>
    <t>Địa Nguyên di tích 7</t>
  </si>
  <si>
    <t>Địa Nguyên di tích 8</t>
  </si>
  <si>
    <t>Địa Nguyên di tích 9</t>
  </si>
  <si>
    <t>Địa Nguyên di tích 10</t>
  </si>
  <si>
    <t>Thiên Nguyên di tích 1</t>
  </si>
  <si>
    <t>Thiên Nguyên di tích 2</t>
  </si>
  <si>
    <t>Thiên Nguyên di tích 3</t>
  </si>
  <si>
    <t>Thiên Nguyên di tích 5</t>
  </si>
  <si>
    <t>Thiên Nguyên di tích 6</t>
  </si>
  <si>
    <t>Thiên Nguyên di tích 7</t>
  </si>
  <si>
    <t>Thiên Nguyên di tích 8</t>
  </si>
  <si>
    <t>Thiên Nguyên di tích 9</t>
  </si>
  <si>
    <t>Thiên Nguyên di tích 10</t>
  </si>
  <si>
    <t>Thiên Nguyên di tích 4</t>
  </si>
  <si>
    <t>3:100215:20#0:0:1617#0:4:1617#3:999999:190</t>
  </si>
  <si>
    <t>3:100215:12#0:0:1568#0:4:1568#3:999999:190</t>
  </si>
  <si>
    <t>3:100215:12#0:0:1518#0:4:1518#3:999999:190</t>
  </si>
  <si>
    <t>3:100215:10#0:0:1172#0:4:1172#3:999999:160</t>
  </si>
  <si>
    <t>3:100215:10#0:0:1221#0:4:1221#3:999999:160</t>
  </si>
  <si>
    <t>3:100215:10#0:0:1271#0:4:1271#3:999999:170</t>
  </si>
  <si>
    <t>3:100215:11#0:0:1320#0:4:1320#3:999999:170</t>
  </si>
  <si>
    <t>3:100215:11#0:0:1320#0:4:1320#3:999999:180</t>
  </si>
  <si>
    <t>3:100215:11#0:0:1320#0:4:1320#3:999999:150</t>
  </si>
  <si>
    <t>3:100215:6#0:0:1000#0:4:1000#3:999999:150</t>
  </si>
  <si>
    <t>3:100215:6#0:0:1050#0:4:1050#3:999999:150</t>
  </si>
  <si>
    <t>3:100215:7#0:0:1100#0:4:1100#3:999999:150</t>
  </si>
  <si>
    <t>3:100215:7#0:0:1150#0:4:1150#3:999999:150</t>
  </si>
  <si>
    <t>3:100215:7#0:0:1200#0:4:1200#3:999999:150</t>
  </si>
  <si>
    <t>3:100215:10#0:0:1250#0:4:1250#3:999999:150</t>
  </si>
  <si>
    <t>3:100215:6#0:0:870#0:4:870#3:999999:150</t>
  </si>
  <si>
    <t>3:100215:6#0:0:920#0:4:920#3:999999:150</t>
  </si>
  <si>
    <t>3:100215:6#0:0:970#0:4:970#3:999999:150</t>
  </si>
  <si>
    <t>3:100215:7#0:0:1020#0:4:1020#3:999999:150</t>
  </si>
  <si>
    <t>3:100215:7#0:0:1070#0:4:1070#3:999999:150</t>
  </si>
  <si>
    <t>3:100215:7#0:0:1120#0:4:1120#3:999999:150</t>
  </si>
  <si>
    <t>3:100215:8#0:0:1170#0:4:1170#3:999999:150</t>
  </si>
  <si>
    <t>3:100215:8#0:0:1220#0:4:1220#3:999999:150</t>
  </si>
  <si>
    <t>3:100215:8#0:0:1270#0:4:1270#3:999999:150</t>
  </si>
  <si>
    <t>3:100215:5#0:0:808#0:4:808#3:999999:150</t>
  </si>
  <si>
    <t>3:100215:5#0:0:857#0:4:857#3:999999:150</t>
  </si>
  <si>
    <t>3:100215:5#0:0:900#0:4:900#3:999999:150</t>
  </si>
  <si>
    <t>3:100215:6#0:0:950#0:4:950#3:999999:150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</si>
</sst>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ill="1"/>
    <xf numFmtId="0" fontId="0" fillId="4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/>
    <xf numFmtId="0" fontId="2" fillId="3" borderId="0" xfId="0" applyFont="1" applyFill="1"/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/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vertical="center"/>
    </xf>
    <xf numFmtId="49" fontId="0" fillId="5" borderId="0" xfId="0" applyNumberForma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29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1" topLeftCell="A2" activePane="bottomLeft" state="frozen"/>
      <selection pane="bottomLeft" activeCell="B25" sqref="B25"/>
    </sheetView>
  </sheetViews>
  <sheetFormatPr defaultColWidth="14.42578125" defaultRowHeight="15"/>
  <cols>
    <col min="1" max="1" width="14.42578125" style="3"/>
    <col min="2" max="2" width="44.7109375" style="3" customWidth="1"/>
    <col min="3" max="4" width="14.42578125" style="3"/>
    <col min="5" max="5" width="22" style="3" customWidth="1"/>
    <col min="6" max="6" width="14.42578125" style="3"/>
    <col min="7" max="7" width="27.7109375" style="3" customWidth="1"/>
    <col min="8" max="16384" width="14.42578125" style="3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>
        <v>1</v>
      </c>
      <c r="B2" t="s">
        <v>7</v>
      </c>
      <c r="C2" s="9" t="s">
        <v>8</v>
      </c>
      <c r="D2" s="3">
        <v>14400</v>
      </c>
      <c r="E2" s="3" t="s">
        <v>9</v>
      </c>
      <c r="F2" s="3">
        <v>15</v>
      </c>
      <c r="G2" s="3" t="s">
        <v>10</v>
      </c>
    </row>
    <row r="3" spans="1:7">
      <c r="A3" s="3">
        <v>2</v>
      </c>
      <c r="B3" t="s">
        <v>7</v>
      </c>
      <c r="C3" s="9" t="s">
        <v>11</v>
      </c>
      <c r="D3" s="3">
        <v>18000</v>
      </c>
      <c r="E3" s="3" t="s">
        <v>9</v>
      </c>
      <c r="F3" s="3">
        <v>15</v>
      </c>
      <c r="G3" s="3" t="s">
        <v>12</v>
      </c>
    </row>
    <row r="4" spans="1:7">
      <c r="A4" s="3">
        <v>3</v>
      </c>
      <c r="B4" t="s">
        <v>7</v>
      </c>
      <c r="C4" s="9" t="s">
        <v>13</v>
      </c>
      <c r="D4" s="3">
        <v>21600</v>
      </c>
      <c r="E4" s="3" t="s">
        <v>9</v>
      </c>
      <c r="F4" s="3">
        <v>15</v>
      </c>
      <c r="G4" s="3" t="s">
        <v>14</v>
      </c>
    </row>
    <row r="5" spans="1:7">
      <c r="A5" s="3">
        <v>4</v>
      </c>
      <c r="B5" t="s">
        <v>7</v>
      </c>
      <c r="C5" s="9" t="s">
        <v>15</v>
      </c>
      <c r="D5" s="3">
        <v>25200</v>
      </c>
      <c r="E5" s="3" t="s">
        <v>9</v>
      </c>
      <c r="F5" s="3">
        <v>15</v>
      </c>
      <c r="G5" s="3" t="s">
        <v>16</v>
      </c>
    </row>
    <row r="6" spans="1:7">
      <c r="A6" s="3">
        <v>5</v>
      </c>
      <c r="B6" t="s">
        <v>7</v>
      </c>
      <c r="C6" s="9" t="s">
        <v>17</v>
      </c>
      <c r="D6" s="3">
        <v>28800</v>
      </c>
      <c r="E6" s="3" t="s">
        <v>9</v>
      </c>
      <c r="F6" s="3">
        <v>15</v>
      </c>
      <c r="G6" s="3" t="s">
        <v>18</v>
      </c>
    </row>
    <row r="7" spans="1:7">
      <c r="A7" s="3">
        <v>6</v>
      </c>
      <c r="B7" t="s">
        <v>7</v>
      </c>
      <c r="C7" s="9" t="s">
        <v>19</v>
      </c>
      <c r="D7" s="3">
        <v>32400</v>
      </c>
      <c r="E7" s="3" t="s">
        <v>9</v>
      </c>
      <c r="F7" s="3">
        <v>15</v>
      </c>
      <c r="G7" s="3" t="s">
        <v>20</v>
      </c>
    </row>
    <row r="8" spans="1:7">
      <c r="A8" s="3">
        <v>7</v>
      </c>
      <c r="B8" t="s">
        <v>7</v>
      </c>
      <c r="C8" s="9" t="s">
        <v>21</v>
      </c>
      <c r="D8" s="3">
        <v>36000</v>
      </c>
      <c r="E8" s="3" t="s">
        <v>9</v>
      </c>
      <c r="F8" s="3">
        <v>15</v>
      </c>
      <c r="G8" s="3" t="s">
        <v>22</v>
      </c>
    </row>
    <row r="9" spans="1:7">
      <c r="A9" s="3">
        <v>8</v>
      </c>
      <c r="B9" t="s">
        <v>23</v>
      </c>
      <c r="C9" s="9" t="s">
        <v>24</v>
      </c>
      <c r="D9" s="3">
        <v>39600</v>
      </c>
      <c r="E9" s="3" t="s">
        <v>9</v>
      </c>
      <c r="F9" s="3">
        <v>15</v>
      </c>
      <c r="G9" s="3" t="s">
        <v>25</v>
      </c>
    </row>
    <row r="10" spans="1:7">
      <c r="A10" s="3">
        <v>9</v>
      </c>
      <c r="B10" t="s">
        <v>23</v>
      </c>
      <c r="C10" s="9" t="s">
        <v>26</v>
      </c>
      <c r="D10" s="3">
        <v>43200</v>
      </c>
      <c r="E10" s="3" t="s">
        <v>9</v>
      </c>
      <c r="F10" s="3">
        <v>15</v>
      </c>
      <c r="G10" s="3" t="s">
        <v>27</v>
      </c>
    </row>
    <row r="11" spans="1:7">
      <c r="A11" s="3">
        <v>10</v>
      </c>
      <c r="B11" t="s">
        <v>23</v>
      </c>
      <c r="C11" s="9" t="s">
        <v>28</v>
      </c>
      <c r="D11" s="3">
        <v>46800</v>
      </c>
      <c r="E11" s="3" t="s">
        <v>9</v>
      </c>
      <c r="F11" s="3">
        <v>15</v>
      </c>
      <c r="G11" s="3" t="s">
        <v>29</v>
      </c>
    </row>
  </sheetData>
  <phoneticPr fontId="5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1"/>
  <sheetViews>
    <sheetView tabSelected="1"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V56" sqref="V56"/>
    </sheetView>
  </sheetViews>
  <sheetFormatPr defaultColWidth="9" defaultRowHeight="15"/>
  <cols>
    <col min="1" max="2" width="9" style="3"/>
    <col min="3" max="3" width="5.140625" style="3" customWidth="1"/>
    <col min="4" max="4" width="15.7109375" style="3" customWidth="1"/>
    <col min="5" max="5" width="20.42578125" style="3" customWidth="1"/>
    <col min="6" max="6" width="19.5703125" style="3" customWidth="1"/>
    <col min="7" max="8" width="9" style="3"/>
    <col min="9" max="9" width="48.140625" style="3" customWidth="1"/>
    <col min="10" max="10" width="16.42578125" style="1" customWidth="1"/>
    <col min="11" max="11" width="13.42578125" style="3" customWidth="1"/>
    <col min="12" max="15" width="13" style="3" customWidth="1"/>
    <col min="16" max="16" width="10.28515625" style="3" customWidth="1"/>
    <col min="17" max="18" width="11" style="3" customWidth="1"/>
    <col min="19" max="19" width="22" style="3" customWidth="1"/>
    <col min="20" max="21" width="13" style="3" customWidth="1"/>
    <col min="22" max="22" width="77.7109375" style="3" customWidth="1"/>
    <col min="23" max="23" width="10.28515625" style="3" customWidth="1"/>
    <col min="24" max="16384" width="9" style="3"/>
  </cols>
  <sheetData>
    <row r="1" spans="1:24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1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</v>
      </c>
      <c r="T1" s="3" t="s">
        <v>5</v>
      </c>
      <c r="U1" s="3" t="s">
        <v>48</v>
      </c>
      <c r="V1" s="3" t="s">
        <v>6</v>
      </c>
      <c r="W1" s="3" t="s">
        <v>49</v>
      </c>
      <c r="X1" s="3" t="s">
        <v>50</v>
      </c>
    </row>
    <row r="2" spans="1:24" ht="16.5">
      <c r="A2" s="3">
        <v>1</v>
      </c>
      <c r="B2" s="3">
        <v>3</v>
      </c>
      <c r="C2" s="3">
        <v>1</v>
      </c>
      <c r="D2" s="29" t="s">
        <v>203</v>
      </c>
      <c r="E2" t="str">
        <f>D2&amp;C2</f>
        <v>Hoang Cổ Kiếm Trủng1</v>
      </c>
      <c r="F2" s="3" t="s">
        <v>214</v>
      </c>
      <c r="G2" s="3">
        <v>3</v>
      </c>
      <c r="H2" s="3">
        <f>60*60*8</f>
        <v>28800</v>
      </c>
      <c r="I2" s="1" t="s">
        <v>178</v>
      </c>
      <c r="J2" s="2" t="s">
        <v>51</v>
      </c>
      <c r="K2" s="5">
        <v>61</v>
      </c>
      <c r="L2" s="6">
        <v>75</v>
      </c>
      <c r="M2" s="6">
        <v>350000</v>
      </c>
      <c r="N2" s="6">
        <v>75</v>
      </c>
      <c r="O2" s="6">
        <v>300000</v>
      </c>
      <c r="P2" t="s">
        <v>52</v>
      </c>
      <c r="Q2" s="3" t="s">
        <v>53</v>
      </c>
      <c r="R2" s="3" t="s">
        <v>54</v>
      </c>
      <c r="S2" s="3" t="s">
        <v>9</v>
      </c>
      <c r="T2" s="3">
        <v>15</v>
      </c>
      <c r="U2" s="8">
        <v>2350</v>
      </c>
      <c r="V2" s="3" t="s">
        <v>55</v>
      </c>
      <c r="W2" s="3" t="s">
        <v>56</v>
      </c>
      <c r="X2" s="3">
        <v>1</v>
      </c>
    </row>
    <row r="3" spans="1:24" ht="16.5">
      <c r="A3" s="3">
        <v>2</v>
      </c>
      <c r="B3" s="3">
        <v>3</v>
      </c>
      <c r="C3" s="3">
        <v>2</v>
      </c>
      <c r="D3" s="29" t="s">
        <v>203</v>
      </c>
      <c r="E3" t="str">
        <f t="shared" ref="E3:E51" si="0">D3&amp;C3</f>
        <v>Hoang Cổ Kiếm Trủng2</v>
      </c>
      <c r="F3" s="3" t="s">
        <v>214</v>
      </c>
      <c r="G3" s="3">
        <v>3</v>
      </c>
      <c r="H3" s="3">
        <f t="shared" ref="H3:H66" si="1">60*60*8</f>
        <v>28800</v>
      </c>
      <c r="I3" s="1" t="s">
        <v>178</v>
      </c>
      <c r="J3" s="2" t="s">
        <v>57</v>
      </c>
      <c r="K3" s="5">
        <v>62</v>
      </c>
      <c r="L3" s="6">
        <v>75</v>
      </c>
      <c r="M3" s="6">
        <v>370000</v>
      </c>
      <c r="N3" s="6">
        <v>75</v>
      </c>
      <c r="O3" s="6">
        <v>300000</v>
      </c>
      <c r="P3" t="s">
        <v>52</v>
      </c>
      <c r="Q3" s="3" t="s">
        <v>53</v>
      </c>
      <c r="R3" s="3" t="s">
        <v>54</v>
      </c>
      <c r="S3" s="3" t="s">
        <v>9</v>
      </c>
      <c r="T3" s="3">
        <v>15</v>
      </c>
      <c r="U3" s="8">
        <v>2351</v>
      </c>
      <c r="V3" s="3" t="s">
        <v>58</v>
      </c>
      <c r="W3" s="3" t="s">
        <v>56</v>
      </c>
      <c r="X3" s="3">
        <v>1</v>
      </c>
    </row>
    <row r="4" spans="1:24" ht="16.5">
      <c r="A4" s="3">
        <v>3</v>
      </c>
      <c r="B4" s="3">
        <v>3</v>
      </c>
      <c r="C4" s="3">
        <v>3</v>
      </c>
      <c r="D4" s="29" t="s">
        <v>203</v>
      </c>
      <c r="E4" t="str">
        <f t="shared" si="0"/>
        <v>Hoang Cổ Kiếm Trủng3</v>
      </c>
      <c r="F4" s="3" t="s">
        <v>214</v>
      </c>
      <c r="G4" s="3">
        <v>3</v>
      </c>
      <c r="H4" s="3">
        <f t="shared" si="1"/>
        <v>28800</v>
      </c>
      <c r="I4" s="1" t="s">
        <v>178</v>
      </c>
      <c r="J4" s="2" t="s">
        <v>59</v>
      </c>
      <c r="K4" s="5">
        <v>63</v>
      </c>
      <c r="L4" s="6">
        <v>75</v>
      </c>
      <c r="M4" s="6">
        <v>390000</v>
      </c>
      <c r="N4" s="6">
        <v>75</v>
      </c>
      <c r="O4" s="6">
        <v>300000</v>
      </c>
      <c r="P4" t="s">
        <v>52</v>
      </c>
      <c r="Q4" s="3" t="s">
        <v>53</v>
      </c>
      <c r="R4" s="3" t="s">
        <v>54</v>
      </c>
      <c r="S4" s="3" t="s">
        <v>9</v>
      </c>
      <c r="T4" s="3">
        <v>15</v>
      </c>
      <c r="U4" s="8">
        <v>2352</v>
      </c>
      <c r="V4" s="3" t="s">
        <v>60</v>
      </c>
      <c r="W4" s="3" t="s">
        <v>56</v>
      </c>
      <c r="X4" s="3">
        <v>1</v>
      </c>
    </row>
    <row r="5" spans="1:24" ht="16.5">
      <c r="A5" s="3">
        <v>4</v>
      </c>
      <c r="B5" s="3">
        <v>3</v>
      </c>
      <c r="C5" s="3">
        <v>4</v>
      </c>
      <c r="D5" s="29" t="s">
        <v>203</v>
      </c>
      <c r="E5" t="str">
        <f t="shared" si="0"/>
        <v>Hoang Cổ Kiếm Trủng4</v>
      </c>
      <c r="F5" s="3" t="s">
        <v>215</v>
      </c>
      <c r="G5" s="3">
        <v>3</v>
      </c>
      <c r="H5" s="3">
        <f t="shared" si="1"/>
        <v>28800</v>
      </c>
      <c r="I5" s="1" t="s">
        <v>178</v>
      </c>
      <c r="J5" s="2" t="s">
        <v>61</v>
      </c>
      <c r="K5" s="5">
        <v>64</v>
      </c>
      <c r="L5" s="6">
        <v>75</v>
      </c>
      <c r="M5" s="6">
        <v>410000</v>
      </c>
      <c r="N5" s="6">
        <v>75</v>
      </c>
      <c r="O5" s="6">
        <v>300000</v>
      </c>
      <c r="P5" t="s">
        <v>52</v>
      </c>
      <c r="Q5" s="3" t="s">
        <v>53</v>
      </c>
      <c r="R5" s="3" t="s">
        <v>54</v>
      </c>
      <c r="S5" s="3" t="s">
        <v>9</v>
      </c>
      <c r="T5" s="3">
        <v>15</v>
      </c>
      <c r="U5" s="8">
        <v>2370</v>
      </c>
      <c r="V5" s="3" t="s">
        <v>62</v>
      </c>
      <c r="W5" s="3" t="s">
        <v>56</v>
      </c>
      <c r="X5" s="3">
        <v>2</v>
      </c>
    </row>
    <row r="6" spans="1:24" ht="16.5">
      <c r="A6" s="3">
        <v>5</v>
      </c>
      <c r="B6" s="3">
        <v>3</v>
      </c>
      <c r="C6" s="3">
        <v>5</v>
      </c>
      <c r="D6" s="29" t="s">
        <v>203</v>
      </c>
      <c r="E6" t="str">
        <f t="shared" si="0"/>
        <v>Hoang Cổ Kiếm Trủng5</v>
      </c>
      <c r="F6" s="3" t="s">
        <v>215</v>
      </c>
      <c r="G6" s="3">
        <v>3</v>
      </c>
      <c r="H6" s="3">
        <f t="shared" si="1"/>
        <v>28800</v>
      </c>
      <c r="I6" s="1" t="s">
        <v>178</v>
      </c>
      <c r="J6" s="2" t="s">
        <v>63</v>
      </c>
      <c r="K6" s="5">
        <v>65</v>
      </c>
      <c r="L6" s="6">
        <v>75</v>
      </c>
      <c r="M6" s="6">
        <v>430000</v>
      </c>
      <c r="N6" s="6">
        <v>75</v>
      </c>
      <c r="O6" s="6">
        <v>300000</v>
      </c>
      <c r="P6" t="s">
        <v>52</v>
      </c>
      <c r="Q6" s="3" t="s">
        <v>53</v>
      </c>
      <c r="R6" s="3" t="s">
        <v>54</v>
      </c>
      <c r="S6" s="3" t="s">
        <v>9</v>
      </c>
      <c r="T6" s="3">
        <v>15</v>
      </c>
      <c r="U6" s="8">
        <v>2396</v>
      </c>
      <c r="V6" s="3" t="s">
        <v>64</v>
      </c>
      <c r="W6" s="3" t="s">
        <v>56</v>
      </c>
      <c r="X6" s="3">
        <v>2</v>
      </c>
    </row>
    <row r="7" spans="1:24" ht="16.5">
      <c r="A7" s="3">
        <v>6</v>
      </c>
      <c r="B7" s="3">
        <v>3</v>
      </c>
      <c r="C7" s="3">
        <v>6</v>
      </c>
      <c r="D7" s="29" t="s">
        <v>203</v>
      </c>
      <c r="E7" t="str">
        <f t="shared" si="0"/>
        <v>Hoang Cổ Kiếm Trủng6</v>
      </c>
      <c r="F7" s="3" t="s">
        <v>215</v>
      </c>
      <c r="G7" s="3">
        <v>3</v>
      </c>
      <c r="H7" s="3">
        <f t="shared" si="1"/>
        <v>28800</v>
      </c>
      <c r="I7" s="1" t="s">
        <v>178</v>
      </c>
      <c r="J7" s="2" t="s">
        <v>65</v>
      </c>
      <c r="K7" s="5">
        <v>66</v>
      </c>
      <c r="L7" s="6">
        <v>75</v>
      </c>
      <c r="M7" s="6">
        <v>450000</v>
      </c>
      <c r="N7" s="6">
        <v>75</v>
      </c>
      <c r="O7" s="6">
        <v>300000</v>
      </c>
      <c r="P7" t="s">
        <v>52</v>
      </c>
      <c r="Q7" s="3" t="s">
        <v>53</v>
      </c>
      <c r="R7" s="3" t="s">
        <v>54</v>
      </c>
      <c r="S7" s="3" t="s">
        <v>9</v>
      </c>
      <c r="T7" s="3">
        <v>15</v>
      </c>
      <c r="U7" s="8">
        <v>2422</v>
      </c>
      <c r="V7" s="3" t="s">
        <v>66</v>
      </c>
      <c r="W7" s="3" t="s">
        <v>56</v>
      </c>
      <c r="X7" s="3">
        <v>2</v>
      </c>
    </row>
    <row r="8" spans="1:24" ht="16.5">
      <c r="A8" s="3">
        <v>7</v>
      </c>
      <c r="B8" s="3">
        <v>3</v>
      </c>
      <c r="C8" s="3">
        <v>7</v>
      </c>
      <c r="D8" s="29" t="s">
        <v>203</v>
      </c>
      <c r="E8" t="str">
        <f t="shared" si="0"/>
        <v>Hoang Cổ Kiếm Trủng7</v>
      </c>
      <c r="F8" s="3" t="s">
        <v>216</v>
      </c>
      <c r="G8" s="3">
        <v>3</v>
      </c>
      <c r="H8" s="3">
        <f t="shared" si="1"/>
        <v>28800</v>
      </c>
      <c r="I8" s="1" t="s">
        <v>178</v>
      </c>
      <c r="J8" s="2" t="s">
        <v>67</v>
      </c>
      <c r="K8" s="5">
        <v>67</v>
      </c>
      <c r="L8" s="6">
        <v>75</v>
      </c>
      <c r="M8" s="6">
        <v>470000</v>
      </c>
      <c r="N8" s="6">
        <v>75</v>
      </c>
      <c r="O8" s="6">
        <v>300000</v>
      </c>
      <c r="P8" t="s">
        <v>52</v>
      </c>
      <c r="Q8" s="3" t="s">
        <v>53</v>
      </c>
      <c r="R8" s="3" t="s">
        <v>54</v>
      </c>
      <c r="S8" s="3" t="s">
        <v>9</v>
      </c>
      <c r="T8" s="3">
        <v>15</v>
      </c>
      <c r="U8" s="8">
        <v>2449</v>
      </c>
      <c r="V8" s="3" t="s">
        <v>68</v>
      </c>
      <c r="W8" s="3" t="s">
        <v>56</v>
      </c>
      <c r="X8" s="3">
        <v>3</v>
      </c>
    </row>
    <row r="9" spans="1:24" ht="16.5">
      <c r="A9" s="3">
        <v>8</v>
      </c>
      <c r="B9" s="3">
        <v>3</v>
      </c>
      <c r="C9" s="3">
        <v>8</v>
      </c>
      <c r="D9" s="29" t="s">
        <v>203</v>
      </c>
      <c r="E9" t="str">
        <f t="shared" si="0"/>
        <v>Hoang Cổ Kiếm Trủng8</v>
      </c>
      <c r="F9" s="3" t="s">
        <v>216</v>
      </c>
      <c r="G9" s="3">
        <v>3</v>
      </c>
      <c r="H9" s="3">
        <f t="shared" si="1"/>
        <v>28800</v>
      </c>
      <c r="I9" s="1" t="s">
        <v>178</v>
      </c>
      <c r="J9" s="2" t="s">
        <v>69</v>
      </c>
      <c r="K9" s="5">
        <v>68</v>
      </c>
      <c r="L9" s="6">
        <v>75</v>
      </c>
      <c r="M9" s="6">
        <v>490000</v>
      </c>
      <c r="N9" s="6">
        <v>75</v>
      </c>
      <c r="O9" s="6">
        <v>300000</v>
      </c>
      <c r="P9" t="s">
        <v>52</v>
      </c>
      <c r="Q9" s="3" t="s">
        <v>53</v>
      </c>
      <c r="R9" s="3" t="s">
        <v>54</v>
      </c>
      <c r="S9" s="3" t="s">
        <v>9</v>
      </c>
      <c r="T9" s="3">
        <v>15</v>
      </c>
      <c r="U9" s="8">
        <v>2450</v>
      </c>
      <c r="V9" s="3" t="s">
        <v>70</v>
      </c>
      <c r="W9" s="3" t="s">
        <v>56</v>
      </c>
      <c r="X9" s="3">
        <v>3</v>
      </c>
    </row>
    <row r="10" spans="1:24" ht="16.5">
      <c r="A10" s="3">
        <v>9</v>
      </c>
      <c r="B10" s="3">
        <v>3</v>
      </c>
      <c r="C10" s="3">
        <v>9</v>
      </c>
      <c r="D10" s="29" t="s">
        <v>203</v>
      </c>
      <c r="E10" t="str">
        <f t="shared" si="0"/>
        <v>Hoang Cổ Kiếm Trủng9</v>
      </c>
      <c r="F10" s="3" t="s">
        <v>216</v>
      </c>
      <c r="G10" s="3">
        <v>3</v>
      </c>
      <c r="H10" s="3">
        <f t="shared" si="1"/>
        <v>28800</v>
      </c>
      <c r="I10" s="1" t="s">
        <v>178</v>
      </c>
      <c r="J10" s="2" t="s">
        <v>71</v>
      </c>
      <c r="K10" s="5">
        <v>69</v>
      </c>
      <c r="L10" s="6">
        <v>75</v>
      </c>
      <c r="M10" s="6">
        <v>510000</v>
      </c>
      <c r="N10" s="6">
        <v>75</v>
      </c>
      <c r="O10" s="6">
        <v>300000</v>
      </c>
      <c r="P10" t="s">
        <v>52</v>
      </c>
      <c r="Q10" s="3" t="s">
        <v>53</v>
      </c>
      <c r="R10" s="3" t="s">
        <v>54</v>
      </c>
      <c r="S10" s="3" t="s">
        <v>9</v>
      </c>
      <c r="T10" s="3">
        <v>15</v>
      </c>
      <c r="U10" s="8">
        <v>2475</v>
      </c>
      <c r="V10" s="3" t="s">
        <v>72</v>
      </c>
      <c r="W10" s="3" t="s">
        <v>56</v>
      </c>
      <c r="X10" s="3">
        <v>3</v>
      </c>
    </row>
    <row r="11" spans="1:24" ht="16.5">
      <c r="A11" s="3">
        <v>10</v>
      </c>
      <c r="B11" s="3">
        <v>3</v>
      </c>
      <c r="C11" s="3">
        <v>10</v>
      </c>
      <c r="D11" s="29" t="s">
        <v>203</v>
      </c>
      <c r="E11" t="str">
        <f t="shared" si="0"/>
        <v>Hoang Cổ Kiếm Trủng10</v>
      </c>
      <c r="F11" s="3" t="s">
        <v>217</v>
      </c>
      <c r="G11" s="3">
        <v>4</v>
      </c>
      <c r="H11" s="3">
        <f t="shared" si="1"/>
        <v>28800</v>
      </c>
      <c r="I11" s="1" t="s">
        <v>178</v>
      </c>
      <c r="J11" s="2" t="s">
        <v>73</v>
      </c>
      <c r="K11" s="5">
        <v>70</v>
      </c>
      <c r="L11" s="6">
        <v>75</v>
      </c>
      <c r="M11" s="6">
        <v>530000</v>
      </c>
      <c r="N11" s="6">
        <v>75</v>
      </c>
      <c r="O11" s="6">
        <v>300000</v>
      </c>
      <c r="P11" t="s">
        <v>52</v>
      </c>
      <c r="Q11" s="3" t="s">
        <v>53</v>
      </c>
      <c r="R11" s="3" t="s">
        <v>54</v>
      </c>
      <c r="S11" s="3" t="s">
        <v>9</v>
      </c>
      <c r="T11" s="3">
        <v>15</v>
      </c>
      <c r="U11" s="8">
        <v>70061</v>
      </c>
      <c r="V11" s="3" t="s">
        <v>74</v>
      </c>
      <c r="W11" s="3" t="s">
        <v>56</v>
      </c>
      <c r="X11" s="3">
        <v>4</v>
      </c>
    </row>
    <row r="12" spans="1:24" ht="16.5">
      <c r="A12" s="3">
        <v>11</v>
      </c>
      <c r="B12" s="3">
        <v>4</v>
      </c>
      <c r="C12" s="3">
        <v>1</v>
      </c>
      <c r="D12" s="29" t="s">
        <v>204</v>
      </c>
      <c r="E12" t="str">
        <f t="shared" si="0"/>
        <v>Thiên Đình Mật Đạo1</v>
      </c>
      <c r="F12" s="3" t="s">
        <v>214</v>
      </c>
      <c r="G12" s="3">
        <v>4</v>
      </c>
      <c r="H12" s="3">
        <f t="shared" si="1"/>
        <v>28800</v>
      </c>
      <c r="I12" s="1" t="s">
        <v>178</v>
      </c>
      <c r="J12" s="2" t="s">
        <v>59</v>
      </c>
      <c r="K12" s="5">
        <v>71</v>
      </c>
      <c r="L12" s="6">
        <v>75</v>
      </c>
      <c r="M12" s="3">
        <v>400000</v>
      </c>
      <c r="N12" s="6">
        <v>75</v>
      </c>
      <c r="O12" s="3">
        <v>350000</v>
      </c>
      <c r="P12" t="s">
        <v>52</v>
      </c>
      <c r="Q12" s="3" t="s">
        <v>75</v>
      </c>
      <c r="R12" s="3" t="s">
        <v>76</v>
      </c>
      <c r="S12" s="3" t="s">
        <v>9</v>
      </c>
      <c r="T12" s="3">
        <v>15</v>
      </c>
      <c r="U12" s="8">
        <v>2455</v>
      </c>
      <c r="V12" s="3" t="s">
        <v>202</v>
      </c>
      <c r="W12" s="3" t="s">
        <v>77</v>
      </c>
      <c r="X12" s="3">
        <v>1</v>
      </c>
    </row>
    <row r="13" spans="1:24" ht="16.5">
      <c r="A13" s="3">
        <v>12</v>
      </c>
      <c r="B13" s="3">
        <v>4</v>
      </c>
      <c r="C13" s="3">
        <v>2</v>
      </c>
      <c r="D13" s="29" t="s">
        <v>204</v>
      </c>
      <c r="E13" t="str">
        <f t="shared" si="0"/>
        <v>Thiên Đình Mật Đạo2</v>
      </c>
      <c r="F13" s="3" t="s">
        <v>214</v>
      </c>
      <c r="G13" s="3">
        <v>4</v>
      </c>
      <c r="H13" s="3">
        <f t="shared" si="1"/>
        <v>28800</v>
      </c>
      <c r="I13" s="1" t="s">
        <v>178</v>
      </c>
      <c r="J13" s="2" t="s">
        <v>78</v>
      </c>
      <c r="K13" s="5">
        <v>72</v>
      </c>
      <c r="L13" s="6">
        <v>75</v>
      </c>
      <c r="M13" s="3">
        <v>420000</v>
      </c>
      <c r="N13" s="6">
        <v>75</v>
      </c>
      <c r="O13" s="3">
        <v>350000</v>
      </c>
      <c r="P13" t="s">
        <v>52</v>
      </c>
      <c r="Q13" s="3" t="s">
        <v>75</v>
      </c>
      <c r="R13" s="3" t="s">
        <v>76</v>
      </c>
      <c r="S13" s="3" t="s">
        <v>9</v>
      </c>
      <c r="T13" s="3">
        <v>15</v>
      </c>
      <c r="U13" s="8">
        <v>5332</v>
      </c>
      <c r="V13" s="3" t="s">
        <v>202</v>
      </c>
      <c r="W13" s="3" t="s">
        <v>77</v>
      </c>
      <c r="X13" s="3">
        <v>1</v>
      </c>
    </row>
    <row r="14" spans="1:24" ht="16.5">
      <c r="A14" s="3">
        <v>13</v>
      </c>
      <c r="B14" s="3">
        <v>4</v>
      </c>
      <c r="C14" s="3">
        <v>3</v>
      </c>
      <c r="D14" s="29" t="s">
        <v>204</v>
      </c>
      <c r="E14" t="str">
        <f t="shared" si="0"/>
        <v>Thiên Đình Mật Đạo3</v>
      </c>
      <c r="F14" s="3" t="s">
        <v>214</v>
      </c>
      <c r="G14" s="3">
        <v>4</v>
      </c>
      <c r="H14" s="3">
        <f t="shared" si="1"/>
        <v>28800</v>
      </c>
      <c r="I14" s="1" t="s">
        <v>178</v>
      </c>
      <c r="J14" s="2" t="s">
        <v>79</v>
      </c>
      <c r="K14" s="5">
        <v>73</v>
      </c>
      <c r="L14" s="6">
        <v>75</v>
      </c>
      <c r="M14" s="3">
        <v>440000</v>
      </c>
      <c r="N14" s="6">
        <v>75</v>
      </c>
      <c r="O14" s="3">
        <v>350000</v>
      </c>
      <c r="P14" t="s">
        <v>52</v>
      </c>
      <c r="Q14" s="3" t="s">
        <v>75</v>
      </c>
      <c r="R14" s="3" t="s">
        <v>76</v>
      </c>
      <c r="S14" s="3" t="s">
        <v>9</v>
      </c>
      <c r="T14" s="3">
        <v>15</v>
      </c>
      <c r="U14" s="8">
        <v>5333</v>
      </c>
      <c r="V14" s="3" t="s">
        <v>202</v>
      </c>
      <c r="W14" s="3" t="s">
        <v>77</v>
      </c>
      <c r="X14" s="3">
        <v>1</v>
      </c>
    </row>
    <row r="15" spans="1:24" ht="16.5">
      <c r="A15" s="3">
        <v>14</v>
      </c>
      <c r="B15" s="3">
        <v>4</v>
      </c>
      <c r="C15" s="3">
        <v>4</v>
      </c>
      <c r="D15" s="29" t="s">
        <v>204</v>
      </c>
      <c r="E15" t="str">
        <f t="shared" si="0"/>
        <v>Thiên Đình Mật Đạo4</v>
      </c>
      <c r="F15" s="3" t="s">
        <v>215</v>
      </c>
      <c r="G15" s="3">
        <v>4</v>
      </c>
      <c r="H15" s="3">
        <f t="shared" si="1"/>
        <v>28800</v>
      </c>
      <c r="I15" s="1" t="s">
        <v>178</v>
      </c>
      <c r="J15" s="2" t="s">
        <v>65</v>
      </c>
      <c r="K15" s="5">
        <v>74</v>
      </c>
      <c r="L15" s="6">
        <v>75</v>
      </c>
      <c r="M15" s="3">
        <v>460000</v>
      </c>
      <c r="N15" s="6">
        <v>75</v>
      </c>
      <c r="O15" s="3">
        <v>350000</v>
      </c>
      <c r="P15" t="s">
        <v>52</v>
      </c>
      <c r="Q15" s="3" t="s">
        <v>75</v>
      </c>
      <c r="R15" s="3" t="s">
        <v>76</v>
      </c>
      <c r="S15" s="3" t="s">
        <v>9</v>
      </c>
      <c r="T15" s="3">
        <v>15</v>
      </c>
      <c r="U15" s="8">
        <v>5334</v>
      </c>
      <c r="V15" s="3" t="s">
        <v>201</v>
      </c>
      <c r="W15" s="3" t="s">
        <v>77</v>
      </c>
      <c r="X15" s="3">
        <v>2</v>
      </c>
    </row>
    <row r="16" spans="1:24" ht="16.5">
      <c r="A16" s="3">
        <v>15</v>
      </c>
      <c r="B16" s="3">
        <v>4</v>
      </c>
      <c r="C16" s="3">
        <v>5</v>
      </c>
      <c r="D16" s="29" t="s">
        <v>204</v>
      </c>
      <c r="E16" t="str">
        <f t="shared" si="0"/>
        <v>Thiên Đình Mật Đạo5</v>
      </c>
      <c r="F16" s="3" t="s">
        <v>215</v>
      </c>
      <c r="G16" s="3">
        <v>4</v>
      </c>
      <c r="H16" s="3">
        <f t="shared" si="1"/>
        <v>28800</v>
      </c>
      <c r="I16" s="1" t="s">
        <v>178</v>
      </c>
      <c r="J16" s="2" t="s">
        <v>80</v>
      </c>
      <c r="K16" s="5">
        <v>75</v>
      </c>
      <c r="L16" s="6">
        <v>75</v>
      </c>
      <c r="M16" s="3">
        <v>480000</v>
      </c>
      <c r="N16" s="6">
        <v>75</v>
      </c>
      <c r="O16" s="3">
        <v>350000</v>
      </c>
      <c r="P16" t="s">
        <v>52</v>
      </c>
      <c r="Q16" s="3" t="s">
        <v>75</v>
      </c>
      <c r="R16" s="3" t="s">
        <v>76</v>
      </c>
      <c r="S16" s="3" t="s">
        <v>9</v>
      </c>
      <c r="T16" s="3">
        <v>15</v>
      </c>
      <c r="U16" s="8">
        <v>5335</v>
      </c>
      <c r="V16" s="3" t="s">
        <v>201</v>
      </c>
      <c r="W16" s="3" t="s">
        <v>77</v>
      </c>
      <c r="X16" s="3">
        <v>2</v>
      </c>
    </row>
    <row r="17" spans="1:24" ht="16.5">
      <c r="A17" s="3">
        <v>16</v>
      </c>
      <c r="B17" s="3">
        <v>4</v>
      </c>
      <c r="C17" s="3">
        <v>6</v>
      </c>
      <c r="D17" s="29" t="s">
        <v>204</v>
      </c>
      <c r="E17" t="str">
        <f t="shared" si="0"/>
        <v>Thiên Đình Mật Đạo6</v>
      </c>
      <c r="F17" s="3" t="s">
        <v>215</v>
      </c>
      <c r="G17" s="3">
        <v>4</v>
      </c>
      <c r="H17" s="3">
        <f t="shared" si="1"/>
        <v>28800</v>
      </c>
      <c r="I17" s="1" t="s">
        <v>178</v>
      </c>
      <c r="J17" s="2" t="s">
        <v>81</v>
      </c>
      <c r="K17" s="5">
        <v>76</v>
      </c>
      <c r="L17" s="6">
        <v>75</v>
      </c>
      <c r="M17" s="3">
        <v>500000</v>
      </c>
      <c r="N17" s="6">
        <v>75</v>
      </c>
      <c r="O17" s="3">
        <v>350000</v>
      </c>
      <c r="P17" t="s">
        <v>52</v>
      </c>
      <c r="Q17" s="3" t="s">
        <v>75</v>
      </c>
      <c r="R17" s="3" t="s">
        <v>76</v>
      </c>
      <c r="S17" s="3" t="s">
        <v>9</v>
      </c>
      <c r="T17" s="3">
        <v>15</v>
      </c>
      <c r="U17" s="8">
        <v>5336</v>
      </c>
      <c r="V17" s="3" t="s">
        <v>201</v>
      </c>
      <c r="W17" s="3" t="s">
        <v>77</v>
      </c>
      <c r="X17" s="3">
        <v>2</v>
      </c>
    </row>
    <row r="18" spans="1:24" ht="16.5">
      <c r="A18" s="3">
        <v>17</v>
      </c>
      <c r="B18" s="3">
        <v>4</v>
      </c>
      <c r="C18" s="3">
        <v>7</v>
      </c>
      <c r="D18" s="29" t="s">
        <v>204</v>
      </c>
      <c r="E18" t="str">
        <f t="shared" si="0"/>
        <v>Thiên Đình Mật Đạo7</v>
      </c>
      <c r="F18" s="3" t="s">
        <v>216</v>
      </c>
      <c r="G18" s="3">
        <v>4</v>
      </c>
      <c r="H18" s="3">
        <f t="shared" si="1"/>
        <v>28800</v>
      </c>
      <c r="I18" s="1" t="s">
        <v>178</v>
      </c>
      <c r="J18" s="2" t="s">
        <v>82</v>
      </c>
      <c r="K18" s="5">
        <v>77</v>
      </c>
      <c r="L18" s="6">
        <v>75</v>
      </c>
      <c r="M18" s="3">
        <v>520000</v>
      </c>
      <c r="N18" s="6">
        <v>75</v>
      </c>
      <c r="O18" s="3">
        <v>350000</v>
      </c>
      <c r="P18" t="s">
        <v>52</v>
      </c>
      <c r="Q18" s="3" t="s">
        <v>75</v>
      </c>
      <c r="R18" s="3" t="s">
        <v>76</v>
      </c>
      <c r="S18" s="3" t="s">
        <v>9</v>
      </c>
      <c r="T18" s="3">
        <v>15</v>
      </c>
      <c r="U18" s="8">
        <v>5337</v>
      </c>
      <c r="V18" s="3" t="s">
        <v>200</v>
      </c>
      <c r="W18" s="3" t="s">
        <v>77</v>
      </c>
      <c r="X18" s="3">
        <v>3</v>
      </c>
    </row>
    <row r="19" spans="1:24" ht="16.5">
      <c r="A19" s="3">
        <v>18</v>
      </c>
      <c r="B19" s="3">
        <v>4</v>
      </c>
      <c r="C19" s="3">
        <v>8</v>
      </c>
      <c r="D19" s="29" t="s">
        <v>204</v>
      </c>
      <c r="E19" t="str">
        <f t="shared" si="0"/>
        <v>Thiên Đình Mật Đạo8</v>
      </c>
      <c r="F19" s="3" t="s">
        <v>216</v>
      </c>
      <c r="G19" s="3">
        <v>4</v>
      </c>
      <c r="H19" s="3">
        <f t="shared" si="1"/>
        <v>28800</v>
      </c>
      <c r="I19" s="1" t="s">
        <v>178</v>
      </c>
      <c r="J19" s="2" t="s">
        <v>83</v>
      </c>
      <c r="K19" s="5">
        <v>78</v>
      </c>
      <c r="L19" s="6">
        <v>75</v>
      </c>
      <c r="M19" s="3">
        <v>540000</v>
      </c>
      <c r="N19" s="6">
        <v>75</v>
      </c>
      <c r="O19" s="3">
        <v>350000</v>
      </c>
      <c r="P19" t="s">
        <v>52</v>
      </c>
      <c r="Q19" s="3" t="s">
        <v>75</v>
      </c>
      <c r="R19" s="3" t="s">
        <v>76</v>
      </c>
      <c r="S19" s="3" t="s">
        <v>9</v>
      </c>
      <c r="T19" s="3">
        <v>15</v>
      </c>
      <c r="U19" s="8">
        <v>5338</v>
      </c>
      <c r="V19" s="3" t="s">
        <v>200</v>
      </c>
      <c r="W19" s="3" t="s">
        <v>77</v>
      </c>
      <c r="X19" s="3">
        <v>3</v>
      </c>
    </row>
    <row r="20" spans="1:24" ht="16.5">
      <c r="A20" s="3">
        <v>19</v>
      </c>
      <c r="B20" s="3">
        <v>4</v>
      </c>
      <c r="C20" s="3">
        <v>9</v>
      </c>
      <c r="D20" s="29" t="s">
        <v>204</v>
      </c>
      <c r="E20" t="str">
        <f t="shared" si="0"/>
        <v>Thiên Đình Mật Đạo9</v>
      </c>
      <c r="F20" s="3" t="s">
        <v>216</v>
      </c>
      <c r="G20" s="3">
        <v>4</v>
      </c>
      <c r="H20" s="3">
        <f t="shared" si="1"/>
        <v>28800</v>
      </c>
      <c r="I20" s="1" t="s">
        <v>178</v>
      </c>
      <c r="J20" s="2" t="s">
        <v>84</v>
      </c>
      <c r="K20" s="5">
        <v>79</v>
      </c>
      <c r="L20" s="6">
        <v>75</v>
      </c>
      <c r="M20" s="3">
        <v>560000</v>
      </c>
      <c r="N20" s="6">
        <v>75</v>
      </c>
      <c r="O20" s="3">
        <v>350000</v>
      </c>
      <c r="P20" t="s">
        <v>52</v>
      </c>
      <c r="Q20" s="3" t="s">
        <v>75</v>
      </c>
      <c r="R20" s="3" t="s">
        <v>76</v>
      </c>
      <c r="S20" s="3" t="s">
        <v>9</v>
      </c>
      <c r="T20" s="3">
        <v>15</v>
      </c>
      <c r="U20" s="8">
        <v>5339</v>
      </c>
      <c r="V20" s="3" t="s">
        <v>200</v>
      </c>
      <c r="W20" s="3" t="s">
        <v>77</v>
      </c>
      <c r="X20" s="3">
        <v>3</v>
      </c>
    </row>
    <row r="21" spans="1:24" ht="16.5">
      <c r="A21" s="3">
        <v>20</v>
      </c>
      <c r="B21" s="3">
        <v>4</v>
      </c>
      <c r="C21" s="3">
        <v>10</v>
      </c>
      <c r="D21" s="29" t="s">
        <v>204</v>
      </c>
      <c r="E21" t="str">
        <f t="shared" si="0"/>
        <v>Thiên Đình Mật Đạo10</v>
      </c>
      <c r="F21" s="3" t="s">
        <v>217</v>
      </c>
      <c r="G21" s="3">
        <v>5</v>
      </c>
      <c r="H21" s="3">
        <f t="shared" si="1"/>
        <v>28800</v>
      </c>
      <c r="I21" s="1" t="s">
        <v>178</v>
      </c>
      <c r="J21" s="2" t="s">
        <v>85</v>
      </c>
      <c r="K21" s="5">
        <v>80</v>
      </c>
      <c r="L21" s="6">
        <v>75</v>
      </c>
      <c r="M21" s="3">
        <v>580000</v>
      </c>
      <c r="N21" s="6">
        <v>75</v>
      </c>
      <c r="O21" s="3">
        <v>350000</v>
      </c>
      <c r="P21" t="s">
        <v>52</v>
      </c>
      <c r="Q21" s="3" t="s">
        <v>75</v>
      </c>
      <c r="R21" s="3" t="s">
        <v>76</v>
      </c>
      <c r="S21" s="3" t="s">
        <v>9</v>
      </c>
      <c r="T21" s="3">
        <v>15</v>
      </c>
      <c r="U21" s="8">
        <v>5340</v>
      </c>
      <c r="V21" s="3" t="s">
        <v>199</v>
      </c>
      <c r="W21" s="3" t="s">
        <v>77</v>
      </c>
      <c r="X21" s="3">
        <v>4</v>
      </c>
    </row>
    <row r="22" spans="1:24" ht="16.5">
      <c r="A22" s="3">
        <v>21</v>
      </c>
      <c r="B22" s="3">
        <v>5</v>
      </c>
      <c r="C22" s="3">
        <v>1</v>
      </c>
      <c r="D22" s="29" t="s">
        <v>205</v>
      </c>
      <c r="E22" t="str">
        <f t="shared" si="0"/>
        <v>Vạn Pháp Yêu Thành1</v>
      </c>
      <c r="F22" s="3" t="s">
        <v>214</v>
      </c>
      <c r="G22" s="3">
        <v>5</v>
      </c>
      <c r="H22" s="3">
        <f t="shared" si="1"/>
        <v>28800</v>
      </c>
      <c r="I22" s="1" t="s">
        <v>178</v>
      </c>
      <c r="J22" s="2" t="s">
        <v>78</v>
      </c>
      <c r="K22" s="5">
        <v>81</v>
      </c>
      <c r="L22" s="6">
        <v>75</v>
      </c>
      <c r="M22" s="3">
        <v>450000</v>
      </c>
      <c r="N22" s="6">
        <v>75</v>
      </c>
      <c r="O22" s="3">
        <v>400000</v>
      </c>
      <c r="P22" t="s">
        <v>52</v>
      </c>
      <c r="Q22" s="3" t="s">
        <v>86</v>
      </c>
      <c r="R22" s="3" t="s">
        <v>87</v>
      </c>
      <c r="S22" s="3" t="s">
        <v>9</v>
      </c>
      <c r="T22" s="3">
        <v>15</v>
      </c>
      <c r="U22" s="8">
        <v>70083</v>
      </c>
      <c r="V22" s="3" t="s">
        <v>88</v>
      </c>
      <c r="W22" s="3" t="s">
        <v>89</v>
      </c>
      <c r="X22" s="3">
        <v>1</v>
      </c>
    </row>
    <row r="23" spans="1:24" ht="16.5">
      <c r="A23" s="3">
        <v>22</v>
      </c>
      <c r="B23" s="3">
        <v>5</v>
      </c>
      <c r="C23" s="3">
        <v>2</v>
      </c>
      <c r="D23" s="29" t="s">
        <v>205</v>
      </c>
      <c r="E23" t="str">
        <f t="shared" si="0"/>
        <v>Vạn Pháp Yêu Thành2</v>
      </c>
      <c r="F23" s="3" t="s">
        <v>214</v>
      </c>
      <c r="G23" s="3">
        <v>5</v>
      </c>
      <c r="H23" s="3">
        <f t="shared" si="1"/>
        <v>28800</v>
      </c>
      <c r="I23" s="1" t="s">
        <v>178</v>
      </c>
      <c r="J23" s="2" t="s">
        <v>79</v>
      </c>
      <c r="K23" s="5">
        <v>82</v>
      </c>
      <c r="L23" s="6">
        <v>75</v>
      </c>
      <c r="M23" s="3">
        <v>480000</v>
      </c>
      <c r="N23" s="6">
        <v>75</v>
      </c>
      <c r="O23" s="3">
        <v>400000</v>
      </c>
      <c r="P23" t="s">
        <v>52</v>
      </c>
      <c r="Q23" s="3" t="s">
        <v>86</v>
      </c>
      <c r="R23" s="3" t="s">
        <v>87</v>
      </c>
      <c r="S23" s="3" t="s">
        <v>9</v>
      </c>
      <c r="T23" s="3">
        <v>15</v>
      </c>
      <c r="U23" s="8">
        <v>70082</v>
      </c>
      <c r="V23" s="3" t="s">
        <v>90</v>
      </c>
      <c r="W23" s="3" t="s">
        <v>89</v>
      </c>
      <c r="X23" s="3">
        <v>1</v>
      </c>
    </row>
    <row r="24" spans="1:24" ht="16.5">
      <c r="A24" s="3">
        <v>23</v>
      </c>
      <c r="B24" s="3">
        <v>5</v>
      </c>
      <c r="C24" s="3">
        <v>3</v>
      </c>
      <c r="D24" s="29" t="s">
        <v>205</v>
      </c>
      <c r="E24" t="str">
        <f t="shared" si="0"/>
        <v>Vạn Pháp Yêu Thành3</v>
      </c>
      <c r="F24" s="3" t="s">
        <v>214</v>
      </c>
      <c r="G24" s="3">
        <v>5</v>
      </c>
      <c r="H24" s="3">
        <f t="shared" si="1"/>
        <v>28800</v>
      </c>
      <c r="I24" s="1" t="s">
        <v>178</v>
      </c>
      <c r="J24" s="2" t="s">
        <v>91</v>
      </c>
      <c r="K24" s="5">
        <v>83</v>
      </c>
      <c r="L24" s="6">
        <v>75</v>
      </c>
      <c r="M24" s="3">
        <v>510000</v>
      </c>
      <c r="N24" s="6">
        <v>75</v>
      </c>
      <c r="O24" s="3">
        <v>400000</v>
      </c>
      <c r="P24" t="s">
        <v>52</v>
      </c>
      <c r="Q24" s="3" t="s">
        <v>86</v>
      </c>
      <c r="R24" s="3" t="s">
        <v>87</v>
      </c>
      <c r="S24" s="3" t="s">
        <v>9</v>
      </c>
      <c r="T24" s="3">
        <v>15</v>
      </c>
      <c r="U24" s="8">
        <v>70081</v>
      </c>
      <c r="V24" s="3" t="s">
        <v>92</v>
      </c>
      <c r="W24" s="3" t="s">
        <v>89</v>
      </c>
      <c r="X24" s="3">
        <v>1</v>
      </c>
    </row>
    <row r="25" spans="1:24" ht="16.5">
      <c r="A25" s="3">
        <v>24</v>
      </c>
      <c r="B25" s="3">
        <v>5</v>
      </c>
      <c r="C25" s="3">
        <v>4</v>
      </c>
      <c r="D25" s="29" t="s">
        <v>205</v>
      </c>
      <c r="E25" t="str">
        <f t="shared" si="0"/>
        <v>Vạn Pháp Yêu Thành4</v>
      </c>
      <c r="F25" s="3" t="s">
        <v>215</v>
      </c>
      <c r="G25" s="3">
        <v>5</v>
      </c>
      <c r="H25" s="3">
        <f t="shared" si="1"/>
        <v>28800</v>
      </c>
      <c r="I25" s="1" t="s">
        <v>178</v>
      </c>
      <c r="J25" s="2" t="s">
        <v>80</v>
      </c>
      <c r="K25" s="5">
        <v>84</v>
      </c>
      <c r="L25" s="6">
        <v>75</v>
      </c>
      <c r="M25" s="3">
        <v>540000</v>
      </c>
      <c r="N25" s="6">
        <v>75</v>
      </c>
      <c r="O25" s="3">
        <v>400000</v>
      </c>
      <c r="P25" t="s">
        <v>52</v>
      </c>
      <c r="Q25" s="3" t="s">
        <v>86</v>
      </c>
      <c r="R25" s="3" t="s">
        <v>87</v>
      </c>
      <c r="S25" s="3" t="s">
        <v>9</v>
      </c>
      <c r="T25" s="3">
        <v>15</v>
      </c>
      <c r="U25" s="8">
        <v>70084</v>
      </c>
      <c r="V25" s="3" t="s">
        <v>93</v>
      </c>
      <c r="W25" s="3" t="s">
        <v>89</v>
      </c>
      <c r="X25" s="3">
        <v>2</v>
      </c>
    </row>
    <row r="26" spans="1:24" ht="16.5">
      <c r="A26" s="3">
        <v>25</v>
      </c>
      <c r="B26" s="3">
        <v>5</v>
      </c>
      <c r="C26" s="3">
        <v>5</v>
      </c>
      <c r="D26" s="29" t="s">
        <v>205</v>
      </c>
      <c r="E26" t="str">
        <f t="shared" si="0"/>
        <v>Vạn Pháp Yêu Thành5</v>
      </c>
      <c r="F26" s="3" t="s">
        <v>215</v>
      </c>
      <c r="G26" s="3">
        <v>5</v>
      </c>
      <c r="H26" s="3">
        <f t="shared" si="1"/>
        <v>28800</v>
      </c>
      <c r="I26" s="1" t="s">
        <v>178</v>
      </c>
      <c r="J26" s="2" t="s">
        <v>81</v>
      </c>
      <c r="K26" s="5">
        <v>85</v>
      </c>
      <c r="L26" s="6">
        <v>75</v>
      </c>
      <c r="M26" s="3">
        <v>570000</v>
      </c>
      <c r="N26" s="6">
        <v>75</v>
      </c>
      <c r="O26" s="3">
        <v>400000</v>
      </c>
      <c r="P26" t="s">
        <v>52</v>
      </c>
      <c r="Q26" s="3" t="s">
        <v>86</v>
      </c>
      <c r="R26" s="3" t="s">
        <v>87</v>
      </c>
      <c r="S26" s="3" t="s">
        <v>9</v>
      </c>
      <c r="T26" s="3">
        <v>15</v>
      </c>
      <c r="U26" s="8">
        <v>70090</v>
      </c>
      <c r="V26" s="3" t="s">
        <v>94</v>
      </c>
      <c r="W26" s="3" t="s">
        <v>89</v>
      </c>
      <c r="X26" s="3">
        <v>2</v>
      </c>
    </row>
    <row r="27" spans="1:24" ht="16.5">
      <c r="A27" s="3">
        <v>26</v>
      </c>
      <c r="B27" s="3">
        <v>5</v>
      </c>
      <c r="C27" s="3">
        <v>6</v>
      </c>
      <c r="D27" s="29" t="s">
        <v>205</v>
      </c>
      <c r="E27" t="str">
        <f t="shared" si="0"/>
        <v>Vạn Pháp Yêu Thành6</v>
      </c>
      <c r="F27" s="3" t="s">
        <v>215</v>
      </c>
      <c r="G27" s="3">
        <v>5</v>
      </c>
      <c r="H27" s="3">
        <f t="shared" si="1"/>
        <v>28800</v>
      </c>
      <c r="I27" s="1" t="s">
        <v>178</v>
      </c>
      <c r="J27" s="2" t="s">
        <v>95</v>
      </c>
      <c r="K27" s="5">
        <v>86</v>
      </c>
      <c r="L27" s="6">
        <v>75</v>
      </c>
      <c r="M27" s="3">
        <v>600000</v>
      </c>
      <c r="N27" s="6">
        <v>75</v>
      </c>
      <c r="O27" s="3">
        <v>400000</v>
      </c>
      <c r="P27" t="s">
        <v>52</v>
      </c>
      <c r="Q27" s="3" t="s">
        <v>86</v>
      </c>
      <c r="R27" s="3" t="s">
        <v>87</v>
      </c>
      <c r="S27" s="3" t="s">
        <v>9</v>
      </c>
      <c r="T27" s="3">
        <v>15</v>
      </c>
      <c r="U27" s="8">
        <v>70092</v>
      </c>
      <c r="V27" s="3" t="s">
        <v>96</v>
      </c>
      <c r="W27" s="3" t="s">
        <v>89</v>
      </c>
      <c r="X27" s="3">
        <v>2</v>
      </c>
    </row>
    <row r="28" spans="1:24" ht="16.5">
      <c r="A28" s="3">
        <v>27</v>
      </c>
      <c r="B28" s="3">
        <v>5</v>
      </c>
      <c r="C28" s="3">
        <v>7</v>
      </c>
      <c r="D28" s="29" t="s">
        <v>205</v>
      </c>
      <c r="E28" t="str">
        <f t="shared" si="0"/>
        <v>Vạn Pháp Yêu Thành7</v>
      </c>
      <c r="F28" s="3" t="s">
        <v>216</v>
      </c>
      <c r="G28" s="3">
        <v>5</v>
      </c>
      <c r="H28" s="3">
        <f t="shared" si="1"/>
        <v>28800</v>
      </c>
      <c r="I28" s="1" t="s">
        <v>178</v>
      </c>
      <c r="J28" s="2" t="s">
        <v>97</v>
      </c>
      <c r="K28" s="5">
        <v>87</v>
      </c>
      <c r="L28" s="6">
        <v>75</v>
      </c>
      <c r="M28" s="3">
        <v>630000</v>
      </c>
      <c r="N28" s="6">
        <v>75</v>
      </c>
      <c r="O28" s="3">
        <v>400000</v>
      </c>
      <c r="P28" t="s">
        <v>52</v>
      </c>
      <c r="Q28" s="3" t="s">
        <v>86</v>
      </c>
      <c r="R28" s="3" t="s">
        <v>87</v>
      </c>
      <c r="S28" s="3" t="s">
        <v>9</v>
      </c>
      <c r="T28" s="3">
        <v>15</v>
      </c>
      <c r="U28" s="8">
        <v>70093</v>
      </c>
      <c r="V28" s="3" t="s">
        <v>98</v>
      </c>
      <c r="W28" s="3" t="s">
        <v>89</v>
      </c>
      <c r="X28" s="3">
        <v>3</v>
      </c>
    </row>
    <row r="29" spans="1:24" ht="16.5">
      <c r="A29" s="3">
        <v>28</v>
      </c>
      <c r="B29" s="3">
        <v>5</v>
      </c>
      <c r="C29" s="3">
        <v>8</v>
      </c>
      <c r="D29" s="29" t="s">
        <v>205</v>
      </c>
      <c r="E29" t="str">
        <f t="shared" si="0"/>
        <v>Vạn Pháp Yêu Thành8</v>
      </c>
      <c r="F29" s="3" t="s">
        <v>216</v>
      </c>
      <c r="G29" s="3">
        <v>5</v>
      </c>
      <c r="H29" s="3">
        <f t="shared" si="1"/>
        <v>28800</v>
      </c>
      <c r="I29" s="1" t="s">
        <v>178</v>
      </c>
      <c r="J29" s="2" t="s">
        <v>99</v>
      </c>
      <c r="K29" s="5">
        <v>88</v>
      </c>
      <c r="L29" s="6">
        <v>75</v>
      </c>
      <c r="M29" s="3">
        <v>660000</v>
      </c>
      <c r="N29" s="6">
        <v>75</v>
      </c>
      <c r="O29" s="3">
        <v>400000</v>
      </c>
      <c r="P29" t="s">
        <v>52</v>
      </c>
      <c r="Q29" s="3" t="s">
        <v>86</v>
      </c>
      <c r="R29" s="3" t="s">
        <v>87</v>
      </c>
      <c r="S29" s="3" t="s">
        <v>9</v>
      </c>
      <c r="T29" s="3">
        <v>15</v>
      </c>
      <c r="U29" s="8">
        <v>482</v>
      </c>
      <c r="V29" s="3" t="s">
        <v>100</v>
      </c>
      <c r="W29" s="3" t="s">
        <v>89</v>
      </c>
      <c r="X29" s="3">
        <v>3</v>
      </c>
    </row>
    <row r="30" spans="1:24" ht="16.5">
      <c r="A30" s="3">
        <v>29</v>
      </c>
      <c r="B30" s="3">
        <v>5</v>
      </c>
      <c r="C30" s="3">
        <v>9</v>
      </c>
      <c r="D30" s="29" t="s">
        <v>205</v>
      </c>
      <c r="E30" t="str">
        <f t="shared" si="0"/>
        <v>Vạn Pháp Yêu Thành9</v>
      </c>
      <c r="F30" s="3" t="s">
        <v>216</v>
      </c>
      <c r="G30" s="3">
        <v>5</v>
      </c>
      <c r="H30" s="3">
        <f t="shared" si="1"/>
        <v>28800</v>
      </c>
      <c r="I30" s="1" t="s">
        <v>178</v>
      </c>
      <c r="J30" s="2" t="s">
        <v>101</v>
      </c>
      <c r="K30" s="5">
        <v>89</v>
      </c>
      <c r="L30" s="6">
        <v>75</v>
      </c>
      <c r="M30" s="3">
        <v>690000</v>
      </c>
      <c r="N30" s="6">
        <v>75</v>
      </c>
      <c r="O30" s="3">
        <v>400000</v>
      </c>
      <c r="P30" t="s">
        <v>52</v>
      </c>
      <c r="Q30" s="3" t="s">
        <v>86</v>
      </c>
      <c r="R30" s="3" t="s">
        <v>87</v>
      </c>
      <c r="S30" s="3" t="s">
        <v>9</v>
      </c>
      <c r="T30" s="3">
        <v>15</v>
      </c>
      <c r="U30" s="8">
        <v>70094</v>
      </c>
      <c r="V30" s="3" t="s">
        <v>102</v>
      </c>
      <c r="W30" s="3" t="s">
        <v>89</v>
      </c>
      <c r="X30" s="3">
        <v>3</v>
      </c>
    </row>
    <row r="31" spans="1:24" ht="16.5">
      <c r="A31" s="3">
        <v>30</v>
      </c>
      <c r="B31" s="3">
        <v>5</v>
      </c>
      <c r="C31" s="3">
        <v>10</v>
      </c>
      <c r="D31" s="29" t="s">
        <v>205</v>
      </c>
      <c r="E31" t="str">
        <f t="shared" si="0"/>
        <v>Vạn Pháp Yêu Thành10</v>
      </c>
      <c r="F31" s="3" t="s">
        <v>217</v>
      </c>
      <c r="G31" s="3">
        <v>6</v>
      </c>
      <c r="H31" s="3">
        <f t="shared" si="1"/>
        <v>28800</v>
      </c>
      <c r="I31" s="1" t="s">
        <v>178</v>
      </c>
      <c r="J31" s="2" t="s">
        <v>103</v>
      </c>
      <c r="K31" s="5">
        <v>90</v>
      </c>
      <c r="L31" s="6">
        <v>75</v>
      </c>
      <c r="M31" s="3">
        <v>720000</v>
      </c>
      <c r="N31" s="6">
        <v>75</v>
      </c>
      <c r="O31" s="3">
        <v>400000</v>
      </c>
      <c r="P31" t="s">
        <v>52</v>
      </c>
      <c r="Q31" s="3" t="s">
        <v>86</v>
      </c>
      <c r="R31" s="3" t="s">
        <v>87</v>
      </c>
      <c r="S31" s="3" t="s">
        <v>9</v>
      </c>
      <c r="T31" s="3">
        <v>15</v>
      </c>
      <c r="U31" s="8">
        <v>5342</v>
      </c>
      <c r="V31" s="3" t="s">
        <v>104</v>
      </c>
      <c r="W31" s="3" t="s">
        <v>89</v>
      </c>
      <c r="X31" s="3">
        <v>4</v>
      </c>
    </row>
    <row r="32" spans="1:24" ht="16.5">
      <c r="A32" s="3">
        <v>31</v>
      </c>
      <c r="B32" s="3">
        <v>6</v>
      </c>
      <c r="C32" s="3">
        <v>1</v>
      </c>
      <c r="D32" s="29" t="s">
        <v>206</v>
      </c>
      <c r="E32" t="str">
        <f t="shared" si="0"/>
        <v>Bồng Lai Tiên Cảnh1</v>
      </c>
      <c r="F32" s="3" t="s">
        <v>214</v>
      </c>
      <c r="G32" s="3">
        <v>6</v>
      </c>
      <c r="H32" s="3">
        <f t="shared" si="1"/>
        <v>28800</v>
      </c>
      <c r="I32" s="1" t="s">
        <v>178</v>
      </c>
      <c r="J32" s="2" t="s">
        <v>63</v>
      </c>
      <c r="K32" s="5">
        <v>91</v>
      </c>
      <c r="L32" s="6">
        <v>75</v>
      </c>
      <c r="M32" s="3">
        <v>500000</v>
      </c>
      <c r="N32" s="6">
        <v>75</v>
      </c>
      <c r="O32" s="3">
        <v>450000</v>
      </c>
      <c r="P32" t="s">
        <v>52</v>
      </c>
      <c r="Q32" s="3" t="s">
        <v>105</v>
      </c>
      <c r="R32" s="3" t="s">
        <v>106</v>
      </c>
      <c r="S32" s="3" t="s">
        <v>9</v>
      </c>
      <c r="T32" s="3">
        <v>15</v>
      </c>
      <c r="U32" s="8">
        <v>70100</v>
      </c>
      <c r="V32" s="3" t="s">
        <v>107</v>
      </c>
      <c r="W32" s="3" t="s">
        <v>108</v>
      </c>
      <c r="X32" s="3">
        <v>1</v>
      </c>
    </row>
    <row r="33" spans="1:24" ht="16.5">
      <c r="A33" s="3">
        <v>32</v>
      </c>
      <c r="B33" s="3">
        <v>6</v>
      </c>
      <c r="C33" s="3">
        <v>2</v>
      </c>
      <c r="D33" s="29" t="s">
        <v>206</v>
      </c>
      <c r="E33" t="str">
        <f t="shared" si="0"/>
        <v>Bồng Lai Tiên Cảnh2</v>
      </c>
      <c r="F33" s="3" t="s">
        <v>214</v>
      </c>
      <c r="G33" s="3">
        <v>6</v>
      </c>
      <c r="H33" s="3">
        <f t="shared" si="1"/>
        <v>28800</v>
      </c>
      <c r="I33" s="1" t="s">
        <v>178</v>
      </c>
      <c r="J33" s="2" t="s">
        <v>65</v>
      </c>
      <c r="K33" s="5">
        <v>92</v>
      </c>
      <c r="L33" s="6">
        <v>75</v>
      </c>
      <c r="M33" s="3">
        <v>530000</v>
      </c>
      <c r="N33" s="6">
        <v>75</v>
      </c>
      <c r="O33" s="3">
        <v>450000</v>
      </c>
      <c r="P33" t="s">
        <v>52</v>
      </c>
      <c r="Q33" s="3" t="s">
        <v>105</v>
      </c>
      <c r="R33" s="3" t="s">
        <v>106</v>
      </c>
      <c r="S33" s="3" t="s">
        <v>9</v>
      </c>
      <c r="T33" s="3">
        <v>15</v>
      </c>
      <c r="U33" s="8">
        <v>70091</v>
      </c>
      <c r="V33" s="3" t="s">
        <v>109</v>
      </c>
      <c r="W33" s="3" t="s">
        <v>108</v>
      </c>
      <c r="X33" s="3">
        <v>1</v>
      </c>
    </row>
    <row r="34" spans="1:24" ht="16.5">
      <c r="A34" s="3">
        <v>33</v>
      </c>
      <c r="B34" s="3">
        <v>6</v>
      </c>
      <c r="C34" s="3">
        <v>3</v>
      </c>
      <c r="D34" s="29" t="s">
        <v>206</v>
      </c>
      <c r="E34" t="str">
        <f t="shared" si="0"/>
        <v>Bồng Lai Tiên Cảnh3</v>
      </c>
      <c r="F34" s="3" t="s">
        <v>214</v>
      </c>
      <c r="G34" s="3">
        <v>6</v>
      </c>
      <c r="H34" s="3">
        <f t="shared" si="1"/>
        <v>28800</v>
      </c>
      <c r="I34" s="1" t="s">
        <v>178</v>
      </c>
      <c r="J34" s="2" t="s">
        <v>80</v>
      </c>
      <c r="K34" s="5">
        <v>93</v>
      </c>
      <c r="L34" s="6">
        <v>75</v>
      </c>
      <c r="M34" s="3">
        <v>560000</v>
      </c>
      <c r="N34" s="6">
        <v>75</v>
      </c>
      <c r="O34" s="3">
        <v>450000</v>
      </c>
      <c r="P34" t="s">
        <v>52</v>
      </c>
      <c r="Q34" s="3" t="s">
        <v>105</v>
      </c>
      <c r="R34" s="3" t="s">
        <v>106</v>
      </c>
      <c r="S34" s="3" t="s">
        <v>9</v>
      </c>
      <c r="T34" s="3">
        <v>15</v>
      </c>
      <c r="U34" s="8">
        <v>70087</v>
      </c>
      <c r="V34" s="3" t="s">
        <v>110</v>
      </c>
      <c r="W34" s="3" t="s">
        <v>108</v>
      </c>
      <c r="X34" s="3">
        <v>1</v>
      </c>
    </row>
    <row r="35" spans="1:24" ht="16.5">
      <c r="A35" s="3">
        <v>34</v>
      </c>
      <c r="B35" s="3">
        <v>6</v>
      </c>
      <c r="C35" s="3">
        <v>4</v>
      </c>
      <c r="D35" s="29" t="s">
        <v>206</v>
      </c>
      <c r="E35" t="str">
        <f t="shared" si="0"/>
        <v>Bồng Lai Tiên Cảnh4</v>
      </c>
      <c r="F35" s="3" t="s">
        <v>215</v>
      </c>
      <c r="G35" s="3">
        <v>6</v>
      </c>
      <c r="H35" s="3">
        <f t="shared" si="1"/>
        <v>28800</v>
      </c>
      <c r="I35" s="1" t="s">
        <v>178</v>
      </c>
      <c r="J35" s="2" t="s">
        <v>111</v>
      </c>
      <c r="K35" s="5">
        <v>94</v>
      </c>
      <c r="L35" s="6">
        <v>75</v>
      </c>
      <c r="M35" s="3">
        <v>590000</v>
      </c>
      <c r="N35" s="6">
        <v>75</v>
      </c>
      <c r="O35" s="3">
        <v>450000</v>
      </c>
      <c r="P35" t="s">
        <v>52</v>
      </c>
      <c r="Q35" s="3" t="s">
        <v>105</v>
      </c>
      <c r="R35" s="3" t="s">
        <v>106</v>
      </c>
      <c r="S35" s="3" t="s">
        <v>9</v>
      </c>
      <c r="T35" s="3">
        <v>15</v>
      </c>
      <c r="U35" s="8">
        <v>70096</v>
      </c>
      <c r="V35" s="3" t="s">
        <v>112</v>
      </c>
      <c r="W35" s="3" t="s">
        <v>108</v>
      </c>
      <c r="X35" s="3">
        <v>2</v>
      </c>
    </row>
    <row r="36" spans="1:24" ht="16.5">
      <c r="A36" s="3">
        <v>35</v>
      </c>
      <c r="B36" s="3">
        <v>6</v>
      </c>
      <c r="C36" s="3">
        <v>5</v>
      </c>
      <c r="D36" s="29" t="s">
        <v>206</v>
      </c>
      <c r="E36" t="str">
        <f t="shared" si="0"/>
        <v>Bồng Lai Tiên Cảnh5</v>
      </c>
      <c r="F36" s="3" t="s">
        <v>215</v>
      </c>
      <c r="G36" s="3">
        <v>6</v>
      </c>
      <c r="H36" s="3">
        <f t="shared" si="1"/>
        <v>28800</v>
      </c>
      <c r="I36" s="1" t="s">
        <v>178</v>
      </c>
      <c r="J36" s="2" t="s">
        <v>82</v>
      </c>
      <c r="K36" s="5">
        <v>95</v>
      </c>
      <c r="L36" s="6">
        <v>75</v>
      </c>
      <c r="M36" s="3">
        <v>620000</v>
      </c>
      <c r="N36" s="6">
        <v>75</v>
      </c>
      <c r="O36" s="3">
        <v>450000</v>
      </c>
      <c r="P36" t="s">
        <v>52</v>
      </c>
      <c r="Q36" s="3" t="s">
        <v>105</v>
      </c>
      <c r="R36" s="3" t="s">
        <v>106</v>
      </c>
      <c r="S36" s="3" t="s">
        <v>9</v>
      </c>
      <c r="T36" s="3">
        <v>15</v>
      </c>
      <c r="U36" s="8">
        <v>70097</v>
      </c>
      <c r="V36" s="3" t="s">
        <v>113</v>
      </c>
      <c r="W36" s="3" t="s">
        <v>108</v>
      </c>
      <c r="X36" s="3">
        <v>2</v>
      </c>
    </row>
    <row r="37" spans="1:24" ht="16.5">
      <c r="A37" s="3">
        <v>36</v>
      </c>
      <c r="B37" s="3">
        <v>6</v>
      </c>
      <c r="C37" s="3">
        <v>6</v>
      </c>
      <c r="D37" s="29" t="s">
        <v>206</v>
      </c>
      <c r="E37" t="str">
        <f t="shared" si="0"/>
        <v>Bồng Lai Tiên Cảnh6</v>
      </c>
      <c r="F37" s="3" t="s">
        <v>215</v>
      </c>
      <c r="G37" s="3">
        <v>6</v>
      </c>
      <c r="H37" s="3">
        <f t="shared" si="1"/>
        <v>28800</v>
      </c>
      <c r="I37" s="1" t="s">
        <v>178</v>
      </c>
      <c r="J37" s="2" t="s">
        <v>83</v>
      </c>
      <c r="K37" s="5">
        <v>96</v>
      </c>
      <c r="L37" s="6">
        <v>75</v>
      </c>
      <c r="M37" s="3">
        <v>650000</v>
      </c>
      <c r="N37" s="6">
        <v>75</v>
      </c>
      <c r="O37" s="3">
        <v>450000</v>
      </c>
      <c r="P37" t="s">
        <v>52</v>
      </c>
      <c r="Q37" s="3" t="s">
        <v>105</v>
      </c>
      <c r="R37" s="3" t="s">
        <v>106</v>
      </c>
      <c r="S37" s="3" t="s">
        <v>9</v>
      </c>
      <c r="T37" s="3">
        <v>15</v>
      </c>
      <c r="U37" s="8">
        <v>70098</v>
      </c>
      <c r="V37" s="3" t="s">
        <v>114</v>
      </c>
      <c r="W37" s="3" t="s">
        <v>108</v>
      </c>
      <c r="X37" s="3">
        <v>2</v>
      </c>
    </row>
    <row r="38" spans="1:24" ht="16.5">
      <c r="A38" s="3">
        <v>37</v>
      </c>
      <c r="B38" s="3">
        <v>6</v>
      </c>
      <c r="C38" s="3">
        <v>7</v>
      </c>
      <c r="D38" s="29" t="s">
        <v>206</v>
      </c>
      <c r="E38" t="str">
        <f t="shared" si="0"/>
        <v>Bồng Lai Tiên Cảnh7</v>
      </c>
      <c r="F38" s="3" t="s">
        <v>216</v>
      </c>
      <c r="G38" s="3">
        <v>6</v>
      </c>
      <c r="H38" s="3">
        <f t="shared" si="1"/>
        <v>28800</v>
      </c>
      <c r="I38" s="1" t="s">
        <v>178</v>
      </c>
      <c r="J38" s="2" t="s">
        <v>115</v>
      </c>
      <c r="K38" s="5">
        <v>97</v>
      </c>
      <c r="L38" s="6">
        <v>75</v>
      </c>
      <c r="M38" s="3">
        <v>680000</v>
      </c>
      <c r="N38" s="6">
        <v>75</v>
      </c>
      <c r="O38" s="3">
        <v>450000</v>
      </c>
      <c r="P38" t="s">
        <v>52</v>
      </c>
      <c r="Q38" s="3" t="s">
        <v>105</v>
      </c>
      <c r="R38" s="3" t="s">
        <v>106</v>
      </c>
      <c r="S38" s="3" t="s">
        <v>9</v>
      </c>
      <c r="T38" s="3">
        <v>15</v>
      </c>
      <c r="U38" s="8">
        <v>5342</v>
      </c>
      <c r="V38" s="3" t="s">
        <v>116</v>
      </c>
      <c r="W38" s="3" t="s">
        <v>108</v>
      </c>
      <c r="X38" s="3">
        <v>3</v>
      </c>
    </row>
    <row r="39" spans="1:24" ht="16.5">
      <c r="A39" s="3">
        <v>38</v>
      </c>
      <c r="B39" s="3">
        <v>6</v>
      </c>
      <c r="C39" s="3">
        <v>8</v>
      </c>
      <c r="D39" s="29" t="s">
        <v>206</v>
      </c>
      <c r="E39" t="str">
        <f t="shared" si="0"/>
        <v>Bồng Lai Tiên Cảnh8</v>
      </c>
      <c r="F39" s="3" t="s">
        <v>216</v>
      </c>
      <c r="G39" s="3">
        <v>6</v>
      </c>
      <c r="H39" s="3">
        <f t="shared" si="1"/>
        <v>28800</v>
      </c>
      <c r="I39" s="1" t="s">
        <v>178</v>
      </c>
      <c r="J39" s="2" t="s">
        <v>117</v>
      </c>
      <c r="K39" s="5">
        <v>98</v>
      </c>
      <c r="L39" s="6">
        <v>75</v>
      </c>
      <c r="M39" s="3">
        <v>710000</v>
      </c>
      <c r="N39" s="6">
        <v>75</v>
      </c>
      <c r="O39" s="3">
        <v>450000</v>
      </c>
      <c r="P39" t="s">
        <v>52</v>
      </c>
      <c r="Q39" s="3" t="s">
        <v>105</v>
      </c>
      <c r="R39" s="3" t="s">
        <v>106</v>
      </c>
      <c r="S39" s="3" t="s">
        <v>9</v>
      </c>
      <c r="T39" s="3">
        <v>15</v>
      </c>
      <c r="U39" s="8">
        <v>70107</v>
      </c>
      <c r="V39" s="3" t="s">
        <v>118</v>
      </c>
      <c r="W39" s="3" t="s">
        <v>108</v>
      </c>
      <c r="X39" s="3">
        <v>3</v>
      </c>
    </row>
    <row r="40" spans="1:24" ht="16.5">
      <c r="A40" s="3">
        <v>39</v>
      </c>
      <c r="B40" s="3">
        <v>6</v>
      </c>
      <c r="C40" s="3">
        <v>9</v>
      </c>
      <c r="D40" s="29" t="s">
        <v>206</v>
      </c>
      <c r="E40" t="str">
        <f t="shared" si="0"/>
        <v>Bồng Lai Tiên Cảnh9</v>
      </c>
      <c r="F40" s="3" t="s">
        <v>216</v>
      </c>
      <c r="G40" s="3">
        <v>6</v>
      </c>
      <c r="H40" s="3">
        <f t="shared" si="1"/>
        <v>28800</v>
      </c>
      <c r="I40" s="1" t="s">
        <v>178</v>
      </c>
      <c r="J40" s="2" t="s">
        <v>119</v>
      </c>
      <c r="K40" s="5">
        <v>99</v>
      </c>
      <c r="L40" s="6">
        <v>75</v>
      </c>
      <c r="M40" s="3">
        <v>740000</v>
      </c>
      <c r="N40" s="6">
        <v>75</v>
      </c>
      <c r="O40" s="3">
        <v>450000</v>
      </c>
      <c r="P40" t="s">
        <v>52</v>
      </c>
      <c r="Q40" s="3" t="s">
        <v>105</v>
      </c>
      <c r="R40" s="3" t="s">
        <v>106</v>
      </c>
      <c r="S40" s="3" t="s">
        <v>9</v>
      </c>
      <c r="T40" s="3">
        <v>15</v>
      </c>
      <c r="U40" s="8">
        <v>70101</v>
      </c>
      <c r="V40" s="3" t="s">
        <v>120</v>
      </c>
      <c r="W40" s="3" t="s">
        <v>108</v>
      </c>
      <c r="X40" s="3">
        <v>3</v>
      </c>
    </row>
    <row r="41" spans="1:24" ht="16.5">
      <c r="A41" s="3">
        <v>40</v>
      </c>
      <c r="B41" s="3">
        <v>6</v>
      </c>
      <c r="C41" s="3">
        <v>10</v>
      </c>
      <c r="D41" s="29" t="s">
        <v>206</v>
      </c>
      <c r="E41" t="str">
        <f t="shared" si="0"/>
        <v>Bồng Lai Tiên Cảnh10</v>
      </c>
      <c r="F41" s="3" t="s">
        <v>217</v>
      </c>
      <c r="G41" s="3">
        <v>6</v>
      </c>
      <c r="H41" s="3">
        <f t="shared" si="1"/>
        <v>28800</v>
      </c>
      <c r="I41" s="1" t="s">
        <v>178</v>
      </c>
      <c r="J41" s="2" t="s">
        <v>121</v>
      </c>
      <c r="K41" s="5">
        <v>100</v>
      </c>
      <c r="L41" s="6">
        <v>75</v>
      </c>
      <c r="M41" s="3">
        <v>770000</v>
      </c>
      <c r="N41" s="6">
        <v>75</v>
      </c>
      <c r="O41" s="3">
        <v>450000</v>
      </c>
      <c r="P41" t="s">
        <v>52</v>
      </c>
      <c r="Q41" s="3" t="s">
        <v>105</v>
      </c>
      <c r="R41" s="3" t="s">
        <v>106</v>
      </c>
      <c r="S41" s="3" t="s">
        <v>9</v>
      </c>
      <c r="T41" s="3">
        <v>15</v>
      </c>
      <c r="U41" s="8">
        <v>70102</v>
      </c>
      <c r="V41" s="3" t="s">
        <v>122</v>
      </c>
      <c r="W41" s="3" t="s">
        <v>108</v>
      </c>
      <c r="X41" s="3">
        <v>4</v>
      </c>
    </row>
    <row r="42" spans="1:24" ht="16.5">
      <c r="A42" s="3">
        <v>41</v>
      </c>
      <c r="B42" s="3">
        <v>7</v>
      </c>
      <c r="C42" s="3">
        <v>1</v>
      </c>
      <c r="D42" s="29" t="s">
        <v>207</v>
      </c>
      <c r="E42" t="str">
        <f t="shared" si="0"/>
        <v>Hồng Quân di tích1</v>
      </c>
      <c r="F42" s="3" t="s">
        <v>214</v>
      </c>
      <c r="G42" s="3">
        <v>7</v>
      </c>
      <c r="H42" s="3">
        <f t="shared" si="1"/>
        <v>28800</v>
      </c>
      <c r="I42" s="1" t="s">
        <v>178</v>
      </c>
      <c r="J42" s="2" t="s">
        <v>123</v>
      </c>
      <c r="K42" s="5">
        <v>101</v>
      </c>
      <c r="L42" s="6">
        <v>75</v>
      </c>
      <c r="M42" s="3">
        <v>550000</v>
      </c>
      <c r="N42" s="6">
        <v>75</v>
      </c>
      <c r="O42" s="3">
        <v>500000</v>
      </c>
      <c r="P42" t="s">
        <v>52</v>
      </c>
      <c r="Q42" s="3" t="s">
        <v>124</v>
      </c>
      <c r="R42" s="3" t="s">
        <v>125</v>
      </c>
      <c r="S42" s="3" t="s">
        <v>9</v>
      </c>
      <c r="T42" s="3">
        <v>15</v>
      </c>
      <c r="U42" s="8">
        <v>70103</v>
      </c>
      <c r="V42" s="3" t="s">
        <v>126</v>
      </c>
      <c r="W42" s="3" t="s">
        <v>127</v>
      </c>
      <c r="X42" s="3">
        <v>1</v>
      </c>
    </row>
    <row r="43" spans="1:24" ht="16.5">
      <c r="A43" s="3">
        <v>42</v>
      </c>
      <c r="B43" s="3">
        <v>7</v>
      </c>
      <c r="C43" s="3">
        <v>2</v>
      </c>
      <c r="D43" s="29" t="s">
        <v>207</v>
      </c>
      <c r="E43" t="str">
        <f t="shared" si="0"/>
        <v>Hồng Quân di tích2</v>
      </c>
      <c r="F43" s="3" t="s">
        <v>214</v>
      </c>
      <c r="G43" s="3">
        <v>7</v>
      </c>
      <c r="H43" s="3">
        <f t="shared" si="1"/>
        <v>28800</v>
      </c>
      <c r="I43" s="1" t="s">
        <v>178</v>
      </c>
      <c r="J43" s="2" t="s">
        <v>111</v>
      </c>
      <c r="K43" s="5">
        <v>102</v>
      </c>
      <c r="L43" s="6">
        <v>75</v>
      </c>
      <c r="M43" s="3">
        <v>580000</v>
      </c>
      <c r="N43" s="6">
        <v>75</v>
      </c>
      <c r="O43" s="3">
        <v>500000</v>
      </c>
      <c r="P43" t="s">
        <v>52</v>
      </c>
      <c r="Q43" s="3" t="s">
        <v>124</v>
      </c>
      <c r="R43" s="3" t="s">
        <v>125</v>
      </c>
      <c r="S43" s="3" t="s">
        <v>9</v>
      </c>
      <c r="T43" s="3">
        <v>15</v>
      </c>
      <c r="U43" s="8">
        <v>70104</v>
      </c>
      <c r="V43" s="3" t="s">
        <v>128</v>
      </c>
      <c r="W43" s="3" t="s">
        <v>127</v>
      </c>
      <c r="X43" s="3">
        <v>1</v>
      </c>
    </row>
    <row r="44" spans="1:24" ht="16.5">
      <c r="A44" s="3">
        <v>43</v>
      </c>
      <c r="B44" s="3">
        <v>7</v>
      </c>
      <c r="C44" s="3">
        <v>3</v>
      </c>
      <c r="D44" s="29" t="s">
        <v>207</v>
      </c>
      <c r="E44" t="str">
        <f t="shared" si="0"/>
        <v>Hồng Quân di tích3</v>
      </c>
      <c r="F44" s="3" t="s">
        <v>214</v>
      </c>
      <c r="G44" s="3">
        <v>7</v>
      </c>
      <c r="H44" s="3">
        <f t="shared" si="1"/>
        <v>28800</v>
      </c>
      <c r="I44" s="1" t="s">
        <v>178</v>
      </c>
      <c r="J44" s="2" t="s">
        <v>82</v>
      </c>
      <c r="K44" s="5">
        <v>103</v>
      </c>
      <c r="L44" s="6">
        <v>75</v>
      </c>
      <c r="M44" s="3">
        <v>610000</v>
      </c>
      <c r="N44" s="6">
        <v>75</v>
      </c>
      <c r="O44" s="3">
        <v>500000</v>
      </c>
      <c r="P44" t="s">
        <v>52</v>
      </c>
      <c r="Q44" s="3" t="s">
        <v>124</v>
      </c>
      <c r="R44" s="3" t="s">
        <v>125</v>
      </c>
      <c r="S44" s="3" t="s">
        <v>9</v>
      </c>
      <c r="T44" s="3">
        <v>15</v>
      </c>
      <c r="U44" s="8">
        <v>70105</v>
      </c>
      <c r="V44" s="3" t="s">
        <v>129</v>
      </c>
      <c r="W44" s="3" t="s">
        <v>127</v>
      </c>
      <c r="X44" s="3">
        <v>1</v>
      </c>
    </row>
    <row r="45" spans="1:24" ht="16.5">
      <c r="A45" s="3">
        <v>44</v>
      </c>
      <c r="B45" s="3">
        <v>7</v>
      </c>
      <c r="C45" s="3">
        <v>4</v>
      </c>
      <c r="D45" s="29" t="s">
        <v>207</v>
      </c>
      <c r="E45" t="str">
        <f t="shared" si="0"/>
        <v>Hồng Quân di tích4</v>
      </c>
      <c r="F45" s="3" t="s">
        <v>215</v>
      </c>
      <c r="G45" s="3">
        <v>7</v>
      </c>
      <c r="H45" s="3">
        <f t="shared" si="1"/>
        <v>28800</v>
      </c>
      <c r="I45" s="1" t="s">
        <v>178</v>
      </c>
      <c r="J45" s="2" t="s">
        <v>97</v>
      </c>
      <c r="K45" s="5">
        <v>104</v>
      </c>
      <c r="L45" s="6">
        <v>75</v>
      </c>
      <c r="M45" s="3">
        <v>640000</v>
      </c>
      <c r="N45" s="6">
        <v>75</v>
      </c>
      <c r="O45" s="3">
        <v>500000</v>
      </c>
      <c r="P45" t="s">
        <v>52</v>
      </c>
      <c r="Q45" s="3" t="s">
        <v>124</v>
      </c>
      <c r="R45" s="3" t="s">
        <v>125</v>
      </c>
      <c r="S45" s="3" t="s">
        <v>9</v>
      </c>
      <c r="T45" s="3">
        <v>15</v>
      </c>
      <c r="U45" s="8">
        <v>70106</v>
      </c>
      <c r="V45" s="3" t="s">
        <v>130</v>
      </c>
      <c r="W45" s="3" t="s">
        <v>127</v>
      </c>
      <c r="X45" s="3">
        <v>2</v>
      </c>
    </row>
    <row r="46" spans="1:24" ht="16.5">
      <c r="A46" s="3">
        <v>45</v>
      </c>
      <c r="B46" s="3">
        <v>7</v>
      </c>
      <c r="C46" s="3">
        <v>5</v>
      </c>
      <c r="D46" s="29" t="s">
        <v>207</v>
      </c>
      <c r="E46" t="str">
        <f t="shared" si="0"/>
        <v>Hồng Quân di tích5</v>
      </c>
      <c r="F46" s="3" t="s">
        <v>215</v>
      </c>
      <c r="G46" s="3">
        <v>7</v>
      </c>
      <c r="H46" s="3">
        <f t="shared" si="1"/>
        <v>28800</v>
      </c>
      <c r="I46" s="1" t="s">
        <v>178</v>
      </c>
      <c r="J46" s="2" t="s">
        <v>99</v>
      </c>
      <c r="K46" s="5">
        <v>105</v>
      </c>
      <c r="L46" s="6">
        <v>75</v>
      </c>
      <c r="M46" s="3">
        <v>670000</v>
      </c>
      <c r="N46" s="6">
        <v>75</v>
      </c>
      <c r="O46" s="3">
        <v>500000</v>
      </c>
      <c r="P46" t="s">
        <v>52</v>
      </c>
      <c r="Q46" s="3" t="s">
        <v>124</v>
      </c>
      <c r="R46" s="3" t="s">
        <v>125</v>
      </c>
      <c r="S46" s="3" t="s">
        <v>9</v>
      </c>
      <c r="T46" s="3">
        <v>15</v>
      </c>
      <c r="U46" s="8">
        <v>70107</v>
      </c>
      <c r="V46" s="3" t="s">
        <v>131</v>
      </c>
      <c r="W46" s="3" t="s">
        <v>127</v>
      </c>
      <c r="X46" s="3">
        <v>2</v>
      </c>
    </row>
    <row r="47" spans="1:24" ht="16.5">
      <c r="A47" s="3">
        <v>46</v>
      </c>
      <c r="B47" s="3">
        <v>7</v>
      </c>
      <c r="C47" s="3">
        <v>6</v>
      </c>
      <c r="D47" s="29" t="s">
        <v>207</v>
      </c>
      <c r="E47" t="str">
        <f t="shared" si="0"/>
        <v>Hồng Quân di tích6</v>
      </c>
      <c r="F47" s="3" t="s">
        <v>215</v>
      </c>
      <c r="G47" s="3">
        <v>7</v>
      </c>
      <c r="H47" s="3">
        <f t="shared" si="1"/>
        <v>28800</v>
      </c>
      <c r="I47" s="1" t="s">
        <v>178</v>
      </c>
      <c r="J47" s="2" t="s">
        <v>101</v>
      </c>
      <c r="K47" s="5">
        <v>106</v>
      </c>
      <c r="L47" s="6">
        <v>75</v>
      </c>
      <c r="M47" s="3">
        <v>700000</v>
      </c>
      <c r="N47" s="6">
        <v>75</v>
      </c>
      <c r="O47" s="3">
        <v>500000</v>
      </c>
      <c r="P47" t="s">
        <v>52</v>
      </c>
      <c r="Q47" s="3" t="s">
        <v>124</v>
      </c>
      <c r="R47" s="3" t="s">
        <v>125</v>
      </c>
      <c r="S47" s="3" t="s">
        <v>9</v>
      </c>
      <c r="T47" s="3">
        <v>15</v>
      </c>
      <c r="U47" s="8">
        <v>70108</v>
      </c>
      <c r="V47" s="3" t="s">
        <v>132</v>
      </c>
      <c r="W47" s="3" t="s">
        <v>127</v>
      </c>
      <c r="X47" s="3">
        <v>2</v>
      </c>
    </row>
    <row r="48" spans="1:24" ht="16.5">
      <c r="A48" s="3">
        <v>47</v>
      </c>
      <c r="B48" s="3">
        <v>7</v>
      </c>
      <c r="C48" s="3">
        <v>7</v>
      </c>
      <c r="D48" s="29" t="s">
        <v>207</v>
      </c>
      <c r="E48" t="str">
        <f t="shared" si="0"/>
        <v>Hồng Quân di tích7</v>
      </c>
      <c r="F48" s="3" t="s">
        <v>216</v>
      </c>
      <c r="G48" s="3">
        <v>7</v>
      </c>
      <c r="H48" s="3">
        <f t="shared" si="1"/>
        <v>28800</v>
      </c>
      <c r="I48" s="1" t="s">
        <v>178</v>
      </c>
      <c r="J48" s="2" t="s">
        <v>133</v>
      </c>
      <c r="K48" s="5">
        <v>107</v>
      </c>
      <c r="L48" s="6">
        <v>75</v>
      </c>
      <c r="M48" s="3">
        <v>730000</v>
      </c>
      <c r="N48" s="6">
        <v>75</v>
      </c>
      <c r="O48" s="3">
        <v>500000</v>
      </c>
      <c r="P48" t="s">
        <v>52</v>
      </c>
      <c r="Q48" s="3" t="s">
        <v>124</v>
      </c>
      <c r="R48" s="3" t="s">
        <v>125</v>
      </c>
      <c r="S48" s="3" t="s">
        <v>9</v>
      </c>
      <c r="T48" s="3">
        <v>15</v>
      </c>
      <c r="U48" s="8">
        <v>70109</v>
      </c>
      <c r="V48" s="3" t="s">
        <v>134</v>
      </c>
      <c r="W48" s="3" t="s">
        <v>127</v>
      </c>
      <c r="X48" s="3">
        <v>3</v>
      </c>
    </row>
    <row r="49" spans="1:24" ht="16.5">
      <c r="A49" s="3">
        <v>48</v>
      </c>
      <c r="B49" s="3">
        <v>7</v>
      </c>
      <c r="C49" s="3">
        <v>8</v>
      </c>
      <c r="D49" s="29" t="s">
        <v>207</v>
      </c>
      <c r="E49" t="str">
        <f t="shared" si="0"/>
        <v>Hồng Quân di tích8</v>
      </c>
      <c r="F49" s="3" t="s">
        <v>216</v>
      </c>
      <c r="G49" s="3">
        <v>7</v>
      </c>
      <c r="H49" s="3">
        <f t="shared" si="1"/>
        <v>28800</v>
      </c>
      <c r="I49" s="1" t="s">
        <v>178</v>
      </c>
      <c r="J49" s="2" t="s">
        <v>135</v>
      </c>
      <c r="K49" s="5">
        <v>108</v>
      </c>
      <c r="L49" s="6">
        <v>75</v>
      </c>
      <c r="M49" s="3">
        <v>760000</v>
      </c>
      <c r="N49" s="6">
        <v>75</v>
      </c>
      <c r="O49" s="3">
        <v>500000</v>
      </c>
      <c r="P49" t="s">
        <v>52</v>
      </c>
      <c r="Q49" s="3" t="s">
        <v>124</v>
      </c>
      <c r="R49" s="3" t="s">
        <v>125</v>
      </c>
      <c r="S49" s="3" t="s">
        <v>9</v>
      </c>
      <c r="T49" s="3">
        <v>15</v>
      </c>
      <c r="U49" s="8">
        <v>70110</v>
      </c>
      <c r="V49" s="3" t="s">
        <v>136</v>
      </c>
      <c r="W49" s="3" t="s">
        <v>127</v>
      </c>
      <c r="X49" s="3">
        <v>3</v>
      </c>
    </row>
    <row r="50" spans="1:24" ht="16.5">
      <c r="A50" s="3">
        <v>49</v>
      </c>
      <c r="B50" s="3">
        <v>7</v>
      </c>
      <c r="C50" s="3">
        <v>9</v>
      </c>
      <c r="D50" s="29" t="s">
        <v>207</v>
      </c>
      <c r="E50" t="str">
        <f t="shared" si="0"/>
        <v>Hồng Quân di tích9</v>
      </c>
      <c r="F50" s="3" t="s">
        <v>216</v>
      </c>
      <c r="G50" s="3">
        <v>7</v>
      </c>
      <c r="H50" s="3">
        <f t="shared" si="1"/>
        <v>28800</v>
      </c>
      <c r="I50" s="1" t="s">
        <v>178</v>
      </c>
      <c r="J50" s="2" t="s">
        <v>137</v>
      </c>
      <c r="K50" s="5">
        <v>109</v>
      </c>
      <c r="L50" s="6">
        <v>75</v>
      </c>
      <c r="M50" s="3">
        <v>790000</v>
      </c>
      <c r="N50" s="6">
        <v>75</v>
      </c>
      <c r="O50" s="3">
        <v>500000</v>
      </c>
      <c r="P50" t="s">
        <v>52</v>
      </c>
      <c r="Q50" s="3" t="s">
        <v>124</v>
      </c>
      <c r="R50" s="3" t="s">
        <v>125</v>
      </c>
      <c r="S50" s="3" t="s">
        <v>9</v>
      </c>
      <c r="T50" s="3">
        <v>15</v>
      </c>
      <c r="U50" s="8">
        <v>70111</v>
      </c>
      <c r="V50" s="3" t="s">
        <v>138</v>
      </c>
      <c r="W50" s="3" t="s">
        <v>127</v>
      </c>
      <c r="X50" s="3">
        <v>3</v>
      </c>
    </row>
    <row r="51" spans="1:24" ht="16.5">
      <c r="A51" s="3">
        <v>50</v>
      </c>
      <c r="B51" s="3">
        <v>7</v>
      </c>
      <c r="C51" s="3">
        <v>10</v>
      </c>
      <c r="D51" s="29" t="s">
        <v>207</v>
      </c>
      <c r="E51" t="str">
        <f t="shared" si="0"/>
        <v>Hồng Quân di tích10</v>
      </c>
      <c r="F51" s="3" t="s">
        <v>217</v>
      </c>
      <c r="G51" s="3">
        <v>7</v>
      </c>
      <c r="H51" s="3">
        <f t="shared" si="1"/>
        <v>28800</v>
      </c>
      <c r="I51" s="1" t="s">
        <v>178</v>
      </c>
      <c r="J51" s="7" t="s">
        <v>139</v>
      </c>
      <c r="K51" s="5">
        <v>110</v>
      </c>
      <c r="L51" s="6">
        <v>75</v>
      </c>
      <c r="M51" s="3">
        <v>820000</v>
      </c>
      <c r="N51" s="6">
        <v>75</v>
      </c>
      <c r="O51" s="3">
        <v>500000</v>
      </c>
      <c r="P51" t="s">
        <v>52</v>
      </c>
      <c r="Q51" s="3" t="s">
        <v>124</v>
      </c>
      <c r="R51" s="3" t="s">
        <v>125</v>
      </c>
      <c r="S51" s="3" t="s">
        <v>9</v>
      </c>
      <c r="T51" s="3">
        <v>15</v>
      </c>
      <c r="U51" s="8">
        <v>70112</v>
      </c>
      <c r="V51" s="3" t="s">
        <v>140</v>
      </c>
      <c r="W51" s="3" t="s">
        <v>127</v>
      </c>
      <c r="X51" s="3">
        <v>4</v>
      </c>
    </row>
    <row r="52" spans="1:24" s="6" customFormat="1" ht="16.5">
      <c r="A52" s="3">
        <v>51</v>
      </c>
      <c r="B52" s="6">
        <v>1</v>
      </c>
      <c r="C52" s="6">
        <v>1</v>
      </c>
      <c r="D52" s="11" t="s">
        <v>208</v>
      </c>
      <c r="E52" s="30" t="s">
        <v>223</v>
      </c>
      <c r="F52" s="3" t="s">
        <v>214</v>
      </c>
      <c r="G52" s="6">
        <v>1</v>
      </c>
      <c r="H52" s="6">
        <f t="shared" si="1"/>
        <v>28800</v>
      </c>
      <c r="I52" s="12" t="s">
        <v>178</v>
      </c>
      <c r="J52" s="13" t="s">
        <v>51</v>
      </c>
      <c r="K52" s="5">
        <v>61</v>
      </c>
      <c r="L52" s="3">
        <v>75</v>
      </c>
      <c r="M52" s="3">
        <v>350000</v>
      </c>
      <c r="N52" s="3">
        <v>75</v>
      </c>
      <c r="O52" s="3">
        <v>200000</v>
      </c>
      <c r="P52" s="10" t="s">
        <v>52</v>
      </c>
      <c r="Q52" s="11" t="s">
        <v>183</v>
      </c>
      <c r="R52" s="11" t="s">
        <v>179</v>
      </c>
      <c r="S52" s="6" t="s">
        <v>9</v>
      </c>
      <c r="T52" s="6">
        <v>15</v>
      </c>
      <c r="U52" s="8">
        <v>2350</v>
      </c>
      <c r="V52" s="14" t="s">
        <v>287</v>
      </c>
      <c r="W52" s="6" t="s">
        <v>108</v>
      </c>
      <c r="X52" s="6">
        <v>1</v>
      </c>
    </row>
    <row r="53" spans="1:24" s="6" customFormat="1" ht="16.5">
      <c r="A53" s="3">
        <v>52</v>
      </c>
      <c r="B53" s="6">
        <v>1</v>
      </c>
      <c r="C53" s="6">
        <v>2</v>
      </c>
      <c r="D53" s="11" t="s">
        <v>208</v>
      </c>
      <c r="E53" s="30" t="s">
        <v>224</v>
      </c>
      <c r="F53" s="3" t="s">
        <v>214</v>
      </c>
      <c r="G53" s="6">
        <v>1</v>
      </c>
      <c r="H53" s="6">
        <f t="shared" si="1"/>
        <v>28800</v>
      </c>
      <c r="I53" s="12" t="s">
        <v>178</v>
      </c>
      <c r="J53" s="13" t="s">
        <v>57</v>
      </c>
      <c r="K53" s="5">
        <v>62</v>
      </c>
      <c r="L53" s="3">
        <v>75</v>
      </c>
      <c r="M53" s="3">
        <v>370000</v>
      </c>
      <c r="N53" s="3">
        <v>75</v>
      </c>
      <c r="O53" s="3">
        <v>200000</v>
      </c>
      <c r="P53" s="10" t="s">
        <v>52</v>
      </c>
      <c r="Q53" s="11" t="s">
        <v>183</v>
      </c>
      <c r="R53" s="11" t="s">
        <v>179</v>
      </c>
      <c r="S53" s="6" t="s">
        <v>9</v>
      </c>
      <c r="T53" s="6">
        <v>15</v>
      </c>
      <c r="U53" s="8">
        <v>2351</v>
      </c>
      <c r="V53" s="14" t="s">
        <v>288</v>
      </c>
      <c r="W53" s="6" t="s">
        <v>108</v>
      </c>
      <c r="X53" s="6">
        <v>1</v>
      </c>
    </row>
    <row r="54" spans="1:24" s="6" customFormat="1" ht="16.5">
      <c r="A54" s="3">
        <v>53</v>
      </c>
      <c r="B54" s="6">
        <v>1</v>
      </c>
      <c r="C54" s="6">
        <v>3</v>
      </c>
      <c r="D54" s="11" t="s">
        <v>208</v>
      </c>
      <c r="E54" s="30" t="s">
        <v>225</v>
      </c>
      <c r="F54" s="3" t="s">
        <v>214</v>
      </c>
      <c r="G54" s="6">
        <v>1</v>
      </c>
      <c r="H54" s="6">
        <f t="shared" si="1"/>
        <v>28800</v>
      </c>
      <c r="I54" s="12" t="s">
        <v>178</v>
      </c>
      <c r="J54" s="13" t="s">
        <v>59</v>
      </c>
      <c r="K54" s="5">
        <v>63</v>
      </c>
      <c r="L54" s="3">
        <v>75</v>
      </c>
      <c r="M54" s="3">
        <v>390000</v>
      </c>
      <c r="N54" s="3">
        <v>75</v>
      </c>
      <c r="O54" s="3">
        <v>200000</v>
      </c>
      <c r="P54" s="10" t="s">
        <v>52</v>
      </c>
      <c r="Q54" s="11" t="s">
        <v>184</v>
      </c>
      <c r="R54" s="11" t="s">
        <v>180</v>
      </c>
      <c r="S54" s="6" t="s">
        <v>9</v>
      </c>
      <c r="T54" s="6">
        <v>15</v>
      </c>
      <c r="U54" s="8">
        <v>2352</v>
      </c>
      <c r="V54" s="14" t="s">
        <v>289</v>
      </c>
      <c r="W54" s="6" t="s">
        <v>108</v>
      </c>
      <c r="X54" s="6">
        <v>1</v>
      </c>
    </row>
    <row r="55" spans="1:24" s="6" customFormat="1" ht="16.5">
      <c r="A55" s="3">
        <v>54</v>
      </c>
      <c r="B55" s="6">
        <v>1</v>
      </c>
      <c r="C55" s="6">
        <v>4</v>
      </c>
      <c r="D55" s="11" t="s">
        <v>208</v>
      </c>
      <c r="E55" s="30" t="s">
        <v>226</v>
      </c>
      <c r="F55" s="3" t="s">
        <v>215</v>
      </c>
      <c r="G55" s="6">
        <v>1</v>
      </c>
      <c r="H55" s="6">
        <f t="shared" si="1"/>
        <v>28800</v>
      </c>
      <c r="I55" s="12" t="s">
        <v>178</v>
      </c>
      <c r="J55" s="13" t="s">
        <v>61</v>
      </c>
      <c r="K55" s="5">
        <v>64</v>
      </c>
      <c r="L55" s="3">
        <v>75</v>
      </c>
      <c r="M55" s="3">
        <v>410000</v>
      </c>
      <c r="N55" s="3">
        <v>75</v>
      </c>
      <c r="O55" s="3">
        <v>200000</v>
      </c>
      <c r="P55" s="10" t="s">
        <v>52</v>
      </c>
      <c r="Q55" s="11" t="s">
        <v>184</v>
      </c>
      <c r="R55" s="11" t="s">
        <v>180</v>
      </c>
      <c r="S55" s="6" t="s">
        <v>9</v>
      </c>
      <c r="T55" s="6">
        <v>15</v>
      </c>
      <c r="U55" s="8">
        <v>2370</v>
      </c>
      <c r="V55" s="14" t="s">
        <v>290</v>
      </c>
      <c r="W55" s="6" t="s">
        <v>108</v>
      </c>
      <c r="X55" s="6">
        <v>2</v>
      </c>
    </row>
    <row r="56" spans="1:24" s="6" customFormat="1" ht="16.5">
      <c r="A56" s="3">
        <v>55</v>
      </c>
      <c r="B56" s="6">
        <v>1</v>
      </c>
      <c r="C56" s="6">
        <v>5</v>
      </c>
      <c r="D56" s="11" t="s">
        <v>208</v>
      </c>
      <c r="E56" s="30" t="s">
        <v>227</v>
      </c>
      <c r="F56" s="3" t="s">
        <v>215</v>
      </c>
      <c r="G56" s="6">
        <v>1</v>
      </c>
      <c r="H56" s="6">
        <f t="shared" si="1"/>
        <v>28800</v>
      </c>
      <c r="I56" s="12" t="s">
        <v>178</v>
      </c>
      <c r="J56" s="13" t="s">
        <v>63</v>
      </c>
      <c r="K56" s="5">
        <v>65</v>
      </c>
      <c r="L56" s="3">
        <v>75</v>
      </c>
      <c r="M56" s="3">
        <v>430000</v>
      </c>
      <c r="N56" s="3">
        <v>75</v>
      </c>
      <c r="O56" s="3">
        <v>200000</v>
      </c>
      <c r="P56" s="10" t="s">
        <v>52</v>
      </c>
      <c r="Q56" s="11" t="s">
        <v>184</v>
      </c>
      <c r="R56" s="11" t="s">
        <v>180</v>
      </c>
      <c r="S56" s="6" t="s">
        <v>9</v>
      </c>
      <c r="T56" s="6">
        <v>15</v>
      </c>
      <c r="U56" s="8">
        <v>2396</v>
      </c>
      <c r="V56" s="14" t="s">
        <v>272</v>
      </c>
      <c r="W56" s="6" t="s">
        <v>108</v>
      </c>
      <c r="X56" s="6">
        <v>2</v>
      </c>
    </row>
    <row r="57" spans="1:24" s="6" customFormat="1" ht="16.5">
      <c r="A57" s="3">
        <v>56</v>
      </c>
      <c r="B57" s="6">
        <v>1</v>
      </c>
      <c r="C57" s="6">
        <v>6</v>
      </c>
      <c r="D57" s="11" t="s">
        <v>208</v>
      </c>
      <c r="E57" s="30" t="s">
        <v>228</v>
      </c>
      <c r="F57" s="3" t="s">
        <v>215</v>
      </c>
      <c r="G57" s="6">
        <v>1</v>
      </c>
      <c r="H57" s="6">
        <f t="shared" si="1"/>
        <v>28800</v>
      </c>
      <c r="I57" s="12" t="s">
        <v>178</v>
      </c>
      <c r="J57" s="13" t="s">
        <v>65</v>
      </c>
      <c r="K57" s="5">
        <v>66</v>
      </c>
      <c r="L57" s="3">
        <v>75</v>
      </c>
      <c r="M57" s="3">
        <v>450000</v>
      </c>
      <c r="N57" s="3">
        <v>75</v>
      </c>
      <c r="O57" s="3">
        <v>200000</v>
      </c>
      <c r="P57" s="10" t="s">
        <v>52</v>
      </c>
      <c r="Q57" s="11" t="s">
        <v>184</v>
      </c>
      <c r="R57" s="11" t="s">
        <v>180</v>
      </c>
      <c r="S57" s="6" t="s">
        <v>9</v>
      </c>
      <c r="T57" s="6">
        <v>15</v>
      </c>
      <c r="U57" s="8">
        <v>2422</v>
      </c>
      <c r="V57" s="14" t="s">
        <v>273</v>
      </c>
      <c r="W57" s="6" t="s">
        <v>108</v>
      </c>
      <c r="X57" s="6">
        <v>2</v>
      </c>
    </row>
    <row r="58" spans="1:24" s="6" customFormat="1" ht="16.5">
      <c r="A58" s="3">
        <v>57</v>
      </c>
      <c r="B58" s="6">
        <v>1</v>
      </c>
      <c r="C58" s="6">
        <v>7</v>
      </c>
      <c r="D58" s="11" t="s">
        <v>208</v>
      </c>
      <c r="E58" s="30" t="s">
        <v>229</v>
      </c>
      <c r="F58" s="3" t="s">
        <v>216</v>
      </c>
      <c r="G58" s="6">
        <v>1</v>
      </c>
      <c r="H58" s="6">
        <f t="shared" si="1"/>
        <v>28800</v>
      </c>
      <c r="I58" s="12" t="s">
        <v>178</v>
      </c>
      <c r="J58" s="13" t="s">
        <v>67</v>
      </c>
      <c r="K58" s="5">
        <v>67</v>
      </c>
      <c r="L58" s="3">
        <v>75</v>
      </c>
      <c r="M58" s="3">
        <v>470000</v>
      </c>
      <c r="N58" s="3">
        <v>75</v>
      </c>
      <c r="O58" s="3">
        <v>200000</v>
      </c>
      <c r="P58" s="10" t="s">
        <v>52</v>
      </c>
      <c r="Q58" s="11" t="s">
        <v>184</v>
      </c>
      <c r="R58" s="11" t="s">
        <v>180</v>
      </c>
      <c r="S58" s="6" t="s">
        <v>9</v>
      </c>
      <c r="T58" s="6">
        <v>15</v>
      </c>
      <c r="U58" s="8">
        <v>2449</v>
      </c>
      <c r="V58" s="14" t="s">
        <v>274</v>
      </c>
      <c r="W58" s="6" t="s">
        <v>108</v>
      </c>
      <c r="X58" s="6">
        <v>3</v>
      </c>
    </row>
    <row r="59" spans="1:24" s="6" customFormat="1" ht="16.5">
      <c r="A59" s="3">
        <v>58</v>
      </c>
      <c r="B59" s="6">
        <v>1</v>
      </c>
      <c r="C59" s="6">
        <v>8</v>
      </c>
      <c r="D59" s="11" t="s">
        <v>208</v>
      </c>
      <c r="E59" s="30" t="s">
        <v>230</v>
      </c>
      <c r="F59" s="3" t="s">
        <v>216</v>
      </c>
      <c r="G59" s="6">
        <v>1</v>
      </c>
      <c r="H59" s="6">
        <f t="shared" si="1"/>
        <v>28800</v>
      </c>
      <c r="I59" s="12" t="s">
        <v>178</v>
      </c>
      <c r="J59" s="13" t="s">
        <v>69</v>
      </c>
      <c r="K59" s="5">
        <v>68</v>
      </c>
      <c r="L59" s="3">
        <v>75</v>
      </c>
      <c r="M59" s="3">
        <v>490000</v>
      </c>
      <c r="N59" s="3">
        <v>75</v>
      </c>
      <c r="O59" s="3">
        <v>200000</v>
      </c>
      <c r="P59" s="10" t="s">
        <v>52</v>
      </c>
      <c r="Q59" s="11" t="s">
        <v>184</v>
      </c>
      <c r="R59" s="11" t="s">
        <v>180</v>
      </c>
      <c r="S59" s="6" t="s">
        <v>9</v>
      </c>
      <c r="T59" s="6">
        <v>15</v>
      </c>
      <c r="U59" s="8">
        <v>2450</v>
      </c>
      <c r="V59" s="14" t="s">
        <v>275</v>
      </c>
      <c r="W59" s="6" t="s">
        <v>108</v>
      </c>
      <c r="X59" s="6">
        <v>3</v>
      </c>
    </row>
    <row r="60" spans="1:24" s="6" customFormat="1" ht="16.5">
      <c r="A60" s="3">
        <v>59</v>
      </c>
      <c r="B60" s="6">
        <v>1</v>
      </c>
      <c r="C60" s="6">
        <v>9</v>
      </c>
      <c r="D60" s="11" t="s">
        <v>208</v>
      </c>
      <c r="E60" s="30" t="s">
        <v>231</v>
      </c>
      <c r="F60" s="3" t="s">
        <v>216</v>
      </c>
      <c r="G60" s="6">
        <v>1</v>
      </c>
      <c r="H60" s="6">
        <f t="shared" si="1"/>
        <v>28800</v>
      </c>
      <c r="I60" s="12" t="s">
        <v>178</v>
      </c>
      <c r="J60" s="13" t="s">
        <v>71</v>
      </c>
      <c r="K60" s="5">
        <v>69</v>
      </c>
      <c r="L60" s="3">
        <v>75</v>
      </c>
      <c r="M60" s="3">
        <v>510000</v>
      </c>
      <c r="N60" s="3">
        <v>75</v>
      </c>
      <c r="O60" s="3">
        <v>200000</v>
      </c>
      <c r="P60" s="10" t="s">
        <v>52</v>
      </c>
      <c r="Q60" s="11" t="s">
        <v>184</v>
      </c>
      <c r="R60" s="11" t="s">
        <v>180</v>
      </c>
      <c r="S60" s="6" t="s">
        <v>9</v>
      </c>
      <c r="T60" s="6">
        <v>15</v>
      </c>
      <c r="U60" s="8">
        <v>2475</v>
      </c>
      <c r="V60" s="14" t="s">
        <v>276</v>
      </c>
      <c r="W60" s="6" t="s">
        <v>108</v>
      </c>
      <c r="X60" s="6">
        <v>3</v>
      </c>
    </row>
    <row r="61" spans="1:24" s="6" customFormat="1" ht="16.5">
      <c r="A61" s="3">
        <v>60</v>
      </c>
      <c r="B61" s="6">
        <v>1</v>
      </c>
      <c r="C61" s="6">
        <v>10</v>
      </c>
      <c r="D61" s="11" t="s">
        <v>208</v>
      </c>
      <c r="E61" s="30" t="s">
        <v>232</v>
      </c>
      <c r="F61" s="3" t="s">
        <v>217</v>
      </c>
      <c r="G61" s="6">
        <v>1</v>
      </c>
      <c r="H61" s="6">
        <f t="shared" si="1"/>
        <v>28800</v>
      </c>
      <c r="I61" s="12" t="s">
        <v>178</v>
      </c>
      <c r="J61" s="13" t="s">
        <v>73</v>
      </c>
      <c r="K61" s="5">
        <v>70</v>
      </c>
      <c r="L61" s="3">
        <v>75</v>
      </c>
      <c r="M61" s="3">
        <v>530000</v>
      </c>
      <c r="N61" s="3">
        <v>75</v>
      </c>
      <c r="O61" s="3">
        <v>200000</v>
      </c>
      <c r="P61" s="10" t="s">
        <v>52</v>
      </c>
      <c r="Q61" s="11" t="s">
        <v>184</v>
      </c>
      <c r="R61" s="11" t="s">
        <v>180</v>
      </c>
      <c r="S61" s="6" t="s">
        <v>9</v>
      </c>
      <c r="T61" s="6">
        <v>15</v>
      </c>
      <c r="U61" s="8">
        <v>70061</v>
      </c>
      <c r="V61" s="14" t="s">
        <v>277</v>
      </c>
      <c r="W61" s="6" t="s">
        <v>108</v>
      </c>
      <c r="X61" s="6">
        <v>4</v>
      </c>
    </row>
    <row r="62" spans="1:24" s="6" customFormat="1" ht="16.5">
      <c r="A62" s="3">
        <v>61</v>
      </c>
      <c r="B62" s="6">
        <v>2</v>
      </c>
      <c r="C62" s="6">
        <v>1</v>
      </c>
      <c r="D62" s="11" t="s">
        <v>209</v>
      </c>
      <c r="E62" s="30" t="s">
        <v>233</v>
      </c>
      <c r="F62" s="3" t="s">
        <v>214</v>
      </c>
      <c r="G62" s="6">
        <v>2</v>
      </c>
      <c r="H62" s="6">
        <f t="shared" si="1"/>
        <v>28800</v>
      </c>
      <c r="I62" s="12" t="s">
        <v>178</v>
      </c>
      <c r="J62" s="13" t="s">
        <v>59</v>
      </c>
      <c r="K62" s="5">
        <v>61</v>
      </c>
      <c r="L62" s="3">
        <v>75</v>
      </c>
      <c r="M62" s="3">
        <v>350000</v>
      </c>
      <c r="N62" s="3">
        <v>75</v>
      </c>
      <c r="O62" s="3">
        <v>250000</v>
      </c>
      <c r="P62" s="10" t="s">
        <v>52</v>
      </c>
      <c r="Q62" s="11" t="s">
        <v>185</v>
      </c>
      <c r="R62" s="11" t="s">
        <v>182</v>
      </c>
      <c r="S62" s="6" t="s">
        <v>9</v>
      </c>
      <c r="T62" s="6">
        <v>15</v>
      </c>
      <c r="U62" s="8">
        <v>2350</v>
      </c>
      <c r="V62" s="14" t="s">
        <v>278</v>
      </c>
      <c r="W62" s="6" t="s">
        <v>127</v>
      </c>
      <c r="X62" s="6">
        <v>1</v>
      </c>
    </row>
    <row r="63" spans="1:24" s="6" customFormat="1" ht="16.5">
      <c r="A63" s="3">
        <v>62</v>
      </c>
      <c r="B63" s="6">
        <v>2</v>
      </c>
      <c r="C63" s="6">
        <v>2</v>
      </c>
      <c r="D63" s="11" t="s">
        <v>209</v>
      </c>
      <c r="E63" s="30" t="s">
        <v>234</v>
      </c>
      <c r="F63" s="3" t="s">
        <v>214</v>
      </c>
      <c r="G63" s="6">
        <v>2</v>
      </c>
      <c r="H63" s="6">
        <f t="shared" si="1"/>
        <v>28800</v>
      </c>
      <c r="I63" s="12" t="s">
        <v>178</v>
      </c>
      <c r="J63" s="13" t="s">
        <v>78</v>
      </c>
      <c r="K63" s="5">
        <v>62</v>
      </c>
      <c r="L63" s="3">
        <v>75</v>
      </c>
      <c r="M63" s="3">
        <v>370000</v>
      </c>
      <c r="N63" s="3">
        <v>75</v>
      </c>
      <c r="O63" s="3">
        <v>250000</v>
      </c>
      <c r="P63" s="10" t="s">
        <v>52</v>
      </c>
      <c r="Q63" s="11" t="s">
        <v>185</v>
      </c>
      <c r="R63" s="11" t="s">
        <v>182</v>
      </c>
      <c r="S63" s="6" t="s">
        <v>9</v>
      </c>
      <c r="T63" s="6">
        <v>15</v>
      </c>
      <c r="U63" s="8">
        <v>2351</v>
      </c>
      <c r="V63" s="14" t="s">
        <v>279</v>
      </c>
      <c r="W63" s="6" t="s">
        <v>127</v>
      </c>
      <c r="X63" s="6">
        <v>1</v>
      </c>
    </row>
    <row r="64" spans="1:24" s="6" customFormat="1" ht="16.5">
      <c r="A64" s="3">
        <v>63</v>
      </c>
      <c r="B64" s="6">
        <v>2</v>
      </c>
      <c r="C64" s="6">
        <v>3</v>
      </c>
      <c r="D64" s="11" t="s">
        <v>209</v>
      </c>
      <c r="E64" s="30" t="s">
        <v>235</v>
      </c>
      <c r="F64" s="3" t="s">
        <v>214</v>
      </c>
      <c r="G64" s="6">
        <v>2</v>
      </c>
      <c r="H64" s="6">
        <f t="shared" si="1"/>
        <v>28800</v>
      </c>
      <c r="I64" s="12" t="s">
        <v>178</v>
      </c>
      <c r="J64" s="13" t="s">
        <v>79</v>
      </c>
      <c r="K64" s="5">
        <v>63</v>
      </c>
      <c r="L64" s="3">
        <v>75</v>
      </c>
      <c r="M64" s="3">
        <v>390000</v>
      </c>
      <c r="N64" s="3">
        <v>75</v>
      </c>
      <c r="O64" s="3">
        <v>250000</v>
      </c>
      <c r="P64" s="10" t="s">
        <v>52</v>
      </c>
      <c r="Q64" s="11" t="s">
        <v>186</v>
      </c>
      <c r="R64" s="11" t="s">
        <v>181</v>
      </c>
      <c r="S64" s="6" t="s">
        <v>9</v>
      </c>
      <c r="T64" s="6">
        <v>15</v>
      </c>
      <c r="U64" s="8">
        <v>2352</v>
      </c>
      <c r="V64" s="14" t="s">
        <v>280</v>
      </c>
      <c r="W64" s="6" t="s">
        <v>127</v>
      </c>
      <c r="X64" s="6">
        <v>1</v>
      </c>
    </row>
    <row r="65" spans="1:24" s="6" customFormat="1" ht="16.5">
      <c r="A65" s="3">
        <v>64</v>
      </c>
      <c r="B65" s="6">
        <v>2</v>
      </c>
      <c r="C65" s="6">
        <v>4</v>
      </c>
      <c r="D65" s="11" t="s">
        <v>209</v>
      </c>
      <c r="E65" s="30" t="s">
        <v>236</v>
      </c>
      <c r="F65" s="3" t="s">
        <v>215</v>
      </c>
      <c r="G65" s="6">
        <v>2</v>
      </c>
      <c r="H65" s="6">
        <f t="shared" si="1"/>
        <v>28800</v>
      </c>
      <c r="I65" s="12" t="s">
        <v>178</v>
      </c>
      <c r="J65" s="13" t="s">
        <v>65</v>
      </c>
      <c r="K65" s="5">
        <v>64</v>
      </c>
      <c r="L65" s="3">
        <v>75</v>
      </c>
      <c r="M65" s="3">
        <v>410000</v>
      </c>
      <c r="N65" s="3">
        <v>75</v>
      </c>
      <c r="O65" s="3">
        <v>250000</v>
      </c>
      <c r="P65" s="10" t="s">
        <v>52</v>
      </c>
      <c r="Q65" s="11" t="s">
        <v>186</v>
      </c>
      <c r="R65" s="11" t="s">
        <v>181</v>
      </c>
      <c r="S65" s="6" t="s">
        <v>9</v>
      </c>
      <c r="T65" s="6">
        <v>15</v>
      </c>
      <c r="U65" s="8">
        <v>2370</v>
      </c>
      <c r="V65" s="14" t="s">
        <v>281</v>
      </c>
      <c r="W65" s="6" t="s">
        <v>127</v>
      </c>
      <c r="X65" s="6">
        <v>2</v>
      </c>
    </row>
    <row r="66" spans="1:24" s="6" customFormat="1" ht="16.5">
      <c r="A66" s="3">
        <v>65</v>
      </c>
      <c r="B66" s="6">
        <v>2</v>
      </c>
      <c r="C66" s="6">
        <v>5</v>
      </c>
      <c r="D66" s="11" t="s">
        <v>209</v>
      </c>
      <c r="E66" s="30" t="s">
        <v>237</v>
      </c>
      <c r="F66" s="3" t="s">
        <v>215</v>
      </c>
      <c r="G66" s="6">
        <v>2</v>
      </c>
      <c r="H66" s="6">
        <f t="shared" si="1"/>
        <v>28800</v>
      </c>
      <c r="I66" s="12" t="s">
        <v>178</v>
      </c>
      <c r="J66" s="13" t="s">
        <v>80</v>
      </c>
      <c r="K66" s="5">
        <v>65</v>
      </c>
      <c r="L66" s="3">
        <v>75</v>
      </c>
      <c r="M66" s="3">
        <v>430000</v>
      </c>
      <c r="N66" s="3">
        <v>75</v>
      </c>
      <c r="O66" s="3">
        <v>250000</v>
      </c>
      <c r="P66" s="10" t="s">
        <v>52</v>
      </c>
      <c r="Q66" s="11" t="s">
        <v>186</v>
      </c>
      <c r="R66" s="11" t="s">
        <v>181</v>
      </c>
      <c r="S66" s="6" t="s">
        <v>9</v>
      </c>
      <c r="T66" s="6">
        <v>15</v>
      </c>
      <c r="U66" s="8">
        <v>2396</v>
      </c>
      <c r="V66" s="14" t="s">
        <v>282</v>
      </c>
      <c r="W66" s="6" t="s">
        <v>127</v>
      </c>
      <c r="X66" s="6">
        <v>2</v>
      </c>
    </row>
    <row r="67" spans="1:24" s="6" customFormat="1" ht="16.5">
      <c r="A67" s="3">
        <v>66</v>
      </c>
      <c r="B67" s="6">
        <v>2</v>
      </c>
      <c r="C67" s="6">
        <v>6</v>
      </c>
      <c r="D67" s="11" t="s">
        <v>209</v>
      </c>
      <c r="E67" s="30" t="s">
        <v>238</v>
      </c>
      <c r="F67" s="3" t="s">
        <v>215</v>
      </c>
      <c r="G67" s="6">
        <v>2</v>
      </c>
      <c r="H67" s="6">
        <f t="shared" ref="H67:H91" si="2">60*60*8</f>
        <v>28800</v>
      </c>
      <c r="I67" s="12" t="s">
        <v>178</v>
      </c>
      <c r="J67" s="13" t="s">
        <v>81</v>
      </c>
      <c r="K67" s="5">
        <v>66</v>
      </c>
      <c r="L67" s="3">
        <v>75</v>
      </c>
      <c r="M67" s="3">
        <v>450000</v>
      </c>
      <c r="N67" s="3">
        <v>75</v>
      </c>
      <c r="O67" s="3">
        <v>250000</v>
      </c>
      <c r="P67" s="10" t="s">
        <v>52</v>
      </c>
      <c r="Q67" s="11" t="s">
        <v>186</v>
      </c>
      <c r="R67" s="11" t="s">
        <v>181</v>
      </c>
      <c r="S67" s="6" t="s">
        <v>9</v>
      </c>
      <c r="T67" s="6">
        <v>15</v>
      </c>
      <c r="U67" s="8">
        <v>2422</v>
      </c>
      <c r="V67" s="14" t="s">
        <v>283</v>
      </c>
      <c r="W67" s="6" t="s">
        <v>127</v>
      </c>
      <c r="X67" s="6">
        <v>2</v>
      </c>
    </row>
    <row r="68" spans="1:24" s="6" customFormat="1" ht="16.5">
      <c r="A68" s="3">
        <v>67</v>
      </c>
      <c r="B68" s="6">
        <v>2</v>
      </c>
      <c r="C68" s="6">
        <v>7</v>
      </c>
      <c r="D68" s="11" t="s">
        <v>209</v>
      </c>
      <c r="E68" s="30" t="s">
        <v>239</v>
      </c>
      <c r="F68" s="3" t="s">
        <v>216</v>
      </c>
      <c r="G68" s="6">
        <v>2</v>
      </c>
      <c r="H68" s="6">
        <f t="shared" si="2"/>
        <v>28800</v>
      </c>
      <c r="I68" s="12" t="s">
        <v>178</v>
      </c>
      <c r="J68" s="13" t="s">
        <v>82</v>
      </c>
      <c r="K68" s="5">
        <v>67</v>
      </c>
      <c r="L68" s="3">
        <v>75</v>
      </c>
      <c r="M68" s="3">
        <v>470000</v>
      </c>
      <c r="N68" s="3">
        <v>75</v>
      </c>
      <c r="O68" s="3">
        <v>250000</v>
      </c>
      <c r="P68" s="10" t="s">
        <v>52</v>
      </c>
      <c r="Q68" s="11" t="s">
        <v>186</v>
      </c>
      <c r="R68" s="11" t="s">
        <v>181</v>
      </c>
      <c r="S68" s="6" t="s">
        <v>9</v>
      </c>
      <c r="T68" s="6">
        <v>15</v>
      </c>
      <c r="U68" s="8">
        <v>2449</v>
      </c>
      <c r="V68" s="14" t="s">
        <v>284</v>
      </c>
      <c r="W68" s="6" t="s">
        <v>127</v>
      </c>
      <c r="X68" s="6">
        <v>3</v>
      </c>
    </row>
    <row r="69" spans="1:24" s="6" customFormat="1" ht="16.5">
      <c r="A69" s="3">
        <v>68</v>
      </c>
      <c r="B69" s="6">
        <v>2</v>
      </c>
      <c r="C69" s="6">
        <v>8</v>
      </c>
      <c r="D69" s="11" t="s">
        <v>209</v>
      </c>
      <c r="E69" s="30" t="s">
        <v>240</v>
      </c>
      <c r="F69" s="3" t="s">
        <v>216</v>
      </c>
      <c r="G69" s="6">
        <v>2</v>
      </c>
      <c r="H69" s="6">
        <f t="shared" si="2"/>
        <v>28800</v>
      </c>
      <c r="I69" s="12" t="s">
        <v>178</v>
      </c>
      <c r="J69" s="13" t="s">
        <v>83</v>
      </c>
      <c r="K69" s="5">
        <v>68</v>
      </c>
      <c r="L69" s="3">
        <v>75</v>
      </c>
      <c r="M69" s="3">
        <v>490000</v>
      </c>
      <c r="N69" s="3">
        <v>75</v>
      </c>
      <c r="O69" s="3">
        <v>250000</v>
      </c>
      <c r="P69" s="10" t="s">
        <v>52</v>
      </c>
      <c r="Q69" s="11" t="s">
        <v>186</v>
      </c>
      <c r="R69" s="11" t="s">
        <v>181</v>
      </c>
      <c r="S69" s="6" t="s">
        <v>9</v>
      </c>
      <c r="T69" s="6">
        <v>15</v>
      </c>
      <c r="U69" s="8">
        <v>2450</v>
      </c>
      <c r="V69" s="14" t="s">
        <v>285</v>
      </c>
      <c r="W69" s="6" t="s">
        <v>127</v>
      </c>
      <c r="X69" s="6">
        <v>3</v>
      </c>
    </row>
    <row r="70" spans="1:24" s="6" customFormat="1" ht="16.5">
      <c r="A70" s="3">
        <v>69</v>
      </c>
      <c r="B70" s="6">
        <v>2</v>
      </c>
      <c r="C70" s="6">
        <v>9</v>
      </c>
      <c r="D70" s="11" t="s">
        <v>209</v>
      </c>
      <c r="E70" s="30" t="s">
        <v>241</v>
      </c>
      <c r="F70" s="3" t="s">
        <v>216</v>
      </c>
      <c r="G70" s="6">
        <v>2</v>
      </c>
      <c r="H70" s="6">
        <f t="shared" si="2"/>
        <v>28800</v>
      </c>
      <c r="I70" s="12" t="s">
        <v>178</v>
      </c>
      <c r="J70" s="13" t="s">
        <v>84</v>
      </c>
      <c r="K70" s="5">
        <v>69</v>
      </c>
      <c r="L70" s="3">
        <v>75</v>
      </c>
      <c r="M70" s="3">
        <v>510000</v>
      </c>
      <c r="N70" s="3">
        <v>75</v>
      </c>
      <c r="O70" s="3">
        <v>250000</v>
      </c>
      <c r="P70" s="10" t="s">
        <v>52</v>
      </c>
      <c r="Q70" s="11" t="s">
        <v>186</v>
      </c>
      <c r="R70" s="11" t="s">
        <v>181</v>
      </c>
      <c r="S70" s="6" t="s">
        <v>9</v>
      </c>
      <c r="T70" s="6">
        <v>15</v>
      </c>
      <c r="U70" s="8">
        <v>2475</v>
      </c>
      <c r="V70" s="14" t="s">
        <v>286</v>
      </c>
      <c r="W70" s="6" t="s">
        <v>127</v>
      </c>
      <c r="X70" s="6">
        <v>3</v>
      </c>
    </row>
    <row r="71" spans="1:24" s="6" customFormat="1" ht="16.5">
      <c r="A71" s="3">
        <v>70</v>
      </c>
      <c r="B71" s="6">
        <v>2</v>
      </c>
      <c r="C71" s="6">
        <v>10</v>
      </c>
      <c r="D71" s="11" t="s">
        <v>209</v>
      </c>
      <c r="E71" s="30" t="s">
        <v>242</v>
      </c>
      <c r="F71" s="3" t="s">
        <v>217</v>
      </c>
      <c r="G71" s="6">
        <v>2</v>
      </c>
      <c r="H71" s="6">
        <f t="shared" si="2"/>
        <v>28800</v>
      </c>
      <c r="I71" s="12" t="s">
        <v>178</v>
      </c>
      <c r="J71" s="13" t="s">
        <v>85</v>
      </c>
      <c r="K71" s="5">
        <v>70</v>
      </c>
      <c r="L71" s="3">
        <v>75</v>
      </c>
      <c r="M71" s="3">
        <v>530000</v>
      </c>
      <c r="N71" s="3">
        <v>75</v>
      </c>
      <c r="O71" s="3">
        <v>250000</v>
      </c>
      <c r="P71" s="10" t="s">
        <v>52</v>
      </c>
      <c r="Q71" s="11" t="s">
        <v>186</v>
      </c>
      <c r="R71" s="11" t="s">
        <v>181</v>
      </c>
      <c r="S71" s="6" t="s">
        <v>9</v>
      </c>
      <c r="T71" s="6">
        <v>15</v>
      </c>
      <c r="U71" s="8">
        <v>70061</v>
      </c>
      <c r="V71" s="14" t="s">
        <v>271</v>
      </c>
      <c r="W71" s="6" t="s">
        <v>127</v>
      </c>
      <c r="X71" s="6">
        <v>4</v>
      </c>
    </row>
    <row r="72" spans="1:24" s="20" customFormat="1" ht="16.5">
      <c r="A72" s="3">
        <v>71</v>
      </c>
      <c r="B72" s="20">
        <v>8</v>
      </c>
      <c r="C72" s="20">
        <v>1</v>
      </c>
      <c r="D72" s="27" t="s">
        <v>210</v>
      </c>
      <c r="E72" s="27" t="s">
        <v>243</v>
      </c>
      <c r="F72" s="3" t="s">
        <v>214</v>
      </c>
      <c r="G72" s="20">
        <v>8</v>
      </c>
      <c r="H72" s="20">
        <f t="shared" si="2"/>
        <v>28800</v>
      </c>
      <c r="I72" s="21" t="s">
        <v>178</v>
      </c>
      <c r="J72" s="22" t="s">
        <v>123</v>
      </c>
      <c r="K72" s="23">
        <v>101</v>
      </c>
      <c r="L72" s="20">
        <v>75</v>
      </c>
      <c r="M72" s="20">
        <v>550000</v>
      </c>
      <c r="N72" s="20">
        <v>75</v>
      </c>
      <c r="O72" s="20">
        <v>500000</v>
      </c>
      <c r="P72" s="24" t="s">
        <v>52</v>
      </c>
      <c r="Q72" s="27" t="s">
        <v>189</v>
      </c>
      <c r="R72" s="27" t="s">
        <v>187</v>
      </c>
      <c r="S72" s="20" t="s">
        <v>9</v>
      </c>
      <c r="T72" s="20">
        <v>15</v>
      </c>
      <c r="U72" s="25">
        <v>70103</v>
      </c>
      <c r="V72" s="20" t="s">
        <v>266</v>
      </c>
      <c r="W72" s="20" t="s">
        <v>127</v>
      </c>
      <c r="X72" s="20">
        <v>1</v>
      </c>
    </row>
    <row r="73" spans="1:24" s="20" customFormat="1" ht="16.5">
      <c r="A73" s="3">
        <v>72</v>
      </c>
      <c r="B73" s="20">
        <v>8</v>
      </c>
      <c r="C73" s="20">
        <v>2</v>
      </c>
      <c r="D73" s="27" t="s">
        <v>210</v>
      </c>
      <c r="E73" s="27" t="s">
        <v>244</v>
      </c>
      <c r="F73" s="3" t="s">
        <v>214</v>
      </c>
      <c r="G73" s="20">
        <v>8</v>
      </c>
      <c r="H73" s="20">
        <f t="shared" si="2"/>
        <v>28800</v>
      </c>
      <c r="I73" s="21" t="s">
        <v>178</v>
      </c>
      <c r="J73" s="22" t="s">
        <v>111</v>
      </c>
      <c r="K73" s="23">
        <v>102</v>
      </c>
      <c r="L73" s="20">
        <v>75</v>
      </c>
      <c r="M73" s="20">
        <v>580000</v>
      </c>
      <c r="N73" s="20">
        <v>75</v>
      </c>
      <c r="O73" s="20">
        <v>500000</v>
      </c>
      <c r="P73" s="24" t="s">
        <v>52</v>
      </c>
      <c r="Q73" s="27" t="s">
        <v>189</v>
      </c>
      <c r="R73" s="27" t="s">
        <v>187</v>
      </c>
      <c r="S73" s="20" t="s">
        <v>9</v>
      </c>
      <c r="T73" s="20">
        <v>15</v>
      </c>
      <c r="U73" s="25">
        <v>70104</v>
      </c>
      <c r="V73" s="20" t="s">
        <v>267</v>
      </c>
      <c r="W73" s="20" t="s">
        <v>127</v>
      </c>
      <c r="X73" s="20">
        <v>1</v>
      </c>
    </row>
    <row r="74" spans="1:24" s="20" customFormat="1" ht="16.5">
      <c r="A74" s="3">
        <v>73</v>
      </c>
      <c r="B74" s="20">
        <v>8</v>
      </c>
      <c r="C74" s="20">
        <v>3</v>
      </c>
      <c r="D74" s="27" t="s">
        <v>210</v>
      </c>
      <c r="E74" s="27" t="s">
        <v>245</v>
      </c>
      <c r="F74" s="3" t="s">
        <v>214</v>
      </c>
      <c r="G74" s="20">
        <v>8</v>
      </c>
      <c r="H74" s="20">
        <f t="shared" si="2"/>
        <v>28800</v>
      </c>
      <c r="I74" s="21" t="s">
        <v>178</v>
      </c>
      <c r="J74" s="22" t="s">
        <v>82</v>
      </c>
      <c r="K74" s="23">
        <v>103</v>
      </c>
      <c r="L74" s="20">
        <v>75</v>
      </c>
      <c r="M74" s="20">
        <v>610000</v>
      </c>
      <c r="N74" s="20">
        <v>75</v>
      </c>
      <c r="O74" s="20">
        <v>500000</v>
      </c>
      <c r="P74" s="24" t="s">
        <v>52</v>
      </c>
      <c r="Q74" s="27" t="s">
        <v>190</v>
      </c>
      <c r="R74" s="27" t="s">
        <v>188</v>
      </c>
      <c r="S74" s="20" t="s">
        <v>9</v>
      </c>
      <c r="T74" s="20">
        <v>15</v>
      </c>
      <c r="U74" s="25">
        <v>70105</v>
      </c>
      <c r="V74" s="20" t="s">
        <v>268</v>
      </c>
      <c r="W74" s="20" t="s">
        <v>127</v>
      </c>
      <c r="X74" s="20">
        <v>1</v>
      </c>
    </row>
    <row r="75" spans="1:24" s="20" customFormat="1" ht="16.5">
      <c r="A75" s="3">
        <v>74</v>
      </c>
      <c r="B75" s="20">
        <v>8</v>
      </c>
      <c r="C75" s="20">
        <v>4</v>
      </c>
      <c r="D75" s="27" t="s">
        <v>210</v>
      </c>
      <c r="E75" s="27" t="s">
        <v>246</v>
      </c>
      <c r="F75" s="3" t="s">
        <v>215</v>
      </c>
      <c r="G75" s="20">
        <v>8</v>
      </c>
      <c r="H75" s="20">
        <f t="shared" si="2"/>
        <v>28800</v>
      </c>
      <c r="I75" s="21" t="s">
        <v>178</v>
      </c>
      <c r="J75" s="22" t="s">
        <v>97</v>
      </c>
      <c r="K75" s="23">
        <v>104</v>
      </c>
      <c r="L75" s="20">
        <v>75</v>
      </c>
      <c r="M75" s="20">
        <v>640000</v>
      </c>
      <c r="N75" s="20">
        <v>75</v>
      </c>
      <c r="O75" s="20">
        <v>500000</v>
      </c>
      <c r="P75" s="24" t="s">
        <v>52</v>
      </c>
      <c r="Q75" s="27" t="s">
        <v>190</v>
      </c>
      <c r="R75" s="27" t="s">
        <v>188</v>
      </c>
      <c r="S75" s="20" t="s">
        <v>9</v>
      </c>
      <c r="T75" s="20">
        <v>15</v>
      </c>
      <c r="U75" s="25">
        <v>70106</v>
      </c>
      <c r="V75" s="20" t="s">
        <v>269</v>
      </c>
      <c r="W75" s="20" t="s">
        <v>127</v>
      </c>
      <c r="X75" s="20">
        <v>2</v>
      </c>
    </row>
    <row r="76" spans="1:24" s="20" customFormat="1" ht="16.5">
      <c r="A76" s="3">
        <v>75</v>
      </c>
      <c r="B76" s="20">
        <v>8</v>
      </c>
      <c r="C76" s="20">
        <v>5</v>
      </c>
      <c r="D76" s="27" t="s">
        <v>210</v>
      </c>
      <c r="E76" s="27" t="s">
        <v>247</v>
      </c>
      <c r="F76" s="3" t="s">
        <v>215</v>
      </c>
      <c r="G76" s="20">
        <v>8</v>
      </c>
      <c r="H76" s="20">
        <f t="shared" si="2"/>
        <v>28800</v>
      </c>
      <c r="I76" s="21" t="s">
        <v>178</v>
      </c>
      <c r="J76" s="22" t="s">
        <v>99</v>
      </c>
      <c r="K76" s="23">
        <v>105</v>
      </c>
      <c r="L76" s="20">
        <v>75</v>
      </c>
      <c r="M76" s="20">
        <v>670000</v>
      </c>
      <c r="N76" s="20">
        <v>75</v>
      </c>
      <c r="O76" s="20">
        <v>500000</v>
      </c>
      <c r="P76" s="24" t="s">
        <v>52</v>
      </c>
      <c r="Q76" s="27" t="s">
        <v>190</v>
      </c>
      <c r="R76" s="27" t="s">
        <v>188</v>
      </c>
      <c r="S76" s="20" t="s">
        <v>9</v>
      </c>
      <c r="T76" s="20">
        <v>15</v>
      </c>
      <c r="U76" s="25">
        <v>70107</v>
      </c>
      <c r="V76" s="20" t="s">
        <v>269</v>
      </c>
      <c r="W76" s="20" t="s">
        <v>127</v>
      </c>
      <c r="X76" s="20">
        <v>2</v>
      </c>
    </row>
    <row r="77" spans="1:24" s="20" customFormat="1" ht="16.5">
      <c r="A77" s="3">
        <v>76</v>
      </c>
      <c r="B77" s="20">
        <v>8</v>
      </c>
      <c r="C77" s="20">
        <v>6</v>
      </c>
      <c r="D77" s="27" t="s">
        <v>210</v>
      </c>
      <c r="E77" s="27" t="s">
        <v>248</v>
      </c>
      <c r="F77" s="3" t="s">
        <v>215</v>
      </c>
      <c r="G77" s="20">
        <v>8</v>
      </c>
      <c r="H77" s="20">
        <f t="shared" si="2"/>
        <v>28800</v>
      </c>
      <c r="I77" s="21" t="s">
        <v>178</v>
      </c>
      <c r="J77" s="22" t="s">
        <v>101</v>
      </c>
      <c r="K77" s="23">
        <v>106</v>
      </c>
      <c r="L77" s="20">
        <v>75</v>
      </c>
      <c r="M77" s="20">
        <v>700000</v>
      </c>
      <c r="N77" s="20">
        <v>75</v>
      </c>
      <c r="O77" s="20">
        <v>500000</v>
      </c>
      <c r="P77" s="24" t="s">
        <v>52</v>
      </c>
      <c r="Q77" s="27" t="s">
        <v>190</v>
      </c>
      <c r="R77" s="27" t="s">
        <v>188</v>
      </c>
      <c r="S77" s="20" t="s">
        <v>9</v>
      </c>
      <c r="T77" s="20">
        <v>15</v>
      </c>
      <c r="U77" s="25">
        <v>70108</v>
      </c>
      <c r="V77" s="20" t="s">
        <v>270</v>
      </c>
      <c r="W77" s="20" t="s">
        <v>127</v>
      </c>
      <c r="X77" s="20">
        <v>2</v>
      </c>
    </row>
    <row r="78" spans="1:24" s="20" customFormat="1" ht="16.5">
      <c r="A78" s="3">
        <v>77</v>
      </c>
      <c r="B78" s="20">
        <v>8</v>
      </c>
      <c r="C78" s="20">
        <v>7</v>
      </c>
      <c r="D78" s="27" t="s">
        <v>210</v>
      </c>
      <c r="E78" s="27" t="s">
        <v>249</v>
      </c>
      <c r="F78" s="3" t="s">
        <v>216</v>
      </c>
      <c r="G78" s="20">
        <v>8</v>
      </c>
      <c r="H78" s="20">
        <f t="shared" si="2"/>
        <v>28800</v>
      </c>
      <c r="I78" s="21" t="s">
        <v>178</v>
      </c>
      <c r="J78" s="22" t="s">
        <v>133</v>
      </c>
      <c r="K78" s="23">
        <v>107</v>
      </c>
      <c r="L78" s="20">
        <v>75</v>
      </c>
      <c r="M78" s="20">
        <v>730000</v>
      </c>
      <c r="N78" s="20">
        <v>75</v>
      </c>
      <c r="O78" s="20">
        <v>500000</v>
      </c>
      <c r="P78" s="24" t="s">
        <v>52</v>
      </c>
      <c r="Q78" s="27" t="s">
        <v>190</v>
      </c>
      <c r="R78" s="27" t="s">
        <v>188</v>
      </c>
      <c r="S78" s="20" t="s">
        <v>9</v>
      </c>
      <c r="T78" s="20">
        <v>15</v>
      </c>
      <c r="U78" s="25">
        <v>70109</v>
      </c>
      <c r="V78" s="20" t="s">
        <v>270</v>
      </c>
      <c r="W78" s="20" t="s">
        <v>127</v>
      </c>
      <c r="X78" s="20">
        <v>3</v>
      </c>
    </row>
    <row r="79" spans="1:24" s="20" customFormat="1" ht="16.5">
      <c r="A79" s="3">
        <v>78</v>
      </c>
      <c r="B79" s="20">
        <v>8</v>
      </c>
      <c r="C79" s="20">
        <v>8</v>
      </c>
      <c r="D79" s="27" t="s">
        <v>210</v>
      </c>
      <c r="E79" s="27" t="s">
        <v>250</v>
      </c>
      <c r="F79" s="3" t="s">
        <v>216</v>
      </c>
      <c r="G79" s="20">
        <v>8</v>
      </c>
      <c r="H79" s="20">
        <f t="shared" si="2"/>
        <v>28800</v>
      </c>
      <c r="I79" s="21" t="s">
        <v>178</v>
      </c>
      <c r="J79" s="22" t="s">
        <v>135</v>
      </c>
      <c r="K79" s="23">
        <v>108</v>
      </c>
      <c r="L79" s="20">
        <v>75</v>
      </c>
      <c r="M79" s="20">
        <v>760000</v>
      </c>
      <c r="N79" s="20">
        <v>75</v>
      </c>
      <c r="O79" s="20">
        <v>500000</v>
      </c>
      <c r="P79" s="24" t="s">
        <v>52</v>
      </c>
      <c r="Q79" s="27" t="s">
        <v>190</v>
      </c>
      <c r="R79" s="27" t="s">
        <v>188</v>
      </c>
      <c r="S79" s="20" t="s">
        <v>9</v>
      </c>
      <c r="T79" s="20">
        <v>15</v>
      </c>
      <c r="U79" s="25">
        <v>70110</v>
      </c>
      <c r="V79" s="20" t="s">
        <v>265</v>
      </c>
      <c r="W79" s="20" t="s">
        <v>127</v>
      </c>
      <c r="X79" s="20">
        <v>3</v>
      </c>
    </row>
    <row r="80" spans="1:24" s="20" customFormat="1" ht="16.5">
      <c r="A80" s="3">
        <v>79</v>
      </c>
      <c r="B80" s="20">
        <v>8</v>
      </c>
      <c r="C80" s="20">
        <v>9</v>
      </c>
      <c r="D80" s="27" t="s">
        <v>210</v>
      </c>
      <c r="E80" s="27" t="s">
        <v>251</v>
      </c>
      <c r="F80" s="3" t="s">
        <v>216</v>
      </c>
      <c r="G80" s="20">
        <v>8</v>
      </c>
      <c r="H80" s="20">
        <f t="shared" si="2"/>
        <v>28800</v>
      </c>
      <c r="I80" s="21" t="s">
        <v>178</v>
      </c>
      <c r="J80" s="22" t="s">
        <v>137</v>
      </c>
      <c r="K80" s="23">
        <v>109</v>
      </c>
      <c r="L80" s="20">
        <v>75</v>
      </c>
      <c r="M80" s="20">
        <v>790000</v>
      </c>
      <c r="N80" s="20">
        <v>75</v>
      </c>
      <c r="O80" s="20">
        <v>500000</v>
      </c>
      <c r="P80" s="24" t="s">
        <v>52</v>
      </c>
      <c r="Q80" s="27" t="s">
        <v>190</v>
      </c>
      <c r="R80" s="27" t="s">
        <v>188</v>
      </c>
      <c r="S80" s="20" t="s">
        <v>9</v>
      </c>
      <c r="T80" s="20">
        <v>15</v>
      </c>
      <c r="U80" s="25">
        <v>70111</v>
      </c>
      <c r="V80" s="20" t="s">
        <v>264</v>
      </c>
      <c r="W80" s="20" t="s">
        <v>127</v>
      </c>
      <c r="X80" s="20">
        <v>3</v>
      </c>
    </row>
    <row r="81" spans="1:24" s="20" customFormat="1" ht="16.5">
      <c r="A81" s="3">
        <v>80</v>
      </c>
      <c r="B81" s="20">
        <v>8</v>
      </c>
      <c r="C81" s="20">
        <v>10</v>
      </c>
      <c r="D81" s="27" t="s">
        <v>210</v>
      </c>
      <c r="E81" s="27" t="s">
        <v>252</v>
      </c>
      <c r="F81" s="3" t="s">
        <v>217</v>
      </c>
      <c r="G81" s="20">
        <v>8</v>
      </c>
      <c r="H81" s="20">
        <f t="shared" si="2"/>
        <v>28800</v>
      </c>
      <c r="I81" s="21" t="s">
        <v>178</v>
      </c>
      <c r="J81" s="26" t="s">
        <v>139</v>
      </c>
      <c r="K81" s="23">
        <v>110</v>
      </c>
      <c r="L81" s="20">
        <v>75</v>
      </c>
      <c r="M81" s="20">
        <v>820000</v>
      </c>
      <c r="N81" s="20">
        <v>75</v>
      </c>
      <c r="O81" s="20">
        <v>500000</v>
      </c>
      <c r="P81" s="24" t="s">
        <v>52</v>
      </c>
      <c r="Q81" s="27" t="s">
        <v>190</v>
      </c>
      <c r="R81" s="27" t="s">
        <v>188</v>
      </c>
      <c r="S81" s="20" t="s">
        <v>9</v>
      </c>
      <c r="T81" s="20">
        <v>15</v>
      </c>
      <c r="U81" s="25">
        <v>70112</v>
      </c>
      <c r="V81" s="20" t="s">
        <v>263</v>
      </c>
      <c r="W81" s="20" t="s">
        <v>127</v>
      </c>
      <c r="X81" s="20">
        <v>4</v>
      </c>
    </row>
    <row r="82" spans="1:24" s="6" customFormat="1" ht="28.5">
      <c r="A82" s="3">
        <v>81</v>
      </c>
      <c r="B82" s="6">
        <v>9</v>
      </c>
      <c r="C82" s="6">
        <v>1</v>
      </c>
      <c r="D82" s="28" t="s">
        <v>211</v>
      </c>
      <c r="E82" s="30" t="s">
        <v>253</v>
      </c>
      <c r="F82" s="3" t="s">
        <v>214</v>
      </c>
      <c r="G82" s="6">
        <v>9</v>
      </c>
      <c r="H82" s="6">
        <f t="shared" si="2"/>
        <v>28800</v>
      </c>
      <c r="I82" s="15" t="s">
        <v>178</v>
      </c>
      <c r="J82" s="16" t="s">
        <v>123</v>
      </c>
      <c r="K82" s="17">
        <v>101</v>
      </c>
      <c r="L82" s="6">
        <v>75</v>
      </c>
      <c r="M82" s="6">
        <v>550000</v>
      </c>
      <c r="N82" s="6">
        <v>75</v>
      </c>
      <c r="O82" s="6">
        <v>500000</v>
      </c>
      <c r="P82" s="10" t="s">
        <v>52</v>
      </c>
      <c r="Q82" s="11" t="s">
        <v>191</v>
      </c>
      <c r="R82" s="11" t="s">
        <v>193</v>
      </c>
      <c r="S82" s="6" t="s">
        <v>9</v>
      </c>
      <c r="T82" s="6">
        <v>15</v>
      </c>
      <c r="U82" s="18">
        <v>70103</v>
      </c>
      <c r="V82" s="6" t="s">
        <v>196</v>
      </c>
      <c r="W82" s="6" t="s">
        <v>127</v>
      </c>
      <c r="X82" s="6">
        <v>1</v>
      </c>
    </row>
    <row r="83" spans="1:24" s="6" customFormat="1" ht="28.5">
      <c r="A83" s="3">
        <v>82</v>
      </c>
      <c r="B83" s="6">
        <v>9</v>
      </c>
      <c r="C83" s="6">
        <v>2</v>
      </c>
      <c r="D83" s="28" t="s">
        <v>211</v>
      </c>
      <c r="E83" s="30" t="s">
        <v>254</v>
      </c>
      <c r="F83" s="3" t="s">
        <v>214</v>
      </c>
      <c r="G83" s="6">
        <v>9</v>
      </c>
      <c r="H83" s="6">
        <f t="shared" si="2"/>
        <v>28800</v>
      </c>
      <c r="I83" s="15" t="s">
        <v>178</v>
      </c>
      <c r="J83" s="16" t="s">
        <v>111</v>
      </c>
      <c r="K83" s="17">
        <v>102</v>
      </c>
      <c r="L83" s="6">
        <v>75</v>
      </c>
      <c r="M83" s="6">
        <v>580000</v>
      </c>
      <c r="N83" s="6">
        <v>75</v>
      </c>
      <c r="O83" s="6">
        <v>500000</v>
      </c>
      <c r="P83" s="10" t="s">
        <v>52</v>
      </c>
      <c r="Q83" s="11" t="s">
        <v>191</v>
      </c>
      <c r="R83" s="11" t="s">
        <v>193</v>
      </c>
      <c r="S83" s="6" t="s">
        <v>9</v>
      </c>
      <c r="T83" s="6">
        <v>15</v>
      </c>
      <c r="U83" s="18">
        <v>70104</v>
      </c>
      <c r="V83" s="6" t="s">
        <v>196</v>
      </c>
      <c r="W83" s="6" t="s">
        <v>127</v>
      </c>
      <c r="X83" s="6">
        <v>1</v>
      </c>
    </row>
    <row r="84" spans="1:24" s="6" customFormat="1" ht="28.5">
      <c r="A84" s="3">
        <v>83</v>
      </c>
      <c r="B84" s="6">
        <v>9</v>
      </c>
      <c r="C84" s="6">
        <v>3</v>
      </c>
      <c r="D84" s="28" t="s">
        <v>211</v>
      </c>
      <c r="E84" s="30" t="s">
        <v>255</v>
      </c>
      <c r="F84" s="3" t="s">
        <v>214</v>
      </c>
      <c r="G84" s="6">
        <v>9</v>
      </c>
      <c r="H84" s="6">
        <f t="shared" si="2"/>
        <v>28800</v>
      </c>
      <c r="I84" s="15" t="s">
        <v>178</v>
      </c>
      <c r="J84" s="16" t="s">
        <v>82</v>
      </c>
      <c r="K84" s="17">
        <v>103</v>
      </c>
      <c r="L84" s="6">
        <v>75</v>
      </c>
      <c r="M84" s="6">
        <v>610000</v>
      </c>
      <c r="N84" s="6">
        <v>75</v>
      </c>
      <c r="O84" s="6">
        <v>500000</v>
      </c>
      <c r="P84" s="10" t="s">
        <v>52</v>
      </c>
      <c r="Q84" s="11" t="s">
        <v>192</v>
      </c>
      <c r="R84" s="11" t="s">
        <v>194</v>
      </c>
      <c r="S84" s="6" t="s">
        <v>9</v>
      </c>
      <c r="T84" s="6">
        <v>15</v>
      </c>
      <c r="U84" s="18">
        <v>70105</v>
      </c>
      <c r="V84" s="6" t="s">
        <v>196</v>
      </c>
      <c r="W84" s="6" t="s">
        <v>127</v>
      </c>
      <c r="X84" s="6">
        <v>1</v>
      </c>
    </row>
    <row r="85" spans="1:24" s="6" customFormat="1" ht="28.5">
      <c r="A85" s="3">
        <v>84</v>
      </c>
      <c r="B85" s="6">
        <v>9</v>
      </c>
      <c r="C85" s="6">
        <v>4</v>
      </c>
      <c r="D85" s="28" t="s">
        <v>211</v>
      </c>
      <c r="E85" s="30" t="s">
        <v>262</v>
      </c>
      <c r="F85" s="3" t="s">
        <v>215</v>
      </c>
      <c r="G85" s="6">
        <v>9</v>
      </c>
      <c r="H85" s="6">
        <f t="shared" si="2"/>
        <v>28800</v>
      </c>
      <c r="I85" s="15" t="s">
        <v>178</v>
      </c>
      <c r="J85" s="16" t="s">
        <v>97</v>
      </c>
      <c r="K85" s="17">
        <v>104</v>
      </c>
      <c r="L85" s="6">
        <v>75</v>
      </c>
      <c r="M85" s="6">
        <v>640000</v>
      </c>
      <c r="N85" s="6">
        <v>75</v>
      </c>
      <c r="O85" s="6">
        <v>500000</v>
      </c>
      <c r="P85" s="10" t="s">
        <v>52</v>
      </c>
      <c r="Q85" s="11" t="s">
        <v>192</v>
      </c>
      <c r="R85" s="11" t="s">
        <v>194</v>
      </c>
      <c r="S85" s="6" t="s">
        <v>9</v>
      </c>
      <c r="T85" s="6">
        <v>15</v>
      </c>
      <c r="U85" s="18">
        <v>70106</v>
      </c>
      <c r="V85" s="6" t="s">
        <v>198</v>
      </c>
      <c r="W85" s="6" t="s">
        <v>127</v>
      </c>
      <c r="X85" s="6">
        <v>2</v>
      </c>
    </row>
    <row r="86" spans="1:24" s="6" customFormat="1" ht="28.5">
      <c r="A86" s="3">
        <v>85</v>
      </c>
      <c r="B86" s="6">
        <v>9</v>
      </c>
      <c r="C86" s="6">
        <v>5</v>
      </c>
      <c r="D86" s="28" t="s">
        <v>211</v>
      </c>
      <c r="E86" s="30" t="s">
        <v>256</v>
      </c>
      <c r="F86" s="3" t="s">
        <v>215</v>
      </c>
      <c r="G86" s="6">
        <v>9</v>
      </c>
      <c r="H86" s="6">
        <f t="shared" si="2"/>
        <v>28800</v>
      </c>
      <c r="I86" s="15" t="s">
        <v>178</v>
      </c>
      <c r="J86" s="16" t="s">
        <v>99</v>
      </c>
      <c r="K86" s="17">
        <v>105</v>
      </c>
      <c r="L86" s="6">
        <v>75</v>
      </c>
      <c r="M86" s="6">
        <v>670000</v>
      </c>
      <c r="N86" s="6">
        <v>75</v>
      </c>
      <c r="O86" s="6">
        <v>500000</v>
      </c>
      <c r="P86" s="10" t="s">
        <v>52</v>
      </c>
      <c r="Q86" s="11" t="s">
        <v>192</v>
      </c>
      <c r="R86" s="11" t="s">
        <v>194</v>
      </c>
      <c r="S86" s="6" t="s">
        <v>9</v>
      </c>
      <c r="T86" s="6">
        <v>15</v>
      </c>
      <c r="U86" s="18">
        <v>70107</v>
      </c>
      <c r="V86" s="6" t="s">
        <v>198</v>
      </c>
      <c r="W86" s="6" t="s">
        <v>127</v>
      </c>
      <c r="X86" s="6">
        <v>2</v>
      </c>
    </row>
    <row r="87" spans="1:24" s="6" customFormat="1" ht="28.5">
      <c r="A87" s="3">
        <v>86</v>
      </c>
      <c r="B87" s="6">
        <v>9</v>
      </c>
      <c r="C87" s="6">
        <v>6</v>
      </c>
      <c r="D87" s="28" t="s">
        <v>211</v>
      </c>
      <c r="E87" s="30" t="s">
        <v>257</v>
      </c>
      <c r="F87" s="3" t="s">
        <v>215</v>
      </c>
      <c r="G87" s="6">
        <v>9</v>
      </c>
      <c r="H87" s="6">
        <f t="shared" si="2"/>
        <v>28800</v>
      </c>
      <c r="I87" s="15" t="s">
        <v>178</v>
      </c>
      <c r="J87" s="16" t="s">
        <v>101</v>
      </c>
      <c r="K87" s="17">
        <v>106</v>
      </c>
      <c r="L87" s="6">
        <v>75</v>
      </c>
      <c r="M87" s="6">
        <v>700000</v>
      </c>
      <c r="N87" s="6">
        <v>75</v>
      </c>
      <c r="O87" s="6">
        <v>500000</v>
      </c>
      <c r="P87" s="10" t="s">
        <v>52</v>
      </c>
      <c r="Q87" s="11" t="s">
        <v>192</v>
      </c>
      <c r="R87" s="11" t="s">
        <v>194</v>
      </c>
      <c r="S87" s="6" t="s">
        <v>9</v>
      </c>
      <c r="T87" s="6">
        <v>15</v>
      </c>
      <c r="U87" s="18">
        <v>70108</v>
      </c>
      <c r="V87" s="6" t="s">
        <v>198</v>
      </c>
      <c r="W87" s="6" t="s">
        <v>127</v>
      </c>
      <c r="X87" s="6">
        <v>2</v>
      </c>
    </row>
    <row r="88" spans="1:24" s="6" customFormat="1" ht="28.5">
      <c r="A88" s="3">
        <v>87</v>
      </c>
      <c r="B88" s="6">
        <v>9</v>
      </c>
      <c r="C88" s="6">
        <v>7</v>
      </c>
      <c r="D88" s="28" t="s">
        <v>211</v>
      </c>
      <c r="E88" s="30" t="s">
        <v>258</v>
      </c>
      <c r="F88" s="3" t="s">
        <v>216</v>
      </c>
      <c r="G88" s="6">
        <v>9</v>
      </c>
      <c r="H88" s="6">
        <f t="shared" si="2"/>
        <v>28800</v>
      </c>
      <c r="I88" s="15" t="s">
        <v>178</v>
      </c>
      <c r="J88" s="16" t="s">
        <v>133</v>
      </c>
      <c r="K88" s="17">
        <v>107</v>
      </c>
      <c r="L88" s="6">
        <v>75</v>
      </c>
      <c r="M88" s="6">
        <v>730000</v>
      </c>
      <c r="N88" s="6">
        <v>75</v>
      </c>
      <c r="O88" s="6">
        <v>500000</v>
      </c>
      <c r="P88" s="10" t="s">
        <v>52</v>
      </c>
      <c r="Q88" s="11" t="s">
        <v>192</v>
      </c>
      <c r="R88" s="11" t="s">
        <v>194</v>
      </c>
      <c r="S88" s="6" t="s">
        <v>9</v>
      </c>
      <c r="T88" s="6">
        <v>15</v>
      </c>
      <c r="U88" s="18">
        <v>70109</v>
      </c>
      <c r="V88" s="6" t="s">
        <v>197</v>
      </c>
      <c r="W88" s="6" t="s">
        <v>127</v>
      </c>
      <c r="X88" s="6">
        <v>3</v>
      </c>
    </row>
    <row r="89" spans="1:24" s="6" customFormat="1" ht="28.5">
      <c r="A89" s="3">
        <v>88</v>
      </c>
      <c r="B89" s="6">
        <v>9</v>
      </c>
      <c r="C89" s="6">
        <v>8</v>
      </c>
      <c r="D89" s="28" t="s">
        <v>211</v>
      </c>
      <c r="E89" s="30" t="s">
        <v>259</v>
      </c>
      <c r="F89" s="3" t="s">
        <v>216</v>
      </c>
      <c r="G89" s="6">
        <v>9</v>
      </c>
      <c r="H89" s="6">
        <f t="shared" si="2"/>
        <v>28800</v>
      </c>
      <c r="I89" s="15" t="s">
        <v>178</v>
      </c>
      <c r="J89" s="16" t="s">
        <v>135</v>
      </c>
      <c r="K89" s="17">
        <v>108</v>
      </c>
      <c r="L89" s="6">
        <v>75</v>
      </c>
      <c r="M89" s="6">
        <v>760000</v>
      </c>
      <c r="N89" s="6">
        <v>75</v>
      </c>
      <c r="O89" s="6">
        <v>500000</v>
      </c>
      <c r="P89" s="10" t="s">
        <v>52</v>
      </c>
      <c r="Q89" s="11" t="s">
        <v>192</v>
      </c>
      <c r="R89" s="11" t="s">
        <v>194</v>
      </c>
      <c r="S89" s="6" t="s">
        <v>9</v>
      </c>
      <c r="T89" s="6">
        <v>15</v>
      </c>
      <c r="U89" s="18">
        <v>70110</v>
      </c>
      <c r="V89" s="6" t="s">
        <v>197</v>
      </c>
      <c r="W89" s="6" t="s">
        <v>127</v>
      </c>
      <c r="X89" s="6">
        <v>3</v>
      </c>
    </row>
    <row r="90" spans="1:24" s="6" customFormat="1" ht="28.5">
      <c r="A90" s="3">
        <v>89</v>
      </c>
      <c r="B90" s="6">
        <v>9</v>
      </c>
      <c r="C90" s="6">
        <v>9</v>
      </c>
      <c r="D90" s="28" t="s">
        <v>211</v>
      </c>
      <c r="E90" s="30" t="s">
        <v>260</v>
      </c>
      <c r="F90" s="3" t="s">
        <v>216</v>
      </c>
      <c r="G90" s="6">
        <v>9</v>
      </c>
      <c r="H90" s="6">
        <f t="shared" si="2"/>
        <v>28800</v>
      </c>
      <c r="I90" s="15" t="s">
        <v>178</v>
      </c>
      <c r="J90" s="16" t="s">
        <v>137</v>
      </c>
      <c r="K90" s="17">
        <v>109</v>
      </c>
      <c r="L90" s="6">
        <v>75</v>
      </c>
      <c r="M90" s="6">
        <v>790000</v>
      </c>
      <c r="N90" s="6">
        <v>75</v>
      </c>
      <c r="O90" s="6">
        <v>500000</v>
      </c>
      <c r="P90" s="10" t="s">
        <v>52</v>
      </c>
      <c r="Q90" s="11" t="s">
        <v>192</v>
      </c>
      <c r="R90" s="11" t="s">
        <v>194</v>
      </c>
      <c r="S90" s="6" t="s">
        <v>9</v>
      </c>
      <c r="T90" s="6">
        <v>15</v>
      </c>
      <c r="U90" s="18">
        <v>70111</v>
      </c>
      <c r="V90" s="6" t="s">
        <v>197</v>
      </c>
      <c r="W90" s="6" t="s">
        <v>127</v>
      </c>
      <c r="X90" s="6">
        <v>3</v>
      </c>
    </row>
    <row r="91" spans="1:24" s="6" customFormat="1" ht="28.5">
      <c r="A91" s="3">
        <v>90</v>
      </c>
      <c r="B91" s="6">
        <v>9</v>
      </c>
      <c r="C91" s="6">
        <v>10</v>
      </c>
      <c r="D91" s="28" t="s">
        <v>211</v>
      </c>
      <c r="E91" s="30" t="s">
        <v>261</v>
      </c>
      <c r="F91" s="3" t="s">
        <v>217</v>
      </c>
      <c r="G91" s="6">
        <v>9</v>
      </c>
      <c r="H91" s="6">
        <f t="shared" si="2"/>
        <v>28800</v>
      </c>
      <c r="I91" s="15" t="s">
        <v>178</v>
      </c>
      <c r="J91" s="19" t="s">
        <v>139</v>
      </c>
      <c r="K91" s="17">
        <v>110</v>
      </c>
      <c r="L91" s="6">
        <v>75</v>
      </c>
      <c r="M91" s="6">
        <v>820000</v>
      </c>
      <c r="N91" s="6">
        <v>75</v>
      </c>
      <c r="O91" s="6">
        <v>500000</v>
      </c>
      <c r="P91" s="10" t="s">
        <v>52</v>
      </c>
      <c r="Q91" s="11" t="s">
        <v>192</v>
      </c>
      <c r="R91" s="11" t="s">
        <v>194</v>
      </c>
      <c r="S91" s="6" t="s">
        <v>9</v>
      </c>
      <c r="T91" s="6">
        <v>15</v>
      </c>
      <c r="U91" s="18">
        <v>70112</v>
      </c>
      <c r="V91" s="6" t="s">
        <v>195</v>
      </c>
      <c r="W91" s="6" t="s">
        <v>127</v>
      </c>
      <c r="X91" s="6">
        <v>4</v>
      </c>
    </row>
  </sheetData>
  <phoneticPr fontId="5" type="noConversion"/>
  <conditionalFormatting sqref="K2:K51">
    <cfRule type="duplicateValues" dxfId="28" priority="38"/>
  </conditionalFormatting>
  <conditionalFormatting sqref="K52:K71">
    <cfRule type="duplicateValues" dxfId="27" priority="15"/>
  </conditionalFormatting>
  <conditionalFormatting sqref="K72:K81">
    <cfRule type="duplicateValues" dxfId="26" priority="8"/>
  </conditionalFormatting>
  <conditionalFormatting sqref="K82:K91">
    <cfRule type="duplicateValues" dxfId="25" priority="1"/>
  </conditionalFormatting>
  <conditionalFormatting sqref="U3 U5 U7 U9 U11 U13 U15 U17 U19 U21 U23 U25 U27 U29 U31 U33 U35 U37 U39 U41 U43 U45 U47 U49 U51">
    <cfRule type="duplicateValues" priority="43"/>
    <cfRule type="duplicateValues" dxfId="24" priority="44"/>
    <cfRule type="duplicateValues" dxfId="23" priority="39"/>
    <cfRule type="duplicateValues" dxfId="22" priority="40"/>
    <cfRule type="duplicateValues" dxfId="21" priority="41"/>
    <cfRule type="duplicateValues" dxfId="20" priority="42"/>
  </conditionalFormatting>
  <conditionalFormatting sqref="U53 U55 U57 U59 U61">
    <cfRule type="duplicateValues" dxfId="19" priority="24"/>
    <cfRule type="duplicateValues" dxfId="18" priority="25"/>
    <cfRule type="duplicateValues" priority="26"/>
    <cfRule type="duplicateValues" dxfId="17" priority="27"/>
    <cfRule type="duplicateValues" dxfId="16" priority="22"/>
    <cfRule type="duplicateValues" dxfId="15" priority="23"/>
  </conditionalFormatting>
  <conditionalFormatting sqref="U63 U65 U67 U69 U71">
    <cfRule type="duplicateValues" dxfId="14" priority="16"/>
    <cfRule type="duplicateValues" dxfId="13" priority="17"/>
    <cfRule type="duplicateValues" dxfId="12" priority="19"/>
    <cfRule type="duplicateValues" priority="20"/>
    <cfRule type="duplicateValues" dxfId="11" priority="21"/>
    <cfRule type="duplicateValues" dxfId="10" priority="18"/>
  </conditionalFormatting>
  <conditionalFormatting sqref="U73 U75 U77 U79 U81"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priority="13"/>
    <cfRule type="duplicateValues" dxfId="5" priority="14"/>
  </conditionalFormatting>
  <conditionalFormatting sqref="U83 U85 U87 U89 U91">
    <cfRule type="duplicateValues" dxfId="4" priority="2"/>
    <cfRule type="duplicateValues" dxfId="3" priority="3"/>
    <cfRule type="duplicateValues" dxfId="2" priority="4"/>
    <cfRule type="duplicateValues" dxfId="1" priority="5"/>
    <cfRule type="duplicateValues" priority="6"/>
    <cfRule type="duplicateValues" dxfId="0" priority="7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>
      <selection activeCell="P13" sqref="P13"/>
    </sheetView>
  </sheetViews>
  <sheetFormatPr defaultColWidth="9" defaultRowHeight="15"/>
  <cols>
    <col min="1" max="1" width="9" style="3"/>
    <col min="2" max="2" width="11" style="3" customWidth="1"/>
    <col min="3" max="16384" width="9" style="3"/>
  </cols>
  <sheetData>
    <row r="1" spans="1:4">
      <c r="A1" s="3" t="s">
        <v>141</v>
      </c>
      <c r="B1" s="3" t="s">
        <v>142</v>
      </c>
      <c r="C1" s="3" t="s">
        <v>143</v>
      </c>
      <c r="D1" s="3" t="s">
        <v>144</v>
      </c>
    </row>
    <row r="2" spans="1:4">
      <c r="A2" s="3">
        <v>1</v>
      </c>
      <c r="B2" s="3">
        <v>8</v>
      </c>
      <c r="C2" s="3">
        <v>1000001</v>
      </c>
      <c r="D2" s="3">
        <v>0.3</v>
      </c>
    </row>
    <row r="3" spans="1:4">
      <c r="A3" s="3">
        <v>2</v>
      </c>
      <c r="B3" s="3">
        <v>8</v>
      </c>
      <c r="C3" s="3">
        <v>1000002</v>
      </c>
      <c r="D3" s="3">
        <v>0.3</v>
      </c>
    </row>
    <row r="4" spans="1:4">
      <c r="A4" s="3">
        <v>3</v>
      </c>
      <c r="B4" s="3">
        <v>8</v>
      </c>
      <c r="C4" s="3">
        <v>1000003</v>
      </c>
      <c r="D4" s="3">
        <v>0.3</v>
      </c>
    </row>
    <row r="5" spans="1:4">
      <c r="A5" s="3">
        <v>4</v>
      </c>
      <c r="B5" s="3">
        <v>8</v>
      </c>
      <c r="C5" s="3">
        <v>1000004</v>
      </c>
      <c r="D5" s="3">
        <v>0.3</v>
      </c>
    </row>
    <row r="6" spans="1:4">
      <c r="A6" s="3">
        <v>5</v>
      </c>
      <c r="B6" s="3">
        <v>8</v>
      </c>
      <c r="C6" s="3">
        <v>2000001</v>
      </c>
      <c r="D6" s="3">
        <v>0.3</v>
      </c>
    </row>
    <row r="7" spans="1:4">
      <c r="A7" s="3">
        <v>6</v>
      </c>
      <c r="B7" s="3">
        <v>8</v>
      </c>
      <c r="C7" s="3">
        <v>2000002</v>
      </c>
      <c r="D7" s="3">
        <v>0.3</v>
      </c>
    </row>
    <row r="8" spans="1:4">
      <c r="A8" s="3">
        <v>7</v>
      </c>
      <c r="B8" s="3">
        <v>8</v>
      </c>
      <c r="C8" s="3">
        <v>2000003</v>
      </c>
      <c r="D8" s="3">
        <v>0.3</v>
      </c>
    </row>
    <row r="9" spans="1:4">
      <c r="A9" s="3">
        <v>8</v>
      </c>
      <c r="B9" s="3">
        <v>8</v>
      </c>
      <c r="C9" s="3">
        <v>2000004</v>
      </c>
      <c r="D9" s="3">
        <v>0.3</v>
      </c>
    </row>
    <row r="10" spans="1:4">
      <c r="A10" s="3">
        <v>9</v>
      </c>
      <c r="B10" s="3">
        <v>8</v>
      </c>
      <c r="C10" s="3">
        <v>3000001</v>
      </c>
      <c r="D10" s="3">
        <v>0.3</v>
      </c>
    </row>
    <row r="11" spans="1:4">
      <c r="A11" s="3">
        <v>10</v>
      </c>
      <c r="B11" s="3">
        <v>8</v>
      </c>
      <c r="C11" s="3">
        <v>3000002</v>
      </c>
      <c r="D11" s="3">
        <v>0.3</v>
      </c>
    </row>
    <row r="12" spans="1:4">
      <c r="A12" s="3">
        <v>11</v>
      </c>
      <c r="B12" s="3">
        <v>8</v>
      </c>
      <c r="C12" s="3">
        <v>3000003</v>
      </c>
      <c r="D12" s="3">
        <v>0.3</v>
      </c>
    </row>
    <row r="13" spans="1:4">
      <c r="A13" s="3">
        <v>12</v>
      </c>
      <c r="B13" s="3">
        <v>8</v>
      </c>
      <c r="C13" s="3">
        <v>3000004</v>
      </c>
      <c r="D13" s="3">
        <v>0.3</v>
      </c>
    </row>
    <row r="14" spans="1:4">
      <c r="A14" s="3">
        <v>13</v>
      </c>
      <c r="B14" s="3">
        <v>8</v>
      </c>
      <c r="C14" s="3">
        <v>4000001</v>
      </c>
      <c r="D14" s="3">
        <v>0.3</v>
      </c>
    </row>
    <row r="15" spans="1:4">
      <c r="A15" s="3">
        <v>14</v>
      </c>
      <c r="B15" s="3">
        <v>8</v>
      </c>
      <c r="C15" s="3">
        <v>4000002</v>
      </c>
      <c r="D15" s="3">
        <v>0.3</v>
      </c>
    </row>
    <row r="16" spans="1:4">
      <c r="A16" s="3">
        <v>15</v>
      </c>
      <c r="B16" s="3">
        <v>8</v>
      </c>
      <c r="C16" s="3">
        <v>4000003</v>
      </c>
      <c r="D16" s="3">
        <v>0.3</v>
      </c>
    </row>
    <row r="17" spans="1:4">
      <c r="A17" s="3">
        <v>16</v>
      </c>
      <c r="B17" s="3">
        <v>8</v>
      </c>
      <c r="C17" s="3">
        <v>4000004</v>
      </c>
      <c r="D17" s="3">
        <v>0.3</v>
      </c>
    </row>
    <row r="18" spans="1:4">
      <c r="A18" s="3">
        <v>17</v>
      </c>
      <c r="B18" s="3">
        <v>8</v>
      </c>
      <c r="C18" s="3">
        <v>5000001</v>
      </c>
      <c r="D18" s="3">
        <v>0.3</v>
      </c>
    </row>
    <row r="19" spans="1:4">
      <c r="A19" s="3">
        <v>18</v>
      </c>
      <c r="B19" s="3">
        <v>8</v>
      </c>
      <c r="C19" s="3">
        <v>5000002</v>
      </c>
      <c r="D19" s="3">
        <v>0.3</v>
      </c>
    </row>
    <row r="20" spans="1:4">
      <c r="A20" s="3">
        <v>19</v>
      </c>
      <c r="B20" s="3">
        <v>8</v>
      </c>
      <c r="C20" s="3">
        <v>5000003</v>
      </c>
      <c r="D20" s="3">
        <v>0.3</v>
      </c>
    </row>
    <row r="21" spans="1:4">
      <c r="A21" s="3">
        <v>20</v>
      </c>
      <c r="B21" s="3">
        <v>8</v>
      </c>
      <c r="C21" s="3">
        <v>5000004</v>
      </c>
      <c r="D21" s="3">
        <v>0.3</v>
      </c>
    </row>
    <row r="22" spans="1:4">
      <c r="A22" s="3">
        <v>21</v>
      </c>
      <c r="B22" s="3">
        <v>8</v>
      </c>
      <c r="C22" s="3">
        <v>6000001</v>
      </c>
      <c r="D22" s="3">
        <v>0.3</v>
      </c>
    </row>
    <row r="23" spans="1:4">
      <c r="A23" s="3">
        <v>22</v>
      </c>
      <c r="B23" s="3">
        <v>8</v>
      </c>
      <c r="C23" s="3">
        <v>6000002</v>
      </c>
      <c r="D23" s="3">
        <v>0.3</v>
      </c>
    </row>
    <row r="24" spans="1:4">
      <c r="A24" s="3">
        <v>23</v>
      </c>
      <c r="B24" s="3">
        <v>8</v>
      </c>
      <c r="C24" s="3">
        <v>6000003</v>
      </c>
      <c r="D24" s="3">
        <v>0.3</v>
      </c>
    </row>
    <row r="25" spans="1:4">
      <c r="A25" s="3">
        <v>24</v>
      </c>
      <c r="B25" s="3">
        <v>8</v>
      </c>
      <c r="C25" s="3">
        <v>6000004</v>
      </c>
      <c r="D25" s="3">
        <v>0.3</v>
      </c>
    </row>
    <row r="26" spans="1:4">
      <c r="A26" s="3">
        <v>25</v>
      </c>
      <c r="B26" s="3">
        <v>8</v>
      </c>
      <c r="C26" s="3">
        <v>7000001</v>
      </c>
      <c r="D26" s="3">
        <v>0.3</v>
      </c>
    </row>
    <row r="27" spans="1:4">
      <c r="A27" s="3">
        <v>26</v>
      </c>
      <c r="B27" s="3">
        <v>8</v>
      </c>
      <c r="C27" s="3">
        <v>7000002</v>
      </c>
      <c r="D27" s="3">
        <v>0.3</v>
      </c>
    </row>
    <row r="28" spans="1:4">
      <c r="A28" s="3">
        <v>27</v>
      </c>
      <c r="B28" s="3">
        <v>8</v>
      </c>
      <c r="C28" s="3">
        <v>7000003</v>
      </c>
      <c r="D28" s="3">
        <v>0.3</v>
      </c>
    </row>
    <row r="29" spans="1:4">
      <c r="A29" s="3">
        <v>28</v>
      </c>
      <c r="B29" s="3">
        <v>8</v>
      </c>
      <c r="C29" s="3">
        <v>7000004</v>
      </c>
      <c r="D29" s="3">
        <v>0.3</v>
      </c>
    </row>
    <row r="30" spans="1:4">
      <c r="A30" s="3">
        <v>29</v>
      </c>
      <c r="B30" s="3">
        <v>8</v>
      </c>
      <c r="C30" s="3">
        <v>8000001</v>
      </c>
      <c r="D30" s="3">
        <v>0.3</v>
      </c>
    </row>
    <row r="31" spans="1:4">
      <c r="A31" s="3">
        <v>30</v>
      </c>
      <c r="B31" s="3">
        <v>8</v>
      </c>
      <c r="C31" s="3">
        <v>8000002</v>
      </c>
      <c r="D31" s="3">
        <v>0.3</v>
      </c>
    </row>
    <row r="32" spans="1:4">
      <c r="A32" s="3">
        <v>31</v>
      </c>
      <c r="B32" s="3">
        <v>8</v>
      </c>
      <c r="C32" s="3">
        <v>8000003</v>
      </c>
      <c r="D32" s="3">
        <v>0.3</v>
      </c>
    </row>
    <row r="33" spans="1:4">
      <c r="A33" s="3">
        <v>32</v>
      </c>
      <c r="B33" s="3">
        <v>8</v>
      </c>
      <c r="C33" s="3">
        <v>8000004</v>
      </c>
      <c r="D33" s="3">
        <v>0.3</v>
      </c>
    </row>
    <row r="34" spans="1:4">
      <c r="A34" s="3">
        <v>33</v>
      </c>
      <c r="B34" s="3">
        <v>8</v>
      </c>
      <c r="C34" s="3">
        <v>9000001</v>
      </c>
      <c r="D34" s="3">
        <v>0.3</v>
      </c>
    </row>
    <row r="35" spans="1:4">
      <c r="A35" s="3">
        <v>34</v>
      </c>
      <c r="B35" s="3">
        <v>8</v>
      </c>
      <c r="C35" s="3">
        <v>9000002</v>
      </c>
      <c r="D35" s="3">
        <v>0.3</v>
      </c>
    </row>
    <row r="36" spans="1:4">
      <c r="A36" s="3">
        <v>35</v>
      </c>
      <c r="B36" s="3">
        <v>8</v>
      </c>
      <c r="C36" s="3">
        <v>9000003</v>
      </c>
      <c r="D36" s="3">
        <v>0.3</v>
      </c>
    </row>
    <row r="37" spans="1:4">
      <c r="A37" s="3">
        <v>36</v>
      </c>
      <c r="B37" s="3">
        <v>8</v>
      </c>
      <c r="C37" s="3">
        <v>9000004</v>
      </c>
      <c r="D37" s="3">
        <v>0.3</v>
      </c>
    </row>
    <row r="38" spans="1:4">
      <c r="A38" s="3">
        <v>37</v>
      </c>
      <c r="B38" s="3">
        <v>8</v>
      </c>
      <c r="C38" s="3">
        <v>10000001</v>
      </c>
      <c r="D38" s="3">
        <v>0.3</v>
      </c>
    </row>
    <row r="39" spans="1:4">
      <c r="A39" s="3">
        <v>38</v>
      </c>
      <c r="B39" s="3">
        <v>8</v>
      </c>
      <c r="C39" s="3">
        <v>10000002</v>
      </c>
      <c r="D39" s="3">
        <v>0.3</v>
      </c>
    </row>
    <row r="40" spans="1:4">
      <c r="A40" s="3">
        <v>39</v>
      </c>
      <c r="B40" s="3">
        <v>8</v>
      </c>
      <c r="C40" s="3">
        <v>10000003</v>
      </c>
      <c r="D40" s="3">
        <v>0.3</v>
      </c>
    </row>
    <row r="41" spans="1:4">
      <c r="A41" s="3">
        <v>40</v>
      </c>
      <c r="B41" s="3">
        <v>8</v>
      </c>
      <c r="C41" s="3">
        <v>10000004</v>
      </c>
      <c r="D41" s="3">
        <v>0.3</v>
      </c>
    </row>
    <row r="42" spans="1:4">
      <c r="A42" s="3">
        <v>41</v>
      </c>
      <c r="B42" s="3">
        <v>8</v>
      </c>
      <c r="C42" s="4">
        <v>11000001</v>
      </c>
      <c r="D42" s="3">
        <v>0.3</v>
      </c>
    </row>
    <row r="43" spans="1:4">
      <c r="A43" s="3">
        <v>42</v>
      </c>
      <c r="B43" s="3">
        <v>8</v>
      </c>
      <c r="C43" s="4">
        <v>11000002</v>
      </c>
      <c r="D43" s="3">
        <v>0.3</v>
      </c>
    </row>
    <row r="44" spans="1:4">
      <c r="A44" s="3">
        <v>43</v>
      </c>
      <c r="B44" s="3">
        <v>8</v>
      </c>
      <c r="C44" s="4">
        <v>11000003</v>
      </c>
      <c r="D44" s="3">
        <v>0.3</v>
      </c>
    </row>
    <row r="45" spans="1:4">
      <c r="A45" s="3">
        <v>44</v>
      </c>
      <c r="B45" s="3">
        <v>8</v>
      </c>
      <c r="C45" s="4">
        <v>11000004</v>
      </c>
      <c r="D45" s="3">
        <v>0.3</v>
      </c>
    </row>
    <row r="46" spans="1:4">
      <c r="A46" s="3">
        <v>45</v>
      </c>
      <c r="B46" s="3">
        <v>8</v>
      </c>
      <c r="C46" s="4">
        <v>12000001</v>
      </c>
      <c r="D46" s="3">
        <v>0.3</v>
      </c>
    </row>
    <row r="47" spans="1:4">
      <c r="A47" s="3">
        <v>46</v>
      </c>
      <c r="B47" s="3">
        <v>8</v>
      </c>
      <c r="C47" s="4">
        <v>12000002</v>
      </c>
      <c r="D47" s="3">
        <v>0.3</v>
      </c>
    </row>
    <row r="48" spans="1:4">
      <c r="A48" s="3">
        <v>47</v>
      </c>
      <c r="B48" s="3">
        <v>8</v>
      </c>
      <c r="C48" s="4">
        <v>12000003</v>
      </c>
      <c r="D48" s="3">
        <v>0.3</v>
      </c>
    </row>
    <row r="49" spans="1:4">
      <c r="A49" s="3">
        <v>48</v>
      </c>
      <c r="B49" s="3">
        <v>8</v>
      </c>
      <c r="C49" s="4">
        <v>12000004</v>
      </c>
      <c r="D49" s="3">
        <v>0.3</v>
      </c>
    </row>
  </sheetData>
  <phoneticPr fontId="5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topLeftCell="A24" workbookViewId="0">
      <selection activeCell="J11" sqref="J11:J50"/>
    </sheetView>
  </sheetViews>
  <sheetFormatPr defaultColWidth="9" defaultRowHeight="15"/>
  <cols>
    <col min="1" max="1" width="12.85546875" style="1" customWidth="1"/>
    <col min="3" max="3" width="10.140625" style="2"/>
    <col min="7" max="7" width="20" customWidth="1"/>
    <col min="8" max="8" width="17.42578125" customWidth="1"/>
    <col min="9" max="9" width="14.5703125" customWidth="1"/>
    <col min="10" max="10" width="26.140625" customWidth="1"/>
  </cols>
  <sheetData>
    <row r="1" spans="1:10">
      <c r="A1" s="1" t="s">
        <v>39</v>
      </c>
      <c r="G1" s="3" t="s">
        <v>212</v>
      </c>
      <c r="H1" s="3" t="s">
        <v>214</v>
      </c>
      <c r="I1" t="s">
        <v>220</v>
      </c>
      <c r="J1" t="str">
        <f>I1&amp;H1</f>
        <v>Hoang Cổ Mỏ Cấp Thấp</v>
      </c>
    </row>
    <row r="2" spans="1:10">
      <c r="A2" s="2" t="s">
        <v>145</v>
      </c>
      <c r="B2" t="s">
        <v>146</v>
      </c>
      <c r="C2" s="2" t="s">
        <v>147</v>
      </c>
      <c r="G2" s="3" t="s">
        <v>212</v>
      </c>
      <c r="H2" s="3" t="s">
        <v>214</v>
      </c>
      <c r="I2" t="s">
        <v>220</v>
      </c>
      <c r="J2" t="str">
        <f t="shared" ref="J2:J50" si="0">I2&amp;H2</f>
        <v>Hoang Cổ Mỏ Cấp Thấp</v>
      </c>
    </row>
    <row r="3" spans="1:10">
      <c r="A3" s="2" t="s">
        <v>148</v>
      </c>
      <c r="B3" t="s">
        <v>146</v>
      </c>
      <c r="C3" s="2" t="s">
        <v>147</v>
      </c>
      <c r="G3" s="3" t="s">
        <v>212</v>
      </c>
      <c r="H3" s="3" t="s">
        <v>214</v>
      </c>
      <c r="I3" t="s">
        <v>220</v>
      </c>
      <c r="J3" t="str">
        <f t="shared" si="0"/>
        <v>Hoang Cổ Mỏ Cấp Thấp</v>
      </c>
    </row>
    <row r="4" spans="1:10">
      <c r="A4" s="2" t="s">
        <v>149</v>
      </c>
      <c r="B4" t="s">
        <v>146</v>
      </c>
      <c r="C4" s="2" t="s">
        <v>147</v>
      </c>
      <c r="G4" s="3" t="s">
        <v>212</v>
      </c>
      <c r="H4" s="3" t="s">
        <v>215</v>
      </c>
      <c r="I4" t="s">
        <v>220</v>
      </c>
      <c r="J4" t="str">
        <f t="shared" si="0"/>
        <v>Hoang Cổ Mỏ Trung Cấp</v>
      </c>
    </row>
    <row r="5" spans="1:10">
      <c r="A5" s="2" t="s">
        <v>150</v>
      </c>
      <c r="B5" t="s">
        <v>146</v>
      </c>
      <c r="C5" s="2" t="s">
        <v>147</v>
      </c>
      <c r="G5" s="3" t="s">
        <v>212</v>
      </c>
      <c r="H5" s="3" t="s">
        <v>215</v>
      </c>
      <c r="I5" t="s">
        <v>220</v>
      </c>
      <c r="J5" t="str">
        <f t="shared" si="0"/>
        <v>Hoang Cổ Mỏ Trung Cấp</v>
      </c>
    </row>
    <row r="6" spans="1:10">
      <c r="A6" s="2" t="s">
        <v>151</v>
      </c>
      <c r="B6" t="s">
        <v>146</v>
      </c>
      <c r="C6" s="2" t="s">
        <v>147</v>
      </c>
      <c r="G6" s="3" t="s">
        <v>212</v>
      </c>
      <c r="H6" s="3" t="s">
        <v>215</v>
      </c>
      <c r="I6" t="s">
        <v>220</v>
      </c>
      <c r="J6" t="str">
        <f t="shared" si="0"/>
        <v>Hoang Cổ Mỏ Trung Cấp</v>
      </c>
    </row>
    <row r="7" spans="1:10">
      <c r="A7" s="2" t="s">
        <v>152</v>
      </c>
      <c r="B7" t="s">
        <v>146</v>
      </c>
      <c r="C7" s="2" t="s">
        <v>147</v>
      </c>
      <c r="G7" s="3" t="s">
        <v>212</v>
      </c>
      <c r="H7" s="3" t="s">
        <v>216</v>
      </c>
      <c r="I7" t="s">
        <v>220</v>
      </c>
      <c r="J7" t="str">
        <f t="shared" si="0"/>
        <v>Hoang Cổ Mỏ Cao Cấp</v>
      </c>
    </row>
    <row r="8" spans="1:10">
      <c r="A8" s="2" t="s">
        <v>153</v>
      </c>
      <c r="B8" t="s">
        <v>146</v>
      </c>
      <c r="C8" s="2" t="s">
        <v>147</v>
      </c>
      <c r="G8" s="3" t="s">
        <v>212</v>
      </c>
      <c r="H8" s="3" t="s">
        <v>216</v>
      </c>
      <c r="I8" t="s">
        <v>220</v>
      </c>
      <c r="J8" t="str">
        <f t="shared" si="0"/>
        <v>Hoang Cổ Mỏ Cao Cấp</v>
      </c>
    </row>
    <row r="9" spans="1:10">
      <c r="A9" s="2" t="s">
        <v>154</v>
      </c>
      <c r="B9" t="s">
        <v>146</v>
      </c>
      <c r="C9" s="2" t="s">
        <v>147</v>
      </c>
      <c r="G9" s="3" t="s">
        <v>212</v>
      </c>
      <c r="H9" s="3" t="s">
        <v>216</v>
      </c>
      <c r="I9" t="s">
        <v>220</v>
      </c>
      <c r="J9" t="str">
        <f t="shared" si="0"/>
        <v>Hoang Cổ Mỏ Cao Cấp</v>
      </c>
    </row>
    <row r="10" spans="1:10">
      <c r="A10" s="2" t="s">
        <v>155</v>
      </c>
      <c r="B10" t="s">
        <v>146</v>
      </c>
      <c r="C10" s="2" t="s">
        <v>147</v>
      </c>
      <c r="G10" s="3" t="s">
        <v>212</v>
      </c>
      <c r="H10" s="3" t="s">
        <v>217</v>
      </c>
      <c r="I10" t="s">
        <v>220</v>
      </c>
      <c r="J10" t="str">
        <f t="shared" si="0"/>
        <v>Hoang Cổ Long Mạch</v>
      </c>
    </row>
    <row r="11" spans="1:10">
      <c r="A11" s="2" t="s">
        <v>156</v>
      </c>
      <c r="B11" t="s">
        <v>146</v>
      </c>
      <c r="C11" s="2" t="s">
        <v>157</v>
      </c>
      <c r="G11" s="3" t="s">
        <v>204</v>
      </c>
      <c r="H11" s="3" t="s">
        <v>214</v>
      </c>
      <c r="I11" t="s">
        <v>219</v>
      </c>
      <c r="J11" t="str">
        <f t="shared" si="0"/>
        <v>Thiên Đình Mỏ Cấp Thấp</v>
      </c>
    </row>
    <row r="12" spans="1:10">
      <c r="A12" s="2" t="s">
        <v>149</v>
      </c>
      <c r="B12" t="s">
        <v>146</v>
      </c>
      <c r="C12" s="2" t="s">
        <v>147</v>
      </c>
      <c r="G12" s="3" t="s">
        <v>204</v>
      </c>
      <c r="H12" s="3" t="s">
        <v>214</v>
      </c>
      <c r="I12" t="s">
        <v>219</v>
      </c>
      <c r="J12" t="str">
        <f t="shared" si="0"/>
        <v>Thiên Đình Mỏ Cấp Thấp</v>
      </c>
    </row>
    <row r="13" spans="1:10">
      <c r="A13" s="2" t="s">
        <v>158</v>
      </c>
      <c r="B13" t="s">
        <v>146</v>
      </c>
      <c r="C13" s="2" t="s">
        <v>147</v>
      </c>
      <c r="G13" s="3" t="s">
        <v>204</v>
      </c>
      <c r="H13" s="3" t="s">
        <v>214</v>
      </c>
      <c r="I13" t="s">
        <v>219</v>
      </c>
      <c r="J13" t="str">
        <f t="shared" si="0"/>
        <v>Thiên Đình Mỏ Cấp Thấp</v>
      </c>
    </row>
    <row r="14" spans="1:10">
      <c r="A14" s="2" t="s">
        <v>159</v>
      </c>
      <c r="B14" t="s">
        <v>146</v>
      </c>
      <c r="C14" s="2" t="s">
        <v>147</v>
      </c>
      <c r="G14" s="3" t="s">
        <v>204</v>
      </c>
      <c r="H14" s="3" t="s">
        <v>215</v>
      </c>
      <c r="I14" t="s">
        <v>219</v>
      </c>
      <c r="J14" t="str">
        <f t="shared" si="0"/>
        <v>Thiên Đình Mỏ Trung Cấp</v>
      </c>
    </row>
    <row r="15" spans="1:10">
      <c r="A15" s="2" t="s">
        <v>152</v>
      </c>
      <c r="B15" t="s">
        <v>146</v>
      </c>
      <c r="C15" s="2" t="s">
        <v>147</v>
      </c>
      <c r="G15" s="3" t="s">
        <v>204</v>
      </c>
      <c r="H15" s="3" t="s">
        <v>215</v>
      </c>
      <c r="I15" t="s">
        <v>219</v>
      </c>
      <c r="J15" t="str">
        <f t="shared" si="0"/>
        <v>Thiên Đình Mỏ Trung Cấp</v>
      </c>
    </row>
    <row r="16" spans="1:10">
      <c r="A16" s="2" t="s">
        <v>160</v>
      </c>
      <c r="B16" t="s">
        <v>146</v>
      </c>
      <c r="C16" s="2" t="s">
        <v>147</v>
      </c>
      <c r="G16" s="3" t="s">
        <v>204</v>
      </c>
      <c r="H16" s="3" t="s">
        <v>215</v>
      </c>
      <c r="I16" t="s">
        <v>219</v>
      </c>
      <c r="J16" t="str">
        <f t="shared" si="0"/>
        <v>Thiên Đình Mỏ Trung Cấp</v>
      </c>
    </row>
    <row r="17" spans="1:10">
      <c r="A17" s="2" t="s">
        <v>161</v>
      </c>
      <c r="B17" t="s">
        <v>146</v>
      </c>
      <c r="C17" s="2" t="s">
        <v>147</v>
      </c>
      <c r="G17" s="3" t="s">
        <v>204</v>
      </c>
      <c r="H17" s="3" t="s">
        <v>216</v>
      </c>
      <c r="I17" t="s">
        <v>219</v>
      </c>
      <c r="J17" t="str">
        <f t="shared" si="0"/>
        <v>Thiên Đình Mỏ Cao Cấp</v>
      </c>
    </row>
    <row r="18" spans="1:10">
      <c r="A18" s="2" t="s">
        <v>155</v>
      </c>
      <c r="B18" t="s">
        <v>146</v>
      </c>
      <c r="C18" s="2" t="s">
        <v>162</v>
      </c>
      <c r="G18" s="3" t="s">
        <v>204</v>
      </c>
      <c r="H18" s="3" t="s">
        <v>216</v>
      </c>
      <c r="I18" t="s">
        <v>219</v>
      </c>
      <c r="J18" t="str">
        <f t="shared" si="0"/>
        <v>Thiên Đình Mỏ Cao Cấp</v>
      </c>
    </row>
    <row r="19" spans="1:10">
      <c r="A19" s="2" t="s">
        <v>156</v>
      </c>
      <c r="B19" t="s">
        <v>146</v>
      </c>
      <c r="C19" s="2" t="s">
        <v>162</v>
      </c>
      <c r="G19" s="3" t="s">
        <v>204</v>
      </c>
      <c r="H19" s="3" t="s">
        <v>216</v>
      </c>
      <c r="I19" t="s">
        <v>219</v>
      </c>
      <c r="J19" t="str">
        <f t="shared" si="0"/>
        <v>Thiên Đình Mỏ Cao Cấp</v>
      </c>
    </row>
    <row r="20" spans="1:10">
      <c r="A20" s="2" t="s">
        <v>163</v>
      </c>
      <c r="B20" t="s">
        <v>146</v>
      </c>
      <c r="C20" s="2" t="s">
        <v>162</v>
      </c>
      <c r="G20" s="3" t="s">
        <v>204</v>
      </c>
      <c r="H20" s="3" t="s">
        <v>217</v>
      </c>
      <c r="I20" t="s">
        <v>219</v>
      </c>
      <c r="J20" t="str">
        <f t="shared" si="0"/>
        <v>Thiên Đình Long Mạch</v>
      </c>
    </row>
    <row r="21" spans="1:10">
      <c r="A21" s="2" t="s">
        <v>164</v>
      </c>
      <c r="B21" t="s">
        <v>146</v>
      </c>
      <c r="C21" s="2" t="s">
        <v>165</v>
      </c>
      <c r="G21" s="3" t="s">
        <v>205</v>
      </c>
      <c r="H21" s="3" t="s">
        <v>214</v>
      </c>
      <c r="I21" t="s">
        <v>218</v>
      </c>
      <c r="J21" t="str">
        <f t="shared" si="0"/>
        <v>Yêu Thành Mỏ Cấp Thấp</v>
      </c>
    </row>
    <row r="22" spans="1:10">
      <c r="A22" s="2" t="s">
        <v>158</v>
      </c>
      <c r="B22" t="s">
        <v>146</v>
      </c>
      <c r="C22" s="2" t="s">
        <v>147</v>
      </c>
      <c r="G22" s="3" t="s">
        <v>205</v>
      </c>
      <c r="H22" s="3" t="s">
        <v>214</v>
      </c>
      <c r="I22" t="s">
        <v>218</v>
      </c>
      <c r="J22" t="str">
        <f t="shared" si="0"/>
        <v>Yêu Thành Mỏ Cấp Thấp</v>
      </c>
    </row>
    <row r="23" spans="1:10">
      <c r="A23" s="2" t="s">
        <v>159</v>
      </c>
      <c r="B23" t="s">
        <v>146</v>
      </c>
      <c r="C23" s="2" t="s">
        <v>147</v>
      </c>
      <c r="G23" s="3" t="s">
        <v>205</v>
      </c>
      <c r="H23" s="3" t="s">
        <v>214</v>
      </c>
      <c r="I23" t="s">
        <v>218</v>
      </c>
      <c r="J23" t="str">
        <f t="shared" si="0"/>
        <v>Yêu Thành Mỏ Cấp Thấp</v>
      </c>
    </row>
    <row r="24" spans="1:10">
      <c r="A24" s="2" t="s">
        <v>166</v>
      </c>
      <c r="B24" t="s">
        <v>146</v>
      </c>
      <c r="C24" s="2" t="s">
        <v>147</v>
      </c>
      <c r="G24" s="3" t="s">
        <v>205</v>
      </c>
      <c r="H24" s="3" t="s">
        <v>215</v>
      </c>
      <c r="I24" t="s">
        <v>218</v>
      </c>
      <c r="J24" t="str">
        <f t="shared" si="0"/>
        <v>Yêu Thành Mỏ Trung Cấp</v>
      </c>
    </row>
    <row r="25" spans="1:10">
      <c r="A25" s="2" t="s">
        <v>160</v>
      </c>
      <c r="B25" t="s">
        <v>146</v>
      </c>
      <c r="C25" s="2" t="s">
        <v>147</v>
      </c>
      <c r="G25" s="3" t="s">
        <v>205</v>
      </c>
      <c r="H25" s="3" t="s">
        <v>215</v>
      </c>
      <c r="I25" t="s">
        <v>218</v>
      </c>
      <c r="J25" t="str">
        <f t="shared" si="0"/>
        <v>Yêu Thành Mỏ Trung Cấp</v>
      </c>
    </row>
    <row r="26" spans="1:10">
      <c r="A26" s="2" t="s">
        <v>161</v>
      </c>
      <c r="B26" t="s">
        <v>146</v>
      </c>
      <c r="C26" s="2" t="s">
        <v>147</v>
      </c>
      <c r="G26" s="3" t="s">
        <v>205</v>
      </c>
      <c r="H26" s="3" t="s">
        <v>215</v>
      </c>
      <c r="I26" t="s">
        <v>218</v>
      </c>
      <c r="J26" t="str">
        <f t="shared" si="0"/>
        <v>Yêu Thành Mỏ Trung Cấp</v>
      </c>
    </row>
    <row r="27" spans="1:10">
      <c r="A27" s="2" t="s">
        <v>167</v>
      </c>
      <c r="B27" t="s">
        <v>146</v>
      </c>
      <c r="C27" s="2" t="s">
        <v>147</v>
      </c>
      <c r="G27" s="3" t="s">
        <v>205</v>
      </c>
      <c r="H27" s="3" t="s">
        <v>216</v>
      </c>
      <c r="I27" t="s">
        <v>218</v>
      </c>
      <c r="J27" t="str">
        <f t="shared" si="0"/>
        <v>Yêu Thành Mỏ Cao Cấp</v>
      </c>
    </row>
    <row r="28" spans="1:10">
      <c r="A28" s="2" t="s">
        <v>156</v>
      </c>
      <c r="B28" t="s">
        <v>146</v>
      </c>
      <c r="C28" s="2" t="s">
        <v>168</v>
      </c>
      <c r="G28" s="3" t="s">
        <v>205</v>
      </c>
      <c r="H28" s="3" t="s">
        <v>216</v>
      </c>
      <c r="I28" t="s">
        <v>218</v>
      </c>
      <c r="J28" t="str">
        <f t="shared" si="0"/>
        <v>Yêu Thành Mỏ Cao Cấp</v>
      </c>
    </row>
    <row r="29" spans="1:10">
      <c r="A29" s="2" t="s">
        <v>163</v>
      </c>
      <c r="B29" t="s">
        <v>146</v>
      </c>
      <c r="C29" s="2" t="s">
        <v>168</v>
      </c>
      <c r="G29" s="3" t="s">
        <v>205</v>
      </c>
      <c r="H29" s="3" t="s">
        <v>216</v>
      </c>
      <c r="I29" t="s">
        <v>218</v>
      </c>
      <c r="J29" t="str">
        <f t="shared" si="0"/>
        <v>Yêu Thành Mỏ Cao Cấp</v>
      </c>
    </row>
    <row r="30" spans="1:10">
      <c r="A30" s="2" t="s">
        <v>164</v>
      </c>
      <c r="B30" t="s">
        <v>146</v>
      </c>
      <c r="C30" s="2" t="s">
        <v>168</v>
      </c>
      <c r="G30" s="3" t="s">
        <v>205</v>
      </c>
      <c r="H30" s="3" t="s">
        <v>217</v>
      </c>
      <c r="I30" t="s">
        <v>218</v>
      </c>
      <c r="J30" t="str">
        <f t="shared" si="0"/>
        <v>Yêu Thành Long Mạch</v>
      </c>
    </row>
    <row r="31" spans="1:10">
      <c r="A31" s="2" t="s">
        <v>169</v>
      </c>
      <c r="B31" t="s">
        <v>146</v>
      </c>
      <c r="C31" s="2" t="s">
        <v>170</v>
      </c>
      <c r="G31" s="3" t="s">
        <v>206</v>
      </c>
      <c r="H31" s="3" t="s">
        <v>214</v>
      </c>
      <c r="I31" t="s">
        <v>221</v>
      </c>
      <c r="J31" t="str">
        <f t="shared" si="0"/>
        <v>Bồng Lai Mỏ Cấp Thấp</v>
      </c>
    </row>
    <row r="32" spans="1:10">
      <c r="A32" s="2" t="s">
        <v>151</v>
      </c>
      <c r="B32" t="s">
        <v>146</v>
      </c>
      <c r="C32" s="2" t="s">
        <v>147</v>
      </c>
      <c r="G32" s="3" t="s">
        <v>206</v>
      </c>
      <c r="H32" s="3" t="s">
        <v>214</v>
      </c>
      <c r="I32" t="s">
        <v>221</v>
      </c>
      <c r="J32" t="str">
        <f t="shared" si="0"/>
        <v>Bồng Lai Mỏ Cấp Thấp</v>
      </c>
    </row>
    <row r="33" spans="1:10">
      <c r="A33" s="2" t="s">
        <v>152</v>
      </c>
      <c r="B33" t="s">
        <v>146</v>
      </c>
      <c r="C33" s="2" t="s">
        <v>147</v>
      </c>
      <c r="G33" s="3" t="s">
        <v>206</v>
      </c>
      <c r="H33" s="3" t="s">
        <v>214</v>
      </c>
      <c r="I33" t="s">
        <v>221</v>
      </c>
      <c r="J33" t="str">
        <f t="shared" si="0"/>
        <v>Bồng Lai Mỏ Cấp Thấp</v>
      </c>
    </row>
    <row r="34" spans="1:10">
      <c r="A34" s="2" t="s">
        <v>160</v>
      </c>
      <c r="B34" t="s">
        <v>146</v>
      </c>
      <c r="C34" s="2" t="s">
        <v>147</v>
      </c>
      <c r="G34" s="3" t="s">
        <v>206</v>
      </c>
      <c r="H34" s="3" t="s">
        <v>215</v>
      </c>
      <c r="I34" t="s">
        <v>221</v>
      </c>
      <c r="J34" t="str">
        <f t="shared" si="0"/>
        <v>Bồng Lai Mỏ Trung Cấp</v>
      </c>
    </row>
    <row r="35" spans="1:10">
      <c r="A35" s="2" t="s">
        <v>154</v>
      </c>
      <c r="B35" t="s">
        <v>146</v>
      </c>
      <c r="C35" s="2" t="s">
        <v>162</v>
      </c>
      <c r="G35" s="3" t="s">
        <v>206</v>
      </c>
      <c r="H35" s="3" t="s">
        <v>215</v>
      </c>
      <c r="I35" t="s">
        <v>221</v>
      </c>
      <c r="J35" t="str">
        <f t="shared" si="0"/>
        <v>Bồng Lai Mỏ Trung Cấp</v>
      </c>
    </row>
    <row r="36" spans="1:10">
      <c r="A36" s="2" t="s">
        <v>155</v>
      </c>
      <c r="B36" t="s">
        <v>146</v>
      </c>
      <c r="C36" s="2" t="s">
        <v>162</v>
      </c>
      <c r="G36" s="3" t="s">
        <v>206</v>
      </c>
      <c r="H36" s="3" t="s">
        <v>215</v>
      </c>
      <c r="I36" t="s">
        <v>221</v>
      </c>
      <c r="J36" t="str">
        <f t="shared" si="0"/>
        <v>Bồng Lai Mỏ Trung Cấp</v>
      </c>
    </row>
    <row r="37" spans="1:10">
      <c r="A37" s="2" t="s">
        <v>156</v>
      </c>
      <c r="B37" t="s">
        <v>146</v>
      </c>
      <c r="C37" s="2" t="s">
        <v>162</v>
      </c>
      <c r="G37" s="3" t="s">
        <v>206</v>
      </c>
      <c r="H37" s="3" t="s">
        <v>216</v>
      </c>
      <c r="I37" t="s">
        <v>221</v>
      </c>
      <c r="J37" t="str">
        <f t="shared" si="0"/>
        <v>Bồng Lai Mỏ Cao Cấp</v>
      </c>
    </row>
    <row r="38" spans="1:10">
      <c r="A38" s="2" t="s">
        <v>163</v>
      </c>
      <c r="B38" t="s">
        <v>146</v>
      </c>
      <c r="C38" s="2" t="s">
        <v>171</v>
      </c>
      <c r="G38" s="3" t="s">
        <v>206</v>
      </c>
      <c r="H38" s="3" t="s">
        <v>216</v>
      </c>
      <c r="I38" t="s">
        <v>221</v>
      </c>
      <c r="J38" t="str">
        <f t="shared" si="0"/>
        <v>Bồng Lai Mỏ Cao Cấp</v>
      </c>
    </row>
    <row r="39" spans="1:10">
      <c r="A39" s="2" t="s">
        <v>164</v>
      </c>
      <c r="B39" t="s">
        <v>146</v>
      </c>
      <c r="C39" s="2" t="s">
        <v>171</v>
      </c>
      <c r="G39" s="3" t="s">
        <v>206</v>
      </c>
      <c r="H39" s="3" t="s">
        <v>216</v>
      </c>
      <c r="I39" t="s">
        <v>221</v>
      </c>
      <c r="J39" t="str">
        <f t="shared" si="0"/>
        <v>Bồng Lai Mỏ Cao Cấp</v>
      </c>
    </row>
    <row r="40" spans="1:10">
      <c r="A40" s="2" t="s">
        <v>169</v>
      </c>
      <c r="B40" t="s">
        <v>146</v>
      </c>
      <c r="C40" s="2" t="s">
        <v>171</v>
      </c>
      <c r="G40" s="3" t="s">
        <v>206</v>
      </c>
      <c r="H40" s="3" t="s">
        <v>217</v>
      </c>
      <c r="I40" t="s">
        <v>221</v>
      </c>
      <c r="J40" t="str">
        <f t="shared" si="0"/>
        <v>Bồng Lai Long Mạch</v>
      </c>
    </row>
    <row r="41" spans="1:10">
      <c r="A41" s="2" t="s">
        <v>172</v>
      </c>
      <c r="B41" t="s">
        <v>146</v>
      </c>
      <c r="C41" s="2" t="s">
        <v>173</v>
      </c>
      <c r="G41" s="3" t="s">
        <v>213</v>
      </c>
      <c r="H41" s="3" t="s">
        <v>214</v>
      </c>
      <c r="I41" t="s">
        <v>222</v>
      </c>
      <c r="J41" t="str">
        <f t="shared" si="0"/>
        <v>Hồng Quân Mỏ Cấp Thấp</v>
      </c>
    </row>
    <row r="42" spans="1:10">
      <c r="A42" s="2" t="s">
        <v>153</v>
      </c>
      <c r="B42" t="s">
        <v>146</v>
      </c>
      <c r="C42" s="2" t="s">
        <v>162</v>
      </c>
      <c r="G42" s="3" t="s">
        <v>213</v>
      </c>
      <c r="H42" s="3" t="s">
        <v>214</v>
      </c>
      <c r="I42" t="s">
        <v>222</v>
      </c>
      <c r="J42" t="str">
        <f t="shared" si="0"/>
        <v>Hồng Quân Mỏ Cấp Thấp</v>
      </c>
    </row>
    <row r="43" spans="1:10">
      <c r="A43" s="2" t="s">
        <v>154</v>
      </c>
      <c r="B43" t="s">
        <v>146</v>
      </c>
      <c r="C43" s="2" t="s">
        <v>162</v>
      </c>
      <c r="G43" s="3" t="s">
        <v>213</v>
      </c>
      <c r="H43" s="3" t="s">
        <v>214</v>
      </c>
      <c r="I43" t="s">
        <v>222</v>
      </c>
      <c r="J43" t="str">
        <f t="shared" si="0"/>
        <v>Hồng Quân Mỏ Cấp Thấp</v>
      </c>
    </row>
    <row r="44" spans="1:10">
      <c r="A44" s="2" t="s">
        <v>155</v>
      </c>
      <c r="B44" t="s">
        <v>146</v>
      </c>
      <c r="C44" s="2" t="s">
        <v>162</v>
      </c>
      <c r="G44" s="3" t="s">
        <v>213</v>
      </c>
      <c r="H44" s="3" t="s">
        <v>215</v>
      </c>
      <c r="I44" t="s">
        <v>222</v>
      </c>
      <c r="J44" t="str">
        <f t="shared" si="0"/>
        <v>Hồng Quân Mỏ Trung Cấp</v>
      </c>
    </row>
    <row r="45" spans="1:10">
      <c r="A45" s="2" t="s">
        <v>156</v>
      </c>
      <c r="B45" t="s">
        <v>146</v>
      </c>
      <c r="C45" s="2" t="s">
        <v>168</v>
      </c>
      <c r="G45" s="3" t="s">
        <v>213</v>
      </c>
      <c r="H45" s="3" t="s">
        <v>215</v>
      </c>
      <c r="I45" t="s">
        <v>222</v>
      </c>
      <c r="J45" t="str">
        <f t="shared" si="0"/>
        <v>Hồng Quân Mỏ Trung Cấp</v>
      </c>
    </row>
    <row r="46" spans="1:10">
      <c r="A46" s="2" t="s">
        <v>163</v>
      </c>
      <c r="B46" t="s">
        <v>146</v>
      </c>
      <c r="C46" s="2" t="s">
        <v>168</v>
      </c>
      <c r="G46" s="3" t="s">
        <v>213</v>
      </c>
      <c r="H46" s="3" t="s">
        <v>215</v>
      </c>
      <c r="I46" t="s">
        <v>222</v>
      </c>
      <c r="J46" t="str">
        <f t="shared" si="0"/>
        <v>Hồng Quân Mỏ Trung Cấp</v>
      </c>
    </row>
    <row r="47" spans="1:10">
      <c r="A47" s="2" t="s">
        <v>164</v>
      </c>
      <c r="B47" t="s">
        <v>146</v>
      </c>
      <c r="C47" s="2" t="s">
        <v>168</v>
      </c>
      <c r="G47" s="3" t="s">
        <v>213</v>
      </c>
      <c r="H47" s="3" t="s">
        <v>216</v>
      </c>
      <c r="I47" t="s">
        <v>222</v>
      </c>
      <c r="J47" t="str">
        <f t="shared" si="0"/>
        <v>Hồng Quân Mỏ Cao Cấp</v>
      </c>
    </row>
    <row r="48" spans="1:10">
      <c r="A48" s="2" t="s">
        <v>169</v>
      </c>
      <c r="B48" t="s">
        <v>146</v>
      </c>
      <c r="C48" s="2" t="s">
        <v>174</v>
      </c>
      <c r="G48" s="3" t="s">
        <v>213</v>
      </c>
      <c r="H48" s="3" t="s">
        <v>216</v>
      </c>
      <c r="I48" t="s">
        <v>222</v>
      </c>
      <c r="J48" t="str">
        <f t="shared" si="0"/>
        <v>Hồng Quân Mỏ Cao Cấp</v>
      </c>
    </row>
    <row r="49" spans="1:10">
      <c r="A49" s="2" t="s">
        <v>172</v>
      </c>
      <c r="B49" t="s">
        <v>146</v>
      </c>
      <c r="C49" s="2" t="s">
        <v>174</v>
      </c>
      <c r="G49" s="3" t="s">
        <v>213</v>
      </c>
      <c r="H49" s="3" t="s">
        <v>216</v>
      </c>
      <c r="I49" t="s">
        <v>222</v>
      </c>
      <c r="J49" t="str">
        <f t="shared" si="0"/>
        <v>Hồng Quân Mỏ Cao Cấp</v>
      </c>
    </row>
    <row r="50" spans="1:10">
      <c r="A50" s="2" t="s">
        <v>175</v>
      </c>
      <c r="B50" t="s">
        <v>146</v>
      </c>
      <c r="C50" s="2" t="s">
        <v>174</v>
      </c>
      <c r="G50" s="3" t="s">
        <v>213</v>
      </c>
      <c r="H50" s="3" t="s">
        <v>217</v>
      </c>
      <c r="I50" t="s">
        <v>222</v>
      </c>
      <c r="J50" t="str">
        <f t="shared" si="0"/>
        <v>Hồng Quân Long Mạch</v>
      </c>
    </row>
    <row r="51" spans="1:10">
      <c r="A51" s="1" t="s">
        <v>176</v>
      </c>
      <c r="B51" t="s">
        <v>146</v>
      </c>
      <c r="C51" s="2" t="s">
        <v>177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我的洞天福地</vt:lpstr>
      <vt:lpstr>掠夺</vt:lpstr>
      <vt:lpstr>稀有道具掠夺概率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2024-01-08T03:19:27Z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