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710" windowHeight="12270" activeTab="4"/>
  </bookViews>
  <sheets>
    <sheet name="神器基础" sheetId="8" r:id="rId1"/>
    <sheet name="神器技能" sheetId="6" r:id="rId2"/>
    <sheet name="神器等级" sheetId="4" r:id="rId3"/>
    <sheet name="神器精炼" sheetId="3" r:id="rId4"/>
    <sheet name="神器圣印" sheetId="5" r:id="rId5"/>
    <sheet name="Sheet1" sheetId="7" r:id="rId6"/>
  </sheets>
  <calcPr calcId="144525"/>
</workbook>
</file>

<file path=xl/sharedStrings.xml><?xml version="1.0" encoding="utf-8"?>
<sst xmlns="http://schemas.openxmlformats.org/spreadsheetml/2006/main" count="1829" uniqueCount="471">
  <si>
    <t>ID</t>
  </si>
  <si>
    <t>名称</t>
  </si>
  <si>
    <t>图标</t>
  </si>
  <si>
    <t>模型</t>
  </si>
  <si>
    <t>解锁任务</t>
  </si>
  <si>
    <t>解锁任务的说明</t>
  </si>
  <si>
    <t>Hiên Viên</t>
  </si>
  <si>
    <t>Atifact001_UI</t>
  </si>
  <si>
    <t>70001#70002#70003#70004</t>
  </si>
  <si>
    <t>这里的任务来自于历史/任务库5</t>
  </si>
  <si>
    <t>Bàn Cổ</t>
  </si>
  <si>
    <t>Atifact003_UI</t>
  </si>
  <si>
    <t>71001#71002#71003#71004</t>
  </si>
  <si>
    <t>#号用于分割任务ID10</t>
  </si>
  <si>
    <t>Bỉ Ngạn</t>
  </si>
  <si>
    <t>Atifact005_UI</t>
  </si>
  <si>
    <t>72001#72002#72003#72004</t>
  </si>
  <si>
    <t>#号用于分割任务ID15</t>
  </si>
  <si>
    <t>Trục Nhật</t>
  </si>
  <si>
    <t>Atifact004_UI</t>
  </si>
  <si>
    <t>73001#73002#73005#73004</t>
  </si>
  <si>
    <t>#号用于分割任务ID20</t>
  </si>
  <si>
    <t>Hạo Thiên</t>
  </si>
  <si>
    <t>Atifact002_UI</t>
  </si>
  <si>
    <t>74001#74002#74003#74004</t>
  </si>
  <si>
    <t>#号用于分割任务ID25</t>
  </si>
  <si>
    <t>神器ID</t>
  </si>
  <si>
    <t>技能等级</t>
  </si>
  <si>
    <t>技能ID</t>
  </si>
  <si>
    <t>真实伤害</t>
  </si>
  <si>
    <t>神器等级要求</t>
  </si>
  <si>
    <t>全员附加属性</t>
  </si>
  <si>
    <t>技能描述</t>
  </si>
  <si>
    <t>升下一级消耗m0</t>
  </si>
  <si>
    <t>升下一级消耗道具数量</t>
  </si>
  <si>
    <t>是否顶级</t>
  </si>
  <si>
    <t>重铸返还道具累计数量</t>
  </si>
  <si>
    <t>Ngãu nhiên &lt;2467 2&gt; địch tạo thành sát thương &lt;2467 {d}({d}+{d})&gt; điểm, &lt;2467 10%&gt; Xác suất kèm theo 【 Dễ tổn thương 】&lt;2467 2&gt; hiệp, giảm thương tăng &lt;2467 1%&gt;</t>
  </si>
  <si>
    <t>Ngãu nhiên &lt;2467 2&gt; địch tạo thành sát thương &lt;2467 {d}({d}+{d})&gt; điểm, &lt;2467 12%&gt; Xác suất kèm theo 【 Dễ tổn thương 】&lt;2467 2&gt; hiệp, giảm thương tăng &lt;2467 2%&gt;</t>
  </si>
  <si>
    <t>Ngãu nhiên &lt;2467 2&gt; địch tạo thành sát thương &lt;2467 {d}({d}+{d})&gt; điểm, &lt;2467 14%&gt; Xác suất kèm theo 【 Dễ tổn thương 】&lt;2467 2&gt; hiệp, giảm thương tăng &lt;2467 3%&gt;</t>
  </si>
  <si>
    <t>1003:1200</t>
  </si>
  <si>
    <t>Ngãu nhiên &lt;2467 2&gt; địch tạo thành sát thương &lt;2467 {d}({d}+{d})&gt; điểm, &lt;2467 16%&gt; Xác suất kèm theo 【 Dễ tổn thương 】&lt;2467 2&gt; hiệp, giảm thương tăng &lt;2467 4%&gt;</t>
  </si>
  <si>
    <t>Ngãu nhiên &lt;2467 2&gt; địch tạo thành sát thương &lt;2467 {d}({d}+{d})&gt; điểm, &lt;2467 18%&gt; Xác suất kèm theo 【 Dễ tổn thương 】&lt;2467 2&gt; hiệp, giảm thương tăng &lt;2467 5%&gt;</t>
  </si>
  <si>
    <t>Ngãu nhiên &lt;2467 2&gt; địch tạo thành sát thương &lt;2467 {d}({d}+{d})&gt; điểm, &lt;2467 20%&gt; Xác suất kèm theo 【 Dễ tổn thương 】&lt;2467 2&gt; hiệp, giảm thương tăng &lt;2467 6%&gt;</t>
  </si>
  <si>
    <t>Ngãu nhiên &lt;2467 2&gt; địch tạo thành sát thương &lt;2467 {d}({d}+{d})&gt; điểm, &lt;2467 22%&gt; Xác suất kèm theo 【 Dễ tổn thương 】&lt;2467 2&gt; hiệp, giảm thương tăng &lt;2467 7%&gt;</t>
  </si>
  <si>
    <t>14:1000</t>
  </si>
  <si>
    <t>Ngãu nhiên &lt;2467 2&gt; địch tạo thành sát thương &lt;2467 {d}({d}+{d})&gt; điểm, &lt;2467 24%&gt; Xác suất kèm theo 【 Dễ tổn thương 】&lt;2467 2&gt; hiệp, giảm thương tăng &lt;2467 8%&gt;</t>
  </si>
  <si>
    <t>Ngãu nhiên &lt;2467 3&gt; địch tạo thành sát thương &lt;2467 {d}({d}+{d})&gt; điểm, &lt;2467 26%&gt; Xác suất kèm theo 【 Dễ tổn thương 】&lt;2467 2&gt; hiệp, giảm thương tăng &lt;2467 9%&gt;</t>
  </si>
  <si>
    <t>Ngãu nhiên &lt;2467 3&gt; địch tạo thành sát thương &lt;2467 {d}({d}+{d})&gt; điểm, &lt;2467 28%&gt; Xác suất kèm theo 【 Dễ tổn thương 】&lt;2467 2&gt; hiệp, giảm thương tăng &lt;2467 10%&gt;</t>
  </si>
  <si>
    <t>Ngãu nhiên &lt;2467 3&gt; địch tạo thành sát thương &lt;2467 {d}({d}+{d})&gt; điểm, &lt;2467 30%&gt; Xác suất kèm theo 【 Dễ tổn thương 】&lt;2467 2&gt; hiệp, giảm thương tăng &lt;2467 11%&gt;</t>
  </si>
  <si>
    <t>2:40</t>
  </si>
  <si>
    <t>Ngãu nhiên &lt;2467 3&gt; địch tạo thành sát thương &lt;2467 {d}({d}+{d})&gt; điểm, &lt;2467 32%&gt; Xác suất kèm theo 【 Dễ tổn thương 】&lt;2467 2&gt; hiệp, giảm thương tăng &lt;2467 12%&gt;</t>
  </si>
  <si>
    <t>Ngãu nhiên &lt;2467 3&gt; địch tạo thành sát thương &lt;2467 {d}({d}+{d})&gt; điểm, &lt;2467 34%&gt; Xác suất kèm theo 【 Dễ tổn thương 】&lt;2467 2&gt; hiệp, giảm thương tăng &lt;2467 13%&gt;</t>
  </si>
  <si>
    <t>Ngãu nhiên &lt;2467 3&gt; địch tạo thành sát thương &lt;2467 {d}({d}+{d})&gt; điểm, &lt;2467 36%&gt; Xác suất kèm theo 【 Dễ tổn thương 】&lt;2467 2&gt; hiệp, giảm thương tăng &lt;2467 14%&gt;</t>
  </si>
  <si>
    <t>Ngãu nhiên &lt;2467 3&gt; địch tạo thành sát thương &lt;2467 {d}({d}+{d})&gt; điểm, &lt;2467 38%&gt; Xác suất kèm theo 【 Dễ tổn thương 】&lt;2467 2&gt; hiệp, giảm thương tăng &lt;2467 15%&gt;</t>
  </si>
  <si>
    <t>5:1600</t>
  </si>
  <si>
    <t>Ngãu nhiên &lt;2467 3&gt; địch tạo thành sát thương &lt;2467 {d}({d}+{d})&gt; điểm, &lt;2467 40%&gt; Xác suất kèm theo 【 Dễ tổn thương 】&lt;2467 2&gt; hiệp, giảm thương tăng &lt;2467 16%&gt;</t>
  </si>
  <si>
    <t>Ngãu nhiên &lt;2467 4&gt; địch tạo thành sát thương &lt;2467 {d}({d}+{d})&gt; điểm, &lt;2467 42%&gt; Xác suất kèm theo 【 Dễ tổn thương 】&lt;2467 2&gt; hiệp, giảm thương tăng &lt;2467 17%&gt;</t>
  </si>
  <si>
    <t>Ngãu nhiên &lt;2467 4&gt; địch tạo thành sát thương &lt;2467 {d}({d}+{d})&gt; điểm, &lt;2467 44%&gt; Xác suất kèm theo 【 Dễ tổn thương 】&lt;2467 2&gt; hiệp, giảm thương tăng &lt;2467 18%&gt;</t>
  </si>
  <si>
    <t>Ngãu nhiên &lt;2467 4&gt; địch tạo thành sát thương &lt;2467 {d}({d}+{d})&gt; điểm, &lt;2467 46%&gt; Xác suất kèm theo 【 Dễ tổn thương 】&lt;2467 2&gt; hiệp, giảm thương tăng &lt;2467 19%&gt;</t>
  </si>
  <si>
    <t>2:50</t>
  </si>
  <si>
    <t>Ngãu nhiên &lt;2467 4&gt; địch tạo thành sát thương &lt;2467 {d}({d}+{d})&gt; điểm, &lt;2467 48%&gt; Xác suất kèm theo 【 Dễ tổn thương 】&lt;2467 2&gt; hiệp, giảm thương tăng &lt;2467 20%&gt;</t>
  </si>
  <si>
    <t>Ngãu nhiên &lt;2467 4&gt; địch tạo thành sát thương &lt;2467 {d}({d}+{d})&gt; điểm, &lt;2467 50%&gt; Xác suất kèm theo 【 Dễ tổn thương 】&lt;2467 2&gt; hiệp, giảm thương tăng &lt;2467 21%&gt;</t>
  </si>
  <si>
    <t>Ngãu nhiên &lt;2467 4&gt; địch tạo thành sát thương &lt;2467 {d}({d}+{d})&gt; điểm, &lt;2467 52%&gt; Xác suất kèm theo 【 Dễ tổn thương 】&lt;2467 2&gt; hiệp, giảm thương tăng &lt;2467 22%&gt;</t>
  </si>
  <si>
    <t>Ngãu nhiên &lt;2467 4&gt; địch tạo thành sát thương &lt;2467 {d}({d}+{d})&gt; điểm, &lt;2467 54%&gt; Xác suất kèm theo 【 Dễ tổn thương 】&lt;2467 2&gt; hiệp, giảm thương tăng &lt;2467 23%&gt;</t>
  </si>
  <si>
    <t>Ngãu nhiên &lt;2467 4&gt; địch tạo thành sát thương &lt;2467 {d}({d}+{d})&gt; điểm, &lt;2467 56%&gt; Xác suất kèm theo 【 Dễ tổn thương 】&lt;2467 2&gt; hiệp, giảm thương tăng &lt;2467 24%&gt;</t>
  </si>
  <si>
    <t>Ngãu nhiên &lt;2467 5&gt; địch tạo thành sát thương &lt;2467 {d}({d}+{d})&gt; điểm, &lt;2467 58%&gt; Xác suất kèm theo 【 Dễ tổn thương 】&lt;2467 2&gt; hiệp, giảm thương tăng &lt;2467 25%&gt;</t>
  </si>
  <si>
    <t>Ngãu nhiên &lt;2467 5&gt; địch tạo thành sát thương &lt;2467 {d}({d}+{d})&gt; điểm, &lt;2467 60%&gt; Xác suất kèm theo 【 Dễ tổn thương 】&lt;2467 2&gt; hiệp, giảm thương tăng &lt;2467 26%&gt;</t>
  </si>
  <si>
    <t>Ngãu nhiên &lt;2467 5&gt; địch tạo thành sát thương &lt;2467 {d}({d}+{d})&gt; điểm, &lt;2467 62%&gt; Xác suất kèm theo 【 Dễ tổn thương 】&lt;2467 2&gt; hiệp, giảm thương tăng &lt;2467 27%&gt;</t>
  </si>
  <si>
    <t>2:60</t>
  </si>
  <si>
    <t>Ngãu nhiên &lt;2467 5&gt; địch tạo thành sát thương &lt;2467 {d}({d}+{d})&gt; điểm, &lt;2467 64%&gt; Xác suất kèm theo 【 Dễ tổn thương 】&lt;2467 2&gt; hiệp, giảm thương tăng &lt;2467 28%&gt;</t>
  </si>
  <si>
    <t>Ngãu nhiên &lt;2467 5&gt; địch tạo thành sát thương &lt;2467 {d}({d}+{d})&gt; điểm, &lt;2467 66%&gt; Xác suất kèm theo 【 Dễ tổn thương 】&lt;2467 2&gt; hiệp, giảm thương tăng &lt;2467 29%&gt;</t>
  </si>
  <si>
    <t>Ngãu nhiên &lt;2467 5&gt; địch tạo thành sát thương &lt;2467 {d}({d}+{d})&gt; điểm, &lt;2467 68%&gt; Xác suất kèm theo 【 Dễ tổn thương 】&lt;2467 2&gt; hiệp, giảm thương tăng &lt;2467 30%&gt;</t>
  </si>
  <si>
    <t>Ngãu nhiên &lt;2467 5&gt; địch tạo thành sát thương &lt;2467 {d}({d}+{d})&gt; điểm, &lt;2467 70%&gt; Xác suất kèm theo 【 Dễ tổn thương 】&lt;2467 2&gt; hiệp, giảm thương tăng &lt;2467 31%&gt;</t>
  </si>
  <si>
    <t>10000:200</t>
  </si>
  <si>
    <t>Ngãu nhiên &lt;2467 5&gt; địch tạo thành sát thương &lt;2467 {d}({d}+{d})&gt; điểm, &lt;2467 72%&gt; Xác suất kèm theo 【 Dễ tổn thương 】&lt;2467 2&gt; hiệp, giảm thương tăng &lt;2467 32%&gt;</t>
  </si>
  <si>
    <t>Ngãu nhiên &lt;2467 2&gt; địch tạo thành sát thương &lt;2467 {d}({d}+{d})&gt; điểm, &lt;2467 10%&gt; có tỉ lệ giảm&lt;2467 1%&gt; và tấn công mục tiêu &lt;2467 1%&gt; trong &lt;2467 2&gt; hiệp</t>
  </si>
  <si>
    <t>Ngãu nhiên &lt;2467 2&gt; địch tạo thành sát thương &lt;2467 {d}({d}+{d})&gt; điểm, &lt;2467 12%&gt; có tỉ lệ giảm&lt;2467 2%&gt; và tấn công mục tiêu &lt;2467 2%&gt; trong &lt;2467 2&gt; hiệp</t>
  </si>
  <si>
    <t>Ngãu nhiên &lt;2467 2&gt; địch tạo thành sát thương &lt;2467 {d}({d}+{d})&gt; điểm, &lt;2467 14%&gt; có tỉ lệ giảm&lt;2467 3%&gt; và tấn công mục tiêu &lt;2467 3%&gt; trong &lt;2467 2&gt; hiệp</t>
  </si>
  <si>
    <t>1004:1000</t>
  </si>
  <si>
    <t>Ngãu nhiên &lt;2467 2&gt; địch tạo thành sát thương &lt;2467 {d}({d}+{d})&gt; điểm, &lt;2467 16%&gt; có tỉ lệ giảm&lt;2467 4%&gt; và tấn công mục tiêu &lt;2467 4%&gt; trong &lt;2467 2&gt; hiệp</t>
  </si>
  <si>
    <t>Ngãu nhiên &lt;2467 2&gt; địch tạo thành sát thương &lt;2467 {d}({d}+{d})&gt; điểm, &lt;2467 18%&gt; có tỉ lệ giảm&lt;2467 5%&gt; và tấn công mục tiêu &lt;2467 5%&gt; trong &lt;2467 2&gt; hiệp</t>
  </si>
  <si>
    <t>Ngãu nhiên &lt;2467 2&gt; địch tạo thành sát thương &lt;2467 {d}({d}+{d})&gt; điểm, &lt;2467 20%&gt; có tỉ lệ giảm&lt;2467 6%&gt; và tấn công mục tiêu &lt;2467 6%&gt; trong &lt;2467 2&gt; hiệp</t>
  </si>
  <si>
    <t>Ngãu nhiên &lt;2467 2&gt; địch tạo thành sát thương &lt;2467 {d}({d}+{d})&gt; điểm, &lt;2467 22%&gt; có tỉ lệ giảm&lt;2467 7%&gt; và tấn công mục tiêu &lt;2467 7%&gt; trong &lt;2467 2&gt; hiệp</t>
  </si>
  <si>
    <t>8:1000</t>
  </si>
  <si>
    <t>Ngãu nhiên &lt;2467 2&gt; địch tạo thành sát thương &lt;2467 {d}({d}+{d})&gt; điểm, &lt;2467 24%&gt; có tỉ lệ giảm&lt;2467 8%&gt; và tấn công mục tiêu &lt;2467 8%&gt; trong &lt;2467 2&gt; hiệp</t>
  </si>
  <si>
    <t>Ngãu nhiên &lt;2467 3&gt; địch tạo thành sát thương &lt;2467 {d}({d}+{d})&gt; điểm, &lt;2467 26%&gt; có tỉ lệ giảm&lt;2467 9%&gt; và tấn công mục tiêu &lt;2467 9%&gt; trong &lt;2467 2&gt; hiệp</t>
  </si>
  <si>
    <t>Ngãu nhiên &lt;2467 3&gt; địch tạo thành sát thương &lt;2467 {d}({d}+{d})&gt; điểm, &lt;2467 28%&gt; có tỉ lệ giảm&lt;2467 10%&gt; và tấn công mục tiêu &lt;2467 10%&gt; trong &lt;2467 2&gt; hiệp</t>
  </si>
  <si>
    <t>Ngãu nhiên &lt;2467 3&gt; địch tạo thành sát thương &lt;2467 {d}({d}+{d})&gt; điểm, &lt;2467 30%&gt; có tỉ lệ giảm&lt;2467 11%&gt; và tấn công mục tiêu &lt;2467 11%&gt; trong &lt;2467 2&gt; hiệp</t>
  </si>
  <si>
    <t>Ngãu nhiên &lt;2467 3&gt; địch tạo thành sát thương &lt;2467 {d}({d}+{d})&gt; điểm, &lt;2467 32%&gt; có tỉ lệ giảm&lt;2467 12%&gt; và tấn công mục tiêu &lt;2467 12%&gt; trong &lt;2467 2&gt; hiệp</t>
  </si>
  <si>
    <t>Ngãu nhiên &lt;2467 3&gt; địch tạo thành sát thương &lt;2467 {d}({d}+{d})&gt; điểm, &lt;2467 34%&gt; có tỉ lệ giảm&lt;2467 13%&gt; và tấn công mục tiêu &lt;2467 13%&gt; trong &lt;2467 2&gt; hiệp</t>
  </si>
  <si>
    <t>Ngãu nhiên &lt;2467 3&gt; địch tạo thành sát thương &lt;2467 {d}({d}+{d})&gt; điểm, &lt;2467 36%&gt; có tỉ lệ giảm&lt;2467 14%&gt; và tấn công mục tiêu &lt;2467 14%&gt; trong &lt;2467 2&gt; hiệp</t>
  </si>
  <si>
    <t>Ngãu nhiên &lt;2467 3&gt; địch tạo thành sát thương &lt;2467 {d}({d}+{d})&gt; điểm, &lt;2467 38%&gt; có tỉ lệ giảm&lt;2467 15%&gt; và tấn công mục tiêu &lt;2467 15%&gt; trong &lt;2467 2&gt; hiệp</t>
  </si>
  <si>
    <t>Ngãu nhiên &lt;2467 3&gt; địch tạo thành sát thương &lt;2467 {d}({d}+{d})&gt; điểm, &lt;2467 40%&gt; có tỉ lệ giảm&lt;2467 16%&gt; và tấn công mục tiêu &lt;2467 16%&gt; trong &lt;2467 2&gt; hiệp</t>
  </si>
  <si>
    <t>Ngãu nhiên &lt;2467 4&gt; địch tạo thành sát thương &lt;2467 {d}({d}+{d})&gt; điểm, &lt;2467 42%&gt; có tỉ lệ giảm&lt;2467 17%&gt; và tấn công mục tiêu &lt;2467 17%&gt; trong &lt;2467 2&gt; hiệp</t>
  </si>
  <si>
    <t>Ngãu nhiên &lt;2467 4&gt; địch tạo thành sát thương &lt;2467 {d}({d}+{d})&gt; điểm, &lt;2467 44%&gt; có tỉ lệ giảm&lt;2467 18%&gt; và tấn công mục tiêu &lt;2467 18%&gt; trong &lt;2467 2&gt; hiệp</t>
  </si>
  <si>
    <t>Ngãu nhiên &lt;2467 4&gt; địch tạo thành sát thương &lt;2467 {d}({d}+{d})&gt; điểm, &lt;2467 46%&gt; có tỉ lệ giảm&lt;2467 19%&gt; và tấn công mục tiêu &lt;2467 19%&gt; trong &lt;2467 2&gt; hiệp</t>
  </si>
  <si>
    <t>Ngãu nhiên &lt;2467 4&gt; địch tạo thành sát thương &lt;2467 {d}({d}+{d})&gt; điểm, &lt;2467 48%&gt; có tỉ lệ giảm&lt;2467 20%&gt; và tấn công mục tiêu &lt;2467 20%&gt; trong &lt;2467 2&gt; hiệp</t>
  </si>
  <si>
    <t>Ngãu nhiên &lt;2467 4&gt; địch tạo thành sát thương &lt;2467 {d}({d}+{d})&gt; điểm, &lt;2467 50%&gt; có tỉ lệ giảm&lt;2467 21%&gt; và tấn công mục tiêu &lt;2467 21%&gt; trong &lt;2467 2&gt; hiệp</t>
  </si>
  <si>
    <t>Ngãu nhiên &lt;2467 4&gt; địch tạo thành sát thương &lt;2467 {d}({d}+{d})&gt; điểm, &lt;2467 52%&gt; có tỉ lệ giảm&lt;2467 22%&gt; và tấn công mục tiêu &lt;2467 22%&gt; trong &lt;2467 2&gt; hiệp</t>
  </si>
  <si>
    <t>Ngãu nhiên &lt;2467 4&gt; địch tạo thành sát thương &lt;2467 {d}({d}+{d})&gt; điểm, &lt;2467 54%&gt; có tỉ lệ giảm&lt;2467 23%&gt; và tấn công mục tiêu &lt;2467 23%&gt; trong &lt;2467 2&gt; hiệp</t>
  </si>
  <si>
    <t>10001:5</t>
  </si>
  <si>
    <t>Ngãu nhiên &lt;2467 4&gt; địch tạo thành sát thương &lt;2467 {d}({d}+{d})&gt; điểm, &lt;2467 56%&gt; có tỉ lệ giảm&lt;2467 24%&gt; và tấn công mục tiêu &lt;2467 24%&gt; trong &lt;2467 2&gt; hiệp</t>
  </si>
  <si>
    <t>Ngãu nhiên &lt;2467 5&gt; địch tạo thành sát thương &lt;2467 {d}({d}+{d})&gt; điểm, &lt;2467 58%&gt; có tỉ lệ giảm&lt;2467 25%&gt; và tấn công mục tiêu &lt;2467 25%&gt; trong &lt;2467 2&gt; hiệp</t>
  </si>
  <si>
    <t>Ngãu nhiên &lt;2467 5&gt; địch tạo thành sát thương &lt;2467 {d}({d}+{d})&gt; điểm, &lt;2467 60%&gt; có tỉ lệ giảm&lt;2467 26%&gt; và tấn công mục tiêu &lt;2467 26%&gt; trong &lt;2467 2&gt; hiệp</t>
  </si>
  <si>
    <t>Ngãu nhiên &lt;2467 5&gt; địch tạo thành sát thương &lt;2467 {d}({d}+{d})&gt; điểm, &lt;2467 62%&gt; có tỉ lệ giảm&lt;2467 27%&gt; và tấn công mục tiêu &lt;2467 27%&gt; trong &lt;2467 2&gt; hiệp</t>
  </si>
  <si>
    <t>1004:1500</t>
  </si>
  <si>
    <t>Ngãu nhiên &lt;2467 5&gt; địch tạo thành sát thương &lt;2467 {d}({d}+{d})&gt; điểm, &lt;2467 64%&gt; có tỉ lệ giảm&lt;2467 28%&gt; và tấn công mục tiêu &lt;2467 28%&gt; trong &lt;2467 2&gt; hiệp</t>
  </si>
  <si>
    <t>Ngãu nhiên &lt;2467 5&gt; địch tạo thành sát thương &lt;2467 {d}({d}+{d})&gt; điểm, &lt;2467 66%&gt; có tỉ lệ giảm&lt;2467 29%&gt; và tấn công mục tiêu &lt;2467 29%&gt; trong &lt;2467 2&gt; hiệp</t>
  </si>
  <si>
    <t>Ngãu nhiên &lt;2467 5&gt; địch tạo thành sát thương &lt;2467 {d}({d}+{d})&gt; điểm, &lt;2467 68%&gt; có tỉ lệ giảm&lt;2467 30%&gt; và tấn công mục tiêu &lt;2467 30%&gt; trong &lt;2467 2&gt; hiệp</t>
  </si>
  <si>
    <t>Ngãu nhiên &lt;2467 5&gt; địch tạo thành sát thương &lt;2467 {d}({d}+{d})&gt; điểm, &lt;2467 70%&gt; có tỉ lệ giảm&lt;2467 31%&gt; và tấn công mục tiêu &lt;2467 31%&gt; trong &lt;2467 2&gt; hiệp</t>
  </si>
  <si>
    <t>10001:10</t>
  </si>
  <si>
    <t>Ngãu nhiên &lt;2467 5&gt; địch tạo thành sát thương &lt;2467 {d}({d}+{d})&gt; điểm, &lt;2467 72%&gt; có tỉ lệ giảm&lt;2467 32%&gt; và tấn công mục tiêu &lt;2467 32%&gt; trong &lt;2467 2&gt; hiệp</t>
  </si>
  <si>
    <t>Ngãu nhiên &lt;2467 2&gt; địch tạo thành sát thương &lt;2467 {d}({d}+{d})&gt; điểm, khôi phục &lt;2467 2&gt; anh hùng phe mình &lt;2467 1%&gt; HP</t>
  </si>
  <si>
    <t>Ngãu nhiên &lt;2467 2&gt; địch tạo thành sát thương &lt;2467 {d}({d}+{d})&gt; điểm, khôi phục &lt;2467 2&gt; anh hùng phe mình &lt;2467 2%&gt; HP</t>
  </si>
  <si>
    <t>Ngãu nhiên &lt;2467 2&gt; địch tạo thành sát thương &lt;2467 {d}({d}+{d})&gt; điểm, khôi phục &lt;2467 2&gt; anh hùng phe mình &lt;2467 3%&gt; HP</t>
  </si>
  <si>
    <t>1001:1000</t>
  </si>
  <si>
    <t>Ngãu nhiên &lt;2467 2&gt; địch tạo thành sát thương &lt;2467 {d}({d}+{d})&gt; điểm, khôi phục &lt;2467 2&gt; anh hùng phe mình &lt;2467 4%&gt; HP</t>
  </si>
  <si>
    <t>Ngãu nhiên &lt;2467 2&gt; địch tạo thành sát thương &lt;2467 {d}({d}+{d})&gt; điểm, khôi phục &lt;2467 2&gt; anh hùng phe mình &lt;2467 5%&gt; HP</t>
  </si>
  <si>
    <t>Ngãu nhiên &lt;2467 2&gt; địch tạo thành sát thương &lt;2467 {d}({d}+{d})&gt; điểm, khôi phục &lt;2467 2&gt; anh hùng phe mình &lt;2467 6%&gt; HP</t>
  </si>
  <si>
    <t>Ngãu nhiên &lt;2467 2&gt; địch tạo thành sát thương &lt;2467 {d}({d}+{d})&gt; điểm, khôi phục &lt;2467 2&gt; anh hùng phe mình &lt;2467 7%&gt; HP</t>
  </si>
  <si>
    <t>13:1000</t>
  </si>
  <si>
    <t>Ngãu nhiên &lt;2467 2&gt; địch tạo thành sát thương &lt;2467 {d}({d}+{d})&gt; điểm, khôi phục &lt;2467 2&gt; anh hùng phe mình &lt;2467 8%&gt; HP</t>
  </si>
  <si>
    <t>Ngãu nhiên &lt;2467 3&gt; địch tạo thành sát thương &lt;2467 {d}({d}+{d})&gt; điểm, khôi phục &lt;2467 2&gt; anh hùng phe mình &lt;2467 9%&gt; HP</t>
  </si>
  <si>
    <t>Ngãu nhiên &lt;2467 3&gt; địch tạo thành sát thương &lt;2467 {d}({d}+{d})&gt; điểm, khôi phục &lt;2467 2&gt; anh hùng phe mình &lt;2467 10%&gt; HP</t>
  </si>
  <si>
    <t>Ngãu nhiên &lt;2467 3&gt; địch tạo thành sát thương &lt;2467 {d}({d}+{d})&gt; điểm, khôi phục &lt;2467 2&gt; anh hùng phe mình &lt;2467 11%&gt; HP</t>
  </si>
  <si>
    <t>Ngãu nhiên &lt;2467 3&gt; địch tạo thành sát thương &lt;2467 {d}({d}+{d})&gt; điểm, khôi phục &lt;2467 2&gt; anh hùng phe mình &lt;2467 12%&gt; HP</t>
  </si>
  <si>
    <t>Ngãu nhiên &lt;2467 3&gt; địch tạo thành sát thương &lt;2467 {d}({d}+{d})&gt; điểm, khôi phục &lt;2467 2&gt; anh hùng phe mình &lt;2467 13%&gt; HP</t>
  </si>
  <si>
    <t>Ngãu nhiên &lt;2467 3&gt; địch tạo thành sát thương &lt;2467 {d}({d}+{d})&gt; điểm, khôi phục &lt;2467 2&gt; anh hùng phe mình &lt;2467 14%&gt; HP</t>
  </si>
  <si>
    <t>Ngãu nhiên &lt;2467 3&gt; địch tạo thành sát thương &lt;2467 {d}({d}+{d})&gt; điểm, khôi phục &lt;2467 2&gt; anh hùng phe mình &lt;2467 15%&gt; HP</t>
  </si>
  <si>
    <t>Ngãu nhiên &lt;2467 3&gt; địch tạo thành sát thương &lt;2467 {d}({d}+{d})&gt; điểm, khôi phục &lt;2467 2&gt; anh hùng phe mình &lt;2467 16%&gt; HP</t>
  </si>
  <si>
    <t>Gây ra &lt;2467 {d}({d}+{d})&gt; điểm sát thương cho &lt;2467 4&gt; kẻ thù ngẫu nhiên và hồi phục &lt;2467 17%&gt; HP cho &lt;2467 2&gt;  anh hùng có lượng máu thấp nhất.</t>
  </si>
  <si>
    <t>Gây ra &lt;2467 {d}({d}+{d})&gt; điểm sát thương cho &lt;2467 4&gt; kẻ thù ngẫu nhiên và hồi phục &lt;2467 18%&gt; HP cho &lt;2467 2&gt;  anh hùng có lượng máu thấp nhất.</t>
  </si>
  <si>
    <t>Gây ra &lt;2467 {d}({d}+{d})&gt; điểm sát thương cho &lt;2467 4&gt; kẻ thù ngẫu nhiên và hồi phục &lt;2467 19%&gt; HP cho &lt;2467 2&gt;  anh hùng có lượng máu thấp nhất.</t>
  </si>
  <si>
    <t>Gây ra &lt;2467 {d}({d}+{d})&gt; điểm sát thương cho &lt;2467 4&gt; kẻ thù ngẫu nhiên và hồi phục &lt;2467 20%&gt; HP cho &lt;2467 2&gt;  anh hùng có lượng máu thấp nhất.</t>
  </si>
  <si>
    <t>Gây ra &lt;2467 {d}({d}+{d})&gt; điểm sát thương cho &lt;2467 4&gt; kẻ thù ngẫu nhiên và hồi phục &lt;2467 21%&gt; HP cho &lt;2467 2&gt;  anh hùng có lượng máu thấp nhất.</t>
  </si>
  <si>
    <t>Gây ra &lt;2467 {d}({d}+{d})&gt; điểm sát thương cho &lt;2467 4&gt; kẻ thù ngẫu nhiên và hồi phục &lt;2467 22%&gt; HP cho &lt;2467 2&gt;  anh hùng có lượng máu thấp nhất.</t>
  </si>
  <si>
    <t>Gây ra &lt;2467 {d}({d}+{d})&gt; điểm sát thương cho &lt;2467 4&gt; kẻ thù ngẫu nhiên và hồi phục &lt;2467 23%&gt; HP cho &lt;2467 2&gt;  anh hùng có lượng máu thấp nhất.</t>
  </si>
  <si>
    <t>15:1000</t>
  </si>
  <si>
    <t>Gây ra &lt;2467 {d}({d}+{d})&gt; điểm sát thương cho &lt;2467 4&gt; kẻ thù ngẫu nhiên và hồi phục &lt;2467 24%&gt; HP cho &lt;2467 2&gt;  anh hùng có lượng máu thấp nhất.</t>
  </si>
  <si>
    <t>Gây ra &lt;2467 {d}({d}+{d})&gt; điểm sát thương cho &lt;2467 4&gt; kẻ thù ngẫu nhiên và hồi phục &lt;2467 25%&gt; HP cho &lt;2467 2&gt;  anh hùng có lượng máu thấp nhất.</t>
  </si>
  <si>
    <t>Gây ra &lt;2467 {d}({d}+{d})&gt; điểm sát thương cho &lt;2467 4&gt; kẻ thù ngẫu nhiên và hồi phục &lt;2467 26%&gt; HP cho &lt;2467 2&gt;  anh hùng có lượng máu thấp nhất.</t>
  </si>
  <si>
    <t>Gây ra &lt;2467 {d}({d}+{d})&gt; điểm sát thương cho &lt;2467 4&gt; kẻ thù ngẫu nhiên và hồi phục &lt;2467 27%&gt; HP cho &lt;2467 2&gt;  anh hùng có lượng máu thấp nhất.</t>
  </si>
  <si>
    <t>1001:1500</t>
  </si>
  <si>
    <t>Gây ra &lt;2467 {d}({d}+{d})&gt; điểm sát thương cho &lt;2467 4&gt; kẻ thù ngẫu nhiên và hồi phục &lt;2467 28%&gt; HP cho &lt;2467 2&gt;  anh hùng có lượng máu thấp nhất.</t>
  </si>
  <si>
    <t>Gây ra &lt;2467 {d}({d}+{d})&gt; điểm sát thương cho &lt;2467 4&gt; kẻ thù ngẫu nhiên và hồi phục &lt;2467 29%&gt; HP cho &lt;2467 2&gt;  anh hùng có lượng máu thấp nhất.</t>
  </si>
  <si>
    <t>Gây ra &lt;2467 {d}({d}+{d})&gt; điểm sát thương cho &lt;2467 4&gt; kẻ thù ngẫu nhiên và hồi phục &lt;2467 30%&gt; HP cho &lt;2467 2&gt;  anh hùng có lượng máu thấp nhất.</t>
  </si>
  <si>
    <t>Gây ra &lt;2467 {d}({d}+{d})&gt; điểm sát thương cho &lt;2467 4&gt; kẻ thù ngẫu nhiên và hồi phục &lt;2467 31%&gt; HP cho &lt;2467 2&gt;  anh hùng có lượng máu thấp nhất.</t>
  </si>
  <si>
    <t>Gây ra &lt;2467 {d}({d}+{d})&gt; điểm sát thương cho &lt;2467 4&gt; kẻ thù ngẫu nhiên và hồi phục &lt;2467 32%&gt; HP cho &lt;2467 2&gt;  anh hùng có lượng máu thấp nhất.</t>
  </si>
  <si>
    <t>Gây &lt;2467 {d}({d}+{d})&gt; sát thương, lên ngẫu nhiên &lt;2467 2&gt; kẻ địch và có tỉ lệ &lt;2467 20%&gt; giảm &lt;2467 10%&gt; chính xác của địch, kéo dài &lt;2467 2&gt; lượt</t>
  </si>
  <si>
    <t>Gây &lt;2467 {d}({d}+{d})&gt; sát thương, lên ngẫu nhiên &lt;2467 2&gt; kẻ địch và có tỉ lệ &lt;2467 22%&gt; giảm &lt;2467 11%&gt; chính xác của địch, kéo dài &lt;2467 2&gt; lượt</t>
  </si>
  <si>
    <t>Gây &lt;2467 {d}({d}+{d})&gt; sát thương, lên ngẫu nhiên &lt;2467 2&gt; kẻ địch và có tỉ lệ &lt;2467 24%&gt; giảm &lt;2467 12%&gt; chính xác của địch, kéo dài &lt;2467 2&gt; lượt</t>
  </si>
  <si>
    <t>6:800</t>
  </si>
  <si>
    <t>Gây &lt;2467 {d}({d}+{d})&gt; sát thương, lên ngẫu nhiên &lt;2467 2&gt; kẻ địch và có tỉ lệ &lt;2467 26%&gt; giảm &lt;2467 13%&gt; chính xác của địch, kéo dài &lt;2467 2&gt; lượt</t>
  </si>
  <si>
    <t>Gây &lt;2467 {d}({d}+{d})&gt; sát thương, lên ngẫu nhiên &lt;2467 2&gt; kẻ địch và có tỉ lệ &lt;2467 28%&gt; giảm &lt;2467 14%&gt; chính xác của địch, kéo dài &lt;2467 2&gt; lượt</t>
  </si>
  <si>
    <t>Gây &lt;2467 {d}({d}+{d})&gt; sát thương, lên ngẫu nhiên &lt;2467 2&gt; kẻ địch và có tỉ lệ &lt;2467 30%&gt; giảm &lt;2467 15%&gt; chính xác của địch, kéo dài &lt;2467 2&gt; lượt</t>
  </si>
  <si>
    <t>Gây &lt;2467 {d}({d}+{d})&gt; sát thương, lên ngẫu nhiên &lt;2467 2&gt; kẻ địch và có tỉ lệ &lt;2467 32%&gt; giảm &lt;2467 16%&gt; chính xác của địch, kéo dài &lt;2467 2&gt; lượt</t>
  </si>
  <si>
    <t>Gây &lt;2467 {d}({d}+{d})&gt; sát thương, lên ngẫu nhiên &lt;2467 2&gt; kẻ địch và có tỉ lệ &lt;2467 34%&gt; giảm &lt;2467 17%&gt; chính xác của địch, kéo dài &lt;2467 2&gt; lượt</t>
  </si>
  <si>
    <t>Gây &lt;2467 {d}({d}+{d})&gt; sát thương, lên ngẫu nhiên &lt;2467 2&gt; kẻ địch và có tỉ lệ &lt;2467 36%&gt; giảm &lt;2467 18%&gt; chính xác của địch, kéo dài &lt;2467 2&gt; lượt</t>
  </si>
  <si>
    <t>Gây &lt;2467 {d}({d}+{d})&gt; sát thương, lên ngẫu nhiên &lt;2467 3&gt; kẻ địch và có tỉ lệ &lt;2467 38%&gt; giảm &lt;2467 19%&gt; chính xác của địch, kéo dài &lt;2467 3&gt; lượt</t>
  </si>
  <si>
    <t>Gây &lt;2467 {d}({d}+{d})&gt; sát thương, lên ngẫu nhiên &lt;2467 3&gt; kẻ địch và có tỉ lệ &lt;2467 40%&gt; giảm &lt;2467 20%&gt; chính xác của địch, kéo dài &lt;2467 3&gt; lượt</t>
  </si>
  <si>
    <t>Gây &lt;2467 {d}({d}+{d})&gt; sát thương, lên ngẫu nhiên &lt;2467 3&gt; kẻ địch và có tỉ lệ &lt;2467 42%&gt; giảm &lt;2467 21%&gt; chính xác của địch, kéo dài &lt;2467 3&gt; lượt</t>
  </si>
  <si>
    <t>Gây &lt;2467 {d}({d}+{d})&gt; sát thương, lên ngẫu nhiên &lt;2467 3&gt; kẻ địch và có tỉ lệ &lt;2467 44%&gt; giảm &lt;2467 22%&gt; chính xác của địch, kéo dài &lt;2467 3&gt; lượt</t>
  </si>
  <si>
    <t>Gây &lt;2467 {d}({d}+{d})&gt; sát thương, lên ngẫu nhiên &lt;2467 3&gt; kẻ địch và có tỉ lệ &lt;2467 46%&gt; giảm &lt;2467 23%&gt; chính xác của địch, kéo dài &lt;2467 3&gt; lượt</t>
  </si>
  <si>
    <t>Gây &lt;2467 {d}({d}+{d})&gt; sát thương, lên ngẫu nhiên &lt;2467 3&gt; kẻ địch và có tỉ lệ &lt;2467 48%&gt; giảm &lt;2467 24%&gt; chính xác của địch, kéo dài &lt;2467 3&gt; lượt</t>
  </si>
  <si>
    <t>Gây &lt;2467 {d}({d}+{d})&gt; sát thương, lên ngẫu nhiên &lt;2467 3&gt; kẻ địch và có tỉ lệ &lt;2467 50%&gt; giảm &lt;2467 25%&gt; chính xác của địch, kéo dài &lt;2467 3&gt; lượt</t>
  </si>
  <si>
    <t>Gây &lt;2467 {d}({d}+{d})&gt; sát thương, lên ngẫu nhiên &lt;2467 3&gt; kẻ địch và có tỉ lệ &lt;2467 52%&gt; giảm &lt;2467 26%&gt; chính xác của địch, kéo dài &lt;2467 3&gt; lượt</t>
  </si>
  <si>
    <t>Gây &lt;2467 {d}({d}+{d})&gt; sát thương, lên ngẫu nhiên &lt;2467 4&gt; kẻ địch và có tỉ lệ &lt;2467 54%&gt; giảm &lt;2467 27%&gt; chính xác của địch, kéo dài &lt;2467 4&gt; lượt</t>
  </si>
  <si>
    <t>Gây &lt;2467 {d}({d}+{d})&gt; sát thương, lên ngẫu nhiên &lt;2467 4&gt; kẻ địch và có tỉ lệ &lt;2467 56%&gt; giảm &lt;2467 28%&gt; chính xác của địch, kéo dài &lt;2467 4&gt; lượt</t>
  </si>
  <si>
    <t>Gây &lt;2467 {d}({d}+{d})&gt; sát thương, lên ngẫu nhiên &lt;2467 4&gt; kẻ địch và có tỉ lệ &lt;2467 58%&gt; giảm &lt;2467 29%&gt; chính xác của địch, kéo dài &lt;2467 4&gt; lượt</t>
  </si>
  <si>
    <t>Gây &lt;2467 {d}({d}+{d})&gt; sát thương, lên ngẫu nhiên &lt;2467 4&gt; kẻ địch và có tỉ lệ &lt;2467 60%&gt; giảm &lt;2467 30%&gt; chính xác của địch, kéo dài &lt;2467 4&gt; lượt</t>
  </si>
  <si>
    <t>Gây &lt;2467 {d}({d}+{d})&gt; sát thương, lên ngẫu nhiên &lt;2467 4&gt; kẻ địch và có tỉ lệ &lt;2467 62%&gt; giảm &lt;2467 31%&gt; chính xác của địch, kéo dài &lt;2467 4&gt; lượt</t>
  </si>
  <si>
    <t>Gây &lt;2467 {d}({d}+{d})&gt; sát thương, lên ngẫu nhiên &lt;2467 4&gt; kẻ địch và có tỉ lệ &lt;2467 64%&gt; giảm &lt;2467 32%&gt; chính xác của địch, kéo dài &lt;2467 4&gt; lượt</t>
  </si>
  <si>
    <t>Gây &lt;2467 {d}({d}+{d})&gt; sát thương, lên ngẫu nhiên &lt;2467 4&gt; kẻ địch và có tỉ lệ &lt;2467 66%&gt; giảm &lt;2467 33%&gt; chính xác của địch, kéo dài &lt;2467 4&gt; lượt</t>
  </si>
  <si>
    <t>Gây &lt;2467 {d}({d}+{d})&gt; sát thương, lên ngẫu nhiên &lt;2467 4&gt; kẻ địch và có tỉ lệ &lt;2467 68%&gt; giảm &lt;2467 35%&gt; chính xác của địch, kéo dài &lt;2467 4&gt; lượt</t>
  </si>
  <si>
    <t>Gây &lt;2467 {d}({d}+{d})&gt; sát thương, lên ngẫu nhiên &lt;2467 5&gt; kẻ địch và có tỉ lệ &lt;2467 70%&gt; giảm &lt;2467 37%&gt; chính xác của địch, kéo dài &lt;2467 5&gt; lượt</t>
  </si>
  <si>
    <t>Gây &lt;2467 {d}({d}+{d})&gt; sát thương, lên ngẫu nhiên &lt;2467 5&gt; kẻ địch và có tỉ lệ &lt;2467 72%&gt; giảm &lt;2467 39%&gt; chính xác của địch, kéo dài &lt;2467 5&gt; lượt</t>
  </si>
  <si>
    <t>6:1500</t>
  </si>
  <si>
    <t>Gây &lt;2467 {d}({d}+{d})&gt; sát thương, lên ngẫu nhiên &lt;2467 5&gt; kẻ địch và có tỉ lệ &lt;2467 74%&gt; giảm &lt;2467 41%&gt; chính xác của địch, kéo dài &lt;2467 5&gt; lượt</t>
  </si>
  <si>
    <t>Gây &lt;2467 {d}({d}+{d})&gt; sát thương, lên ngẫu nhiên &lt;2467 5&gt; kẻ địch và có tỉ lệ &lt;2467 76%&gt; giảm &lt;2467 43%&gt; chính xác của địch, kéo dài &lt;2467 5&gt; lượt</t>
  </si>
  <si>
    <t>Gây &lt;2467 {d}({d}+{d})&gt; sát thương, lên ngẫu nhiên &lt;2467 5&gt; kẻ địch và có tỉ lệ &lt;2467 78%&gt; giảm &lt;2467 45%&gt; chính xác của địch, kéo dài &lt;2467 5&gt; lượt</t>
  </si>
  <si>
    <t>Gây &lt;2467 {d}({d}+{d})&gt; sát thương, lên ngẫu nhiên &lt;2467 5&gt; kẻ địch và có tỉ lệ &lt;2467 80%&gt; giảm &lt;2467 47%&gt; chính xác của địch, kéo dài &lt;2467 5&gt; lượt</t>
  </si>
  <si>
    <t>Gây &lt;2467 {d}({d}+{d})&gt; sát thương, lên ngẫu nhiên &lt;2467 5&gt; kẻ địch và có tỉ lệ &lt;2467 82%&gt; giảm &lt;2467 49%&gt; chính xác của địch, kéo dài &lt;2467 5&gt; lượt</t>
  </si>
  <si>
    <t>Ngãu nhiên &lt;2467 2&gt; địch tạo thành sát thương &lt;2467 {d}({d}+{d})&gt; điểm, &lt;2467 15%&gt; có tỉ lện làm mục tiêu 【 Mê muội 】&lt;2467 2&gt; hiệp</t>
  </si>
  <si>
    <t>Ngãu nhiên &lt;2467 2&gt; địch tạo thành sát thương &lt;2467 {d}({d}+{d})&gt; điểm, &lt;2467 16%&gt; có tỉ lện làm mục tiêu 【 Mê muội 】&lt;2467 2&gt; hiệp</t>
  </si>
  <si>
    <t>Ngãu nhiên &lt;2467 2&gt; địch tạo thành sát thương &lt;2467 {d}({d}+{d})&gt; điểm, &lt;2467 17%&gt; có tỉ lện làm mục tiêu 【 Mê muội 】&lt;2467 2&gt; hiệp</t>
  </si>
  <si>
    <t>7:1000</t>
  </si>
  <si>
    <t>Ngãu nhiên &lt;2467 2&gt; địch tạo thành sát thương &lt;2467 {d}({d}+{d})&gt; điểm, &lt;2467 18%&gt; có tỉ lện làm mục tiêu 【 Mê muội 】&lt;2467 2&gt; hiệp</t>
  </si>
  <si>
    <t>Ngãu nhiên &lt;2467 2&gt; địch tạo thành sát thương &lt;2467 {d}({d}+{d})&gt; điểm, &lt;2467 19%&gt; có tỉ lện làm mục tiêu 【 Mê muội 】&lt;2467 2&gt; hiệp</t>
  </si>
  <si>
    <t>Ngãu nhiên &lt;2467 2&gt; địch tạo thành sát thương &lt;2467 {d}({d}+{d})&gt; điểm, &lt;2467 20%&gt; có tỉ lện làm mục tiêu 【 Mê muội 】&lt;2467 2&gt; hiệp</t>
  </si>
  <si>
    <t>Ngãu nhiên &lt;2467 2&gt; địch tạo thành sát thương &lt;2467 {d}({d}+{d})&gt; điểm, &lt;2467 21%&gt; có tỉ lện làm mục tiêu 【 Mê muội 】&lt;2467 2&gt; hiệp</t>
  </si>
  <si>
    <t>9:2000</t>
  </si>
  <si>
    <t>Ngãu nhiên &lt;2467 2&gt; địch tạo thành sát thương &lt;2467 {d}({d}+{d})&gt; điểm, &lt;2467 22%&gt; có tỉ lện làm mục tiêu 【 Mê muội 】&lt;2467 2&gt; hiệp</t>
  </si>
  <si>
    <t>Ngãu nhiên &lt;2467 2&gt; địch tạo thành sát thương &lt;2467 {d}({d}+{d})&gt; điểm, &lt;2467 23%&gt; có tỉ lện làm mục tiêu 【 Mê muội 】&lt;2467 2&gt; hiệp</t>
  </si>
  <si>
    <t>Ngãu nhiên &lt;2467 2&gt; địch tạo thành sát thương &lt;2467 {d}({d}+{d})&gt; điểm, &lt;2467 24%&gt; có tỉ lện làm mục tiêu 【 Mê muội 】&lt;2467 2&gt; hiệp</t>
  </si>
  <si>
    <t>Ngãu nhiên &lt;2467 2&gt; địch tạo thành sát thương &lt;2467 {d}({d}+{d})&gt; điểm, &lt;2467 25%&gt; có tỉ lện làm mục tiêu 【 Mê muội 】&lt;2467 2&gt; hiệp</t>
  </si>
  <si>
    <t>Ngãu nhiên &lt;2467 3&gt; địch tạo thành sát thương &lt;2467 {d}({d}+{d})&gt; điểm, &lt;2467 26%&gt; có tỉ lện làm mục tiêu 【 Mê muội 】&lt;2467 2&gt; hiệp</t>
  </si>
  <si>
    <t>Ngãu nhiên &lt;2467 3&gt; địch tạo thành sát thương &lt;2467 {d}({d}+{d})&gt; điểm, &lt;2467 27%&gt; có tỉ lện làm mục tiêu 【 Mê muội 】&lt;2467 2&gt; hiệp</t>
  </si>
  <si>
    <t>Ngãu nhiên &lt;2467 3&gt; địch tạo thành sát thương &lt;2467 {d}({d}+{d})&gt; điểm, &lt;2467 28%&gt; có tỉ lện làm mục tiêu 【 Mê muội 】&lt;2467 2&gt; hiệp</t>
  </si>
  <si>
    <t>Ngãu nhiên &lt;2467 3&gt; địch tạo thành sát thương &lt;2467 {d}({d}+{d})&gt; điểm, &lt;2467 29%&gt; có tỉ lện làm mục tiêu 【 Mê muội 】&lt;2467 2&gt; hiệp</t>
  </si>
  <si>
    <t>Ngãu nhiên &lt;2467 3&gt; địch tạo thành sát thương &lt;2467 {d}({d}+{d})&gt; điểm, &lt;2467 30%&gt; có tỉ lện làm mục tiêu 【 Mê muội 】&lt;2467 2&gt; hiệp</t>
  </si>
  <si>
    <t>Ngãu nhiên &lt;2467 3&gt; địch tạo thành sát thương &lt;2467 {d}({d}+{d})&gt; điểm, &lt;2467 31%&gt; có tỉ lện làm mục tiêu 【 Mê muội 】&lt;2467 2&gt; hiệp</t>
  </si>
  <si>
    <t>Ngãu nhiên &lt;2467 3&gt; địch tạo thành sát thương &lt;2467 {d}({d}+{d})&gt; điểm, &lt;2467 32%&gt; có tỉ lện làm mục tiêu 【 Mê muội 】&lt;2467 2&gt; hiệp</t>
  </si>
  <si>
    <t>Ngãu nhiên &lt;2467 3&gt; địch tạo thành sát thương &lt;2467 {d}({d}+{d})&gt; điểm, &lt;2467 33%&gt; có tỉ lện làm mục tiêu 【 Mê muội 】&lt;2467 2&gt; hiệp</t>
  </si>
  <si>
    <t>Ngãu nhiên &lt;2467 4&gt; địch tạo thành sát thương &lt;2467 {d}({d}+{d})&gt; điểm, &lt;2467 34%&gt; có tỉ lện làm mục tiêu 【 Mê muội 】&lt;2467 2&gt; hiệp</t>
  </si>
  <si>
    <t>Ngãu nhiên &lt;2467 4&gt; địch tạo thành sát thương &lt;2467 {d}({d}+{d})&gt; điểm, &lt;2467 36%&gt; có tỉ lện làm mục tiêu 【 Mê muội 】&lt;2467 2&gt; hiệp</t>
  </si>
  <si>
    <t>Ngãu nhiên &lt;2467 4&gt; địch tạo thành sát thương &lt;2467 {d}({d}+{d})&gt; điểm, &lt;2467 38%&gt; có tỉ lện làm mục tiêu 【 Mê muội 】&lt;2467 2&gt; hiệp</t>
  </si>
  <si>
    <t>Ngãu nhiên &lt;2467 4&gt; địch tạo thành sát thương &lt;2467 {d}({d}+{d})&gt; điểm, &lt;2467 40%&gt; có tỉ lện làm mục tiêu 【 Mê muội 】&lt;2467 2&gt; hiệp</t>
  </si>
  <si>
    <t>Ngãu nhiên &lt;2467 4&gt; địch tạo thành sát thương &lt;2467 {d}({d}+{d})&gt; điểm, &lt;2467 42%&gt; có tỉ lện làm mục tiêu 【 Mê muội 】&lt;2467 2&gt; hiệp</t>
  </si>
  <si>
    <t>Ngãu nhiên &lt;2467 4&gt; địch tạo thành sát thương &lt;2467 {d}({d}+{d})&gt; điểm, &lt;2467 44%&gt; có tỉ lện làm mục tiêu 【 Mê muội 】&lt;2467 2&gt; hiệp</t>
  </si>
  <si>
    <t>Ngãu nhiên &lt;2467 4&gt; địch tạo thành sát thương &lt;2467 {d}({d}+{d})&gt; điểm, &lt;2467 46%&gt; có tỉ lện làm mục tiêu 【 Mê muội 】&lt;2467 2&gt; hiệp</t>
  </si>
  <si>
    <t>Ngãu nhiên &lt;2467 4&gt; địch tạo thành sát thương &lt;2467 {d}({d}+{d})&gt; điểm, &lt;2467 48%&gt; có tỉ lện làm mục tiêu 【 Mê muội 】&lt;2467 2&gt; hiệp</t>
  </si>
  <si>
    <t>Ngãu nhiên &lt;2467 5&gt; địch tạo thành sát thương &lt;2467 {d}({d}+{d})&gt; điểm, &lt;2467 50%&gt; có tỉ lện làm mục tiêu 【 Mê muội 】&lt;2467 2&gt; hiệp</t>
  </si>
  <si>
    <t>Ngãu nhiên &lt;2467 5&gt; địch tạo thành sát thương &lt;2467 {d}({d}+{d})&gt; điểm, &lt;2467 52%&gt; có tỉ lện làm mục tiêu 【 Mê muội 】&lt;2467 2&gt; hiệp</t>
  </si>
  <si>
    <t>Ngãu nhiên &lt;2467 5&gt; địch tạo thành sát thương &lt;2467 {d}({d}+{d})&gt; điểm, &lt;2467 54%&gt; có tỉ lện làm mục tiêu 【 Mê muội 】&lt;2467 2&gt; hiệp</t>
  </si>
  <si>
    <t>Ngãu nhiên &lt;2467 5&gt; địch tạo thành sát thương &lt;2467 {d}({d}+{d})&gt; điểm, &lt;2467 56%&gt; có tỉ lện làm mục tiêu 【 Mê muội 】&lt;2467 2&gt; hiệp</t>
  </si>
  <si>
    <t>Ngãu nhiên &lt;2467 5&gt; địch tạo thành sát thương &lt;2467 {d}({d}+{d})&gt; điểm, &lt;2467 58%&gt; có tỉ lện làm mục tiêu 【 Mê muội 】&lt;2467 2&gt; hiệp</t>
  </si>
  <si>
    <t>Ngãu nhiên &lt;2467 5&gt; địch tạo thành sát thương &lt;2467 {d}({d}+{d})&gt; điểm, &lt;2467 15%&gt; có tỉ lện làm mục tiêu 【 Mê muội 】&lt;2467 2&gt; hiệp</t>
  </si>
  <si>
    <t>Ngãu nhiên &lt;2467 5&gt; địch tạo thành sát thương &lt;2467 {d}({d}+{d})&gt; điểm, &lt;2467 16%&gt; có tỉ lện làm mục tiêu 【 Mê muội 】&lt;2467 2&gt; hiệp</t>
  </si>
  <si>
    <t>Ngãu nhiên &lt;2467 5&gt; địch tạo thành sát thương &lt;2467 {d}({d}+{d})&gt; điểm, &lt;2467 17%&gt; có tỉ lện làm mục tiêu 【 Mê muội 】&lt;2467 2&gt; hiệp</t>
  </si>
  <si>
    <t>神器等级</t>
  </si>
  <si>
    <t>进度属性</t>
  </si>
  <si>
    <t>累计总属性</t>
  </si>
  <si>
    <t>说明一下属性</t>
  </si>
  <si>
    <t>累计总祝福值</t>
  </si>
  <si>
    <t>单次祝福值小</t>
  </si>
  <si>
    <t>单次祝福值大</t>
  </si>
  <si>
    <t>最后祝福值</t>
  </si>
  <si>
    <t>单次祝福消耗m0</t>
  </si>
  <si>
    <t>单次祝福消耗道具数</t>
  </si>
  <si>
    <t>说明1</t>
  </si>
  <si>
    <t>重铸单次祝福返还道具数</t>
  </si>
  <si>
    <t>一些说明</t>
  </si>
  <si>
    <t>1:942#3:112</t>
  </si>
  <si>
    <t>1:1413#3:167</t>
  </si>
  <si>
    <t>神器的当前属性=累计总属性-没有完成进度的属性</t>
  </si>
  <si>
    <t>m0就是金币</t>
  </si>
  <si>
    <t>只返还道具</t>
  </si>
  <si>
    <t>1:3297#3:390</t>
  </si>
  <si>
    <t>1:4710#3:557</t>
  </si>
  <si>
    <t>累计总属性=进度属性+神器基础属性</t>
  </si>
  <si>
    <t>写成这种抽象的</t>
  </si>
  <si>
    <t>不返还m0</t>
  </si>
  <si>
    <t>1:2355#3:279</t>
  </si>
  <si>
    <t>1:7065#3:836</t>
  </si>
  <si>
    <t>是为了以后换皮的时候不纠结名称</t>
  </si>
  <si>
    <t>1:2827#3:334</t>
  </si>
  <si>
    <t>1:9892#3:1170</t>
  </si>
  <si>
    <t>管它以后叫金币还是铜钱</t>
  </si>
  <si>
    <t>1:3297#3:391</t>
  </si>
  <si>
    <t>1:13189#3:1561</t>
  </si>
  <si>
    <t>1:3769#3:446</t>
  </si>
  <si>
    <t>1:16958#3:2007</t>
  </si>
  <si>
    <t>1:4240#3:503</t>
  </si>
  <si>
    <t>1:21198#3:2510</t>
  </si>
  <si>
    <t>1:4710#3:556</t>
  </si>
  <si>
    <t>1:25908#3:3066</t>
  </si>
  <si>
    <t>1:5181#3:614</t>
  </si>
  <si>
    <t>1:31089#3:3680</t>
  </si>
  <si>
    <t>1:5653#3:669</t>
  </si>
  <si>
    <t>1:36742#3:4349</t>
  </si>
  <si>
    <t>1:6124#3:725</t>
  </si>
  <si>
    <t>1:42866#3:5074</t>
  </si>
  <si>
    <t>1:6595#3:780</t>
  </si>
  <si>
    <t>1:49461#3:5854</t>
  </si>
  <si>
    <t>1:7066#3:837</t>
  </si>
  <si>
    <t>1:56527#3:6691</t>
  </si>
  <si>
    <t>1:7537#3:892</t>
  </si>
  <si>
    <t>1:64064#3:7583</t>
  </si>
  <si>
    <t>1:8026#3:949</t>
  </si>
  <si>
    <t>1:72090#3:8532</t>
  </si>
  <si>
    <t>1:8547#3:1011</t>
  </si>
  <si>
    <t>1:80637#3:9543</t>
  </si>
  <si>
    <t>1:9102#3:1077</t>
  </si>
  <si>
    <t>1:89739#3:10620</t>
  </si>
  <si>
    <t>1:9693#3:1147</t>
  </si>
  <si>
    <t>1:99432#3:11767</t>
  </si>
  <si>
    <t>1:10323#3:1222</t>
  </si>
  <si>
    <t>1:109755#3:12989</t>
  </si>
  <si>
    <t>1:10993#3:1301</t>
  </si>
  <si>
    <t>1:120748#3:14290</t>
  </si>
  <si>
    <t>1:11707#3:1386</t>
  </si>
  <si>
    <t>1:132455#3:15676</t>
  </si>
  <si>
    <t>1:12467#3:1476</t>
  </si>
  <si>
    <t>1:144922#3:17152</t>
  </si>
  <si>
    <t>1:13277#3:1572</t>
  </si>
  <si>
    <t>1:158199#3:18724</t>
  </si>
  <si>
    <t>1:14140#3:1674</t>
  </si>
  <si>
    <t>1:172339#3:20398</t>
  </si>
  <si>
    <t>1:15059#3:1783</t>
  </si>
  <si>
    <t>1:187398#3:22181</t>
  </si>
  <si>
    <t>1:16037#3:1899</t>
  </si>
  <si>
    <t>1:203435#3:24080</t>
  </si>
  <si>
    <t>1:17079#3:2022</t>
  </si>
  <si>
    <t>1:220514#3:26102</t>
  </si>
  <si>
    <t>1:18189#3:2154</t>
  </si>
  <si>
    <t>1:238703#3:28256</t>
  </si>
  <si>
    <t>1:19371#3:2294</t>
  </si>
  <si>
    <t>1:258074#3:30550</t>
  </si>
  <si>
    <t>1:277446#3:32844</t>
  </si>
  <si>
    <t>1:20533#3:2432</t>
  </si>
  <si>
    <t>1:297979#3:35276</t>
  </si>
  <si>
    <t>1:21765#3:2578</t>
  </si>
  <si>
    <t>1:319744#3:37854</t>
  </si>
  <si>
    <t>1:23071#3:2733</t>
  </si>
  <si>
    <t>1:342815#3:40587</t>
  </si>
  <si>
    <t>1:24455#3:2897</t>
  </si>
  <si>
    <t>1:367270#3:43484</t>
  </si>
  <si>
    <t>1:25922#3:3071</t>
  </si>
  <si>
    <t>1:393192#3:46555</t>
  </si>
  <si>
    <t>1:27477#3:3255</t>
  </si>
  <si>
    <t>1:420669#3:49810</t>
  </si>
  <si>
    <t>1:29126#3:3450</t>
  </si>
  <si>
    <t>1:449795#3:53260</t>
  </si>
  <si>
    <t>1:30874#3:3657</t>
  </si>
  <si>
    <t>1:480669#3:56917</t>
  </si>
  <si>
    <t>1:32726#3:3876</t>
  </si>
  <si>
    <t>1:513395#3:60793</t>
  </si>
  <si>
    <t>1:34690#3:4109</t>
  </si>
  <si>
    <t>1:548085#3:64902</t>
  </si>
  <si>
    <t>1:38000#3:4200</t>
  </si>
  <si>
    <t>1:586085#3:69102</t>
  </si>
  <si>
    <t>1:40000#3:4300</t>
  </si>
  <si>
    <t>1:626085#3:73402</t>
  </si>
  <si>
    <t>1:42000#3:4400</t>
  </si>
  <si>
    <t>1:668085#3:77802</t>
  </si>
  <si>
    <t>1:44000#3:4500</t>
  </si>
  <si>
    <t>1:712085#3:82302</t>
  </si>
  <si>
    <t>1:46000#3:4600</t>
  </si>
  <si>
    <t>1:758085#3:86902</t>
  </si>
  <si>
    <t>1:48000#3:4700</t>
  </si>
  <si>
    <t>1:806085#3:91602</t>
  </si>
  <si>
    <t>1:50000#3:4800</t>
  </si>
  <si>
    <t>1:856085#3:96402</t>
  </si>
  <si>
    <t>1:52000#3:4900</t>
  </si>
  <si>
    <t>1:908085#3:101302</t>
  </si>
  <si>
    <t>1:54000#3:5000</t>
  </si>
  <si>
    <t>1:962085#3:106302</t>
  </si>
  <si>
    <t>1:56000#3:5100</t>
  </si>
  <si>
    <t>1:1018085#3:111402</t>
  </si>
  <si>
    <t>1:58000#3:5200</t>
  </si>
  <si>
    <t>1:1076085#3:116602</t>
  </si>
  <si>
    <t>1:60000#3:5300</t>
  </si>
  <si>
    <t>1:1136085#3:121902</t>
  </si>
  <si>
    <t>1:62000#3:5400</t>
  </si>
  <si>
    <t>1:1198085#3:127302</t>
  </si>
  <si>
    <t>1:64000#3:5500</t>
  </si>
  <si>
    <t>1:1262085#3:132802</t>
  </si>
  <si>
    <t>1:66000#3:5600</t>
  </si>
  <si>
    <t>1:1328085#3:138402</t>
  </si>
  <si>
    <t>1:68000#3:5700</t>
  </si>
  <si>
    <t>1:1396085#3:144102</t>
  </si>
  <si>
    <t>1:70000#3:5800</t>
  </si>
  <si>
    <t>1:1466085#3:149902</t>
  </si>
  <si>
    <t>1:72000#3:5900</t>
  </si>
  <si>
    <t>1:1538085#3:155802</t>
  </si>
  <si>
    <t>1:74000#3:6000</t>
  </si>
  <si>
    <t>1:1612085#3:161802</t>
  </si>
  <si>
    <t>1:76000#3:6100</t>
  </si>
  <si>
    <t>1:1688085#3:167902</t>
  </si>
  <si>
    <t>1:78000#3:6200</t>
  </si>
  <si>
    <t>1:1766085#3:174102</t>
  </si>
  <si>
    <t>1:80000#3:6300</t>
  </si>
  <si>
    <t>1:1846085#3:180402</t>
  </si>
  <si>
    <t>1:82000#3:6400</t>
  </si>
  <si>
    <t>1:1928085#3:186802</t>
  </si>
  <si>
    <t>1:84000#3:6500</t>
  </si>
  <si>
    <t>1:2012085#3:193302</t>
  </si>
  <si>
    <t>1:86000#3:6600</t>
  </si>
  <si>
    <t>1:2098085#3:199902</t>
  </si>
  <si>
    <t>1:88000#3:6700</t>
  </si>
  <si>
    <t>1:2186085#3:206602</t>
  </si>
  <si>
    <t>1:90000#3:6800</t>
  </si>
  <si>
    <t>1:2276085#3:213402</t>
  </si>
  <si>
    <t>1:92000#3:6900</t>
  </si>
  <si>
    <t>1:2368085#3:220302</t>
  </si>
  <si>
    <t>1:94000#3:7000</t>
  </si>
  <si>
    <t>1:2462085#3:227302</t>
  </si>
  <si>
    <t>1:96000#3:7100</t>
  </si>
  <si>
    <t>1:2558085#3:234402</t>
  </si>
  <si>
    <t>1:98000#3:7200</t>
  </si>
  <si>
    <t>1:2656085#3:241602</t>
  </si>
  <si>
    <t>1:100000#3:7300</t>
  </si>
  <si>
    <t>1:2756085#3:248902</t>
  </si>
  <si>
    <t>1:102000#3:7400</t>
  </si>
  <si>
    <t>1:2858085#3:256302</t>
  </si>
  <si>
    <t>1:104000#3:7500</t>
  </si>
  <si>
    <t>1:2962085#3:263802</t>
  </si>
  <si>
    <t>1:106000#3:7600</t>
  </si>
  <si>
    <t>1:3068085#3:271402</t>
  </si>
  <si>
    <t>1:108000#3:7700</t>
  </si>
  <si>
    <t>1:3176085#3:279102</t>
  </si>
  <si>
    <t>1:110000#3:7800</t>
  </si>
  <si>
    <t>1:3286085#3:286902</t>
  </si>
  <si>
    <t>1:112000#3:7900</t>
  </si>
  <si>
    <t>1:3398085#3:294802</t>
  </si>
  <si>
    <t>1:114000#3:8000</t>
  </si>
  <si>
    <t>1:3512085#3:302802</t>
  </si>
  <si>
    <t>1:116000#3:8100</t>
  </si>
  <si>
    <t>1:3628085#3:310902</t>
  </si>
  <si>
    <t>1:118000#3:8200</t>
  </si>
  <si>
    <t>1:3746085#3:319102</t>
  </si>
  <si>
    <t>1:120000#3:8300</t>
  </si>
  <si>
    <t>1:3866085#3:327402</t>
  </si>
  <si>
    <t>1:122000#3:8400</t>
  </si>
  <si>
    <t>1:3988085#3:335802</t>
  </si>
  <si>
    <t>1:124000#3:8500</t>
  </si>
  <si>
    <t>1:4112085#3:344302</t>
  </si>
  <si>
    <t>1:126000#3:8600</t>
  </si>
  <si>
    <t>1:4238085#3:352902</t>
  </si>
  <si>
    <t>1:128000#3:8700</t>
  </si>
  <si>
    <t>1:4366085#3:361602</t>
  </si>
  <si>
    <t>1:130000#3:8800</t>
  </si>
  <si>
    <t>1:4496085#3:370402</t>
  </si>
  <si>
    <t>1:132000#3:8900</t>
  </si>
  <si>
    <t>1:4628085#3:379302</t>
  </si>
  <si>
    <t>1:134000#3:9000</t>
  </si>
  <si>
    <t>1:4762085#3:388302</t>
  </si>
  <si>
    <t>1:136000#3:9100</t>
  </si>
  <si>
    <t>1:4898085#3:397402</t>
  </si>
  <si>
    <t>1:138000#3:9200</t>
  </si>
  <si>
    <t>1:5036085#3:406602</t>
  </si>
  <si>
    <t>1:140000#3:9300</t>
  </si>
  <si>
    <t>1:5176085#3:415902</t>
  </si>
  <si>
    <t>1:142000#3:9400</t>
  </si>
  <si>
    <t>1:5318085#3:425302</t>
  </si>
  <si>
    <t>1:144000#3:9500</t>
  </si>
  <si>
    <t>1:5462085#3:434802</t>
  </si>
  <si>
    <t>1:146000#3:9600</t>
  </si>
  <si>
    <t>1:5608085#3:444402</t>
  </si>
  <si>
    <t>1:148000#3:9700</t>
  </si>
  <si>
    <t>1:5756085#3:454102</t>
  </si>
  <si>
    <t>1:150000#3:9800</t>
  </si>
  <si>
    <t>1:5906085#3:463902</t>
  </si>
  <si>
    <t>1:152000#3:9900</t>
  </si>
  <si>
    <t>1:6058085#3:473802</t>
  </si>
  <si>
    <t>1:154000#3:10000</t>
  </si>
  <si>
    <t>1:6212085#3:483802</t>
  </si>
  <si>
    <t>1:156000#3:10100</t>
  </si>
  <si>
    <t>1:6368085#3:493902</t>
  </si>
  <si>
    <t>消耗道具为指定的炼神石</t>
  </si>
  <si>
    <t>炼神石ID写在全局配置表中</t>
  </si>
  <si>
    <t>精炼等级</t>
  </si>
  <si>
    <t>附加真实伤害</t>
  </si>
  <si>
    <t>道具数量上限</t>
  </si>
  <si>
    <t>说明啊</t>
  </si>
  <si>
    <t>这里的道具数量上限</t>
  </si>
  <si>
    <t>是一个累计值</t>
  </si>
  <si>
    <t>不是增加值</t>
  </si>
  <si>
    <t>1:</t>
  </si>
  <si>
    <t>#3:</t>
  </si>
  <si>
    <t>100</t>
  </si>
  <si>
    <t>120</t>
  </si>
  <si>
    <t>130</t>
  </si>
  <si>
    <t>150</t>
  </si>
  <si>
    <t>180</t>
  </si>
  <si>
    <t>300</t>
  </si>
  <si>
    <t>420</t>
  </si>
  <si>
    <t>540</t>
  </si>
  <si>
    <t>660</t>
  </si>
  <si>
    <t>780</t>
  </si>
  <si>
    <t>900</t>
  </si>
  <si>
    <t>1020</t>
  </si>
  <si>
    <t>1140</t>
  </si>
  <si>
    <t>1260</t>
  </si>
  <si>
    <t>1380</t>
  </si>
  <si>
    <t>1500</t>
  </si>
  <si>
    <t>1620</t>
  </si>
  <si>
    <t>1740</t>
  </si>
  <si>
    <t>1860</t>
  </si>
  <si>
    <t>1980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</si>
</sst>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NumberFormat="1"/>
    <xf numFmtId="49" fontId="0" fillId="0" borderId="0" xfId="0" applyNumberFormat="1"/>
    <xf numFmtId="0" fontId="1" fillId="2" borderId="0" xfId="22" applyAlignment="1"/>
    <xf numFmtId="0" fontId="0" fillId="3" borderId="0" xfId="0" applyFill="1"/>
    <xf numFmtId="0" fontId="0" fillId="3" borderId="0" xfId="0" applyNumberFormat="1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2" borderId="0" xfId="22" applyAlignment="1">
      <alignment horizontal="left"/>
    </xf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49" fontId="0" fillId="5" borderId="0" xfId="0" applyNumberFormat="1" applyFill="1" applyAlignment="1">
      <alignment horizontal="center"/>
    </xf>
    <xf numFmtId="0" fontId="0" fillId="5" borderId="0" xfId="0" applyFill="1" applyAlignment="1">
      <alignment horizontal="left"/>
    </xf>
    <xf numFmtId="0" fontId="0" fillId="0" borderId="0" xfId="0" applyAlignment="1"/>
    <xf numFmtId="0" fontId="3" fillId="6" borderId="0" xfId="0" applyFont="1" applyFill="1" applyAlignment="1">
      <alignment vertical="center" wrapText="1"/>
    </xf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H82" sqref="H82:H97"/>
    </sheetView>
  </sheetViews>
  <sheetFormatPr defaultColWidth="9" defaultRowHeight="15" outlineLevelRow="5" outlineLevelCol="5"/>
  <cols>
    <col min="1" max="3" width="12.6285714285714" customWidth="1"/>
    <col min="4" max="4" width="12.5047619047619" customWidth="1"/>
    <col min="5" max="5" width="26.5047619047619" customWidth="1"/>
    <col min="6" max="6" width="29.5047619047619" customWidth="1"/>
  </cols>
  <sheetData>
    <row r="1" spans="1:6">
      <c r="A1" s="8" t="s">
        <v>0</v>
      </c>
      <c r="B1" s="8" t="s">
        <v>1</v>
      </c>
      <c r="C1" s="9" t="s">
        <v>2</v>
      </c>
      <c r="D1" s="9" t="s">
        <v>3</v>
      </c>
      <c r="E1" s="21" t="s">
        <v>4</v>
      </c>
      <c r="F1" s="3" t="s">
        <v>5</v>
      </c>
    </row>
    <row r="2" spans="1:6">
      <c r="A2" s="8">
        <v>1</v>
      </c>
      <c r="B2" s="22" t="s">
        <v>6</v>
      </c>
      <c r="C2" s="9">
        <v>1001</v>
      </c>
      <c r="D2" s="9" t="s">
        <v>7</v>
      </c>
      <c r="E2" s="21" t="s">
        <v>8</v>
      </c>
      <c r="F2" s="21" t="s">
        <v>9</v>
      </c>
    </row>
    <row r="3" spans="1:6">
      <c r="A3" s="8">
        <v>2</v>
      </c>
      <c r="B3" s="22" t="s">
        <v>10</v>
      </c>
      <c r="C3" s="9">
        <v>1005</v>
      </c>
      <c r="D3" s="9" t="s">
        <v>11</v>
      </c>
      <c r="E3" s="23" t="s">
        <v>12</v>
      </c>
      <c r="F3" s="21" t="s">
        <v>13</v>
      </c>
    </row>
    <row r="4" spans="1:6">
      <c r="A4" s="8">
        <v>3</v>
      </c>
      <c r="B4" s="22" t="s">
        <v>14</v>
      </c>
      <c r="C4" s="9">
        <v>1003</v>
      </c>
      <c r="D4" s="9" t="s">
        <v>15</v>
      </c>
      <c r="E4" s="21" t="s">
        <v>16</v>
      </c>
      <c r="F4" s="21" t="s">
        <v>17</v>
      </c>
    </row>
    <row r="5" spans="1:6">
      <c r="A5" s="8">
        <v>4</v>
      </c>
      <c r="B5" s="22" t="s">
        <v>18</v>
      </c>
      <c r="C5" s="9">
        <v>1004</v>
      </c>
      <c r="D5" s="9" t="s">
        <v>19</v>
      </c>
      <c r="E5" s="21" t="s">
        <v>20</v>
      </c>
      <c r="F5" s="21" t="s">
        <v>21</v>
      </c>
    </row>
    <row r="6" spans="1:6">
      <c r="A6" s="8">
        <v>5</v>
      </c>
      <c r="B6" s="22" t="s">
        <v>22</v>
      </c>
      <c r="C6" s="9">
        <v>1002</v>
      </c>
      <c r="D6" s="9" t="s">
        <v>23</v>
      </c>
      <c r="E6" s="21" t="s">
        <v>24</v>
      </c>
      <c r="F6" s="21" t="s">
        <v>25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3"/>
  <sheetViews>
    <sheetView topLeftCell="C1" workbookViewId="0">
      <pane ySplit="1" topLeftCell="A2" activePane="bottomLeft" state="frozen"/>
      <selection/>
      <selection pane="bottomLeft" activeCell="H2" sqref="H2:H193"/>
    </sheetView>
  </sheetViews>
  <sheetFormatPr defaultColWidth="9" defaultRowHeight="15"/>
  <cols>
    <col min="1" max="2" width="15.247619047619" style="8" customWidth="1"/>
    <col min="3" max="3" width="15.247619047619" style="9" customWidth="1"/>
    <col min="4" max="6" width="15.247619047619" style="8" customWidth="1"/>
    <col min="7" max="7" width="13" style="8" customWidth="1"/>
    <col min="8" max="8" width="161.752380952381" style="10" customWidth="1"/>
    <col min="9" max="9" width="16" style="10" customWidth="1"/>
    <col min="10" max="10" width="21.3714285714286" style="10" customWidth="1"/>
    <col min="11" max="11" width="9" style="10"/>
    <col min="12" max="12" width="21.3714285714286" style="10" customWidth="1"/>
  </cols>
  <sheetData>
    <row r="1" spans="1:12">
      <c r="A1" s="8" t="s">
        <v>0</v>
      </c>
      <c r="B1" s="8" t="s">
        <v>26</v>
      </c>
      <c r="C1" s="9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11" t="s">
        <v>32</v>
      </c>
      <c r="I1" s="10" t="s">
        <v>33</v>
      </c>
      <c r="J1" s="10" t="s">
        <v>34</v>
      </c>
      <c r="K1" s="10" t="s">
        <v>35</v>
      </c>
      <c r="L1" s="10" t="s">
        <v>36</v>
      </c>
    </row>
    <row r="2" spans="1:12">
      <c r="A2" s="8">
        <v>1</v>
      </c>
      <c r="B2" s="8">
        <v>1</v>
      </c>
      <c r="C2" s="9">
        <v>1</v>
      </c>
      <c r="D2" s="8">
        <v>90010010</v>
      </c>
      <c r="E2" s="8">
        <v>2100</v>
      </c>
      <c r="F2" s="8">
        <v>4</v>
      </c>
      <c r="H2" s="12" t="s">
        <v>37</v>
      </c>
      <c r="I2" s="9">
        <v>1000000</v>
      </c>
      <c r="J2" s="9">
        <v>10</v>
      </c>
      <c r="K2" s="9"/>
      <c r="L2" s="9"/>
    </row>
    <row r="3" spans="1:12">
      <c r="A3" s="8">
        <v>2</v>
      </c>
      <c r="B3" s="8">
        <v>1</v>
      </c>
      <c r="C3" s="9">
        <v>2</v>
      </c>
      <c r="D3" s="8">
        <v>90010020</v>
      </c>
      <c r="E3" s="8">
        <v>2940</v>
      </c>
      <c r="F3" s="8">
        <v>6</v>
      </c>
      <c r="H3" s="10" t="s">
        <v>38</v>
      </c>
      <c r="I3" s="9">
        <v>1200000</v>
      </c>
      <c r="J3" s="9">
        <v>15</v>
      </c>
      <c r="K3" s="9"/>
      <c r="L3" s="9">
        <v>10</v>
      </c>
    </row>
    <row r="4" spans="1:12">
      <c r="A4" s="8">
        <v>3</v>
      </c>
      <c r="B4" s="8">
        <v>1</v>
      </c>
      <c r="C4" s="9">
        <v>3</v>
      </c>
      <c r="D4" s="8">
        <v>90010030</v>
      </c>
      <c r="E4" s="8">
        <v>4116</v>
      </c>
      <c r="F4" s="8">
        <v>8</v>
      </c>
      <c r="H4" s="10" t="s">
        <v>39</v>
      </c>
      <c r="I4" s="9">
        <v>1500000</v>
      </c>
      <c r="J4" s="9">
        <v>34</v>
      </c>
      <c r="K4" s="9"/>
      <c r="L4" s="9">
        <v>25</v>
      </c>
    </row>
    <row r="5" spans="1:12">
      <c r="A5" s="8">
        <v>4</v>
      </c>
      <c r="B5" s="8">
        <v>1</v>
      </c>
      <c r="C5" s="9">
        <v>4</v>
      </c>
      <c r="D5" s="8">
        <v>90010040</v>
      </c>
      <c r="E5" s="8">
        <v>5762</v>
      </c>
      <c r="F5" s="8">
        <v>10</v>
      </c>
      <c r="G5" s="8" t="s">
        <v>40</v>
      </c>
      <c r="H5" s="10" t="s">
        <v>41</v>
      </c>
      <c r="I5" s="9">
        <v>1800000</v>
      </c>
      <c r="J5" s="9">
        <v>53</v>
      </c>
      <c r="K5" s="9"/>
      <c r="L5" s="9">
        <f>L4+J4</f>
        <v>59</v>
      </c>
    </row>
    <row r="6" spans="1:12">
      <c r="A6" s="8">
        <v>5</v>
      </c>
      <c r="B6" s="8">
        <v>1</v>
      </c>
      <c r="C6" s="9">
        <v>5</v>
      </c>
      <c r="D6" s="8">
        <v>90010050</v>
      </c>
      <c r="E6" s="8">
        <v>8067</v>
      </c>
      <c r="F6" s="8">
        <v>12</v>
      </c>
      <c r="H6" s="10" t="s">
        <v>42</v>
      </c>
      <c r="I6" s="9">
        <v>2100000</v>
      </c>
      <c r="J6" s="9">
        <v>72</v>
      </c>
      <c r="K6" s="9"/>
      <c r="L6" s="9">
        <f t="shared" ref="L6:L33" si="0">L5+J5</f>
        <v>112</v>
      </c>
    </row>
    <row r="7" spans="1:12">
      <c r="A7" s="8">
        <v>6</v>
      </c>
      <c r="B7" s="8">
        <v>1</v>
      </c>
      <c r="C7" s="9">
        <v>6</v>
      </c>
      <c r="D7" s="8">
        <v>90010060</v>
      </c>
      <c r="E7" s="8">
        <v>11294</v>
      </c>
      <c r="F7" s="8">
        <v>14</v>
      </c>
      <c r="H7" s="10" t="s">
        <v>43</v>
      </c>
      <c r="I7" s="9">
        <v>2400000</v>
      </c>
      <c r="J7" s="9">
        <v>91</v>
      </c>
      <c r="K7" s="9"/>
      <c r="L7" s="9">
        <f t="shared" si="0"/>
        <v>184</v>
      </c>
    </row>
    <row r="8" spans="1:12">
      <c r="A8" s="8">
        <v>7</v>
      </c>
      <c r="B8" s="8">
        <v>1</v>
      </c>
      <c r="C8" s="9">
        <v>7</v>
      </c>
      <c r="D8" s="8">
        <v>90010070</v>
      </c>
      <c r="E8" s="8">
        <v>15812</v>
      </c>
      <c r="F8" s="8">
        <v>16</v>
      </c>
      <c r="H8" s="10" t="s">
        <v>44</v>
      </c>
      <c r="I8" s="9">
        <v>2700000</v>
      </c>
      <c r="J8" s="9">
        <v>110</v>
      </c>
      <c r="K8" s="9"/>
      <c r="L8" s="9">
        <f t="shared" si="0"/>
        <v>275</v>
      </c>
    </row>
    <row r="9" spans="1:12">
      <c r="A9" s="8">
        <v>8</v>
      </c>
      <c r="B9" s="8">
        <v>1</v>
      </c>
      <c r="C9" s="9">
        <v>8</v>
      </c>
      <c r="D9" s="8">
        <v>90010080</v>
      </c>
      <c r="E9" s="8">
        <v>22136</v>
      </c>
      <c r="F9" s="8">
        <v>18</v>
      </c>
      <c r="G9" s="8" t="s">
        <v>45</v>
      </c>
      <c r="H9" s="10" t="s">
        <v>46</v>
      </c>
      <c r="I9" s="9">
        <v>3000000</v>
      </c>
      <c r="J9" s="9">
        <v>129</v>
      </c>
      <c r="K9" s="9"/>
      <c r="L9" s="9">
        <f t="shared" si="0"/>
        <v>385</v>
      </c>
    </row>
    <row r="10" spans="1:12">
      <c r="A10" s="8">
        <v>9</v>
      </c>
      <c r="B10" s="8">
        <v>1</v>
      </c>
      <c r="C10" s="9">
        <v>9</v>
      </c>
      <c r="D10" s="8">
        <v>90010090</v>
      </c>
      <c r="E10" s="8">
        <v>30991</v>
      </c>
      <c r="F10" s="8">
        <v>20</v>
      </c>
      <c r="H10" s="10" t="s">
        <v>47</v>
      </c>
      <c r="I10" s="9">
        <v>3300000</v>
      </c>
      <c r="J10" s="9">
        <v>148</v>
      </c>
      <c r="K10" s="9"/>
      <c r="L10" s="9">
        <f t="shared" si="0"/>
        <v>514</v>
      </c>
    </row>
    <row r="11" spans="1:12">
      <c r="A11" s="8">
        <v>10</v>
      </c>
      <c r="B11" s="8">
        <v>1</v>
      </c>
      <c r="C11" s="9">
        <v>10</v>
      </c>
      <c r="D11" s="8">
        <v>90010100</v>
      </c>
      <c r="E11" s="8">
        <v>43388</v>
      </c>
      <c r="F11" s="8">
        <v>22</v>
      </c>
      <c r="H11" s="10" t="s">
        <v>48</v>
      </c>
      <c r="I11" s="9">
        <v>3600000</v>
      </c>
      <c r="J11" s="9">
        <v>167</v>
      </c>
      <c r="K11" s="9"/>
      <c r="L11" s="9">
        <f t="shared" si="0"/>
        <v>662</v>
      </c>
    </row>
    <row r="12" spans="1:12">
      <c r="A12" s="8">
        <v>11</v>
      </c>
      <c r="B12" s="8">
        <v>1</v>
      </c>
      <c r="C12" s="9">
        <v>11</v>
      </c>
      <c r="D12" s="8">
        <v>90010110</v>
      </c>
      <c r="E12" s="8">
        <v>60743</v>
      </c>
      <c r="F12" s="8">
        <v>24</v>
      </c>
      <c r="H12" s="10" t="s">
        <v>49</v>
      </c>
      <c r="I12" s="9">
        <v>3900000</v>
      </c>
      <c r="J12" s="9">
        <v>186</v>
      </c>
      <c r="K12" s="9"/>
      <c r="L12" s="9">
        <f t="shared" si="0"/>
        <v>829</v>
      </c>
    </row>
    <row r="13" spans="1:12">
      <c r="A13" s="8">
        <v>12</v>
      </c>
      <c r="B13" s="8">
        <v>1</v>
      </c>
      <c r="C13" s="9">
        <v>12</v>
      </c>
      <c r="D13" s="8">
        <v>90010120</v>
      </c>
      <c r="E13" s="8">
        <v>85040</v>
      </c>
      <c r="F13" s="8">
        <v>26</v>
      </c>
      <c r="G13" s="8" t="s">
        <v>50</v>
      </c>
      <c r="H13" s="10" t="s">
        <v>51</v>
      </c>
      <c r="I13" s="9">
        <v>4200000</v>
      </c>
      <c r="J13" s="9">
        <v>205</v>
      </c>
      <c r="K13" s="9"/>
      <c r="L13" s="9">
        <f t="shared" si="0"/>
        <v>1015</v>
      </c>
    </row>
    <row r="14" spans="1:12">
      <c r="A14" s="8">
        <v>13</v>
      </c>
      <c r="B14" s="8">
        <v>1</v>
      </c>
      <c r="C14" s="9">
        <v>13</v>
      </c>
      <c r="D14" s="8">
        <v>90010130</v>
      </c>
      <c r="E14" s="8">
        <v>119057</v>
      </c>
      <c r="F14" s="8">
        <v>28</v>
      </c>
      <c r="H14" s="10" t="s">
        <v>52</v>
      </c>
      <c r="I14" s="9">
        <v>4500000</v>
      </c>
      <c r="J14" s="9">
        <v>224</v>
      </c>
      <c r="K14" s="9"/>
      <c r="L14" s="9">
        <f t="shared" si="0"/>
        <v>1220</v>
      </c>
    </row>
    <row r="15" spans="1:12">
      <c r="A15" s="8">
        <v>14</v>
      </c>
      <c r="B15" s="8">
        <v>1</v>
      </c>
      <c r="C15" s="9">
        <v>14</v>
      </c>
      <c r="D15" s="8">
        <v>90010140</v>
      </c>
      <c r="E15" s="8">
        <v>166680</v>
      </c>
      <c r="F15" s="8">
        <v>29</v>
      </c>
      <c r="H15" s="10" t="s">
        <v>53</v>
      </c>
      <c r="I15" s="9">
        <v>4800000</v>
      </c>
      <c r="J15" s="9">
        <v>243</v>
      </c>
      <c r="K15" s="9"/>
      <c r="L15" s="9">
        <f t="shared" si="0"/>
        <v>1444</v>
      </c>
    </row>
    <row r="16" spans="1:12">
      <c r="A16" s="8">
        <v>15</v>
      </c>
      <c r="B16" s="8">
        <v>1</v>
      </c>
      <c r="C16" s="9">
        <v>15</v>
      </c>
      <c r="D16" s="8">
        <v>90010150</v>
      </c>
      <c r="E16" s="8">
        <v>233352</v>
      </c>
      <c r="F16" s="8">
        <v>30</v>
      </c>
      <c r="H16" s="10" t="s">
        <v>54</v>
      </c>
      <c r="I16" s="9">
        <v>5100000</v>
      </c>
      <c r="J16" s="9">
        <v>262</v>
      </c>
      <c r="K16" s="9"/>
      <c r="L16" s="9">
        <f t="shared" si="0"/>
        <v>1687</v>
      </c>
    </row>
    <row r="17" spans="1:12">
      <c r="A17" s="8">
        <v>16</v>
      </c>
      <c r="B17" s="8">
        <v>1</v>
      </c>
      <c r="C17" s="9">
        <v>16</v>
      </c>
      <c r="D17" s="8">
        <v>90010160</v>
      </c>
      <c r="E17" s="8">
        <v>259021</v>
      </c>
      <c r="F17" s="8">
        <f>F16+1</f>
        <v>31</v>
      </c>
      <c r="G17" s="13" t="s">
        <v>55</v>
      </c>
      <c r="H17" s="10" t="s">
        <v>56</v>
      </c>
      <c r="I17" s="9">
        <v>6100000</v>
      </c>
      <c r="J17" s="9">
        <v>281</v>
      </c>
      <c r="K17" s="9"/>
      <c r="L17" s="9">
        <f t="shared" si="0"/>
        <v>1949</v>
      </c>
    </row>
    <row r="18" spans="1:12">
      <c r="A18" s="8">
        <v>17</v>
      </c>
      <c r="B18" s="8">
        <v>1</v>
      </c>
      <c r="C18" s="9">
        <v>17</v>
      </c>
      <c r="D18" s="8">
        <v>90010170</v>
      </c>
      <c r="E18" s="8">
        <v>287513</v>
      </c>
      <c r="F18" s="8">
        <v>31</v>
      </c>
      <c r="H18" s="10" t="s">
        <v>57</v>
      </c>
      <c r="I18" s="9">
        <v>7100000</v>
      </c>
      <c r="J18" s="9">
        <v>300</v>
      </c>
      <c r="K18" s="9"/>
      <c r="L18" s="9">
        <f t="shared" si="0"/>
        <v>2230</v>
      </c>
    </row>
    <row r="19" spans="1:12">
      <c r="A19" s="8">
        <v>18</v>
      </c>
      <c r="B19" s="8">
        <v>1</v>
      </c>
      <c r="C19" s="9">
        <v>18</v>
      </c>
      <c r="D19" s="8">
        <v>90010180</v>
      </c>
      <c r="E19" s="8">
        <v>319139</v>
      </c>
      <c r="F19" s="8">
        <f>F17+1</f>
        <v>32</v>
      </c>
      <c r="H19" s="10" t="s">
        <v>58</v>
      </c>
      <c r="I19" s="9">
        <v>8100000</v>
      </c>
      <c r="J19" s="9">
        <v>319</v>
      </c>
      <c r="K19" s="9"/>
      <c r="L19" s="9">
        <f t="shared" si="0"/>
        <v>2530</v>
      </c>
    </row>
    <row r="20" spans="1:12">
      <c r="A20" s="8">
        <v>19</v>
      </c>
      <c r="B20" s="8">
        <v>1</v>
      </c>
      <c r="C20" s="9">
        <v>19</v>
      </c>
      <c r="D20" s="8">
        <v>90010190</v>
      </c>
      <c r="E20" s="8">
        <v>354244</v>
      </c>
      <c r="F20" s="8">
        <f t="shared" ref="F20:F31" si="1">F18+1</f>
        <v>32</v>
      </c>
      <c r="H20" s="10" t="s">
        <v>59</v>
      </c>
      <c r="I20" s="9">
        <v>9100000</v>
      </c>
      <c r="J20" s="9">
        <v>338</v>
      </c>
      <c r="K20" s="9"/>
      <c r="L20" s="9">
        <f t="shared" si="0"/>
        <v>2849</v>
      </c>
    </row>
    <row r="21" spans="1:12">
      <c r="A21" s="8">
        <v>20</v>
      </c>
      <c r="B21" s="8">
        <v>1</v>
      </c>
      <c r="C21" s="9">
        <v>20</v>
      </c>
      <c r="D21" s="8">
        <v>90010200</v>
      </c>
      <c r="E21" s="8">
        <v>393211</v>
      </c>
      <c r="F21" s="8">
        <f t="shared" si="1"/>
        <v>33</v>
      </c>
      <c r="G21" s="13" t="s">
        <v>60</v>
      </c>
      <c r="H21" s="10" t="s">
        <v>61</v>
      </c>
      <c r="I21" s="9">
        <v>10100000</v>
      </c>
      <c r="J21" s="9">
        <f>J20+19</f>
        <v>357</v>
      </c>
      <c r="K21" s="9"/>
      <c r="L21" s="9">
        <f t="shared" si="0"/>
        <v>3187</v>
      </c>
    </row>
    <row r="22" s="6" customFormat="1" spans="1:12">
      <c r="A22" s="8">
        <v>21</v>
      </c>
      <c r="B22" s="14">
        <f>B21</f>
        <v>1</v>
      </c>
      <c r="C22" s="15">
        <f>C21+1</f>
        <v>21</v>
      </c>
      <c r="D22" s="14">
        <f>D21+10</f>
        <v>90010210</v>
      </c>
      <c r="E22" s="8">
        <v>436464</v>
      </c>
      <c r="F22" s="14">
        <f t="shared" si="1"/>
        <v>33</v>
      </c>
      <c r="H22" s="16" t="s">
        <v>62</v>
      </c>
      <c r="I22" s="9">
        <v>11100000</v>
      </c>
      <c r="J22" s="9">
        <f t="shared" ref="J22:J33" si="2">J21+19</f>
        <v>376</v>
      </c>
      <c r="K22" s="9"/>
      <c r="L22" s="9">
        <f t="shared" si="0"/>
        <v>3544</v>
      </c>
    </row>
    <row r="23" s="6" customFormat="1" spans="1:12">
      <c r="A23" s="8">
        <v>22</v>
      </c>
      <c r="B23" s="14">
        <f t="shared" ref="B23:B33" si="3">B22</f>
        <v>1</v>
      </c>
      <c r="C23" s="15">
        <f t="shared" ref="C23:C33" si="4">C22+1</f>
        <v>22</v>
      </c>
      <c r="D23" s="14">
        <f t="shared" ref="D23:D33" si="5">D22+10</f>
        <v>90010220</v>
      </c>
      <c r="E23" s="8">
        <v>484475</v>
      </c>
      <c r="F23" s="14">
        <f t="shared" si="1"/>
        <v>34</v>
      </c>
      <c r="H23" s="16" t="s">
        <v>63</v>
      </c>
      <c r="I23" s="9">
        <v>12100000</v>
      </c>
      <c r="J23" s="9">
        <f t="shared" si="2"/>
        <v>395</v>
      </c>
      <c r="K23" s="9"/>
      <c r="L23" s="9">
        <f t="shared" si="0"/>
        <v>3920</v>
      </c>
    </row>
    <row r="24" s="6" customFormat="1" spans="1:12">
      <c r="A24" s="8">
        <v>23</v>
      </c>
      <c r="B24" s="14">
        <f t="shared" si="3"/>
        <v>1</v>
      </c>
      <c r="C24" s="15">
        <f t="shared" si="4"/>
        <v>23</v>
      </c>
      <c r="D24" s="14">
        <f t="shared" si="5"/>
        <v>90010230</v>
      </c>
      <c r="E24" s="8">
        <v>537767</v>
      </c>
      <c r="F24" s="14">
        <f t="shared" si="1"/>
        <v>34</v>
      </c>
      <c r="H24" s="16" t="s">
        <v>64</v>
      </c>
      <c r="I24" s="9">
        <v>13100000</v>
      </c>
      <c r="J24" s="9">
        <f t="shared" si="2"/>
        <v>414</v>
      </c>
      <c r="K24" s="9"/>
      <c r="L24" s="9">
        <f t="shared" si="0"/>
        <v>4315</v>
      </c>
    </row>
    <row r="25" s="6" customFormat="1" spans="1:12">
      <c r="A25" s="8">
        <v>24</v>
      </c>
      <c r="B25" s="14">
        <f t="shared" si="3"/>
        <v>1</v>
      </c>
      <c r="C25" s="15">
        <f t="shared" si="4"/>
        <v>24</v>
      </c>
      <c r="D25" s="14">
        <f t="shared" si="5"/>
        <v>90010240</v>
      </c>
      <c r="E25" s="8">
        <v>596921</v>
      </c>
      <c r="F25" s="14">
        <f t="shared" si="1"/>
        <v>35</v>
      </c>
      <c r="G25" s="13" t="s">
        <v>40</v>
      </c>
      <c r="H25" s="16" t="s">
        <v>65</v>
      </c>
      <c r="I25" s="9">
        <v>14100000</v>
      </c>
      <c r="J25" s="9">
        <f t="shared" si="2"/>
        <v>433</v>
      </c>
      <c r="K25" s="9"/>
      <c r="L25" s="9">
        <f t="shared" si="0"/>
        <v>4729</v>
      </c>
    </row>
    <row r="26" s="6" customFormat="1" spans="1:12">
      <c r="A26" s="8">
        <v>25</v>
      </c>
      <c r="B26" s="14">
        <f t="shared" si="3"/>
        <v>1</v>
      </c>
      <c r="C26" s="15">
        <f t="shared" si="4"/>
        <v>25</v>
      </c>
      <c r="D26" s="14">
        <f t="shared" si="5"/>
        <v>90010250</v>
      </c>
      <c r="E26" s="8">
        <v>662582</v>
      </c>
      <c r="F26" s="14">
        <f t="shared" si="1"/>
        <v>35</v>
      </c>
      <c r="H26" s="16" t="s">
        <v>66</v>
      </c>
      <c r="I26" s="9">
        <v>15100000</v>
      </c>
      <c r="J26" s="9">
        <f t="shared" si="2"/>
        <v>452</v>
      </c>
      <c r="K26" s="9"/>
      <c r="L26" s="9">
        <f t="shared" si="0"/>
        <v>5162</v>
      </c>
    </row>
    <row r="27" s="6" customFormat="1" spans="1:12">
      <c r="A27" s="8">
        <v>26</v>
      </c>
      <c r="B27" s="14">
        <f t="shared" si="3"/>
        <v>1</v>
      </c>
      <c r="C27" s="15">
        <f t="shared" si="4"/>
        <v>26</v>
      </c>
      <c r="D27" s="14">
        <f t="shared" si="5"/>
        <v>90010260</v>
      </c>
      <c r="E27" s="8">
        <v>735466</v>
      </c>
      <c r="F27" s="14">
        <f t="shared" si="1"/>
        <v>36</v>
      </c>
      <c r="H27" s="16" t="s">
        <v>67</v>
      </c>
      <c r="I27" s="9">
        <v>16100000</v>
      </c>
      <c r="J27" s="9">
        <f t="shared" si="2"/>
        <v>471</v>
      </c>
      <c r="K27" s="9"/>
      <c r="L27" s="9">
        <f t="shared" si="0"/>
        <v>5614</v>
      </c>
    </row>
    <row r="28" s="6" customFormat="1" spans="1:12">
      <c r="A28" s="8">
        <v>27</v>
      </c>
      <c r="B28" s="14">
        <f t="shared" si="3"/>
        <v>1</v>
      </c>
      <c r="C28" s="15">
        <f t="shared" si="4"/>
        <v>27</v>
      </c>
      <c r="D28" s="14">
        <f t="shared" si="5"/>
        <v>90010270</v>
      </c>
      <c r="E28" s="8">
        <v>816367</v>
      </c>
      <c r="F28" s="14">
        <f t="shared" si="1"/>
        <v>36</v>
      </c>
      <c r="G28" s="14"/>
      <c r="H28" s="16" t="s">
        <v>68</v>
      </c>
      <c r="I28" s="9">
        <v>17100000</v>
      </c>
      <c r="J28" s="9">
        <f t="shared" si="2"/>
        <v>490</v>
      </c>
      <c r="K28" s="9"/>
      <c r="L28" s="9">
        <f t="shared" si="0"/>
        <v>6085</v>
      </c>
    </row>
    <row r="29" s="6" customFormat="1" spans="1:12">
      <c r="A29" s="8">
        <v>28</v>
      </c>
      <c r="B29" s="14">
        <f t="shared" si="3"/>
        <v>1</v>
      </c>
      <c r="C29" s="15">
        <f t="shared" si="4"/>
        <v>28</v>
      </c>
      <c r="D29" s="14">
        <f t="shared" si="5"/>
        <v>90010280</v>
      </c>
      <c r="E29" s="8">
        <v>906167</v>
      </c>
      <c r="F29" s="14">
        <f t="shared" si="1"/>
        <v>37</v>
      </c>
      <c r="G29" s="13" t="s">
        <v>69</v>
      </c>
      <c r="H29" s="16" t="s">
        <v>70</v>
      </c>
      <c r="I29" s="9">
        <v>18100000</v>
      </c>
      <c r="J29" s="9">
        <f t="shared" si="2"/>
        <v>509</v>
      </c>
      <c r="K29" s="9"/>
      <c r="L29" s="9">
        <f t="shared" si="0"/>
        <v>6575</v>
      </c>
    </row>
    <row r="30" s="6" customFormat="1" spans="1:12">
      <c r="A30" s="8">
        <v>29</v>
      </c>
      <c r="B30" s="14">
        <f t="shared" si="3"/>
        <v>1</v>
      </c>
      <c r="C30" s="15">
        <f t="shared" si="4"/>
        <v>29</v>
      </c>
      <c r="D30" s="14">
        <f t="shared" si="5"/>
        <v>90010290</v>
      </c>
      <c r="E30" s="8">
        <v>1005845</v>
      </c>
      <c r="F30" s="14">
        <f t="shared" si="1"/>
        <v>37</v>
      </c>
      <c r="H30" s="16" t="s">
        <v>71</v>
      </c>
      <c r="I30" s="9">
        <v>19100000</v>
      </c>
      <c r="J30" s="9">
        <f t="shared" si="2"/>
        <v>528</v>
      </c>
      <c r="K30" s="9"/>
      <c r="L30" s="9">
        <f t="shared" si="0"/>
        <v>7084</v>
      </c>
    </row>
    <row r="31" s="6" customFormat="1" spans="1:12">
      <c r="A31" s="8">
        <v>30</v>
      </c>
      <c r="B31" s="14">
        <f t="shared" si="3"/>
        <v>1</v>
      </c>
      <c r="C31" s="15">
        <f t="shared" si="4"/>
        <v>30</v>
      </c>
      <c r="D31" s="14">
        <f t="shared" si="5"/>
        <v>90010300</v>
      </c>
      <c r="E31" s="8">
        <v>1116488</v>
      </c>
      <c r="F31" s="14">
        <f t="shared" si="1"/>
        <v>38</v>
      </c>
      <c r="G31" s="14"/>
      <c r="H31" s="16" t="s">
        <v>72</v>
      </c>
      <c r="I31" s="9">
        <v>20100000</v>
      </c>
      <c r="J31" s="9">
        <f t="shared" si="2"/>
        <v>547</v>
      </c>
      <c r="K31" s="9"/>
      <c r="L31" s="9">
        <f t="shared" si="0"/>
        <v>7612</v>
      </c>
    </row>
    <row r="32" s="6" customFormat="1" spans="1:12">
      <c r="A32" s="8">
        <v>31</v>
      </c>
      <c r="B32" s="14">
        <f t="shared" si="3"/>
        <v>1</v>
      </c>
      <c r="C32" s="15">
        <f t="shared" si="4"/>
        <v>31</v>
      </c>
      <c r="D32" s="14">
        <f t="shared" si="5"/>
        <v>90010310</v>
      </c>
      <c r="E32" s="8">
        <v>1239302</v>
      </c>
      <c r="F32" s="14">
        <v>39</v>
      </c>
      <c r="G32" s="14"/>
      <c r="H32" s="16" t="s">
        <v>73</v>
      </c>
      <c r="I32" s="9">
        <v>21100000</v>
      </c>
      <c r="J32" s="9">
        <f t="shared" si="2"/>
        <v>566</v>
      </c>
      <c r="K32" s="9"/>
      <c r="L32" s="9">
        <f t="shared" si="0"/>
        <v>8159</v>
      </c>
    </row>
    <row r="33" s="6" customFormat="1" spans="1:12">
      <c r="A33" s="8">
        <v>32</v>
      </c>
      <c r="B33" s="14">
        <f t="shared" si="3"/>
        <v>1</v>
      </c>
      <c r="C33" s="15">
        <f t="shared" si="4"/>
        <v>32</v>
      </c>
      <c r="D33" s="14">
        <f t="shared" si="5"/>
        <v>90010320</v>
      </c>
      <c r="E33" s="8">
        <v>1375625</v>
      </c>
      <c r="F33" s="14">
        <v>40</v>
      </c>
      <c r="G33" s="13" t="s">
        <v>74</v>
      </c>
      <c r="H33" s="16" t="s">
        <v>75</v>
      </c>
      <c r="I33" s="9">
        <v>22100000</v>
      </c>
      <c r="J33" s="9">
        <f t="shared" si="2"/>
        <v>585</v>
      </c>
      <c r="K33" s="9">
        <v>1</v>
      </c>
      <c r="L33" s="9">
        <f t="shared" si="0"/>
        <v>8725</v>
      </c>
    </row>
    <row r="34" spans="1:12">
      <c r="A34" s="8">
        <v>33</v>
      </c>
      <c r="B34" s="8">
        <v>2</v>
      </c>
      <c r="C34" s="9">
        <v>1</v>
      </c>
      <c r="D34" s="8">
        <v>90020010</v>
      </c>
      <c r="E34" s="8">
        <v>2100</v>
      </c>
      <c r="F34" s="8">
        <v>4</v>
      </c>
      <c r="H34" s="10" t="s">
        <v>76</v>
      </c>
      <c r="I34" s="9">
        <v>1000000</v>
      </c>
      <c r="J34" s="9">
        <v>10</v>
      </c>
      <c r="K34" s="9"/>
      <c r="L34" s="9"/>
    </row>
    <row r="35" spans="1:12">
      <c r="A35" s="8">
        <v>34</v>
      </c>
      <c r="B35" s="8">
        <v>2</v>
      </c>
      <c r="C35" s="9">
        <v>2</v>
      </c>
      <c r="D35" s="8">
        <v>90020020</v>
      </c>
      <c r="E35" s="8">
        <v>2940</v>
      </c>
      <c r="F35" s="8">
        <v>6</v>
      </c>
      <c r="H35" s="10" t="s">
        <v>77</v>
      </c>
      <c r="I35" s="9">
        <v>1200000</v>
      </c>
      <c r="J35" s="9">
        <v>15</v>
      </c>
      <c r="K35" s="9"/>
      <c r="L35" s="9">
        <v>10</v>
      </c>
    </row>
    <row r="36" spans="1:12">
      <c r="A36" s="8">
        <v>35</v>
      </c>
      <c r="B36" s="8">
        <v>2</v>
      </c>
      <c r="C36" s="9">
        <v>3</v>
      </c>
      <c r="D36" s="8">
        <v>90020030</v>
      </c>
      <c r="E36" s="8">
        <v>4116</v>
      </c>
      <c r="F36" s="8">
        <v>8</v>
      </c>
      <c r="H36" s="10" t="s">
        <v>78</v>
      </c>
      <c r="I36" s="9">
        <v>1500000</v>
      </c>
      <c r="J36" s="9">
        <v>34</v>
      </c>
      <c r="K36" s="9"/>
      <c r="L36" s="9">
        <v>25</v>
      </c>
    </row>
    <row r="37" spans="1:12">
      <c r="A37" s="8">
        <v>36</v>
      </c>
      <c r="B37" s="8">
        <v>2</v>
      </c>
      <c r="C37" s="9">
        <v>4</v>
      </c>
      <c r="D37" s="8">
        <v>90020040</v>
      </c>
      <c r="E37" s="8">
        <v>5762</v>
      </c>
      <c r="F37" s="8">
        <v>10</v>
      </c>
      <c r="G37" s="8" t="s">
        <v>79</v>
      </c>
      <c r="H37" s="10" t="s">
        <v>80</v>
      </c>
      <c r="I37" s="9">
        <v>1800000</v>
      </c>
      <c r="J37" s="9">
        <v>53</v>
      </c>
      <c r="K37" s="9"/>
      <c r="L37" s="9">
        <f>L36+J36</f>
        <v>59</v>
      </c>
    </row>
    <row r="38" spans="1:12">
      <c r="A38" s="8">
        <v>37</v>
      </c>
      <c r="B38" s="8">
        <v>2</v>
      </c>
      <c r="C38" s="9">
        <v>5</v>
      </c>
      <c r="D38" s="8">
        <v>90020050</v>
      </c>
      <c r="E38" s="8">
        <v>8067</v>
      </c>
      <c r="F38" s="8">
        <v>12</v>
      </c>
      <c r="H38" s="10" t="s">
        <v>81</v>
      </c>
      <c r="I38" s="9">
        <v>2100000</v>
      </c>
      <c r="J38" s="9">
        <v>72</v>
      </c>
      <c r="K38" s="9"/>
      <c r="L38" s="9">
        <f t="shared" ref="L38:L65" si="6">L37+J37</f>
        <v>112</v>
      </c>
    </row>
    <row r="39" spans="1:12">
      <c r="A39" s="8">
        <v>38</v>
      </c>
      <c r="B39" s="8">
        <v>2</v>
      </c>
      <c r="C39" s="9">
        <v>6</v>
      </c>
      <c r="D39" s="8">
        <v>90020060</v>
      </c>
      <c r="E39" s="8">
        <v>11294</v>
      </c>
      <c r="F39" s="8">
        <v>14</v>
      </c>
      <c r="H39" s="10" t="s">
        <v>82</v>
      </c>
      <c r="I39" s="9">
        <v>2400000</v>
      </c>
      <c r="J39" s="9">
        <v>91</v>
      </c>
      <c r="K39" s="9"/>
      <c r="L39" s="9">
        <f t="shared" si="6"/>
        <v>184</v>
      </c>
    </row>
    <row r="40" spans="1:12">
      <c r="A40" s="8">
        <v>39</v>
      </c>
      <c r="B40" s="8">
        <v>2</v>
      </c>
      <c r="C40" s="9">
        <v>7</v>
      </c>
      <c r="D40" s="8">
        <v>90020070</v>
      </c>
      <c r="E40" s="8">
        <v>15812</v>
      </c>
      <c r="F40" s="8">
        <v>16</v>
      </c>
      <c r="H40" s="10" t="s">
        <v>83</v>
      </c>
      <c r="I40" s="9">
        <v>2700000</v>
      </c>
      <c r="J40" s="9">
        <v>110</v>
      </c>
      <c r="K40" s="9"/>
      <c r="L40" s="9">
        <f t="shared" si="6"/>
        <v>275</v>
      </c>
    </row>
    <row r="41" spans="1:12">
      <c r="A41" s="8">
        <v>40</v>
      </c>
      <c r="B41" s="8">
        <v>2</v>
      </c>
      <c r="C41" s="9">
        <v>8</v>
      </c>
      <c r="D41" s="8">
        <v>90020080</v>
      </c>
      <c r="E41" s="8">
        <v>22136</v>
      </c>
      <c r="F41" s="8">
        <v>18</v>
      </c>
      <c r="G41" s="8" t="s">
        <v>84</v>
      </c>
      <c r="H41" s="10" t="s">
        <v>85</v>
      </c>
      <c r="I41" s="9">
        <v>3000000</v>
      </c>
      <c r="J41" s="9">
        <v>129</v>
      </c>
      <c r="K41" s="9"/>
      <c r="L41" s="9">
        <f t="shared" si="6"/>
        <v>385</v>
      </c>
    </row>
    <row r="42" spans="1:12">
      <c r="A42" s="8">
        <v>41</v>
      </c>
      <c r="B42" s="8">
        <v>2</v>
      </c>
      <c r="C42" s="9">
        <v>9</v>
      </c>
      <c r="D42" s="8">
        <v>90020090</v>
      </c>
      <c r="E42" s="8">
        <v>30991</v>
      </c>
      <c r="F42" s="8">
        <v>20</v>
      </c>
      <c r="H42" s="10" t="s">
        <v>86</v>
      </c>
      <c r="I42" s="9">
        <v>3300000</v>
      </c>
      <c r="J42" s="9">
        <v>148</v>
      </c>
      <c r="K42" s="9"/>
      <c r="L42" s="9">
        <f t="shared" si="6"/>
        <v>514</v>
      </c>
    </row>
    <row r="43" spans="1:12">
      <c r="A43" s="8">
        <v>42</v>
      </c>
      <c r="B43" s="8">
        <v>2</v>
      </c>
      <c r="C43" s="9">
        <v>10</v>
      </c>
      <c r="D43" s="8">
        <v>90020100</v>
      </c>
      <c r="E43" s="8">
        <v>43388</v>
      </c>
      <c r="F43" s="8">
        <v>22</v>
      </c>
      <c r="H43" s="10" t="s">
        <v>87</v>
      </c>
      <c r="I43" s="9">
        <v>3600000</v>
      </c>
      <c r="J43" s="9">
        <v>167</v>
      </c>
      <c r="K43" s="9"/>
      <c r="L43" s="9">
        <f t="shared" si="6"/>
        <v>662</v>
      </c>
    </row>
    <row r="44" spans="1:12">
      <c r="A44" s="8">
        <v>43</v>
      </c>
      <c r="B44" s="8">
        <v>2</v>
      </c>
      <c r="C44" s="9">
        <v>11</v>
      </c>
      <c r="D44" s="8">
        <v>90020110</v>
      </c>
      <c r="E44" s="8">
        <v>60743</v>
      </c>
      <c r="F44" s="8">
        <v>24</v>
      </c>
      <c r="H44" s="10" t="s">
        <v>88</v>
      </c>
      <c r="I44" s="9">
        <v>3900000</v>
      </c>
      <c r="J44" s="9">
        <v>186</v>
      </c>
      <c r="K44" s="9"/>
      <c r="L44" s="9">
        <f t="shared" si="6"/>
        <v>829</v>
      </c>
    </row>
    <row r="45" spans="1:12">
      <c r="A45" s="8">
        <v>44</v>
      </c>
      <c r="B45" s="8">
        <v>2</v>
      </c>
      <c r="C45" s="9">
        <v>12</v>
      </c>
      <c r="D45" s="8">
        <v>90020120</v>
      </c>
      <c r="E45" s="8">
        <v>85040</v>
      </c>
      <c r="F45" s="8">
        <v>26</v>
      </c>
      <c r="G45" s="8" t="s">
        <v>50</v>
      </c>
      <c r="H45" s="10" t="s">
        <v>89</v>
      </c>
      <c r="I45" s="9">
        <v>4200000</v>
      </c>
      <c r="J45" s="9">
        <v>205</v>
      </c>
      <c r="K45" s="9"/>
      <c r="L45" s="9">
        <f t="shared" si="6"/>
        <v>1015</v>
      </c>
    </row>
    <row r="46" spans="1:12">
      <c r="A46" s="8">
        <v>45</v>
      </c>
      <c r="B46" s="8">
        <v>2</v>
      </c>
      <c r="C46" s="9">
        <v>13</v>
      </c>
      <c r="D46" s="8">
        <v>90020130</v>
      </c>
      <c r="E46" s="8">
        <v>119057</v>
      </c>
      <c r="F46" s="8">
        <v>28</v>
      </c>
      <c r="H46" s="10" t="s">
        <v>90</v>
      </c>
      <c r="I46" s="9">
        <v>4500000</v>
      </c>
      <c r="J46" s="9">
        <v>224</v>
      </c>
      <c r="K46" s="9"/>
      <c r="L46" s="9">
        <f t="shared" si="6"/>
        <v>1220</v>
      </c>
    </row>
    <row r="47" spans="1:12">
      <c r="A47" s="8">
        <v>46</v>
      </c>
      <c r="B47" s="8">
        <v>2</v>
      </c>
      <c r="C47" s="9">
        <v>14</v>
      </c>
      <c r="D47" s="8">
        <v>90020140</v>
      </c>
      <c r="E47" s="8">
        <v>166680</v>
      </c>
      <c r="F47" s="8">
        <v>29</v>
      </c>
      <c r="H47" s="10" t="s">
        <v>91</v>
      </c>
      <c r="I47" s="9">
        <v>4800000</v>
      </c>
      <c r="J47" s="9">
        <v>243</v>
      </c>
      <c r="K47" s="9"/>
      <c r="L47" s="9">
        <f t="shared" si="6"/>
        <v>1444</v>
      </c>
    </row>
    <row r="48" spans="1:12">
      <c r="A48" s="8">
        <v>47</v>
      </c>
      <c r="B48" s="8">
        <v>2</v>
      </c>
      <c r="C48" s="9">
        <v>15</v>
      </c>
      <c r="D48" s="8">
        <v>90020150</v>
      </c>
      <c r="E48" s="8">
        <v>233352</v>
      </c>
      <c r="F48" s="8">
        <v>30</v>
      </c>
      <c r="H48" s="10" t="s">
        <v>92</v>
      </c>
      <c r="I48" s="9">
        <v>5100000</v>
      </c>
      <c r="J48" s="9">
        <v>262</v>
      </c>
      <c r="K48" s="9"/>
      <c r="L48" s="9">
        <f t="shared" si="6"/>
        <v>1687</v>
      </c>
    </row>
    <row r="49" spans="1:12">
      <c r="A49" s="8">
        <v>48</v>
      </c>
      <c r="B49" s="8">
        <v>2</v>
      </c>
      <c r="C49" s="9">
        <v>16</v>
      </c>
      <c r="D49" s="8">
        <v>90020160</v>
      </c>
      <c r="E49" s="8">
        <v>259021</v>
      </c>
      <c r="F49" s="8">
        <f>F48+1</f>
        <v>31</v>
      </c>
      <c r="G49" s="13" t="s">
        <v>79</v>
      </c>
      <c r="H49" s="10" t="s">
        <v>93</v>
      </c>
      <c r="I49" s="9">
        <v>6100000</v>
      </c>
      <c r="J49" s="9">
        <v>281</v>
      </c>
      <c r="K49" s="9"/>
      <c r="L49" s="9">
        <f t="shared" si="6"/>
        <v>1949</v>
      </c>
    </row>
    <row r="50" spans="1:12">
      <c r="A50" s="8">
        <v>49</v>
      </c>
      <c r="B50" s="8">
        <v>2</v>
      </c>
      <c r="C50" s="9">
        <v>17</v>
      </c>
      <c r="D50" s="8">
        <v>90020170</v>
      </c>
      <c r="E50" s="8">
        <v>287513</v>
      </c>
      <c r="F50" s="8">
        <v>31</v>
      </c>
      <c r="H50" s="10" t="s">
        <v>94</v>
      </c>
      <c r="I50" s="9">
        <v>7100000</v>
      </c>
      <c r="J50" s="9">
        <v>300</v>
      </c>
      <c r="K50" s="9"/>
      <c r="L50" s="9">
        <f t="shared" si="6"/>
        <v>2230</v>
      </c>
    </row>
    <row r="51" spans="1:12">
      <c r="A51" s="8">
        <v>50</v>
      </c>
      <c r="B51" s="8">
        <v>2</v>
      </c>
      <c r="C51" s="9">
        <v>18</v>
      </c>
      <c r="D51" s="8">
        <v>90020180</v>
      </c>
      <c r="E51" s="8">
        <v>319139</v>
      </c>
      <c r="F51" s="8">
        <f>F49+1</f>
        <v>32</v>
      </c>
      <c r="H51" s="10" t="s">
        <v>95</v>
      </c>
      <c r="I51" s="9">
        <v>8100000</v>
      </c>
      <c r="J51" s="9">
        <v>319</v>
      </c>
      <c r="K51" s="9"/>
      <c r="L51" s="9">
        <f t="shared" si="6"/>
        <v>2530</v>
      </c>
    </row>
    <row r="52" spans="1:12">
      <c r="A52" s="8">
        <v>51</v>
      </c>
      <c r="B52" s="8">
        <v>2</v>
      </c>
      <c r="C52" s="9">
        <v>19</v>
      </c>
      <c r="D52" s="8">
        <v>90020190</v>
      </c>
      <c r="E52" s="8">
        <v>354244</v>
      </c>
      <c r="F52" s="8">
        <f t="shared" ref="F52:F63" si="7">F50+1</f>
        <v>32</v>
      </c>
      <c r="H52" s="10" t="s">
        <v>96</v>
      </c>
      <c r="I52" s="9">
        <v>9100000</v>
      </c>
      <c r="J52" s="9">
        <v>338</v>
      </c>
      <c r="K52" s="9"/>
      <c r="L52" s="9">
        <f t="shared" si="6"/>
        <v>2849</v>
      </c>
    </row>
    <row r="53" spans="1:12">
      <c r="A53" s="8">
        <v>52</v>
      </c>
      <c r="B53" s="8">
        <v>2</v>
      </c>
      <c r="C53" s="9">
        <v>20</v>
      </c>
      <c r="D53" s="8">
        <v>90020200</v>
      </c>
      <c r="E53" s="8">
        <v>393211</v>
      </c>
      <c r="F53" s="8">
        <f t="shared" si="7"/>
        <v>33</v>
      </c>
      <c r="G53" s="13" t="s">
        <v>84</v>
      </c>
      <c r="H53" s="10" t="s">
        <v>97</v>
      </c>
      <c r="I53" s="9">
        <v>10100000</v>
      </c>
      <c r="J53" s="9">
        <f>J52+19</f>
        <v>357</v>
      </c>
      <c r="K53" s="9"/>
      <c r="L53" s="9">
        <f t="shared" si="6"/>
        <v>3187</v>
      </c>
    </row>
    <row r="54" spans="1:12">
      <c r="A54" s="8">
        <v>53</v>
      </c>
      <c r="B54" s="14">
        <f t="shared" ref="B54:B65" si="8">B53</f>
        <v>2</v>
      </c>
      <c r="C54" s="9">
        <v>21</v>
      </c>
      <c r="D54" s="14">
        <f>D53+10</f>
        <v>90020210</v>
      </c>
      <c r="E54" s="8">
        <v>436464</v>
      </c>
      <c r="F54" s="14">
        <f t="shared" si="7"/>
        <v>33</v>
      </c>
      <c r="H54" s="10" t="s">
        <v>98</v>
      </c>
      <c r="I54" s="9">
        <v>11100000</v>
      </c>
      <c r="J54" s="9">
        <f t="shared" ref="J54:J65" si="9">J53+19</f>
        <v>376</v>
      </c>
      <c r="K54" s="9"/>
      <c r="L54" s="9">
        <f t="shared" si="6"/>
        <v>3544</v>
      </c>
    </row>
    <row r="55" spans="1:12">
      <c r="A55" s="8">
        <v>54</v>
      </c>
      <c r="B55" s="14">
        <f t="shared" si="8"/>
        <v>2</v>
      </c>
      <c r="C55" s="9">
        <v>22</v>
      </c>
      <c r="D55" s="14">
        <f t="shared" ref="D55:D65" si="10">D54+10</f>
        <v>90020220</v>
      </c>
      <c r="E55" s="8">
        <v>484475</v>
      </c>
      <c r="F55" s="14">
        <f t="shared" si="7"/>
        <v>34</v>
      </c>
      <c r="H55" s="10" t="s">
        <v>99</v>
      </c>
      <c r="I55" s="9">
        <v>12100000</v>
      </c>
      <c r="J55" s="9">
        <f t="shared" si="9"/>
        <v>395</v>
      </c>
      <c r="K55" s="9"/>
      <c r="L55" s="9">
        <f t="shared" si="6"/>
        <v>3920</v>
      </c>
    </row>
    <row r="56" spans="1:12">
      <c r="A56" s="8">
        <v>55</v>
      </c>
      <c r="B56" s="14">
        <f t="shared" si="8"/>
        <v>2</v>
      </c>
      <c r="C56" s="9">
        <v>23</v>
      </c>
      <c r="D56" s="14">
        <f t="shared" si="10"/>
        <v>90020230</v>
      </c>
      <c r="E56" s="8">
        <v>537767</v>
      </c>
      <c r="F56" s="14">
        <f t="shared" si="7"/>
        <v>34</v>
      </c>
      <c r="H56" s="10" t="s">
        <v>100</v>
      </c>
      <c r="I56" s="9">
        <v>13100000</v>
      </c>
      <c r="J56" s="9">
        <f t="shared" si="9"/>
        <v>414</v>
      </c>
      <c r="K56" s="9"/>
      <c r="L56" s="9">
        <f t="shared" si="6"/>
        <v>4315</v>
      </c>
    </row>
    <row r="57" spans="1:12">
      <c r="A57" s="8">
        <v>56</v>
      </c>
      <c r="B57" s="14">
        <f t="shared" si="8"/>
        <v>2</v>
      </c>
      <c r="C57" s="9">
        <v>24</v>
      </c>
      <c r="D57" s="14">
        <f t="shared" si="10"/>
        <v>90020240</v>
      </c>
      <c r="E57" s="8">
        <v>596921</v>
      </c>
      <c r="F57" s="14">
        <f t="shared" si="7"/>
        <v>35</v>
      </c>
      <c r="G57" s="13" t="s">
        <v>101</v>
      </c>
      <c r="H57" s="10" t="s">
        <v>102</v>
      </c>
      <c r="I57" s="9">
        <v>14100000</v>
      </c>
      <c r="J57" s="9">
        <f t="shared" si="9"/>
        <v>433</v>
      </c>
      <c r="K57" s="9"/>
      <c r="L57" s="9">
        <f t="shared" si="6"/>
        <v>4729</v>
      </c>
    </row>
    <row r="58" spans="1:12">
      <c r="A58" s="8">
        <v>57</v>
      </c>
      <c r="B58" s="14">
        <f t="shared" si="8"/>
        <v>2</v>
      </c>
      <c r="C58" s="9">
        <v>25</v>
      </c>
      <c r="D58" s="14">
        <f t="shared" si="10"/>
        <v>90020250</v>
      </c>
      <c r="E58" s="8">
        <v>662582</v>
      </c>
      <c r="F58" s="14">
        <f t="shared" si="7"/>
        <v>35</v>
      </c>
      <c r="H58" s="10" t="s">
        <v>103</v>
      </c>
      <c r="I58" s="9">
        <v>15100000</v>
      </c>
      <c r="J58" s="9">
        <f t="shared" si="9"/>
        <v>452</v>
      </c>
      <c r="K58" s="9"/>
      <c r="L58" s="9">
        <f t="shared" si="6"/>
        <v>5162</v>
      </c>
    </row>
    <row r="59" spans="1:12">
      <c r="A59" s="8">
        <v>58</v>
      </c>
      <c r="B59" s="14">
        <f t="shared" si="8"/>
        <v>2</v>
      </c>
      <c r="C59" s="9">
        <v>26</v>
      </c>
      <c r="D59" s="14">
        <f t="shared" si="10"/>
        <v>90020260</v>
      </c>
      <c r="E59" s="8">
        <v>735466</v>
      </c>
      <c r="F59" s="14">
        <f t="shared" si="7"/>
        <v>36</v>
      </c>
      <c r="H59" s="10" t="s">
        <v>104</v>
      </c>
      <c r="I59" s="9">
        <v>16100000</v>
      </c>
      <c r="J59" s="9">
        <f t="shared" si="9"/>
        <v>471</v>
      </c>
      <c r="K59" s="9"/>
      <c r="L59" s="9">
        <f t="shared" si="6"/>
        <v>5614</v>
      </c>
    </row>
    <row r="60" spans="1:12">
      <c r="A60" s="8">
        <v>59</v>
      </c>
      <c r="B60" s="14">
        <f t="shared" si="8"/>
        <v>2</v>
      </c>
      <c r="C60" s="9">
        <v>27</v>
      </c>
      <c r="D60" s="14">
        <f t="shared" si="10"/>
        <v>90020270</v>
      </c>
      <c r="E60" s="8">
        <v>816367</v>
      </c>
      <c r="F60" s="14">
        <f t="shared" si="7"/>
        <v>36</v>
      </c>
      <c r="H60" s="10" t="s">
        <v>105</v>
      </c>
      <c r="I60" s="9">
        <v>17100000</v>
      </c>
      <c r="J60" s="9">
        <f t="shared" si="9"/>
        <v>490</v>
      </c>
      <c r="K60" s="9"/>
      <c r="L60" s="9">
        <f t="shared" si="6"/>
        <v>6085</v>
      </c>
    </row>
    <row r="61" spans="1:12">
      <c r="A61" s="8">
        <v>60</v>
      </c>
      <c r="B61" s="14">
        <f t="shared" si="8"/>
        <v>2</v>
      </c>
      <c r="C61" s="9">
        <v>28</v>
      </c>
      <c r="D61" s="14">
        <f t="shared" si="10"/>
        <v>90020280</v>
      </c>
      <c r="E61" s="8">
        <v>906167</v>
      </c>
      <c r="F61" s="14">
        <f t="shared" si="7"/>
        <v>37</v>
      </c>
      <c r="G61" s="13" t="s">
        <v>106</v>
      </c>
      <c r="H61" s="10" t="s">
        <v>107</v>
      </c>
      <c r="I61" s="9">
        <v>18100000</v>
      </c>
      <c r="J61" s="9">
        <f t="shared" si="9"/>
        <v>509</v>
      </c>
      <c r="K61" s="9"/>
      <c r="L61" s="9">
        <f t="shared" si="6"/>
        <v>6575</v>
      </c>
    </row>
    <row r="62" spans="1:12">
      <c r="A62" s="8">
        <v>61</v>
      </c>
      <c r="B62" s="14">
        <f t="shared" si="8"/>
        <v>2</v>
      </c>
      <c r="C62" s="9">
        <v>29</v>
      </c>
      <c r="D62" s="14">
        <f t="shared" si="10"/>
        <v>90020290</v>
      </c>
      <c r="E62" s="8">
        <v>1005845</v>
      </c>
      <c r="F62" s="14">
        <f t="shared" si="7"/>
        <v>37</v>
      </c>
      <c r="H62" s="10" t="s">
        <v>108</v>
      </c>
      <c r="I62" s="9">
        <v>19100000</v>
      </c>
      <c r="J62" s="9">
        <f t="shared" si="9"/>
        <v>528</v>
      </c>
      <c r="K62" s="9"/>
      <c r="L62" s="9">
        <f t="shared" si="6"/>
        <v>7084</v>
      </c>
    </row>
    <row r="63" spans="1:12">
      <c r="A63" s="8">
        <v>62</v>
      </c>
      <c r="B63" s="14">
        <f t="shared" si="8"/>
        <v>2</v>
      </c>
      <c r="C63" s="9">
        <v>30</v>
      </c>
      <c r="D63" s="14">
        <f t="shared" si="10"/>
        <v>90020300</v>
      </c>
      <c r="E63" s="8">
        <v>1116488</v>
      </c>
      <c r="F63" s="14">
        <f t="shared" si="7"/>
        <v>38</v>
      </c>
      <c r="H63" s="10" t="s">
        <v>109</v>
      </c>
      <c r="I63" s="9">
        <v>20100000</v>
      </c>
      <c r="J63" s="9">
        <f t="shared" si="9"/>
        <v>547</v>
      </c>
      <c r="K63" s="9"/>
      <c r="L63" s="9">
        <f t="shared" si="6"/>
        <v>7612</v>
      </c>
    </row>
    <row r="64" spans="1:12">
      <c r="A64" s="8">
        <v>63</v>
      </c>
      <c r="B64" s="14">
        <f t="shared" si="8"/>
        <v>2</v>
      </c>
      <c r="C64" s="9">
        <v>31</v>
      </c>
      <c r="D64" s="14">
        <f t="shared" si="10"/>
        <v>90020310</v>
      </c>
      <c r="E64" s="8">
        <v>1239302</v>
      </c>
      <c r="F64" s="14">
        <v>39</v>
      </c>
      <c r="H64" s="10" t="s">
        <v>110</v>
      </c>
      <c r="I64" s="9">
        <v>21100000</v>
      </c>
      <c r="J64" s="9">
        <f t="shared" si="9"/>
        <v>566</v>
      </c>
      <c r="K64" s="9"/>
      <c r="L64" s="9">
        <f t="shared" si="6"/>
        <v>8159</v>
      </c>
    </row>
    <row r="65" spans="1:12">
      <c r="A65" s="8">
        <v>64</v>
      </c>
      <c r="B65" s="14">
        <f t="shared" si="8"/>
        <v>2</v>
      </c>
      <c r="C65" s="9">
        <v>32</v>
      </c>
      <c r="D65" s="14">
        <f t="shared" si="10"/>
        <v>90020320</v>
      </c>
      <c r="E65" s="8">
        <v>1375625</v>
      </c>
      <c r="F65" s="14">
        <v>40</v>
      </c>
      <c r="G65" s="13" t="s">
        <v>111</v>
      </c>
      <c r="H65" s="10" t="s">
        <v>112</v>
      </c>
      <c r="I65" s="9">
        <v>22100000</v>
      </c>
      <c r="J65" s="9">
        <f t="shared" si="9"/>
        <v>585</v>
      </c>
      <c r="K65" s="9">
        <v>1</v>
      </c>
      <c r="L65" s="9">
        <f t="shared" si="6"/>
        <v>8725</v>
      </c>
    </row>
    <row r="66" spans="1:12">
      <c r="A66" s="8">
        <v>65</v>
      </c>
      <c r="B66" s="8">
        <v>3</v>
      </c>
      <c r="C66" s="9">
        <v>1</v>
      </c>
      <c r="D66" s="8">
        <v>90030010</v>
      </c>
      <c r="E66" s="8">
        <v>2100</v>
      </c>
      <c r="F66" s="8">
        <v>4</v>
      </c>
      <c r="H66" s="10" t="s">
        <v>113</v>
      </c>
      <c r="I66" s="9">
        <v>1000000</v>
      </c>
      <c r="J66" s="9">
        <v>10</v>
      </c>
      <c r="K66" s="9"/>
      <c r="L66" s="9"/>
    </row>
    <row r="67" spans="1:12">
      <c r="A67" s="8">
        <v>66</v>
      </c>
      <c r="B67" s="8">
        <v>3</v>
      </c>
      <c r="C67" s="9">
        <v>2</v>
      </c>
      <c r="D67" s="8">
        <v>90030020</v>
      </c>
      <c r="E67" s="8">
        <v>2940</v>
      </c>
      <c r="F67" s="8">
        <v>6</v>
      </c>
      <c r="H67" s="10" t="s">
        <v>114</v>
      </c>
      <c r="I67" s="9">
        <v>1200000</v>
      </c>
      <c r="J67" s="9">
        <v>15</v>
      </c>
      <c r="K67" s="9"/>
      <c r="L67" s="9">
        <v>10</v>
      </c>
    </row>
    <row r="68" spans="1:12">
      <c r="A68" s="8">
        <v>67</v>
      </c>
      <c r="B68" s="8">
        <v>3</v>
      </c>
      <c r="C68" s="9">
        <v>3</v>
      </c>
      <c r="D68" s="8">
        <v>90030030</v>
      </c>
      <c r="E68" s="8">
        <v>4116</v>
      </c>
      <c r="F68" s="8">
        <v>8</v>
      </c>
      <c r="H68" s="10" t="s">
        <v>115</v>
      </c>
      <c r="I68" s="9">
        <v>1500000</v>
      </c>
      <c r="J68" s="9">
        <v>34</v>
      </c>
      <c r="K68" s="9"/>
      <c r="L68" s="9">
        <v>25</v>
      </c>
    </row>
    <row r="69" spans="1:12">
      <c r="A69" s="8">
        <v>68</v>
      </c>
      <c r="B69" s="8">
        <v>3</v>
      </c>
      <c r="C69" s="9">
        <v>4</v>
      </c>
      <c r="D69" s="8">
        <v>90030040</v>
      </c>
      <c r="E69" s="8">
        <v>5762</v>
      </c>
      <c r="F69" s="8">
        <v>10</v>
      </c>
      <c r="G69" s="8" t="s">
        <v>116</v>
      </c>
      <c r="H69" s="10" t="s">
        <v>117</v>
      </c>
      <c r="I69" s="9">
        <v>1800000</v>
      </c>
      <c r="J69" s="9">
        <v>53</v>
      </c>
      <c r="K69" s="9"/>
      <c r="L69" s="9">
        <f>L68+J68</f>
        <v>59</v>
      </c>
    </row>
    <row r="70" spans="1:12">
      <c r="A70" s="8">
        <v>69</v>
      </c>
      <c r="B70" s="8">
        <v>3</v>
      </c>
      <c r="C70" s="9">
        <v>5</v>
      </c>
      <c r="D70" s="8">
        <v>90030050</v>
      </c>
      <c r="E70" s="8">
        <v>8067</v>
      </c>
      <c r="F70" s="8">
        <v>12</v>
      </c>
      <c r="H70" s="10" t="s">
        <v>118</v>
      </c>
      <c r="I70" s="9">
        <v>2100000</v>
      </c>
      <c r="J70" s="9">
        <v>72</v>
      </c>
      <c r="K70" s="9"/>
      <c r="L70" s="9">
        <f t="shared" ref="L70:L97" si="11">L69+J69</f>
        <v>112</v>
      </c>
    </row>
    <row r="71" spans="1:12">
      <c r="A71" s="8">
        <v>70</v>
      </c>
      <c r="B71" s="8">
        <v>3</v>
      </c>
      <c r="C71" s="9">
        <v>6</v>
      </c>
      <c r="D71" s="8">
        <v>90030060</v>
      </c>
      <c r="E71" s="8">
        <v>11294</v>
      </c>
      <c r="F71" s="8">
        <v>14</v>
      </c>
      <c r="H71" s="10" t="s">
        <v>119</v>
      </c>
      <c r="I71" s="9">
        <v>2400000</v>
      </c>
      <c r="J71" s="9">
        <v>91</v>
      </c>
      <c r="K71" s="9"/>
      <c r="L71" s="9">
        <f t="shared" si="11"/>
        <v>184</v>
      </c>
    </row>
    <row r="72" spans="1:12">
      <c r="A72" s="8">
        <v>71</v>
      </c>
      <c r="B72" s="8">
        <v>3</v>
      </c>
      <c r="C72" s="9">
        <v>7</v>
      </c>
      <c r="D72" s="8">
        <v>90030070</v>
      </c>
      <c r="E72" s="8">
        <v>15812</v>
      </c>
      <c r="F72" s="8">
        <v>16</v>
      </c>
      <c r="H72" s="10" t="s">
        <v>120</v>
      </c>
      <c r="I72" s="9">
        <v>2700000</v>
      </c>
      <c r="J72" s="9">
        <v>110</v>
      </c>
      <c r="K72" s="9"/>
      <c r="L72" s="9">
        <f t="shared" si="11"/>
        <v>275</v>
      </c>
    </row>
    <row r="73" spans="1:12">
      <c r="A73" s="8">
        <v>72</v>
      </c>
      <c r="B73" s="8">
        <v>3</v>
      </c>
      <c r="C73" s="9">
        <v>8</v>
      </c>
      <c r="D73" s="8">
        <v>90030080</v>
      </c>
      <c r="E73" s="8">
        <v>22136</v>
      </c>
      <c r="F73" s="8">
        <v>18</v>
      </c>
      <c r="G73" s="13" t="s">
        <v>121</v>
      </c>
      <c r="H73" s="10" t="s">
        <v>122</v>
      </c>
      <c r="I73" s="9">
        <v>3000000</v>
      </c>
      <c r="J73" s="9">
        <v>129</v>
      </c>
      <c r="K73" s="9"/>
      <c r="L73" s="9">
        <f t="shared" si="11"/>
        <v>385</v>
      </c>
    </row>
    <row r="74" spans="1:12">
      <c r="A74" s="8">
        <v>73</v>
      </c>
      <c r="B74" s="8">
        <v>3</v>
      </c>
      <c r="C74" s="9">
        <v>9</v>
      </c>
      <c r="D74" s="8">
        <v>90030090</v>
      </c>
      <c r="E74" s="8">
        <v>30991</v>
      </c>
      <c r="F74" s="8">
        <v>20</v>
      </c>
      <c r="H74" s="10" t="s">
        <v>123</v>
      </c>
      <c r="I74" s="9">
        <v>3300000</v>
      </c>
      <c r="J74" s="9">
        <v>148</v>
      </c>
      <c r="K74" s="9"/>
      <c r="L74" s="9">
        <f t="shared" si="11"/>
        <v>514</v>
      </c>
    </row>
    <row r="75" spans="1:12">
      <c r="A75" s="8">
        <v>74</v>
      </c>
      <c r="B75" s="8">
        <v>3</v>
      </c>
      <c r="C75" s="9">
        <v>10</v>
      </c>
      <c r="D75" s="8">
        <v>90030100</v>
      </c>
      <c r="E75" s="8">
        <v>43388</v>
      </c>
      <c r="F75" s="8">
        <v>22</v>
      </c>
      <c r="H75" s="10" t="s">
        <v>124</v>
      </c>
      <c r="I75" s="9">
        <v>3600000</v>
      </c>
      <c r="J75" s="9">
        <v>167</v>
      </c>
      <c r="K75" s="9"/>
      <c r="L75" s="9">
        <f t="shared" si="11"/>
        <v>662</v>
      </c>
    </row>
    <row r="76" spans="1:12">
      <c r="A76" s="8">
        <v>75</v>
      </c>
      <c r="B76" s="8">
        <v>3</v>
      </c>
      <c r="C76" s="9">
        <v>11</v>
      </c>
      <c r="D76" s="8">
        <v>90030110</v>
      </c>
      <c r="E76" s="8">
        <v>60743</v>
      </c>
      <c r="F76" s="8">
        <v>24</v>
      </c>
      <c r="H76" s="10" t="s">
        <v>125</v>
      </c>
      <c r="I76" s="9">
        <v>3900000</v>
      </c>
      <c r="J76" s="9">
        <v>186</v>
      </c>
      <c r="K76" s="9"/>
      <c r="L76" s="9">
        <f t="shared" si="11"/>
        <v>829</v>
      </c>
    </row>
    <row r="77" spans="1:12">
      <c r="A77" s="8">
        <v>76</v>
      </c>
      <c r="B77" s="8">
        <v>3</v>
      </c>
      <c r="C77" s="9">
        <v>12</v>
      </c>
      <c r="D77" s="8">
        <v>90030120</v>
      </c>
      <c r="E77" s="8">
        <v>85040</v>
      </c>
      <c r="F77" s="8">
        <v>26</v>
      </c>
      <c r="G77" s="8" t="s">
        <v>50</v>
      </c>
      <c r="H77" s="10" t="s">
        <v>126</v>
      </c>
      <c r="I77" s="9">
        <v>4200000</v>
      </c>
      <c r="J77" s="9">
        <v>205</v>
      </c>
      <c r="K77" s="9"/>
      <c r="L77" s="9">
        <f t="shared" si="11"/>
        <v>1015</v>
      </c>
    </row>
    <row r="78" spans="1:12">
      <c r="A78" s="8">
        <v>77</v>
      </c>
      <c r="B78" s="8">
        <v>3</v>
      </c>
      <c r="C78" s="9">
        <v>13</v>
      </c>
      <c r="D78" s="8">
        <v>90030130</v>
      </c>
      <c r="E78" s="8">
        <v>119057</v>
      </c>
      <c r="F78" s="8">
        <v>28</v>
      </c>
      <c r="H78" s="10" t="s">
        <v>127</v>
      </c>
      <c r="I78" s="9">
        <v>4500000</v>
      </c>
      <c r="J78" s="9">
        <v>224</v>
      </c>
      <c r="K78" s="9"/>
      <c r="L78" s="9">
        <f t="shared" si="11"/>
        <v>1220</v>
      </c>
    </row>
    <row r="79" spans="1:12">
      <c r="A79" s="8">
        <v>78</v>
      </c>
      <c r="B79" s="8">
        <v>3</v>
      </c>
      <c r="C79" s="9">
        <v>14</v>
      </c>
      <c r="D79" s="8">
        <v>90030140</v>
      </c>
      <c r="E79" s="8">
        <v>166680</v>
      </c>
      <c r="F79" s="8">
        <v>29</v>
      </c>
      <c r="H79" s="10" t="s">
        <v>128</v>
      </c>
      <c r="I79" s="9">
        <v>4800000</v>
      </c>
      <c r="J79" s="9">
        <v>243</v>
      </c>
      <c r="K79" s="9"/>
      <c r="L79" s="9">
        <f t="shared" si="11"/>
        <v>1444</v>
      </c>
    </row>
    <row r="80" spans="1:12">
      <c r="A80" s="8">
        <v>79</v>
      </c>
      <c r="B80" s="8">
        <v>3</v>
      </c>
      <c r="C80" s="9">
        <v>15</v>
      </c>
      <c r="D80" s="8">
        <v>90030150</v>
      </c>
      <c r="E80" s="8">
        <v>233352</v>
      </c>
      <c r="F80" s="8">
        <v>30</v>
      </c>
      <c r="H80" s="10" t="s">
        <v>129</v>
      </c>
      <c r="I80" s="9">
        <v>5100000</v>
      </c>
      <c r="J80" s="9">
        <v>262</v>
      </c>
      <c r="K80" s="9"/>
      <c r="L80" s="9">
        <f t="shared" si="11"/>
        <v>1687</v>
      </c>
    </row>
    <row r="81" spans="1:12">
      <c r="A81" s="8">
        <v>80</v>
      </c>
      <c r="B81" s="8">
        <v>3</v>
      </c>
      <c r="C81" s="9">
        <v>16</v>
      </c>
      <c r="D81" s="8">
        <v>90030160</v>
      </c>
      <c r="E81" s="8">
        <v>259021</v>
      </c>
      <c r="F81" s="8">
        <f>F80+1</f>
        <v>31</v>
      </c>
      <c r="G81" s="13" t="s">
        <v>116</v>
      </c>
      <c r="H81" s="10" t="s">
        <v>130</v>
      </c>
      <c r="I81" s="9">
        <v>6100000</v>
      </c>
      <c r="J81" s="9">
        <v>281</v>
      </c>
      <c r="K81" s="9"/>
      <c r="L81" s="9">
        <f t="shared" si="11"/>
        <v>1949</v>
      </c>
    </row>
    <row r="82" spans="1:12">
      <c r="A82" s="8">
        <v>81</v>
      </c>
      <c r="B82" s="8">
        <v>3</v>
      </c>
      <c r="C82" s="9">
        <v>17</v>
      </c>
      <c r="D82" s="8">
        <v>90030170</v>
      </c>
      <c r="E82" s="8">
        <v>287513</v>
      </c>
      <c r="F82" s="8">
        <v>31</v>
      </c>
      <c r="H82" s="10" t="s">
        <v>131</v>
      </c>
      <c r="I82" s="9">
        <v>7100000</v>
      </c>
      <c r="J82" s="9">
        <v>300</v>
      </c>
      <c r="K82" s="9"/>
      <c r="L82" s="9">
        <f t="shared" si="11"/>
        <v>2230</v>
      </c>
    </row>
    <row r="83" spans="1:12">
      <c r="A83" s="8">
        <v>82</v>
      </c>
      <c r="B83" s="8">
        <v>3</v>
      </c>
      <c r="C83" s="9">
        <v>18</v>
      </c>
      <c r="D83" s="8">
        <v>90030180</v>
      </c>
      <c r="E83" s="8">
        <v>319139</v>
      </c>
      <c r="F83" s="8">
        <f>F81+1</f>
        <v>32</v>
      </c>
      <c r="H83" s="10" t="s">
        <v>132</v>
      </c>
      <c r="I83" s="9">
        <v>8100000</v>
      </c>
      <c r="J83" s="9">
        <v>319</v>
      </c>
      <c r="K83" s="9"/>
      <c r="L83" s="9">
        <f t="shared" si="11"/>
        <v>2530</v>
      </c>
    </row>
    <row r="84" spans="1:12">
      <c r="A84" s="8">
        <v>83</v>
      </c>
      <c r="B84" s="8">
        <v>3</v>
      </c>
      <c r="C84" s="9">
        <v>19</v>
      </c>
      <c r="D84" s="8">
        <v>90030190</v>
      </c>
      <c r="E84" s="8">
        <v>354244</v>
      </c>
      <c r="F84" s="8">
        <f t="shared" ref="F84:F95" si="12">F82+1</f>
        <v>32</v>
      </c>
      <c r="H84" s="10" t="s">
        <v>133</v>
      </c>
      <c r="I84" s="9">
        <v>9100000</v>
      </c>
      <c r="J84" s="9">
        <v>338</v>
      </c>
      <c r="K84" s="9"/>
      <c r="L84" s="9">
        <f t="shared" si="11"/>
        <v>2849</v>
      </c>
    </row>
    <row r="85" spans="1:12">
      <c r="A85" s="8">
        <v>84</v>
      </c>
      <c r="B85" s="8">
        <v>3</v>
      </c>
      <c r="C85" s="9">
        <v>20</v>
      </c>
      <c r="D85" s="8">
        <v>90030200</v>
      </c>
      <c r="E85" s="8">
        <v>393211</v>
      </c>
      <c r="F85" s="8">
        <f t="shared" si="12"/>
        <v>33</v>
      </c>
      <c r="G85" s="13" t="s">
        <v>84</v>
      </c>
      <c r="H85" s="10" t="s">
        <v>134</v>
      </c>
      <c r="I85" s="9">
        <v>10100000</v>
      </c>
      <c r="J85" s="9">
        <f>J84+19</f>
        <v>357</v>
      </c>
      <c r="K85" s="9"/>
      <c r="L85" s="9">
        <f t="shared" si="11"/>
        <v>3187</v>
      </c>
    </row>
    <row r="86" spans="1:12">
      <c r="A86" s="8">
        <v>85</v>
      </c>
      <c r="B86" s="14">
        <f t="shared" ref="B86:B97" si="13">B85</f>
        <v>3</v>
      </c>
      <c r="C86" s="9">
        <v>21</v>
      </c>
      <c r="D86" s="14">
        <f t="shared" ref="D86:D97" si="14">D85+10</f>
        <v>90030210</v>
      </c>
      <c r="E86" s="8">
        <v>436464</v>
      </c>
      <c r="F86" s="14">
        <f t="shared" si="12"/>
        <v>33</v>
      </c>
      <c r="H86" s="10" t="s">
        <v>135</v>
      </c>
      <c r="I86" s="9">
        <v>11100000</v>
      </c>
      <c r="J86" s="9">
        <f t="shared" ref="J86:J97" si="15">J85+19</f>
        <v>376</v>
      </c>
      <c r="K86" s="9"/>
      <c r="L86" s="9">
        <f t="shared" si="11"/>
        <v>3544</v>
      </c>
    </row>
    <row r="87" spans="1:12">
      <c r="A87" s="8">
        <v>86</v>
      </c>
      <c r="B87" s="14">
        <f t="shared" si="13"/>
        <v>3</v>
      </c>
      <c r="C87" s="9">
        <v>22</v>
      </c>
      <c r="D87" s="14">
        <f t="shared" si="14"/>
        <v>90030220</v>
      </c>
      <c r="E87" s="8">
        <v>484475</v>
      </c>
      <c r="F87" s="14">
        <f t="shared" si="12"/>
        <v>34</v>
      </c>
      <c r="H87" s="10" t="s">
        <v>136</v>
      </c>
      <c r="I87" s="9">
        <v>12100000</v>
      </c>
      <c r="J87" s="9">
        <f t="shared" si="15"/>
        <v>395</v>
      </c>
      <c r="K87" s="9"/>
      <c r="L87" s="9">
        <f t="shared" si="11"/>
        <v>3920</v>
      </c>
    </row>
    <row r="88" spans="1:12">
      <c r="A88" s="8">
        <v>87</v>
      </c>
      <c r="B88" s="14">
        <f t="shared" si="13"/>
        <v>3</v>
      </c>
      <c r="C88" s="9">
        <v>23</v>
      </c>
      <c r="D88" s="14">
        <f t="shared" si="14"/>
        <v>90030230</v>
      </c>
      <c r="E88" s="8">
        <v>537767</v>
      </c>
      <c r="F88" s="14">
        <f t="shared" si="12"/>
        <v>34</v>
      </c>
      <c r="H88" s="10" t="s">
        <v>137</v>
      </c>
      <c r="I88" s="9">
        <v>13100000</v>
      </c>
      <c r="J88" s="9">
        <f t="shared" si="15"/>
        <v>414</v>
      </c>
      <c r="K88" s="9"/>
      <c r="L88" s="9">
        <f t="shared" si="11"/>
        <v>4315</v>
      </c>
    </row>
    <row r="89" spans="1:12">
      <c r="A89" s="8">
        <v>88</v>
      </c>
      <c r="B89" s="14">
        <f t="shared" si="13"/>
        <v>3</v>
      </c>
      <c r="C89" s="9">
        <v>24</v>
      </c>
      <c r="D89" s="14">
        <f t="shared" si="14"/>
        <v>90030240</v>
      </c>
      <c r="E89" s="8">
        <v>596921</v>
      </c>
      <c r="F89" s="14">
        <f t="shared" si="12"/>
        <v>35</v>
      </c>
      <c r="G89" s="13" t="s">
        <v>138</v>
      </c>
      <c r="H89" s="10" t="s">
        <v>139</v>
      </c>
      <c r="I89" s="9">
        <v>14100000</v>
      </c>
      <c r="J89" s="9">
        <f t="shared" si="15"/>
        <v>433</v>
      </c>
      <c r="K89" s="9"/>
      <c r="L89" s="9">
        <f t="shared" si="11"/>
        <v>4729</v>
      </c>
    </row>
    <row r="90" spans="1:12">
      <c r="A90" s="8">
        <v>89</v>
      </c>
      <c r="B90" s="14">
        <f t="shared" si="13"/>
        <v>3</v>
      </c>
      <c r="C90" s="9">
        <v>25</v>
      </c>
      <c r="D90" s="14">
        <f t="shared" si="14"/>
        <v>90030250</v>
      </c>
      <c r="E90" s="8">
        <v>662582</v>
      </c>
      <c r="F90" s="14">
        <f t="shared" si="12"/>
        <v>35</v>
      </c>
      <c r="H90" s="10" t="s">
        <v>140</v>
      </c>
      <c r="I90" s="9">
        <v>15100000</v>
      </c>
      <c r="J90" s="9">
        <f t="shared" si="15"/>
        <v>452</v>
      </c>
      <c r="K90" s="9"/>
      <c r="L90" s="9">
        <f t="shared" si="11"/>
        <v>5162</v>
      </c>
    </row>
    <row r="91" spans="1:12">
      <c r="A91" s="8">
        <v>90</v>
      </c>
      <c r="B91" s="14">
        <f t="shared" si="13"/>
        <v>3</v>
      </c>
      <c r="C91" s="9">
        <v>26</v>
      </c>
      <c r="D91" s="14">
        <f t="shared" si="14"/>
        <v>90030260</v>
      </c>
      <c r="E91" s="8">
        <v>735466</v>
      </c>
      <c r="F91" s="14">
        <f t="shared" si="12"/>
        <v>36</v>
      </c>
      <c r="H91" s="10" t="s">
        <v>141</v>
      </c>
      <c r="I91" s="9">
        <v>16100000</v>
      </c>
      <c r="J91" s="9">
        <f t="shared" si="15"/>
        <v>471</v>
      </c>
      <c r="K91" s="9"/>
      <c r="L91" s="9">
        <f t="shared" si="11"/>
        <v>5614</v>
      </c>
    </row>
    <row r="92" spans="1:12">
      <c r="A92" s="8">
        <v>91</v>
      </c>
      <c r="B92" s="14">
        <f t="shared" si="13"/>
        <v>3</v>
      </c>
      <c r="C92" s="9">
        <v>27</v>
      </c>
      <c r="D92" s="14">
        <f t="shared" si="14"/>
        <v>90030270</v>
      </c>
      <c r="E92" s="8">
        <v>816367</v>
      </c>
      <c r="F92" s="14">
        <f t="shared" si="12"/>
        <v>36</v>
      </c>
      <c r="H92" s="10" t="s">
        <v>142</v>
      </c>
      <c r="I92" s="9">
        <v>17100000</v>
      </c>
      <c r="J92" s="9">
        <f t="shared" si="15"/>
        <v>490</v>
      </c>
      <c r="K92" s="9"/>
      <c r="L92" s="9">
        <f t="shared" si="11"/>
        <v>6085</v>
      </c>
    </row>
    <row r="93" spans="1:12">
      <c r="A93" s="8">
        <v>92</v>
      </c>
      <c r="B93" s="14">
        <f t="shared" si="13"/>
        <v>3</v>
      </c>
      <c r="C93" s="9">
        <v>28</v>
      </c>
      <c r="D93" s="14">
        <f t="shared" si="14"/>
        <v>90030280</v>
      </c>
      <c r="E93" s="8">
        <v>906167</v>
      </c>
      <c r="F93" s="14">
        <f t="shared" si="12"/>
        <v>37</v>
      </c>
      <c r="G93" s="13" t="s">
        <v>143</v>
      </c>
      <c r="H93" s="10" t="s">
        <v>144</v>
      </c>
      <c r="I93" s="9">
        <v>18100000</v>
      </c>
      <c r="J93" s="9">
        <f t="shared" si="15"/>
        <v>509</v>
      </c>
      <c r="K93" s="9"/>
      <c r="L93" s="9">
        <f t="shared" si="11"/>
        <v>6575</v>
      </c>
    </row>
    <row r="94" spans="1:12">
      <c r="A94" s="8">
        <v>93</v>
      </c>
      <c r="B94" s="14">
        <f t="shared" si="13"/>
        <v>3</v>
      </c>
      <c r="C94" s="9">
        <v>29</v>
      </c>
      <c r="D94" s="14">
        <f t="shared" si="14"/>
        <v>90030290</v>
      </c>
      <c r="E94" s="8">
        <v>1005845</v>
      </c>
      <c r="F94" s="14">
        <f t="shared" si="12"/>
        <v>37</v>
      </c>
      <c r="H94" s="10" t="s">
        <v>145</v>
      </c>
      <c r="I94" s="9">
        <v>19100000</v>
      </c>
      <c r="J94" s="9">
        <f t="shared" si="15"/>
        <v>528</v>
      </c>
      <c r="K94" s="9"/>
      <c r="L94" s="9">
        <f t="shared" si="11"/>
        <v>7084</v>
      </c>
    </row>
    <row r="95" spans="1:12">
      <c r="A95" s="8">
        <v>94</v>
      </c>
      <c r="B95" s="14">
        <f t="shared" si="13"/>
        <v>3</v>
      </c>
      <c r="C95" s="9">
        <v>30</v>
      </c>
      <c r="D95" s="14">
        <f t="shared" si="14"/>
        <v>90030300</v>
      </c>
      <c r="E95" s="8">
        <v>1116488</v>
      </c>
      <c r="F95" s="14">
        <f t="shared" si="12"/>
        <v>38</v>
      </c>
      <c r="H95" s="10" t="s">
        <v>146</v>
      </c>
      <c r="I95" s="9">
        <v>20100000</v>
      </c>
      <c r="J95" s="9">
        <f t="shared" si="15"/>
        <v>547</v>
      </c>
      <c r="K95" s="9"/>
      <c r="L95" s="9">
        <f t="shared" si="11"/>
        <v>7612</v>
      </c>
    </row>
    <row r="96" spans="1:12">
      <c r="A96" s="8">
        <v>95</v>
      </c>
      <c r="B96" s="14">
        <f t="shared" si="13"/>
        <v>3</v>
      </c>
      <c r="C96" s="9">
        <v>31</v>
      </c>
      <c r="D96" s="14">
        <f t="shared" si="14"/>
        <v>90030310</v>
      </c>
      <c r="E96" s="8">
        <v>1239302</v>
      </c>
      <c r="F96" s="14">
        <v>39</v>
      </c>
      <c r="H96" s="10" t="s">
        <v>147</v>
      </c>
      <c r="I96" s="9">
        <v>21100000</v>
      </c>
      <c r="J96" s="9">
        <f t="shared" si="15"/>
        <v>566</v>
      </c>
      <c r="K96" s="9"/>
      <c r="L96" s="9">
        <f t="shared" si="11"/>
        <v>8159</v>
      </c>
    </row>
    <row r="97" s="7" customFormat="1" spans="1:12">
      <c r="A97" s="17">
        <v>96</v>
      </c>
      <c r="B97" s="17">
        <f t="shared" si="13"/>
        <v>3</v>
      </c>
      <c r="C97" s="18">
        <v>32</v>
      </c>
      <c r="D97" s="17">
        <f t="shared" si="14"/>
        <v>90030320</v>
      </c>
      <c r="E97" s="17">
        <v>1375625</v>
      </c>
      <c r="F97" s="17">
        <v>40</v>
      </c>
      <c r="G97" s="19" t="s">
        <v>111</v>
      </c>
      <c r="H97" s="20" t="s">
        <v>148</v>
      </c>
      <c r="I97" s="18">
        <v>22100000</v>
      </c>
      <c r="J97" s="18">
        <f t="shared" si="15"/>
        <v>585</v>
      </c>
      <c r="K97" s="18">
        <v>1</v>
      </c>
      <c r="L97" s="18">
        <f t="shared" si="11"/>
        <v>8725</v>
      </c>
    </row>
    <row r="98" spans="1:12">
      <c r="A98" s="8">
        <v>97</v>
      </c>
      <c r="B98" s="8">
        <v>4</v>
      </c>
      <c r="C98" s="9">
        <v>1</v>
      </c>
      <c r="D98" s="8">
        <v>90040010</v>
      </c>
      <c r="E98" s="8">
        <v>2100</v>
      </c>
      <c r="F98" s="8">
        <v>4</v>
      </c>
      <c r="H98" s="10" t="s">
        <v>149</v>
      </c>
      <c r="I98" s="9">
        <v>1000000</v>
      </c>
      <c r="J98" s="9">
        <v>10</v>
      </c>
      <c r="K98" s="9"/>
      <c r="L98" s="9"/>
    </row>
    <row r="99" spans="1:12">
      <c r="A99" s="8">
        <v>98</v>
      </c>
      <c r="B99" s="8">
        <v>4</v>
      </c>
      <c r="C99" s="9">
        <v>2</v>
      </c>
      <c r="D99" s="8">
        <v>90040020</v>
      </c>
      <c r="E99" s="8">
        <v>2940</v>
      </c>
      <c r="F99" s="8">
        <v>6</v>
      </c>
      <c r="H99" s="10" t="s">
        <v>150</v>
      </c>
      <c r="I99" s="9">
        <v>1200000</v>
      </c>
      <c r="J99" s="9">
        <v>15</v>
      </c>
      <c r="K99" s="9"/>
      <c r="L99" s="9">
        <v>10</v>
      </c>
    </row>
    <row r="100" spans="1:12">
      <c r="A100" s="8">
        <v>99</v>
      </c>
      <c r="B100" s="8">
        <v>4</v>
      </c>
      <c r="C100" s="9">
        <v>3</v>
      </c>
      <c r="D100" s="8">
        <v>90040030</v>
      </c>
      <c r="E100" s="8">
        <v>4116</v>
      </c>
      <c r="F100" s="8">
        <v>8</v>
      </c>
      <c r="H100" s="10" t="s">
        <v>151</v>
      </c>
      <c r="I100" s="9">
        <v>1500000</v>
      </c>
      <c r="J100" s="9">
        <v>34</v>
      </c>
      <c r="K100" s="9"/>
      <c r="L100" s="9">
        <v>25</v>
      </c>
    </row>
    <row r="101" spans="1:12">
      <c r="A101" s="8">
        <v>100</v>
      </c>
      <c r="B101" s="8">
        <v>4</v>
      </c>
      <c r="C101" s="9">
        <v>4</v>
      </c>
      <c r="D101" s="8">
        <v>90040040</v>
      </c>
      <c r="E101" s="8">
        <v>5762</v>
      </c>
      <c r="F101" s="8">
        <v>10</v>
      </c>
      <c r="G101" s="8" t="s">
        <v>152</v>
      </c>
      <c r="H101" s="10" t="s">
        <v>153</v>
      </c>
      <c r="I101" s="9">
        <v>1800000</v>
      </c>
      <c r="J101" s="9">
        <v>53</v>
      </c>
      <c r="K101" s="9"/>
      <c r="L101" s="9">
        <f>L100+J100</f>
        <v>59</v>
      </c>
    </row>
    <row r="102" spans="1:12">
      <c r="A102" s="8">
        <v>101</v>
      </c>
      <c r="B102" s="8">
        <v>4</v>
      </c>
      <c r="C102" s="9">
        <v>5</v>
      </c>
      <c r="D102" s="8">
        <v>90040050</v>
      </c>
      <c r="E102" s="8">
        <v>8067</v>
      </c>
      <c r="F102" s="8">
        <v>12</v>
      </c>
      <c r="H102" s="10" t="s">
        <v>154</v>
      </c>
      <c r="I102" s="9">
        <v>2100000</v>
      </c>
      <c r="J102" s="9">
        <v>72</v>
      </c>
      <c r="K102" s="9"/>
      <c r="L102" s="9">
        <f t="shared" ref="L102:L129" si="16">L101+J101</f>
        <v>112</v>
      </c>
    </row>
    <row r="103" spans="1:12">
      <c r="A103" s="8">
        <v>102</v>
      </c>
      <c r="B103" s="8">
        <v>4</v>
      </c>
      <c r="C103" s="9">
        <v>6</v>
      </c>
      <c r="D103" s="8">
        <v>90040060</v>
      </c>
      <c r="E103" s="8">
        <v>11294</v>
      </c>
      <c r="F103" s="8">
        <v>14</v>
      </c>
      <c r="H103" s="10" t="s">
        <v>155</v>
      </c>
      <c r="I103" s="9">
        <v>2400000</v>
      </c>
      <c r="J103" s="9">
        <v>91</v>
      </c>
      <c r="K103" s="9"/>
      <c r="L103" s="9">
        <f t="shared" si="16"/>
        <v>184</v>
      </c>
    </row>
    <row r="104" spans="1:12">
      <c r="A104" s="8">
        <v>103</v>
      </c>
      <c r="B104" s="8">
        <v>4</v>
      </c>
      <c r="C104" s="9">
        <v>7</v>
      </c>
      <c r="D104" s="8">
        <v>90040070</v>
      </c>
      <c r="E104" s="8">
        <v>15812</v>
      </c>
      <c r="F104" s="8">
        <v>16</v>
      </c>
      <c r="H104" s="10" t="s">
        <v>156</v>
      </c>
      <c r="I104" s="9">
        <v>2700000</v>
      </c>
      <c r="J104" s="9">
        <v>110</v>
      </c>
      <c r="K104" s="9"/>
      <c r="L104" s="9">
        <f t="shared" si="16"/>
        <v>275</v>
      </c>
    </row>
    <row r="105" spans="1:12">
      <c r="A105" s="8">
        <v>104</v>
      </c>
      <c r="B105" s="8">
        <v>4</v>
      </c>
      <c r="C105" s="9">
        <v>8</v>
      </c>
      <c r="D105" s="8">
        <v>90040080</v>
      </c>
      <c r="E105" s="8">
        <v>22136</v>
      </c>
      <c r="F105" s="8">
        <v>18</v>
      </c>
      <c r="G105" s="8" t="s">
        <v>84</v>
      </c>
      <c r="H105" s="10" t="s">
        <v>157</v>
      </c>
      <c r="I105" s="9">
        <v>3000000</v>
      </c>
      <c r="J105" s="9">
        <v>129</v>
      </c>
      <c r="K105" s="9"/>
      <c r="L105" s="9">
        <f t="shared" si="16"/>
        <v>385</v>
      </c>
    </row>
    <row r="106" spans="1:12">
      <c r="A106" s="8">
        <v>105</v>
      </c>
      <c r="B106" s="8">
        <v>4</v>
      </c>
      <c r="C106" s="9">
        <v>9</v>
      </c>
      <c r="D106" s="8">
        <v>90040090</v>
      </c>
      <c r="E106" s="8">
        <v>30991</v>
      </c>
      <c r="F106" s="8">
        <v>20</v>
      </c>
      <c r="H106" s="10" t="s">
        <v>158</v>
      </c>
      <c r="I106" s="9">
        <v>3300000</v>
      </c>
      <c r="J106" s="9">
        <v>148</v>
      </c>
      <c r="K106" s="9"/>
      <c r="L106" s="9">
        <f t="shared" si="16"/>
        <v>514</v>
      </c>
    </row>
    <row r="107" spans="1:12">
      <c r="A107" s="8">
        <v>106</v>
      </c>
      <c r="B107" s="8">
        <v>4</v>
      </c>
      <c r="C107" s="9">
        <v>10</v>
      </c>
      <c r="D107" s="8">
        <v>90040100</v>
      </c>
      <c r="E107" s="8">
        <v>43388</v>
      </c>
      <c r="F107" s="8">
        <v>22</v>
      </c>
      <c r="H107" s="10" t="s">
        <v>159</v>
      </c>
      <c r="I107" s="9">
        <v>3600000</v>
      </c>
      <c r="J107" s="9">
        <v>167</v>
      </c>
      <c r="K107" s="9"/>
      <c r="L107" s="9">
        <f t="shared" si="16"/>
        <v>662</v>
      </c>
    </row>
    <row r="108" spans="1:12">
      <c r="A108" s="8">
        <v>107</v>
      </c>
      <c r="B108" s="8">
        <v>4</v>
      </c>
      <c r="C108" s="9">
        <v>11</v>
      </c>
      <c r="D108" s="8">
        <v>90040110</v>
      </c>
      <c r="E108" s="8">
        <v>60743</v>
      </c>
      <c r="F108" s="8">
        <v>24</v>
      </c>
      <c r="H108" s="10" t="s">
        <v>160</v>
      </c>
      <c r="I108" s="9">
        <v>3900000</v>
      </c>
      <c r="J108" s="9">
        <v>186</v>
      </c>
      <c r="K108" s="9"/>
      <c r="L108" s="9">
        <f t="shared" si="16"/>
        <v>829</v>
      </c>
    </row>
    <row r="109" spans="1:12">
      <c r="A109" s="8">
        <v>108</v>
      </c>
      <c r="B109" s="8">
        <v>4</v>
      </c>
      <c r="C109" s="9">
        <v>12</v>
      </c>
      <c r="D109" s="8">
        <v>90040120</v>
      </c>
      <c r="E109" s="8">
        <v>85040</v>
      </c>
      <c r="F109" s="8">
        <v>26</v>
      </c>
      <c r="G109" s="8" t="s">
        <v>50</v>
      </c>
      <c r="H109" s="10" t="s">
        <v>161</v>
      </c>
      <c r="I109" s="9">
        <v>4200000</v>
      </c>
      <c r="J109" s="9">
        <v>205</v>
      </c>
      <c r="K109" s="9"/>
      <c r="L109" s="9">
        <f t="shared" si="16"/>
        <v>1015</v>
      </c>
    </row>
    <row r="110" spans="1:12">
      <c r="A110" s="8">
        <v>109</v>
      </c>
      <c r="B110" s="8">
        <v>4</v>
      </c>
      <c r="C110" s="9">
        <v>13</v>
      </c>
      <c r="D110" s="8">
        <v>90040130</v>
      </c>
      <c r="E110" s="8">
        <v>119057</v>
      </c>
      <c r="F110" s="8">
        <v>28</v>
      </c>
      <c r="H110" s="10" t="s">
        <v>162</v>
      </c>
      <c r="I110" s="9">
        <v>4500000</v>
      </c>
      <c r="J110" s="9">
        <v>224</v>
      </c>
      <c r="K110" s="9"/>
      <c r="L110" s="9">
        <f t="shared" si="16"/>
        <v>1220</v>
      </c>
    </row>
    <row r="111" spans="1:12">
      <c r="A111" s="8">
        <v>110</v>
      </c>
      <c r="B111" s="8">
        <v>4</v>
      </c>
      <c r="C111" s="9">
        <v>14</v>
      </c>
      <c r="D111" s="8">
        <v>90040140</v>
      </c>
      <c r="E111" s="8">
        <v>166680</v>
      </c>
      <c r="F111" s="8">
        <v>29</v>
      </c>
      <c r="H111" s="10" t="s">
        <v>163</v>
      </c>
      <c r="I111" s="9">
        <v>4800000</v>
      </c>
      <c r="J111" s="9">
        <v>243</v>
      </c>
      <c r="K111" s="9"/>
      <c r="L111" s="9">
        <f t="shared" si="16"/>
        <v>1444</v>
      </c>
    </row>
    <row r="112" spans="1:12">
      <c r="A112" s="8">
        <v>111</v>
      </c>
      <c r="B112" s="8">
        <v>4</v>
      </c>
      <c r="C112" s="9">
        <v>15</v>
      </c>
      <c r="D112" s="8">
        <v>90040150</v>
      </c>
      <c r="E112" s="8">
        <v>233352</v>
      </c>
      <c r="F112" s="8">
        <v>30</v>
      </c>
      <c r="H112" s="10" t="s">
        <v>164</v>
      </c>
      <c r="I112" s="9">
        <v>5100000</v>
      </c>
      <c r="J112" s="9">
        <v>262</v>
      </c>
      <c r="K112" s="9"/>
      <c r="L112" s="9">
        <f t="shared" si="16"/>
        <v>1687</v>
      </c>
    </row>
    <row r="113" spans="1:12">
      <c r="A113" s="8">
        <v>112</v>
      </c>
      <c r="B113" s="8">
        <v>4</v>
      </c>
      <c r="C113" s="9">
        <v>16</v>
      </c>
      <c r="D113" s="8">
        <v>90040160</v>
      </c>
      <c r="E113" s="8">
        <v>259021</v>
      </c>
      <c r="F113" s="8">
        <f>F112+1</f>
        <v>31</v>
      </c>
      <c r="G113" s="13" t="s">
        <v>152</v>
      </c>
      <c r="H113" s="10" t="s">
        <v>165</v>
      </c>
      <c r="I113" s="9">
        <v>6100000</v>
      </c>
      <c r="J113" s="9">
        <v>281</v>
      </c>
      <c r="K113" s="9"/>
      <c r="L113" s="9">
        <f t="shared" si="16"/>
        <v>1949</v>
      </c>
    </row>
    <row r="114" spans="1:12">
      <c r="A114" s="8">
        <v>113</v>
      </c>
      <c r="B114" s="8">
        <v>4</v>
      </c>
      <c r="C114" s="9">
        <v>17</v>
      </c>
      <c r="D114" s="8">
        <v>90040170</v>
      </c>
      <c r="E114" s="8">
        <v>287513</v>
      </c>
      <c r="F114" s="8">
        <v>31</v>
      </c>
      <c r="H114" s="10" t="s">
        <v>166</v>
      </c>
      <c r="I114" s="9">
        <v>7100000</v>
      </c>
      <c r="J114" s="9">
        <v>300</v>
      </c>
      <c r="K114" s="9"/>
      <c r="L114" s="9">
        <f t="shared" si="16"/>
        <v>2230</v>
      </c>
    </row>
    <row r="115" spans="1:12">
      <c r="A115" s="8">
        <v>114</v>
      </c>
      <c r="B115" s="8">
        <v>4</v>
      </c>
      <c r="C115" s="9">
        <v>18</v>
      </c>
      <c r="D115" s="8">
        <v>90040180</v>
      </c>
      <c r="E115" s="8">
        <v>319139</v>
      </c>
      <c r="F115" s="8">
        <f>F113+1</f>
        <v>32</v>
      </c>
      <c r="H115" s="10" t="s">
        <v>167</v>
      </c>
      <c r="I115" s="9">
        <v>8100000</v>
      </c>
      <c r="J115" s="9">
        <v>319</v>
      </c>
      <c r="K115" s="9"/>
      <c r="L115" s="9">
        <f t="shared" si="16"/>
        <v>2530</v>
      </c>
    </row>
    <row r="116" spans="1:12">
      <c r="A116" s="8">
        <v>115</v>
      </c>
      <c r="B116" s="8">
        <v>4</v>
      </c>
      <c r="C116" s="9">
        <v>19</v>
      </c>
      <c r="D116" s="8">
        <v>90040190</v>
      </c>
      <c r="E116" s="8">
        <v>354244</v>
      </c>
      <c r="F116" s="8">
        <f t="shared" ref="F116:F127" si="17">F114+1</f>
        <v>32</v>
      </c>
      <c r="H116" s="10" t="s">
        <v>168</v>
      </c>
      <c r="I116" s="9">
        <v>9100000</v>
      </c>
      <c r="J116" s="9">
        <v>338</v>
      </c>
      <c r="K116" s="9"/>
      <c r="L116" s="9">
        <f t="shared" si="16"/>
        <v>2849</v>
      </c>
    </row>
    <row r="117" spans="1:12">
      <c r="A117" s="8">
        <v>116</v>
      </c>
      <c r="B117" s="14">
        <f t="shared" ref="B117:B129" si="18">B116</f>
        <v>4</v>
      </c>
      <c r="C117" s="9">
        <v>20</v>
      </c>
      <c r="D117" s="14">
        <f t="shared" ref="D117:D129" si="19">D116+10</f>
        <v>90040200</v>
      </c>
      <c r="E117" s="8">
        <v>393211</v>
      </c>
      <c r="F117" s="8">
        <f t="shared" si="17"/>
        <v>33</v>
      </c>
      <c r="G117" s="13" t="s">
        <v>84</v>
      </c>
      <c r="H117" t="s">
        <v>169</v>
      </c>
      <c r="I117" s="9">
        <v>10100000</v>
      </c>
      <c r="J117" s="9">
        <f>J116+19</f>
        <v>357</v>
      </c>
      <c r="K117" s="9"/>
      <c r="L117" s="9">
        <f t="shared" si="16"/>
        <v>3187</v>
      </c>
    </row>
    <row r="118" spans="1:12">
      <c r="A118" s="8">
        <v>117</v>
      </c>
      <c r="B118" s="14">
        <f t="shared" si="18"/>
        <v>4</v>
      </c>
      <c r="C118" s="9">
        <v>21</v>
      </c>
      <c r="D118" s="14">
        <f t="shared" si="19"/>
        <v>90040210</v>
      </c>
      <c r="E118" s="8">
        <v>436464</v>
      </c>
      <c r="F118" s="14">
        <f t="shared" si="17"/>
        <v>33</v>
      </c>
      <c r="H118" t="s">
        <v>170</v>
      </c>
      <c r="I118" s="9">
        <v>11100000</v>
      </c>
      <c r="J118" s="9">
        <f t="shared" ref="J118:J129" si="20">J117+19</f>
        <v>376</v>
      </c>
      <c r="K118" s="9"/>
      <c r="L118" s="9">
        <f t="shared" si="16"/>
        <v>3544</v>
      </c>
    </row>
    <row r="119" spans="1:12">
      <c r="A119" s="8">
        <v>118</v>
      </c>
      <c r="B119" s="14">
        <f t="shared" si="18"/>
        <v>4</v>
      </c>
      <c r="C119" s="9">
        <v>22</v>
      </c>
      <c r="D119" s="14">
        <f t="shared" si="19"/>
        <v>90040220</v>
      </c>
      <c r="E119" s="8">
        <v>484475</v>
      </c>
      <c r="F119" s="14">
        <f t="shared" si="17"/>
        <v>34</v>
      </c>
      <c r="H119" t="s">
        <v>171</v>
      </c>
      <c r="I119" s="9">
        <v>12100000</v>
      </c>
      <c r="J119" s="9">
        <f t="shared" si="20"/>
        <v>395</v>
      </c>
      <c r="K119" s="9"/>
      <c r="L119" s="9">
        <f t="shared" si="16"/>
        <v>3920</v>
      </c>
    </row>
    <row r="120" spans="1:12">
      <c r="A120" s="8">
        <v>119</v>
      </c>
      <c r="B120" s="14">
        <f t="shared" si="18"/>
        <v>4</v>
      </c>
      <c r="C120" s="9">
        <v>23</v>
      </c>
      <c r="D120" s="14">
        <f t="shared" si="19"/>
        <v>90040230</v>
      </c>
      <c r="E120" s="8">
        <v>537767</v>
      </c>
      <c r="F120" s="14">
        <f t="shared" si="17"/>
        <v>34</v>
      </c>
      <c r="H120" t="s">
        <v>172</v>
      </c>
      <c r="I120" s="9">
        <v>13100000</v>
      </c>
      <c r="J120" s="9">
        <f t="shared" si="20"/>
        <v>414</v>
      </c>
      <c r="K120" s="9"/>
      <c r="L120" s="9">
        <f t="shared" si="16"/>
        <v>4315</v>
      </c>
    </row>
    <row r="121" spans="1:12">
      <c r="A121" s="8">
        <v>120</v>
      </c>
      <c r="B121" s="14">
        <f t="shared" si="18"/>
        <v>4</v>
      </c>
      <c r="C121" s="9">
        <v>24</v>
      </c>
      <c r="D121" s="14">
        <f t="shared" si="19"/>
        <v>90040240</v>
      </c>
      <c r="E121" s="8">
        <v>596921</v>
      </c>
      <c r="F121" s="14">
        <f t="shared" si="17"/>
        <v>35</v>
      </c>
      <c r="G121" s="13" t="s">
        <v>101</v>
      </c>
      <c r="H121" t="s">
        <v>173</v>
      </c>
      <c r="I121" s="9">
        <v>14100000</v>
      </c>
      <c r="J121" s="9">
        <f t="shared" si="20"/>
        <v>433</v>
      </c>
      <c r="K121" s="9"/>
      <c r="L121" s="9">
        <f t="shared" si="16"/>
        <v>4729</v>
      </c>
    </row>
    <row r="122" spans="1:12">
      <c r="A122" s="8">
        <v>121</v>
      </c>
      <c r="B122" s="14">
        <f t="shared" si="18"/>
        <v>4</v>
      </c>
      <c r="C122" s="9">
        <v>25</v>
      </c>
      <c r="D122" s="14">
        <f t="shared" si="19"/>
        <v>90040250</v>
      </c>
      <c r="E122" s="8">
        <v>662582</v>
      </c>
      <c r="F122" s="14">
        <f t="shared" si="17"/>
        <v>35</v>
      </c>
      <c r="H122" t="s">
        <v>174</v>
      </c>
      <c r="I122" s="9">
        <v>15100000</v>
      </c>
      <c r="J122" s="9">
        <f t="shared" si="20"/>
        <v>452</v>
      </c>
      <c r="K122" s="9"/>
      <c r="L122" s="9">
        <f t="shared" si="16"/>
        <v>5162</v>
      </c>
    </row>
    <row r="123" spans="1:12">
      <c r="A123" s="8">
        <v>122</v>
      </c>
      <c r="B123" s="14">
        <f t="shared" si="18"/>
        <v>4</v>
      </c>
      <c r="C123" s="9">
        <v>26</v>
      </c>
      <c r="D123" s="14">
        <f t="shared" si="19"/>
        <v>90040260</v>
      </c>
      <c r="E123" s="8">
        <v>735466</v>
      </c>
      <c r="F123" s="14">
        <f t="shared" si="17"/>
        <v>36</v>
      </c>
      <c r="H123" t="s">
        <v>175</v>
      </c>
      <c r="I123" s="9">
        <v>16100000</v>
      </c>
      <c r="J123" s="9">
        <f t="shared" si="20"/>
        <v>471</v>
      </c>
      <c r="K123" s="9"/>
      <c r="L123" s="9">
        <f t="shared" si="16"/>
        <v>5614</v>
      </c>
    </row>
    <row r="124" spans="1:12">
      <c r="A124" s="8">
        <v>123</v>
      </c>
      <c r="B124" s="14">
        <f t="shared" si="18"/>
        <v>4</v>
      </c>
      <c r="C124" s="9">
        <v>27</v>
      </c>
      <c r="D124" s="14">
        <f t="shared" si="19"/>
        <v>90040270</v>
      </c>
      <c r="E124" s="8">
        <v>816367</v>
      </c>
      <c r="F124" s="14">
        <f t="shared" si="17"/>
        <v>36</v>
      </c>
      <c r="H124" t="s">
        <v>176</v>
      </c>
      <c r="I124" s="9">
        <v>17100000</v>
      </c>
      <c r="J124" s="9">
        <f t="shared" si="20"/>
        <v>490</v>
      </c>
      <c r="K124" s="9"/>
      <c r="L124" s="9">
        <f t="shared" si="16"/>
        <v>6085</v>
      </c>
    </row>
    <row r="125" spans="1:12">
      <c r="A125" s="8">
        <v>124</v>
      </c>
      <c r="B125" s="14">
        <f t="shared" si="18"/>
        <v>4</v>
      </c>
      <c r="C125" s="9">
        <v>28</v>
      </c>
      <c r="D125" s="14">
        <f t="shared" si="19"/>
        <v>90040280</v>
      </c>
      <c r="E125" s="8">
        <v>906167</v>
      </c>
      <c r="F125" s="14">
        <f t="shared" si="17"/>
        <v>37</v>
      </c>
      <c r="G125" s="13" t="s">
        <v>177</v>
      </c>
      <c r="H125" t="s">
        <v>178</v>
      </c>
      <c r="I125" s="9">
        <v>18100000</v>
      </c>
      <c r="J125" s="9">
        <f t="shared" si="20"/>
        <v>509</v>
      </c>
      <c r="K125" s="9"/>
      <c r="L125" s="9">
        <f t="shared" si="16"/>
        <v>6575</v>
      </c>
    </row>
    <row r="126" spans="1:12">
      <c r="A126" s="8">
        <v>125</v>
      </c>
      <c r="B126" s="14">
        <f t="shared" si="18"/>
        <v>4</v>
      </c>
      <c r="C126" s="9">
        <v>29</v>
      </c>
      <c r="D126" s="14">
        <f t="shared" si="19"/>
        <v>90040290</v>
      </c>
      <c r="E126" s="8">
        <v>1005845</v>
      </c>
      <c r="F126" s="14">
        <f t="shared" si="17"/>
        <v>37</v>
      </c>
      <c r="H126" t="s">
        <v>179</v>
      </c>
      <c r="I126" s="9">
        <v>19100000</v>
      </c>
      <c r="J126" s="9">
        <f t="shared" si="20"/>
        <v>528</v>
      </c>
      <c r="K126" s="9"/>
      <c r="L126" s="9">
        <f t="shared" si="16"/>
        <v>7084</v>
      </c>
    </row>
    <row r="127" spans="1:12">
      <c r="A127" s="8">
        <v>126</v>
      </c>
      <c r="B127" s="14">
        <f t="shared" si="18"/>
        <v>4</v>
      </c>
      <c r="C127" s="9">
        <v>30</v>
      </c>
      <c r="D127" s="14">
        <f t="shared" si="19"/>
        <v>90040300</v>
      </c>
      <c r="E127" s="8">
        <v>1116488</v>
      </c>
      <c r="F127" s="14">
        <f t="shared" si="17"/>
        <v>38</v>
      </c>
      <c r="G127"/>
      <c r="H127" t="s">
        <v>180</v>
      </c>
      <c r="I127" s="9">
        <v>20100000</v>
      </c>
      <c r="J127" s="9">
        <f t="shared" si="20"/>
        <v>547</v>
      </c>
      <c r="K127" s="9"/>
      <c r="L127" s="9">
        <f t="shared" si="16"/>
        <v>7612</v>
      </c>
    </row>
    <row r="128" spans="1:12">
      <c r="A128" s="8">
        <v>127</v>
      </c>
      <c r="B128" s="14">
        <f t="shared" si="18"/>
        <v>4</v>
      </c>
      <c r="C128" s="9">
        <v>31</v>
      </c>
      <c r="D128" s="14">
        <f t="shared" si="19"/>
        <v>90040310</v>
      </c>
      <c r="E128" s="8">
        <v>1239302</v>
      </c>
      <c r="F128" s="14">
        <v>39</v>
      </c>
      <c r="G128"/>
      <c r="H128" t="s">
        <v>181</v>
      </c>
      <c r="I128" s="9">
        <v>21100000</v>
      </c>
      <c r="J128" s="9">
        <f t="shared" si="20"/>
        <v>566</v>
      </c>
      <c r="K128" s="9"/>
      <c r="L128" s="9">
        <f t="shared" si="16"/>
        <v>8159</v>
      </c>
    </row>
    <row r="129" spans="1:12">
      <c r="A129" s="8">
        <v>128</v>
      </c>
      <c r="B129" s="14">
        <f t="shared" si="18"/>
        <v>4</v>
      </c>
      <c r="C129" s="9">
        <v>32</v>
      </c>
      <c r="D129" s="14">
        <f t="shared" si="19"/>
        <v>90040320</v>
      </c>
      <c r="E129" s="8">
        <v>1375625</v>
      </c>
      <c r="F129" s="14">
        <v>40</v>
      </c>
      <c r="G129" s="13" t="s">
        <v>111</v>
      </c>
      <c r="H129" t="s">
        <v>182</v>
      </c>
      <c r="I129" s="9">
        <v>22100000</v>
      </c>
      <c r="J129" s="9">
        <f t="shared" si="20"/>
        <v>585</v>
      </c>
      <c r="K129" s="9">
        <v>1</v>
      </c>
      <c r="L129" s="9">
        <f t="shared" si="16"/>
        <v>8725</v>
      </c>
    </row>
    <row r="130" spans="1:12">
      <c r="A130" s="8">
        <v>129</v>
      </c>
      <c r="B130">
        <v>5</v>
      </c>
      <c r="C130" s="9">
        <v>1</v>
      </c>
      <c r="D130">
        <v>90050010</v>
      </c>
      <c r="E130" s="8">
        <v>2100</v>
      </c>
      <c r="F130" s="8">
        <v>4</v>
      </c>
      <c r="G130"/>
      <c r="H130" t="s">
        <v>183</v>
      </c>
      <c r="I130" s="9">
        <v>1000000</v>
      </c>
      <c r="J130" s="9">
        <v>10</v>
      </c>
      <c r="K130" s="9"/>
      <c r="L130" s="9"/>
    </row>
    <row r="131" spans="1:12">
      <c r="A131" s="8">
        <v>130</v>
      </c>
      <c r="B131">
        <v>5</v>
      </c>
      <c r="C131" s="9">
        <v>2</v>
      </c>
      <c r="D131">
        <v>90050020</v>
      </c>
      <c r="E131" s="8">
        <v>2940</v>
      </c>
      <c r="F131" s="8">
        <v>6</v>
      </c>
      <c r="G131"/>
      <c r="H131" t="s">
        <v>184</v>
      </c>
      <c r="I131" s="9">
        <v>1200000</v>
      </c>
      <c r="J131" s="9">
        <v>15</v>
      </c>
      <c r="K131" s="9"/>
      <c r="L131" s="9">
        <v>10</v>
      </c>
    </row>
    <row r="132" spans="1:12">
      <c r="A132" s="8">
        <v>131</v>
      </c>
      <c r="B132">
        <v>5</v>
      </c>
      <c r="C132" s="9">
        <v>3</v>
      </c>
      <c r="D132">
        <v>90050030</v>
      </c>
      <c r="E132" s="8">
        <v>4116</v>
      </c>
      <c r="F132" s="8">
        <v>8</v>
      </c>
      <c r="G132"/>
      <c r="H132" t="s">
        <v>185</v>
      </c>
      <c r="I132" s="9">
        <v>1500000</v>
      </c>
      <c r="J132" s="9">
        <v>34</v>
      </c>
      <c r="K132" s="9"/>
      <c r="L132" s="9">
        <v>25</v>
      </c>
    </row>
    <row r="133" spans="1:12">
      <c r="A133" s="8">
        <v>132</v>
      </c>
      <c r="B133">
        <v>5</v>
      </c>
      <c r="C133" s="9">
        <v>4</v>
      </c>
      <c r="D133">
        <v>90050040</v>
      </c>
      <c r="E133" s="8">
        <v>5762</v>
      </c>
      <c r="F133" s="8">
        <v>10</v>
      </c>
      <c r="G133" t="s">
        <v>186</v>
      </c>
      <c r="H133" t="s">
        <v>187</v>
      </c>
      <c r="I133" s="9">
        <v>1800000</v>
      </c>
      <c r="J133" s="9">
        <v>53</v>
      </c>
      <c r="K133" s="9"/>
      <c r="L133" s="9">
        <f>L132+J132</f>
        <v>59</v>
      </c>
    </row>
    <row r="134" spans="1:12">
      <c r="A134" s="8">
        <v>133</v>
      </c>
      <c r="B134">
        <v>5</v>
      </c>
      <c r="C134" s="9">
        <v>5</v>
      </c>
      <c r="D134">
        <v>90050050</v>
      </c>
      <c r="E134" s="8">
        <v>8067</v>
      </c>
      <c r="F134" s="8">
        <v>12</v>
      </c>
      <c r="G134"/>
      <c r="H134" t="s">
        <v>188</v>
      </c>
      <c r="I134" s="9">
        <v>2100000</v>
      </c>
      <c r="J134" s="9">
        <v>72</v>
      </c>
      <c r="K134" s="9"/>
      <c r="L134" s="9">
        <f t="shared" ref="L134:L161" si="21">L133+J133</f>
        <v>112</v>
      </c>
    </row>
    <row r="135" spans="1:12">
      <c r="A135" s="8">
        <v>134</v>
      </c>
      <c r="B135">
        <v>5</v>
      </c>
      <c r="C135" s="9">
        <v>6</v>
      </c>
      <c r="D135">
        <v>90050060</v>
      </c>
      <c r="E135" s="8">
        <v>11294</v>
      </c>
      <c r="F135" s="8">
        <v>14</v>
      </c>
      <c r="G135"/>
      <c r="H135" t="s">
        <v>189</v>
      </c>
      <c r="I135" s="9">
        <v>2400000</v>
      </c>
      <c r="J135" s="9">
        <v>91</v>
      </c>
      <c r="K135" s="9"/>
      <c r="L135" s="9">
        <f t="shared" si="21"/>
        <v>184</v>
      </c>
    </row>
    <row r="136" spans="1:12">
      <c r="A136" s="8">
        <v>135</v>
      </c>
      <c r="B136">
        <v>5</v>
      </c>
      <c r="C136" s="9">
        <v>7</v>
      </c>
      <c r="D136">
        <v>90050070</v>
      </c>
      <c r="E136" s="8">
        <v>15812</v>
      </c>
      <c r="F136" s="8">
        <v>16</v>
      </c>
      <c r="G136"/>
      <c r="H136" t="s">
        <v>190</v>
      </c>
      <c r="I136" s="9">
        <v>2700000</v>
      </c>
      <c r="J136" s="9">
        <v>110</v>
      </c>
      <c r="K136" s="9"/>
      <c r="L136" s="9">
        <f t="shared" si="21"/>
        <v>275</v>
      </c>
    </row>
    <row r="137" spans="1:12">
      <c r="A137" s="8">
        <v>136</v>
      </c>
      <c r="B137">
        <v>5</v>
      </c>
      <c r="C137" s="9">
        <v>8</v>
      </c>
      <c r="D137">
        <v>90050080</v>
      </c>
      <c r="E137" s="8">
        <v>22136</v>
      </c>
      <c r="F137" s="8">
        <v>18</v>
      </c>
      <c r="G137" t="s">
        <v>191</v>
      </c>
      <c r="H137" t="s">
        <v>192</v>
      </c>
      <c r="I137" s="9">
        <v>3000000</v>
      </c>
      <c r="J137" s="9">
        <v>129</v>
      </c>
      <c r="K137" s="9"/>
      <c r="L137" s="9">
        <f t="shared" si="21"/>
        <v>385</v>
      </c>
    </row>
    <row r="138" spans="1:12">
      <c r="A138" s="8">
        <v>137</v>
      </c>
      <c r="B138">
        <v>5</v>
      </c>
      <c r="C138" s="9">
        <v>9</v>
      </c>
      <c r="D138">
        <v>90050090</v>
      </c>
      <c r="E138" s="8">
        <v>30991</v>
      </c>
      <c r="F138" s="8">
        <v>20</v>
      </c>
      <c r="G138"/>
      <c r="H138" t="s">
        <v>193</v>
      </c>
      <c r="I138" s="9">
        <v>3300000</v>
      </c>
      <c r="J138" s="9">
        <v>148</v>
      </c>
      <c r="K138" s="9"/>
      <c r="L138" s="9">
        <f t="shared" si="21"/>
        <v>514</v>
      </c>
    </row>
    <row r="139" spans="1:12">
      <c r="A139" s="8">
        <v>138</v>
      </c>
      <c r="B139">
        <v>5</v>
      </c>
      <c r="C139" s="9">
        <v>10</v>
      </c>
      <c r="D139">
        <v>90050100</v>
      </c>
      <c r="E139" s="8">
        <v>43388</v>
      </c>
      <c r="F139" s="8">
        <v>22</v>
      </c>
      <c r="G139"/>
      <c r="H139" t="s">
        <v>194</v>
      </c>
      <c r="I139" s="9">
        <v>3600000</v>
      </c>
      <c r="J139" s="9">
        <v>167</v>
      </c>
      <c r="K139" s="9"/>
      <c r="L139" s="9">
        <f t="shared" si="21"/>
        <v>662</v>
      </c>
    </row>
    <row r="140" spans="1:12">
      <c r="A140" s="8">
        <v>139</v>
      </c>
      <c r="B140">
        <v>5</v>
      </c>
      <c r="C140" s="9">
        <v>11</v>
      </c>
      <c r="D140">
        <v>90050110</v>
      </c>
      <c r="E140" s="8">
        <v>60743</v>
      </c>
      <c r="F140" s="8">
        <v>24</v>
      </c>
      <c r="G140"/>
      <c r="H140" t="s">
        <v>195</v>
      </c>
      <c r="I140" s="9">
        <v>3900000</v>
      </c>
      <c r="J140" s="9">
        <v>186</v>
      </c>
      <c r="K140" s="9"/>
      <c r="L140" s="9">
        <f t="shared" si="21"/>
        <v>829</v>
      </c>
    </row>
    <row r="141" spans="1:12">
      <c r="A141" s="8">
        <v>140</v>
      </c>
      <c r="B141">
        <v>5</v>
      </c>
      <c r="C141" s="9">
        <v>12</v>
      </c>
      <c r="D141">
        <v>90050120</v>
      </c>
      <c r="E141" s="8">
        <v>85040</v>
      </c>
      <c r="F141" s="8">
        <v>26</v>
      </c>
      <c r="G141" t="s">
        <v>50</v>
      </c>
      <c r="H141" t="s">
        <v>196</v>
      </c>
      <c r="I141" s="9">
        <v>4200000</v>
      </c>
      <c r="J141" s="9">
        <v>205</v>
      </c>
      <c r="K141" s="9"/>
      <c r="L141" s="9">
        <f t="shared" si="21"/>
        <v>1015</v>
      </c>
    </row>
    <row r="142" spans="1:12">
      <c r="A142" s="8">
        <v>141</v>
      </c>
      <c r="B142">
        <v>5</v>
      </c>
      <c r="C142" s="9">
        <v>13</v>
      </c>
      <c r="D142">
        <v>90050130</v>
      </c>
      <c r="E142" s="8">
        <v>119057</v>
      </c>
      <c r="F142" s="8">
        <v>28</v>
      </c>
      <c r="G142"/>
      <c r="H142" t="s">
        <v>197</v>
      </c>
      <c r="I142" s="9">
        <v>4500000</v>
      </c>
      <c r="J142" s="9">
        <v>224</v>
      </c>
      <c r="K142" s="9"/>
      <c r="L142" s="9">
        <f t="shared" si="21"/>
        <v>1220</v>
      </c>
    </row>
    <row r="143" spans="1:12">
      <c r="A143" s="8">
        <v>142</v>
      </c>
      <c r="B143">
        <v>5</v>
      </c>
      <c r="C143" s="9">
        <v>14</v>
      </c>
      <c r="D143">
        <v>90050140</v>
      </c>
      <c r="E143" s="8">
        <v>166680</v>
      </c>
      <c r="F143" s="8">
        <v>29</v>
      </c>
      <c r="G143"/>
      <c r="H143" t="s">
        <v>198</v>
      </c>
      <c r="I143" s="9">
        <v>4800000</v>
      </c>
      <c r="J143" s="9">
        <v>243</v>
      </c>
      <c r="K143" s="9"/>
      <c r="L143" s="9">
        <f t="shared" si="21"/>
        <v>1444</v>
      </c>
    </row>
    <row r="144" spans="1:12">
      <c r="A144" s="8">
        <v>143</v>
      </c>
      <c r="B144">
        <v>5</v>
      </c>
      <c r="C144" s="9">
        <v>15</v>
      </c>
      <c r="D144">
        <v>90050150</v>
      </c>
      <c r="E144" s="8">
        <v>233352</v>
      </c>
      <c r="F144" s="8">
        <v>30</v>
      </c>
      <c r="G144"/>
      <c r="H144" t="s">
        <v>199</v>
      </c>
      <c r="I144" s="9">
        <v>5100000</v>
      </c>
      <c r="J144" s="9">
        <v>262</v>
      </c>
      <c r="K144" s="9"/>
      <c r="L144" s="9">
        <f t="shared" si="21"/>
        <v>1687</v>
      </c>
    </row>
    <row r="145" spans="1:12">
      <c r="A145" s="8">
        <v>144</v>
      </c>
      <c r="B145">
        <v>5</v>
      </c>
      <c r="C145" s="9">
        <v>16</v>
      </c>
      <c r="D145">
        <v>90050160</v>
      </c>
      <c r="E145" s="8">
        <v>259021</v>
      </c>
      <c r="F145" s="8">
        <f>F144+1</f>
        <v>31</v>
      </c>
      <c r="G145" s="13" t="s">
        <v>55</v>
      </c>
      <c r="H145" t="s">
        <v>200</v>
      </c>
      <c r="I145" s="9">
        <v>6100000</v>
      </c>
      <c r="J145" s="9">
        <v>281</v>
      </c>
      <c r="K145" s="9"/>
      <c r="L145" s="9">
        <f t="shared" si="21"/>
        <v>1949</v>
      </c>
    </row>
    <row r="146" spans="1:12">
      <c r="A146" s="8">
        <v>145</v>
      </c>
      <c r="B146">
        <v>5</v>
      </c>
      <c r="C146" s="9">
        <v>17</v>
      </c>
      <c r="D146">
        <v>90050170</v>
      </c>
      <c r="E146" s="8">
        <v>287513</v>
      </c>
      <c r="F146" s="8">
        <v>31</v>
      </c>
      <c r="H146" t="s">
        <v>201</v>
      </c>
      <c r="I146" s="9">
        <v>7100000</v>
      </c>
      <c r="J146" s="9">
        <v>300</v>
      </c>
      <c r="K146" s="9"/>
      <c r="L146" s="9">
        <f t="shared" si="21"/>
        <v>2230</v>
      </c>
    </row>
    <row r="147" spans="1:12">
      <c r="A147" s="8">
        <v>146</v>
      </c>
      <c r="B147">
        <v>5</v>
      </c>
      <c r="C147" s="9">
        <v>18</v>
      </c>
      <c r="D147">
        <v>90050180</v>
      </c>
      <c r="E147" s="8">
        <v>319139</v>
      </c>
      <c r="F147" s="8">
        <f>F145+1</f>
        <v>32</v>
      </c>
      <c r="H147" t="s">
        <v>202</v>
      </c>
      <c r="I147" s="9">
        <v>8100000</v>
      </c>
      <c r="J147" s="9">
        <v>319</v>
      </c>
      <c r="K147" s="9"/>
      <c r="L147" s="9">
        <f t="shared" si="21"/>
        <v>2530</v>
      </c>
    </row>
    <row r="148" spans="1:12">
      <c r="A148" s="8">
        <v>147</v>
      </c>
      <c r="B148">
        <v>5</v>
      </c>
      <c r="C148" s="9">
        <v>19</v>
      </c>
      <c r="D148">
        <v>90050190</v>
      </c>
      <c r="E148" s="8">
        <v>354244</v>
      </c>
      <c r="F148" s="8">
        <f t="shared" ref="F148:F159" si="22">F146+1</f>
        <v>32</v>
      </c>
      <c r="H148" t="s">
        <v>203</v>
      </c>
      <c r="I148" s="9">
        <v>9100000</v>
      </c>
      <c r="J148" s="9">
        <v>338</v>
      </c>
      <c r="K148" s="9"/>
      <c r="L148" s="9">
        <f t="shared" si="21"/>
        <v>2849</v>
      </c>
    </row>
    <row r="149" spans="1:12">
      <c r="A149" s="8">
        <v>148</v>
      </c>
      <c r="B149">
        <v>5</v>
      </c>
      <c r="C149" s="9">
        <v>20</v>
      </c>
      <c r="D149">
        <v>90050200</v>
      </c>
      <c r="E149" s="8">
        <v>393211</v>
      </c>
      <c r="F149" s="8">
        <f t="shared" si="22"/>
        <v>33</v>
      </c>
      <c r="G149" s="13" t="s">
        <v>60</v>
      </c>
      <c r="H149" t="s">
        <v>204</v>
      </c>
      <c r="I149" s="9">
        <v>10100000</v>
      </c>
      <c r="J149" s="9">
        <f>J148+19</f>
        <v>357</v>
      </c>
      <c r="K149" s="9"/>
      <c r="L149" s="9">
        <f t="shared" si="21"/>
        <v>3187</v>
      </c>
    </row>
    <row r="150" spans="1:12">
      <c r="A150" s="8">
        <v>149</v>
      </c>
      <c r="B150" s="14">
        <f t="shared" ref="B150:B161" si="23">B149</f>
        <v>5</v>
      </c>
      <c r="C150" s="9">
        <v>21</v>
      </c>
      <c r="D150" s="14">
        <f t="shared" ref="D150:D161" si="24">D149+10</f>
        <v>90050210</v>
      </c>
      <c r="E150" s="8">
        <v>436464</v>
      </c>
      <c r="F150" s="14">
        <f t="shared" si="22"/>
        <v>33</v>
      </c>
      <c r="H150" s="10" t="s">
        <v>205</v>
      </c>
      <c r="I150" s="9">
        <v>11100000</v>
      </c>
      <c r="J150" s="9">
        <f t="shared" ref="J150:J161" si="25">J149+19</f>
        <v>376</v>
      </c>
      <c r="K150" s="9"/>
      <c r="L150" s="9">
        <f t="shared" si="21"/>
        <v>3544</v>
      </c>
    </row>
    <row r="151" spans="1:12">
      <c r="A151" s="8">
        <v>150</v>
      </c>
      <c r="B151" s="14">
        <f t="shared" si="23"/>
        <v>5</v>
      </c>
      <c r="C151" s="9">
        <v>22</v>
      </c>
      <c r="D151" s="14">
        <f t="shared" si="24"/>
        <v>90050220</v>
      </c>
      <c r="E151" s="8">
        <v>484475</v>
      </c>
      <c r="F151" s="14">
        <f t="shared" si="22"/>
        <v>34</v>
      </c>
      <c r="H151" s="10" t="s">
        <v>206</v>
      </c>
      <c r="I151" s="9">
        <v>12100000</v>
      </c>
      <c r="J151" s="9">
        <f t="shared" si="25"/>
        <v>395</v>
      </c>
      <c r="K151" s="9"/>
      <c r="L151" s="9">
        <f t="shared" si="21"/>
        <v>3920</v>
      </c>
    </row>
    <row r="152" spans="1:12">
      <c r="A152" s="8">
        <v>151</v>
      </c>
      <c r="B152" s="14">
        <f t="shared" si="23"/>
        <v>5</v>
      </c>
      <c r="C152" s="9">
        <v>23</v>
      </c>
      <c r="D152" s="14">
        <f t="shared" si="24"/>
        <v>90050230</v>
      </c>
      <c r="E152" s="8">
        <v>537767</v>
      </c>
      <c r="F152" s="14">
        <f t="shared" si="22"/>
        <v>34</v>
      </c>
      <c r="H152" s="10" t="s">
        <v>207</v>
      </c>
      <c r="I152" s="9">
        <v>13100000</v>
      </c>
      <c r="J152" s="9">
        <f t="shared" si="25"/>
        <v>414</v>
      </c>
      <c r="K152" s="9"/>
      <c r="L152" s="9">
        <f t="shared" si="21"/>
        <v>4315</v>
      </c>
    </row>
    <row r="153" spans="1:12">
      <c r="A153" s="8">
        <v>152</v>
      </c>
      <c r="B153" s="14">
        <f t="shared" si="23"/>
        <v>5</v>
      </c>
      <c r="C153" s="9">
        <v>24</v>
      </c>
      <c r="D153" s="14">
        <f t="shared" si="24"/>
        <v>90050240</v>
      </c>
      <c r="E153" s="8">
        <v>596921</v>
      </c>
      <c r="F153" s="14">
        <f t="shared" si="22"/>
        <v>35</v>
      </c>
      <c r="G153" s="13" t="s">
        <v>186</v>
      </c>
      <c r="H153" s="10" t="s">
        <v>208</v>
      </c>
      <c r="I153" s="9">
        <v>14100000</v>
      </c>
      <c r="J153" s="9">
        <f t="shared" si="25"/>
        <v>433</v>
      </c>
      <c r="K153" s="9"/>
      <c r="L153" s="9">
        <f t="shared" si="21"/>
        <v>4729</v>
      </c>
    </row>
    <row r="154" spans="1:12">
      <c r="A154" s="8">
        <v>153</v>
      </c>
      <c r="B154" s="14">
        <f t="shared" si="23"/>
        <v>5</v>
      </c>
      <c r="C154" s="9">
        <v>25</v>
      </c>
      <c r="D154" s="14">
        <f t="shared" si="24"/>
        <v>90050250</v>
      </c>
      <c r="E154" s="8">
        <v>662582</v>
      </c>
      <c r="F154" s="14">
        <f t="shared" si="22"/>
        <v>35</v>
      </c>
      <c r="H154" s="10" t="s">
        <v>209</v>
      </c>
      <c r="I154" s="9">
        <v>15100000</v>
      </c>
      <c r="J154" s="9">
        <f t="shared" si="25"/>
        <v>452</v>
      </c>
      <c r="K154" s="9"/>
      <c r="L154" s="9">
        <f t="shared" si="21"/>
        <v>5162</v>
      </c>
    </row>
    <row r="155" spans="1:12">
      <c r="A155" s="8">
        <v>154</v>
      </c>
      <c r="B155" s="14">
        <f t="shared" si="23"/>
        <v>5</v>
      </c>
      <c r="C155" s="9">
        <v>26</v>
      </c>
      <c r="D155" s="14">
        <f t="shared" si="24"/>
        <v>90050260</v>
      </c>
      <c r="E155" s="8">
        <v>735466</v>
      </c>
      <c r="F155" s="14">
        <f t="shared" si="22"/>
        <v>36</v>
      </c>
      <c r="H155" s="10" t="s">
        <v>210</v>
      </c>
      <c r="I155" s="9">
        <v>16100000</v>
      </c>
      <c r="J155" s="9">
        <f t="shared" si="25"/>
        <v>471</v>
      </c>
      <c r="K155" s="9"/>
      <c r="L155" s="9">
        <f t="shared" si="21"/>
        <v>5614</v>
      </c>
    </row>
    <row r="156" spans="1:12">
      <c r="A156" s="8">
        <v>155</v>
      </c>
      <c r="B156" s="14">
        <f t="shared" si="23"/>
        <v>5</v>
      </c>
      <c r="C156" s="9">
        <v>27</v>
      </c>
      <c r="D156" s="14">
        <f t="shared" si="24"/>
        <v>90050270</v>
      </c>
      <c r="E156" s="8">
        <v>816367</v>
      </c>
      <c r="F156" s="14">
        <f t="shared" si="22"/>
        <v>36</v>
      </c>
      <c r="H156" s="10" t="s">
        <v>211</v>
      </c>
      <c r="I156" s="9">
        <v>17100000</v>
      </c>
      <c r="J156" s="9">
        <f t="shared" si="25"/>
        <v>490</v>
      </c>
      <c r="K156" s="9"/>
      <c r="L156" s="9">
        <f t="shared" si="21"/>
        <v>6085</v>
      </c>
    </row>
    <row r="157" spans="1:12">
      <c r="A157" s="8">
        <v>156</v>
      </c>
      <c r="B157" s="14">
        <f t="shared" si="23"/>
        <v>5</v>
      </c>
      <c r="C157" s="9">
        <v>28</v>
      </c>
      <c r="D157" s="14">
        <f t="shared" si="24"/>
        <v>90050280</v>
      </c>
      <c r="E157" s="8">
        <v>906167</v>
      </c>
      <c r="F157" s="14">
        <f t="shared" si="22"/>
        <v>37</v>
      </c>
      <c r="G157" s="13" t="s">
        <v>69</v>
      </c>
      <c r="H157" s="10" t="s">
        <v>212</v>
      </c>
      <c r="I157" s="9">
        <v>18100000</v>
      </c>
      <c r="J157" s="9">
        <f t="shared" si="25"/>
        <v>509</v>
      </c>
      <c r="K157" s="9"/>
      <c r="L157" s="9">
        <f t="shared" si="21"/>
        <v>6575</v>
      </c>
    </row>
    <row r="158" spans="1:12">
      <c r="A158" s="8">
        <v>157</v>
      </c>
      <c r="B158" s="14">
        <f t="shared" si="23"/>
        <v>5</v>
      </c>
      <c r="C158" s="9">
        <v>29</v>
      </c>
      <c r="D158" s="14">
        <f t="shared" si="24"/>
        <v>90050290</v>
      </c>
      <c r="E158" s="8">
        <v>1005845</v>
      </c>
      <c r="F158" s="14">
        <f t="shared" si="22"/>
        <v>37</v>
      </c>
      <c r="H158" s="10" t="s">
        <v>213</v>
      </c>
      <c r="I158" s="9">
        <v>19100000</v>
      </c>
      <c r="J158" s="9">
        <f t="shared" si="25"/>
        <v>528</v>
      </c>
      <c r="K158" s="9"/>
      <c r="L158" s="9">
        <f t="shared" si="21"/>
        <v>7084</v>
      </c>
    </row>
    <row r="159" spans="1:12">
      <c r="A159" s="8">
        <v>158</v>
      </c>
      <c r="B159" s="14">
        <f t="shared" si="23"/>
        <v>5</v>
      </c>
      <c r="C159" s="9">
        <v>30</v>
      </c>
      <c r="D159" s="14">
        <f t="shared" si="24"/>
        <v>90050300</v>
      </c>
      <c r="E159" s="8">
        <v>1116488</v>
      </c>
      <c r="F159" s="14">
        <f t="shared" si="22"/>
        <v>38</v>
      </c>
      <c r="H159" s="10" t="s">
        <v>214</v>
      </c>
      <c r="I159" s="9">
        <v>20100000</v>
      </c>
      <c r="J159" s="9">
        <f t="shared" si="25"/>
        <v>547</v>
      </c>
      <c r="K159" s="9"/>
      <c r="L159" s="9">
        <f t="shared" si="21"/>
        <v>7612</v>
      </c>
    </row>
    <row r="160" spans="1:12">
      <c r="A160" s="8">
        <v>159</v>
      </c>
      <c r="B160" s="14">
        <f t="shared" si="23"/>
        <v>5</v>
      </c>
      <c r="C160" s="9">
        <v>31</v>
      </c>
      <c r="D160" s="14">
        <f t="shared" si="24"/>
        <v>90050310</v>
      </c>
      <c r="E160" s="8">
        <v>1239302</v>
      </c>
      <c r="F160" s="14">
        <v>39</v>
      </c>
      <c r="H160" s="10" t="s">
        <v>215</v>
      </c>
      <c r="I160" s="9">
        <v>21100000</v>
      </c>
      <c r="J160" s="9">
        <f t="shared" si="25"/>
        <v>566</v>
      </c>
      <c r="K160" s="9"/>
      <c r="L160" s="9">
        <f t="shared" si="21"/>
        <v>8159</v>
      </c>
    </row>
    <row r="161" spans="1:12">
      <c r="A161" s="8">
        <v>160</v>
      </c>
      <c r="B161" s="14">
        <f t="shared" si="23"/>
        <v>5</v>
      </c>
      <c r="C161" s="9">
        <v>32</v>
      </c>
      <c r="D161" s="14">
        <f t="shared" si="24"/>
        <v>90050320</v>
      </c>
      <c r="E161" s="8">
        <v>1375625</v>
      </c>
      <c r="F161" s="14">
        <v>40</v>
      </c>
      <c r="G161" s="13" t="s">
        <v>74</v>
      </c>
      <c r="H161" s="10" t="s">
        <v>216</v>
      </c>
      <c r="I161" s="9">
        <v>22100000</v>
      </c>
      <c r="J161" s="9">
        <f t="shared" si="25"/>
        <v>585</v>
      </c>
      <c r="K161" s="9">
        <v>1</v>
      </c>
      <c r="L161" s="9">
        <f t="shared" si="21"/>
        <v>8725</v>
      </c>
    </row>
    <row r="162" spans="1:12">
      <c r="A162" s="8">
        <v>161</v>
      </c>
      <c r="B162">
        <v>6</v>
      </c>
      <c r="C162" s="9">
        <v>1</v>
      </c>
      <c r="D162">
        <v>90050010</v>
      </c>
      <c r="E162" s="8">
        <v>2100</v>
      </c>
      <c r="F162" s="8">
        <v>4</v>
      </c>
      <c r="G162"/>
      <c r="H162" t="s">
        <v>217</v>
      </c>
      <c r="I162" s="9">
        <v>1000000</v>
      </c>
      <c r="J162" s="9">
        <v>10</v>
      </c>
      <c r="K162" s="9"/>
      <c r="L162" s="9"/>
    </row>
    <row r="163" spans="1:12">
      <c r="A163" s="8">
        <v>162</v>
      </c>
      <c r="B163">
        <v>6</v>
      </c>
      <c r="C163" s="9">
        <v>2</v>
      </c>
      <c r="D163">
        <v>90050020</v>
      </c>
      <c r="E163" s="8">
        <v>2940</v>
      </c>
      <c r="F163" s="8">
        <v>6</v>
      </c>
      <c r="G163"/>
      <c r="H163" t="s">
        <v>218</v>
      </c>
      <c r="I163" s="9">
        <v>1200000</v>
      </c>
      <c r="J163" s="9">
        <v>15</v>
      </c>
      <c r="K163" s="9"/>
      <c r="L163" s="9">
        <v>10</v>
      </c>
    </row>
    <row r="164" spans="1:12">
      <c r="A164" s="8">
        <v>163</v>
      </c>
      <c r="B164">
        <v>6</v>
      </c>
      <c r="C164" s="9">
        <v>3</v>
      </c>
      <c r="D164">
        <v>90050030</v>
      </c>
      <c r="E164" s="8">
        <v>4116</v>
      </c>
      <c r="F164" s="8">
        <v>8</v>
      </c>
      <c r="G164"/>
      <c r="H164" t="s">
        <v>219</v>
      </c>
      <c r="I164" s="9">
        <v>1500000</v>
      </c>
      <c r="J164" s="9">
        <v>34</v>
      </c>
      <c r="K164" s="9"/>
      <c r="L164" s="9">
        <v>25</v>
      </c>
    </row>
    <row r="165" spans="1:12">
      <c r="A165" s="8">
        <v>164</v>
      </c>
      <c r="B165">
        <v>6</v>
      </c>
      <c r="C165" s="9">
        <v>4</v>
      </c>
      <c r="D165">
        <v>90050040</v>
      </c>
      <c r="E165" s="8">
        <v>5762</v>
      </c>
      <c r="F165" s="8">
        <v>10</v>
      </c>
      <c r="G165" t="s">
        <v>186</v>
      </c>
      <c r="H165" t="s">
        <v>187</v>
      </c>
      <c r="I165" s="9">
        <v>1800000</v>
      </c>
      <c r="J165" s="9">
        <v>53</v>
      </c>
      <c r="K165" s="9"/>
      <c r="L165" s="9">
        <f>L164+J164</f>
        <v>59</v>
      </c>
    </row>
    <row r="166" spans="1:12">
      <c r="A166" s="8">
        <v>165</v>
      </c>
      <c r="B166">
        <v>6</v>
      </c>
      <c r="C166" s="9">
        <v>5</v>
      </c>
      <c r="D166">
        <v>90050050</v>
      </c>
      <c r="E166" s="8">
        <v>8067</v>
      </c>
      <c r="F166" s="8">
        <v>12</v>
      </c>
      <c r="G166"/>
      <c r="H166" t="s">
        <v>188</v>
      </c>
      <c r="I166" s="9">
        <v>2100000</v>
      </c>
      <c r="J166" s="9">
        <v>72</v>
      </c>
      <c r="K166" s="9"/>
      <c r="L166" s="9">
        <f t="shared" ref="L166:L193" si="26">L165+J165</f>
        <v>112</v>
      </c>
    </row>
    <row r="167" spans="1:12">
      <c r="A167" s="8">
        <v>166</v>
      </c>
      <c r="B167">
        <v>6</v>
      </c>
      <c r="C167" s="9">
        <v>6</v>
      </c>
      <c r="D167">
        <v>90050060</v>
      </c>
      <c r="E167" s="8">
        <v>11294</v>
      </c>
      <c r="F167" s="8">
        <v>14</v>
      </c>
      <c r="G167"/>
      <c r="H167" t="s">
        <v>189</v>
      </c>
      <c r="I167" s="9">
        <v>2400000</v>
      </c>
      <c r="J167" s="9">
        <v>91</v>
      </c>
      <c r="K167" s="9"/>
      <c r="L167" s="9">
        <f t="shared" si="26"/>
        <v>184</v>
      </c>
    </row>
    <row r="168" spans="1:12">
      <c r="A168" s="8">
        <v>167</v>
      </c>
      <c r="B168">
        <v>6</v>
      </c>
      <c r="C168" s="9">
        <v>7</v>
      </c>
      <c r="D168">
        <v>90050070</v>
      </c>
      <c r="E168" s="8">
        <v>15812</v>
      </c>
      <c r="F168" s="8">
        <v>16</v>
      </c>
      <c r="G168"/>
      <c r="H168" t="s">
        <v>190</v>
      </c>
      <c r="I168" s="9">
        <v>2700000</v>
      </c>
      <c r="J168" s="9">
        <v>110</v>
      </c>
      <c r="K168" s="9"/>
      <c r="L168" s="9">
        <f t="shared" si="26"/>
        <v>275</v>
      </c>
    </row>
    <row r="169" spans="1:12">
      <c r="A169" s="8">
        <v>168</v>
      </c>
      <c r="B169">
        <v>6</v>
      </c>
      <c r="C169" s="9">
        <v>8</v>
      </c>
      <c r="D169">
        <v>90050080</v>
      </c>
      <c r="E169" s="8">
        <v>22136</v>
      </c>
      <c r="F169" s="8">
        <v>18</v>
      </c>
      <c r="G169" t="s">
        <v>191</v>
      </c>
      <c r="H169" t="s">
        <v>192</v>
      </c>
      <c r="I169" s="9">
        <v>3000000</v>
      </c>
      <c r="J169" s="9">
        <v>129</v>
      </c>
      <c r="K169" s="9"/>
      <c r="L169" s="9">
        <f t="shared" si="26"/>
        <v>385</v>
      </c>
    </row>
    <row r="170" spans="1:12">
      <c r="A170" s="8">
        <v>169</v>
      </c>
      <c r="B170">
        <v>6</v>
      </c>
      <c r="C170" s="9">
        <v>9</v>
      </c>
      <c r="D170">
        <v>90050090</v>
      </c>
      <c r="E170" s="8">
        <v>30991</v>
      </c>
      <c r="F170" s="8">
        <v>20</v>
      </c>
      <c r="G170"/>
      <c r="H170" t="s">
        <v>193</v>
      </c>
      <c r="I170" s="9">
        <v>3300000</v>
      </c>
      <c r="J170" s="9">
        <v>148</v>
      </c>
      <c r="K170" s="9"/>
      <c r="L170" s="9">
        <f t="shared" si="26"/>
        <v>514</v>
      </c>
    </row>
    <row r="171" spans="1:12">
      <c r="A171" s="8">
        <v>170</v>
      </c>
      <c r="B171">
        <v>6</v>
      </c>
      <c r="C171" s="9">
        <v>10</v>
      </c>
      <c r="D171">
        <v>90050100</v>
      </c>
      <c r="E171" s="8">
        <v>43388</v>
      </c>
      <c r="F171" s="8">
        <v>22</v>
      </c>
      <c r="G171"/>
      <c r="H171" t="s">
        <v>194</v>
      </c>
      <c r="I171" s="9">
        <v>3600000</v>
      </c>
      <c r="J171" s="9">
        <v>167</v>
      </c>
      <c r="K171" s="9"/>
      <c r="L171" s="9">
        <f t="shared" si="26"/>
        <v>662</v>
      </c>
    </row>
    <row r="172" spans="1:12">
      <c r="A172" s="8">
        <v>171</v>
      </c>
      <c r="B172">
        <v>6</v>
      </c>
      <c r="C172" s="9">
        <v>11</v>
      </c>
      <c r="D172">
        <v>90050110</v>
      </c>
      <c r="E172" s="8">
        <v>60743</v>
      </c>
      <c r="F172" s="8">
        <v>24</v>
      </c>
      <c r="G172"/>
      <c r="H172" t="s">
        <v>195</v>
      </c>
      <c r="I172" s="9">
        <v>3900000</v>
      </c>
      <c r="J172" s="9">
        <v>186</v>
      </c>
      <c r="K172" s="9"/>
      <c r="L172" s="9">
        <f t="shared" si="26"/>
        <v>829</v>
      </c>
    </row>
    <row r="173" spans="1:12">
      <c r="A173" s="8">
        <v>172</v>
      </c>
      <c r="B173">
        <v>6</v>
      </c>
      <c r="C173" s="9">
        <v>12</v>
      </c>
      <c r="D173">
        <v>90050120</v>
      </c>
      <c r="E173" s="8">
        <v>85040</v>
      </c>
      <c r="F173" s="8">
        <v>26</v>
      </c>
      <c r="G173" t="s">
        <v>50</v>
      </c>
      <c r="H173" t="s">
        <v>196</v>
      </c>
      <c r="I173" s="9">
        <v>4200000</v>
      </c>
      <c r="J173" s="9">
        <v>205</v>
      </c>
      <c r="K173" s="9"/>
      <c r="L173" s="9">
        <f t="shared" si="26"/>
        <v>1015</v>
      </c>
    </row>
    <row r="174" spans="1:12">
      <c r="A174" s="8">
        <v>173</v>
      </c>
      <c r="B174">
        <v>6</v>
      </c>
      <c r="C174" s="9">
        <v>13</v>
      </c>
      <c r="D174">
        <v>90050130</v>
      </c>
      <c r="E174" s="8">
        <v>119057</v>
      </c>
      <c r="F174" s="8">
        <v>28</v>
      </c>
      <c r="G174"/>
      <c r="H174" t="s">
        <v>197</v>
      </c>
      <c r="I174" s="9">
        <v>4500000</v>
      </c>
      <c r="J174" s="9">
        <v>224</v>
      </c>
      <c r="K174" s="9"/>
      <c r="L174" s="9">
        <f t="shared" si="26"/>
        <v>1220</v>
      </c>
    </row>
    <row r="175" spans="1:12">
      <c r="A175" s="8">
        <v>174</v>
      </c>
      <c r="B175">
        <v>6</v>
      </c>
      <c r="C175" s="9">
        <v>14</v>
      </c>
      <c r="D175">
        <v>90050140</v>
      </c>
      <c r="E175" s="8">
        <v>166680</v>
      </c>
      <c r="F175" s="8">
        <v>29</v>
      </c>
      <c r="G175"/>
      <c r="H175" t="s">
        <v>198</v>
      </c>
      <c r="I175" s="9">
        <v>4800000</v>
      </c>
      <c r="J175" s="9">
        <v>243</v>
      </c>
      <c r="K175" s="9"/>
      <c r="L175" s="9">
        <f t="shared" si="26"/>
        <v>1444</v>
      </c>
    </row>
    <row r="176" spans="1:12">
      <c r="A176" s="8">
        <v>175</v>
      </c>
      <c r="B176">
        <v>6</v>
      </c>
      <c r="C176" s="9">
        <v>15</v>
      </c>
      <c r="D176">
        <v>90050150</v>
      </c>
      <c r="E176" s="8">
        <v>233352</v>
      </c>
      <c r="F176" s="8">
        <v>30</v>
      </c>
      <c r="G176"/>
      <c r="H176" t="s">
        <v>199</v>
      </c>
      <c r="I176" s="9">
        <v>5100000</v>
      </c>
      <c r="J176" s="9">
        <v>262</v>
      </c>
      <c r="K176" s="9"/>
      <c r="L176" s="9">
        <f t="shared" si="26"/>
        <v>1687</v>
      </c>
    </row>
    <row r="177" spans="1:12">
      <c r="A177" s="8">
        <v>176</v>
      </c>
      <c r="B177">
        <v>6</v>
      </c>
      <c r="C177" s="9">
        <v>16</v>
      </c>
      <c r="D177">
        <v>90050160</v>
      </c>
      <c r="E177" s="8">
        <v>259021</v>
      </c>
      <c r="F177" s="8">
        <f>F176+1</f>
        <v>31</v>
      </c>
      <c r="G177" s="13" t="s">
        <v>55</v>
      </c>
      <c r="H177" t="s">
        <v>200</v>
      </c>
      <c r="I177" s="9">
        <v>6100000</v>
      </c>
      <c r="J177" s="9">
        <v>281</v>
      </c>
      <c r="K177" s="9"/>
      <c r="L177" s="9">
        <f t="shared" si="26"/>
        <v>1949</v>
      </c>
    </row>
    <row r="178" spans="1:12">
      <c r="A178" s="8">
        <v>177</v>
      </c>
      <c r="B178">
        <v>6</v>
      </c>
      <c r="C178" s="9">
        <v>17</v>
      </c>
      <c r="D178">
        <v>90050170</v>
      </c>
      <c r="E178" s="8">
        <v>287513</v>
      </c>
      <c r="F178" s="8">
        <v>31</v>
      </c>
      <c r="H178" t="s">
        <v>201</v>
      </c>
      <c r="I178" s="9">
        <v>7100000</v>
      </c>
      <c r="J178" s="9">
        <v>300</v>
      </c>
      <c r="K178" s="9"/>
      <c r="L178" s="9">
        <f t="shared" si="26"/>
        <v>2230</v>
      </c>
    </row>
    <row r="179" spans="1:12">
      <c r="A179" s="8">
        <v>178</v>
      </c>
      <c r="B179">
        <v>6</v>
      </c>
      <c r="C179" s="9">
        <v>18</v>
      </c>
      <c r="D179">
        <v>90050180</v>
      </c>
      <c r="E179" s="8">
        <v>319139</v>
      </c>
      <c r="F179" s="8">
        <f>F177+1</f>
        <v>32</v>
      </c>
      <c r="H179" t="s">
        <v>202</v>
      </c>
      <c r="I179" s="9">
        <v>8100000</v>
      </c>
      <c r="J179" s="9">
        <v>319</v>
      </c>
      <c r="K179" s="9"/>
      <c r="L179" s="9">
        <f t="shared" si="26"/>
        <v>2530</v>
      </c>
    </row>
    <row r="180" spans="1:12">
      <c r="A180" s="8">
        <v>179</v>
      </c>
      <c r="B180">
        <v>6</v>
      </c>
      <c r="C180" s="9">
        <v>19</v>
      </c>
      <c r="D180">
        <v>90050190</v>
      </c>
      <c r="E180" s="8">
        <v>354244</v>
      </c>
      <c r="F180" s="8">
        <f t="shared" ref="F180:F191" si="27">F178+1</f>
        <v>32</v>
      </c>
      <c r="H180" t="s">
        <v>203</v>
      </c>
      <c r="I180" s="9">
        <v>9100000</v>
      </c>
      <c r="J180" s="9">
        <v>338</v>
      </c>
      <c r="K180" s="9"/>
      <c r="L180" s="9">
        <f t="shared" si="26"/>
        <v>2849</v>
      </c>
    </row>
    <row r="181" spans="1:12">
      <c r="A181" s="8">
        <v>180</v>
      </c>
      <c r="B181">
        <v>6</v>
      </c>
      <c r="C181" s="9">
        <v>20</v>
      </c>
      <c r="D181">
        <v>90050200</v>
      </c>
      <c r="E181" s="8">
        <v>393211</v>
      </c>
      <c r="F181" s="8">
        <f t="shared" si="27"/>
        <v>33</v>
      </c>
      <c r="G181" s="13" t="s">
        <v>60</v>
      </c>
      <c r="H181" t="s">
        <v>204</v>
      </c>
      <c r="I181" s="9">
        <v>10100000</v>
      </c>
      <c r="J181" s="9">
        <f>J180+19</f>
        <v>357</v>
      </c>
      <c r="K181" s="9"/>
      <c r="L181" s="9">
        <f t="shared" si="26"/>
        <v>3187</v>
      </c>
    </row>
    <row r="182" spans="1:12">
      <c r="A182" s="8">
        <v>181</v>
      </c>
      <c r="B182">
        <v>6</v>
      </c>
      <c r="C182" s="9">
        <v>21</v>
      </c>
      <c r="D182" s="14">
        <f t="shared" ref="D182:D193" si="28">D181+10</f>
        <v>90050210</v>
      </c>
      <c r="E182" s="8">
        <v>436464</v>
      </c>
      <c r="F182" s="14">
        <f t="shared" si="27"/>
        <v>33</v>
      </c>
      <c r="H182" s="10" t="s">
        <v>205</v>
      </c>
      <c r="I182" s="9">
        <v>11100000</v>
      </c>
      <c r="J182" s="9">
        <f t="shared" ref="J182:J193" si="29">J181+19</f>
        <v>376</v>
      </c>
      <c r="K182" s="9"/>
      <c r="L182" s="9">
        <f t="shared" si="26"/>
        <v>3544</v>
      </c>
    </row>
    <row r="183" spans="1:12">
      <c r="A183" s="8">
        <v>182</v>
      </c>
      <c r="B183">
        <v>6</v>
      </c>
      <c r="C183" s="9">
        <v>22</v>
      </c>
      <c r="D183" s="14">
        <f t="shared" si="28"/>
        <v>90050220</v>
      </c>
      <c r="E183" s="8">
        <v>484475</v>
      </c>
      <c r="F183" s="14">
        <f t="shared" si="27"/>
        <v>34</v>
      </c>
      <c r="H183" s="10" t="s">
        <v>206</v>
      </c>
      <c r="I183" s="9">
        <v>12100000</v>
      </c>
      <c r="J183" s="9">
        <f t="shared" si="29"/>
        <v>395</v>
      </c>
      <c r="K183" s="9"/>
      <c r="L183" s="9">
        <f t="shared" si="26"/>
        <v>3920</v>
      </c>
    </row>
    <row r="184" spans="1:12">
      <c r="A184" s="8">
        <v>183</v>
      </c>
      <c r="B184">
        <v>6</v>
      </c>
      <c r="C184" s="9">
        <v>23</v>
      </c>
      <c r="D184" s="14">
        <f t="shared" si="28"/>
        <v>90050230</v>
      </c>
      <c r="E184" s="8">
        <v>537767</v>
      </c>
      <c r="F184" s="14">
        <f t="shared" si="27"/>
        <v>34</v>
      </c>
      <c r="H184" s="10" t="s">
        <v>207</v>
      </c>
      <c r="I184" s="9">
        <v>13100000</v>
      </c>
      <c r="J184" s="9">
        <f t="shared" si="29"/>
        <v>414</v>
      </c>
      <c r="K184" s="9"/>
      <c r="L184" s="9">
        <f t="shared" si="26"/>
        <v>4315</v>
      </c>
    </row>
    <row r="185" spans="1:12">
      <c r="A185" s="8">
        <v>184</v>
      </c>
      <c r="B185">
        <v>6</v>
      </c>
      <c r="C185" s="9">
        <v>24</v>
      </c>
      <c r="D185" s="14">
        <f t="shared" si="28"/>
        <v>90050240</v>
      </c>
      <c r="E185" s="8">
        <v>596921</v>
      </c>
      <c r="F185" s="14">
        <f t="shared" si="27"/>
        <v>35</v>
      </c>
      <c r="G185" s="13" t="s">
        <v>186</v>
      </c>
      <c r="H185" s="10" t="s">
        <v>208</v>
      </c>
      <c r="I185" s="9">
        <v>14100000</v>
      </c>
      <c r="J185" s="9">
        <f t="shared" si="29"/>
        <v>433</v>
      </c>
      <c r="K185" s="9"/>
      <c r="L185" s="9">
        <f t="shared" si="26"/>
        <v>4729</v>
      </c>
    </row>
    <row r="186" spans="1:12">
      <c r="A186" s="8">
        <v>185</v>
      </c>
      <c r="B186">
        <v>6</v>
      </c>
      <c r="C186" s="9">
        <v>25</v>
      </c>
      <c r="D186" s="14">
        <f t="shared" si="28"/>
        <v>90050250</v>
      </c>
      <c r="E186" s="8">
        <v>662582</v>
      </c>
      <c r="F186" s="14">
        <f t="shared" si="27"/>
        <v>35</v>
      </c>
      <c r="H186" s="10" t="s">
        <v>209</v>
      </c>
      <c r="I186" s="9">
        <v>15100000</v>
      </c>
      <c r="J186" s="9">
        <f t="shared" si="29"/>
        <v>452</v>
      </c>
      <c r="K186" s="9"/>
      <c r="L186" s="9">
        <f t="shared" si="26"/>
        <v>5162</v>
      </c>
    </row>
    <row r="187" spans="1:12">
      <c r="A187" s="8">
        <v>186</v>
      </c>
      <c r="B187">
        <v>6</v>
      </c>
      <c r="C187" s="9">
        <v>26</v>
      </c>
      <c r="D187" s="14">
        <f t="shared" si="28"/>
        <v>90050260</v>
      </c>
      <c r="E187" s="8">
        <v>735466</v>
      </c>
      <c r="F187" s="14">
        <f t="shared" si="27"/>
        <v>36</v>
      </c>
      <c r="H187" s="10" t="s">
        <v>210</v>
      </c>
      <c r="I187" s="9">
        <v>16100000</v>
      </c>
      <c r="J187" s="9">
        <f t="shared" si="29"/>
        <v>471</v>
      </c>
      <c r="K187" s="9"/>
      <c r="L187" s="9">
        <f t="shared" si="26"/>
        <v>5614</v>
      </c>
    </row>
    <row r="188" spans="1:12">
      <c r="A188" s="8">
        <v>187</v>
      </c>
      <c r="B188">
        <v>6</v>
      </c>
      <c r="C188" s="9">
        <v>27</v>
      </c>
      <c r="D188" s="14">
        <f t="shared" si="28"/>
        <v>90050270</v>
      </c>
      <c r="E188" s="8">
        <v>816367</v>
      </c>
      <c r="F188" s="14">
        <f t="shared" si="27"/>
        <v>36</v>
      </c>
      <c r="H188" s="10" t="s">
        <v>211</v>
      </c>
      <c r="I188" s="9">
        <v>17100000</v>
      </c>
      <c r="J188" s="9">
        <f t="shared" si="29"/>
        <v>490</v>
      </c>
      <c r="K188" s="9"/>
      <c r="L188" s="9">
        <f t="shared" si="26"/>
        <v>6085</v>
      </c>
    </row>
    <row r="189" spans="1:12">
      <c r="A189" s="8">
        <v>188</v>
      </c>
      <c r="B189">
        <v>6</v>
      </c>
      <c r="C189" s="9">
        <v>28</v>
      </c>
      <c r="D189" s="14">
        <f t="shared" si="28"/>
        <v>90050280</v>
      </c>
      <c r="E189" s="8">
        <v>906167</v>
      </c>
      <c r="F189" s="14">
        <f t="shared" si="27"/>
        <v>37</v>
      </c>
      <c r="G189" s="13" t="s">
        <v>69</v>
      </c>
      <c r="H189" s="10" t="s">
        <v>212</v>
      </c>
      <c r="I189" s="9">
        <v>18100000</v>
      </c>
      <c r="J189" s="9">
        <f t="shared" si="29"/>
        <v>509</v>
      </c>
      <c r="K189" s="9"/>
      <c r="L189" s="9">
        <f t="shared" si="26"/>
        <v>6575</v>
      </c>
    </row>
    <row r="190" spans="1:12">
      <c r="A190" s="8">
        <v>189</v>
      </c>
      <c r="B190">
        <v>6</v>
      </c>
      <c r="C190" s="9">
        <v>29</v>
      </c>
      <c r="D190" s="14">
        <f t="shared" si="28"/>
        <v>90050290</v>
      </c>
      <c r="E190" s="8">
        <v>1005845</v>
      </c>
      <c r="F190" s="14">
        <f t="shared" si="27"/>
        <v>37</v>
      </c>
      <c r="H190" s="10" t="s">
        <v>213</v>
      </c>
      <c r="I190" s="9">
        <v>19100000</v>
      </c>
      <c r="J190" s="9">
        <f t="shared" si="29"/>
        <v>528</v>
      </c>
      <c r="K190" s="9"/>
      <c r="L190" s="9">
        <f t="shared" si="26"/>
        <v>7084</v>
      </c>
    </row>
    <row r="191" spans="1:12">
      <c r="A191" s="8">
        <v>190</v>
      </c>
      <c r="B191">
        <v>6</v>
      </c>
      <c r="C191" s="9">
        <v>30</v>
      </c>
      <c r="D191" s="14">
        <f t="shared" si="28"/>
        <v>90050300</v>
      </c>
      <c r="E191" s="8">
        <v>1116488</v>
      </c>
      <c r="F191" s="14">
        <f t="shared" si="27"/>
        <v>38</v>
      </c>
      <c r="H191" s="10" t="s">
        <v>214</v>
      </c>
      <c r="I191" s="9">
        <v>20100000</v>
      </c>
      <c r="J191" s="9">
        <f t="shared" si="29"/>
        <v>547</v>
      </c>
      <c r="K191" s="9"/>
      <c r="L191" s="9">
        <f t="shared" si="26"/>
        <v>7612</v>
      </c>
    </row>
    <row r="192" spans="1:12">
      <c r="A192" s="8">
        <v>191</v>
      </c>
      <c r="B192">
        <v>6</v>
      </c>
      <c r="C192" s="9">
        <v>31</v>
      </c>
      <c r="D192" s="14">
        <f t="shared" si="28"/>
        <v>90050310</v>
      </c>
      <c r="E192" s="8">
        <v>1239302</v>
      </c>
      <c r="F192" s="14">
        <v>39</v>
      </c>
      <c r="H192" s="10" t="s">
        <v>215</v>
      </c>
      <c r="I192" s="9">
        <v>21100000</v>
      </c>
      <c r="J192" s="9">
        <f t="shared" si="29"/>
        <v>566</v>
      </c>
      <c r="K192" s="9"/>
      <c r="L192" s="9">
        <f t="shared" si="26"/>
        <v>8159</v>
      </c>
    </row>
    <row r="193" spans="1:12">
      <c r="A193" s="8">
        <v>192</v>
      </c>
      <c r="B193">
        <v>6</v>
      </c>
      <c r="C193" s="9">
        <v>32</v>
      </c>
      <c r="D193" s="14">
        <f t="shared" si="28"/>
        <v>90050320</v>
      </c>
      <c r="E193" s="8">
        <v>1375625</v>
      </c>
      <c r="F193" s="14">
        <v>40</v>
      </c>
      <c r="G193" s="13" t="s">
        <v>74</v>
      </c>
      <c r="H193" s="10" t="s">
        <v>216</v>
      </c>
      <c r="I193" s="9">
        <v>22100000</v>
      </c>
      <c r="J193" s="9">
        <f t="shared" si="29"/>
        <v>585</v>
      </c>
      <c r="K193" s="9">
        <v>1</v>
      </c>
      <c r="L193" s="9">
        <f t="shared" si="26"/>
        <v>8725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01"/>
  <sheetViews>
    <sheetView workbookViewId="0">
      <pane ySplit="1" topLeftCell="A17" activePane="bottomLeft" state="frozen"/>
      <selection/>
      <selection pane="bottomLeft" activeCell="H15" sqref="H15"/>
    </sheetView>
  </sheetViews>
  <sheetFormatPr defaultColWidth="9" defaultRowHeight="15"/>
  <cols>
    <col min="4" max="5" width="17.6285714285714" customWidth="1"/>
    <col min="6" max="6" width="46.752380952381" customWidth="1"/>
    <col min="7" max="7" width="12.247619047619" style="1" customWidth="1"/>
    <col min="8" max="8" width="13" style="1" customWidth="1"/>
    <col min="9" max="10" width="15.3714285714286" style="1" customWidth="1"/>
    <col min="13" max="13" width="12.1238095238095" customWidth="1"/>
    <col min="14" max="14" width="9.5047619047619" customWidth="1"/>
    <col min="15" max="15" width="22.6285714285714" customWidth="1"/>
    <col min="16" max="16" width="20.8761904761905" customWidth="1"/>
  </cols>
  <sheetData>
    <row r="1" spans="1:16">
      <c r="A1" t="s">
        <v>0</v>
      </c>
      <c r="B1" t="s">
        <v>26</v>
      </c>
      <c r="C1" t="s">
        <v>220</v>
      </c>
      <c r="D1" t="s">
        <v>221</v>
      </c>
      <c r="E1" t="s">
        <v>222</v>
      </c>
      <c r="F1" s="3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t="s">
        <v>229</v>
      </c>
      <c r="M1" s="3" t="s">
        <v>230</v>
      </c>
      <c r="N1" t="s">
        <v>35</v>
      </c>
      <c r="O1" t="s">
        <v>231</v>
      </c>
      <c r="P1" s="3" t="s">
        <v>232</v>
      </c>
    </row>
    <row r="2" spans="1:16">
      <c r="A2">
        <v>1</v>
      </c>
      <c r="B2">
        <v>1</v>
      </c>
      <c r="C2">
        <v>1</v>
      </c>
      <c r="D2" s="2" t="s">
        <v>233</v>
      </c>
      <c r="E2" s="2" t="s">
        <v>234</v>
      </c>
      <c r="F2" s="2" t="s">
        <v>235</v>
      </c>
      <c r="G2" s="1">
        <v>70</v>
      </c>
      <c r="H2" s="1">
        <v>8</v>
      </c>
      <c r="I2" s="1">
        <v>12</v>
      </c>
      <c r="J2" s="1">
        <v>14</v>
      </c>
      <c r="K2" s="1">
        <v>5000</v>
      </c>
      <c r="L2">
        <v>2</v>
      </c>
      <c r="M2" s="2" t="s">
        <v>236</v>
      </c>
      <c r="O2">
        <v>11</v>
      </c>
      <c r="P2" t="s">
        <v>237</v>
      </c>
    </row>
    <row r="3" spans="1:16">
      <c r="A3">
        <v>2</v>
      </c>
      <c r="B3">
        <v>1</v>
      </c>
      <c r="C3">
        <v>2</v>
      </c>
      <c r="D3" s="2" t="s">
        <v>238</v>
      </c>
      <c r="E3" s="2" t="s">
        <v>239</v>
      </c>
      <c r="F3" s="2" t="s">
        <v>240</v>
      </c>
      <c r="G3" s="1">
        <v>210</v>
      </c>
      <c r="H3" s="1">
        <v>8</v>
      </c>
      <c r="I3" s="1">
        <v>12</v>
      </c>
      <c r="J3" s="1">
        <v>28</v>
      </c>
      <c r="K3" s="1">
        <v>10000</v>
      </c>
      <c r="L3">
        <v>4</v>
      </c>
      <c r="M3" s="2" t="s">
        <v>241</v>
      </c>
      <c r="O3">
        <v>55</v>
      </c>
      <c r="P3" t="s">
        <v>242</v>
      </c>
    </row>
    <row r="4" spans="1:15">
      <c r="A4">
        <v>3</v>
      </c>
      <c r="B4">
        <v>1</v>
      </c>
      <c r="C4">
        <v>3</v>
      </c>
      <c r="D4" s="2" t="s">
        <v>243</v>
      </c>
      <c r="E4" s="2" t="s">
        <v>244</v>
      </c>
      <c r="F4" s="2"/>
      <c r="G4" s="1">
        <v>420</v>
      </c>
      <c r="H4" s="1">
        <v>8</v>
      </c>
      <c r="I4" s="1">
        <v>12</v>
      </c>
      <c r="J4" s="1">
        <v>42</v>
      </c>
      <c r="K4" s="1">
        <v>18000</v>
      </c>
      <c r="L4">
        <v>6</v>
      </c>
      <c r="M4" s="2" t="s">
        <v>245</v>
      </c>
      <c r="O4">
        <v>144</v>
      </c>
    </row>
    <row r="5" spans="1:15">
      <c r="A5">
        <v>4</v>
      </c>
      <c r="B5">
        <v>1</v>
      </c>
      <c r="C5">
        <v>4</v>
      </c>
      <c r="D5" s="2" t="s">
        <v>246</v>
      </c>
      <c r="E5" s="2" t="s">
        <v>247</v>
      </c>
      <c r="F5" s="2"/>
      <c r="G5" s="1">
        <v>710</v>
      </c>
      <c r="H5" s="1">
        <v>8</v>
      </c>
      <c r="I5" s="1">
        <v>12</v>
      </c>
      <c r="J5" s="1">
        <v>58</v>
      </c>
      <c r="K5" s="1">
        <v>28000</v>
      </c>
      <c r="L5">
        <v>8</v>
      </c>
      <c r="M5" s="2" t="s">
        <v>248</v>
      </c>
      <c r="O5">
        <v>285</v>
      </c>
    </row>
    <row r="6" spans="1:15">
      <c r="A6">
        <v>5</v>
      </c>
      <c r="B6">
        <v>1</v>
      </c>
      <c r="C6">
        <v>5</v>
      </c>
      <c r="D6" s="2" t="s">
        <v>249</v>
      </c>
      <c r="E6" s="2" t="s">
        <v>250</v>
      </c>
      <c r="F6" s="2"/>
      <c r="G6" s="1">
        <v>1070</v>
      </c>
      <c r="H6" s="1">
        <v>8</v>
      </c>
      <c r="I6" s="1">
        <v>12</v>
      </c>
      <c r="J6" s="1">
        <v>72</v>
      </c>
      <c r="K6" s="1">
        <v>40000</v>
      </c>
      <c r="L6">
        <v>10</v>
      </c>
      <c r="M6" s="2"/>
      <c r="O6">
        <v>473</v>
      </c>
    </row>
    <row r="7" spans="1:15">
      <c r="A7">
        <v>6</v>
      </c>
      <c r="B7">
        <v>1</v>
      </c>
      <c r="C7">
        <v>6</v>
      </c>
      <c r="D7" s="2" t="s">
        <v>251</v>
      </c>
      <c r="E7" s="2" t="s">
        <v>252</v>
      </c>
      <c r="F7" s="2"/>
      <c r="G7" s="1">
        <v>1490</v>
      </c>
      <c r="H7" s="1">
        <v>8</v>
      </c>
      <c r="I7" s="1">
        <v>12</v>
      </c>
      <c r="J7" s="1">
        <v>84</v>
      </c>
      <c r="K7" s="1">
        <v>54000</v>
      </c>
      <c r="L7">
        <v>13</v>
      </c>
      <c r="M7" s="2"/>
      <c r="O7">
        <v>724</v>
      </c>
    </row>
    <row r="8" spans="1:15">
      <c r="A8">
        <v>7</v>
      </c>
      <c r="B8">
        <v>1</v>
      </c>
      <c r="C8">
        <v>7</v>
      </c>
      <c r="D8" s="2" t="s">
        <v>253</v>
      </c>
      <c r="E8" s="2" t="s">
        <v>254</v>
      </c>
      <c r="F8" s="2"/>
      <c r="G8" s="1">
        <v>1990</v>
      </c>
      <c r="H8" s="1">
        <v>8</v>
      </c>
      <c r="I8" s="1">
        <v>12</v>
      </c>
      <c r="J8" s="1">
        <v>100</v>
      </c>
      <c r="K8" s="1">
        <v>70000</v>
      </c>
      <c r="L8">
        <v>16</v>
      </c>
      <c r="M8" s="2"/>
      <c r="O8">
        <v>1076</v>
      </c>
    </row>
    <row r="9" spans="1:15">
      <c r="A9">
        <v>8</v>
      </c>
      <c r="B9">
        <v>1</v>
      </c>
      <c r="C9">
        <v>8</v>
      </c>
      <c r="D9" s="2" t="s">
        <v>255</v>
      </c>
      <c r="E9" s="2" t="s">
        <v>256</v>
      </c>
      <c r="F9" s="2"/>
      <c r="G9" s="1">
        <v>2560</v>
      </c>
      <c r="H9" s="1">
        <v>8</v>
      </c>
      <c r="I9" s="1">
        <v>12</v>
      </c>
      <c r="J9" s="1">
        <v>114</v>
      </c>
      <c r="K9" s="1">
        <v>88000</v>
      </c>
      <c r="L9">
        <v>19</v>
      </c>
      <c r="M9" s="2"/>
      <c r="O9">
        <v>1506</v>
      </c>
    </row>
    <row r="10" spans="1:15">
      <c r="A10">
        <v>9</v>
      </c>
      <c r="B10">
        <v>1</v>
      </c>
      <c r="C10">
        <v>9</v>
      </c>
      <c r="D10" s="2" t="s">
        <v>257</v>
      </c>
      <c r="E10" s="2" t="s">
        <v>258</v>
      </c>
      <c r="F10" s="2"/>
      <c r="G10" s="1">
        <v>3200</v>
      </c>
      <c r="H10" s="1">
        <v>8</v>
      </c>
      <c r="I10" s="1">
        <v>12</v>
      </c>
      <c r="J10" s="1">
        <v>128</v>
      </c>
      <c r="K10" s="1">
        <v>100000</v>
      </c>
      <c r="L10">
        <v>22</v>
      </c>
      <c r="M10" s="2"/>
      <c r="O10">
        <v>1992</v>
      </c>
    </row>
    <row r="11" spans="1:15">
      <c r="A11">
        <v>10</v>
      </c>
      <c r="B11">
        <v>1</v>
      </c>
      <c r="C11">
        <v>10</v>
      </c>
      <c r="D11" s="2" t="s">
        <v>259</v>
      </c>
      <c r="E11" s="2" t="s">
        <v>260</v>
      </c>
      <c r="F11" s="2"/>
      <c r="G11" s="1">
        <v>3910</v>
      </c>
      <c r="H11" s="1">
        <v>8</v>
      </c>
      <c r="I11" s="1">
        <v>12</v>
      </c>
      <c r="J11" s="1">
        <v>142</v>
      </c>
      <c r="K11" s="1">
        <v>130000</v>
      </c>
      <c r="L11">
        <v>26</v>
      </c>
      <c r="M11" s="2"/>
      <c r="O11">
        <v>2602</v>
      </c>
    </row>
    <row r="12" spans="1:15">
      <c r="A12">
        <v>11</v>
      </c>
      <c r="B12">
        <v>1</v>
      </c>
      <c r="C12">
        <v>11</v>
      </c>
      <c r="D12" s="2" t="s">
        <v>261</v>
      </c>
      <c r="E12" s="2" t="s">
        <v>262</v>
      </c>
      <c r="F12" s="2"/>
      <c r="G12" s="1">
        <v>4690</v>
      </c>
      <c r="H12" s="1">
        <v>8</v>
      </c>
      <c r="I12" s="1">
        <v>12</v>
      </c>
      <c r="J12" s="1">
        <v>156</v>
      </c>
      <c r="K12" s="1">
        <v>150000</v>
      </c>
      <c r="L12">
        <v>30</v>
      </c>
      <c r="M12" s="2"/>
      <c r="O12">
        <v>3348</v>
      </c>
    </row>
    <row r="13" spans="1:15">
      <c r="A13">
        <v>12</v>
      </c>
      <c r="B13">
        <v>1</v>
      </c>
      <c r="C13">
        <v>12</v>
      </c>
      <c r="D13" s="2" t="s">
        <v>263</v>
      </c>
      <c r="E13" s="2" t="s">
        <v>264</v>
      </c>
      <c r="F13" s="2"/>
      <c r="G13" s="1">
        <v>5540</v>
      </c>
      <c r="H13" s="1">
        <v>8</v>
      </c>
      <c r="I13" s="1">
        <v>12</v>
      </c>
      <c r="J13" s="1">
        <v>170</v>
      </c>
      <c r="K13" s="1">
        <v>180000</v>
      </c>
      <c r="L13">
        <v>34</v>
      </c>
      <c r="M13" s="2"/>
      <c r="O13">
        <v>4184</v>
      </c>
    </row>
    <row r="14" spans="1:15">
      <c r="A14">
        <v>13</v>
      </c>
      <c r="B14">
        <v>1</v>
      </c>
      <c r="C14">
        <v>13</v>
      </c>
      <c r="D14" s="2" t="s">
        <v>265</v>
      </c>
      <c r="E14" s="2" t="s">
        <v>266</v>
      </c>
      <c r="F14" s="2"/>
      <c r="G14" s="1">
        <v>6470</v>
      </c>
      <c r="H14" s="1">
        <v>8</v>
      </c>
      <c r="I14" s="1">
        <v>12</v>
      </c>
      <c r="J14" s="1">
        <v>186</v>
      </c>
      <c r="K14" s="1">
        <v>200000</v>
      </c>
      <c r="L14">
        <v>38</v>
      </c>
      <c r="M14" s="2"/>
      <c r="O14">
        <v>5139</v>
      </c>
    </row>
    <row r="15" spans="1:15">
      <c r="A15">
        <v>14</v>
      </c>
      <c r="B15">
        <v>1</v>
      </c>
      <c r="C15">
        <v>14</v>
      </c>
      <c r="D15" s="2" t="s">
        <v>267</v>
      </c>
      <c r="E15" s="2" t="s">
        <v>268</v>
      </c>
      <c r="F15" s="2"/>
      <c r="G15" s="1">
        <v>7470</v>
      </c>
      <c r="H15" s="1">
        <v>8</v>
      </c>
      <c r="I15" s="1">
        <v>12</v>
      </c>
      <c r="J15" s="1">
        <v>200</v>
      </c>
      <c r="K15" s="1">
        <v>230000</v>
      </c>
      <c r="L15">
        <v>42</v>
      </c>
      <c r="M15" s="2"/>
      <c r="O15">
        <v>6187</v>
      </c>
    </row>
    <row r="16" spans="1:15">
      <c r="A16">
        <v>15</v>
      </c>
      <c r="B16">
        <v>1</v>
      </c>
      <c r="C16">
        <v>15</v>
      </c>
      <c r="D16" s="2" t="s">
        <v>269</v>
      </c>
      <c r="E16" s="2" t="s">
        <v>270</v>
      </c>
      <c r="F16" s="2"/>
      <c r="G16" s="1">
        <v>8540</v>
      </c>
      <c r="H16" s="1">
        <v>8</v>
      </c>
      <c r="I16" s="1">
        <v>12</v>
      </c>
      <c r="J16" s="1">
        <v>214</v>
      </c>
      <c r="K16" s="1">
        <v>270000</v>
      </c>
      <c r="L16">
        <v>46</v>
      </c>
      <c r="M16" s="2"/>
      <c r="O16">
        <v>7297</v>
      </c>
    </row>
    <row r="17" spans="1:15">
      <c r="A17">
        <v>16</v>
      </c>
      <c r="B17">
        <v>1</v>
      </c>
      <c r="C17">
        <v>16</v>
      </c>
      <c r="D17" s="2" t="s">
        <v>271</v>
      </c>
      <c r="E17" s="2" t="s">
        <v>272</v>
      </c>
      <c r="F17" s="2"/>
      <c r="G17" s="1">
        <v>9680</v>
      </c>
      <c r="H17" s="1">
        <v>8</v>
      </c>
      <c r="I17" s="1">
        <v>12</v>
      </c>
      <c r="J17" s="1">
        <v>228</v>
      </c>
      <c r="K17" s="1">
        <v>310000</v>
      </c>
      <c r="L17">
        <v>50</v>
      </c>
      <c r="M17" s="2"/>
      <c r="O17">
        <v>8497</v>
      </c>
    </row>
    <row r="18" spans="1:15">
      <c r="A18">
        <v>17</v>
      </c>
      <c r="B18">
        <v>1</v>
      </c>
      <c r="C18">
        <v>17</v>
      </c>
      <c r="D18" s="2" t="s">
        <v>273</v>
      </c>
      <c r="E18" s="2" t="s">
        <v>274</v>
      </c>
      <c r="F18" s="2"/>
      <c r="G18" s="1">
        <v>10890</v>
      </c>
      <c r="H18" s="1">
        <v>8</v>
      </c>
      <c r="I18" s="1">
        <v>12</v>
      </c>
      <c r="J18" s="1">
        <v>242</v>
      </c>
      <c r="K18" s="1">
        <v>350000</v>
      </c>
      <c r="L18">
        <v>54</v>
      </c>
      <c r="M18" s="2"/>
      <c r="O18">
        <v>9787</v>
      </c>
    </row>
    <row r="19" spans="1:15">
      <c r="A19">
        <v>18</v>
      </c>
      <c r="B19">
        <v>1</v>
      </c>
      <c r="C19">
        <v>18</v>
      </c>
      <c r="D19" s="2" t="s">
        <v>275</v>
      </c>
      <c r="E19" s="2" t="s">
        <v>276</v>
      </c>
      <c r="F19" s="2"/>
      <c r="G19" s="1">
        <v>12170</v>
      </c>
      <c r="H19" s="1">
        <v>8</v>
      </c>
      <c r="I19" s="1">
        <v>12</v>
      </c>
      <c r="J19" s="1">
        <v>256</v>
      </c>
      <c r="K19" s="1">
        <v>390000</v>
      </c>
      <c r="L19">
        <v>58</v>
      </c>
      <c r="M19" s="2"/>
      <c r="O19">
        <v>11166</v>
      </c>
    </row>
    <row r="20" spans="1:15">
      <c r="A20">
        <v>19</v>
      </c>
      <c r="B20">
        <v>1</v>
      </c>
      <c r="C20">
        <v>19</v>
      </c>
      <c r="D20" s="2" t="s">
        <v>277</v>
      </c>
      <c r="E20" s="2" t="s">
        <v>278</v>
      </c>
      <c r="F20" s="2"/>
      <c r="G20" s="1">
        <v>13520</v>
      </c>
      <c r="H20" s="1">
        <v>8</v>
      </c>
      <c r="I20" s="1">
        <v>12</v>
      </c>
      <c r="J20" s="1">
        <v>270</v>
      </c>
      <c r="K20" s="1">
        <v>430000</v>
      </c>
      <c r="L20">
        <v>62</v>
      </c>
      <c r="M20" s="2"/>
      <c r="O20">
        <v>12635</v>
      </c>
    </row>
    <row r="21" spans="1:15">
      <c r="A21">
        <v>20</v>
      </c>
      <c r="B21">
        <v>1</v>
      </c>
      <c r="C21">
        <v>20</v>
      </c>
      <c r="D21" s="2" t="s">
        <v>279</v>
      </c>
      <c r="E21" s="2" t="s">
        <v>280</v>
      </c>
      <c r="F21" s="2"/>
      <c r="G21" s="1">
        <v>14940</v>
      </c>
      <c r="H21" s="1">
        <v>8</v>
      </c>
      <c r="I21" s="1">
        <v>12</v>
      </c>
      <c r="J21" s="1">
        <v>284</v>
      </c>
      <c r="K21" s="1">
        <v>470000</v>
      </c>
      <c r="L21">
        <v>66</v>
      </c>
      <c r="M21" s="2"/>
      <c r="O21">
        <v>14193</v>
      </c>
    </row>
    <row r="22" spans="1:15">
      <c r="A22">
        <v>21</v>
      </c>
      <c r="B22">
        <v>1</v>
      </c>
      <c r="C22">
        <v>21</v>
      </c>
      <c r="D22" s="2" t="s">
        <v>281</v>
      </c>
      <c r="E22" s="2" t="s">
        <v>282</v>
      </c>
      <c r="F22" s="2"/>
      <c r="G22" s="1">
        <v>16430</v>
      </c>
      <c r="H22" s="1">
        <v>8</v>
      </c>
      <c r="I22" s="1">
        <v>12</v>
      </c>
      <c r="J22" s="1">
        <v>298</v>
      </c>
      <c r="K22" s="1">
        <v>510000</v>
      </c>
      <c r="L22">
        <v>70</v>
      </c>
      <c r="M22" s="2"/>
      <c r="O22">
        <v>15841</v>
      </c>
    </row>
    <row r="23" spans="1:15">
      <c r="A23">
        <v>22</v>
      </c>
      <c r="B23">
        <v>1</v>
      </c>
      <c r="C23">
        <v>22</v>
      </c>
      <c r="D23" s="2" t="s">
        <v>283</v>
      </c>
      <c r="E23" s="2" t="s">
        <v>284</v>
      </c>
      <c r="F23" s="2"/>
      <c r="G23" s="1">
        <v>17990</v>
      </c>
      <c r="H23" s="1">
        <v>8</v>
      </c>
      <c r="I23" s="1">
        <v>12</v>
      </c>
      <c r="J23" s="1">
        <v>312</v>
      </c>
      <c r="K23" s="1">
        <v>550000</v>
      </c>
      <c r="L23">
        <v>74</v>
      </c>
      <c r="M23" s="2"/>
      <c r="O23">
        <v>17579</v>
      </c>
    </row>
    <row r="24" spans="1:15">
      <c r="A24">
        <v>23</v>
      </c>
      <c r="B24">
        <v>1</v>
      </c>
      <c r="C24">
        <v>23</v>
      </c>
      <c r="D24" s="2" t="s">
        <v>285</v>
      </c>
      <c r="E24" s="2" t="s">
        <v>286</v>
      </c>
      <c r="F24" s="2"/>
      <c r="G24" s="1">
        <v>19630</v>
      </c>
      <c r="H24" s="1">
        <v>8</v>
      </c>
      <c r="I24" s="1">
        <v>12</v>
      </c>
      <c r="J24" s="1">
        <v>328</v>
      </c>
      <c r="K24" s="1">
        <v>590000</v>
      </c>
      <c r="L24">
        <v>78</v>
      </c>
      <c r="M24" s="2"/>
      <c r="O24">
        <v>19468</v>
      </c>
    </row>
    <row r="25" spans="1:15">
      <c r="A25">
        <v>24</v>
      </c>
      <c r="B25">
        <v>1</v>
      </c>
      <c r="C25">
        <v>24</v>
      </c>
      <c r="D25" s="2" t="s">
        <v>287</v>
      </c>
      <c r="E25" s="2" t="s">
        <v>288</v>
      </c>
      <c r="F25" s="2"/>
      <c r="G25" s="1">
        <v>21340</v>
      </c>
      <c r="H25" s="1">
        <v>8</v>
      </c>
      <c r="I25" s="1">
        <v>12</v>
      </c>
      <c r="J25" s="1">
        <v>342</v>
      </c>
      <c r="K25" s="1">
        <v>630000</v>
      </c>
      <c r="L25">
        <v>82</v>
      </c>
      <c r="M25" s="2"/>
      <c r="O25">
        <v>21450</v>
      </c>
    </row>
    <row r="26" spans="1:15">
      <c r="A26">
        <v>25</v>
      </c>
      <c r="B26">
        <v>1</v>
      </c>
      <c r="C26">
        <v>25</v>
      </c>
      <c r="D26" s="2" t="s">
        <v>289</v>
      </c>
      <c r="E26" s="2" t="s">
        <v>290</v>
      </c>
      <c r="F26" s="2"/>
      <c r="G26" s="1">
        <v>23120</v>
      </c>
      <c r="H26" s="1">
        <v>8</v>
      </c>
      <c r="I26" s="1">
        <v>12</v>
      </c>
      <c r="J26" s="1">
        <v>356</v>
      </c>
      <c r="K26" s="1">
        <v>670000</v>
      </c>
      <c r="L26">
        <v>86</v>
      </c>
      <c r="M26" s="2"/>
      <c r="O26">
        <v>23463</v>
      </c>
    </row>
    <row r="27" spans="1:15">
      <c r="A27">
        <v>26</v>
      </c>
      <c r="B27">
        <v>1</v>
      </c>
      <c r="C27">
        <v>26</v>
      </c>
      <c r="D27" s="2" t="s">
        <v>291</v>
      </c>
      <c r="E27" s="2" t="s">
        <v>292</v>
      </c>
      <c r="F27" s="2"/>
      <c r="G27" s="1">
        <v>24970</v>
      </c>
      <c r="H27" s="1">
        <v>8</v>
      </c>
      <c r="I27" s="1">
        <v>12</v>
      </c>
      <c r="J27" s="1">
        <v>370</v>
      </c>
      <c r="K27" s="1">
        <v>710000</v>
      </c>
      <c r="L27">
        <v>90</v>
      </c>
      <c r="M27" s="2"/>
      <c r="O27">
        <v>25566</v>
      </c>
    </row>
    <row r="28" spans="1:15">
      <c r="A28">
        <v>27</v>
      </c>
      <c r="B28">
        <v>1</v>
      </c>
      <c r="C28">
        <v>27</v>
      </c>
      <c r="D28" s="2" t="s">
        <v>293</v>
      </c>
      <c r="E28" s="2" t="s">
        <v>294</v>
      </c>
      <c r="F28" s="2"/>
      <c r="G28" s="1">
        <v>26890</v>
      </c>
      <c r="H28" s="1">
        <v>8</v>
      </c>
      <c r="I28" s="1">
        <v>12</v>
      </c>
      <c r="J28" s="1">
        <v>384</v>
      </c>
      <c r="K28" s="1">
        <v>750000</v>
      </c>
      <c r="L28">
        <v>94</v>
      </c>
      <c r="M28" s="2"/>
      <c r="O28">
        <v>27758</v>
      </c>
    </row>
    <row r="29" spans="1:15">
      <c r="A29">
        <v>28</v>
      </c>
      <c r="B29">
        <v>1</v>
      </c>
      <c r="C29">
        <v>28</v>
      </c>
      <c r="D29" s="2" t="s">
        <v>295</v>
      </c>
      <c r="E29" s="2" t="s">
        <v>296</v>
      </c>
      <c r="F29" s="2"/>
      <c r="G29" s="1">
        <v>28880</v>
      </c>
      <c r="H29" s="1">
        <v>8</v>
      </c>
      <c r="I29" s="1">
        <v>12</v>
      </c>
      <c r="J29" s="1">
        <v>398</v>
      </c>
      <c r="K29" s="1">
        <v>790000</v>
      </c>
      <c r="L29">
        <v>98</v>
      </c>
      <c r="M29" s="2"/>
      <c r="O29">
        <v>30039</v>
      </c>
    </row>
    <row r="30" spans="1:15">
      <c r="A30">
        <v>29</v>
      </c>
      <c r="B30">
        <v>1</v>
      </c>
      <c r="C30">
        <v>29</v>
      </c>
      <c r="D30" s="2" t="s">
        <v>297</v>
      </c>
      <c r="E30" s="2" t="s">
        <v>298</v>
      </c>
      <c r="F30" s="2"/>
      <c r="G30" s="1">
        <v>30940</v>
      </c>
      <c r="H30" s="1">
        <v>8</v>
      </c>
      <c r="I30" s="1">
        <v>12</v>
      </c>
      <c r="J30" s="1">
        <v>412</v>
      </c>
      <c r="K30" s="1">
        <v>830000</v>
      </c>
      <c r="L30">
        <v>102</v>
      </c>
      <c r="M30" s="2"/>
      <c r="O30">
        <v>32410</v>
      </c>
    </row>
    <row r="31" spans="1:15">
      <c r="A31">
        <v>30</v>
      </c>
      <c r="B31">
        <v>1</v>
      </c>
      <c r="C31">
        <v>30</v>
      </c>
      <c r="D31" s="2" t="s">
        <v>297</v>
      </c>
      <c r="E31" s="2" t="s">
        <v>299</v>
      </c>
      <c r="F31" s="1"/>
      <c r="G31" s="1">
        <v>33070</v>
      </c>
      <c r="H31" s="1">
        <v>8</v>
      </c>
      <c r="I31" s="1">
        <v>12</v>
      </c>
      <c r="J31" s="1">
        <v>426</v>
      </c>
      <c r="K31" s="1">
        <v>870000</v>
      </c>
      <c r="L31">
        <v>106</v>
      </c>
      <c r="M31" s="2"/>
      <c r="O31">
        <v>34871</v>
      </c>
    </row>
    <row r="32" spans="1:15">
      <c r="A32">
        <v>31</v>
      </c>
      <c r="B32">
        <v>1</v>
      </c>
      <c r="C32">
        <v>31</v>
      </c>
      <c r="D32" s="2" t="s">
        <v>300</v>
      </c>
      <c r="E32" s="2" t="s">
        <v>301</v>
      </c>
      <c r="F32" s="2"/>
      <c r="G32" s="1">
        <v>35240</v>
      </c>
      <c r="H32" s="1">
        <v>8</v>
      </c>
      <c r="I32" s="1">
        <v>12</v>
      </c>
      <c r="J32" s="1">
        <v>440</v>
      </c>
      <c r="K32" s="1">
        <v>910000</v>
      </c>
      <c r="L32">
        <v>110</v>
      </c>
      <c r="M32" s="2"/>
      <c r="O32">
        <v>36615</v>
      </c>
    </row>
    <row r="33" spans="1:15">
      <c r="A33">
        <v>32</v>
      </c>
      <c r="B33">
        <v>1</v>
      </c>
      <c r="C33">
        <v>32</v>
      </c>
      <c r="D33" s="2" t="s">
        <v>302</v>
      </c>
      <c r="E33" s="2" t="s">
        <v>303</v>
      </c>
      <c r="F33" s="2"/>
      <c r="G33" s="1">
        <v>37480</v>
      </c>
      <c r="H33" s="1">
        <v>8</v>
      </c>
      <c r="I33" s="1">
        <v>12</v>
      </c>
      <c r="J33" s="1">
        <v>454</v>
      </c>
      <c r="K33" s="1">
        <v>950000</v>
      </c>
      <c r="L33">
        <v>114</v>
      </c>
      <c r="M33" s="2"/>
      <c r="O33">
        <v>38446</v>
      </c>
    </row>
    <row r="34" spans="1:15">
      <c r="A34">
        <v>33</v>
      </c>
      <c r="B34">
        <v>1</v>
      </c>
      <c r="C34">
        <v>33</v>
      </c>
      <c r="D34" s="2" t="s">
        <v>304</v>
      </c>
      <c r="E34" s="2" t="s">
        <v>305</v>
      </c>
      <c r="F34" s="2"/>
      <c r="G34" s="1">
        <v>39790</v>
      </c>
      <c r="H34" s="1">
        <v>8</v>
      </c>
      <c r="I34" s="1">
        <v>12</v>
      </c>
      <c r="J34" s="1">
        <v>468</v>
      </c>
      <c r="K34" s="1">
        <v>990000</v>
      </c>
      <c r="L34">
        <v>118</v>
      </c>
      <c r="M34" s="2"/>
      <c r="O34">
        <v>40368</v>
      </c>
    </row>
    <row r="35" spans="1:15">
      <c r="A35">
        <v>34</v>
      </c>
      <c r="B35">
        <v>1</v>
      </c>
      <c r="C35">
        <v>34</v>
      </c>
      <c r="D35" s="2" t="s">
        <v>306</v>
      </c>
      <c r="E35" s="2" t="s">
        <v>307</v>
      </c>
      <c r="F35" s="2"/>
      <c r="G35" s="1">
        <v>42170</v>
      </c>
      <c r="H35" s="1">
        <v>8</v>
      </c>
      <c r="I35" s="1">
        <v>12</v>
      </c>
      <c r="J35" s="1">
        <v>482</v>
      </c>
      <c r="K35" s="1">
        <v>1030000</v>
      </c>
      <c r="L35">
        <v>122</v>
      </c>
      <c r="O35">
        <v>42386</v>
      </c>
    </row>
    <row r="36" spans="1:15">
      <c r="A36">
        <v>35</v>
      </c>
      <c r="B36">
        <v>1</v>
      </c>
      <c r="C36">
        <v>35</v>
      </c>
      <c r="D36" s="2" t="s">
        <v>308</v>
      </c>
      <c r="E36" s="2" t="s">
        <v>309</v>
      </c>
      <c r="F36" s="2"/>
      <c r="G36" s="1">
        <v>44620</v>
      </c>
      <c r="H36" s="1">
        <v>8</v>
      </c>
      <c r="I36" s="1">
        <v>12</v>
      </c>
      <c r="J36" s="1">
        <v>496</v>
      </c>
      <c r="K36" s="1">
        <v>1070000</v>
      </c>
      <c r="L36">
        <v>126</v>
      </c>
      <c r="O36">
        <v>44505</v>
      </c>
    </row>
    <row r="37" spans="1:15">
      <c r="A37">
        <v>36</v>
      </c>
      <c r="B37">
        <v>1</v>
      </c>
      <c r="C37">
        <v>36</v>
      </c>
      <c r="D37" s="2" t="s">
        <v>310</v>
      </c>
      <c r="E37" s="2" t="s">
        <v>311</v>
      </c>
      <c r="F37" s="2"/>
      <c r="G37" s="1">
        <v>47140</v>
      </c>
      <c r="H37" s="1">
        <v>8</v>
      </c>
      <c r="I37" s="1">
        <v>12</v>
      </c>
      <c r="J37" s="1">
        <v>510</v>
      </c>
      <c r="K37" s="1">
        <v>1110000</v>
      </c>
      <c r="L37">
        <v>130</v>
      </c>
      <c r="O37">
        <v>46730</v>
      </c>
    </row>
    <row r="38" spans="1:15">
      <c r="A38">
        <v>37</v>
      </c>
      <c r="B38">
        <v>1</v>
      </c>
      <c r="C38">
        <v>37</v>
      </c>
      <c r="D38" s="2" t="s">
        <v>312</v>
      </c>
      <c r="E38" s="2" t="s">
        <v>313</v>
      </c>
      <c r="F38" s="2"/>
      <c r="G38" s="1">
        <v>49730</v>
      </c>
      <c r="H38" s="1">
        <v>8</v>
      </c>
      <c r="I38" s="1">
        <v>12</v>
      </c>
      <c r="J38" s="1">
        <v>524</v>
      </c>
      <c r="K38" s="1">
        <v>1150000</v>
      </c>
      <c r="L38">
        <v>134</v>
      </c>
      <c r="O38">
        <v>49067</v>
      </c>
    </row>
    <row r="39" spans="1:15">
      <c r="A39">
        <v>38</v>
      </c>
      <c r="B39">
        <v>1</v>
      </c>
      <c r="C39">
        <v>38</v>
      </c>
      <c r="D39" s="2" t="s">
        <v>314</v>
      </c>
      <c r="E39" s="2" t="s">
        <v>315</v>
      </c>
      <c r="F39" s="2"/>
      <c r="G39" s="1">
        <v>52390</v>
      </c>
      <c r="H39" s="1">
        <v>8</v>
      </c>
      <c r="I39" s="1">
        <v>12</v>
      </c>
      <c r="J39" s="1">
        <v>538</v>
      </c>
      <c r="K39" s="1">
        <v>1190000</v>
      </c>
      <c r="L39">
        <v>138</v>
      </c>
      <c r="O39">
        <v>51520</v>
      </c>
    </row>
    <row r="40" spans="1:15">
      <c r="A40">
        <v>39</v>
      </c>
      <c r="B40">
        <v>1</v>
      </c>
      <c r="C40">
        <v>39</v>
      </c>
      <c r="D40" s="2" t="s">
        <v>316</v>
      </c>
      <c r="E40" s="2" t="s">
        <v>317</v>
      </c>
      <c r="F40" s="2"/>
      <c r="G40" s="1">
        <v>55120</v>
      </c>
      <c r="H40" s="1">
        <v>8</v>
      </c>
      <c r="I40" s="1">
        <v>12</v>
      </c>
      <c r="J40" s="1">
        <v>552</v>
      </c>
      <c r="K40" s="1">
        <v>1230000</v>
      </c>
      <c r="L40">
        <v>142</v>
      </c>
      <c r="O40">
        <v>54096</v>
      </c>
    </row>
    <row r="41" spans="1:15">
      <c r="A41">
        <v>40</v>
      </c>
      <c r="B41">
        <v>1</v>
      </c>
      <c r="C41">
        <v>40</v>
      </c>
      <c r="D41" s="2" t="s">
        <v>318</v>
      </c>
      <c r="E41" s="2" t="s">
        <v>319</v>
      </c>
      <c r="F41" s="2"/>
      <c r="G41" s="1">
        <v>57920</v>
      </c>
      <c r="H41" s="1">
        <v>8</v>
      </c>
      <c r="I41" s="1">
        <v>12</v>
      </c>
      <c r="J41" s="1">
        <v>566</v>
      </c>
      <c r="K41" s="1">
        <v>1270000</v>
      </c>
      <c r="L41">
        <v>146</v>
      </c>
      <c r="O41">
        <v>56801</v>
      </c>
    </row>
    <row r="42" spans="1:15">
      <c r="A42">
        <v>41</v>
      </c>
      <c r="B42">
        <v>1</v>
      </c>
      <c r="C42">
        <v>41</v>
      </c>
      <c r="D42" t="s">
        <v>320</v>
      </c>
      <c r="E42" t="s">
        <v>321</v>
      </c>
      <c r="G42">
        <v>60615</v>
      </c>
      <c r="H42">
        <v>8</v>
      </c>
      <c r="I42">
        <v>12</v>
      </c>
      <c r="J42">
        <v>580</v>
      </c>
      <c r="K42">
        <v>1310000</v>
      </c>
      <c r="L42">
        <v>150</v>
      </c>
      <c r="O42">
        <v>59318</v>
      </c>
    </row>
    <row r="43" spans="1:15">
      <c r="A43">
        <v>42</v>
      </c>
      <c r="B43">
        <v>1</v>
      </c>
      <c r="C43">
        <v>42</v>
      </c>
      <c r="D43" t="s">
        <v>322</v>
      </c>
      <c r="E43" t="s">
        <v>323</v>
      </c>
      <c r="G43">
        <v>63345</v>
      </c>
      <c r="H43">
        <v>8</v>
      </c>
      <c r="I43">
        <v>12</v>
      </c>
      <c r="J43">
        <v>594</v>
      </c>
      <c r="K43">
        <v>1350000</v>
      </c>
      <c r="L43">
        <v>154</v>
      </c>
      <c r="O43">
        <v>61835</v>
      </c>
    </row>
    <row r="44" spans="1:15">
      <c r="A44">
        <v>43</v>
      </c>
      <c r="B44">
        <v>1</v>
      </c>
      <c r="C44">
        <v>43</v>
      </c>
      <c r="D44" t="s">
        <v>324</v>
      </c>
      <c r="E44" t="s">
        <v>325</v>
      </c>
      <c r="G44">
        <v>66075</v>
      </c>
      <c r="H44">
        <v>8</v>
      </c>
      <c r="I44">
        <v>12</v>
      </c>
      <c r="J44">
        <v>608</v>
      </c>
      <c r="K44">
        <v>1390000</v>
      </c>
      <c r="L44">
        <v>158</v>
      </c>
      <c r="O44">
        <v>64352</v>
      </c>
    </row>
    <row r="45" spans="1:15">
      <c r="A45">
        <v>44</v>
      </c>
      <c r="B45">
        <v>1</v>
      </c>
      <c r="C45">
        <v>44</v>
      </c>
      <c r="D45" t="s">
        <v>326</v>
      </c>
      <c r="E45" t="s">
        <v>327</v>
      </c>
      <c r="G45">
        <v>68805</v>
      </c>
      <c r="H45">
        <v>8</v>
      </c>
      <c r="I45">
        <v>12</v>
      </c>
      <c r="J45">
        <v>622</v>
      </c>
      <c r="K45">
        <v>1430000</v>
      </c>
      <c r="L45">
        <v>162</v>
      </c>
      <c r="O45">
        <v>66869</v>
      </c>
    </row>
    <row r="46" spans="1:15">
      <c r="A46">
        <v>45</v>
      </c>
      <c r="B46">
        <v>1</v>
      </c>
      <c r="C46">
        <v>45</v>
      </c>
      <c r="D46" t="s">
        <v>328</v>
      </c>
      <c r="E46" t="s">
        <v>329</v>
      </c>
      <c r="G46">
        <v>71535</v>
      </c>
      <c r="H46">
        <v>8</v>
      </c>
      <c r="I46">
        <v>12</v>
      </c>
      <c r="J46">
        <v>636</v>
      </c>
      <c r="K46">
        <v>1470000</v>
      </c>
      <c r="L46">
        <v>166</v>
      </c>
      <c r="O46">
        <v>69386</v>
      </c>
    </row>
    <row r="47" spans="1:15">
      <c r="A47">
        <v>46</v>
      </c>
      <c r="B47">
        <v>1</v>
      </c>
      <c r="C47">
        <v>46</v>
      </c>
      <c r="D47" t="s">
        <v>330</v>
      </c>
      <c r="E47" t="s">
        <v>331</v>
      </c>
      <c r="G47">
        <v>74265</v>
      </c>
      <c r="H47">
        <v>8</v>
      </c>
      <c r="I47">
        <v>12</v>
      </c>
      <c r="J47">
        <v>650</v>
      </c>
      <c r="K47">
        <v>1510000</v>
      </c>
      <c r="L47">
        <v>170</v>
      </c>
      <c r="O47">
        <v>71903</v>
      </c>
    </row>
    <row r="48" spans="1:15">
      <c r="A48">
        <v>47</v>
      </c>
      <c r="B48">
        <v>1</v>
      </c>
      <c r="C48">
        <v>47</v>
      </c>
      <c r="D48" t="s">
        <v>332</v>
      </c>
      <c r="E48" t="s">
        <v>333</v>
      </c>
      <c r="G48">
        <v>76995</v>
      </c>
      <c r="H48">
        <v>8</v>
      </c>
      <c r="I48">
        <v>12</v>
      </c>
      <c r="J48">
        <v>664</v>
      </c>
      <c r="K48">
        <v>1550000</v>
      </c>
      <c r="L48">
        <v>174</v>
      </c>
      <c r="O48">
        <v>74420</v>
      </c>
    </row>
    <row r="49" spans="1:15">
      <c r="A49">
        <v>48</v>
      </c>
      <c r="B49">
        <v>1</v>
      </c>
      <c r="C49">
        <v>48</v>
      </c>
      <c r="D49" t="s">
        <v>334</v>
      </c>
      <c r="E49" t="s">
        <v>335</v>
      </c>
      <c r="G49">
        <v>79725</v>
      </c>
      <c r="H49">
        <v>8</v>
      </c>
      <c r="I49">
        <v>12</v>
      </c>
      <c r="J49">
        <v>678</v>
      </c>
      <c r="K49">
        <v>1590000</v>
      </c>
      <c r="L49">
        <v>178</v>
      </c>
      <c r="O49">
        <v>76937</v>
      </c>
    </row>
    <row r="50" spans="1:15">
      <c r="A50">
        <v>49</v>
      </c>
      <c r="B50">
        <v>1</v>
      </c>
      <c r="C50">
        <v>49</v>
      </c>
      <c r="D50" t="s">
        <v>336</v>
      </c>
      <c r="E50" t="s">
        <v>337</v>
      </c>
      <c r="G50">
        <v>82455</v>
      </c>
      <c r="H50">
        <v>8</v>
      </c>
      <c r="I50">
        <v>12</v>
      </c>
      <c r="J50">
        <v>692</v>
      </c>
      <c r="K50">
        <v>1630000</v>
      </c>
      <c r="L50">
        <v>182</v>
      </c>
      <c r="O50">
        <v>79454</v>
      </c>
    </row>
    <row r="51" spans="1:15">
      <c r="A51">
        <v>50</v>
      </c>
      <c r="B51">
        <v>1</v>
      </c>
      <c r="C51">
        <v>50</v>
      </c>
      <c r="D51" t="s">
        <v>338</v>
      </c>
      <c r="E51" t="s">
        <v>339</v>
      </c>
      <c r="G51">
        <v>85185</v>
      </c>
      <c r="H51">
        <v>8</v>
      </c>
      <c r="I51">
        <v>12</v>
      </c>
      <c r="J51">
        <v>706</v>
      </c>
      <c r="K51">
        <v>1670000</v>
      </c>
      <c r="L51">
        <v>186</v>
      </c>
      <c r="O51">
        <v>81971</v>
      </c>
    </row>
    <row r="52" spans="1:15">
      <c r="A52">
        <v>51</v>
      </c>
      <c r="B52">
        <v>1</v>
      </c>
      <c r="C52">
        <v>51</v>
      </c>
      <c r="D52" t="s">
        <v>340</v>
      </c>
      <c r="E52" t="s">
        <v>341</v>
      </c>
      <c r="G52">
        <v>87915</v>
      </c>
      <c r="H52">
        <v>8</v>
      </c>
      <c r="I52">
        <v>12</v>
      </c>
      <c r="J52">
        <v>720</v>
      </c>
      <c r="K52">
        <v>1710000</v>
      </c>
      <c r="L52">
        <v>190</v>
      </c>
      <c r="O52">
        <v>84488</v>
      </c>
    </row>
    <row r="53" spans="1:15">
      <c r="A53">
        <v>52</v>
      </c>
      <c r="B53">
        <v>1</v>
      </c>
      <c r="C53">
        <v>52</v>
      </c>
      <c r="D53" t="s">
        <v>342</v>
      </c>
      <c r="E53" t="s">
        <v>343</v>
      </c>
      <c r="G53">
        <v>90645</v>
      </c>
      <c r="H53">
        <v>8</v>
      </c>
      <c r="I53">
        <v>12</v>
      </c>
      <c r="J53">
        <v>734</v>
      </c>
      <c r="K53">
        <v>1750000</v>
      </c>
      <c r="L53">
        <v>194</v>
      </c>
      <c r="O53">
        <v>87005</v>
      </c>
    </row>
    <row r="54" spans="1:15">
      <c r="A54">
        <v>53</v>
      </c>
      <c r="B54">
        <v>1</v>
      </c>
      <c r="C54">
        <v>53</v>
      </c>
      <c r="D54" t="s">
        <v>344</v>
      </c>
      <c r="E54" t="s">
        <v>345</v>
      </c>
      <c r="G54">
        <v>93375</v>
      </c>
      <c r="H54">
        <v>8</v>
      </c>
      <c r="I54">
        <v>12</v>
      </c>
      <c r="J54">
        <v>748</v>
      </c>
      <c r="K54">
        <v>1790000</v>
      </c>
      <c r="L54">
        <v>198</v>
      </c>
      <c r="O54">
        <v>89522</v>
      </c>
    </row>
    <row r="55" spans="1:15">
      <c r="A55">
        <v>54</v>
      </c>
      <c r="B55">
        <v>1</v>
      </c>
      <c r="C55">
        <v>54</v>
      </c>
      <c r="D55" t="s">
        <v>346</v>
      </c>
      <c r="E55" t="s">
        <v>347</v>
      </c>
      <c r="G55">
        <v>96105</v>
      </c>
      <c r="H55">
        <v>8</v>
      </c>
      <c r="I55">
        <v>12</v>
      </c>
      <c r="J55">
        <v>762</v>
      </c>
      <c r="K55">
        <v>1830000</v>
      </c>
      <c r="L55">
        <v>202</v>
      </c>
      <c r="O55">
        <v>92039</v>
      </c>
    </row>
    <row r="56" spans="1:15">
      <c r="A56">
        <v>55</v>
      </c>
      <c r="B56">
        <v>1</v>
      </c>
      <c r="C56">
        <v>55</v>
      </c>
      <c r="D56" t="s">
        <v>348</v>
      </c>
      <c r="E56" t="s">
        <v>349</v>
      </c>
      <c r="G56">
        <v>98835</v>
      </c>
      <c r="H56">
        <v>8</v>
      </c>
      <c r="I56">
        <v>12</v>
      </c>
      <c r="J56">
        <v>776</v>
      </c>
      <c r="K56">
        <v>1870000</v>
      </c>
      <c r="L56">
        <v>206</v>
      </c>
      <c r="O56">
        <v>94556</v>
      </c>
    </row>
    <row r="57" spans="1:15">
      <c r="A57">
        <v>56</v>
      </c>
      <c r="B57">
        <v>1</v>
      </c>
      <c r="C57">
        <v>56</v>
      </c>
      <c r="D57" t="s">
        <v>350</v>
      </c>
      <c r="E57" t="s">
        <v>351</v>
      </c>
      <c r="G57">
        <v>101565</v>
      </c>
      <c r="H57">
        <v>8</v>
      </c>
      <c r="I57">
        <v>12</v>
      </c>
      <c r="J57">
        <v>790</v>
      </c>
      <c r="K57">
        <v>1910000</v>
      </c>
      <c r="L57">
        <v>210</v>
      </c>
      <c r="O57">
        <v>97073</v>
      </c>
    </row>
    <row r="58" spans="1:15">
      <c r="A58">
        <v>57</v>
      </c>
      <c r="B58">
        <v>1</v>
      </c>
      <c r="C58">
        <v>57</v>
      </c>
      <c r="D58" t="s">
        <v>352</v>
      </c>
      <c r="E58" t="s">
        <v>353</v>
      </c>
      <c r="G58">
        <v>104295</v>
      </c>
      <c r="H58">
        <v>8</v>
      </c>
      <c r="I58">
        <v>12</v>
      </c>
      <c r="J58">
        <v>804</v>
      </c>
      <c r="K58">
        <v>1950000</v>
      </c>
      <c r="L58">
        <v>214</v>
      </c>
      <c r="O58">
        <v>99590</v>
      </c>
    </row>
    <row r="59" spans="1:15">
      <c r="A59">
        <v>58</v>
      </c>
      <c r="B59">
        <v>1</v>
      </c>
      <c r="C59">
        <v>58</v>
      </c>
      <c r="D59" t="s">
        <v>354</v>
      </c>
      <c r="E59" t="s">
        <v>355</v>
      </c>
      <c r="G59">
        <v>107025</v>
      </c>
      <c r="H59">
        <v>8</v>
      </c>
      <c r="I59">
        <v>12</v>
      </c>
      <c r="J59">
        <v>818</v>
      </c>
      <c r="K59">
        <v>1990000</v>
      </c>
      <c r="L59">
        <v>218</v>
      </c>
      <c r="O59">
        <v>102107</v>
      </c>
    </row>
    <row r="60" spans="1:15">
      <c r="A60">
        <v>59</v>
      </c>
      <c r="B60">
        <v>1</v>
      </c>
      <c r="C60">
        <v>59</v>
      </c>
      <c r="D60" t="s">
        <v>356</v>
      </c>
      <c r="E60" t="s">
        <v>357</v>
      </c>
      <c r="G60">
        <v>109755</v>
      </c>
      <c r="H60">
        <v>8</v>
      </c>
      <c r="I60">
        <v>12</v>
      </c>
      <c r="J60">
        <v>832</v>
      </c>
      <c r="K60">
        <v>2030000</v>
      </c>
      <c r="L60">
        <v>222</v>
      </c>
      <c r="O60">
        <v>104624</v>
      </c>
    </row>
    <row r="61" spans="1:15">
      <c r="A61">
        <v>60</v>
      </c>
      <c r="B61">
        <v>1</v>
      </c>
      <c r="C61">
        <v>60</v>
      </c>
      <c r="D61" t="s">
        <v>358</v>
      </c>
      <c r="E61" t="s">
        <v>359</v>
      </c>
      <c r="G61">
        <v>112485</v>
      </c>
      <c r="H61">
        <v>8</v>
      </c>
      <c r="I61">
        <v>12</v>
      </c>
      <c r="J61">
        <v>846</v>
      </c>
      <c r="K61">
        <v>2070000</v>
      </c>
      <c r="L61">
        <v>226</v>
      </c>
      <c r="O61">
        <v>107141</v>
      </c>
    </row>
    <row r="62" spans="1:15">
      <c r="A62">
        <v>61</v>
      </c>
      <c r="B62">
        <v>1</v>
      </c>
      <c r="C62">
        <v>61</v>
      </c>
      <c r="D62" t="s">
        <v>360</v>
      </c>
      <c r="E62" t="s">
        <v>361</v>
      </c>
      <c r="G62">
        <v>115215</v>
      </c>
      <c r="H62">
        <v>8</v>
      </c>
      <c r="I62">
        <v>12</v>
      </c>
      <c r="J62">
        <v>860</v>
      </c>
      <c r="K62">
        <v>2110000</v>
      </c>
      <c r="L62">
        <v>230</v>
      </c>
      <c r="O62">
        <v>109658</v>
      </c>
    </row>
    <row r="63" spans="1:15">
      <c r="A63">
        <v>62</v>
      </c>
      <c r="B63">
        <v>1</v>
      </c>
      <c r="C63">
        <v>62</v>
      </c>
      <c r="D63" t="s">
        <v>362</v>
      </c>
      <c r="E63" t="s">
        <v>363</v>
      </c>
      <c r="G63">
        <v>117945</v>
      </c>
      <c r="H63">
        <v>8</v>
      </c>
      <c r="I63">
        <v>12</v>
      </c>
      <c r="J63">
        <v>874</v>
      </c>
      <c r="K63">
        <v>2150000</v>
      </c>
      <c r="L63">
        <v>234</v>
      </c>
      <c r="O63">
        <v>112175</v>
      </c>
    </row>
    <row r="64" spans="1:15">
      <c r="A64">
        <v>63</v>
      </c>
      <c r="B64">
        <v>1</v>
      </c>
      <c r="C64">
        <v>63</v>
      </c>
      <c r="D64" t="s">
        <v>364</v>
      </c>
      <c r="E64" t="s">
        <v>365</v>
      </c>
      <c r="G64">
        <v>120675</v>
      </c>
      <c r="H64">
        <v>8</v>
      </c>
      <c r="I64">
        <v>12</v>
      </c>
      <c r="J64">
        <v>888</v>
      </c>
      <c r="K64">
        <v>2190000</v>
      </c>
      <c r="L64">
        <v>238</v>
      </c>
      <c r="O64">
        <v>114692</v>
      </c>
    </row>
    <row r="65" spans="1:15">
      <c r="A65">
        <v>64</v>
      </c>
      <c r="B65">
        <v>1</v>
      </c>
      <c r="C65">
        <v>64</v>
      </c>
      <c r="D65" t="s">
        <v>366</v>
      </c>
      <c r="E65" t="s">
        <v>367</v>
      </c>
      <c r="G65">
        <v>123405</v>
      </c>
      <c r="H65">
        <v>8</v>
      </c>
      <c r="I65">
        <v>12</v>
      </c>
      <c r="J65">
        <v>902</v>
      </c>
      <c r="K65">
        <v>2230000</v>
      </c>
      <c r="L65">
        <v>242</v>
      </c>
      <c r="O65">
        <v>117209</v>
      </c>
    </row>
    <row r="66" spans="1:15">
      <c r="A66">
        <v>65</v>
      </c>
      <c r="B66">
        <v>1</v>
      </c>
      <c r="C66">
        <v>65</v>
      </c>
      <c r="D66" t="s">
        <v>368</v>
      </c>
      <c r="E66" t="s">
        <v>369</v>
      </c>
      <c r="G66">
        <v>126135</v>
      </c>
      <c r="H66">
        <v>8</v>
      </c>
      <c r="I66">
        <v>12</v>
      </c>
      <c r="J66">
        <v>916</v>
      </c>
      <c r="K66">
        <v>2270000</v>
      </c>
      <c r="L66">
        <v>246</v>
      </c>
      <c r="O66">
        <v>119726</v>
      </c>
    </row>
    <row r="67" spans="1:15">
      <c r="A67">
        <v>66</v>
      </c>
      <c r="B67">
        <v>1</v>
      </c>
      <c r="C67">
        <v>66</v>
      </c>
      <c r="D67" t="s">
        <v>370</v>
      </c>
      <c r="E67" t="s">
        <v>371</v>
      </c>
      <c r="G67">
        <v>128865</v>
      </c>
      <c r="H67">
        <v>8</v>
      </c>
      <c r="I67">
        <v>12</v>
      </c>
      <c r="J67">
        <v>930</v>
      </c>
      <c r="K67">
        <v>2310000</v>
      </c>
      <c r="L67">
        <v>250</v>
      </c>
      <c r="O67">
        <v>122243</v>
      </c>
    </row>
    <row r="68" spans="1:15">
      <c r="A68">
        <v>67</v>
      </c>
      <c r="B68">
        <v>1</v>
      </c>
      <c r="C68">
        <v>67</v>
      </c>
      <c r="D68" t="s">
        <v>372</v>
      </c>
      <c r="E68" t="s">
        <v>373</v>
      </c>
      <c r="G68">
        <v>131595</v>
      </c>
      <c r="H68">
        <v>8</v>
      </c>
      <c r="I68">
        <v>12</v>
      </c>
      <c r="J68">
        <v>944</v>
      </c>
      <c r="K68">
        <v>2350000</v>
      </c>
      <c r="L68">
        <v>254</v>
      </c>
      <c r="O68">
        <v>124760</v>
      </c>
    </row>
    <row r="69" spans="1:15">
      <c r="A69">
        <v>68</v>
      </c>
      <c r="B69">
        <v>1</v>
      </c>
      <c r="C69">
        <v>68</v>
      </c>
      <c r="D69" t="s">
        <v>374</v>
      </c>
      <c r="E69" t="s">
        <v>375</v>
      </c>
      <c r="G69">
        <v>134325</v>
      </c>
      <c r="H69">
        <v>8</v>
      </c>
      <c r="I69">
        <v>12</v>
      </c>
      <c r="J69">
        <v>958</v>
      </c>
      <c r="K69">
        <v>2390000</v>
      </c>
      <c r="L69">
        <v>258</v>
      </c>
      <c r="O69">
        <v>127277</v>
      </c>
    </row>
    <row r="70" spans="1:15">
      <c r="A70">
        <v>69</v>
      </c>
      <c r="B70">
        <v>1</v>
      </c>
      <c r="C70">
        <v>69</v>
      </c>
      <c r="D70" t="s">
        <v>376</v>
      </c>
      <c r="E70" t="s">
        <v>377</v>
      </c>
      <c r="G70">
        <v>137055</v>
      </c>
      <c r="H70">
        <v>8</v>
      </c>
      <c r="I70">
        <v>12</v>
      </c>
      <c r="J70">
        <v>972</v>
      </c>
      <c r="K70">
        <v>2430000</v>
      </c>
      <c r="L70">
        <v>262</v>
      </c>
      <c r="O70">
        <v>129794</v>
      </c>
    </row>
    <row r="71" spans="1:15">
      <c r="A71">
        <v>70</v>
      </c>
      <c r="B71">
        <v>1</v>
      </c>
      <c r="C71">
        <v>70</v>
      </c>
      <c r="D71" t="s">
        <v>378</v>
      </c>
      <c r="E71" t="s">
        <v>379</v>
      </c>
      <c r="G71">
        <v>139785</v>
      </c>
      <c r="H71">
        <v>8</v>
      </c>
      <c r="I71">
        <v>12</v>
      </c>
      <c r="J71">
        <v>986</v>
      </c>
      <c r="K71">
        <v>2470000</v>
      </c>
      <c r="L71">
        <v>266</v>
      </c>
      <c r="O71">
        <v>132311</v>
      </c>
    </row>
    <row r="72" spans="1:15">
      <c r="A72">
        <v>71</v>
      </c>
      <c r="B72">
        <v>1</v>
      </c>
      <c r="C72">
        <v>71</v>
      </c>
      <c r="D72" t="s">
        <v>380</v>
      </c>
      <c r="E72" t="s">
        <v>381</v>
      </c>
      <c r="G72">
        <v>142515</v>
      </c>
      <c r="H72">
        <v>8</v>
      </c>
      <c r="I72">
        <v>12</v>
      </c>
      <c r="J72">
        <v>1000</v>
      </c>
      <c r="K72">
        <v>2510000</v>
      </c>
      <c r="L72">
        <v>270</v>
      </c>
      <c r="O72">
        <v>134828</v>
      </c>
    </row>
    <row r="73" spans="1:15">
      <c r="A73">
        <v>72</v>
      </c>
      <c r="B73">
        <v>1</v>
      </c>
      <c r="C73">
        <v>72</v>
      </c>
      <c r="D73" t="s">
        <v>382</v>
      </c>
      <c r="E73" t="s">
        <v>383</v>
      </c>
      <c r="G73">
        <v>145245</v>
      </c>
      <c r="H73">
        <v>8</v>
      </c>
      <c r="I73">
        <v>12</v>
      </c>
      <c r="J73">
        <v>1014</v>
      </c>
      <c r="K73">
        <v>2550000</v>
      </c>
      <c r="L73">
        <v>274</v>
      </c>
      <c r="O73">
        <v>137345</v>
      </c>
    </row>
    <row r="74" spans="1:15">
      <c r="A74">
        <v>73</v>
      </c>
      <c r="B74">
        <v>1</v>
      </c>
      <c r="C74">
        <v>73</v>
      </c>
      <c r="D74" t="s">
        <v>384</v>
      </c>
      <c r="E74" t="s">
        <v>385</v>
      </c>
      <c r="G74">
        <v>147975</v>
      </c>
      <c r="H74">
        <v>8</v>
      </c>
      <c r="I74">
        <v>12</v>
      </c>
      <c r="J74">
        <v>1028</v>
      </c>
      <c r="K74">
        <v>2590000</v>
      </c>
      <c r="L74">
        <v>278</v>
      </c>
      <c r="O74">
        <v>139862</v>
      </c>
    </row>
    <row r="75" spans="1:15">
      <c r="A75">
        <v>74</v>
      </c>
      <c r="B75">
        <v>1</v>
      </c>
      <c r="C75">
        <v>74</v>
      </c>
      <c r="D75" t="s">
        <v>386</v>
      </c>
      <c r="E75" t="s">
        <v>387</v>
      </c>
      <c r="G75">
        <v>150705</v>
      </c>
      <c r="H75">
        <v>8</v>
      </c>
      <c r="I75">
        <v>12</v>
      </c>
      <c r="J75">
        <v>1042</v>
      </c>
      <c r="K75">
        <v>2630000</v>
      </c>
      <c r="L75">
        <v>282</v>
      </c>
      <c r="O75">
        <v>142379</v>
      </c>
    </row>
    <row r="76" spans="1:15">
      <c r="A76">
        <v>75</v>
      </c>
      <c r="B76">
        <v>1</v>
      </c>
      <c r="C76">
        <v>75</v>
      </c>
      <c r="D76" t="s">
        <v>388</v>
      </c>
      <c r="E76" t="s">
        <v>389</v>
      </c>
      <c r="G76">
        <v>153435</v>
      </c>
      <c r="H76">
        <v>8</v>
      </c>
      <c r="I76">
        <v>12</v>
      </c>
      <c r="J76">
        <v>1056</v>
      </c>
      <c r="K76">
        <v>2670000</v>
      </c>
      <c r="L76">
        <v>286</v>
      </c>
      <c r="O76">
        <v>144896</v>
      </c>
    </row>
    <row r="77" spans="1:15">
      <c r="A77">
        <v>76</v>
      </c>
      <c r="B77">
        <v>1</v>
      </c>
      <c r="C77">
        <v>76</v>
      </c>
      <c r="D77" t="s">
        <v>390</v>
      </c>
      <c r="E77" t="s">
        <v>391</v>
      </c>
      <c r="G77">
        <v>156165</v>
      </c>
      <c r="H77">
        <v>8</v>
      </c>
      <c r="I77">
        <v>12</v>
      </c>
      <c r="J77">
        <v>1070</v>
      </c>
      <c r="K77">
        <v>2710000</v>
      </c>
      <c r="L77">
        <v>290</v>
      </c>
      <c r="O77">
        <v>147413</v>
      </c>
    </row>
    <row r="78" spans="1:15">
      <c r="A78">
        <v>77</v>
      </c>
      <c r="B78">
        <v>1</v>
      </c>
      <c r="C78">
        <v>77</v>
      </c>
      <c r="D78" t="s">
        <v>392</v>
      </c>
      <c r="E78" t="s">
        <v>393</v>
      </c>
      <c r="G78">
        <v>158895</v>
      </c>
      <c r="H78">
        <v>8</v>
      </c>
      <c r="I78">
        <v>12</v>
      </c>
      <c r="J78">
        <v>1084</v>
      </c>
      <c r="K78">
        <v>2750000</v>
      </c>
      <c r="L78">
        <v>294</v>
      </c>
      <c r="O78">
        <v>149930</v>
      </c>
    </row>
    <row r="79" spans="1:15">
      <c r="A79">
        <v>78</v>
      </c>
      <c r="B79">
        <v>1</v>
      </c>
      <c r="C79">
        <v>78</v>
      </c>
      <c r="D79" t="s">
        <v>394</v>
      </c>
      <c r="E79" t="s">
        <v>395</v>
      </c>
      <c r="G79">
        <v>161625</v>
      </c>
      <c r="H79">
        <v>8</v>
      </c>
      <c r="I79">
        <v>12</v>
      </c>
      <c r="J79">
        <v>1098</v>
      </c>
      <c r="K79">
        <v>2790000</v>
      </c>
      <c r="L79">
        <v>298</v>
      </c>
      <c r="O79">
        <v>152447</v>
      </c>
    </row>
    <row r="80" spans="1:15">
      <c r="A80">
        <v>79</v>
      </c>
      <c r="B80">
        <v>1</v>
      </c>
      <c r="C80">
        <v>79</v>
      </c>
      <c r="D80" t="s">
        <v>396</v>
      </c>
      <c r="E80" t="s">
        <v>397</v>
      </c>
      <c r="G80">
        <v>164355</v>
      </c>
      <c r="H80">
        <v>8</v>
      </c>
      <c r="I80">
        <v>12</v>
      </c>
      <c r="J80">
        <v>1112</v>
      </c>
      <c r="K80">
        <v>2830000</v>
      </c>
      <c r="L80">
        <v>302</v>
      </c>
      <c r="O80">
        <v>154964</v>
      </c>
    </row>
    <row r="81" spans="1:15">
      <c r="A81">
        <v>80</v>
      </c>
      <c r="B81">
        <v>1</v>
      </c>
      <c r="C81">
        <v>80</v>
      </c>
      <c r="D81" t="s">
        <v>398</v>
      </c>
      <c r="E81" t="s">
        <v>399</v>
      </c>
      <c r="G81">
        <v>167085</v>
      </c>
      <c r="H81">
        <v>8</v>
      </c>
      <c r="I81">
        <v>12</v>
      </c>
      <c r="J81">
        <v>1126</v>
      </c>
      <c r="K81">
        <v>2870000</v>
      </c>
      <c r="L81">
        <v>306</v>
      </c>
      <c r="O81">
        <v>157481</v>
      </c>
    </row>
    <row r="82" spans="1:15">
      <c r="A82">
        <v>81</v>
      </c>
      <c r="B82">
        <v>1</v>
      </c>
      <c r="C82">
        <v>81</v>
      </c>
      <c r="D82" t="s">
        <v>400</v>
      </c>
      <c r="E82" t="s">
        <v>401</v>
      </c>
      <c r="G82">
        <v>169815</v>
      </c>
      <c r="H82">
        <v>8</v>
      </c>
      <c r="I82">
        <v>12</v>
      </c>
      <c r="J82">
        <v>1140</v>
      </c>
      <c r="K82">
        <v>2910000</v>
      </c>
      <c r="L82">
        <v>310</v>
      </c>
      <c r="O82">
        <v>159998</v>
      </c>
    </row>
    <row r="83" spans="1:15">
      <c r="A83">
        <v>82</v>
      </c>
      <c r="B83">
        <v>1</v>
      </c>
      <c r="C83">
        <v>82</v>
      </c>
      <c r="D83" t="s">
        <v>402</v>
      </c>
      <c r="E83" t="s">
        <v>403</v>
      </c>
      <c r="G83">
        <v>172545</v>
      </c>
      <c r="H83">
        <v>8</v>
      </c>
      <c r="I83">
        <v>12</v>
      </c>
      <c r="J83">
        <v>1154</v>
      </c>
      <c r="K83">
        <v>2950000</v>
      </c>
      <c r="L83">
        <v>314</v>
      </c>
      <c r="O83">
        <v>162515</v>
      </c>
    </row>
    <row r="84" spans="1:15">
      <c r="A84">
        <v>83</v>
      </c>
      <c r="B84">
        <v>1</v>
      </c>
      <c r="C84">
        <v>83</v>
      </c>
      <c r="D84" t="s">
        <v>404</v>
      </c>
      <c r="E84" t="s">
        <v>405</v>
      </c>
      <c r="G84">
        <v>175275</v>
      </c>
      <c r="H84">
        <v>8</v>
      </c>
      <c r="I84">
        <v>12</v>
      </c>
      <c r="J84">
        <v>1168</v>
      </c>
      <c r="K84">
        <v>2990000</v>
      </c>
      <c r="L84">
        <v>318</v>
      </c>
      <c r="O84">
        <v>165032</v>
      </c>
    </row>
    <row r="85" spans="1:15">
      <c r="A85">
        <v>84</v>
      </c>
      <c r="B85">
        <v>1</v>
      </c>
      <c r="C85">
        <v>84</v>
      </c>
      <c r="D85" t="s">
        <v>406</v>
      </c>
      <c r="E85" t="s">
        <v>407</v>
      </c>
      <c r="G85">
        <v>178005</v>
      </c>
      <c r="H85">
        <v>8</v>
      </c>
      <c r="I85">
        <v>12</v>
      </c>
      <c r="J85">
        <v>1182</v>
      </c>
      <c r="K85">
        <v>3030000</v>
      </c>
      <c r="L85">
        <v>322</v>
      </c>
      <c r="O85">
        <v>167549</v>
      </c>
    </row>
    <row r="86" spans="1:15">
      <c r="A86">
        <v>85</v>
      </c>
      <c r="B86">
        <v>1</v>
      </c>
      <c r="C86">
        <v>85</v>
      </c>
      <c r="D86" t="s">
        <v>408</v>
      </c>
      <c r="E86" t="s">
        <v>409</v>
      </c>
      <c r="G86">
        <v>180735</v>
      </c>
      <c r="H86">
        <v>8</v>
      </c>
      <c r="I86">
        <v>12</v>
      </c>
      <c r="J86">
        <v>1196</v>
      </c>
      <c r="K86">
        <v>3070000</v>
      </c>
      <c r="L86">
        <v>326</v>
      </c>
      <c r="O86">
        <v>170066</v>
      </c>
    </row>
    <row r="87" spans="1:15">
      <c r="A87">
        <v>86</v>
      </c>
      <c r="B87">
        <v>1</v>
      </c>
      <c r="C87">
        <v>86</v>
      </c>
      <c r="D87" t="s">
        <v>410</v>
      </c>
      <c r="E87" t="s">
        <v>411</v>
      </c>
      <c r="G87">
        <v>183465</v>
      </c>
      <c r="H87">
        <v>8</v>
      </c>
      <c r="I87">
        <v>12</v>
      </c>
      <c r="J87">
        <v>1210</v>
      </c>
      <c r="K87">
        <v>3110000</v>
      </c>
      <c r="L87">
        <v>330</v>
      </c>
      <c r="O87">
        <v>172583</v>
      </c>
    </row>
    <row r="88" spans="1:15">
      <c r="A88">
        <v>87</v>
      </c>
      <c r="B88">
        <v>1</v>
      </c>
      <c r="C88">
        <v>87</v>
      </c>
      <c r="D88" t="s">
        <v>412</v>
      </c>
      <c r="E88" t="s">
        <v>413</v>
      </c>
      <c r="G88">
        <v>186195</v>
      </c>
      <c r="H88">
        <v>8</v>
      </c>
      <c r="I88">
        <v>12</v>
      </c>
      <c r="J88">
        <v>1224</v>
      </c>
      <c r="K88">
        <v>3150000</v>
      </c>
      <c r="L88">
        <v>334</v>
      </c>
      <c r="O88">
        <v>175100</v>
      </c>
    </row>
    <row r="89" spans="1:15">
      <c r="A89">
        <v>88</v>
      </c>
      <c r="B89">
        <v>1</v>
      </c>
      <c r="C89">
        <v>88</v>
      </c>
      <c r="D89" t="s">
        <v>414</v>
      </c>
      <c r="E89" t="s">
        <v>415</v>
      </c>
      <c r="G89">
        <v>188925</v>
      </c>
      <c r="H89">
        <v>8</v>
      </c>
      <c r="I89">
        <v>12</v>
      </c>
      <c r="J89">
        <v>1238</v>
      </c>
      <c r="K89">
        <v>3190000</v>
      </c>
      <c r="L89">
        <v>338</v>
      </c>
      <c r="O89">
        <v>177617</v>
      </c>
    </row>
    <row r="90" spans="1:15">
      <c r="A90">
        <v>89</v>
      </c>
      <c r="B90">
        <v>1</v>
      </c>
      <c r="C90">
        <v>89</v>
      </c>
      <c r="D90" t="s">
        <v>416</v>
      </c>
      <c r="E90" t="s">
        <v>417</v>
      </c>
      <c r="G90">
        <v>191655</v>
      </c>
      <c r="H90">
        <v>8</v>
      </c>
      <c r="I90">
        <v>12</v>
      </c>
      <c r="J90">
        <v>1252</v>
      </c>
      <c r="K90">
        <v>3230000</v>
      </c>
      <c r="L90">
        <v>342</v>
      </c>
      <c r="O90">
        <v>180134</v>
      </c>
    </row>
    <row r="91" spans="1:15">
      <c r="A91">
        <v>90</v>
      </c>
      <c r="B91">
        <v>1</v>
      </c>
      <c r="C91">
        <v>90</v>
      </c>
      <c r="D91" t="s">
        <v>418</v>
      </c>
      <c r="E91" t="s">
        <v>419</v>
      </c>
      <c r="G91">
        <v>194385</v>
      </c>
      <c r="H91">
        <v>8</v>
      </c>
      <c r="I91">
        <v>12</v>
      </c>
      <c r="J91">
        <v>1266</v>
      </c>
      <c r="K91">
        <v>3270000</v>
      </c>
      <c r="L91">
        <v>346</v>
      </c>
      <c r="O91">
        <v>182651</v>
      </c>
    </row>
    <row r="92" spans="1:15">
      <c r="A92">
        <v>91</v>
      </c>
      <c r="B92">
        <v>1</v>
      </c>
      <c r="C92">
        <v>91</v>
      </c>
      <c r="D92" t="s">
        <v>420</v>
      </c>
      <c r="E92" t="s">
        <v>421</v>
      </c>
      <c r="G92">
        <v>197115</v>
      </c>
      <c r="H92">
        <v>8</v>
      </c>
      <c r="I92">
        <v>12</v>
      </c>
      <c r="J92">
        <v>1280</v>
      </c>
      <c r="K92">
        <v>3310000</v>
      </c>
      <c r="L92">
        <v>350</v>
      </c>
      <c r="O92">
        <v>185168</v>
      </c>
    </row>
    <row r="93" spans="1:15">
      <c r="A93">
        <v>92</v>
      </c>
      <c r="B93">
        <v>1</v>
      </c>
      <c r="C93">
        <v>92</v>
      </c>
      <c r="D93" t="s">
        <v>422</v>
      </c>
      <c r="E93" t="s">
        <v>423</v>
      </c>
      <c r="G93">
        <v>199845</v>
      </c>
      <c r="H93">
        <v>8</v>
      </c>
      <c r="I93">
        <v>12</v>
      </c>
      <c r="J93">
        <v>1294</v>
      </c>
      <c r="K93">
        <v>3350000</v>
      </c>
      <c r="L93">
        <v>354</v>
      </c>
      <c r="O93">
        <v>187685</v>
      </c>
    </row>
    <row r="94" spans="1:15">
      <c r="A94">
        <v>93</v>
      </c>
      <c r="B94">
        <v>1</v>
      </c>
      <c r="C94">
        <v>93</v>
      </c>
      <c r="D94" t="s">
        <v>424</v>
      </c>
      <c r="E94" t="s">
        <v>425</v>
      </c>
      <c r="G94">
        <v>202575</v>
      </c>
      <c r="H94">
        <v>8</v>
      </c>
      <c r="I94">
        <v>12</v>
      </c>
      <c r="J94">
        <v>1308</v>
      </c>
      <c r="K94">
        <v>3390000</v>
      </c>
      <c r="L94">
        <v>358</v>
      </c>
      <c r="O94">
        <v>190202</v>
      </c>
    </row>
    <row r="95" spans="1:15">
      <c r="A95">
        <v>94</v>
      </c>
      <c r="B95">
        <v>1</v>
      </c>
      <c r="C95">
        <v>94</v>
      </c>
      <c r="D95" t="s">
        <v>426</v>
      </c>
      <c r="E95" t="s">
        <v>427</v>
      </c>
      <c r="G95">
        <v>205305</v>
      </c>
      <c r="H95">
        <v>8</v>
      </c>
      <c r="I95">
        <v>12</v>
      </c>
      <c r="J95">
        <v>1322</v>
      </c>
      <c r="K95">
        <v>3430000</v>
      </c>
      <c r="L95">
        <v>362</v>
      </c>
      <c r="O95">
        <v>192719</v>
      </c>
    </row>
    <row r="96" spans="1:15">
      <c r="A96">
        <v>95</v>
      </c>
      <c r="B96">
        <v>1</v>
      </c>
      <c r="C96">
        <v>95</v>
      </c>
      <c r="D96" t="s">
        <v>428</v>
      </c>
      <c r="E96" t="s">
        <v>429</v>
      </c>
      <c r="G96">
        <v>208035</v>
      </c>
      <c r="H96">
        <v>8</v>
      </c>
      <c r="I96">
        <v>12</v>
      </c>
      <c r="J96">
        <v>1336</v>
      </c>
      <c r="K96">
        <v>3470000</v>
      </c>
      <c r="L96">
        <v>366</v>
      </c>
      <c r="O96">
        <v>195236</v>
      </c>
    </row>
    <row r="97" spans="1:15">
      <c r="A97">
        <v>96</v>
      </c>
      <c r="B97">
        <v>1</v>
      </c>
      <c r="C97">
        <v>96</v>
      </c>
      <c r="D97" t="s">
        <v>430</v>
      </c>
      <c r="E97" t="s">
        <v>431</v>
      </c>
      <c r="G97">
        <v>210765</v>
      </c>
      <c r="H97">
        <v>8</v>
      </c>
      <c r="I97">
        <v>12</v>
      </c>
      <c r="J97">
        <v>1350</v>
      </c>
      <c r="K97">
        <v>3510000</v>
      </c>
      <c r="L97">
        <v>370</v>
      </c>
      <c r="O97">
        <v>197753</v>
      </c>
    </row>
    <row r="98" spans="1:15">
      <c r="A98">
        <v>97</v>
      </c>
      <c r="B98">
        <v>1</v>
      </c>
      <c r="C98">
        <v>97</v>
      </c>
      <c r="D98" t="s">
        <v>432</v>
      </c>
      <c r="E98" t="s">
        <v>433</v>
      </c>
      <c r="G98">
        <v>213495</v>
      </c>
      <c r="H98">
        <v>8</v>
      </c>
      <c r="I98">
        <v>12</v>
      </c>
      <c r="J98">
        <v>1364</v>
      </c>
      <c r="K98">
        <v>3550000</v>
      </c>
      <c r="L98">
        <v>374</v>
      </c>
      <c r="O98">
        <v>200270</v>
      </c>
    </row>
    <row r="99" spans="1:15">
      <c r="A99">
        <v>98</v>
      </c>
      <c r="B99">
        <v>1</v>
      </c>
      <c r="C99">
        <v>98</v>
      </c>
      <c r="D99" t="s">
        <v>434</v>
      </c>
      <c r="E99" t="s">
        <v>435</v>
      </c>
      <c r="G99">
        <v>216225</v>
      </c>
      <c r="H99">
        <v>8</v>
      </c>
      <c r="I99">
        <v>12</v>
      </c>
      <c r="J99">
        <v>1378</v>
      </c>
      <c r="K99">
        <v>3590000</v>
      </c>
      <c r="L99">
        <v>378</v>
      </c>
      <c r="O99">
        <v>202787</v>
      </c>
    </row>
    <row r="100" spans="1:15">
      <c r="A100">
        <v>99</v>
      </c>
      <c r="B100">
        <v>1</v>
      </c>
      <c r="C100">
        <v>99</v>
      </c>
      <c r="D100" t="s">
        <v>436</v>
      </c>
      <c r="E100" t="s">
        <v>437</v>
      </c>
      <c r="G100">
        <v>218955</v>
      </c>
      <c r="H100">
        <v>8</v>
      </c>
      <c r="I100">
        <v>12</v>
      </c>
      <c r="J100">
        <v>1392</v>
      </c>
      <c r="K100">
        <v>3630000</v>
      </c>
      <c r="L100">
        <v>382</v>
      </c>
      <c r="O100">
        <v>205304</v>
      </c>
    </row>
    <row r="101" spans="1:15">
      <c r="A101">
        <v>100</v>
      </c>
      <c r="B101">
        <v>1</v>
      </c>
      <c r="C101">
        <v>100</v>
      </c>
      <c r="D101" t="s">
        <v>438</v>
      </c>
      <c r="E101" t="s">
        <v>439</v>
      </c>
      <c r="G101">
        <v>221685</v>
      </c>
      <c r="H101">
        <v>8</v>
      </c>
      <c r="I101">
        <v>12</v>
      </c>
      <c r="J101">
        <v>1406</v>
      </c>
      <c r="K101">
        <v>3670000</v>
      </c>
      <c r="L101">
        <v>386</v>
      </c>
      <c r="N101">
        <v>1</v>
      </c>
      <c r="O101">
        <v>207821</v>
      </c>
    </row>
    <row r="102" spans="1:15">
      <c r="A102">
        <v>101</v>
      </c>
      <c r="B102">
        <v>2</v>
      </c>
      <c r="C102">
        <v>1</v>
      </c>
      <c r="D102" s="2" t="s">
        <v>233</v>
      </c>
      <c r="E102" s="2" t="s">
        <v>234</v>
      </c>
      <c r="F102" s="2"/>
      <c r="G102" s="1">
        <v>70</v>
      </c>
      <c r="H102" s="1">
        <v>8</v>
      </c>
      <c r="I102" s="1">
        <v>12</v>
      </c>
      <c r="J102" s="1">
        <v>14</v>
      </c>
      <c r="K102" s="1">
        <v>5000</v>
      </c>
      <c r="L102">
        <v>2</v>
      </c>
      <c r="O102">
        <v>11</v>
      </c>
    </row>
    <row r="103" spans="1:15">
      <c r="A103">
        <v>102</v>
      </c>
      <c r="B103">
        <v>2</v>
      </c>
      <c r="C103">
        <v>2</v>
      </c>
      <c r="D103" s="2" t="s">
        <v>238</v>
      </c>
      <c r="E103" s="2" t="s">
        <v>239</v>
      </c>
      <c r="F103" s="2"/>
      <c r="G103" s="1">
        <v>210</v>
      </c>
      <c r="H103" s="1">
        <v>8</v>
      </c>
      <c r="I103" s="1">
        <v>12</v>
      </c>
      <c r="J103" s="1">
        <v>28</v>
      </c>
      <c r="K103" s="1">
        <v>10000</v>
      </c>
      <c r="L103">
        <v>4</v>
      </c>
      <c r="M103" t="s">
        <v>440</v>
      </c>
      <c r="O103">
        <v>55</v>
      </c>
    </row>
    <row r="104" spans="1:15">
      <c r="A104">
        <v>103</v>
      </c>
      <c r="B104">
        <v>2</v>
      </c>
      <c r="C104">
        <v>3</v>
      </c>
      <c r="D104" s="2" t="s">
        <v>243</v>
      </c>
      <c r="E104" s="2" t="s">
        <v>244</v>
      </c>
      <c r="F104" s="2"/>
      <c r="G104" s="1">
        <v>420</v>
      </c>
      <c r="H104" s="1">
        <v>8</v>
      </c>
      <c r="I104" s="1">
        <v>12</v>
      </c>
      <c r="J104" s="1">
        <v>42</v>
      </c>
      <c r="K104" s="1">
        <v>18000</v>
      </c>
      <c r="L104">
        <v>6</v>
      </c>
      <c r="M104" t="s">
        <v>441</v>
      </c>
      <c r="O104">
        <v>144</v>
      </c>
    </row>
    <row r="105" spans="1:15">
      <c r="A105">
        <v>104</v>
      </c>
      <c r="B105">
        <v>2</v>
      </c>
      <c r="C105">
        <v>4</v>
      </c>
      <c r="D105" s="2" t="s">
        <v>246</v>
      </c>
      <c r="E105" s="2" t="s">
        <v>247</v>
      </c>
      <c r="F105" s="2"/>
      <c r="G105" s="1">
        <v>710</v>
      </c>
      <c r="H105" s="1">
        <v>8</v>
      </c>
      <c r="I105" s="1">
        <v>12</v>
      </c>
      <c r="J105" s="1">
        <v>58</v>
      </c>
      <c r="K105" s="1">
        <v>28000</v>
      </c>
      <c r="L105">
        <v>8</v>
      </c>
      <c r="O105">
        <v>285</v>
      </c>
    </row>
    <row r="106" spans="1:15">
      <c r="A106">
        <v>105</v>
      </c>
      <c r="B106">
        <v>2</v>
      </c>
      <c r="C106">
        <v>5</v>
      </c>
      <c r="D106" s="2" t="s">
        <v>249</v>
      </c>
      <c r="E106" s="2" t="s">
        <v>250</v>
      </c>
      <c r="F106" s="2"/>
      <c r="G106" s="1">
        <v>1070</v>
      </c>
      <c r="H106" s="1">
        <v>8</v>
      </c>
      <c r="I106" s="1">
        <v>12</v>
      </c>
      <c r="J106" s="1">
        <v>72</v>
      </c>
      <c r="K106" s="1">
        <v>40000</v>
      </c>
      <c r="L106">
        <v>10</v>
      </c>
      <c r="O106">
        <v>473</v>
      </c>
    </row>
    <row r="107" spans="1:15">
      <c r="A107">
        <v>106</v>
      </c>
      <c r="B107">
        <v>2</v>
      </c>
      <c r="C107">
        <v>6</v>
      </c>
      <c r="D107" s="2" t="s">
        <v>251</v>
      </c>
      <c r="E107" s="2" t="s">
        <v>252</v>
      </c>
      <c r="F107" s="2"/>
      <c r="G107" s="1">
        <v>1490</v>
      </c>
      <c r="H107" s="1">
        <v>8</v>
      </c>
      <c r="I107" s="1">
        <v>12</v>
      </c>
      <c r="J107" s="1">
        <v>84</v>
      </c>
      <c r="K107" s="1">
        <v>54000</v>
      </c>
      <c r="L107">
        <v>13</v>
      </c>
      <c r="O107">
        <v>724</v>
      </c>
    </row>
    <row r="108" spans="1:15">
      <c r="A108">
        <v>107</v>
      </c>
      <c r="B108">
        <v>2</v>
      </c>
      <c r="C108">
        <v>7</v>
      </c>
      <c r="D108" s="2" t="s">
        <v>253</v>
      </c>
      <c r="E108" s="2" t="s">
        <v>254</v>
      </c>
      <c r="F108" s="2"/>
      <c r="G108" s="1">
        <v>1990</v>
      </c>
      <c r="H108" s="1">
        <v>8</v>
      </c>
      <c r="I108" s="1">
        <v>12</v>
      </c>
      <c r="J108" s="1">
        <v>100</v>
      </c>
      <c r="K108" s="1">
        <v>70000</v>
      </c>
      <c r="L108">
        <v>16</v>
      </c>
      <c r="O108">
        <v>1076</v>
      </c>
    </row>
    <row r="109" spans="1:15">
      <c r="A109">
        <v>108</v>
      </c>
      <c r="B109">
        <v>2</v>
      </c>
      <c r="C109">
        <v>8</v>
      </c>
      <c r="D109" s="2" t="s">
        <v>255</v>
      </c>
      <c r="E109" s="2" t="s">
        <v>256</v>
      </c>
      <c r="F109" s="2"/>
      <c r="G109" s="1">
        <v>2560</v>
      </c>
      <c r="H109" s="1">
        <v>8</v>
      </c>
      <c r="I109" s="1">
        <v>12</v>
      </c>
      <c r="J109" s="1">
        <v>114</v>
      </c>
      <c r="K109" s="1">
        <v>88000</v>
      </c>
      <c r="L109">
        <v>19</v>
      </c>
      <c r="O109">
        <v>1506</v>
      </c>
    </row>
    <row r="110" spans="1:15">
      <c r="A110">
        <v>109</v>
      </c>
      <c r="B110">
        <v>2</v>
      </c>
      <c r="C110">
        <v>9</v>
      </c>
      <c r="D110" s="2" t="s">
        <v>257</v>
      </c>
      <c r="E110" s="2" t="s">
        <v>258</v>
      </c>
      <c r="F110" s="2"/>
      <c r="G110" s="1">
        <v>3200</v>
      </c>
      <c r="H110" s="1">
        <v>8</v>
      </c>
      <c r="I110" s="1">
        <v>12</v>
      </c>
      <c r="J110" s="1">
        <v>128</v>
      </c>
      <c r="K110" s="1">
        <v>100000</v>
      </c>
      <c r="L110">
        <v>22</v>
      </c>
      <c r="O110">
        <v>1992</v>
      </c>
    </row>
    <row r="111" spans="1:15">
      <c r="A111">
        <v>110</v>
      </c>
      <c r="B111">
        <v>2</v>
      </c>
      <c r="C111">
        <v>10</v>
      </c>
      <c r="D111" s="2" t="s">
        <v>259</v>
      </c>
      <c r="E111" s="2" t="s">
        <v>260</v>
      </c>
      <c r="F111" s="2"/>
      <c r="G111" s="1">
        <v>3910</v>
      </c>
      <c r="H111" s="1">
        <v>8</v>
      </c>
      <c r="I111" s="1">
        <v>12</v>
      </c>
      <c r="J111" s="1">
        <v>142</v>
      </c>
      <c r="K111" s="1">
        <v>130000</v>
      </c>
      <c r="L111">
        <v>26</v>
      </c>
      <c r="O111">
        <v>2602</v>
      </c>
    </row>
    <row r="112" spans="1:15">
      <c r="A112">
        <v>111</v>
      </c>
      <c r="B112">
        <v>2</v>
      </c>
      <c r="C112">
        <v>11</v>
      </c>
      <c r="D112" s="2" t="s">
        <v>261</v>
      </c>
      <c r="E112" s="2" t="s">
        <v>262</v>
      </c>
      <c r="F112" s="2"/>
      <c r="G112" s="1">
        <v>4690</v>
      </c>
      <c r="H112" s="1">
        <v>8</v>
      </c>
      <c r="I112" s="1">
        <v>12</v>
      </c>
      <c r="J112" s="1">
        <v>156</v>
      </c>
      <c r="K112" s="1">
        <v>150000</v>
      </c>
      <c r="L112">
        <v>30</v>
      </c>
      <c r="O112">
        <v>3348</v>
      </c>
    </row>
    <row r="113" spans="1:15">
      <c r="A113">
        <v>112</v>
      </c>
      <c r="B113">
        <v>2</v>
      </c>
      <c r="C113">
        <v>12</v>
      </c>
      <c r="D113" s="2" t="s">
        <v>263</v>
      </c>
      <c r="E113" s="2" t="s">
        <v>264</v>
      </c>
      <c r="F113" s="2"/>
      <c r="G113" s="1">
        <v>5540</v>
      </c>
      <c r="H113" s="1">
        <v>8</v>
      </c>
      <c r="I113" s="1">
        <v>12</v>
      </c>
      <c r="J113" s="1">
        <v>170</v>
      </c>
      <c r="K113" s="1">
        <v>180000</v>
      </c>
      <c r="L113">
        <v>34</v>
      </c>
      <c r="O113">
        <v>4184</v>
      </c>
    </row>
    <row r="114" spans="1:15">
      <c r="A114">
        <v>113</v>
      </c>
      <c r="B114">
        <v>2</v>
      </c>
      <c r="C114">
        <v>13</v>
      </c>
      <c r="D114" s="2" t="s">
        <v>265</v>
      </c>
      <c r="E114" s="2" t="s">
        <v>266</v>
      </c>
      <c r="F114" s="2"/>
      <c r="G114" s="1">
        <v>6470</v>
      </c>
      <c r="H114" s="1">
        <v>8</v>
      </c>
      <c r="I114" s="1">
        <v>12</v>
      </c>
      <c r="J114" s="1">
        <v>186</v>
      </c>
      <c r="K114" s="1">
        <v>200000</v>
      </c>
      <c r="L114">
        <v>38</v>
      </c>
      <c r="O114">
        <v>5139</v>
      </c>
    </row>
    <row r="115" spans="1:15">
      <c r="A115">
        <v>114</v>
      </c>
      <c r="B115">
        <v>2</v>
      </c>
      <c r="C115">
        <v>14</v>
      </c>
      <c r="D115" s="2" t="s">
        <v>267</v>
      </c>
      <c r="E115" s="2" t="s">
        <v>268</v>
      </c>
      <c r="F115" s="2"/>
      <c r="G115" s="1">
        <v>7470</v>
      </c>
      <c r="H115" s="1">
        <v>8</v>
      </c>
      <c r="I115" s="1">
        <v>12</v>
      </c>
      <c r="J115" s="1">
        <v>200</v>
      </c>
      <c r="K115" s="1">
        <v>230000</v>
      </c>
      <c r="L115">
        <v>42</v>
      </c>
      <c r="O115">
        <v>6187</v>
      </c>
    </row>
    <row r="116" spans="1:15">
      <c r="A116">
        <v>115</v>
      </c>
      <c r="B116">
        <v>2</v>
      </c>
      <c r="C116">
        <v>15</v>
      </c>
      <c r="D116" s="2" t="s">
        <v>269</v>
      </c>
      <c r="E116" s="2" t="s">
        <v>270</v>
      </c>
      <c r="F116" s="2"/>
      <c r="G116" s="1">
        <v>8540</v>
      </c>
      <c r="H116" s="1">
        <v>8</v>
      </c>
      <c r="I116" s="1">
        <v>12</v>
      </c>
      <c r="J116" s="1">
        <v>214</v>
      </c>
      <c r="K116" s="1">
        <v>270000</v>
      </c>
      <c r="L116">
        <v>46</v>
      </c>
      <c r="O116">
        <v>7297</v>
      </c>
    </row>
    <row r="117" spans="1:15">
      <c r="A117">
        <v>116</v>
      </c>
      <c r="B117">
        <v>2</v>
      </c>
      <c r="C117">
        <v>16</v>
      </c>
      <c r="D117" s="2" t="s">
        <v>271</v>
      </c>
      <c r="E117" s="2" t="s">
        <v>272</v>
      </c>
      <c r="F117" s="2"/>
      <c r="G117" s="1">
        <v>9680</v>
      </c>
      <c r="H117" s="1">
        <v>8</v>
      </c>
      <c r="I117" s="1">
        <v>12</v>
      </c>
      <c r="J117" s="1">
        <v>228</v>
      </c>
      <c r="K117" s="1">
        <v>310000</v>
      </c>
      <c r="L117">
        <v>50</v>
      </c>
      <c r="O117">
        <v>8497</v>
      </c>
    </row>
    <row r="118" spans="1:15">
      <c r="A118">
        <v>117</v>
      </c>
      <c r="B118">
        <v>2</v>
      </c>
      <c r="C118">
        <v>17</v>
      </c>
      <c r="D118" s="2" t="s">
        <v>273</v>
      </c>
      <c r="E118" s="2" t="s">
        <v>274</v>
      </c>
      <c r="F118" s="2"/>
      <c r="G118" s="1">
        <v>10890</v>
      </c>
      <c r="H118" s="1">
        <v>8</v>
      </c>
      <c r="I118" s="1">
        <v>12</v>
      </c>
      <c r="J118" s="1">
        <v>242</v>
      </c>
      <c r="K118" s="1">
        <v>350000</v>
      </c>
      <c r="L118">
        <v>54</v>
      </c>
      <c r="O118">
        <v>9787</v>
      </c>
    </row>
    <row r="119" spans="1:15">
      <c r="A119">
        <v>118</v>
      </c>
      <c r="B119">
        <v>2</v>
      </c>
      <c r="C119">
        <v>18</v>
      </c>
      <c r="D119" s="2" t="s">
        <v>275</v>
      </c>
      <c r="E119" s="2" t="s">
        <v>276</v>
      </c>
      <c r="F119" s="2"/>
      <c r="G119" s="1">
        <v>12170</v>
      </c>
      <c r="H119" s="1">
        <v>8</v>
      </c>
      <c r="I119" s="1">
        <v>12</v>
      </c>
      <c r="J119" s="1">
        <v>256</v>
      </c>
      <c r="K119" s="1">
        <v>390000</v>
      </c>
      <c r="L119">
        <v>58</v>
      </c>
      <c r="O119">
        <v>11166</v>
      </c>
    </row>
    <row r="120" spans="1:15">
      <c r="A120">
        <v>119</v>
      </c>
      <c r="B120">
        <v>2</v>
      </c>
      <c r="C120">
        <v>19</v>
      </c>
      <c r="D120" s="2" t="s">
        <v>277</v>
      </c>
      <c r="E120" s="2" t="s">
        <v>278</v>
      </c>
      <c r="F120" s="2"/>
      <c r="G120" s="1">
        <v>13520</v>
      </c>
      <c r="H120" s="1">
        <v>8</v>
      </c>
      <c r="I120" s="1">
        <v>12</v>
      </c>
      <c r="J120" s="1">
        <v>270</v>
      </c>
      <c r="K120" s="1">
        <v>430000</v>
      </c>
      <c r="L120">
        <v>62</v>
      </c>
      <c r="O120">
        <v>12635</v>
      </c>
    </row>
    <row r="121" spans="1:15">
      <c r="A121">
        <v>120</v>
      </c>
      <c r="B121">
        <v>2</v>
      </c>
      <c r="C121">
        <v>20</v>
      </c>
      <c r="D121" s="2" t="s">
        <v>279</v>
      </c>
      <c r="E121" s="2" t="s">
        <v>280</v>
      </c>
      <c r="F121" s="2"/>
      <c r="G121" s="1">
        <v>14940</v>
      </c>
      <c r="H121" s="1">
        <v>8</v>
      </c>
      <c r="I121" s="1">
        <v>12</v>
      </c>
      <c r="J121" s="1">
        <v>284</v>
      </c>
      <c r="K121" s="1">
        <v>470000</v>
      </c>
      <c r="L121">
        <v>66</v>
      </c>
      <c r="O121">
        <v>14193</v>
      </c>
    </row>
    <row r="122" spans="1:15">
      <c r="A122">
        <v>121</v>
      </c>
      <c r="B122">
        <v>2</v>
      </c>
      <c r="C122">
        <v>21</v>
      </c>
      <c r="D122" s="2" t="s">
        <v>281</v>
      </c>
      <c r="E122" s="2" t="s">
        <v>282</v>
      </c>
      <c r="G122" s="1">
        <v>16430</v>
      </c>
      <c r="H122" s="1">
        <v>8</v>
      </c>
      <c r="I122" s="1">
        <v>12</v>
      </c>
      <c r="J122" s="1">
        <v>298</v>
      </c>
      <c r="K122" s="1">
        <v>510000</v>
      </c>
      <c r="L122">
        <v>70</v>
      </c>
      <c r="O122">
        <v>15841</v>
      </c>
    </row>
    <row r="123" spans="1:15">
      <c r="A123">
        <v>122</v>
      </c>
      <c r="B123">
        <v>2</v>
      </c>
      <c r="C123">
        <v>22</v>
      </c>
      <c r="D123" s="2" t="s">
        <v>283</v>
      </c>
      <c r="E123" s="2" t="s">
        <v>284</v>
      </c>
      <c r="G123" s="1">
        <v>17990</v>
      </c>
      <c r="H123" s="1">
        <v>8</v>
      </c>
      <c r="I123" s="1">
        <v>12</v>
      </c>
      <c r="J123" s="1">
        <v>312</v>
      </c>
      <c r="K123" s="1">
        <v>550000</v>
      </c>
      <c r="L123">
        <v>74</v>
      </c>
      <c r="O123">
        <v>17579</v>
      </c>
    </row>
    <row r="124" spans="1:15">
      <c r="A124">
        <v>123</v>
      </c>
      <c r="B124">
        <v>2</v>
      </c>
      <c r="C124">
        <v>23</v>
      </c>
      <c r="D124" s="2" t="s">
        <v>285</v>
      </c>
      <c r="E124" s="2" t="s">
        <v>286</v>
      </c>
      <c r="G124" s="1">
        <v>19630</v>
      </c>
      <c r="H124" s="1">
        <v>8</v>
      </c>
      <c r="I124" s="1">
        <v>12</v>
      </c>
      <c r="J124" s="1">
        <v>328</v>
      </c>
      <c r="K124" s="1">
        <v>590000</v>
      </c>
      <c r="L124">
        <v>78</v>
      </c>
      <c r="O124">
        <v>19468</v>
      </c>
    </row>
    <row r="125" spans="1:15">
      <c r="A125">
        <v>124</v>
      </c>
      <c r="B125">
        <v>2</v>
      </c>
      <c r="C125">
        <v>24</v>
      </c>
      <c r="D125" s="2" t="s">
        <v>287</v>
      </c>
      <c r="E125" s="2" t="s">
        <v>288</v>
      </c>
      <c r="G125" s="1">
        <v>21340</v>
      </c>
      <c r="H125" s="1">
        <v>8</v>
      </c>
      <c r="I125" s="1">
        <v>12</v>
      </c>
      <c r="J125" s="1">
        <v>342</v>
      </c>
      <c r="K125" s="1">
        <v>630000</v>
      </c>
      <c r="L125">
        <v>82</v>
      </c>
      <c r="O125">
        <v>21450</v>
      </c>
    </row>
    <row r="126" spans="1:15">
      <c r="A126">
        <v>125</v>
      </c>
      <c r="B126">
        <v>2</v>
      </c>
      <c r="C126">
        <v>25</v>
      </c>
      <c r="D126" s="2" t="s">
        <v>289</v>
      </c>
      <c r="E126" s="2" t="s">
        <v>290</v>
      </c>
      <c r="G126" s="1">
        <v>23120</v>
      </c>
      <c r="H126" s="1">
        <v>8</v>
      </c>
      <c r="I126" s="1">
        <v>12</v>
      </c>
      <c r="J126" s="1">
        <v>356</v>
      </c>
      <c r="K126" s="1">
        <v>670000</v>
      </c>
      <c r="L126">
        <v>86</v>
      </c>
      <c r="O126">
        <v>23463</v>
      </c>
    </row>
    <row r="127" spans="1:15">
      <c r="A127">
        <v>126</v>
      </c>
      <c r="B127">
        <v>2</v>
      </c>
      <c r="C127">
        <v>26</v>
      </c>
      <c r="D127" s="2" t="s">
        <v>291</v>
      </c>
      <c r="E127" s="2" t="s">
        <v>292</v>
      </c>
      <c r="G127" s="1">
        <v>24970</v>
      </c>
      <c r="H127" s="1">
        <v>8</v>
      </c>
      <c r="I127" s="1">
        <v>12</v>
      </c>
      <c r="J127" s="1">
        <v>370</v>
      </c>
      <c r="K127" s="1">
        <v>710000</v>
      </c>
      <c r="L127">
        <v>90</v>
      </c>
      <c r="O127">
        <v>25566</v>
      </c>
    </row>
    <row r="128" spans="1:15">
      <c r="A128">
        <v>127</v>
      </c>
      <c r="B128">
        <v>2</v>
      </c>
      <c r="C128">
        <v>27</v>
      </c>
      <c r="D128" s="2" t="s">
        <v>293</v>
      </c>
      <c r="E128" s="2" t="s">
        <v>294</v>
      </c>
      <c r="G128" s="1">
        <v>26890</v>
      </c>
      <c r="H128" s="1">
        <v>8</v>
      </c>
      <c r="I128" s="1">
        <v>12</v>
      </c>
      <c r="J128" s="1">
        <v>384</v>
      </c>
      <c r="K128" s="1">
        <v>750000</v>
      </c>
      <c r="L128">
        <v>94</v>
      </c>
      <c r="O128">
        <v>27758</v>
      </c>
    </row>
    <row r="129" spans="1:15">
      <c r="A129">
        <v>128</v>
      </c>
      <c r="B129">
        <v>2</v>
      </c>
      <c r="C129">
        <v>28</v>
      </c>
      <c r="D129" s="2" t="s">
        <v>295</v>
      </c>
      <c r="E129" s="2" t="s">
        <v>296</v>
      </c>
      <c r="G129" s="1">
        <v>28880</v>
      </c>
      <c r="H129" s="1">
        <v>8</v>
      </c>
      <c r="I129" s="1">
        <v>12</v>
      </c>
      <c r="J129" s="1">
        <v>398</v>
      </c>
      <c r="K129" s="1">
        <v>790000</v>
      </c>
      <c r="L129">
        <v>98</v>
      </c>
      <c r="O129">
        <v>30039</v>
      </c>
    </row>
    <row r="130" spans="1:15">
      <c r="A130">
        <v>129</v>
      </c>
      <c r="B130">
        <v>2</v>
      </c>
      <c r="C130">
        <v>29</v>
      </c>
      <c r="D130" s="2" t="s">
        <v>297</v>
      </c>
      <c r="E130" s="2" t="s">
        <v>298</v>
      </c>
      <c r="G130" s="1">
        <v>30940</v>
      </c>
      <c r="H130" s="1">
        <v>8</v>
      </c>
      <c r="I130" s="1">
        <v>12</v>
      </c>
      <c r="J130" s="1">
        <v>412</v>
      </c>
      <c r="K130" s="1">
        <v>830000</v>
      </c>
      <c r="L130">
        <v>102</v>
      </c>
      <c r="O130">
        <v>32410</v>
      </c>
    </row>
    <row r="131" spans="1:15">
      <c r="A131">
        <v>130</v>
      </c>
      <c r="B131">
        <v>2</v>
      </c>
      <c r="C131">
        <v>30</v>
      </c>
      <c r="D131" s="2" t="s">
        <v>297</v>
      </c>
      <c r="E131" s="2" t="s">
        <v>299</v>
      </c>
      <c r="G131" s="1">
        <v>33070</v>
      </c>
      <c r="H131" s="1">
        <v>8</v>
      </c>
      <c r="I131" s="1">
        <v>12</v>
      </c>
      <c r="J131" s="1">
        <v>426</v>
      </c>
      <c r="K131" s="1">
        <v>870000</v>
      </c>
      <c r="L131">
        <v>106</v>
      </c>
      <c r="O131">
        <v>34871</v>
      </c>
    </row>
    <row r="132" spans="1:15">
      <c r="A132">
        <v>131</v>
      </c>
      <c r="B132">
        <v>2</v>
      </c>
      <c r="C132">
        <v>31</v>
      </c>
      <c r="D132" s="2" t="s">
        <v>300</v>
      </c>
      <c r="E132" s="2" t="s">
        <v>301</v>
      </c>
      <c r="G132" s="1">
        <v>35240</v>
      </c>
      <c r="H132" s="1">
        <v>8</v>
      </c>
      <c r="I132" s="1">
        <v>12</v>
      </c>
      <c r="J132" s="1">
        <v>440</v>
      </c>
      <c r="K132" s="1">
        <v>910000</v>
      </c>
      <c r="L132">
        <v>110</v>
      </c>
      <c r="O132">
        <v>36615</v>
      </c>
    </row>
    <row r="133" spans="1:15">
      <c r="A133">
        <v>132</v>
      </c>
      <c r="B133">
        <v>2</v>
      </c>
      <c r="C133">
        <v>32</v>
      </c>
      <c r="D133" s="2" t="s">
        <v>302</v>
      </c>
      <c r="E133" s="2" t="s">
        <v>303</v>
      </c>
      <c r="G133" s="1">
        <v>37480</v>
      </c>
      <c r="H133" s="1">
        <v>8</v>
      </c>
      <c r="I133" s="1">
        <v>12</v>
      </c>
      <c r="J133" s="1">
        <v>454</v>
      </c>
      <c r="K133" s="1">
        <v>950000</v>
      </c>
      <c r="L133">
        <v>114</v>
      </c>
      <c r="O133">
        <v>38446</v>
      </c>
    </row>
    <row r="134" spans="1:15">
      <c r="A134">
        <v>133</v>
      </c>
      <c r="B134">
        <v>2</v>
      </c>
      <c r="C134">
        <v>33</v>
      </c>
      <c r="D134" s="2" t="s">
        <v>304</v>
      </c>
      <c r="E134" s="2" t="s">
        <v>305</v>
      </c>
      <c r="G134" s="1">
        <v>39790</v>
      </c>
      <c r="H134" s="1">
        <v>8</v>
      </c>
      <c r="I134" s="1">
        <v>12</v>
      </c>
      <c r="J134" s="1">
        <v>468</v>
      </c>
      <c r="K134" s="1">
        <v>990000</v>
      </c>
      <c r="L134">
        <v>118</v>
      </c>
      <c r="O134">
        <v>40368</v>
      </c>
    </row>
    <row r="135" spans="1:15">
      <c r="A135">
        <v>134</v>
      </c>
      <c r="B135">
        <v>2</v>
      </c>
      <c r="C135">
        <v>34</v>
      </c>
      <c r="D135" s="2" t="s">
        <v>306</v>
      </c>
      <c r="E135" s="2" t="s">
        <v>307</v>
      </c>
      <c r="G135" s="1">
        <v>42170</v>
      </c>
      <c r="H135" s="1">
        <v>8</v>
      </c>
      <c r="I135" s="1">
        <v>12</v>
      </c>
      <c r="J135" s="1">
        <v>482</v>
      </c>
      <c r="K135" s="1">
        <v>1030000</v>
      </c>
      <c r="L135">
        <v>122</v>
      </c>
      <c r="O135">
        <v>42386</v>
      </c>
    </row>
    <row r="136" spans="1:15">
      <c r="A136">
        <v>135</v>
      </c>
      <c r="B136">
        <v>2</v>
      </c>
      <c r="C136">
        <v>35</v>
      </c>
      <c r="D136" s="2" t="s">
        <v>308</v>
      </c>
      <c r="E136" s="2" t="s">
        <v>309</v>
      </c>
      <c r="G136" s="1">
        <v>44620</v>
      </c>
      <c r="H136" s="1">
        <v>8</v>
      </c>
      <c r="I136" s="1">
        <v>12</v>
      </c>
      <c r="J136" s="1">
        <v>496</v>
      </c>
      <c r="K136" s="1">
        <v>1070000</v>
      </c>
      <c r="L136">
        <v>126</v>
      </c>
      <c r="O136">
        <v>44505</v>
      </c>
    </row>
    <row r="137" spans="1:15">
      <c r="A137">
        <v>136</v>
      </c>
      <c r="B137">
        <v>2</v>
      </c>
      <c r="C137">
        <v>36</v>
      </c>
      <c r="D137" s="2" t="s">
        <v>310</v>
      </c>
      <c r="E137" s="2" t="s">
        <v>311</v>
      </c>
      <c r="G137" s="1">
        <v>47140</v>
      </c>
      <c r="H137" s="1">
        <v>8</v>
      </c>
      <c r="I137" s="1">
        <v>12</v>
      </c>
      <c r="J137" s="1">
        <v>510</v>
      </c>
      <c r="K137" s="1">
        <v>1110000</v>
      </c>
      <c r="L137">
        <v>130</v>
      </c>
      <c r="O137">
        <v>46730</v>
      </c>
    </row>
    <row r="138" spans="1:15">
      <c r="A138">
        <v>137</v>
      </c>
      <c r="B138">
        <v>2</v>
      </c>
      <c r="C138">
        <v>37</v>
      </c>
      <c r="D138" s="2" t="s">
        <v>312</v>
      </c>
      <c r="E138" s="2" t="s">
        <v>313</v>
      </c>
      <c r="G138" s="1">
        <v>49730</v>
      </c>
      <c r="H138" s="1">
        <v>8</v>
      </c>
      <c r="I138" s="1">
        <v>12</v>
      </c>
      <c r="J138" s="1">
        <v>524</v>
      </c>
      <c r="K138" s="1">
        <v>1150000</v>
      </c>
      <c r="L138">
        <v>134</v>
      </c>
      <c r="O138">
        <v>49067</v>
      </c>
    </row>
    <row r="139" spans="1:15">
      <c r="A139">
        <v>138</v>
      </c>
      <c r="B139">
        <v>2</v>
      </c>
      <c r="C139">
        <v>38</v>
      </c>
      <c r="D139" s="2" t="s">
        <v>314</v>
      </c>
      <c r="E139" s="2" t="s">
        <v>315</v>
      </c>
      <c r="G139" s="1">
        <v>52390</v>
      </c>
      <c r="H139" s="1">
        <v>8</v>
      </c>
      <c r="I139" s="1">
        <v>12</v>
      </c>
      <c r="J139" s="1">
        <v>538</v>
      </c>
      <c r="K139" s="1">
        <v>1190000</v>
      </c>
      <c r="L139">
        <v>138</v>
      </c>
      <c r="O139">
        <v>51520</v>
      </c>
    </row>
    <row r="140" spans="1:15">
      <c r="A140">
        <v>139</v>
      </c>
      <c r="B140">
        <v>2</v>
      </c>
      <c r="C140">
        <v>39</v>
      </c>
      <c r="D140" s="2" t="s">
        <v>316</v>
      </c>
      <c r="E140" s="2" t="s">
        <v>317</v>
      </c>
      <c r="G140" s="1">
        <v>55120</v>
      </c>
      <c r="H140" s="1">
        <v>8</v>
      </c>
      <c r="I140" s="1">
        <v>12</v>
      </c>
      <c r="J140" s="1">
        <v>552</v>
      </c>
      <c r="K140" s="1">
        <v>1230000</v>
      </c>
      <c r="L140">
        <v>142</v>
      </c>
      <c r="O140">
        <v>54096</v>
      </c>
    </row>
    <row r="141" spans="1:15">
      <c r="A141">
        <v>140</v>
      </c>
      <c r="B141">
        <v>2</v>
      </c>
      <c r="C141">
        <v>40</v>
      </c>
      <c r="D141" s="2" t="s">
        <v>318</v>
      </c>
      <c r="E141" s="2" t="s">
        <v>319</v>
      </c>
      <c r="G141" s="1">
        <v>57920</v>
      </c>
      <c r="H141" s="1">
        <v>8</v>
      </c>
      <c r="I141" s="1">
        <v>12</v>
      </c>
      <c r="J141" s="1">
        <v>566</v>
      </c>
      <c r="K141" s="1">
        <v>1270000</v>
      </c>
      <c r="L141">
        <v>146</v>
      </c>
      <c r="O141">
        <v>56801</v>
      </c>
    </row>
    <row r="142" spans="1:15">
      <c r="A142">
        <v>141</v>
      </c>
      <c r="B142">
        <v>2</v>
      </c>
      <c r="C142">
        <v>41</v>
      </c>
      <c r="D142" t="s">
        <v>320</v>
      </c>
      <c r="E142" t="s">
        <v>321</v>
      </c>
      <c r="G142">
        <v>60615</v>
      </c>
      <c r="H142">
        <v>8</v>
      </c>
      <c r="I142">
        <v>12</v>
      </c>
      <c r="J142">
        <v>580</v>
      </c>
      <c r="K142">
        <v>1310000</v>
      </c>
      <c r="L142">
        <v>150</v>
      </c>
      <c r="O142">
        <v>59318</v>
      </c>
    </row>
    <row r="143" spans="1:15">
      <c r="A143">
        <v>142</v>
      </c>
      <c r="B143">
        <v>2</v>
      </c>
      <c r="C143">
        <v>42</v>
      </c>
      <c r="D143" t="s">
        <v>322</v>
      </c>
      <c r="E143" t="s">
        <v>323</v>
      </c>
      <c r="G143">
        <v>63345</v>
      </c>
      <c r="H143">
        <v>8</v>
      </c>
      <c r="I143">
        <v>12</v>
      </c>
      <c r="J143">
        <v>594</v>
      </c>
      <c r="K143">
        <v>1350000</v>
      </c>
      <c r="L143">
        <v>154</v>
      </c>
      <c r="O143">
        <v>61835</v>
      </c>
    </row>
    <row r="144" spans="1:15">
      <c r="A144">
        <v>143</v>
      </c>
      <c r="B144">
        <v>2</v>
      </c>
      <c r="C144">
        <v>43</v>
      </c>
      <c r="D144" t="s">
        <v>324</v>
      </c>
      <c r="E144" t="s">
        <v>325</v>
      </c>
      <c r="G144">
        <v>66075</v>
      </c>
      <c r="H144">
        <v>8</v>
      </c>
      <c r="I144">
        <v>12</v>
      </c>
      <c r="J144">
        <v>608</v>
      </c>
      <c r="K144">
        <v>1390000</v>
      </c>
      <c r="L144">
        <v>158</v>
      </c>
      <c r="O144">
        <v>64352</v>
      </c>
    </row>
    <row r="145" spans="1:15">
      <c r="A145">
        <v>144</v>
      </c>
      <c r="B145">
        <v>2</v>
      </c>
      <c r="C145">
        <v>44</v>
      </c>
      <c r="D145" t="s">
        <v>326</v>
      </c>
      <c r="E145" t="s">
        <v>327</v>
      </c>
      <c r="G145">
        <v>68805</v>
      </c>
      <c r="H145">
        <v>8</v>
      </c>
      <c r="I145">
        <v>12</v>
      </c>
      <c r="J145">
        <v>622</v>
      </c>
      <c r="K145">
        <v>1430000</v>
      </c>
      <c r="L145">
        <v>162</v>
      </c>
      <c r="O145">
        <v>66869</v>
      </c>
    </row>
    <row r="146" spans="1:15">
      <c r="A146">
        <v>145</v>
      </c>
      <c r="B146">
        <v>2</v>
      </c>
      <c r="C146">
        <v>45</v>
      </c>
      <c r="D146" t="s">
        <v>328</v>
      </c>
      <c r="E146" t="s">
        <v>329</v>
      </c>
      <c r="G146">
        <v>71535</v>
      </c>
      <c r="H146">
        <v>8</v>
      </c>
      <c r="I146">
        <v>12</v>
      </c>
      <c r="J146">
        <v>636</v>
      </c>
      <c r="K146">
        <v>1470000</v>
      </c>
      <c r="L146">
        <v>166</v>
      </c>
      <c r="O146">
        <v>69386</v>
      </c>
    </row>
    <row r="147" spans="1:15">
      <c r="A147">
        <v>146</v>
      </c>
      <c r="B147">
        <v>2</v>
      </c>
      <c r="C147">
        <v>46</v>
      </c>
      <c r="D147" t="s">
        <v>330</v>
      </c>
      <c r="E147" t="s">
        <v>331</v>
      </c>
      <c r="G147">
        <v>74265</v>
      </c>
      <c r="H147">
        <v>8</v>
      </c>
      <c r="I147">
        <v>12</v>
      </c>
      <c r="J147">
        <v>650</v>
      </c>
      <c r="K147">
        <v>1510000</v>
      </c>
      <c r="L147">
        <v>170</v>
      </c>
      <c r="O147">
        <v>71903</v>
      </c>
    </row>
    <row r="148" spans="1:15">
      <c r="A148">
        <v>147</v>
      </c>
      <c r="B148">
        <v>2</v>
      </c>
      <c r="C148">
        <v>47</v>
      </c>
      <c r="D148" t="s">
        <v>332</v>
      </c>
      <c r="E148" t="s">
        <v>333</v>
      </c>
      <c r="G148">
        <v>76995</v>
      </c>
      <c r="H148">
        <v>8</v>
      </c>
      <c r="I148">
        <v>12</v>
      </c>
      <c r="J148">
        <v>664</v>
      </c>
      <c r="K148">
        <v>1550000</v>
      </c>
      <c r="L148">
        <v>174</v>
      </c>
      <c r="O148">
        <v>74420</v>
      </c>
    </row>
    <row r="149" spans="1:15">
      <c r="A149">
        <v>148</v>
      </c>
      <c r="B149">
        <v>2</v>
      </c>
      <c r="C149">
        <v>48</v>
      </c>
      <c r="D149" t="s">
        <v>334</v>
      </c>
      <c r="E149" t="s">
        <v>335</v>
      </c>
      <c r="G149">
        <v>79725</v>
      </c>
      <c r="H149">
        <v>8</v>
      </c>
      <c r="I149">
        <v>12</v>
      </c>
      <c r="J149">
        <v>678</v>
      </c>
      <c r="K149">
        <v>1590000</v>
      </c>
      <c r="L149">
        <v>178</v>
      </c>
      <c r="O149">
        <v>76937</v>
      </c>
    </row>
    <row r="150" spans="1:15">
      <c r="A150">
        <v>149</v>
      </c>
      <c r="B150">
        <v>2</v>
      </c>
      <c r="C150">
        <v>49</v>
      </c>
      <c r="D150" t="s">
        <v>336</v>
      </c>
      <c r="E150" t="s">
        <v>337</v>
      </c>
      <c r="G150">
        <v>82455</v>
      </c>
      <c r="H150">
        <v>8</v>
      </c>
      <c r="I150">
        <v>12</v>
      </c>
      <c r="J150">
        <v>692</v>
      </c>
      <c r="K150">
        <v>1630000</v>
      </c>
      <c r="L150">
        <v>182</v>
      </c>
      <c r="O150">
        <v>79454</v>
      </c>
    </row>
    <row r="151" spans="1:15">
      <c r="A151">
        <v>150</v>
      </c>
      <c r="B151">
        <v>2</v>
      </c>
      <c r="C151">
        <v>50</v>
      </c>
      <c r="D151" t="s">
        <v>338</v>
      </c>
      <c r="E151" t="s">
        <v>339</v>
      </c>
      <c r="G151">
        <v>85185</v>
      </c>
      <c r="H151">
        <v>8</v>
      </c>
      <c r="I151">
        <v>12</v>
      </c>
      <c r="J151">
        <v>706</v>
      </c>
      <c r="K151">
        <v>1670000</v>
      </c>
      <c r="L151">
        <v>186</v>
      </c>
      <c r="O151">
        <v>81971</v>
      </c>
    </row>
    <row r="152" spans="1:15">
      <c r="A152">
        <v>151</v>
      </c>
      <c r="B152">
        <v>2</v>
      </c>
      <c r="C152">
        <v>51</v>
      </c>
      <c r="D152" t="s">
        <v>340</v>
      </c>
      <c r="E152" t="s">
        <v>341</v>
      </c>
      <c r="G152">
        <v>87915</v>
      </c>
      <c r="H152">
        <v>8</v>
      </c>
      <c r="I152">
        <v>12</v>
      </c>
      <c r="J152">
        <v>720</v>
      </c>
      <c r="K152">
        <v>1710000</v>
      </c>
      <c r="L152">
        <v>190</v>
      </c>
      <c r="O152">
        <v>84488</v>
      </c>
    </row>
    <row r="153" spans="1:15">
      <c r="A153">
        <v>152</v>
      </c>
      <c r="B153">
        <v>2</v>
      </c>
      <c r="C153">
        <v>52</v>
      </c>
      <c r="D153" t="s">
        <v>342</v>
      </c>
      <c r="E153" t="s">
        <v>343</v>
      </c>
      <c r="G153">
        <v>90645</v>
      </c>
      <c r="H153">
        <v>8</v>
      </c>
      <c r="I153">
        <v>12</v>
      </c>
      <c r="J153">
        <v>734</v>
      </c>
      <c r="K153">
        <v>1750000</v>
      </c>
      <c r="L153">
        <v>194</v>
      </c>
      <c r="O153">
        <v>87005</v>
      </c>
    </row>
    <row r="154" spans="1:15">
      <c r="A154">
        <v>153</v>
      </c>
      <c r="B154">
        <v>2</v>
      </c>
      <c r="C154">
        <v>53</v>
      </c>
      <c r="D154" t="s">
        <v>344</v>
      </c>
      <c r="E154" t="s">
        <v>345</v>
      </c>
      <c r="G154">
        <v>93375</v>
      </c>
      <c r="H154">
        <v>8</v>
      </c>
      <c r="I154">
        <v>12</v>
      </c>
      <c r="J154">
        <v>748</v>
      </c>
      <c r="K154">
        <v>1790000</v>
      </c>
      <c r="L154">
        <v>198</v>
      </c>
      <c r="O154">
        <v>89522</v>
      </c>
    </row>
    <row r="155" spans="1:15">
      <c r="A155">
        <v>154</v>
      </c>
      <c r="B155">
        <v>2</v>
      </c>
      <c r="C155">
        <v>54</v>
      </c>
      <c r="D155" t="s">
        <v>346</v>
      </c>
      <c r="E155" t="s">
        <v>347</v>
      </c>
      <c r="G155">
        <v>96105</v>
      </c>
      <c r="H155">
        <v>8</v>
      </c>
      <c r="I155">
        <v>12</v>
      </c>
      <c r="J155">
        <v>762</v>
      </c>
      <c r="K155">
        <v>1830000</v>
      </c>
      <c r="L155">
        <v>202</v>
      </c>
      <c r="O155">
        <v>92039</v>
      </c>
    </row>
    <row r="156" spans="1:15">
      <c r="A156">
        <v>155</v>
      </c>
      <c r="B156">
        <v>2</v>
      </c>
      <c r="C156">
        <v>55</v>
      </c>
      <c r="D156" t="s">
        <v>348</v>
      </c>
      <c r="E156" t="s">
        <v>349</v>
      </c>
      <c r="G156">
        <v>98835</v>
      </c>
      <c r="H156">
        <v>8</v>
      </c>
      <c r="I156">
        <v>12</v>
      </c>
      <c r="J156">
        <v>776</v>
      </c>
      <c r="K156">
        <v>1870000</v>
      </c>
      <c r="L156">
        <v>206</v>
      </c>
      <c r="O156">
        <v>94556</v>
      </c>
    </row>
    <row r="157" spans="1:15">
      <c r="A157">
        <v>156</v>
      </c>
      <c r="B157">
        <v>2</v>
      </c>
      <c r="C157">
        <v>56</v>
      </c>
      <c r="D157" t="s">
        <v>350</v>
      </c>
      <c r="E157" t="s">
        <v>351</v>
      </c>
      <c r="G157">
        <v>101565</v>
      </c>
      <c r="H157">
        <v>8</v>
      </c>
      <c r="I157">
        <v>12</v>
      </c>
      <c r="J157">
        <v>790</v>
      </c>
      <c r="K157">
        <v>1910000</v>
      </c>
      <c r="L157">
        <v>210</v>
      </c>
      <c r="O157">
        <v>97073</v>
      </c>
    </row>
    <row r="158" spans="1:15">
      <c r="A158">
        <v>157</v>
      </c>
      <c r="B158">
        <v>2</v>
      </c>
      <c r="C158">
        <v>57</v>
      </c>
      <c r="D158" t="s">
        <v>352</v>
      </c>
      <c r="E158" t="s">
        <v>353</v>
      </c>
      <c r="G158">
        <v>104295</v>
      </c>
      <c r="H158">
        <v>8</v>
      </c>
      <c r="I158">
        <v>12</v>
      </c>
      <c r="J158">
        <v>804</v>
      </c>
      <c r="K158">
        <v>1950000</v>
      </c>
      <c r="L158">
        <v>214</v>
      </c>
      <c r="O158">
        <v>99590</v>
      </c>
    </row>
    <row r="159" spans="1:15">
      <c r="A159">
        <v>158</v>
      </c>
      <c r="B159">
        <v>2</v>
      </c>
      <c r="C159">
        <v>58</v>
      </c>
      <c r="D159" t="s">
        <v>354</v>
      </c>
      <c r="E159" t="s">
        <v>355</v>
      </c>
      <c r="G159">
        <v>107025</v>
      </c>
      <c r="H159">
        <v>8</v>
      </c>
      <c r="I159">
        <v>12</v>
      </c>
      <c r="J159">
        <v>818</v>
      </c>
      <c r="K159">
        <v>1990000</v>
      </c>
      <c r="L159">
        <v>218</v>
      </c>
      <c r="O159">
        <v>102107</v>
      </c>
    </row>
    <row r="160" spans="1:15">
      <c r="A160">
        <v>159</v>
      </c>
      <c r="B160">
        <v>2</v>
      </c>
      <c r="C160">
        <v>59</v>
      </c>
      <c r="D160" t="s">
        <v>356</v>
      </c>
      <c r="E160" t="s">
        <v>357</v>
      </c>
      <c r="G160">
        <v>109755</v>
      </c>
      <c r="H160">
        <v>8</v>
      </c>
      <c r="I160">
        <v>12</v>
      </c>
      <c r="J160">
        <v>832</v>
      </c>
      <c r="K160">
        <v>2030000</v>
      </c>
      <c r="L160">
        <v>222</v>
      </c>
      <c r="O160">
        <v>104624</v>
      </c>
    </row>
    <row r="161" spans="1:15">
      <c r="A161">
        <v>160</v>
      </c>
      <c r="B161">
        <v>2</v>
      </c>
      <c r="C161">
        <v>60</v>
      </c>
      <c r="D161" t="s">
        <v>358</v>
      </c>
      <c r="E161" t="s">
        <v>359</v>
      </c>
      <c r="G161">
        <v>112485</v>
      </c>
      <c r="H161">
        <v>8</v>
      </c>
      <c r="I161">
        <v>12</v>
      </c>
      <c r="J161">
        <v>846</v>
      </c>
      <c r="K161">
        <v>2070000</v>
      </c>
      <c r="L161">
        <v>226</v>
      </c>
      <c r="O161">
        <v>107141</v>
      </c>
    </row>
    <row r="162" spans="1:15">
      <c r="A162">
        <v>161</v>
      </c>
      <c r="B162">
        <v>2</v>
      </c>
      <c r="C162">
        <v>61</v>
      </c>
      <c r="D162" t="s">
        <v>360</v>
      </c>
      <c r="E162" t="s">
        <v>361</v>
      </c>
      <c r="G162">
        <v>115215</v>
      </c>
      <c r="H162">
        <v>8</v>
      </c>
      <c r="I162">
        <v>12</v>
      </c>
      <c r="J162">
        <v>860</v>
      </c>
      <c r="K162">
        <v>2110000</v>
      </c>
      <c r="L162">
        <v>230</v>
      </c>
      <c r="O162">
        <v>109658</v>
      </c>
    </row>
    <row r="163" spans="1:15">
      <c r="A163">
        <v>162</v>
      </c>
      <c r="B163">
        <v>2</v>
      </c>
      <c r="C163">
        <v>62</v>
      </c>
      <c r="D163" t="s">
        <v>362</v>
      </c>
      <c r="E163" t="s">
        <v>363</v>
      </c>
      <c r="G163">
        <v>117945</v>
      </c>
      <c r="H163">
        <v>8</v>
      </c>
      <c r="I163">
        <v>12</v>
      </c>
      <c r="J163">
        <v>874</v>
      </c>
      <c r="K163">
        <v>2150000</v>
      </c>
      <c r="L163">
        <v>234</v>
      </c>
      <c r="O163">
        <v>112175</v>
      </c>
    </row>
    <row r="164" spans="1:15">
      <c r="A164">
        <v>163</v>
      </c>
      <c r="B164">
        <v>2</v>
      </c>
      <c r="C164">
        <v>63</v>
      </c>
      <c r="D164" t="s">
        <v>364</v>
      </c>
      <c r="E164" t="s">
        <v>365</v>
      </c>
      <c r="G164">
        <v>120675</v>
      </c>
      <c r="H164">
        <v>8</v>
      </c>
      <c r="I164">
        <v>12</v>
      </c>
      <c r="J164">
        <v>888</v>
      </c>
      <c r="K164">
        <v>2190000</v>
      </c>
      <c r="L164">
        <v>238</v>
      </c>
      <c r="O164">
        <v>114692</v>
      </c>
    </row>
    <row r="165" spans="1:15">
      <c r="A165">
        <v>164</v>
      </c>
      <c r="B165">
        <v>2</v>
      </c>
      <c r="C165">
        <v>64</v>
      </c>
      <c r="D165" t="s">
        <v>366</v>
      </c>
      <c r="E165" t="s">
        <v>367</v>
      </c>
      <c r="G165">
        <v>123405</v>
      </c>
      <c r="H165">
        <v>8</v>
      </c>
      <c r="I165">
        <v>12</v>
      </c>
      <c r="J165">
        <v>902</v>
      </c>
      <c r="K165">
        <v>2230000</v>
      </c>
      <c r="L165">
        <v>242</v>
      </c>
      <c r="O165">
        <v>117209</v>
      </c>
    </row>
    <row r="166" spans="1:15">
      <c r="A166">
        <v>165</v>
      </c>
      <c r="B166">
        <v>2</v>
      </c>
      <c r="C166">
        <v>65</v>
      </c>
      <c r="D166" t="s">
        <v>368</v>
      </c>
      <c r="E166" t="s">
        <v>369</v>
      </c>
      <c r="G166">
        <v>126135</v>
      </c>
      <c r="H166">
        <v>8</v>
      </c>
      <c r="I166">
        <v>12</v>
      </c>
      <c r="J166">
        <v>916</v>
      </c>
      <c r="K166">
        <v>2270000</v>
      </c>
      <c r="L166">
        <v>246</v>
      </c>
      <c r="O166">
        <v>119726</v>
      </c>
    </row>
    <row r="167" spans="1:15">
      <c r="A167">
        <v>166</v>
      </c>
      <c r="B167">
        <v>2</v>
      </c>
      <c r="C167">
        <v>66</v>
      </c>
      <c r="D167" t="s">
        <v>370</v>
      </c>
      <c r="E167" t="s">
        <v>371</v>
      </c>
      <c r="G167">
        <v>128865</v>
      </c>
      <c r="H167">
        <v>8</v>
      </c>
      <c r="I167">
        <v>12</v>
      </c>
      <c r="J167">
        <v>930</v>
      </c>
      <c r="K167">
        <v>2310000</v>
      </c>
      <c r="L167">
        <v>250</v>
      </c>
      <c r="O167">
        <v>122243</v>
      </c>
    </row>
    <row r="168" spans="1:15">
      <c r="A168">
        <v>167</v>
      </c>
      <c r="B168">
        <v>2</v>
      </c>
      <c r="C168">
        <v>67</v>
      </c>
      <c r="D168" t="s">
        <v>372</v>
      </c>
      <c r="E168" t="s">
        <v>373</v>
      </c>
      <c r="G168">
        <v>131595</v>
      </c>
      <c r="H168">
        <v>8</v>
      </c>
      <c r="I168">
        <v>12</v>
      </c>
      <c r="J168">
        <v>944</v>
      </c>
      <c r="K168">
        <v>2350000</v>
      </c>
      <c r="L168">
        <v>254</v>
      </c>
      <c r="O168">
        <v>124760</v>
      </c>
    </row>
    <row r="169" spans="1:15">
      <c r="A169">
        <v>168</v>
      </c>
      <c r="B169">
        <v>2</v>
      </c>
      <c r="C169">
        <v>68</v>
      </c>
      <c r="D169" t="s">
        <v>374</v>
      </c>
      <c r="E169" t="s">
        <v>375</v>
      </c>
      <c r="G169">
        <v>134325</v>
      </c>
      <c r="H169">
        <v>8</v>
      </c>
      <c r="I169">
        <v>12</v>
      </c>
      <c r="J169">
        <v>958</v>
      </c>
      <c r="K169">
        <v>2390000</v>
      </c>
      <c r="L169">
        <v>258</v>
      </c>
      <c r="O169">
        <v>127277</v>
      </c>
    </row>
    <row r="170" spans="1:15">
      <c r="A170">
        <v>169</v>
      </c>
      <c r="B170">
        <v>2</v>
      </c>
      <c r="C170">
        <v>69</v>
      </c>
      <c r="D170" t="s">
        <v>376</v>
      </c>
      <c r="E170" t="s">
        <v>377</v>
      </c>
      <c r="G170">
        <v>137055</v>
      </c>
      <c r="H170">
        <v>8</v>
      </c>
      <c r="I170">
        <v>12</v>
      </c>
      <c r="J170">
        <v>972</v>
      </c>
      <c r="K170">
        <v>2430000</v>
      </c>
      <c r="L170">
        <v>262</v>
      </c>
      <c r="O170">
        <v>129794</v>
      </c>
    </row>
    <row r="171" spans="1:15">
      <c r="A171">
        <v>170</v>
      </c>
      <c r="B171">
        <v>2</v>
      </c>
      <c r="C171">
        <v>70</v>
      </c>
      <c r="D171" t="s">
        <v>378</v>
      </c>
      <c r="E171" t="s">
        <v>379</v>
      </c>
      <c r="G171">
        <v>139785</v>
      </c>
      <c r="H171">
        <v>8</v>
      </c>
      <c r="I171">
        <v>12</v>
      </c>
      <c r="J171">
        <v>986</v>
      </c>
      <c r="K171">
        <v>2470000</v>
      </c>
      <c r="L171">
        <v>266</v>
      </c>
      <c r="O171">
        <v>132311</v>
      </c>
    </row>
    <row r="172" spans="1:15">
      <c r="A172">
        <v>171</v>
      </c>
      <c r="B172">
        <v>2</v>
      </c>
      <c r="C172">
        <v>71</v>
      </c>
      <c r="D172" t="s">
        <v>380</v>
      </c>
      <c r="E172" t="s">
        <v>381</v>
      </c>
      <c r="G172">
        <v>142515</v>
      </c>
      <c r="H172">
        <v>8</v>
      </c>
      <c r="I172">
        <v>12</v>
      </c>
      <c r="J172">
        <v>1000</v>
      </c>
      <c r="K172">
        <v>2510000</v>
      </c>
      <c r="L172">
        <v>270</v>
      </c>
      <c r="O172">
        <v>134828</v>
      </c>
    </row>
    <row r="173" spans="1:15">
      <c r="A173">
        <v>172</v>
      </c>
      <c r="B173">
        <v>2</v>
      </c>
      <c r="C173">
        <v>72</v>
      </c>
      <c r="D173" t="s">
        <v>382</v>
      </c>
      <c r="E173" t="s">
        <v>383</v>
      </c>
      <c r="G173">
        <v>145245</v>
      </c>
      <c r="H173">
        <v>8</v>
      </c>
      <c r="I173">
        <v>12</v>
      </c>
      <c r="J173">
        <v>1014</v>
      </c>
      <c r="K173">
        <v>2550000</v>
      </c>
      <c r="L173">
        <v>274</v>
      </c>
      <c r="O173">
        <v>137345</v>
      </c>
    </row>
    <row r="174" spans="1:15">
      <c r="A174">
        <v>173</v>
      </c>
      <c r="B174">
        <v>2</v>
      </c>
      <c r="C174">
        <v>73</v>
      </c>
      <c r="D174" t="s">
        <v>384</v>
      </c>
      <c r="E174" t="s">
        <v>385</v>
      </c>
      <c r="G174">
        <v>147975</v>
      </c>
      <c r="H174">
        <v>8</v>
      </c>
      <c r="I174">
        <v>12</v>
      </c>
      <c r="J174">
        <v>1028</v>
      </c>
      <c r="K174">
        <v>2590000</v>
      </c>
      <c r="L174">
        <v>278</v>
      </c>
      <c r="O174">
        <v>139862</v>
      </c>
    </row>
    <row r="175" spans="1:15">
      <c r="A175">
        <v>174</v>
      </c>
      <c r="B175">
        <v>2</v>
      </c>
      <c r="C175">
        <v>74</v>
      </c>
      <c r="D175" t="s">
        <v>386</v>
      </c>
      <c r="E175" t="s">
        <v>387</v>
      </c>
      <c r="G175">
        <v>150705</v>
      </c>
      <c r="H175">
        <v>8</v>
      </c>
      <c r="I175">
        <v>12</v>
      </c>
      <c r="J175">
        <v>1042</v>
      </c>
      <c r="K175">
        <v>2630000</v>
      </c>
      <c r="L175">
        <v>282</v>
      </c>
      <c r="O175">
        <v>142379</v>
      </c>
    </row>
    <row r="176" spans="1:15">
      <c r="A176">
        <v>175</v>
      </c>
      <c r="B176">
        <v>2</v>
      </c>
      <c r="C176">
        <v>75</v>
      </c>
      <c r="D176" t="s">
        <v>388</v>
      </c>
      <c r="E176" t="s">
        <v>389</v>
      </c>
      <c r="G176">
        <v>153435</v>
      </c>
      <c r="H176">
        <v>8</v>
      </c>
      <c r="I176">
        <v>12</v>
      </c>
      <c r="J176">
        <v>1056</v>
      </c>
      <c r="K176">
        <v>2670000</v>
      </c>
      <c r="L176">
        <v>286</v>
      </c>
      <c r="O176">
        <v>144896</v>
      </c>
    </row>
    <row r="177" spans="1:15">
      <c r="A177">
        <v>176</v>
      </c>
      <c r="B177">
        <v>2</v>
      </c>
      <c r="C177">
        <v>76</v>
      </c>
      <c r="D177" t="s">
        <v>390</v>
      </c>
      <c r="E177" t="s">
        <v>391</v>
      </c>
      <c r="G177">
        <v>156165</v>
      </c>
      <c r="H177">
        <v>8</v>
      </c>
      <c r="I177">
        <v>12</v>
      </c>
      <c r="J177">
        <v>1070</v>
      </c>
      <c r="K177">
        <v>2710000</v>
      </c>
      <c r="L177">
        <v>290</v>
      </c>
      <c r="O177">
        <v>147413</v>
      </c>
    </row>
    <row r="178" spans="1:15">
      <c r="A178">
        <v>177</v>
      </c>
      <c r="B178">
        <v>2</v>
      </c>
      <c r="C178">
        <v>77</v>
      </c>
      <c r="D178" t="s">
        <v>392</v>
      </c>
      <c r="E178" t="s">
        <v>393</v>
      </c>
      <c r="G178">
        <v>158895</v>
      </c>
      <c r="H178">
        <v>8</v>
      </c>
      <c r="I178">
        <v>12</v>
      </c>
      <c r="J178">
        <v>1084</v>
      </c>
      <c r="K178">
        <v>2750000</v>
      </c>
      <c r="L178">
        <v>294</v>
      </c>
      <c r="O178">
        <v>149930</v>
      </c>
    </row>
    <row r="179" spans="1:15">
      <c r="A179">
        <v>178</v>
      </c>
      <c r="B179">
        <v>2</v>
      </c>
      <c r="C179">
        <v>78</v>
      </c>
      <c r="D179" t="s">
        <v>394</v>
      </c>
      <c r="E179" t="s">
        <v>395</v>
      </c>
      <c r="G179">
        <v>161625</v>
      </c>
      <c r="H179">
        <v>8</v>
      </c>
      <c r="I179">
        <v>12</v>
      </c>
      <c r="J179">
        <v>1098</v>
      </c>
      <c r="K179">
        <v>2790000</v>
      </c>
      <c r="L179">
        <v>298</v>
      </c>
      <c r="O179">
        <v>152447</v>
      </c>
    </row>
    <row r="180" spans="1:15">
      <c r="A180">
        <v>179</v>
      </c>
      <c r="B180">
        <v>2</v>
      </c>
      <c r="C180">
        <v>79</v>
      </c>
      <c r="D180" t="s">
        <v>396</v>
      </c>
      <c r="E180" t="s">
        <v>397</v>
      </c>
      <c r="G180">
        <v>164355</v>
      </c>
      <c r="H180">
        <v>8</v>
      </c>
      <c r="I180">
        <v>12</v>
      </c>
      <c r="J180">
        <v>1112</v>
      </c>
      <c r="K180">
        <v>2830000</v>
      </c>
      <c r="L180">
        <v>302</v>
      </c>
      <c r="O180">
        <v>154964</v>
      </c>
    </row>
    <row r="181" spans="1:15">
      <c r="A181">
        <v>180</v>
      </c>
      <c r="B181">
        <v>2</v>
      </c>
      <c r="C181">
        <v>80</v>
      </c>
      <c r="D181" t="s">
        <v>398</v>
      </c>
      <c r="E181" t="s">
        <v>399</v>
      </c>
      <c r="G181">
        <v>167085</v>
      </c>
      <c r="H181">
        <v>8</v>
      </c>
      <c r="I181">
        <v>12</v>
      </c>
      <c r="J181">
        <v>1126</v>
      </c>
      <c r="K181">
        <v>2870000</v>
      </c>
      <c r="L181">
        <v>306</v>
      </c>
      <c r="O181">
        <v>157481</v>
      </c>
    </row>
    <row r="182" spans="1:15">
      <c r="A182">
        <v>181</v>
      </c>
      <c r="B182">
        <v>2</v>
      </c>
      <c r="C182">
        <v>81</v>
      </c>
      <c r="D182" t="s">
        <v>400</v>
      </c>
      <c r="E182" t="s">
        <v>401</v>
      </c>
      <c r="G182">
        <v>169815</v>
      </c>
      <c r="H182">
        <v>8</v>
      </c>
      <c r="I182">
        <v>12</v>
      </c>
      <c r="J182">
        <v>1140</v>
      </c>
      <c r="K182">
        <v>2910000</v>
      </c>
      <c r="L182">
        <v>310</v>
      </c>
      <c r="O182">
        <v>159998</v>
      </c>
    </row>
    <row r="183" spans="1:15">
      <c r="A183">
        <v>182</v>
      </c>
      <c r="B183">
        <v>2</v>
      </c>
      <c r="C183">
        <v>82</v>
      </c>
      <c r="D183" t="s">
        <v>402</v>
      </c>
      <c r="E183" t="s">
        <v>403</v>
      </c>
      <c r="G183">
        <v>172545</v>
      </c>
      <c r="H183">
        <v>8</v>
      </c>
      <c r="I183">
        <v>12</v>
      </c>
      <c r="J183">
        <v>1154</v>
      </c>
      <c r="K183">
        <v>2950000</v>
      </c>
      <c r="L183">
        <v>314</v>
      </c>
      <c r="O183">
        <v>162515</v>
      </c>
    </row>
    <row r="184" spans="1:15">
      <c r="A184">
        <v>183</v>
      </c>
      <c r="B184">
        <v>2</v>
      </c>
      <c r="C184">
        <v>83</v>
      </c>
      <c r="D184" t="s">
        <v>404</v>
      </c>
      <c r="E184" t="s">
        <v>405</v>
      </c>
      <c r="G184">
        <v>175275</v>
      </c>
      <c r="H184">
        <v>8</v>
      </c>
      <c r="I184">
        <v>12</v>
      </c>
      <c r="J184">
        <v>1168</v>
      </c>
      <c r="K184">
        <v>2990000</v>
      </c>
      <c r="L184">
        <v>318</v>
      </c>
      <c r="O184">
        <v>165032</v>
      </c>
    </row>
    <row r="185" spans="1:15">
      <c r="A185">
        <v>184</v>
      </c>
      <c r="B185">
        <v>2</v>
      </c>
      <c r="C185">
        <v>84</v>
      </c>
      <c r="D185" t="s">
        <v>406</v>
      </c>
      <c r="E185" t="s">
        <v>407</v>
      </c>
      <c r="G185">
        <v>178005</v>
      </c>
      <c r="H185">
        <v>8</v>
      </c>
      <c r="I185">
        <v>12</v>
      </c>
      <c r="J185">
        <v>1182</v>
      </c>
      <c r="K185">
        <v>3030000</v>
      </c>
      <c r="L185">
        <v>322</v>
      </c>
      <c r="O185">
        <v>167549</v>
      </c>
    </row>
    <row r="186" spans="1:15">
      <c r="A186">
        <v>185</v>
      </c>
      <c r="B186">
        <v>2</v>
      </c>
      <c r="C186">
        <v>85</v>
      </c>
      <c r="D186" t="s">
        <v>408</v>
      </c>
      <c r="E186" t="s">
        <v>409</v>
      </c>
      <c r="G186">
        <v>180735</v>
      </c>
      <c r="H186">
        <v>8</v>
      </c>
      <c r="I186">
        <v>12</v>
      </c>
      <c r="J186">
        <v>1196</v>
      </c>
      <c r="K186">
        <v>3070000</v>
      </c>
      <c r="L186">
        <v>326</v>
      </c>
      <c r="O186">
        <v>170066</v>
      </c>
    </row>
    <row r="187" spans="1:15">
      <c r="A187">
        <v>186</v>
      </c>
      <c r="B187">
        <v>2</v>
      </c>
      <c r="C187">
        <v>86</v>
      </c>
      <c r="D187" t="s">
        <v>410</v>
      </c>
      <c r="E187" t="s">
        <v>411</v>
      </c>
      <c r="G187">
        <v>183465</v>
      </c>
      <c r="H187">
        <v>8</v>
      </c>
      <c r="I187">
        <v>12</v>
      </c>
      <c r="J187">
        <v>1210</v>
      </c>
      <c r="K187">
        <v>3110000</v>
      </c>
      <c r="L187">
        <v>330</v>
      </c>
      <c r="O187">
        <v>172583</v>
      </c>
    </row>
    <row r="188" spans="1:15">
      <c r="A188">
        <v>187</v>
      </c>
      <c r="B188">
        <v>2</v>
      </c>
      <c r="C188">
        <v>87</v>
      </c>
      <c r="D188" t="s">
        <v>412</v>
      </c>
      <c r="E188" t="s">
        <v>413</v>
      </c>
      <c r="G188">
        <v>186195</v>
      </c>
      <c r="H188">
        <v>8</v>
      </c>
      <c r="I188">
        <v>12</v>
      </c>
      <c r="J188">
        <v>1224</v>
      </c>
      <c r="K188">
        <v>3150000</v>
      </c>
      <c r="L188">
        <v>334</v>
      </c>
      <c r="O188">
        <v>175100</v>
      </c>
    </row>
    <row r="189" spans="1:15">
      <c r="A189">
        <v>188</v>
      </c>
      <c r="B189">
        <v>2</v>
      </c>
      <c r="C189">
        <v>88</v>
      </c>
      <c r="D189" t="s">
        <v>414</v>
      </c>
      <c r="E189" t="s">
        <v>415</v>
      </c>
      <c r="G189">
        <v>188925</v>
      </c>
      <c r="H189">
        <v>8</v>
      </c>
      <c r="I189">
        <v>12</v>
      </c>
      <c r="J189">
        <v>1238</v>
      </c>
      <c r="K189">
        <v>3190000</v>
      </c>
      <c r="L189">
        <v>338</v>
      </c>
      <c r="O189">
        <v>177617</v>
      </c>
    </row>
    <row r="190" spans="1:15">
      <c r="A190">
        <v>189</v>
      </c>
      <c r="B190">
        <v>2</v>
      </c>
      <c r="C190">
        <v>89</v>
      </c>
      <c r="D190" t="s">
        <v>416</v>
      </c>
      <c r="E190" t="s">
        <v>417</v>
      </c>
      <c r="G190">
        <v>191655</v>
      </c>
      <c r="H190">
        <v>8</v>
      </c>
      <c r="I190">
        <v>12</v>
      </c>
      <c r="J190">
        <v>1252</v>
      </c>
      <c r="K190">
        <v>3230000</v>
      </c>
      <c r="L190">
        <v>342</v>
      </c>
      <c r="O190">
        <v>180134</v>
      </c>
    </row>
    <row r="191" spans="1:15">
      <c r="A191">
        <v>190</v>
      </c>
      <c r="B191">
        <v>2</v>
      </c>
      <c r="C191">
        <v>90</v>
      </c>
      <c r="D191" t="s">
        <v>418</v>
      </c>
      <c r="E191" t="s">
        <v>419</v>
      </c>
      <c r="G191">
        <v>194385</v>
      </c>
      <c r="H191">
        <v>8</v>
      </c>
      <c r="I191">
        <v>12</v>
      </c>
      <c r="J191">
        <v>1266</v>
      </c>
      <c r="K191">
        <v>3270000</v>
      </c>
      <c r="L191">
        <v>346</v>
      </c>
      <c r="O191">
        <v>182651</v>
      </c>
    </row>
    <row r="192" spans="1:15">
      <c r="A192">
        <v>191</v>
      </c>
      <c r="B192">
        <v>2</v>
      </c>
      <c r="C192">
        <v>91</v>
      </c>
      <c r="D192" t="s">
        <v>420</v>
      </c>
      <c r="E192" t="s">
        <v>421</v>
      </c>
      <c r="G192">
        <v>197115</v>
      </c>
      <c r="H192">
        <v>8</v>
      </c>
      <c r="I192">
        <v>12</v>
      </c>
      <c r="J192">
        <v>1280</v>
      </c>
      <c r="K192">
        <v>3310000</v>
      </c>
      <c r="L192">
        <v>350</v>
      </c>
      <c r="O192">
        <v>185168</v>
      </c>
    </row>
    <row r="193" spans="1:15">
      <c r="A193">
        <v>192</v>
      </c>
      <c r="B193">
        <v>2</v>
      </c>
      <c r="C193">
        <v>92</v>
      </c>
      <c r="D193" t="s">
        <v>422</v>
      </c>
      <c r="E193" t="s">
        <v>423</v>
      </c>
      <c r="G193">
        <v>199845</v>
      </c>
      <c r="H193">
        <v>8</v>
      </c>
      <c r="I193">
        <v>12</v>
      </c>
      <c r="J193">
        <v>1294</v>
      </c>
      <c r="K193">
        <v>3350000</v>
      </c>
      <c r="L193">
        <v>354</v>
      </c>
      <c r="O193">
        <v>187685</v>
      </c>
    </row>
    <row r="194" spans="1:15">
      <c r="A194">
        <v>193</v>
      </c>
      <c r="B194">
        <v>2</v>
      </c>
      <c r="C194">
        <v>93</v>
      </c>
      <c r="D194" t="s">
        <v>424</v>
      </c>
      <c r="E194" t="s">
        <v>425</v>
      </c>
      <c r="G194">
        <v>202575</v>
      </c>
      <c r="H194">
        <v>8</v>
      </c>
      <c r="I194">
        <v>12</v>
      </c>
      <c r="J194">
        <v>1308</v>
      </c>
      <c r="K194">
        <v>3390000</v>
      </c>
      <c r="L194">
        <v>358</v>
      </c>
      <c r="O194">
        <v>190202</v>
      </c>
    </row>
    <row r="195" spans="1:15">
      <c r="A195">
        <v>194</v>
      </c>
      <c r="B195">
        <v>2</v>
      </c>
      <c r="C195">
        <v>94</v>
      </c>
      <c r="D195" t="s">
        <v>426</v>
      </c>
      <c r="E195" t="s">
        <v>427</v>
      </c>
      <c r="G195">
        <v>205305</v>
      </c>
      <c r="H195">
        <v>8</v>
      </c>
      <c r="I195">
        <v>12</v>
      </c>
      <c r="J195">
        <v>1322</v>
      </c>
      <c r="K195">
        <v>3430000</v>
      </c>
      <c r="L195">
        <v>362</v>
      </c>
      <c r="O195">
        <v>192719</v>
      </c>
    </row>
    <row r="196" spans="1:15">
      <c r="A196">
        <v>195</v>
      </c>
      <c r="B196">
        <v>2</v>
      </c>
      <c r="C196">
        <v>95</v>
      </c>
      <c r="D196" t="s">
        <v>428</v>
      </c>
      <c r="E196" t="s">
        <v>429</v>
      </c>
      <c r="G196">
        <v>208035</v>
      </c>
      <c r="H196">
        <v>8</v>
      </c>
      <c r="I196">
        <v>12</v>
      </c>
      <c r="J196">
        <v>1336</v>
      </c>
      <c r="K196">
        <v>3470000</v>
      </c>
      <c r="L196">
        <v>366</v>
      </c>
      <c r="O196">
        <v>195236</v>
      </c>
    </row>
    <row r="197" spans="1:15">
      <c r="A197">
        <v>196</v>
      </c>
      <c r="B197">
        <v>2</v>
      </c>
      <c r="C197">
        <v>96</v>
      </c>
      <c r="D197" t="s">
        <v>430</v>
      </c>
      <c r="E197" t="s">
        <v>431</v>
      </c>
      <c r="G197">
        <v>210765</v>
      </c>
      <c r="H197">
        <v>8</v>
      </c>
      <c r="I197">
        <v>12</v>
      </c>
      <c r="J197">
        <v>1350</v>
      </c>
      <c r="K197">
        <v>3510000</v>
      </c>
      <c r="L197">
        <v>370</v>
      </c>
      <c r="O197">
        <v>197753</v>
      </c>
    </row>
    <row r="198" spans="1:15">
      <c r="A198">
        <v>197</v>
      </c>
      <c r="B198">
        <v>2</v>
      </c>
      <c r="C198">
        <v>97</v>
      </c>
      <c r="D198" t="s">
        <v>432</v>
      </c>
      <c r="E198" t="s">
        <v>433</v>
      </c>
      <c r="G198">
        <v>213495</v>
      </c>
      <c r="H198">
        <v>8</v>
      </c>
      <c r="I198">
        <v>12</v>
      </c>
      <c r="J198">
        <v>1364</v>
      </c>
      <c r="K198">
        <v>3550000</v>
      </c>
      <c r="L198">
        <v>374</v>
      </c>
      <c r="O198">
        <v>200270</v>
      </c>
    </row>
    <row r="199" spans="1:15">
      <c r="A199">
        <v>198</v>
      </c>
      <c r="B199">
        <v>2</v>
      </c>
      <c r="C199">
        <v>98</v>
      </c>
      <c r="D199" t="s">
        <v>434</v>
      </c>
      <c r="E199" t="s">
        <v>435</v>
      </c>
      <c r="G199">
        <v>216225</v>
      </c>
      <c r="H199">
        <v>8</v>
      </c>
      <c r="I199">
        <v>12</v>
      </c>
      <c r="J199">
        <v>1378</v>
      </c>
      <c r="K199">
        <v>3590000</v>
      </c>
      <c r="L199">
        <v>378</v>
      </c>
      <c r="O199">
        <v>202787</v>
      </c>
    </row>
    <row r="200" spans="1:15">
      <c r="A200">
        <v>199</v>
      </c>
      <c r="B200">
        <v>2</v>
      </c>
      <c r="C200">
        <v>99</v>
      </c>
      <c r="D200" t="s">
        <v>436</v>
      </c>
      <c r="E200" t="s">
        <v>437</v>
      </c>
      <c r="G200">
        <v>218955</v>
      </c>
      <c r="H200">
        <v>8</v>
      </c>
      <c r="I200">
        <v>12</v>
      </c>
      <c r="J200">
        <v>1392</v>
      </c>
      <c r="K200">
        <v>3630000</v>
      </c>
      <c r="L200">
        <v>382</v>
      </c>
      <c r="O200">
        <v>205304</v>
      </c>
    </row>
    <row r="201" spans="1:15">
      <c r="A201">
        <v>200</v>
      </c>
      <c r="B201">
        <v>2</v>
      </c>
      <c r="C201">
        <v>100</v>
      </c>
      <c r="D201" t="s">
        <v>438</v>
      </c>
      <c r="E201" t="s">
        <v>439</v>
      </c>
      <c r="G201">
        <v>221685</v>
      </c>
      <c r="H201">
        <v>8</v>
      </c>
      <c r="I201">
        <v>12</v>
      </c>
      <c r="J201">
        <v>1406</v>
      </c>
      <c r="K201">
        <v>3670000</v>
      </c>
      <c r="L201">
        <v>386</v>
      </c>
      <c r="N201">
        <v>1</v>
      </c>
      <c r="O201">
        <v>207821</v>
      </c>
    </row>
    <row r="202" spans="1:15">
      <c r="A202">
        <v>201</v>
      </c>
      <c r="B202">
        <v>3</v>
      </c>
      <c r="C202">
        <v>1</v>
      </c>
      <c r="D202" s="2" t="s">
        <v>233</v>
      </c>
      <c r="E202" s="2" t="s">
        <v>234</v>
      </c>
      <c r="G202" s="1">
        <v>70</v>
      </c>
      <c r="H202" s="1">
        <v>8</v>
      </c>
      <c r="I202" s="1">
        <v>12</v>
      </c>
      <c r="J202" s="1">
        <v>14</v>
      </c>
      <c r="K202" s="1">
        <v>5000</v>
      </c>
      <c r="L202">
        <v>2</v>
      </c>
      <c r="O202">
        <v>11</v>
      </c>
    </row>
    <row r="203" spans="1:15">
      <c r="A203">
        <v>202</v>
      </c>
      <c r="B203">
        <v>3</v>
      </c>
      <c r="C203">
        <v>2</v>
      </c>
      <c r="D203" s="2" t="s">
        <v>238</v>
      </c>
      <c r="E203" s="2" t="s">
        <v>239</v>
      </c>
      <c r="G203" s="1">
        <v>210</v>
      </c>
      <c r="H203" s="1">
        <v>8</v>
      </c>
      <c r="I203" s="1">
        <v>12</v>
      </c>
      <c r="J203" s="1">
        <v>28</v>
      </c>
      <c r="K203" s="1">
        <v>10000</v>
      </c>
      <c r="L203">
        <v>4</v>
      </c>
      <c r="M203" t="s">
        <v>440</v>
      </c>
      <c r="O203">
        <v>55</v>
      </c>
    </row>
    <row r="204" spans="1:15">
      <c r="A204">
        <v>203</v>
      </c>
      <c r="B204">
        <v>3</v>
      </c>
      <c r="C204">
        <v>3</v>
      </c>
      <c r="D204" s="2" t="s">
        <v>243</v>
      </c>
      <c r="E204" s="2" t="s">
        <v>244</v>
      </c>
      <c r="G204" s="1">
        <v>420</v>
      </c>
      <c r="H204" s="1">
        <v>8</v>
      </c>
      <c r="I204" s="1">
        <v>12</v>
      </c>
      <c r="J204" s="1">
        <v>42</v>
      </c>
      <c r="K204" s="1">
        <v>18000</v>
      </c>
      <c r="L204">
        <v>6</v>
      </c>
      <c r="M204" t="s">
        <v>441</v>
      </c>
      <c r="O204">
        <v>144</v>
      </c>
    </row>
    <row r="205" spans="1:15">
      <c r="A205">
        <v>204</v>
      </c>
      <c r="B205">
        <v>3</v>
      </c>
      <c r="C205">
        <v>4</v>
      </c>
      <c r="D205" s="2" t="s">
        <v>246</v>
      </c>
      <c r="E205" s="2" t="s">
        <v>247</v>
      </c>
      <c r="G205" s="1">
        <v>710</v>
      </c>
      <c r="H205" s="1">
        <v>8</v>
      </c>
      <c r="I205" s="1">
        <v>12</v>
      </c>
      <c r="J205" s="1">
        <v>58</v>
      </c>
      <c r="K205" s="1">
        <v>28000</v>
      </c>
      <c r="L205">
        <v>8</v>
      </c>
      <c r="O205">
        <v>285</v>
      </c>
    </row>
    <row r="206" spans="1:15">
      <c r="A206">
        <v>205</v>
      </c>
      <c r="B206">
        <v>3</v>
      </c>
      <c r="C206">
        <v>5</v>
      </c>
      <c r="D206" s="2" t="s">
        <v>249</v>
      </c>
      <c r="E206" s="2" t="s">
        <v>250</v>
      </c>
      <c r="G206" s="1">
        <v>1070</v>
      </c>
      <c r="H206" s="1">
        <v>8</v>
      </c>
      <c r="I206" s="1">
        <v>12</v>
      </c>
      <c r="J206" s="1">
        <v>72</v>
      </c>
      <c r="K206" s="1">
        <v>40000</v>
      </c>
      <c r="L206">
        <v>10</v>
      </c>
      <c r="O206">
        <v>473</v>
      </c>
    </row>
    <row r="207" spans="1:15">
      <c r="A207">
        <v>206</v>
      </c>
      <c r="B207">
        <v>3</v>
      </c>
      <c r="C207">
        <v>6</v>
      </c>
      <c r="D207" s="2" t="s">
        <v>251</v>
      </c>
      <c r="E207" s="2" t="s">
        <v>252</v>
      </c>
      <c r="G207" s="1">
        <v>1490</v>
      </c>
      <c r="H207" s="1">
        <v>8</v>
      </c>
      <c r="I207" s="1">
        <v>12</v>
      </c>
      <c r="J207" s="1">
        <v>84</v>
      </c>
      <c r="K207" s="1">
        <v>54000</v>
      </c>
      <c r="L207">
        <v>13</v>
      </c>
      <c r="O207">
        <v>724</v>
      </c>
    </row>
    <row r="208" spans="1:15">
      <c r="A208">
        <v>207</v>
      </c>
      <c r="B208">
        <v>3</v>
      </c>
      <c r="C208">
        <v>7</v>
      </c>
      <c r="D208" s="2" t="s">
        <v>253</v>
      </c>
      <c r="E208" s="2" t="s">
        <v>254</v>
      </c>
      <c r="G208" s="1">
        <v>1990</v>
      </c>
      <c r="H208" s="1">
        <v>8</v>
      </c>
      <c r="I208" s="1">
        <v>12</v>
      </c>
      <c r="J208" s="1">
        <v>100</v>
      </c>
      <c r="K208" s="1">
        <v>70000</v>
      </c>
      <c r="L208">
        <v>16</v>
      </c>
      <c r="O208">
        <v>1076</v>
      </c>
    </row>
    <row r="209" spans="1:15">
      <c r="A209">
        <v>208</v>
      </c>
      <c r="B209">
        <v>3</v>
      </c>
      <c r="C209">
        <v>8</v>
      </c>
      <c r="D209" s="2" t="s">
        <v>255</v>
      </c>
      <c r="E209" s="2" t="s">
        <v>256</v>
      </c>
      <c r="G209" s="1">
        <v>2560</v>
      </c>
      <c r="H209" s="1">
        <v>8</v>
      </c>
      <c r="I209" s="1">
        <v>12</v>
      </c>
      <c r="J209" s="1">
        <v>114</v>
      </c>
      <c r="K209" s="1">
        <v>88000</v>
      </c>
      <c r="L209">
        <v>19</v>
      </c>
      <c r="O209">
        <v>1506</v>
      </c>
    </row>
    <row r="210" spans="1:15">
      <c r="A210">
        <v>209</v>
      </c>
      <c r="B210">
        <v>3</v>
      </c>
      <c r="C210">
        <v>9</v>
      </c>
      <c r="D210" s="2" t="s">
        <v>257</v>
      </c>
      <c r="E210" s="2" t="s">
        <v>258</v>
      </c>
      <c r="G210" s="1">
        <v>3200</v>
      </c>
      <c r="H210" s="1">
        <v>8</v>
      </c>
      <c r="I210" s="1">
        <v>12</v>
      </c>
      <c r="J210" s="1">
        <v>128</v>
      </c>
      <c r="K210" s="1">
        <v>100000</v>
      </c>
      <c r="L210">
        <v>22</v>
      </c>
      <c r="O210">
        <v>1992</v>
      </c>
    </row>
    <row r="211" spans="1:15">
      <c r="A211">
        <v>210</v>
      </c>
      <c r="B211">
        <v>3</v>
      </c>
      <c r="C211">
        <v>10</v>
      </c>
      <c r="D211" s="2" t="s">
        <v>259</v>
      </c>
      <c r="E211" s="2" t="s">
        <v>260</v>
      </c>
      <c r="G211" s="1">
        <v>3910</v>
      </c>
      <c r="H211" s="1">
        <v>8</v>
      </c>
      <c r="I211" s="1">
        <v>12</v>
      </c>
      <c r="J211" s="1">
        <v>142</v>
      </c>
      <c r="K211" s="1">
        <v>130000</v>
      </c>
      <c r="L211">
        <v>26</v>
      </c>
      <c r="O211">
        <v>2602</v>
      </c>
    </row>
    <row r="212" spans="1:15">
      <c r="A212">
        <v>211</v>
      </c>
      <c r="B212">
        <v>3</v>
      </c>
      <c r="C212">
        <v>11</v>
      </c>
      <c r="D212" s="2" t="s">
        <v>261</v>
      </c>
      <c r="E212" s="2" t="s">
        <v>262</v>
      </c>
      <c r="G212" s="1">
        <v>4690</v>
      </c>
      <c r="H212" s="1">
        <v>8</v>
      </c>
      <c r="I212" s="1">
        <v>12</v>
      </c>
      <c r="J212" s="1">
        <v>156</v>
      </c>
      <c r="K212" s="1">
        <v>150000</v>
      </c>
      <c r="L212">
        <v>30</v>
      </c>
      <c r="O212">
        <v>3348</v>
      </c>
    </row>
    <row r="213" spans="1:15">
      <c r="A213">
        <v>212</v>
      </c>
      <c r="B213">
        <v>3</v>
      </c>
      <c r="C213">
        <v>12</v>
      </c>
      <c r="D213" s="2" t="s">
        <v>263</v>
      </c>
      <c r="E213" s="2" t="s">
        <v>264</v>
      </c>
      <c r="G213" s="1">
        <v>5540</v>
      </c>
      <c r="H213" s="1">
        <v>8</v>
      </c>
      <c r="I213" s="1">
        <v>12</v>
      </c>
      <c r="J213" s="1">
        <v>170</v>
      </c>
      <c r="K213" s="1">
        <v>180000</v>
      </c>
      <c r="L213">
        <v>34</v>
      </c>
      <c r="O213">
        <v>4184</v>
      </c>
    </row>
    <row r="214" spans="1:15">
      <c r="A214">
        <v>213</v>
      </c>
      <c r="B214">
        <v>3</v>
      </c>
      <c r="C214">
        <v>13</v>
      </c>
      <c r="D214" s="2" t="s">
        <v>265</v>
      </c>
      <c r="E214" s="2" t="s">
        <v>266</v>
      </c>
      <c r="G214" s="1">
        <v>6470</v>
      </c>
      <c r="H214" s="1">
        <v>8</v>
      </c>
      <c r="I214" s="1">
        <v>12</v>
      </c>
      <c r="J214" s="1">
        <v>186</v>
      </c>
      <c r="K214" s="1">
        <v>200000</v>
      </c>
      <c r="L214">
        <v>38</v>
      </c>
      <c r="O214">
        <v>5139</v>
      </c>
    </row>
    <row r="215" spans="1:15">
      <c r="A215">
        <v>214</v>
      </c>
      <c r="B215">
        <v>3</v>
      </c>
      <c r="C215">
        <v>14</v>
      </c>
      <c r="D215" s="2" t="s">
        <v>267</v>
      </c>
      <c r="E215" s="2" t="s">
        <v>268</v>
      </c>
      <c r="G215" s="1">
        <v>7470</v>
      </c>
      <c r="H215" s="1">
        <v>8</v>
      </c>
      <c r="I215" s="1">
        <v>12</v>
      </c>
      <c r="J215" s="1">
        <v>200</v>
      </c>
      <c r="K215" s="1">
        <v>230000</v>
      </c>
      <c r="L215">
        <v>42</v>
      </c>
      <c r="O215">
        <v>6187</v>
      </c>
    </row>
    <row r="216" spans="1:15">
      <c r="A216">
        <v>215</v>
      </c>
      <c r="B216">
        <v>3</v>
      </c>
      <c r="C216">
        <v>15</v>
      </c>
      <c r="D216" s="2" t="s">
        <v>269</v>
      </c>
      <c r="E216" s="2" t="s">
        <v>270</v>
      </c>
      <c r="G216" s="1">
        <v>8540</v>
      </c>
      <c r="H216" s="1">
        <v>8</v>
      </c>
      <c r="I216" s="1">
        <v>12</v>
      </c>
      <c r="J216" s="1">
        <v>214</v>
      </c>
      <c r="K216" s="1">
        <v>270000</v>
      </c>
      <c r="L216">
        <v>46</v>
      </c>
      <c r="O216">
        <v>7297</v>
      </c>
    </row>
    <row r="217" spans="1:15">
      <c r="A217">
        <v>216</v>
      </c>
      <c r="B217">
        <v>3</v>
      </c>
      <c r="C217">
        <v>16</v>
      </c>
      <c r="D217" s="2" t="s">
        <v>271</v>
      </c>
      <c r="E217" s="2" t="s">
        <v>272</v>
      </c>
      <c r="G217" s="1">
        <v>9680</v>
      </c>
      <c r="H217" s="1">
        <v>8</v>
      </c>
      <c r="I217" s="1">
        <v>12</v>
      </c>
      <c r="J217" s="1">
        <v>228</v>
      </c>
      <c r="K217" s="1">
        <v>310000</v>
      </c>
      <c r="L217">
        <v>50</v>
      </c>
      <c r="O217">
        <v>8497</v>
      </c>
    </row>
    <row r="218" spans="1:15">
      <c r="A218">
        <v>217</v>
      </c>
      <c r="B218">
        <v>3</v>
      </c>
      <c r="C218">
        <v>17</v>
      </c>
      <c r="D218" s="2" t="s">
        <v>273</v>
      </c>
      <c r="E218" s="2" t="s">
        <v>274</v>
      </c>
      <c r="G218" s="1">
        <v>10890</v>
      </c>
      <c r="H218" s="1">
        <v>8</v>
      </c>
      <c r="I218" s="1">
        <v>12</v>
      </c>
      <c r="J218" s="1">
        <v>242</v>
      </c>
      <c r="K218" s="1">
        <v>350000</v>
      </c>
      <c r="L218">
        <v>54</v>
      </c>
      <c r="O218">
        <v>9787</v>
      </c>
    </row>
    <row r="219" spans="1:15">
      <c r="A219">
        <v>218</v>
      </c>
      <c r="B219">
        <v>3</v>
      </c>
      <c r="C219">
        <v>18</v>
      </c>
      <c r="D219" s="2" t="s">
        <v>275</v>
      </c>
      <c r="E219" s="2" t="s">
        <v>276</v>
      </c>
      <c r="G219" s="1">
        <v>12170</v>
      </c>
      <c r="H219" s="1">
        <v>8</v>
      </c>
      <c r="I219" s="1">
        <v>12</v>
      </c>
      <c r="J219" s="1">
        <v>256</v>
      </c>
      <c r="K219" s="1">
        <v>390000</v>
      </c>
      <c r="L219">
        <v>58</v>
      </c>
      <c r="O219">
        <v>11166</v>
      </c>
    </row>
    <row r="220" spans="1:15">
      <c r="A220">
        <v>219</v>
      </c>
      <c r="B220">
        <v>3</v>
      </c>
      <c r="C220">
        <v>19</v>
      </c>
      <c r="D220" s="2" t="s">
        <v>277</v>
      </c>
      <c r="E220" s="2" t="s">
        <v>278</v>
      </c>
      <c r="G220" s="1">
        <v>13520</v>
      </c>
      <c r="H220" s="1">
        <v>8</v>
      </c>
      <c r="I220" s="1">
        <v>12</v>
      </c>
      <c r="J220" s="1">
        <v>270</v>
      </c>
      <c r="K220" s="1">
        <v>430000</v>
      </c>
      <c r="L220">
        <v>62</v>
      </c>
      <c r="O220">
        <v>12635</v>
      </c>
    </row>
    <row r="221" spans="1:15">
      <c r="A221">
        <v>220</v>
      </c>
      <c r="B221">
        <v>3</v>
      </c>
      <c r="C221">
        <v>20</v>
      </c>
      <c r="D221" s="2" t="s">
        <v>279</v>
      </c>
      <c r="E221" s="2" t="s">
        <v>280</v>
      </c>
      <c r="G221" s="1">
        <v>14940</v>
      </c>
      <c r="H221" s="1">
        <v>8</v>
      </c>
      <c r="I221" s="1">
        <v>12</v>
      </c>
      <c r="J221" s="1">
        <v>284</v>
      </c>
      <c r="K221" s="1">
        <v>470000</v>
      </c>
      <c r="L221">
        <v>66</v>
      </c>
      <c r="O221">
        <v>14193</v>
      </c>
    </row>
    <row r="222" spans="1:15">
      <c r="A222">
        <v>221</v>
      </c>
      <c r="B222">
        <v>3</v>
      </c>
      <c r="C222">
        <v>21</v>
      </c>
      <c r="D222" s="2" t="s">
        <v>281</v>
      </c>
      <c r="E222" s="2" t="s">
        <v>282</v>
      </c>
      <c r="G222" s="1">
        <v>16430</v>
      </c>
      <c r="H222" s="1">
        <v>8</v>
      </c>
      <c r="I222" s="1">
        <v>12</v>
      </c>
      <c r="J222" s="1">
        <v>298</v>
      </c>
      <c r="K222" s="1">
        <v>510000</v>
      </c>
      <c r="L222">
        <v>70</v>
      </c>
      <c r="O222">
        <v>15841</v>
      </c>
    </row>
    <row r="223" spans="1:15">
      <c r="A223">
        <v>222</v>
      </c>
      <c r="B223">
        <v>3</v>
      </c>
      <c r="C223">
        <v>22</v>
      </c>
      <c r="D223" s="2" t="s">
        <v>283</v>
      </c>
      <c r="E223" s="2" t="s">
        <v>284</v>
      </c>
      <c r="G223" s="1">
        <v>17990</v>
      </c>
      <c r="H223" s="1">
        <v>8</v>
      </c>
      <c r="I223" s="1">
        <v>12</v>
      </c>
      <c r="J223" s="1">
        <v>312</v>
      </c>
      <c r="K223" s="1">
        <v>550000</v>
      </c>
      <c r="L223">
        <v>74</v>
      </c>
      <c r="O223">
        <v>17579</v>
      </c>
    </row>
    <row r="224" spans="1:15">
      <c r="A224">
        <v>223</v>
      </c>
      <c r="B224">
        <v>3</v>
      </c>
      <c r="C224">
        <v>23</v>
      </c>
      <c r="D224" s="2" t="s">
        <v>285</v>
      </c>
      <c r="E224" s="2" t="s">
        <v>286</v>
      </c>
      <c r="G224" s="1">
        <v>19630</v>
      </c>
      <c r="H224" s="1">
        <v>8</v>
      </c>
      <c r="I224" s="1">
        <v>12</v>
      </c>
      <c r="J224" s="1">
        <v>328</v>
      </c>
      <c r="K224" s="1">
        <v>590000</v>
      </c>
      <c r="L224">
        <v>78</v>
      </c>
      <c r="O224">
        <v>19468</v>
      </c>
    </row>
    <row r="225" spans="1:15">
      <c r="A225">
        <v>224</v>
      </c>
      <c r="B225">
        <v>3</v>
      </c>
      <c r="C225">
        <v>24</v>
      </c>
      <c r="D225" s="2" t="s">
        <v>287</v>
      </c>
      <c r="E225" s="2" t="s">
        <v>288</v>
      </c>
      <c r="G225" s="1">
        <v>21340</v>
      </c>
      <c r="H225" s="1">
        <v>8</v>
      </c>
      <c r="I225" s="1">
        <v>12</v>
      </c>
      <c r="J225" s="1">
        <v>342</v>
      </c>
      <c r="K225" s="1">
        <v>630000</v>
      </c>
      <c r="L225">
        <v>82</v>
      </c>
      <c r="O225">
        <v>21450</v>
      </c>
    </row>
    <row r="226" spans="1:15">
      <c r="A226">
        <v>225</v>
      </c>
      <c r="B226">
        <v>3</v>
      </c>
      <c r="C226">
        <v>25</v>
      </c>
      <c r="D226" s="2" t="s">
        <v>289</v>
      </c>
      <c r="E226" s="2" t="s">
        <v>290</v>
      </c>
      <c r="G226" s="1">
        <v>23120</v>
      </c>
      <c r="H226" s="1">
        <v>8</v>
      </c>
      <c r="I226" s="1">
        <v>12</v>
      </c>
      <c r="J226" s="1">
        <v>356</v>
      </c>
      <c r="K226" s="1">
        <v>670000</v>
      </c>
      <c r="L226">
        <v>86</v>
      </c>
      <c r="O226">
        <v>23463</v>
      </c>
    </row>
    <row r="227" spans="1:15">
      <c r="A227">
        <v>226</v>
      </c>
      <c r="B227">
        <v>3</v>
      </c>
      <c r="C227">
        <v>26</v>
      </c>
      <c r="D227" s="2" t="s">
        <v>291</v>
      </c>
      <c r="E227" s="2" t="s">
        <v>292</v>
      </c>
      <c r="G227" s="1">
        <v>24970</v>
      </c>
      <c r="H227" s="1">
        <v>8</v>
      </c>
      <c r="I227" s="1">
        <v>12</v>
      </c>
      <c r="J227" s="1">
        <v>370</v>
      </c>
      <c r="K227" s="1">
        <v>710000</v>
      </c>
      <c r="L227">
        <v>90</v>
      </c>
      <c r="O227">
        <v>25566</v>
      </c>
    </row>
    <row r="228" spans="1:15">
      <c r="A228">
        <v>227</v>
      </c>
      <c r="B228">
        <v>3</v>
      </c>
      <c r="C228">
        <v>27</v>
      </c>
      <c r="D228" s="2" t="s">
        <v>293</v>
      </c>
      <c r="E228" s="2" t="s">
        <v>294</v>
      </c>
      <c r="G228" s="1">
        <v>26890</v>
      </c>
      <c r="H228" s="1">
        <v>8</v>
      </c>
      <c r="I228" s="1">
        <v>12</v>
      </c>
      <c r="J228" s="1">
        <v>384</v>
      </c>
      <c r="K228" s="1">
        <v>750000</v>
      </c>
      <c r="L228">
        <v>94</v>
      </c>
      <c r="O228">
        <v>27758</v>
      </c>
    </row>
    <row r="229" spans="1:15">
      <c r="A229">
        <v>228</v>
      </c>
      <c r="B229">
        <v>3</v>
      </c>
      <c r="C229">
        <v>28</v>
      </c>
      <c r="D229" s="2" t="s">
        <v>295</v>
      </c>
      <c r="E229" s="2" t="s">
        <v>296</v>
      </c>
      <c r="G229" s="1">
        <v>28880</v>
      </c>
      <c r="H229" s="1">
        <v>8</v>
      </c>
      <c r="I229" s="1">
        <v>12</v>
      </c>
      <c r="J229" s="1">
        <v>398</v>
      </c>
      <c r="K229" s="1">
        <v>790000</v>
      </c>
      <c r="L229">
        <v>98</v>
      </c>
      <c r="O229">
        <v>30039</v>
      </c>
    </row>
    <row r="230" spans="1:15">
      <c r="A230">
        <v>229</v>
      </c>
      <c r="B230">
        <v>3</v>
      </c>
      <c r="C230">
        <v>29</v>
      </c>
      <c r="D230" s="2" t="s">
        <v>297</v>
      </c>
      <c r="E230" s="2" t="s">
        <v>298</v>
      </c>
      <c r="G230" s="1">
        <v>30940</v>
      </c>
      <c r="H230" s="1">
        <v>8</v>
      </c>
      <c r="I230" s="1">
        <v>12</v>
      </c>
      <c r="J230" s="1">
        <v>412</v>
      </c>
      <c r="K230" s="1">
        <v>830000</v>
      </c>
      <c r="L230">
        <v>102</v>
      </c>
      <c r="O230">
        <v>32410</v>
      </c>
    </row>
    <row r="231" spans="1:15">
      <c r="A231">
        <v>230</v>
      </c>
      <c r="B231">
        <v>3</v>
      </c>
      <c r="C231">
        <v>30</v>
      </c>
      <c r="D231" s="2" t="s">
        <v>297</v>
      </c>
      <c r="E231" s="2" t="s">
        <v>299</v>
      </c>
      <c r="G231" s="1">
        <v>33070</v>
      </c>
      <c r="H231" s="1">
        <v>8</v>
      </c>
      <c r="I231" s="1">
        <v>12</v>
      </c>
      <c r="J231" s="1">
        <v>426</v>
      </c>
      <c r="K231" s="1">
        <v>870000</v>
      </c>
      <c r="L231">
        <v>106</v>
      </c>
      <c r="O231">
        <v>34871</v>
      </c>
    </row>
    <row r="232" spans="1:15">
      <c r="A232">
        <v>231</v>
      </c>
      <c r="B232">
        <v>3</v>
      </c>
      <c r="C232">
        <v>31</v>
      </c>
      <c r="D232" s="2" t="s">
        <v>300</v>
      </c>
      <c r="E232" s="2" t="s">
        <v>301</v>
      </c>
      <c r="G232" s="1">
        <v>35240</v>
      </c>
      <c r="H232" s="1">
        <v>8</v>
      </c>
      <c r="I232" s="1">
        <v>12</v>
      </c>
      <c r="J232" s="1">
        <v>440</v>
      </c>
      <c r="K232" s="1">
        <v>910000</v>
      </c>
      <c r="L232">
        <v>110</v>
      </c>
      <c r="O232">
        <v>36615</v>
      </c>
    </row>
    <row r="233" spans="1:15">
      <c r="A233">
        <v>232</v>
      </c>
      <c r="B233">
        <v>3</v>
      </c>
      <c r="C233">
        <v>32</v>
      </c>
      <c r="D233" s="2" t="s">
        <v>302</v>
      </c>
      <c r="E233" s="2" t="s">
        <v>303</v>
      </c>
      <c r="G233" s="1">
        <v>37480</v>
      </c>
      <c r="H233" s="1">
        <v>8</v>
      </c>
      <c r="I233" s="1">
        <v>12</v>
      </c>
      <c r="J233" s="1">
        <v>454</v>
      </c>
      <c r="K233" s="1">
        <v>950000</v>
      </c>
      <c r="L233">
        <v>114</v>
      </c>
      <c r="O233">
        <v>38446</v>
      </c>
    </row>
    <row r="234" spans="1:15">
      <c r="A234">
        <v>233</v>
      </c>
      <c r="B234">
        <v>3</v>
      </c>
      <c r="C234">
        <v>33</v>
      </c>
      <c r="D234" s="2" t="s">
        <v>304</v>
      </c>
      <c r="E234" s="2" t="s">
        <v>305</v>
      </c>
      <c r="G234" s="1">
        <v>39790</v>
      </c>
      <c r="H234" s="1">
        <v>8</v>
      </c>
      <c r="I234" s="1">
        <v>12</v>
      </c>
      <c r="J234" s="1">
        <v>468</v>
      </c>
      <c r="K234" s="1">
        <v>990000</v>
      </c>
      <c r="L234">
        <v>118</v>
      </c>
      <c r="O234">
        <v>40368</v>
      </c>
    </row>
    <row r="235" spans="1:15">
      <c r="A235">
        <v>234</v>
      </c>
      <c r="B235">
        <v>3</v>
      </c>
      <c r="C235">
        <v>34</v>
      </c>
      <c r="D235" s="2" t="s">
        <v>306</v>
      </c>
      <c r="E235" s="2" t="s">
        <v>307</v>
      </c>
      <c r="G235" s="1">
        <v>42170</v>
      </c>
      <c r="H235" s="1">
        <v>8</v>
      </c>
      <c r="I235" s="1">
        <v>12</v>
      </c>
      <c r="J235" s="1">
        <v>482</v>
      </c>
      <c r="K235" s="1">
        <v>1030000</v>
      </c>
      <c r="L235">
        <v>122</v>
      </c>
      <c r="O235">
        <v>42386</v>
      </c>
    </row>
    <row r="236" spans="1:15">
      <c r="A236">
        <v>235</v>
      </c>
      <c r="B236">
        <v>3</v>
      </c>
      <c r="C236">
        <v>35</v>
      </c>
      <c r="D236" s="2" t="s">
        <v>308</v>
      </c>
      <c r="E236" s="2" t="s">
        <v>309</v>
      </c>
      <c r="G236" s="1">
        <v>44620</v>
      </c>
      <c r="H236" s="1">
        <v>8</v>
      </c>
      <c r="I236" s="1">
        <v>12</v>
      </c>
      <c r="J236" s="1">
        <v>496</v>
      </c>
      <c r="K236" s="1">
        <v>1070000</v>
      </c>
      <c r="L236">
        <v>126</v>
      </c>
      <c r="O236">
        <v>44505</v>
      </c>
    </row>
    <row r="237" spans="1:15">
      <c r="A237">
        <v>236</v>
      </c>
      <c r="B237">
        <v>3</v>
      </c>
      <c r="C237">
        <v>36</v>
      </c>
      <c r="D237" s="2" t="s">
        <v>310</v>
      </c>
      <c r="E237" s="2" t="s">
        <v>311</v>
      </c>
      <c r="G237" s="1">
        <v>47140</v>
      </c>
      <c r="H237" s="1">
        <v>8</v>
      </c>
      <c r="I237" s="1">
        <v>12</v>
      </c>
      <c r="J237" s="1">
        <v>510</v>
      </c>
      <c r="K237" s="1">
        <v>1110000</v>
      </c>
      <c r="L237">
        <v>130</v>
      </c>
      <c r="O237">
        <v>46730</v>
      </c>
    </row>
    <row r="238" spans="1:15">
      <c r="A238">
        <v>237</v>
      </c>
      <c r="B238">
        <v>3</v>
      </c>
      <c r="C238">
        <v>37</v>
      </c>
      <c r="D238" s="2" t="s">
        <v>312</v>
      </c>
      <c r="E238" s="2" t="s">
        <v>313</v>
      </c>
      <c r="G238" s="1">
        <v>49730</v>
      </c>
      <c r="H238" s="1">
        <v>8</v>
      </c>
      <c r="I238" s="1">
        <v>12</v>
      </c>
      <c r="J238" s="1">
        <v>524</v>
      </c>
      <c r="K238" s="1">
        <v>1150000</v>
      </c>
      <c r="L238">
        <v>134</v>
      </c>
      <c r="O238">
        <v>49067</v>
      </c>
    </row>
    <row r="239" spans="1:15">
      <c r="A239">
        <v>238</v>
      </c>
      <c r="B239">
        <v>3</v>
      </c>
      <c r="C239">
        <v>38</v>
      </c>
      <c r="D239" s="2" t="s">
        <v>314</v>
      </c>
      <c r="E239" s="2" t="s">
        <v>315</v>
      </c>
      <c r="G239" s="1">
        <v>52390</v>
      </c>
      <c r="H239" s="1">
        <v>8</v>
      </c>
      <c r="I239" s="1">
        <v>12</v>
      </c>
      <c r="J239" s="1">
        <v>538</v>
      </c>
      <c r="K239" s="1">
        <v>1190000</v>
      </c>
      <c r="L239">
        <v>138</v>
      </c>
      <c r="O239">
        <v>51520</v>
      </c>
    </row>
    <row r="240" spans="1:15">
      <c r="A240">
        <v>239</v>
      </c>
      <c r="B240">
        <v>3</v>
      </c>
      <c r="C240">
        <v>39</v>
      </c>
      <c r="D240" s="2" t="s">
        <v>316</v>
      </c>
      <c r="E240" s="2" t="s">
        <v>317</v>
      </c>
      <c r="G240" s="1">
        <v>55120</v>
      </c>
      <c r="H240" s="1">
        <v>8</v>
      </c>
      <c r="I240" s="1">
        <v>12</v>
      </c>
      <c r="J240" s="1">
        <v>552</v>
      </c>
      <c r="K240" s="1">
        <v>1230000</v>
      </c>
      <c r="L240">
        <v>142</v>
      </c>
      <c r="O240">
        <v>54096</v>
      </c>
    </row>
    <row r="241" spans="1:15">
      <c r="A241">
        <v>240</v>
      </c>
      <c r="B241">
        <v>3</v>
      </c>
      <c r="C241">
        <v>40</v>
      </c>
      <c r="D241" s="2" t="s">
        <v>318</v>
      </c>
      <c r="E241" s="2" t="s">
        <v>319</v>
      </c>
      <c r="G241" s="1">
        <v>57920</v>
      </c>
      <c r="H241" s="1">
        <v>8</v>
      </c>
      <c r="I241" s="1">
        <v>12</v>
      </c>
      <c r="J241" s="1">
        <v>566</v>
      </c>
      <c r="K241" s="1">
        <v>1270000</v>
      </c>
      <c r="L241">
        <v>146</v>
      </c>
      <c r="O241">
        <v>56801</v>
      </c>
    </row>
    <row r="242" spans="1:15">
      <c r="A242">
        <v>241</v>
      </c>
      <c r="B242">
        <v>3</v>
      </c>
      <c r="C242">
        <v>41</v>
      </c>
      <c r="D242" t="s">
        <v>320</v>
      </c>
      <c r="E242" t="s">
        <v>321</v>
      </c>
      <c r="G242">
        <v>60615</v>
      </c>
      <c r="H242">
        <v>8</v>
      </c>
      <c r="I242">
        <v>12</v>
      </c>
      <c r="J242">
        <v>580</v>
      </c>
      <c r="K242">
        <v>1310000</v>
      </c>
      <c r="L242">
        <v>150</v>
      </c>
      <c r="O242">
        <v>59318</v>
      </c>
    </row>
    <row r="243" spans="1:15">
      <c r="A243">
        <v>242</v>
      </c>
      <c r="B243">
        <v>3</v>
      </c>
      <c r="C243">
        <v>42</v>
      </c>
      <c r="D243" t="s">
        <v>322</v>
      </c>
      <c r="E243" t="s">
        <v>323</v>
      </c>
      <c r="G243">
        <v>63345</v>
      </c>
      <c r="H243">
        <v>8</v>
      </c>
      <c r="I243">
        <v>12</v>
      </c>
      <c r="J243">
        <v>594</v>
      </c>
      <c r="K243">
        <v>1350000</v>
      </c>
      <c r="L243">
        <v>154</v>
      </c>
      <c r="O243">
        <v>61835</v>
      </c>
    </row>
    <row r="244" spans="1:15">
      <c r="A244">
        <v>243</v>
      </c>
      <c r="B244">
        <v>3</v>
      </c>
      <c r="C244">
        <v>43</v>
      </c>
      <c r="D244" t="s">
        <v>324</v>
      </c>
      <c r="E244" t="s">
        <v>325</v>
      </c>
      <c r="G244">
        <v>66075</v>
      </c>
      <c r="H244">
        <v>8</v>
      </c>
      <c r="I244">
        <v>12</v>
      </c>
      <c r="J244">
        <v>608</v>
      </c>
      <c r="K244">
        <v>1390000</v>
      </c>
      <c r="L244">
        <v>158</v>
      </c>
      <c r="O244">
        <v>64352</v>
      </c>
    </row>
    <row r="245" spans="1:15">
      <c r="A245">
        <v>244</v>
      </c>
      <c r="B245">
        <v>3</v>
      </c>
      <c r="C245">
        <v>44</v>
      </c>
      <c r="D245" t="s">
        <v>326</v>
      </c>
      <c r="E245" t="s">
        <v>327</v>
      </c>
      <c r="G245">
        <v>68805</v>
      </c>
      <c r="H245">
        <v>8</v>
      </c>
      <c r="I245">
        <v>12</v>
      </c>
      <c r="J245">
        <v>622</v>
      </c>
      <c r="K245">
        <v>1430000</v>
      </c>
      <c r="L245">
        <v>162</v>
      </c>
      <c r="O245">
        <v>66869</v>
      </c>
    </row>
    <row r="246" spans="1:15">
      <c r="A246">
        <v>245</v>
      </c>
      <c r="B246">
        <v>3</v>
      </c>
      <c r="C246">
        <v>45</v>
      </c>
      <c r="D246" t="s">
        <v>328</v>
      </c>
      <c r="E246" t="s">
        <v>329</v>
      </c>
      <c r="G246">
        <v>71535</v>
      </c>
      <c r="H246">
        <v>8</v>
      </c>
      <c r="I246">
        <v>12</v>
      </c>
      <c r="J246">
        <v>636</v>
      </c>
      <c r="K246">
        <v>1470000</v>
      </c>
      <c r="L246">
        <v>166</v>
      </c>
      <c r="O246">
        <v>69386</v>
      </c>
    </row>
    <row r="247" spans="1:15">
      <c r="A247">
        <v>246</v>
      </c>
      <c r="B247">
        <v>3</v>
      </c>
      <c r="C247">
        <v>46</v>
      </c>
      <c r="D247" t="s">
        <v>330</v>
      </c>
      <c r="E247" t="s">
        <v>331</v>
      </c>
      <c r="G247">
        <v>74265</v>
      </c>
      <c r="H247">
        <v>8</v>
      </c>
      <c r="I247">
        <v>12</v>
      </c>
      <c r="J247">
        <v>650</v>
      </c>
      <c r="K247">
        <v>1510000</v>
      </c>
      <c r="L247">
        <v>170</v>
      </c>
      <c r="O247">
        <v>71903</v>
      </c>
    </row>
    <row r="248" spans="1:15">
      <c r="A248">
        <v>247</v>
      </c>
      <c r="B248">
        <v>3</v>
      </c>
      <c r="C248">
        <v>47</v>
      </c>
      <c r="D248" t="s">
        <v>332</v>
      </c>
      <c r="E248" t="s">
        <v>333</v>
      </c>
      <c r="G248">
        <v>76995</v>
      </c>
      <c r="H248">
        <v>8</v>
      </c>
      <c r="I248">
        <v>12</v>
      </c>
      <c r="J248">
        <v>664</v>
      </c>
      <c r="K248">
        <v>1550000</v>
      </c>
      <c r="L248">
        <v>174</v>
      </c>
      <c r="O248">
        <v>74420</v>
      </c>
    </row>
    <row r="249" spans="1:15">
      <c r="A249">
        <v>248</v>
      </c>
      <c r="B249">
        <v>3</v>
      </c>
      <c r="C249">
        <v>48</v>
      </c>
      <c r="D249" t="s">
        <v>334</v>
      </c>
      <c r="E249" t="s">
        <v>335</v>
      </c>
      <c r="G249">
        <v>79725</v>
      </c>
      <c r="H249">
        <v>8</v>
      </c>
      <c r="I249">
        <v>12</v>
      </c>
      <c r="J249">
        <v>678</v>
      </c>
      <c r="K249">
        <v>1590000</v>
      </c>
      <c r="L249">
        <v>178</v>
      </c>
      <c r="O249">
        <v>76937</v>
      </c>
    </row>
    <row r="250" spans="1:15">
      <c r="A250">
        <v>249</v>
      </c>
      <c r="B250">
        <v>3</v>
      </c>
      <c r="C250">
        <v>49</v>
      </c>
      <c r="D250" t="s">
        <v>336</v>
      </c>
      <c r="E250" t="s">
        <v>337</v>
      </c>
      <c r="G250">
        <v>82455</v>
      </c>
      <c r="H250">
        <v>8</v>
      </c>
      <c r="I250">
        <v>12</v>
      </c>
      <c r="J250">
        <v>692</v>
      </c>
      <c r="K250">
        <v>1630000</v>
      </c>
      <c r="L250">
        <v>182</v>
      </c>
      <c r="O250">
        <v>79454</v>
      </c>
    </row>
    <row r="251" spans="1:15">
      <c r="A251">
        <v>250</v>
      </c>
      <c r="B251">
        <v>3</v>
      </c>
      <c r="C251">
        <v>50</v>
      </c>
      <c r="D251" t="s">
        <v>338</v>
      </c>
      <c r="E251" t="s">
        <v>339</v>
      </c>
      <c r="G251">
        <v>85185</v>
      </c>
      <c r="H251">
        <v>8</v>
      </c>
      <c r="I251">
        <v>12</v>
      </c>
      <c r="J251">
        <v>706</v>
      </c>
      <c r="K251">
        <v>1670000</v>
      </c>
      <c r="L251">
        <v>186</v>
      </c>
      <c r="O251">
        <v>81971</v>
      </c>
    </row>
    <row r="252" spans="1:15">
      <c r="A252">
        <v>251</v>
      </c>
      <c r="B252">
        <v>3</v>
      </c>
      <c r="C252">
        <v>51</v>
      </c>
      <c r="D252" t="s">
        <v>340</v>
      </c>
      <c r="E252" t="s">
        <v>341</v>
      </c>
      <c r="G252">
        <v>87915</v>
      </c>
      <c r="H252">
        <v>8</v>
      </c>
      <c r="I252">
        <v>12</v>
      </c>
      <c r="J252">
        <v>720</v>
      </c>
      <c r="K252">
        <v>1710000</v>
      </c>
      <c r="L252">
        <v>190</v>
      </c>
      <c r="O252">
        <v>84488</v>
      </c>
    </row>
    <row r="253" spans="1:15">
      <c r="A253">
        <v>252</v>
      </c>
      <c r="B253">
        <v>3</v>
      </c>
      <c r="C253">
        <v>52</v>
      </c>
      <c r="D253" t="s">
        <v>342</v>
      </c>
      <c r="E253" t="s">
        <v>343</v>
      </c>
      <c r="G253">
        <v>90645</v>
      </c>
      <c r="H253">
        <v>8</v>
      </c>
      <c r="I253">
        <v>12</v>
      </c>
      <c r="J253">
        <v>734</v>
      </c>
      <c r="K253">
        <v>1750000</v>
      </c>
      <c r="L253">
        <v>194</v>
      </c>
      <c r="O253">
        <v>87005</v>
      </c>
    </row>
    <row r="254" spans="1:15">
      <c r="A254">
        <v>253</v>
      </c>
      <c r="B254">
        <v>3</v>
      </c>
      <c r="C254">
        <v>53</v>
      </c>
      <c r="D254" t="s">
        <v>344</v>
      </c>
      <c r="E254" t="s">
        <v>345</v>
      </c>
      <c r="G254">
        <v>93375</v>
      </c>
      <c r="H254">
        <v>8</v>
      </c>
      <c r="I254">
        <v>12</v>
      </c>
      <c r="J254">
        <v>748</v>
      </c>
      <c r="K254">
        <v>1790000</v>
      </c>
      <c r="L254">
        <v>198</v>
      </c>
      <c r="O254">
        <v>89522</v>
      </c>
    </row>
    <row r="255" spans="1:15">
      <c r="A255">
        <v>254</v>
      </c>
      <c r="B255">
        <v>3</v>
      </c>
      <c r="C255">
        <v>54</v>
      </c>
      <c r="D255" t="s">
        <v>346</v>
      </c>
      <c r="E255" t="s">
        <v>347</v>
      </c>
      <c r="G255">
        <v>96105</v>
      </c>
      <c r="H255">
        <v>8</v>
      </c>
      <c r="I255">
        <v>12</v>
      </c>
      <c r="J255">
        <v>762</v>
      </c>
      <c r="K255">
        <v>1830000</v>
      </c>
      <c r="L255">
        <v>202</v>
      </c>
      <c r="O255">
        <v>92039</v>
      </c>
    </row>
    <row r="256" spans="1:15">
      <c r="A256">
        <v>255</v>
      </c>
      <c r="B256">
        <v>3</v>
      </c>
      <c r="C256">
        <v>55</v>
      </c>
      <c r="D256" t="s">
        <v>348</v>
      </c>
      <c r="E256" t="s">
        <v>349</v>
      </c>
      <c r="G256">
        <v>98835</v>
      </c>
      <c r="H256">
        <v>8</v>
      </c>
      <c r="I256">
        <v>12</v>
      </c>
      <c r="J256">
        <v>776</v>
      </c>
      <c r="K256">
        <v>1870000</v>
      </c>
      <c r="L256">
        <v>206</v>
      </c>
      <c r="O256">
        <v>94556</v>
      </c>
    </row>
    <row r="257" spans="1:15">
      <c r="A257">
        <v>256</v>
      </c>
      <c r="B257">
        <v>3</v>
      </c>
      <c r="C257">
        <v>56</v>
      </c>
      <c r="D257" t="s">
        <v>350</v>
      </c>
      <c r="E257" t="s">
        <v>351</v>
      </c>
      <c r="G257">
        <v>101565</v>
      </c>
      <c r="H257">
        <v>8</v>
      </c>
      <c r="I257">
        <v>12</v>
      </c>
      <c r="J257">
        <v>790</v>
      </c>
      <c r="K257">
        <v>1910000</v>
      </c>
      <c r="L257">
        <v>210</v>
      </c>
      <c r="O257">
        <v>97073</v>
      </c>
    </row>
    <row r="258" spans="1:15">
      <c r="A258">
        <v>257</v>
      </c>
      <c r="B258">
        <v>3</v>
      </c>
      <c r="C258">
        <v>57</v>
      </c>
      <c r="D258" t="s">
        <v>352</v>
      </c>
      <c r="E258" t="s">
        <v>353</v>
      </c>
      <c r="G258">
        <v>104295</v>
      </c>
      <c r="H258">
        <v>8</v>
      </c>
      <c r="I258">
        <v>12</v>
      </c>
      <c r="J258">
        <v>804</v>
      </c>
      <c r="K258">
        <v>1950000</v>
      </c>
      <c r="L258">
        <v>214</v>
      </c>
      <c r="O258">
        <v>99590</v>
      </c>
    </row>
    <row r="259" spans="1:15">
      <c r="A259">
        <v>258</v>
      </c>
      <c r="B259">
        <v>3</v>
      </c>
      <c r="C259">
        <v>58</v>
      </c>
      <c r="D259" t="s">
        <v>354</v>
      </c>
      <c r="E259" t="s">
        <v>355</v>
      </c>
      <c r="G259">
        <v>107025</v>
      </c>
      <c r="H259">
        <v>8</v>
      </c>
      <c r="I259">
        <v>12</v>
      </c>
      <c r="J259">
        <v>818</v>
      </c>
      <c r="K259">
        <v>1990000</v>
      </c>
      <c r="L259">
        <v>218</v>
      </c>
      <c r="O259">
        <v>102107</v>
      </c>
    </row>
    <row r="260" spans="1:15">
      <c r="A260">
        <v>259</v>
      </c>
      <c r="B260">
        <v>3</v>
      </c>
      <c r="C260">
        <v>59</v>
      </c>
      <c r="D260" t="s">
        <v>356</v>
      </c>
      <c r="E260" t="s">
        <v>357</v>
      </c>
      <c r="G260">
        <v>109755</v>
      </c>
      <c r="H260">
        <v>8</v>
      </c>
      <c r="I260">
        <v>12</v>
      </c>
      <c r="J260">
        <v>832</v>
      </c>
      <c r="K260">
        <v>2030000</v>
      </c>
      <c r="L260">
        <v>222</v>
      </c>
      <c r="O260">
        <v>104624</v>
      </c>
    </row>
    <row r="261" spans="1:15">
      <c r="A261">
        <v>260</v>
      </c>
      <c r="B261">
        <v>3</v>
      </c>
      <c r="C261">
        <v>60</v>
      </c>
      <c r="D261" t="s">
        <v>358</v>
      </c>
      <c r="E261" t="s">
        <v>359</v>
      </c>
      <c r="G261">
        <v>112485</v>
      </c>
      <c r="H261">
        <v>8</v>
      </c>
      <c r="I261">
        <v>12</v>
      </c>
      <c r="J261">
        <v>846</v>
      </c>
      <c r="K261">
        <v>2070000</v>
      </c>
      <c r="L261">
        <v>226</v>
      </c>
      <c r="O261">
        <v>107141</v>
      </c>
    </row>
    <row r="262" spans="1:15">
      <c r="A262">
        <v>261</v>
      </c>
      <c r="B262">
        <v>3</v>
      </c>
      <c r="C262">
        <v>61</v>
      </c>
      <c r="D262" t="s">
        <v>360</v>
      </c>
      <c r="E262" t="s">
        <v>361</v>
      </c>
      <c r="G262">
        <v>115215</v>
      </c>
      <c r="H262">
        <v>8</v>
      </c>
      <c r="I262">
        <v>12</v>
      </c>
      <c r="J262">
        <v>860</v>
      </c>
      <c r="K262">
        <v>2110000</v>
      </c>
      <c r="L262">
        <v>230</v>
      </c>
      <c r="O262">
        <v>109658</v>
      </c>
    </row>
    <row r="263" spans="1:15">
      <c r="A263">
        <v>262</v>
      </c>
      <c r="B263">
        <v>3</v>
      </c>
      <c r="C263">
        <v>62</v>
      </c>
      <c r="D263" t="s">
        <v>362</v>
      </c>
      <c r="E263" t="s">
        <v>363</v>
      </c>
      <c r="G263">
        <v>117945</v>
      </c>
      <c r="H263">
        <v>8</v>
      </c>
      <c r="I263">
        <v>12</v>
      </c>
      <c r="J263">
        <v>874</v>
      </c>
      <c r="K263">
        <v>2150000</v>
      </c>
      <c r="L263">
        <v>234</v>
      </c>
      <c r="O263">
        <v>112175</v>
      </c>
    </row>
    <row r="264" spans="1:15">
      <c r="A264">
        <v>263</v>
      </c>
      <c r="B264">
        <v>3</v>
      </c>
      <c r="C264">
        <v>63</v>
      </c>
      <c r="D264" t="s">
        <v>364</v>
      </c>
      <c r="E264" t="s">
        <v>365</v>
      </c>
      <c r="G264">
        <v>120675</v>
      </c>
      <c r="H264">
        <v>8</v>
      </c>
      <c r="I264">
        <v>12</v>
      </c>
      <c r="J264">
        <v>888</v>
      </c>
      <c r="K264">
        <v>2190000</v>
      </c>
      <c r="L264">
        <v>238</v>
      </c>
      <c r="O264">
        <v>114692</v>
      </c>
    </row>
    <row r="265" spans="1:15">
      <c r="A265">
        <v>264</v>
      </c>
      <c r="B265">
        <v>3</v>
      </c>
      <c r="C265">
        <v>64</v>
      </c>
      <c r="D265" t="s">
        <v>366</v>
      </c>
      <c r="E265" t="s">
        <v>367</v>
      </c>
      <c r="G265">
        <v>123405</v>
      </c>
      <c r="H265">
        <v>8</v>
      </c>
      <c r="I265">
        <v>12</v>
      </c>
      <c r="J265">
        <v>902</v>
      </c>
      <c r="K265">
        <v>2230000</v>
      </c>
      <c r="L265">
        <v>242</v>
      </c>
      <c r="O265">
        <v>117209</v>
      </c>
    </row>
    <row r="266" spans="1:15">
      <c r="A266">
        <v>265</v>
      </c>
      <c r="B266">
        <v>3</v>
      </c>
      <c r="C266">
        <v>65</v>
      </c>
      <c r="D266" t="s">
        <v>368</v>
      </c>
      <c r="E266" t="s">
        <v>369</v>
      </c>
      <c r="G266">
        <v>126135</v>
      </c>
      <c r="H266">
        <v>8</v>
      </c>
      <c r="I266">
        <v>12</v>
      </c>
      <c r="J266">
        <v>916</v>
      </c>
      <c r="K266">
        <v>2270000</v>
      </c>
      <c r="L266">
        <v>246</v>
      </c>
      <c r="O266">
        <v>119726</v>
      </c>
    </row>
    <row r="267" spans="1:15">
      <c r="A267">
        <v>266</v>
      </c>
      <c r="B267">
        <v>3</v>
      </c>
      <c r="C267">
        <v>66</v>
      </c>
      <c r="D267" t="s">
        <v>370</v>
      </c>
      <c r="E267" t="s">
        <v>371</v>
      </c>
      <c r="G267">
        <v>128865</v>
      </c>
      <c r="H267">
        <v>8</v>
      </c>
      <c r="I267">
        <v>12</v>
      </c>
      <c r="J267">
        <v>930</v>
      </c>
      <c r="K267">
        <v>2310000</v>
      </c>
      <c r="L267">
        <v>250</v>
      </c>
      <c r="O267">
        <v>122243</v>
      </c>
    </row>
    <row r="268" spans="1:15">
      <c r="A268">
        <v>267</v>
      </c>
      <c r="B268">
        <v>3</v>
      </c>
      <c r="C268">
        <v>67</v>
      </c>
      <c r="D268" t="s">
        <v>372</v>
      </c>
      <c r="E268" t="s">
        <v>373</v>
      </c>
      <c r="G268">
        <v>131595</v>
      </c>
      <c r="H268">
        <v>8</v>
      </c>
      <c r="I268">
        <v>12</v>
      </c>
      <c r="J268">
        <v>944</v>
      </c>
      <c r="K268">
        <v>2350000</v>
      </c>
      <c r="L268">
        <v>254</v>
      </c>
      <c r="O268">
        <v>124760</v>
      </c>
    </row>
    <row r="269" spans="1:15">
      <c r="A269">
        <v>268</v>
      </c>
      <c r="B269">
        <v>3</v>
      </c>
      <c r="C269">
        <v>68</v>
      </c>
      <c r="D269" t="s">
        <v>374</v>
      </c>
      <c r="E269" t="s">
        <v>375</v>
      </c>
      <c r="G269">
        <v>134325</v>
      </c>
      <c r="H269">
        <v>8</v>
      </c>
      <c r="I269">
        <v>12</v>
      </c>
      <c r="J269">
        <v>958</v>
      </c>
      <c r="K269">
        <v>2390000</v>
      </c>
      <c r="L269">
        <v>258</v>
      </c>
      <c r="O269">
        <v>127277</v>
      </c>
    </row>
    <row r="270" spans="1:15">
      <c r="A270">
        <v>269</v>
      </c>
      <c r="B270">
        <v>3</v>
      </c>
      <c r="C270">
        <v>69</v>
      </c>
      <c r="D270" t="s">
        <v>376</v>
      </c>
      <c r="E270" t="s">
        <v>377</v>
      </c>
      <c r="G270">
        <v>137055</v>
      </c>
      <c r="H270">
        <v>8</v>
      </c>
      <c r="I270">
        <v>12</v>
      </c>
      <c r="J270">
        <v>972</v>
      </c>
      <c r="K270">
        <v>2430000</v>
      </c>
      <c r="L270">
        <v>262</v>
      </c>
      <c r="O270">
        <v>129794</v>
      </c>
    </row>
    <row r="271" spans="1:15">
      <c r="A271">
        <v>270</v>
      </c>
      <c r="B271">
        <v>3</v>
      </c>
      <c r="C271">
        <v>70</v>
      </c>
      <c r="D271" t="s">
        <v>378</v>
      </c>
      <c r="E271" t="s">
        <v>379</v>
      </c>
      <c r="G271">
        <v>139785</v>
      </c>
      <c r="H271">
        <v>8</v>
      </c>
      <c r="I271">
        <v>12</v>
      </c>
      <c r="J271">
        <v>986</v>
      </c>
      <c r="K271">
        <v>2470000</v>
      </c>
      <c r="L271">
        <v>266</v>
      </c>
      <c r="O271">
        <v>132311</v>
      </c>
    </row>
    <row r="272" spans="1:15">
      <c r="A272">
        <v>271</v>
      </c>
      <c r="B272">
        <v>3</v>
      </c>
      <c r="C272">
        <v>71</v>
      </c>
      <c r="D272" t="s">
        <v>380</v>
      </c>
      <c r="E272" t="s">
        <v>381</v>
      </c>
      <c r="G272">
        <v>142515</v>
      </c>
      <c r="H272">
        <v>8</v>
      </c>
      <c r="I272">
        <v>12</v>
      </c>
      <c r="J272">
        <v>1000</v>
      </c>
      <c r="K272">
        <v>2510000</v>
      </c>
      <c r="L272">
        <v>270</v>
      </c>
      <c r="O272">
        <v>134828</v>
      </c>
    </row>
    <row r="273" spans="1:15">
      <c r="A273">
        <v>272</v>
      </c>
      <c r="B273">
        <v>3</v>
      </c>
      <c r="C273">
        <v>72</v>
      </c>
      <c r="D273" t="s">
        <v>382</v>
      </c>
      <c r="E273" t="s">
        <v>383</v>
      </c>
      <c r="G273">
        <v>145245</v>
      </c>
      <c r="H273">
        <v>8</v>
      </c>
      <c r="I273">
        <v>12</v>
      </c>
      <c r="J273">
        <v>1014</v>
      </c>
      <c r="K273">
        <v>2550000</v>
      </c>
      <c r="L273">
        <v>274</v>
      </c>
      <c r="O273">
        <v>137345</v>
      </c>
    </row>
    <row r="274" spans="1:15">
      <c r="A274">
        <v>273</v>
      </c>
      <c r="B274">
        <v>3</v>
      </c>
      <c r="C274">
        <v>73</v>
      </c>
      <c r="D274" t="s">
        <v>384</v>
      </c>
      <c r="E274" t="s">
        <v>385</v>
      </c>
      <c r="G274">
        <v>147975</v>
      </c>
      <c r="H274">
        <v>8</v>
      </c>
      <c r="I274">
        <v>12</v>
      </c>
      <c r="J274">
        <v>1028</v>
      </c>
      <c r="K274">
        <v>2590000</v>
      </c>
      <c r="L274">
        <v>278</v>
      </c>
      <c r="O274">
        <v>139862</v>
      </c>
    </row>
    <row r="275" spans="1:15">
      <c r="A275">
        <v>274</v>
      </c>
      <c r="B275">
        <v>3</v>
      </c>
      <c r="C275">
        <v>74</v>
      </c>
      <c r="D275" t="s">
        <v>386</v>
      </c>
      <c r="E275" t="s">
        <v>387</v>
      </c>
      <c r="G275">
        <v>150705</v>
      </c>
      <c r="H275">
        <v>8</v>
      </c>
      <c r="I275">
        <v>12</v>
      </c>
      <c r="J275">
        <v>1042</v>
      </c>
      <c r="K275">
        <v>2630000</v>
      </c>
      <c r="L275">
        <v>282</v>
      </c>
      <c r="O275">
        <v>142379</v>
      </c>
    </row>
    <row r="276" spans="1:15">
      <c r="A276">
        <v>275</v>
      </c>
      <c r="B276">
        <v>3</v>
      </c>
      <c r="C276">
        <v>75</v>
      </c>
      <c r="D276" t="s">
        <v>388</v>
      </c>
      <c r="E276" t="s">
        <v>389</v>
      </c>
      <c r="G276">
        <v>153435</v>
      </c>
      <c r="H276">
        <v>8</v>
      </c>
      <c r="I276">
        <v>12</v>
      </c>
      <c r="J276">
        <v>1056</v>
      </c>
      <c r="K276">
        <v>2670000</v>
      </c>
      <c r="L276">
        <v>286</v>
      </c>
      <c r="O276">
        <v>144896</v>
      </c>
    </row>
    <row r="277" spans="1:15">
      <c r="A277">
        <v>276</v>
      </c>
      <c r="B277">
        <v>3</v>
      </c>
      <c r="C277">
        <v>76</v>
      </c>
      <c r="D277" t="s">
        <v>390</v>
      </c>
      <c r="E277" t="s">
        <v>391</v>
      </c>
      <c r="G277">
        <v>156165</v>
      </c>
      <c r="H277">
        <v>8</v>
      </c>
      <c r="I277">
        <v>12</v>
      </c>
      <c r="J277">
        <v>1070</v>
      </c>
      <c r="K277">
        <v>2710000</v>
      </c>
      <c r="L277">
        <v>290</v>
      </c>
      <c r="O277">
        <v>147413</v>
      </c>
    </row>
    <row r="278" spans="1:15">
      <c r="A278">
        <v>277</v>
      </c>
      <c r="B278">
        <v>3</v>
      </c>
      <c r="C278">
        <v>77</v>
      </c>
      <c r="D278" t="s">
        <v>392</v>
      </c>
      <c r="E278" t="s">
        <v>393</v>
      </c>
      <c r="G278">
        <v>158895</v>
      </c>
      <c r="H278">
        <v>8</v>
      </c>
      <c r="I278">
        <v>12</v>
      </c>
      <c r="J278">
        <v>1084</v>
      </c>
      <c r="K278">
        <v>2750000</v>
      </c>
      <c r="L278">
        <v>294</v>
      </c>
      <c r="O278">
        <v>149930</v>
      </c>
    </row>
    <row r="279" spans="1:15">
      <c r="A279">
        <v>278</v>
      </c>
      <c r="B279">
        <v>3</v>
      </c>
      <c r="C279">
        <v>78</v>
      </c>
      <c r="D279" t="s">
        <v>394</v>
      </c>
      <c r="E279" t="s">
        <v>395</v>
      </c>
      <c r="G279">
        <v>161625</v>
      </c>
      <c r="H279">
        <v>8</v>
      </c>
      <c r="I279">
        <v>12</v>
      </c>
      <c r="J279">
        <v>1098</v>
      </c>
      <c r="K279">
        <v>2790000</v>
      </c>
      <c r="L279">
        <v>298</v>
      </c>
      <c r="O279">
        <v>152447</v>
      </c>
    </row>
    <row r="280" spans="1:15">
      <c r="A280">
        <v>279</v>
      </c>
      <c r="B280">
        <v>3</v>
      </c>
      <c r="C280">
        <v>79</v>
      </c>
      <c r="D280" t="s">
        <v>396</v>
      </c>
      <c r="E280" t="s">
        <v>397</v>
      </c>
      <c r="G280">
        <v>164355</v>
      </c>
      <c r="H280">
        <v>8</v>
      </c>
      <c r="I280">
        <v>12</v>
      </c>
      <c r="J280">
        <v>1112</v>
      </c>
      <c r="K280">
        <v>2830000</v>
      </c>
      <c r="L280">
        <v>302</v>
      </c>
      <c r="O280">
        <v>154964</v>
      </c>
    </row>
    <row r="281" spans="1:15">
      <c r="A281">
        <v>280</v>
      </c>
      <c r="B281">
        <v>3</v>
      </c>
      <c r="C281">
        <v>80</v>
      </c>
      <c r="D281" t="s">
        <v>398</v>
      </c>
      <c r="E281" t="s">
        <v>399</v>
      </c>
      <c r="G281">
        <v>167085</v>
      </c>
      <c r="H281">
        <v>8</v>
      </c>
      <c r="I281">
        <v>12</v>
      </c>
      <c r="J281">
        <v>1126</v>
      </c>
      <c r="K281">
        <v>2870000</v>
      </c>
      <c r="L281">
        <v>306</v>
      </c>
      <c r="O281">
        <v>157481</v>
      </c>
    </row>
    <row r="282" spans="1:15">
      <c r="A282">
        <v>281</v>
      </c>
      <c r="B282">
        <v>3</v>
      </c>
      <c r="C282">
        <v>81</v>
      </c>
      <c r="D282" t="s">
        <v>400</v>
      </c>
      <c r="E282" t="s">
        <v>401</v>
      </c>
      <c r="G282">
        <v>169815</v>
      </c>
      <c r="H282">
        <v>8</v>
      </c>
      <c r="I282">
        <v>12</v>
      </c>
      <c r="J282">
        <v>1140</v>
      </c>
      <c r="K282">
        <v>2910000</v>
      </c>
      <c r="L282">
        <v>310</v>
      </c>
      <c r="O282">
        <v>159998</v>
      </c>
    </row>
    <row r="283" spans="1:15">
      <c r="A283">
        <v>282</v>
      </c>
      <c r="B283">
        <v>3</v>
      </c>
      <c r="C283">
        <v>82</v>
      </c>
      <c r="D283" t="s">
        <v>402</v>
      </c>
      <c r="E283" t="s">
        <v>403</v>
      </c>
      <c r="G283">
        <v>172545</v>
      </c>
      <c r="H283">
        <v>8</v>
      </c>
      <c r="I283">
        <v>12</v>
      </c>
      <c r="J283">
        <v>1154</v>
      </c>
      <c r="K283">
        <v>2950000</v>
      </c>
      <c r="L283">
        <v>314</v>
      </c>
      <c r="O283">
        <v>162515</v>
      </c>
    </row>
    <row r="284" spans="1:15">
      <c r="A284">
        <v>283</v>
      </c>
      <c r="B284">
        <v>3</v>
      </c>
      <c r="C284">
        <v>83</v>
      </c>
      <c r="D284" t="s">
        <v>404</v>
      </c>
      <c r="E284" t="s">
        <v>405</v>
      </c>
      <c r="G284">
        <v>175275</v>
      </c>
      <c r="H284">
        <v>8</v>
      </c>
      <c r="I284">
        <v>12</v>
      </c>
      <c r="J284">
        <v>1168</v>
      </c>
      <c r="K284">
        <v>2990000</v>
      </c>
      <c r="L284">
        <v>318</v>
      </c>
      <c r="O284">
        <v>165032</v>
      </c>
    </row>
    <row r="285" spans="1:15">
      <c r="A285">
        <v>284</v>
      </c>
      <c r="B285">
        <v>3</v>
      </c>
      <c r="C285">
        <v>84</v>
      </c>
      <c r="D285" t="s">
        <v>406</v>
      </c>
      <c r="E285" t="s">
        <v>407</v>
      </c>
      <c r="G285">
        <v>178005</v>
      </c>
      <c r="H285">
        <v>8</v>
      </c>
      <c r="I285">
        <v>12</v>
      </c>
      <c r="J285">
        <v>1182</v>
      </c>
      <c r="K285">
        <v>3030000</v>
      </c>
      <c r="L285">
        <v>322</v>
      </c>
      <c r="O285">
        <v>167549</v>
      </c>
    </row>
    <row r="286" spans="1:15">
      <c r="A286">
        <v>285</v>
      </c>
      <c r="B286">
        <v>3</v>
      </c>
      <c r="C286">
        <v>85</v>
      </c>
      <c r="D286" t="s">
        <v>408</v>
      </c>
      <c r="E286" t="s">
        <v>409</v>
      </c>
      <c r="G286">
        <v>180735</v>
      </c>
      <c r="H286">
        <v>8</v>
      </c>
      <c r="I286">
        <v>12</v>
      </c>
      <c r="J286">
        <v>1196</v>
      </c>
      <c r="K286">
        <v>3070000</v>
      </c>
      <c r="L286">
        <v>326</v>
      </c>
      <c r="O286">
        <v>170066</v>
      </c>
    </row>
    <row r="287" spans="1:15">
      <c r="A287">
        <v>286</v>
      </c>
      <c r="B287">
        <v>3</v>
      </c>
      <c r="C287">
        <v>86</v>
      </c>
      <c r="D287" t="s">
        <v>410</v>
      </c>
      <c r="E287" t="s">
        <v>411</v>
      </c>
      <c r="G287">
        <v>183465</v>
      </c>
      <c r="H287">
        <v>8</v>
      </c>
      <c r="I287">
        <v>12</v>
      </c>
      <c r="J287">
        <v>1210</v>
      </c>
      <c r="K287">
        <v>3110000</v>
      </c>
      <c r="L287">
        <v>330</v>
      </c>
      <c r="O287">
        <v>172583</v>
      </c>
    </row>
    <row r="288" spans="1:15">
      <c r="A288">
        <v>287</v>
      </c>
      <c r="B288">
        <v>3</v>
      </c>
      <c r="C288">
        <v>87</v>
      </c>
      <c r="D288" t="s">
        <v>412</v>
      </c>
      <c r="E288" t="s">
        <v>413</v>
      </c>
      <c r="G288">
        <v>186195</v>
      </c>
      <c r="H288">
        <v>8</v>
      </c>
      <c r="I288">
        <v>12</v>
      </c>
      <c r="J288">
        <v>1224</v>
      </c>
      <c r="K288">
        <v>3150000</v>
      </c>
      <c r="L288">
        <v>334</v>
      </c>
      <c r="O288">
        <v>175100</v>
      </c>
    </row>
    <row r="289" spans="1:15">
      <c r="A289">
        <v>288</v>
      </c>
      <c r="B289">
        <v>3</v>
      </c>
      <c r="C289">
        <v>88</v>
      </c>
      <c r="D289" t="s">
        <v>414</v>
      </c>
      <c r="E289" t="s">
        <v>415</v>
      </c>
      <c r="G289">
        <v>188925</v>
      </c>
      <c r="H289">
        <v>8</v>
      </c>
      <c r="I289">
        <v>12</v>
      </c>
      <c r="J289">
        <v>1238</v>
      </c>
      <c r="K289">
        <v>3190000</v>
      </c>
      <c r="L289">
        <v>338</v>
      </c>
      <c r="O289">
        <v>177617</v>
      </c>
    </row>
    <row r="290" spans="1:15">
      <c r="A290">
        <v>289</v>
      </c>
      <c r="B290">
        <v>3</v>
      </c>
      <c r="C290">
        <v>89</v>
      </c>
      <c r="D290" t="s">
        <v>416</v>
      </c>
      <c r="E290" t="s">
        <v>417</v>
      </c>
      <c r="G290">
        <v>191655</v>
      </c>
      <c r="H290">
        <v>8</v>
      </c>
      <c r="I290">
        <v>12</v>
      </c>
      <c r="J290">
        <v>1252</v>
      </c>
      <c r="K290">
        <v>3230000</v>
      </c>
      <c r="L290">
        <v>342</v>
      </c>
      <c r="O290">
        <v>180134</v>
      </c>
    </row>
    <row r="291" spans="1:15">
      <c r="A291">
        <v>290</v>
      </c>
      <c r="B291">
        <v>3</v>
      </c>
      <c r="C291">
        <v>90</v>
      </c>
      <c r="D291" t="s">
        <v>418</v>
      </c>
      <c r="E291" t="s">
        <v>419</v>
      </c>
      <c r="G291">
        <v>194385</v>
      </c>
      <c r="H291">
        <v>8</v>
      </c>
      <c r="I291">
        <v>12</v>
      </c>
      <c r="J291">
        <v>1266</v>
      </c>
      <c r="K291">
        <v>3270000</v>
      </c>
      <c r="L291">
        <v>346</v>
      </c>
      <c r="O291">
        <v>182651</v>
      </c>
    </row>
    <row r="292" spans="1:15">
      <c r="A292">
        <v>291</v>
      </c>
      <c r="B292">
        <v>3</v>
      </c>
      <c r="C292">
        <v>91</v>
      </c>
      <c r="D292" t="s">
        <v>420</v>
      </c>
      <c r="E292" t="s">
        <v>421</v>
      </c>
      <c r="G292">
        <v>197115</v>
      </c>
      <c r="H292">
        <v>8</v>
      </c>
      <c r="I292">
        <v>12</v>
      </c>
      <c r="J292">
        <v>1280</v>
      </c>
      <c r="K292">
        <v>3310000</v>
      </c>
      <c r="L292">
        <v>350</v>
      </c>
      <c r="O292">
        <v>185168</v>
      </c>
    </row>
    <row r="293" spans="1:15">
      <c r="A293">
        <v>292</v>
      </c>
      <c r="B293">
        <v>3</v>
      </c>
      <c r="C293">
        <v>92</v>
      </c>
      <c r="D293" t="s">
        <v>422</v>
      </c>
      <c r="E293" t="s">
        <v>423</v>
      </c>
      <c r="G293">
        <v>199845</v>
      </c>
      <c r="H293">
        <v>8</v>
      </c>
      <c r="I293">
        <v>12</v>
      </c>
      <c r="J293">
        <v>1294</v>
      </c>
      <c r="K293">
        <v>3350000</v>
      </c>
      <c r="L293">
        <v>354</v>
      </c>
      <c r="O293">
        <v>187685</v>
      </c>
    </row>
    <row r="294" spans="1:15">
      <c r="A294">
        <v>293</v>
      </c>
      <c r="B294">
        <v>3</v>
      </c>
      <c r="C294">
        <v>93</v>
      </c>
      <c r="D294" t="s">
        <v>424</v>
      </c>
      <c r="E294" t="s">
        <v>425</v>
      </c>
      <c r="G294">
        <v>202575</v>
      </c>
      <c r="H294">
        <v>8</v>
      </c>
      <c r="I294">
        <v>12</v>
      </c>
      <c r="J294">
        <v>1308</v>
      </c>
      <c r="K294">
        <v>3390000</v>
      </c>
      <c r="L294">
        <v>358</v>
      </c>
      <c r="O294">
        <v>190202</v>
      </c>
    </row>
    <row r="295" spans="1:15">
      <c r="A295">
        <v>294</v>
      </c>
      <c r="B295">
        <v>3</v>
      </c>
      <c r="C295">
        <v>94</v>
      </c>
      <c r="D295" t="s">
        <v>426</v>
      </c>
      <c r="E295" t="s">
        <v>427</v>
      </c>
      <c r="G295">
        <v>205305</v>
      </c>
      <c r="H295">
        <v>8</v>
      </c>
      <c r="I295">
        <v>12</v>
      </c>
      <c r="J295">
        <v>1322</v>
      </c>
      <c r="K295">
        <v>3430000</v>
      </c>
      <c r="L295">
        <v>362</v>
      </c>
      <c r="O295">
        <v>192719</v>
      </c>
    </row>
    <row r="296" spans="1:15">
      <c r="A296">
        <v>295</v>
      </c>
      <c r="B296">
        <v>3</v>
      </c>
      <c r="C296">
        <v>95</v>
      </c>
      <c r="D296" t="s">
        <v>428</v>
      </c>
      <c r="E296" t="s">
        <v>429</v>
      </c>
      <c r="G296">
        <v>208035</v>
      </c>
      <c r="H296">
        <v>8</v>
      </c>
      <c r="I296">
        <v>12</v>
      </c>
      <c r="J296">
        <v>1336</v>
      </c>
      <c r="K296">
        <v>3470000</v>
      </c>
      <c r="L296">
        <v>366</v>
      </c>
      <c r="O296">
        <v>195236</v>
      </c>
    </row>
    <row r="297" spans="1:15">
      <c r="A297">
        <v>296</v>
      </c>
      <c r="B297">
        <v>3</v>
      </c>
      <c r="C297">
        <v>96</v>
      </c>
      <c r="D297" t="s">
        <v>430</v>
      </c>
      <c r="E297" t="s">
        <v>431</v>
      </c>
      <c r="G297">
        <v>210765</v>
      </c>
      <c r="H297">
        <v>8</v>
      </c>
      <c r="I297">
        <v>12</v>
      </c>
      <c r="J297">
        <v>1350</v>
      </c>
      <c r="K297">
        <v>3510000</v>
      </c>
      <c r="L297">
        <v>370</v>
      </c>
      <c r="O297">
        <v>197753</v>
      </c>
    </row>
    <row r="298" spans="1:15">
      <c r="A298">
        <v>297</v>
      </c>
      <c r="B298">
        <v>3</v>
      </c>
      <c r="C298">
        <v>97</v>
      </c>
      <c r="D298" t="s">
        <v>432</v>
      </c>
      <c r="E298" t="s">
        <v>433</v>
      </c>
      <c r="G298">
        <v>213495</v>
      </c>
      <c r="H298">
        <v>8</v>
      </c>
      <c r="I298">
        <v>12</v>
      </c>
      <c r="J298">
        <v>1364</v>
      </c>
      <c r="K298">
        <v>3550000</v>
      </c>
      <c r="L298">
        <v>374</v>
      </c>
      <c r="O298">
        <v>200270</v>
      </c>
    </row>
    <row r="299" spans="1:15">
      <c r="A299">
        <v>298</v>
      </c>
      <c r="B299">
        <v>3</v>
      </c>
      <c r="C299">
        <v>98</v>
      </c>
      <c r="D299" t="s">
        <v>434</v>
      </c>
      <c r="E299" t="s">
        <v>435</v>
      </c>
      <c r="G299">
        <v>216225</v>
      </c>
      <c r="H299">
        <v>8</v>
      </c>
      <c r="I299">
        <v>12</v>
      </c>
      <c r="J299">
        <v>1378</v>
      </c>
      <c r="K299">
        <v>3590000</v>
      </c>
      <c r="L299">
        <v>378</v>
      </c>
      <c r="O299">
        <v>202787</v>
      </c>
    </row>
    <row r="300" spans="1:15">
      <c r="A300">
        <v>299</v>
      </c>
      <c r="B300">
        <v>3</v>
      </c>
      <c r="C300">
        <v>99</v>
      </c>
      <c r="D300" t="s">
        <v>436</v>
      </c>
      <c r="E300" t="s">
        <v>437</v>
      </c>
      <c r="G300">
        <v>218955</v>
      </c>
      <c r="H300">
        <v>8</v>
      </c>
      <c r="I300">
        <v>12</v>
      </c>
      <c r="J300">
        <v>1392</v>
      </c>
      <c r="K300">
        <v>3630000</v>
      </c>
      <c r="L300">
        <v>382</v>
      </c>
      <c r="O300">
        <v>205304</v>
      </c>
    </row>
    <row r="301" spans="1:15">
      <c r="A301">
        <v>300</v>
      </c>
      <c r="B301">
        <v>3</v>
      </c>
      <c r="C301">
        <v>100</v>
      </c>
      <c r="D301" t="s">
        <v>438</v>
      </c>
      <c r="E301" t="s">
        <v>439</v>
      </c>
      <c r="G301">
        <v>221685</v>
      </c>
      <c r="H301">
        <v>8</v>
      </c>
      <c r="I301">
        <v>12</v>
      </c>
      <c r="J301">
        <v>1406</v>
      </c>
      <c r="K301">
        <v>3670000</v>
      </c>
      <c r="L301">
        <v>386</v>
      </c>
      <c r="N301">
        <v>1</v>
      </c>
      <c r="O301">
        <v>207821</v>
      </c>
    </row>
    <row r="302" spans="1:15">
      <c r="A302">
        <v>301</v>
      </c>
      <c r="B302">
        <v>4</v>
      </c>
      <c r="C302">
        <v>1</v>
      </c>
      <c r="D302" s="2" t="s">
        <v>233</v>
      </c>
      <c r="E302" s="2" t="s">
        <v>234</v>
      </c>
      <c r="G302" s="1">
        <v>70</v>
      </c>
      <c r="H302" s="1">
        <v>8</v>
      </c>
      <c r="I302" s="1">
        <v>12</v>
      </c>
      <c r="J302" s="1">
        <v>14</v>
      </c>
      <c r="K302" s="1">
        <v>5000</v>
      </c>
      <c r="L302">
        <v>2</v>
      </c>
      <c r="O302">
        <v>11</v>
      </c>
    </row>
    <row r="303" spans="1:15">
      <c r="A303">
        <v>302</v>
      </c>
      <c r="B303">
        <v>4</v>
      </c>
      <c r="C303">
        <v>2</v>
      </c>
      <c r="D303" s="2" t="s">
        <v>238</v>
      </c>
      <c r="E303" s="2" t="s">
        <v>239</v>
      </c>
      <c r="G303" s="1">
        <v>210</v>
      </c>
      <c r="H303" s="1">
        <v>8</v>
      </c>
      <c r="I303" s="1">
        <v>12</v>
      </c>
      <c r="J303" s="1">
        <v>28</v>
      </c>
      <c r="K303" s="1">
        <v>10000</v>
      </c>
      <c r="L303">
        <v>4</v>
      </c>
      <c r="M303" t="s">
        <v>440</v>
      </c>
      <c r="O303">
        <v>55</v>
      </c>
    </row>
    <row r="304" spans="1:15">
      <c r="A304">
        <v>303</v>
      </c>
      <c r="B304">
        <v>4</v>
      </c>
      <c r="C304">
        <v>3</v>
      </c>
      <c r="D304" s="2" t="s">
        <v>243</v>
      </c>
      <c r="E304" s="2" t="s">
        <v>244</v>
      </c>
      <c r="G304" s="1">
        <v>420</v>
      </c>
      <c r="H304" s="1">
        <v>8</v>
      </c>
      <c r="I304" s="1">
        <v>12</v>
      </c>
      <c r="J304" s="1">
        <v>42</v>
      </c>
      <c r="K304" s="1">
        <v>18000</v>
      </c>
      <c r="L304">
        <v>6</v>
      </c>
      <c r="M304" t="s">
        <v>441</v>
      </c>
      <c r="O304">
        <v>144</v>
      </c>
    </row>
    <row r="305" spans="1:15">
      <c r="A305">
        <v>304</v>
      </c>
      <c r="B305">
        <v>4</v>
      </c>
      <c r="C305">
        <v>4</v>
      </c>
      <c r="D305" s="2" t="s">
        <v>246</v>
      </c>
      <c r="E305" s="2" t="s">
        <v>247</v>
      </c>
      <c r="G305" s="1">
        <v>710</v>
      </c>
      <c r="H305" s="1">
        <v>8</v>
      </c>
      <c r="I305" s="1">
        <v>12</v>
      </c>
      <c r="J305" s="1">
        <v>58</v>
      </c>
      <c r="K305" s="1">
        <v>28000</v>
      </c>
      <c r="L305">
        <v>8</v>
      </c>
      <c r="O305">
        <v>285</v>
      </c>
    </row>
    <row r="306" spans="1:15">
      <c r="A306">
        <v>305</v>
      </c>
      <c r="B306">
        <v>4</v>
      </c>
      <c r="C306">
        <v>5</v>
      </c>
      <c r="D306" s="2" t="s">
        <v>249</v>
      </c>
      <c r="E306" s="2" t="s">
        <v>250</v>
      </c>
      <c r="G306" s="1">
        <v>1070</v>
      </c>
      <c r="H306" s="1">
        <v>8</v>
      </c>
      <c r="I306" s="1">
        <v>12</v>
      </c>
      <c r="J306" s="1">
        <v>72</v>
      </c>
      <c r="K306" s="1">
        <v>40000</v>
      </c>
      <c r="L306">
        <v>10</v>
      </c>
      <c r="O306">
        <v>473</v>
      </c>
    </row>
    <row r="307" spans="1:15">
      <c r="A307">
        <v>306</v>
      </c>
      <c r="B307">
        <v>4</v>
      </c>
      <c r="C307">
        <v>6</v>
      </c>
      <c r="D307" s="2" t="s">
        <v>251</v>
      </c>
      <c r="E307" s="2" t="s">
        <v>252</v>
      </c>
      <c r="G307" s="1">
        <v>1490</v>
      </c>
      <c r="H307" s="1">
        <v>8</v>
      </c>
      <c r="I307" s="1">
        <v>12</v>
      </c>
      <c r="J307" s="1">
        <v>84</v>
      </c>
      <c r="K307" s="1">
        <v>54000</v>
      </c>
      <c r="L307">
        <v>13</v>
      </c>
      <c r="O307">
        <v>724</v>
      </c>
    </row>
    <row r="308" spans="1:15">
      <c r="A308">
        <v>307</v>
      </c>
      <c r="B308">
        <v>4</v>
      </c>
      <c r="C308">
        <v>7</v>
      </c>
      <c r="D308" s="2" t="s">
        <v>253</v>
      </c>
      <c r="E308" s="2" t="s">
        <v>254</v>
      </c>
      <c r="G308" s="1">
        <v>1990</v>
      </c>
      <c r="H308" s="1">
        <v>8</v>
      </c>
      <c r="I308" s="1">
        <v>12</v>
      </c>
      <c r="J308" s="1">
        <v>100</v>
      </c>
      <c r="K308" s="1">
        <v>70000</v>
      </c>
      <c r="L308">
        <v>16</v>
      </c>
      <c r="O308">
        <v>1076</v>
      </c>
    </row>
    <row r="309" spans="1:15">
      <c r="A309">
        <v>308</v>
      </c>
      <c r="B309">
        <v>4</v>
      </c>
      <c r="C309">
        <v>8</v>
      </c>
      <c r="D309" s="2" t="s">
        <v>255</v>
      </c>
      <c r="E309" s="2" t="s">
        <v>256</v>
      </c>
      <c r="G309" s="1">
        <v>2560</v>
      </c>
      <c r="H309" s="1">
        <v>8</v>
      </c>
      <c r="I309" s="1">
        <v>12</v>
      </c>
      <c r="J309" s="1">
        <v>114</v>
      </c>
      <c r="K309" s="1">
        <v>88000</v>
      </c>
      <c r="L309">
        <v>19</v>
      </c>
      <c r="O309">
        <v>1506</v>
      </c>
    </row>
    <row r="310" spans="1:15">
      <c r="A310">
        <v>309</v>
      </c>
      <c r="B310">
        <v>4</v>
      </c>
      <c r="C310">
        <v>9</v>
      </c>
      <c r="D310" s="2" t="s">
        <v>257</v>
      </c>
      <c r="E310" s="2" t="s">
        <v>258</v>
      </c>
      <c r="G310" s="1">
        <v>3200</v>
      </c>
      <c r="H310" s="1">
        <v>8</v>
      </c>
      <c r="I310" s="1">
        <v>12</v>
      </c>
      <c r="J310" s="1">
        <v>128</v>
      </c>
      <c r="K310" s="1">
        <v>100000</v>
      </c>
      <c r="L310">
        <v>22</v>
      </c>
      <c r="O310">
        <v>1992</v>
      </c>
    </row>
    <row r="311" spans="1:15">
      <c r="A311">
        <v>310</v>
      </c>
      <c r="B311">
        <v>4</v>
      </c>
      <c r="C311">
        <v>10</v>
      </c>
      <c r="D311" s="2" t="s">
        <v>259</v>
      </c>
      <c r="E311" s="2" t="s">
        <v>260</v>
      </c>
      <c r="G311" s="1">
        <v>3910</v>
      </c>
      <c r="H311" s="1">
        <v>8</v>
      </c>
      <c r="I311" s="1">
        <v>12</v>
      </c>
      <c r="J311" s="1">
        <v>142</v>
      </c>
      <c r="K311" s="1">
        <v>130000</v>
      </c>
      <c r="L311">
        <v>26</v>
      </c>
      <c r="O311">
        <v>2602</v>
      </c>
    </row>
    <row r="312" spans="1:15">
      <c r="A312">
        <v>311</v>
      </c>
      <c r="B312">
        <v>4</v>
      </c>
      <c r="C312">
        <v>11</v>
      </c>
      <c r="D312" s="2" t="s">
        <v>261</v>
      </c>
      <c r="E312" s="2" t="s">
        <v>262</v>
      </c>
      <c r="G312" s="1">
        <v>4690</v>
      </c>
      <c r="H312" s="1">
        <v>8</v>
      </c>
      <c r="I312" s="1">
        <v>12</v>
      </c>
      <c r="J312" s="1">
        <v>156</v>
      </c>
      <c r="K312" s="1">
        <v>150000</v>
      </c>
      <c r="L312">
        <v>30</v>
      </c>
      <c r="O312">
        <v>3348</v>
      </c>
    </row>
    <row r="313" spans="1:15">
      <c r="A313">
        <v>312</v>
      </c>
      <c r="B313">
        <v>4</v>
      </c>
      <c r="C313">
        <v>12</v>
      </c>
      <c r="D313" s="2" t="s">
        <v>263</v>
      </c>
      <c r="E313" s="2" t="s">
        <v>264</v>
      </c>
      <c r="G313" s="1">
        <v>5540</v>
      </c>
      <c r="H313" s="1">
        <v>8</v>
      </c>
      <c r="I313" s="1">
        <v>12</v>
      </c>
      <c r="J313" s="1">
        <v>170</v>
      </c>
      <c r="K313" s="1">
        <v>180000</v>
      </c>
      <c r="L313">
        <v>34</v>
      </c>
      <c r="O313">
        <v>4184</v>
      </c>
    </row>
    <row r="314" spans="1:15">
      <c r="A314">
        <v>313</v>
      </c>
      <c r="B314">
        <v>4</v>
      </c>
      <c r="C314">
        <v>13</v>
      </c>
      <c r="D314" s="2" t="s">
        <v>265</v>
      </c>
      <c r="E314" s="2" t="s">
        <v>266</v>
      </c>
      <c r="G314" s="1">
        <v>6470</v>
      </c>
      <c r="H314" s="1">
        <v>8</v>
      </c>
      <c r="I314" s="1">
        <v>12</v>
      </c>
      <c r="J314" s="1">
        <v>186</v>
      </c>
      <c r="K314" s="1">
        <v>200000</v>
      </c>
      <c r="L314">
        <v>38</v>
      </c>
      <c r="O314">
        <v>5139</v>
      </c>
    </row>
    <row r="315" spans="1:15">
      <c r="A315">
        <v>314</v>
      </c>
      <c r="B315">
        <v>4</v>
      </c>
      <c r="C315">
        <v>14</v>
      </c>
      <c r="D315" s="2" t="s">
        <v>267</v>
      </c>
      <c r="E315" s="2" t="s">
        <v>268</v>
      </c>
      <c r="G315" s="1">
        <v>7470</v>
      </c>
      <c r="H315" s="1">
        <v>8</v>
      </c>
      <c r="I315" s="1">
        <v>12</v>
      </c>
      <c r="J315" s="1">
        <v>200</v>
      </c>
      <c r="K315" s="1">
        <v>230000</v>
      </c>
      <c r="L315">
        <v>42</v>
      </c>
      <c r="O315">
        <v>6187</v>
      </c>
    </row>
    <row r="316" spans="1:15">
      <c r="A316">
        <v>315</v>
      </c>
      <c r="B316">
        <v>4</v>
      </c>
      <c r="C316">
        <v>15</v>
      </c>
      <c r="D316" s="2" t="s">
        <v>269</v>
      </c>
      <c r="E316" s="2" t="s">
        <v>270</v>
      </c>
      <c r="G316" s="1">
        <v>8540</v>
      </c>
      <c r="H316" s="1">
        <v>8</v>
      </c>
      <c r="I316" s="1">
        <v>12</v>
      </c>
      <c r="J316" s="1">
        <v>214</v>
      </c>
      <c r="K316" s="1">
        <v>270000</v>
      </c>
      <c r="L316">
        <v>46</v>
      </c>
      <c r="O316">
        <v>7297</v>
      </c>
    </row>
    <row r="317" spans="1:15">
      <c r="A317">
        <v>316</v>
      </c>
      <c r="B317">
        <v>4</v>
      </c>
      <c r="C317">
        <v>16</v>
      </c>
      <c r="D317" s="2" t="s">
        <v>271</v>
      </c>
      <c r="E317" s="2" t="s">
        <v>272</v>
      </c>
      <c r="G317" s="1">
        <v>9680</v>
      </c>
      <c r="H317" s="1">
        <v>8</v>
      </c>
      <c r="I317" s="1">
        <v>12</v>
      </c>
      <c r="J317" s="1">
        <v>228</v>
      </c>
      <c r="K317" s="1">
        <v>310000</v>
      </c>
      <c r="L317">
        <v>50</v>
      </c>
      <c r="O317">
        <v>8497</v>
      </c>
    </row>
    <row r="318" spans="1:15">
      <c r="A318">
        <v>317</v>
      </c>
      <c r="B318">
        <v>4</v>
      </c>
      <c r="C318">
        <v>17</v>
      </c>
      <c r="D318" s="2" t="s">
        <v>273</v>
      </c>
      <c r="E318" s="2" t="s">
        <v>274</v>
      </c>
      <c r="G318" s="1">
        <v>10890</v>
      </c>
      <c r="H318" s="1">
        <v>8</v>
      </c>
      <c r="I318" s="1">
        <v>12</v>
      </c>
      <c r="J318" s="1">
        <v>242</v>
      </c>
      <c r="K318" s="1">
        <v>350000</v>
      </c>
      <c r="L318">
        <v>54</v>
      </c>
      <c r="O318">
        <v>9787</v>
      </c>
    </row>
    <row r="319" spans="1:15">
      <c r="A319">
        <v>318</v>
      </c>
      <c r="B319">
        <v>4</v>
      </c>
      <c r="C319">
        <v>18</v>
      </c>
      <c r="D319" s="2" t="s">
        <v>275</v>
      </c>
      <c r="E319" s="2" t="s">
        <v>276</v>
      </c>
      <c r="G319" s="1">
        <v>12170</v>
      </c>
      <c r="H319" s="1">
        <v>8</v>
      </c>
      <c r="I319" s="1">
        <v>12</v>
      </c>
      <c r="J319" s="1">
        <v>256</v>
      </c>
      <c r="K319" s="1">
        <v>390000</v>
      </c>
      <c r="L319">
        <v>58</v>
      </c>
      <c r="O319">
        <v>11166</v>
      </c>
    </row>
    <row r="320" spans="1:15">
      <c r="A320">
        <v>319</v>
      </c>
      <c r="B320">
        <v>4</v>
      </c>
      <c r="C320">
        <v>19</v>
      </c>
      <c r="D320" s="2" t="s">
        <v>277</v>
      </c>
      <c r="E320" s="2" t="s">
        <v>278</v>
      </c>
      <c r="G320" s="1">
        <v>13520</v>
      </c>
      <c r="H320" s="1">
        <v>8</v>
      </c>
      <c r="I320" s="1">
        <v>12</v>
      </c>
      <c r="J320" s="1">
        <v>270</v>
      </c>
      <c r="K320" s="1">
        <v>430000</v>
      </c>
      <c r="L320">
        <v>62</v>
      </c>
      <c r="O320">
        <v>12635</v>
      </c>
    </row>
    <row r="321" spans="1:15">
      <c r="A321">
        <v>320</v>
      </c>
      <c r="B321">
        <v>4</v>
      </c>
      <c r="C321">
        <v>20</v>
      </c>
      <c r="D321" s="2" t="s">
        <v>279</v>
      </c>
      <c r="E321" s="2" t="s">
        <v>280</v>
      </c>
      <c r="G321" s="1">
        <v>14940</v>
      </c>
      <c r="H321" s="1">
        <v>8</v>
      </c>
      <c r="I321" s="1">
        <v>12</v>
      </c>
      <c r="J321" s="1">
        <v>284</v>
      </c>
      <c r="K321" s="1">
        <v>470000</v>
      </c>
      <c r="L321">
        <v>66</v>
      </c>
      <c r="O321">
        <v>14193</v>
      </c>
    </row>
    <row r="322" spans="1:15">
      <c r="A322">
        <v>321</v>
      </c>
      <c r="B322">
        <v>4</v>
      </c>
      <c r="C322">
        <v>21</v>
      </c>
      <c r="D322" s="2" t="s">
        <v>281</v>
      </c>
      <c r="E322" s="2" t="s">
        <v>282</v>
      </c>
      <c r="G322" s="1">
        <v>16430</v>
      </c>
      <c r="H322" s="1">
        <v>8</v>
      </c>
      <c r="I322" s="1">
        <v>12</v>
      </c>
      <c r="J322" s="1">
        <v>298</v>
      </c>
      <c r="K322" s="1">
        <v>510000</v>
      </c>
      <c r="L322">
        <v>70</v>
      </c>
      <c r="O322">
        <v>15841</v>
      </c>
    </row>
    <row r="323" spans="1:15">
      <c r="A323">
        <v>322</v>
      </c>
      <c r="B323">
        <v>4</v>
      </c>
      <c r="C323">
        <v>22</v>
      </c>
      <c r="D323" s="2" t="s">
        <v>283</v>
      </c>
      <c r="E323" s="2" t="s">
        <v>284</v>
      </c>
      <c r="G323" s="1">
        <v>17990</v>
      </c>
      <c r="H323" s="1">
        <v>8</v>
      </c>
      <c r="I323" s="1">
        <v>12</v>
      </c>
      <c r="J323" s="1">
        <v>312</v>
      </c>
      <c r="K323" s="1">
        <v>550000</v>
      </c>
      <c r="L323">
        <v>74</v>
      </c>
      <c r="O323">
        <v>17579</v>
      </c>
    </row>
    <row r="324" spans="1:15">
      <c r="A324">
        <v>323</v>
      </c>
      <c r="B324">
        <v>4</v>
      </c>
      <c r="C324">
        <v>23</v>
      </c>
      <c r="D324" s="2" t="s">
        <v>285</v>
      </c>
      <c r="E324" s="2" t="s">
        <v>286</v>
      </c>
      <c r="G324" s="1">
        <v>19630</v>
      </c>
      <c r="H324" s="1">
        <v>8</v>
      </c>
      <c r="I324" s="1">
        <v>12</v>
      </c>
      <c r="J324" s="1">
        <v>328</v>
      </c>
      <c r="K324" s="1">
        <v>590000</v>
      </c>
      <c r="L324">
        <v>78</v>
      </c>
      <c r="O324">
        <v>19468</v>
      </c>
    </row>
    <row r="325" spans="1:15">
      <c r="A325">
        <v>324</v>
      </c>
      <c r="B325">
        <v>4</v>
      </c>
      <c r="C325">
        <v>24</v>
      </c>
      <c r="D325" s="2" t="s">
        <v>287</v>
      </c>
      <c r="E325" s="2" t="s">
        <v>288</v>
      </c>
      <c r="G325" s="1">
        <v>21340</v>
      </c>
      <c r="H325" s="1">
        <v>8</v>
      </c>
      <c r="I325" s="1">
        <v>12</v>
      </c>
      <c r="J325" s="1">
        <v>342</v>
      </c>
      <c r="K325" s="1">
        <v>630000</v>
      </c>
      <c r="L325">
        <v>82</v>
      </c>
      <c r="O325">
        <v>21450</v>
      </c>
    </row>
    <row r="326" spans="1:15">
      <c r="A326">
        <v>325</v>
      </c>
      <c r="B326">
        <v>4</v>
      </c>
      <c r="C326">
        <v>25</v>
      </c>
      <c r="D326" s="2" t="s">
        <v>289</v>
      </c>
      <c r="E326" s="2" t="s">
        <v>290</v>
      </c>
      <c r="G326" s="1">
        <v>23120</v>
      </c>
      <c r="H326" s="1">
        <v>8</v>
      </c>
      <c r="I326" s="1">
        <v>12</v>
      </c>
      <c r="J326" s="1">
        <v>356</v>
      </c>
      <c r="K326" s="1">
        <v>670000</v>
      </c>
      <c r="L326">
        <v>86</v>
      </c>
      <c r="O326">
        <v>23463</v>
      </c>
    </row>
    <row r="327" spans="1:15">
      <c r="A327">
        <v>326</v>
      </c>
      <c r="B327">
        <v>4</v>
      </c>
      <c r="C327">
        <v>26</v>
      </c>
      <c r="D327" s="2" t="s">
        <v>291</v>
      </c>
      <c r="E327" s="2" t="s">
        <v>292</v>
      </c>
      <c r="G327" s="1">
        <v>24970</v>
      </c>
      <c r="H327" s="1">
        <v>8</v>
      </c>
      <c r="I327" s="1">
        <v>12</v>
      </c>
      <c r="J327" s="1">
        <v>370</v>
      </c>
      <c r="K327" s="1">
        <v>710000</v>
      </c>
      <c r="L327">
        <v>90</v>
      </c>
      <c r="O327">
        <v>25566</v>
      </c>
    </row>
    <row r="328" spans="1:15">
      <c r="A328">
        <v>327</v>
      </c>
      <c r="B328">
        <v>4</v>
      </c>
      <c r="C328">
        <v>27</v>
      </c>
      <c r="D328" s="2" t="s">
        <v>293</v>
      </c>
      <c r="E328" s="2" t="s">
        <v>294</v>
      </c>
      <c r="G328" s="1">
        <v>26890</v>
      </c>
      <c r="H328" s="1">
        <v>8</v>
      </c>
      <c r="I328" s="1">
        <v>12</v>
      </c>
      <c r="J328" s="1">
        <v>384</v>
      </c>
      <c r="K328" s="1">
        <v>750000</v>
      </c>
      <c r="L328">
        <v>94</v>
      </c>
      <c r="O328">
        <v>27758</v>
      </c>
    </row>
    <row r="329" spans="1:15">
      <c r="A329">
        <v>328</v>
      </c>
      <c r="B329">
        <v>4</v>
      </c>
      <c r="C329">
        <v>28</v>
      </c>
      <c r="D329" s="2" t="s">
        <v>295</v>
      </c>
      <c r="E329" s="2" t="s">
        <v>296</v>
      </c>
      <c r="G329" s="1">
        <v>28880</v>
      </c>
      <c r="H329" s="1">
        <v>8</v>
      </c>
      <c r="I329" s="1">
        <v>12</v>
      </c>
      <c r="J329" s="1">
        <v>398</v>
      </c>
      <c r="K329" s="1">
        <v>790000</v>
      </c>
      <c r="L329">
        <v>98</v>
      </c>
      <c r="O329">
        <v>30039</v>
      </c>
    </row>
    <row r="330" spans="1:15">
      <c r="A330">
        <v>329</v>
      </c>
      <c r="B330">
        <v>4</v>
      </c>
      <c r="C330">
        <v>29</v>
      </c>
      <c r="D330" s="2" t="s">
        <v>297</v>
      </c>
      <c r="E330" s="2" t="s">
        <v>298</v>
      </c>
      <c r="G330" s="1">
        <v>30940</v>
      </c>
      <c r="H330" s="1">
        <v>8</v>
      </c>
      <c r="I330" s="1">
        <v>12</v>
      </c>
      <c r="J330" s="1">
        <v>412</v>
      </c>
      <c r="K330" s="1">
        <v>830000</v>
      </c>
      <c r="L330">
        <v>102</v>
      </c>
      <c r="O330">
        <v>32410</v>
      </c>
    </row>
    <row r="331" spans="1:15">
      <c r="A331">
        <v>330</v>
      </c>
      <c r="B331">
        <v>4</v>
      </c>
      <c r="C331">
        <v>30</v>
      </c>
      <c r="D331" s="2" t="s">
        <v>297</v>
      </c>
      <c r="E331" s="2" t="s">
        <v>299</v>
      </c>
      <c r="G331" s="1">
        <v>33070</v>
      </c>
      <c r="H331" s="1">
        <v>8</v>
      </c>
      <c r="I331" s="1">
        <v>12</v>
      </c>
      <c r="J331" s="1">
        <v>426</v>
      </c>
      <c r="K331" s="1">
        <v>870000</v>
      </c>
      <c r="L331">
        <v>106</v>
      </c>
      <c r="O331">
        <v>34871</v>
      </c>
    </row>
    <row r="332" spans="1:15">
      <c r="A332">
        <v>331</v>
      </c>
      <c r="B332">
        <v>4</v>
      </c>
      <c r="C332">
        <v>31</v>
      </c>
      <c r="D332" t="s">
        <v>300</v>
      </c>
      <c r="E332" t="s">
        <v>301</v>
      </c>
      <c r="G332" s="1">
        <v>35240</v>
      </c>
      <c r="H332" s="1">
        <v>8</v>
      </c>
      <c r="I332" s="1">
        <v>12</v>
      </c>
      <c r="J332" s="1">
        <v>440</v>
      </c>
      <c r="K332">
        <v>910000</v>
      </c>
      <c r="L332">
        <v>110</v>
      </c>
      <c r="O332">
        <v>36615</v>
      </c>
    </row>
    <row r="333" spans="1:15">
      <c r="A333">
        <v>332</v>
      </c>
      <c r="B333">
        <v>4</v>
      </c>
      <c r="C333">
        <v>32</v>
      </c>
      <c r="D333" t="s">
        <v>302</v>
      </c>
      <c r="E333" t="s">
        <v>303</v>
      </c>
      <c r="G333" s="1">
        <v>37480</v>
      </c>
      <c r="H333" s="1">
        <v>8</v>
      </c>
      <c r="I333" s="1">
        <v>12</v>
      </c>
      <c r="J333" s="1">
        <v>454</v>
      </c>
      <c r="K333">
        <v>950000</v>
      </c>
      <c r="L333">
        <v>114</v>
      </c>
      <c r="O333">
        <v>38446</v>
      </c>
    </row>
    <row r="334" spans="1:15">
      <c r="A334">
        <v>333</v>
      </c>
      <c r="B334">
        <v>4</v>
      </c>
      <c r="C334">
        <v>33</v>
      </c>
      <c r="D334" t="s">
        <v>304</v>
      </c>
      <c r="E334" t="s">
        <v>305</v>
      </c>
      <c r="G334" s="1">
        <v>39790</v>
      </c>
      <c r="H334" s="1">
        <v>8</v>
      </c>
      <c r="I334" s="1">
        <v>12</v>
      </c>
      <c r="J334" s="1">
        <v>468</v>
      </c>
      <c r="K334">
        <v>990000</v>
      </c>
      <c r="L334">
        <v>118</v>
      </c>
      <c r="O334">
        <v>40368</v>
      </c>
    </row>
    <row r="335" spans="1:15">
      <c r="A335">
        <v>334</v>
      </c>
      <c r="B335">
        <v>4</v>
      </c>
      <c r="C335">
        <v>34</v>
      </c>
      <c r="D335" t="s">
        <v>306</v>
      </c>
      <c r="E335" t="s">
        <v>307</v>
      </c>
      <c r="G335" s="1">
        <v>42170</v>
      </c>
      <c r="H335" s="1">
        <v>8</v>
      </c>
      <c r="I335" s="1">
        <v>12</v>
      </c>
      <c r="J335" s="1">
        <v>482</v>
      </c>
      <c r="K335">
        <v>1030000</v>
      </c>
      <c r="L335">
        <v>122</v>
      </c>
      <c r="O335">
        <v>42386</v>
      </c>
    </row>
    <row r="336" spans="1:15">
      <c r="A336">
        <v>335</v>
      </c>
      <c r="B336">
        <v>4</v>
      </c>
      <c r="C336">
        <v>35</v>
      </c>
      <c r="D336" t="s">
        <v>308</v>
      </c>
      <c r="E336" t="s">
        <v>309</v>
      </c>
      <c r="G336" s="1">
        <v>44620</v>
      </c>
      <c r="H336" s="1">
        <v>8</v>
      </c>
      <c r="I336" s="1">
        <v>12</v>
      </c>
      <c r="J336" s="1">
        <v>496</v>
      </c>
      <c r="K336">
        <v>1070000</v>
      </c>
      <c r="L336">
        <v>126</v>
      </c>
      <c r="O336">
        <v>44505</v>
      </c>
    </row>
    <row r="337" spans="1:15">
      <c r="A337">
        <v>336</v>
      </c>
      <c r="B337">
        <v>4</v>
      </c>
      <c r="C337">
        <v>36</v>
      </c>
      <c r="D337" t="s">
        <v>310</v>
      </c>
      <c r="E337" t="s">
        <v>311</v>
      </c>
      <c r="G337" s="1">
        <v>47140</v>
      </c>
      <c r="H337" s="1">
        <v>8</v>
      </c>
      <c r="I337" s="1">
        <v>12</v>
      </c>
      <c r="J337" s="1">
        <v>510</v>
      </c>
      <c r="K337">
        <v>1110000</v>
      </c>
      <c r="L337">
        <v>130</v>
      </c>
      <c r="O337">
        <v>46730</v>
      </c>
    </row>
    <row r="338" spans="1:15">
      <c r="A338">
        <v>337</v>
      </c>
      <c r="B338">
        <v>4</v>
      </c>
      <c r="C338">
        <v>37</v>
      </c>
      <c r="D338" t="s">
        <v>312</v>
      </c>
      <c r="E338" t="s">
        <v>313</v>
      </c>
      <c r="G338" s="1">
        <v>49730</v>
      </c>
      <c r="H338" s="1">
        <v>8</v>
      </c>
      <c r="I338" s="1">
        <v>12</v>
      </c>
      <c r="J338" s="1">
        <v>524</v>
      </c>
      <c r="K338">
        <v>1150000</v>
      </c>
      <c r="L338">
        <v>134</v>
      </c>
      <c r="O338">
        <v>49067</v>
      </c>
    </row>
    <row r="339" spans="1:15">
      <c r="A339">
        <v>338</v>
      </c>
      <c r="B339">
        <v>4</v>
      </c>
      <c r="C339">
        <v>38</v>
      </c>
      <c r="D339" t="s">
        <v>314</v>
      </c>
      <c r="E339" t="s">
        <v>315</v>
      </c>
      <c r="G339" s="1">
        <v>52390</v>
      </c>
      <c r="H339" s="1">
        <v>8</v>
      </c>
      <c r="I339" s="1">
        <v>12</v>
      </c>
      <c r="J339" s="1">
        <v>538</v>
      </c>
      <c r="K339">
        <v>1190000</v>
      </c>
      <c r="L339">
        <v>138</v>
      </c>
      <c r="O339">
        <v>51520</v>
      </c>
    </row>
    <row r="340" spans="1:15">
      <c r="A340">
        <v>339</v>
      </c>
      <c r="B340">
        <v>4</v>
      </c>
      <c r="C340">
        <v>39</v>
      </c>
      <c r="D340" t="s">
        <v>316</v>
      </c>
      <c r="E340" t="s">
        <v>317</v>
      </c>
      <c r="G340" s="1">
        <v>55120</v>
      </c>
      <c r="H340" s="1">
        <v>8</v>
      </c>
      <c r="I340" s="1">
        <v>12</v>
      </c>
      <c r="J340" s="1">
        <v>552</v>
      </c>
      <c r="K340">
        <v>1230000</v>
      </c>
      <c r="L340">
        <v>142</v>
      </c>
      <c r="O340">
        <v>54096</v>
      </c>
    </row>
    <row r="341" spans="1:15">
      <c r="A341">
        <v>340</v>
      </c>
      <c r="B341">
        <v>4</v>
      </c>
      <c r="C341">
        <v>40</v>
      </c>
      <c r="D341" t="s">
        <v>318</v>
      </c>
      <c r="E341" t="s">
        <v>319</v>
      </c>
      <c r="G341" s="1">
        <v>57920</v>
      </c>
      <c r="H341" s="1">
        <v>8</v>
      </c>
      <c r="I341" s="1">
        <v>12</v>
      </c>
      <c r="J341" s="1">
        <v>566</v>
      </c>
      <c r="K341">
        <v>1270000</v>
      </c>
      <c r="L341">
        <v>146</v>
      </c>
      <c r="O341">
        <v>56801</v>
      </c>
    </row>
    <row r="342" spans="1:15">
      <c r="A342">
        <v>341</v>
      </c>
      <c r="B342">
        <v>4</v>
      </c>
      <c r="C342">
        <v>41</v>
      </c>
      <c r="D342" t="s">
        <v>320</v>
      </c>
      <c r="E342" t="s">
        <v>321</v>
      </c>
      <c r="G342">
        <v>60615</v>
      </c>
      <c r="H342">
        <v>8</v>
      </c>
      <c r="I342">
        <v>12</v>
      </c>
      <c r="J342">
        <v>580</v>
      </c>
      <c r="K342">
        <v>1310000</v>
      </c>
      <c r="L342">
        <v>150</v>
      </c>
      <c r="O342">
        <v>59318</v>
      </c>
    </row>
    <row r="343" spans="1:15">
      <c r="A343">
        <v>342</v>
      </c>
      <c r="B343">
        <v>4</v>
      </c>
      <c r="C343">
        <v>42</v>
      </c>
      <c r="D343" t="s">
        <v>322</v>
      </c>
      <c r="E343" t="s">
        <v>323</v>
      </c>
      <c r="G343">
        <v>63345</v>
      </c>
      <c r="H343">
        <v>8</v>
      </c>
      <c r="I343">
        <v>12</v>
      </c>
      <c r="J343">
        <v>594</v>
      </c>
      <c r="K343">
        <v>1350000</v>
      </c>
      <c r="L343">
        <v>154</v>
      </c>
      <c r="O343">
        <v>61835</v>
      </c>
    </row>
    <row r="344" spans="1:15">
      <c r="A344">
        <v>343</v>
      </c>
      <c r="B344">
        <v>4</v>
      </c>
      <c r="C344">
        <v>43</v>
      </c>
      <c r="D344" t="s">
        <v>324</v>
      </c>
      <c r="E344" t="s">
        <v>325</v>
      </c>
      <c r="G344">
        <v>66075</v>
      </c>
      <c r="H344">
        <v>8</v>
      </c>
      <c r="I344">
        <v>12</v>
      </c>
      <c r="J344">
        <v>608</v>
      </c>
      <c r="K344">
        <v>1390000</v>
      </c>
      <c r="L344">
        <v>158</v>
      </c>
      <c r="O344">
        <v>64352</v>
      </c>
    </row>
    <row r="345" spans="1:15">
      <c r="A345">
        <v>344</v>
      </c>
      <c r="B345">
        <v>4</v>
      </c>
      <c r="C345">
        <v>44</v>
      </c>
      <c r="D345" t="s">
        <v>326</v>
      </c>
      <c r="E345" t="s">
        <v>327</v>
      </c>
      <c r="G345">
        <v>68805</v>
      </c>
      <c r="H345">
        <v>8</v>
      </c>
      <c r="I345">
        <v>12</v>
      </c>
      <c r="J345">
        <v>622</v>
      </c>
      <c r="K345">
        <v>1430000</v>
      </c>
      <c r="L345">
        <v>162</v>
      </c>
      <c r="O345">
        <v>66869</v>
      </c>
    </row>
    <row r="346" spans="1:15">
      <c r="A346">
        <v>345</v>
      </c>
      <c r="B346">
        <v>4</v>
      </c>
      <c r="C346">
        <v>45</v>
      </c>
      <c r="D346" t="s">
        <v>328</v>
      </c>
      <c r="E346" t="s">
        <v>329</v>
      </c>
      <c r="G346">
        <v>71535</v>
      </c>
      <c r="H346">
        <v>8</v>
      </c>
      <c r="I346">
        <v>12</v>
      </c>
      <c r="J346">
        <v>636</v>
      </c>
      <c r="K346">
        <v>1470000</v>
      </c>
      <c r="L346">
        <v>166</v>
      </c>
      <c r="O346">
        <v>69386</v>
      </c>
    </row>
    <row r="347" spans="1:15">
      <c r="A347">
        <v>346</v>
      </c>
      <c r="B347">
        <v>4</v>
      </c>
      <c r="C347">
        <v>46</v>
      </c>
      <c r="D347" t="s">
        <v>330</v>
      </c>
      <c r="E347" t="s">
        <v>331</v>
      </c>
      <c r="G347">
        <v>74265</v>
      </c>
      <c r="H347">
        <v>8</v>
      </c>
      <c r="I347">
        <v>12</v>
      </c>
      <c r="J347">
        <v>650</v>
      </c>
      <c r="K347">
        <v>1510000</v>
      </c>
      <c r="L347">
        <v>170</v>
      </c>
      <c r="O347">
        <v>71903</v>
      </c>
    </row>
    <row r="348" spans="1:15">
      <c r="A348">
        <v>347</v>
      </c>
      <c r="B348">
        <v>4</v>
      </c>
      <c r="C348">
        <v>47</v>
      </c>
      <c r="D348" t="s">
        <v>332</v>
      </c>
      <c r="E348" t="s">
        <v>333</v>
      </c>
      <c r="G348">
        <v>76995</v>
      </c>
      <c r="H348">
        <v>8</v>
      </c>
      <c r="I348">
        <v>12</v>
      </c>
      <c r="J348">
        <v>664</v>
      </c>
      <c r="K348">
        <v>1550000</v>
      </c>
      <c r="L348">
        <v>174</v>
      </c>
      <c r="O348">
        <v>74420</v>
      </c>
    </row>
    <row r="349" spans="1:15">
      <c r="A349">
        <v>348</v>
      </c>
      <c r="B349">
        <v>4</v>
      </c>
      <c r="C349">
        <v>48</v>
      </c>
      <c r="D349" t="s">
        <v>334</v>
      </c>
      <c r="E349" t="s">
        <v>335</v>
      </c>
      <c r="G349">
        <v>79725</v>
      </c>
      <c r="H349">
        <v>8</v>
      </c>
      <c r="I349">
        <v>12</v>
      </c>
      <c r="J349">
        <v>678</v>
      </c>
      <c r="K349">
        <v>1590000</v>
      </c>
      <c r="L349">
        <v>178</v>
      </c>
      <c r="O349">
        <v>76937</v>
      </c>
    </row>
    <row r="350" spans="1:15">
      <c r="A350">
        <v>349</v>
      </c>
      <c r="B350">
        <v>4</v>
      </c>
      <c r="C350">
        <v>49</v>
      </c>
      <c r="D350" t="s">
        <v>336</v>
      </c>
      <c r="E350" t="s">
        <v>337</v>
      </c>
      <c r="G350">
        <v>82455</v>
      </c>
      <c r="H350">
        <v>8</v>
      </c>
      <c r="I350">
        <v>12</v>
      </c>
      <c r="J350">
        <v>692</v>
      </c>
      <c r="K350">
        <v>1630000</v>
      </c>
      <c r="L350">
        <v>182</v>
      </c>
      <c r="O350">
        <v>79454</v>
      </c>
    </row>
    <row r="351" spans="1:15">
      <c r="A351">
        <v>350</v>
      </c>
      <c r="B351">
        <v>4</v>
      </c>
      <c r="C351">
        <v>50</v>
      </c>
      <c r="D351" t="s">
        <v>338</v>
      </c>
      <c r="E351" t="s">
        <v>339</v>
      </c>
      <c r="G351">
        <v>85185</v>
      </c>
      <c r="H351">
        <v>8</v>
      </c>
      <c r="I351">
        <v>12</v>
      </c>
      <c r="J351">
        <v>706</v>
      </c>
      <c r="K351">
        <v>1670000</v>
      </c>
      <c r="L351">
        <v>186</v>
      </c>
      <c r="O351">
        <v>81971</v>
      </c>
    </row>
    <row r="352" spans="1:15">
      <c r="A352">
        <v>351</v>
      </c>
      <c r="B352">
        <v>4</v>
      </c>
      <c r="C352">
        <v>51</v>
      </c>
      <c r="D352" t="s">
        <v>340</v>
      </c>
      <c r="E352" t="s">
        <v>341</v>
      </c>
      <c r="G352">
        <v>87915</v>
      </c>
      <c r="H352">
        <v>8</v>
      </c>
      <c r="I352">
        <v>12</v>
      </c>
      <c r="J352">
        <v>720</v>
      </c>
      <c r="K352">
        <v>1710000</v>
      </c>
      <c r="L352">
        <v>190</v>
      </c>
      <c r="O352">
        <v>84488</v>
      </c>
    </row>
    <row r="353" spans="1:15">
      <c r="A353">
        <v>352</v>
      </c>
      <c r="B353">
        <v>4</v>
      </c>
      <c r="C353">
        <v>52</v>
      </c>
      <c r="D353" t="s">
        <v>342</v>
      </c>
      <c r="E353" t="s">
        <v>343</v>
      </c>
      <c r="G353">
        <v>90645</v>
      </c>
      <c r="H353">
        <v>8</v>
      </c>
      <c r="I353">
        <v>12</v>
      </c>
      <c r="J353">
        <v>734</v>
      </c>
      <c r="K353">
        <v>1750000</v>
      </c>
      <c r="L353">
        <v>194</v>
      </c>
      <c r="O353">
        <v>87005</v>
      </c>
    </row>
    <row r="354" spans="1:15">
      <c r="A354">
        <v>353</v>
      </c>
      <c r="B354">
        <v>4</v>
      </c>
      <c r="C354">
        <v>53</v>
      </c>
      <c r="D354" t="s">
        <v>344</v>
      </c>
      <c r="E354" t="s">
        <v>345</v>
      </c>
      <c r="G354">
        <v>93375</v>
      </c>
      <c r="H354">
        <v>8</v>
      </c>
      <c r="I354">
        <v>12</v>
      </c>
      <c r="J354">
        <v>748</v>
      </c>
      <c r="K354">
        <v>1790000</v>
      </c>
      <c r="L354">
        <v>198</v>
      </c>
      <c r="O354">
        <v>89522</v>
      </c>
    </row>
    <row r="355" spans="1:15">
      <c r="A355">
        <v>354</v>
      </c>
      <c r="B355">
        <v>4</v>
      </c>
      <c r="C355">
        <v>54</v>
      </c>
      <c r="D355" t="s">
        <v>346</v>
      </c>
      <c r="E355" t="s">
        <v>347</v>
      </c>
      <c r="G355">
        <v>96105</v>
      </c>
      <c r="H355">
        <v>8</v>
      </c>
      <c r="I355">
        <v>12</v>
      </c>
      <c r="J355">
        <v>762</v>
      </c>
      <c r="K355">
        <v>1830000</v>
      </c>
      <c r="L355">
        <v>202</v>
      </c>
      <c r="O355">
        <v>92039</v>
      </c>
    </row>
    <row r="356" spans="1:15">
      <c r="A356">
        <v>355</v>
      </c>
      <c r="B356">
        <v>4</v>
      </c>
      <c r="C356">
        <v>55</v>
      </c>
      <c r="D356" t="s">
        <v>348</v>
      </c>
      <c r="E356" t="s">
        <v>349</v>
      </c>
      <c r="G356">
        <v>98835</v>
      </c>
      <c r="H356">
        <v>8</v>
      </c>
      <c r="I356">
        <v>12</v>
      </c>
      <c r="J356">
        <v>776</v>
      </c>
      <c r="K356">
        <v>1870000</v>
      </c>
      <c r="L356">
        <v>206</v>
      </c>
      <c r="O356">
        <v>94556</v>
      </c>
    </row>
    <row r="357" spans="1:15">
      <c r="A357">
        <v>356</v>
      </c>
      <c r="B357">
        <v>4</v>
      </c>
      <c r="C357">
        <v>56</v>
      </c>
      <c r="D357" t="s">
        <v>350</v>
      </c>
      <c r="E357" t="s">
        <v>351</v>
      </c>
      <c r="G357">
        <v>101565</v>
      </c>
      <c r="H357">
        <v>8</v>
      </c>
      <c r="I357">
        <v>12</v>
      </c>
      <c r="J357">
        <v>790</v>
      </c>
      <c r="K357">
        <v>1910000</v>
      </c>
      <c r="L357">
        <v>210</v>
      </c>
      <c r="O357">
        <v>97073</v>
      </c>
    </row>
    <row r="358" spans="1:15">
      <c r="A358">
        <v>357</v>
      </c>
      <c r="B358">
        <v>4</v>
      </c>
      <c r="C358">
        <v>57</v>
      </c>
      <c r="D358" t="s">
        <v>352</v>
      </c>
      <c r="E358" t="s">
        <v>353</v>
      </c>
      <c r="G358">
        <v>104295</v>
      </c>
      <c r="H358">
        <v>8</v>
      </c>
      <c r="I358">
        <v>12</v>
      </c>
      <c r="J358">
        <v>804</v>
      </c>
      <c r="K358">
        <v>1950000</v>
      </c>
      <c r="L358">
        <v>214</v>
      </c>
      <c r="O358">
        <v>99590</v>
      </c>
    </row>
    <row r="359" spans="1:15">
      <c r="A359">
        <v>358</v>
      </c>
      <c r="B359">
        <v>4</v>
      </c>
      <c r="C359">
        <v>58</v>
      </c>
      <c r="D359" t="s">
        <v>354</v>
      </c>
      <c r="E359" t="s">
        <v>355</v>
      </c>
      <c r="G359">
        <v>107025</v>
      </c>
      <c r="H359">
        <v>8</v>
      </c>
      <c r="I359">
        <v>12</v>
      </c>
      <c r="J359">
        <v>818</v>
      </c>
      <c r="K359">
        <v>1990000</v>
      </c>
      <c r="L359">
        <v>218</v>
      </c>
      <c r="O359">
        <v>102107</v>
      </c>
    </row>
    <row r="360" spans="1:15">
      <c r="A360">
        <v>359</v>
      </c>
      <c r="B360">
        <v>4</v>
      </c>
      <c r="C360">
        <v>59</v>
      </c>
      <c r="D360" t="s">
        <v>356</v>
      </c>
      <c r="E360" t="s">
        <v>357</v>
      </c>
      <c r="G360">
        <v>109755</v>
      </c>
      <c r="H360">
        <v>8</v>
      </c>
      <c r="I360">
        <v>12</v>
      </c>
      <c r="J360">
        <v>832</v>
      </c>
      <c r="K360">
        <v>2030000</v>
      </c>
      <c r="L360">
        <v>222</v>
      </c>
      <c r="O360">
        <v>104624</v>
      </c>
    </row>
    <row r="361" spans="1:15">
      <c r="A361">
        <v>360</v>
      </c>
      <c r="B361">
        <v>4</v>
      </c>
      <c r="C361">
        <v>60</v>
      </c>
      <c r="D361" t="s">
        <v>358</v>
      </c>
      <c r="E361" t="s">
        <v>359</v>
      </c>
      <c r="G361">
        <v>112485</v>
      </c>
      <c r="H361">
        <v>8</v>
      </c>
      <c r="I361">
        <v>12</v>
      </c>
      <c r="J361">
        <v>846</v>
      </c>
      <c r="K361">
        <v>2070000</v>
      </c>
      <c r="L361">
        <v>226</v>
      </c>
      <c r="O361">
        <v>107141</v>
      </c>
    </row>
    <row r="362" spans="1:15">
      <c r="A362">
        <v>361</v>
      </c>
      <c r="B362">
        <v>4</v>
      </c>
      <c r="C362">
        <v>61</v>
      </c>
      <c r="D362" t="s">
        <v>360</v>
      </c>
      <c r="E362" t="s">
        <v>361</v>
      </c>
      <c r="G362">
        <v>115215</v>
      </c>
      <c r="H362">
        <v>8</v>
      </c>
      <c r="I362">
        <v>12</v>
      </c>
      <c r="J362">
        <v>860</v>
      </c>
      <c r="K362">
        <v>2110000</v>
      </c>
      <c r="L362">
        <v>230</v>
      </c>
      <c r="O362">
        <v>109658</v>
      </c>
    </row>
    <row r="363" spans="1:15">
      <c r="A363">
        <v>362</v>
      </c>
      <c r="B363">
        <v>4</v>
      </c>
      <c r="C363">
        <v>62</v>
      </c>
      <c r="D363" t="s">
        <v>362</v>
      </c>
      <c r="E363" t="s">
        <v>363</v>
      </c>
      <c r="G363">
        <v>117945</v>
      </c>
      <c r="H363">
        <v>8</v>
      </c>
      <c r="I363">
        <v>12</v>
      </c>
      <c r="J363">
        <v>874</v>
      </c>
      <c r="K363">
        <v>2150000</v>
      </c>
      <c r="L363">
        <v>234</v>
      </c>
      <c r="O363">
        <v>112175</v>
      </c>
    </row>
    <row r="364" spans="1:15">
      <c r="A364">
        <v>363</v>
      </c>
      <c r="B364">
        <v>4</v>
      </c>
      <c r="C364">
        <v>63</v>
      </c>
      <c r="D364" t="s">
        <v>364</v>
      </c>
      <c r="E364" t="s">
        <v>365</v>
      </c>
      <c r="G364">
        <v>120675</v>
      </c>
      <c r="H364">
        <v>8</v>
      </c>
      <c r="I364">
        <v>12</v>
      </c>
      <c r="J364">
        <v>888</v>
      </c>
      <c r="K364">
        <v>2190000</v>
      </c>
      <c r="L364">
        <v>238</v>
      </c>
      <c r="O364">
        <v>114692</v>
      </c>
    </row>
    <row r="365" spans="1:15">
      <c r="A365">
        <v>364</v>
      </c>
      <c r="B365">
        <v>4</v>
      </c>
      <c r="C365">
        <v>64</v>
      </c>
      <c r="D365" t="s">
        <v>366</v>
      </c>
      <c r="E365" t="s">
        <v>367</v>
      </c>
      <c r="G365">
        <v>123405</v>
      </c>
      <c r="H365">
        <v>8</v>
      </c>
      <c r="I365">
        <v>12</v>
      </c>
      <c r="J365">
        <v>902</v>
      </c>
      <c r="K365">
        <v>2230000</v>
      </c>
      <c r="L365">
        <v>242</v>
      </c>
      <c r="O365">
        <v>117209</v>
      </c>
    </row>
    <row r="366" spans="1:15">
      <c r="A366">
        <v>365</v>
      </c>
      <c r="B366">
        <v>4</v>
      </c>
      <c r="C366">
        <v>65</v>
      </c>
      <c r="D366" t="s">
        <v>368</v>
      </c>
      <c r="E366" t="s">
        <v>369</v>
      </c>
      <c r="G366">
        <v>126135</v>
      </c>
      <c r="H366">
        <v>8</v>
      </c>
      <c r="I366">
        <v>12</v>
      </c>
      <c r="J366">
        <v>916</v>
      </c>
      <c r="K366">
        <v>2270000</v>
      </c>
      <c r="L366">
        <v>246</v>
      </c>
      <c r="O366">
        <v>119726</v>
      </c>
    </row>
    <row r="367" spans="1:15">
      <c r="A367">
        <v>366</v>
      </c>
      <c r="B367">
        <v>4</v>
      </c>
      <c r="C367">
        <v>66</v>
      </c>
      <c r="D367" t="s">
        <v>370</v>
      </c>
      <c r="E367" t="s">
        <v>371</v>
      </c>
      <c r="G367">
        <v>128865</v>
      </c>
      <c r="H367">
        <v>8</v>
      </c>
      <c r="I367">
        <v>12</v>
      </c>
      <c r="J367">
        <v>930</v>
      </c>
      <c r="K367">
        <v>2310000</v>
      </c>
      <c r="L367">
        <v>250</v>
      </c>
      <c r="O367">
        <v>122243</v>
      </c>
    </row>
    <row r="368" spans="1:15">
      <c r="A368">
        <v>367</v>
      </c>
      <c r="B368">
        <v>4</v>
      </c>
      <c r="C368">
        <v>67</v>
      </c>
      <c r="D368" t="s">
        <v>372</v>
      </c>
      <c r="E368" t="s">
        <v>373</v>
      </c>
      <c r="G368">
        <v>131595</v>
      </c>
      <c r="H368">
        <v>8</v>
      </c>
      <c r="I368">
        <v>12</v>
      </c>
      <c r="J368">
        <v>944</v>
      </c>
      <c r="K368">
        <v>2350000</v>
      </c>
      <c r="L368">
        <v>254</v>
      </c>
      <c r="O368">
        <v>124760</v>
      </c>
    </row>
    <row r="369" spans="1:15">
      <c r="A369">
        <v>368</v>
      </c>
      <c r="B369">
        <v>4</v>
      </c>
      <c r="C369">
        <v>68</v>
      </c>
      <c r="D369" t="s">
        <v>374</v>
      </c>
      <c r="E369" t="s">
        <v>375</v>
      </c>
      <c r="G369">
        <v>134325</v>
      </c>
      <c r="H369">
        <v>8</v>
      </c>
      <c r="I369">
        <v>12</v>
      </c>
      <c r="J369">
        <v>958</v>
      </c>
      <c r="K369">
        <v>2390000</v>
      </c>
      <c r="L369">
        <v>258</v>
      </c>
      <c r="O369">
        <v>127277</v>
      </c>
    </row>
    <row r="370" spans="1:15">
      <c r="A370">
        <v>369</v>
      </c>
      <c r="B370">
        <v>4</v>
      </c>
      <c r="C370">
        <v>69</v>
      </c>
      <c r="D370" t="s">
        <v>376</v>
      </c>
      <c r="E370" t="s">
        <v>377</v>
      </c>
      <c r="G370">
        <v>137055</v>
      </c>
      <c r="H370">
        <v>8</v>
      </c>
      <c r="I370">
        <v>12</v>
      </c>
      <c r="J370">
        <v>972</v>
      </c>
      <c r="K370">
        <v>2430000</v>
      </c>
      <c r="L370">
        <v>262</v>
      </c>
      <c r="O370">
        <v>129794</v>
      </c>
    </row>
    <row r="371" spans="1:15">
      <c r="A371">
        <v>370</v>
      </c>
      <c r="B371">
        <v>4</v>
      </c>
      <c r="C371">
        <v>70</v>
      </c>
      <c r="D371" t="s">
        <v>378</v>
      </c>
      <c r="E371" t="s">
        <v>379</v>
      </c>
      <c r="G371">
        <v>139785</v>
      </c>
      <c r="H371">
        <v>8</v>
      </c>
      <c r="I371">
        <v>12</v>
      </c>
      <c r="J371">
        <v>986</v>
      </c>
      <c r="K371">
        <v>2470000</v>
      </c>
      <c r="L371">
        <v>266</v>
      </c>
      <c r="O371">
        <v>132311</v>
      </c>
    </row>
    <row r="372" spans="1:15">
      <c r="A372">
        <v>371</v>
      </c>
      <c r="B372">
        <v>4</v>
      </c>
      <c r="C372">
        <v>71</v>
      </c>
      <c r="D372" t="s">
        <v>380</v>
      </c>
      <c r="E372" t="s">
        <v>381</v>
      </c>
      <c r="G372">
        <v>142515</v>
      </c>
      <c r="H372">
        <v>8</v>
      </c>
      <c r="I372">
        <v>12</v>
      </c>
      <c r="J372">
        <v>1000</v>
      </c>
      <c r="K372">
        <v>2510000</v>
      </c>
      <c r="L372">
        <v>270</v>
      </c>
      <c r="O372">
        <v>134828</v>
      </c>
    </row>
    <row r="373" spans="1:15">
      <c r="A373">
        <v>372</v>
      </c>
      <c r="B373">
        <v>4</v>
      </c>
      <c r="C373">
        <v>72</v>
      </c>
      <c r="D373" t="s">
        <v>382</v>
      </c>
      <c r="E373" t="s">
        <v>383</v>
      </c>
      <c r="G373">
        <v>145245</v>
      </c>
      <c r="H373">
        <v>8</v>
      </c>
      <c r="I373">
        <v>12</v>
      </c>
      <c r="J373">
        <v>1014</v>
      </c>
      <c r="K373">
        <v>2550000</v>
      </c>
      <c r="L373">
        <v>274</v>
      </c>
      <c r="O373">
        <v>137345</v>
      </c>
    </row>
    <row r="374" spans="1:15">
      <c r="A374">
        <v>373</v>
      </c>
      <c r="B374">
        <v>4</v>
      </c>
      <c r="C374">
        <v>73</v>
      </c>
      <c r="D374" t="s">
        <v>384</v>
      </c>
      <c r="E374" t="s">
        <v>385</v>
      </c>
      <c r="G374">
        <v>147975</v>
      </c>
      <c r="H374">
        <v>8</v>
      </c>
      <c r="I374">
        <v>12</v>
      </c>
      <c r="J374">
        <v>1028</v>
      </c>
      <c r="K374">
        <v>2590000</v>
      </c>
      <c r="L374">
        <v>278</v>
      </c>
      <c r="O374">
        <v>139862</v>
      </c>
    </row>
    <row r="375" spans="1:15">
      <c r="A375">
        <v>374</v>
      </c>
      <c r="B375">
        <v>4</v>
      </c>
      <c r="C375">
        <v>74</v>
      </c>
      <c r="D375" t="s">
        <v>386</v>
      </c>
      <c r="E375" t="s">
        <v>387</v>
      </c>
      <c r="G375">
        <v>150705</v>
      </c>
      <c r="H375">
        <v>8</v>
      </c>
      <c r="I375">
        <v>12</v>
      </c>
      <c r="J375">
        <v>1042</v>
      </c>
      <c r="K375">
        <v>2630000</v>
      </c>
      <c r="L375">
        <v>282</v>
      </c>
      <c r="O375">
        <v>142379</v>
      </c>
    </row>
    <row r="376" spans="1:15">
      <c r="A376">
        <v>375</v>
      </c>
      <c r="B376">
        <v>4</v>
      </c>
      <c r="C376">
        <v>75</v>
      </c>
      <c r="D376" t="s">
        <v>388</v>
      </c>
      <c r="E376" t="s">
        <v>389</v>
      </c>
      <c r="G376">
        <v>153435</v>
      </c>
      <c r="H376">
        <v>8</v>
      </c>
      <c r="I376">
        <v>12</v>
      </c>
      <c r="J376">
        <v>1056</v>
      </c>
      <c r="K376">
        <v>2670000</v>
      </c>
      <c r="L376">
        <v>286</v>
      </c>
      <c r="O376">
        <v>144896</v>
      </c>
    </row>
    <row r="377" spans="1:15">
      <c r="A377">
        <v>376</v>
      </c>
      <c r="B377">
        <v>4</v>
      </c>
      <c r="C377">
        <v>76</v>
      </c>
      <c r="D377" t="s">
        <v>390</v>
      </c>
      <c r="E377" t="s">
        <v>391</v>
      </c>
      <c r="G377">
        <v>156165</v>
      </c>
      <c r="H377">
        <v>8</v>
      </c>
      <c r="I377">
        <v>12</v>
      </c>
      <c r="J377">
        <v>1070</v>
      </c>
      <c r="K377">
        <v>2710000</v>
      </c>
      <c r="L377">
        <v>290</v>
      </c>
      <c r="O377">
        <v>147413</v>
      </c>
    </row>
    <row r="378" spans="1:15">
      <c r="A378">
        <v>377</v>
      </c>
      <c r="B378">
        <v>4</v>
      </c>
      <c r="C378">
        <v>77</v>
      </c>
      <c r="D378" t="s">
        <v>392</v>
      </c>
      <c r="E378" t="s">
        <v>393</v>
      </c>
      <c r="G378">
        <v>158895</v>
      </c>
      <c r="H378">
        <v>8</v>
      </c>
      <c r="I378">
        <v>12</v>
      </c>
      <c r="J378">
        <v>1084</v>
      </c>
      <c r="K378">
        <v>2750000</v>
      </c>
      <c r="L378">
        <v>294</v>
      </c>
      <c r="O378">
        <v>149930</v>
      </c>
    </row>
    <row r="379" spans="1:15">
      <c r="A379">
        <v>378</v>
      </c>
      <c r="B379">
        <v>4</v>
      </c>
      <c r="C379">
        <v>78</v>
      </c>
      <c r="D379" t="s">
        <v>394</v>
      </c>
      <c r="E379" t="s">
        <v>395</v>
      </c>
      <c r="G379">
        <v>161625</v>
      </c>
      <c r="H379">
        <v>8</v>
      </c>
      <c r="I379">
        <v>12</v>
      </c>
      <c r="J379">
        <v>1098</v>
      </c>
      <c r="K379">
        <v>2790000</v>
      </c>
      <c r="L379">
        <v>298</v>
      </c>
      <c r="O379">
        <v>152447</v>
      </c>
    </row>
    <row r="380" spans="1:15">
      <c r="A380">
        <v>379</v>
      </c>
      <c r="B380">
        <v>4</v>
      </c>
      <c r="C380">
        <v>79</v>
      </c>
      <c r="D380" t="s">
        <v>396</v>
      </c>
      <c r="E380" t="s">
        <v>397</v>
      </c>
      <c r="G380">
        <v>164355</v>
      </c>
      <c r="H380">
        <v>8</v>
      </c>
      <c r="I380">
        <v>12</v>
      </c>
      <c r="J380">
        <v>1112</v>
      </c>
      <c r="K380">
        <v>2830000</v>
      </c>
      <c r="L380">
        <v>302</v>
      </c>
      <c r="O380">
        <v>154964</v>
      </c>
    </row>
    <row r="381" spans="1:15">
      <c r="A381">
        <v>380</v>
      </c>
      <c r="B381">
        <v>4</v>
      </c>
      <c r="C381">
        <v>80</v>
      </c>
      <c r="D381" t="s">
        <v>398</v>
      </c>
      <c r="E381" t="s">
        <v>399</v>
      </c>
      <c r="G381">
        <v>167085</v>
      </c>
      <c r="H381">
        <v>8</v>
      </c>
      <c r="I381">
        <v>12</v>
      </c>
      <c r="J381">
        <v>1126</v>
      </c>
      <c r="K381">
        <v>2870000</v>
      </c>
      <c r="L381">
        <v>306</v>
      </c>
      <c r="O381">
        <v>157481</v>
      </c>
    </row>
    <row r="382" spans="1:15">
      <c r="A382">
        <v>381</v>
      </c>
      <c r="B382">
        <v>4</v>
      </c>
      <c r="C382">
        <v>81</v>
      </c>
      <c r="D382" t="s">
        <v>400</v>
      </c>
      <c r="E382" t="s">
        <v>401</v>
      </c>
      <c r="G382">
        <v>169815</v>
      </c>
      <c r="H382">
        <v>8</v>
      </c>
      <c r="I382">
        <v>12</v>
      </c>
      <c r="J382">
        <v>1140</v>
      </c>
      <c r="K382">
        <v>2910000</v>
      </c>
      <c r="L382">
        <v>310</v>
      </c>
      <c r="O382">
        <v>159998</v>
      </c>
    </row>
    <row r="383" spans="1:15">
      <c r="A383">
        <v>382</v>
      </c>
      <c r="B383">
        <v>4</v>
      </c>
      <c r="C383">
        <v>82</v>
      </c>
      <c r="D383" t="s">
        <v>402</v>
      </c>
      <c r="E383" t="s">
        <v>403</v>
      </c>
      <c r="G383">
        <v>172545</v>
      </c>
      <c r="H383">
        <v>8</v>
      </c>
      <c r="I383">
        <v>12</v>
      </c>
      <c r="J383">
        <v>1154</v>
      </c>
      <c r="K383">
        <v>2950000</v>
      </c>
      <c r="L383">
        <v>314</v>
      </c>
      <c r="O383">
        <v>162515</v>
      </c>
    </row>
    <row r="384" spans="1:15">
      <c r="A384">
        <v>383</v>
      </c>
      <c r="B384">
        <v>4</v>
      </c>
      <c r="C384">
        <v>83</v>
      </c>
      <c r="D384" t="s">
        <v>404</v>
      </c>
      <c r="E384" t="s">
        <v>405</v>
      </c>
      <c r="G384">
        <v>175275</v>
      </c>
      <c r="H384">
        <v>8</v>
      </c>
      <c r="I384">
        <v>12</v>
      </c>
      <c r="J384">
        <v>1168</v>
      </c>
      <c r="K384">
        <v>2990000</v>
      </c>
      <c r="L384">
        <v>318</v>
      </c>
      <c r="O384">
        <v>165032</v>
      </c>
    </row>
    <row r="385" spans="1:15">
      <c r="A385">
        <v>384</v>
      </c>
      <c r="B385">
        <v>4</v>
      </c>
      <c r="C385">
        <v>84</v>
      </c>
      <c r="D385" t="s">
        <v>406</v>
      </c>
      <c r="E385" t="s">
        <v>407</v>
      </c>
      <c r="G385">
        <v>178005</v>
      </c>
      <c r="H385">
        <v>8</v>
      </c>
      <c r="I385">
        <v>12</v>
      </c>
      <c r="J385">
        <v>1182</v>
      </c>
      <c r="K385">
        <v>3030000</v>
      </c>
      <c r="L385">
        <v>322</v>
      </c>
      <c r="O385">
        <v>167549</v>
      </c>
    </row>
    <row r="386" spans="1:15">
      <c r="A386">
        <v>385</v>
      </c>
      <c r="B386">
        <v>4</v>
      </c>
      <c r="C386">
        <v>85</v>
      </c>
      <c r="D386" t="s">
        <v>408</v>
      </c>
      <c r="E386" t="s">
        <v>409</v>
      </c>
      <c r="G386">
        <v>180735</v>
      </c>
      <c r="H386">
        <v>8</v>
      </c>
      <c r="I386">
        <v>12</v>
      </c>
      <c r="J386">
        <v>1196</v>
      </c>
      <c r="K386">
        <v>3070000</v>
      </c>
      <c r="L386">
        <v>326</v>
      </c>
      <c r="O386">
        <v>170066</v>
      </c>
    </row>
    <row r="387" spans="1:15">
      <c r="A387">
        <v>386</v>
      </c>
      <c r="B387">
        <v>4</v>
      </c>
      <c r="C387">
        <v>86</v>
      </c>
      <c r="D387" t="s">
        <v>410</v>
      </c>
      <c r="E387" t="s">
        <v>411</v>
      </c>
      <c r="G387">
        <v>183465</v>
      </c>
      <c r="H387">
        <v>8</v>
      </c>
      <c r="I387">
        <v>12</v>
      </c>
      <c r="J387">
        <v>1210</v>
      </c>
      <c r="K387">
        <v>3110000</v>
      </c>
      <c r="L387">
        <v>330</v>
      </c>
      <c r="O387">
        <v>172583</v>
      </c>
    </row>
    <row r="388" spans="1:15">
      <c r="A388">
        <v>387</v>
      </c>
      <c r="B388">
        <v>4</v>
      </c>
      <c r="C388">
        <v>87</v>
      </c>
      <c r="D388" t="s">
        <v>412</v>
      </c>
      <c r="E388" t="s">
        <v>413</v>
      </c>
      <c r="G388">
        <v>186195</v>
      </c>
      <c r="H388">
        <v>8</v>
      </c>
      <c r="I388">
        <v>12</v>
      </c>
      <c r="J388">
        <v>1224</v>
      </c>
      <c r="K388">
        <v>3150000</v>
      </c>
      <c r="L388">
        <v>334</v>
      </c>
      <c r="O388">
        <v>175100</v>
      </c>
    </row>
    <row r="389" spans="1:15">
      <c r="A389">
        <v>388</v>
      </c>
      <c r="B389">
        <v>4</v>
      </c>
      <c r="C389">
        <v>88</v>
      </c>
      <c r="D389" t="s">
        <v>414</v>
      </c>
      <c r="E389" t="s">
        <v>415</v>
      </c>
      <c r="G389">
        <v>188925</v>
      </c>
      <c r="H389">
        <v>8</v>
      </c>
      <c r="I389">
        <v>12</v>
      </c>
      <c r="J389">
        <v>1238</v>
      </c>
      <c r="K389">
        <v>3190000</v>
      </c>
      <c r="L389">
        <v>338</v>
      </c>
      <c r="O389">
        <v>177617</v>
      </c>
    </row>
    <row r="390" spans="1:15">
      <c r="A390">
        <v>389</v>
      </c>
      <c r="B390">
        <v>4</v>
      </c>
      <c r="C390">
        <v>89</v>
      </c>
      <c r="D390" t="s">
        <v>416</v>
      </c>
      <c r="E390" t="s">
        <v>417</v>
      </c>
      <c r="G390">
        <v>191655</v>
      </c>
      <c r="H390">
        <v>8</v>
      </c>
      <c r="I390">
        <v>12</v>
      </c>
      <c r="J390">
        <v>1252</v>
      </c>
      <c r="K390">
        <v>3230000</v>
      </c>
      <c r="L390">
        <v>342</v>
      </c>
      <c r="O390">
        <v>180134</v>
      </c>
    </row>
    <row r="391" spans="1:15">
      <c r="A391">
        <v>390</v>
      </c>
      <c r="B391">
        <v>4</v>
      </c>
      <c r="C391">
        <v>90</v>
      </c>
      <c r="D391" t="s">
        <v>418</v>
      </c>
      <c r="E391" t="s">
        <v>419</v>
      </c>
      <c r="G391">
        <v>194385</v>
      </c>
      <c r="H391">
        <v>8</v>
      </c>
      <c r="I391">
        <v>12</v>
      </c>
      <c r="J391">
        <v>1266</v>
      </c>
      <c r="K391">
        <v>3270000</v>
      </c>
      <c r="L391">
        <v>346</v>
      </c>
      <c r="O391">
        <v>182651</v>
      </c>
    </row>
    <row r="392" spans="1:15">
      <c r="A392">
        <v>391</v>
      </c>
      <c r="B392">
        <v>4</v>
      </c>
      <c r="C392">
        <v>91</v>
      </c>
      <c r="D392" t="s">
        <v>420</v>
      </c>
      <c r="E392" t="s">
        <v>421</v>
      </c>
      <c r="G392">
        <v>197115</v>
      </c>
      <c r="H392">
        <v>8</v>
      </c>
      <c r="I392">
        <v>12</v>
      </c>
      <c r="J392">
        <v>1280</v>
      </c>
      <c r="K392">
        <v>3310000</v>
      </c>
      <c r="L392">
        <v>350</v>
      </c>
      <c r="O392">
        <v>185168</v>
      </c>
    </row>
    <row r="393" spans="1:15">
      <c r="A393">
        <v>392</v>
      </c>
      <c r="B393">
        <v>4</v>
      </c>
      <c r="C393">
        <v>92</v>
      </c>
      <c r="D393" t="s">
        <v>422</v>
      </c>
      <c r="E393" t="s">
        <v>423</v>
      </c>
      <c r="G393">
        <v>199845</v>
      </c>
      <c r="H393">
        <v>8</v>
      </c>
      <c r="I393">
        <v>12</v>
      </c>
      <c r="J393">
        <v>1294</v>
      </c>
      <c r="K393">
        <v>3350000</v>
      </c>
      <c r="L393">
        <v>354</v>
      </c>
      <c r="O393">
        <v>187685</v>
      </c>
    </row>
    <row r="394" spans="1:15">
      <c r="A394">
        <v>393</v>
      </c>
      <c r="B394">
        <v>4</v>
      </c>
      <c r="C394">
        <v>93</v>
      </c>
      <c r="D394" t="s">
        <v>424</v>
      </c>
      <c r="E394" t="s">
        <v>425</v>
      </c>
      <c r="G394">
        <v>202575</v>
      </c>
      <c r="H394">
        <v>8</v>
      </c>
      <c r="I394">
        <v>12</v>
      </c>
      <c r="J394">
        <v>1308</v>
      </c>
      <c r="K394">
        <v>3390000</v>
      </c>
      <c r="L394">
        <v>358</v>
      </c>
      <c r="O394">
        <v>190202</v>
      </c>
    </row>
    <row r="395" spans="1:15">
      <c r="A395">
        <v>394</v>
      </c>
      <c r="B395">
        <v>4</v>
      </c>
      <c r="C395">
        <v>94</v>
      </c>
      <c r="D395" t="s">
        <v>426</v>
      </c>
      <c r="E395" t="s">
        <v>427</v>
      </c>
      <c r="G395">
        <v>205305</v>
      </c>
      <c r="H395">
        <v>8</v>
      </c>
      <c r="I395">
        <v>12</v>
      </c>
      <c r="J395">
        <v>1322</v>
      </c>
      <c r="K395">
        <v>3430000</v>
      </c>
      <c r="L395">
        <v>362</v>
      </c>
      <c r="O395">
        <v>192719</v>
      </c>
    </row>
    <row r="396" spans="1:15">
      <c r="A396">
        <v>395</v>
      </c>
      <c r="B396">
        <v>4</v>
      </c>
      <c r="C396">
        <v>95</v>
      </c>
      <c r="D396" t="s">
        <v>428</v>
      </c>
      <c r="E396" t="s">
        <v>429</v>
      </c>
      <c r="G396">
        <v>208035</v>
      </c>
      <c r="H396">
        <v>8</v>
      </c>
      <c r="I396">
        <v>12</v>
      </c>
      <c r="J396">
        <v>1336</v>
      </c>
      <c r="K396">
        <v>3470000</v>
      </c>
      <c r="L396">
        <v>366</v>
      </c>
      <c r="O396">
        <v>195236</v>
      </c>
    </row>
    <row r="397" spans="1:15">
      <c r="A397">
        <v>396</v>
      </c>
      <c r="B397">
        <v>4</v>
      </c>
      <c r="C397">
        <v>96</v>
      </c>
      <c r="D397" t="s">
        <v>430</v>
      </c>
      <c r="E397" t="s">
        <v>431</v>
      </c>
      <c r="G397">
        <v>210765</v>
      </c>
      <c r="H397">
        <v>8</v>
      </c>
      <c r="I397">
        <v>12</v>
      </c>
      <c r="J397">
        <v>1350</v>
      </c>
      <c r="K397">
        <v>3510000</v>
      </c>
      <c r="L397">
        <v>370</v>
      </c>
      <c r="O397">
        <v>197753</v>
      </c>
    </row>
    <row r="398" spans="1:15">
      <c r="A398">
        <v>397</v>
      </c>
      <c r="B398">
        <v>4</v>
      </c>
      <c r="C398">
        <v>97</v>
      </c>
      <c r="D398" t="s">
        <v>432</v>
      </c>
      <c r="E398" t="s">
        <v>433</v>
      </c>
      <c r="G398">
        <v>213495</v>
      </c>
      <c r="H398">
        <v>8</v>
      </c>
      <c r="I398">
        <v>12</v>
      </c>
      <c r="J398">
        <v>1364</v>
      </c>
      <c r="K398">
        <v>3550000</v>
      </c>
      <c r="L398">
        <v>374</v>
      </c>
      <c r="O398">
        <v>200270</v>
      </c>
    </row>
    <row r="399" spans="1:15">
      <c r="A399">
        <v>398</v>
      </c>
      <c r="B399">
        <v>4</v>
      </c>
      <c r="C399">
        <v>98</v>
      </c>
      <c r="D399" t="s">
        <v>434</v>
      </c>
      <c r="E399" t="s">
        <v>435</v>
      </c>
      <c r="G399">
        <v>216225</v>
      </c>
      <c r="H399">
        <v>8</v>
      </c>
      <c r="I399">
        <v>12</v>
      </c>
      <c r="J399">
        <v>1378</v>
      </c>
      <c r="K399">
        <v>3590000</v>
      </c>
      <c r="L399">
        <v>378</v>
      </c>
      <c r="O399">
        <v>202787</v>
      </c>
    </row>
    <row r="400" spans="1:15">
      <c r="A400">
        <v>399</v>
      </c>
      <c r="B400">
        <v>4</v>
      </c>
      <c r="C400">
        <v>99</v>
      </c>
      <c r="D400" t="s">
        <v>436</v>
      </c>
      <c r="E400" t="s">
        <v>437</v>
      </c>
      <c r="G400">
        <v>218955</v>
      </c>
      <c r="H400">
        <v>8</v>
      </c>
      <c r="I400">
        <v>12</v>
      </c>
      <c r="J400">
        <v>1392</v>
      </c>
      <c r="K400">
        <v>3630000</v>
      </c>
      <c r="L400">
        <v>382</v>
      </c>
      <c r="O400">
        <v>205304</v>
      </c>
    </row>
    <row r="401" spans="1:15">
      <c r="A401">
        <v>400</v>
      </c>
      <c r="B401">
        <v>4</v>
      </c>
      <c r="C401">
        <v>100</v>
      </c>
      <c r="D401" t="s">
        <v>438</v>
      </c>
      <c r="E401" t="s">
        <v>439</v>
      </c>
      <c r="G401">
        <v>221685</v>
      </c>
      <c r="H401">
        <v>8</v>
      </c>
      <c r="I401">
        <v>12</v>
      </c>
      <c r="J401">
        <v>1406</v>
      </c>
      <c r="K401">
        <v>3670000</v>
      </c>
      <c r="L401">
        <v>386</v>
      </c>
      <c r="N401">
        <v>1</v>
      </c>
      <c r="O401">
        <v>207821</v>
      </c>
    </row>
    <row r="402" spans="1:15">
      <c r="A402">
        <v>401</v>
      </c>
      <c r="B402">
        <v>5</v>
      </c>
      <c r="C402">
        <v>1</v>
      </c>
      <c r="D402" t="s">
        <v>233</v>
      </c>
      <c r="E402" t="s">
        <v>234</v>
      </c>
      <c r="G402" s="1">
        <v>70</v>
      </c>
      <c r="H402" s="1">
        <v>8</v>
      </c>
      <c r="I402" s="1">
        <v>12</v>
      </c>
      <c r="J402" s="1">
        <v>14</v>
      </c>
      <c r="K402">
        <v>5000</v>
      </c>
      <c r="L402">
        <v>2</v>
      </c>
      <c r="O402">
        <v>11</v>
      </c>
    </row>
    <row r="403" spans="1:15">
      <c r="A403">
        <v>402</v>
      </c>
      <c r="B403">
        <v>5</v>
      </c>
      <c r="C403">
        <v>2</v>
      </c>
      <c r="D403" t="s">
        <v>238</v>
      </c>
      <c r="E403" t="s">
        <v>239</v>
      </c>
      <c r="G403" s="1">
        <v>210</v>
      </c>
      <c r="H403" s="1">
        <v>8</v>
      </c>
      <c r="I403" s="1">
        <v>12</v>
      </c>
      <c r="J403" s="1">
        <v>28</v>
      </c>
      <c r="K403">
        <v>10000</v>
      </c>
      <c r="L403">
        <v>4</v>
      </c>
      <c r="M403" t="s">
        <v>440</v>
      </c>
      <c r="O403">
        <v>55</v>
      </c>
    </row>
    <row r="404" spans="1:15">
      <c r="A404">
        <v>403</v>
      </c>
      <c r="B404">
        <v>5</v>
      </c>
      <c r="C404">
        <v>3</v>
      </c>
      <c r="D404" t="s">
        <v>243</v>
      </c>
      <c r="E404" t="s">
        <v>244</v>
      </c>
      <c r="G404" s="1">
        <v>420</v>
      </c>
      <c r="H404" s="1">
        <v>8</v>
      </c>
      <c r="I404" s="1">
        <v>12</v>
      </c>
      <c r="J404" s="1">
        <v>42</v>
      </c>
      <c r="K404">
        <v>18000</v>
      </c>
      <c r="L404">
        <v>6</v>
      </c>
      <c r="M404" t="s">
        <v>441</v>
      </c>
      <c r="O404">
        <v>144</v>
      </c>
    </row>
    <row r="405" spans="1:15">
      <c r="A405">
        <v>404</v>
      </c>
      <c r="B405">
        <v>5</v>
      </c>
      <c r="C405">
        <v>4</v>
      </c>
      <c r="D405" t="s">
        <v>246</v>
      </c>
      <c r="E405" t="s">
        <v>247</v>
      </c>
      <c r="G405" s="1">
        <v>710</v>
      </c>
      <c r="H405" s="1">
        <v>8</v>
      </c>
      <c r="I405" s="1">
        <v>12</v>
      </c>
      <c r="J405" s="1">
        <v>58</v>
      </c>
      <c r="K405">
        <v>28000</v>
      </c>
      <c r="L405">
        <v>8</v>
      </c>
      <c r="O405">
        <v>285</v>
      </c>
    </row>
    <row r="406" spans="1:15">
      <c r="A406">
        <v>405</v>
      </c>
      <c r="B406">
        <v>5</v>
      </c>
      <c r="C406">
        <v>5</v>
      </c>
      <c r="D406" t="s">
        <v>249</v>
      </c>
      <c r="E406" t="s">
        <v>250</v>
      </c>
      <c r="G406" s="1">
        <v>1070</v>
      </c>
      <c r="H406" s="1">
        <v>8</v>
      </c>
      <c r="I406" s="1">
        <v>12</v>
      </c>
      <c r="J406" s="1">
        <v>72</v>
      </c>
      <c r="K406">
        <v>40000</v>
      </c>
      <c r="L406">
        <v>10</v>
      </c>
      <c r="O406">
        <v>473</v>
      </c>
    </row>
    <row r="407" spans="1:15">
      <c r="A407">
        <v>406</v>
      </c>
      <c r="B407">
        <v>5</v>
      </c>
      <c r="C407">
        <v>6</v>
      </c>
      <c r="D407" t="s">
        <v>251</v>
      </c>
      <c r="E407" t="s">
        <v>252</v>
      </c>
      <c r="G407" s="1">
        <v>1490</v>
      </c>
      <c r="H407" s="1">
        <v>8</v>
      </c>
      <c r="I407" s="1">
        <v>12</v>
      </c>
      <c r="J407" s="1">
        <v>84</v>
      </c>
      <c r="K407">
        <v>54000</v>
      </c>
      <c r="L407">
        <v>13</v>
      </c>
      <c r="O407">
        <v>724</v>
      </c>
    </row>
    <row r="408" spans="1:15">
      <c r="A408">
        <v>407</v>
      </c>
      <c r="B408">
        <v>5</v>
      </c>
      <c r="C408">
        <v>7</v>
      </c>
      <c r="D408" t="s">
        <v>253</v>
      </c>
      <c r="E408" t="s">
        <v>254</v>
      </c>
      <c r="G408" s="1">
        <v>1990</v>
      </c>
      <c r="H408" s="1">
        <v>8</v>
      </c>
      <c r="I408" s="1">
        <v>12</v>
      </c>
      <c r="J408" s="1">
        <v>100</v>
      </c>
      <c r="K408">
        <v>70000</v>
      </c>
      <c r="L408">
        <v>16</v>
      </c>
      <c r="O408">
        <v>1076</v>
      </c>
    </row>
    <row r="409" spans="1:15">
      <c r="A409">
        <v>408</v>
      </c>
      <c r="B409">
        <v>5</v>
      </c>
      <c r="C409">
        <v>8</v>
      </c>
      <c r="D409" t="s">
        <v>255</v>
      </c>
      <c r="E409" t="s">
        <v>256</v>
      </c>
      <c r="G409" s="1">
        <v>2560</v>
      </c>
      <c r="H409" s="1">
        <v>8</v>
      </c>
      <c r="I409" s="1">
        <v>12</v>
      </c>
      <c r="J409" s="1">
        <v>114</v>
      </c>
      <c r="K409">
        <v>88000</v>
      </c>
      <c r="L409">
        <v>19</v>
      </c>
      <c r="O409">
        <v>1506</v>
      </c>
    </row>
    <row r="410" spans="1:15">
      <c r="A410">
        <v>409</v>
      </c>
      <c r="B410">
        <v>5</v>
      </c>
      <c r="C410">
        <v>9</v>
      </c>
      <c r="D410" t="s">
        <v>257</v>
      </c>
      <c r="E410" t="s">
        <v>258</v>
      </c>
      <c r="G410" s="1">
        <v>3200</v>
      </c>
      <c r="H410" s="1">
        <v>8</v>
      </c>
      <c r="I410" s="1">
        <v>12</v>
      </c>
      <c r="J410" s="1">
        <v>128</v>
      </c>
      <c r="K410">
        <v>100000</v>
      </c>
      <c r="L410">
        <v>22</v>
      </c>
      <c r="O410">
        <v>1992</v>
      </c>
    </row>
    <row r="411" spans="1:15">
      <c r="A411">
        <v>410</v>
      </c>
      <c r="B411">
        <v>5</v>
      </c>
      <c r="C411">
        <v>10</v>
      </c>
      <c r="D411" t="s">
        <v>259</v>
      </c>
      <c r="E411" t="s">
        <v>260</v>
      </c>
      <c r="G411" s="1">
        <v>3910</v>
      </c>
      <c r="H411" s="1">
        <v>8</v>
      </c>
      <c r="I411" s="1">
        <v>12</v>
      </c>
      <c r="J411" s="1">
        <v>142</v>
      </c>
      <c r="K411">
        <v>130000</v>
      </c>
      <c r="L411">
        <v>26</v>
      </c>
      <c r="O411">
        <v>2602</v>
      </c>
    </row>
    <row r="412" spans="1:15">
      <c r="A412">
        <v>411</v>
      </c>
      <c r="B412">
        <v>5</v>
      </c>
      <c r="C412">
        <v>11</v>
      </c>
      <c r="D412" t="s">
        <v>261</v>
      </c>
      <c r="E412" t="s">
        <v>262</v>
      </c>
      <c r="G412" s="1">
        <v>4690</v>
      </c>
      <c r="H412" s="1">
        <v>8</v>
      </c>
      <c r="I412" s="1">
        <v>12</v>
      </c>
      <c r="J412" s="1">
        <v>156</v>
      </c>
      <c r="K412">
        <v>150000</v>
      </c>
      <c r="L412">
        <v>30</v>
      </c>
      <c r="O412">
        <v>3348</v>
      </c>
    </row>
    <row r="413" spans="1:15">
      <c r="A413">
        <v>412</v>
      </c>
      <c r="B413">
        <v>5</v>
      </c>
      <c r="C413">
        <v>12</v>
      </c>
      <c r="D413" t="s">
        <v>263</v>
      </c>
      <c r="E413" t="s">
        <v>264</v>
      </c>
      <c r="G413" s="1">
        <v>5540</v>
      </c>
      <c r="H413" s="1">
        <v>8</v>
      </c>
      <c r="I413" s="1">
        <v>12</v>
      </c>
      <c r="J413" s="1">
        <v>170</v>
      </c>
      <c r="K413">
        <v>180000</v>
      </c>
      <c r="L413">
        <v>34</v>
      </c>
      <c r="O413">
        <v>4184</v>
      </c>
    </row>
    <row r="414" spans="1:15">
      <c r="A414">
        <v>413</v>
      </c>
      <c r="B414">
        <v>5</v>
      </c>
      <c r="C414">
        <v>13</v>
      </c>
      <c r="D414" t="s">
        <v>265</v>
      </c>
      <c r="E414" t="s">
        <v>266</v>
      </c>
      <c r="G414" s="1">
        <v>6470</v>
      </c>
      <c r="H414" s="1">
        <v>8</v>
      </c>
      <c r="I414" s="1">
        <v>12</v>
      </c>
      <c r="J414" s="1">
        <v>186</v>
      </c>
      <c r="K414">
        <v>200000</v>
      </c>
      <c r="L414">
        <v>38</v>
      </c>
      <c r="O414">
        <v>5139</v>
      </c>
    </row>
    <row r="415" spans="1:15">
      <c r="A415">
        <v>414</v>
      </c>
      <c r="B415">
        <v>5</v>
      </c>
      <c r="C415">
        <v>14</v>
      </c>
      <c r="D415" t="s">
        <v>267</v>
      </c>
      <c r="E415" t="s">
        <v>268</v>
      </c>
      <c r="G415" s="1">
        <v>7470</v>
      </c>
      <c r="H415" s="1">
        <v>8</v>
      </c>
      <c r="I415" s="1">
        <v>12</v>
      </c>
      <c r="J415" s="1">
        <v>200</v>
      </c>
      <c r="K415">
        <v>230000</v>
      </c>
      <c r="L415">
        <v>42</v>
      </c>
      <c r="O415">
        <v>6187</v>
      </c>
    </row>
    <row r="416" spans="1:15">
      <c r="A416">
        <v>415</v>
      </c>
      <c r="B416">
        <v>5</v>
      </c>
      <c r="C416">
        <v>15</v>
      </c>
      <c r="D416" t="s">
        <v>269</v>
      </c>
      <c r="E416" t="s">
        <v>270</v>
      </c>
      <c r="G416" s="1">
        <v>8540</v>
      </c>
      <c r="H416" s="1">
        <v>8</v>
      </c>
      <c r="I416" s="1">
        <v>12</v>
      </c>
      <c r="J416" s="1">
        <v>214</v>
      </c>
      <c r="K416">
        <v>270000</v>
      </c>
      <c r="L416">
        <v>46</v>
      </c>
      <c r="O416">
        <v>7297</v>
      </c>
    </row>
    <row r="417" spans="1:15">
      <c r="A417">
        <v>416</v>
      </c>
      <c r="B417">
        <v>5</v>
      </c>
      <c r="C417">
        <v>16</v>
      </c>
      <c r="D417" t="s">
        <v>271</v>
      </c>
      <c r="E417" t="s">
        <v>272</v>
      </c>
      <c r="G417">
        <v>9680</v>
      </c>
      <c r="H417">
        <v>8</v>
      </c>
      <c r="I417">
        <v>12</v>
      </c>
      <c r="J417">
        <v>228</v>
      </c>
      <c r="K417">
        <v>310000</v>
      </c>
      <c r="L417">
        <v>50</v>
      </c>
      <c r="O417">
        <v>8497</v>
      </c>
    </row>
    <row r="418" spans="1:15">
      <c r="A418">
        <v>417</v>
      </c>
      <c r="B418">
        <v>5</v>
      </c>
      <c r="C418">
        <v>17</v>
      </c>
      <c r="D418" t="s">
        <v>273</v>
      </c>
      <c r="E418" t="s">
        <v>274</v>
      </c>
      <c r="G418">
        <v>10890</v>
      </c>
      <c r="H418">
        <v>8</v>
      </c>
      <c r="I418">
        <v>12</v>
      </c>
      <c r="J418">
        <v>242</v>
      </c>
      <c r="K418">
        <v>350000</v>
      </c>
      <c r="L418">
        <v>54</v>
      </c>
      <c r="O418">
        <v>9787</v>
      </c>
    </row>
    <row r="419" spans="1:15">
      <c r="A419">
        <v>418</v>
      </c>
      <c r="B419">
        <v>5</v>
      </c>
      <c r="C419">
        <v>18</v>
      </c>
      <c r="D419" t="s">
        <v>275</v>
      </c>
      <c r="E419" t="s">
        <v>276</v>
      </c>
      <c r="G419">
        <v>12170</v>
      </c>
      <c r="H419">
        <v>8</v>
      </c>
      <c r="I419">
        <v>12</v>
      </c>
      <c r="J419">
        <v>256</v>
      </c>
      <c r="K419">
        <v>390000</v>
      </c>
      <c r="L419">
        <v>58</v>
      </c>
      <c r="O419">
        <v>11166</v>
      </c>
    </row>
    <row r="420" spans="1:15">
      <c r="A420">
        <v>419</v>
      </c>
      <c r="B420">
        <v>5</v>
      </c>
      <c r="C420">
        <v>19</v>
      </c>
      <c r="D420" t="s">
        <v>277</v>
      </c>
      <c r="E420" t="s">
        <v>278</v>
      </c>
      <c r="G420">
        <v>13520</v>
      </c>
      <c r="H420">
        <v>8</v>
      </c>
      <c r="I420">
        <v>12</v>
      </c>
      <c r="J420">
        <v>270</v>
      </c>
      <c r="K420">
        <v>430000</v>
      </c>
      <c r="L420">
        <v>62</v>
      </c>
      <c r="O420">
        <v>12635</v>
      </c>
    </row>
    <row r="421" spans="1:15">
      <c r="A421">
        <v>420</v>
      </c>
      <c r="B421">
        <v>5</v>
      </c>
      <c r="C421">
        <v>20</v>
      </c>
      <c r="D421" t="s">
        <v>279</v>
      </c>
      <c r="E421" t="s">
        <v>280</v>
      </c>
      <c r="G421">
        <v>14940</v>
      </c>
      <c r="H421">
        <v>8</v>
      </c>
      <c r="I421">
        <v>12</v>
      </c>
      <c r="J421">
        <v>284</v>
      </c>
      <c r="K421">
        <v>470000</v>
      </c>
      <c r="L421">
        <v>66</v>
      </c>
      <c r="O421">
        <v>14193</v>
      </c>
    </row>
    <row r="422" spans="1:15">
      <c r="A422">
        <v>421</v>
      </c>
      <c r="B422">
        <v>5</v>
      </c>
      <c r="C422">
        <v>21</v>
      </c>
      <c r="D422" t="s">
        <v>281</v>
      </c>
      <c r="E422" t="s">
        <v>282</v>
      </c>
      <c r="G422">
        <v>16430</v>
      </c>
      <c r="H422">
        <v>8</v>
      </c>
      <c r="I422">
        <v>12</v>
      </c>
      <c r="J422">
        <v>298</v>
      </c>
      <c r="K422">
        <v>510000</v>
      </c>
      <c r="L422">
        <v>70</v>
      </c>
      <c r="O422">
        <v>15841</v>
      </c>
    </row>
    <row r="423" spans="1:15">
      <c r="A423">
        <v>422</v>
      </c>
      <c r="B423">
        <v>5</v>
      </c>
      <c r="C423">
        <v>22</v>
      </c>
      <c r="D423" t="s">
        <v>283</v>
      </c>
      <c r="E423" t="s">
        <v>284</v>
      </c>
      <c r="G423">
        <v>17990</v>
      </c>
      <c r="H423">
        <v>8</v>
      </c>
      <c r="I423">
        <v>12</v>
      </c>
      <c r="J423">
        <v>312</v>
      </c>
      <c r="K423">
        <v>550000</v>
      </c>
      <c r="L423">
        <v>74</v>
      </c>
      <c r="O423">
        <v>17579</v>
      </c>
    </row>
    <row r="424" spans="1:15">
      <c r="A424">
        <v>423</v>
      </c>
      <c r="B424">
        <v>5</v>
      </c>
      <c r="C424">
        <v>23</v>
      </c>
      <c r="D424" t="s">
        <v>285</v>
      </c>
      <c r="E424" t="s">
        <v>286</v>
      </c>
      <c r="G424">
        <v>19630</v>
      </c>
      <c r="H424">
        <v>8</v>
      </c>
      <c r="I424">
        <v>12</v>
      </c>
      <c r="J424">
        <v>328</v>
      </c>
      <c r="K424">
        <v>590000</v>
      </c>
      <c r="L424">
        <v>78</v>
      </c>
      <c r="O424">
        <v>19468</v>
      </c>
    </row>
    <row r="425" spans="1:15">
      <c r="A425">
        <v>424</v>
      </c>
      <c r="B425">
        <v>5</v>
      </c>
      <c r="C425">
        <v>24</v>
      </c>
      <c r="D425" t="s">
        <v>287</v>
      </c>
      <c r="E425" t="s">
        <v>288</v>
      </c>
      <c r="G425">
        <v>21340</v>
      </c>
      <c r="H425">
        <v>8</v>
      </c>
      <c r="I425">
        <v>12</v>
      </c>
      <c r="J425">
        <v>342</v>
      </c>
      <c r="K425">
        <v>630000</v>
      </c>
      <c r="L425">
        <v>82</v>
      </c>
      <c r="O425">
        <v>21450</v>
      </c>
    </row>
    <row r="426" spans="1:15">
      <c r="A426">
        <v>425</v>
      </c>
      <c r="B426">
        <v>5</v>
      </c>
      <c r="C426">
        <v>25</v>
      </c>
      <c r="D426" t="s">
        <v>289</v>
      </c>
      <c r="E426" t="s">
        <v>290</v>
      </c>
      <c r="G426">
        <v>23120</v>
      </c>
      <c r="H426">
        <v>8</v>
      </c>
      <c r="I426">
        <v>12</v>
      </c>
      <c r="J426">
        <v>356</v>
      </c>
      <c r="K426">
        <v>670000</v>
      </c>
      <c r="L426">
        <v>86</v>
      </c>
      <c r="O426">
        <v>23463</v>
      </c>
    </row>
    <row r="427" spans="1:15">
      <c r="A427">
        <v>426</v>
      </c>
      <c r="B427">
        <v>5</v>
      </c>
      <c r="C427">
        <v>26</v>
      </c>
      <c r="D427" t="s">
        <v>291</v>
      </c>
      <c r="E427" t="s">
        <v>292</v>
      </c>
      <c r="G427">
        <v>24970</v>
      </c>
      <c r="H427">
        <v>8</v>
      </c>
      <c r="I427">
        <v>12</v>
      </c>
      <c r="J427">
        <v>370</v>
      </c>
      <c r="K427">
        <v>710000</v>
      </c>
      <c r="L427">
        <v>90</v>
      </c>
      <c r="O427">
        <v>25566</v>
      </c>
    </row>
    <row r="428" spans="1:15">
      <c r="A428">
        <v>427</v>
      </c>
      <c r="B428">
        <v>5</v>
      </c>
      <c r="C428">
        <v>27</v>
      </c>
      <c r="D428" t="s">
        <v>293</v>
      </c>
      <c r="E428" t="s">
        <v>294</v>
      </c>
      <c r="G428">
        <v>26890</v>
      </c>
      <c r="H428">
        <v>8</v>
      </c>
      <c r="I428">
        <v>12</v>
      </c>
      <c r="J428">
        <v>384</v>
      </c>
      <c r="K428">
        <v>750000</v>
      </c>
      <c r="L428">
        <v>94</v>
      </c>
      <c r="O428">
        <v>27758</v>
      </c>
    </row>
    <row r="429" spans="1:15">
      <c r="A429">
        <v>428</v>
      </c>
      <c r="B429">
        <v>5</v>
      </c>
      <c r="C429">
        <v>28</v>
      </c>
      <c r="D429" t="s">
        <v>295</v>
      </c>
      <c r="E429" t="s">
        <v>296</v>
      </c>
      <c r="G429">
        <v>28880</v>
      </c>
      <c r="H429">
        <v>8</v>
      </c>
      <c r="I429">
        <v>12</v>
      </c>
      <c r="J429">
        <v>398</v>
      </c>
      <c r="K429">
        <v>790000</v>
      </c>
      <c r="L429">
        <v>98</v>
      </c>
      <c r="O429">
        <v>30039</v>
      </c>
    </row>
    <row r="430" spans="1:15">
      <c r="A430">
        <v>429</v>
      </c>
      <c r="B430">
        <v>5</v>
      </c>
      <c r="C430">
        <v>29</v>
      </c>
      <c r="D430" t="s">
        <v>297</v>
      </c>
      <c r="E430" t="s">
        <v>298</v>
      </c>
      <c r="G430">
        <v>30940</v>
      </c>
      <c r="H430">
        <v>8</v>
      </c>
      <c r="I430">
        <v>12</v>
      </c>
      <c r="J430">
        <v>412</v>
      </c>
      <c r="K430">
        <v>830000</v>
      </c>
      <c r="L430">
        <v>102</v>
      </c>
      <c r="O430">
        <v>32410</v>
      </c>
    </row>
    <row r="431" spans="1:15">
      <c r="A431">
        <v>430</v>
      </c>
      <c r="B431">
        <v>5</v>
      </c>
      <c r="C431">
        <v>30</v>
      </c>
      <c r="D431" t="s">
        <v>297</v>
      </c>
      <c r="E431" t="s">
        <v>299</v>
      </c>
      <c r="G431">
        <v>33070</v>
      </c>
      <c r="H431">
        <v>8</v>
      </c>
      <c r="I431">
        <v>12</v>
      </c>
      <c r="J431">
        <v>426</v>
      </c>
      <c r="K431">
        <v>870000</v>
      </c>
      <c r="L431">
        <v>106</v>
      </c>
      <c r="O431">
        <v>34871</v>
      </c>
    </row>
    <row r="432" spans="1:15">
      <c r="A432">
        <v>431</v>
      </c>
      <c r="B432">
        <v>5</v>
      </c>
      <c r="C432">
        <v>31</v>
      </c>
      <c r="D432" t="s">
        <v>300</v>
      </c>
      <c r="E432" t="s">
        <v>301</v>
      </c>
      <c r="G432">
        <v>35240</v>
      </c>
      <c r="H432">
        <v>8</v>
      </c>
      <c r="I432">
        <v>12</v>
      </c>
      <c r="J432">
        <v>440</v>
      </c>
      <c r="K432">
        <v>910000</v>
      </c>
      <c r="L432">
        <v>110</v>
      </c>
      <c r="O432">
        <v>36615</v>
      </c>
    </row>
    <row r="433" spans="1:15">
      <c r="A433">
        <v>432</v>
      </c>
      <c r="B433">
        <v>5</v>
      </c>
      <c r="C433">
        <v>32</v>
      </c>
      <c r="D433" t="s">
        <v>302</v>
      </c>
      <c r="E433" t="s">
        <v>303</v>
      </c>
      <c r="G433">
        <v>37480</v>
      </c>
      <c r="H433">
        <v>8</v>
      </c>
      <c r="I433">
        <v>12</v>
      </c>
      <c r="J433">
        <v>454</v>
      </c>
      <c r="K433">
        <v>950000</v>
      </c>
      <c r="L433">
        <v>114</v>
      </c>
      <c r="O433">
        <v>38446</v>
      </c>
    </row>
    <row r="434" spans="1:15">
      <c r="A434">
        <v>433</v>
      </c>
      <c r="B434">
        <v>5</v>
      </c>
      <c r="C434">
        <v>33</v>
      </c>
      <c r="D434" t="s">
        <v>304</v>
      </c>
      <c r="E434" t="s">
        <v>305</v>
      </c>
      <c r="G434">
        <v>39790</v>
      </c>
      <c r="H434">
        <v>8</v>
      </c>
      <c r="I434">
        <v>12</v>
      </c>
      <c r="J434">
        <v>468</v>
      </c>
      <c r="K434">
        <v>990000</v>
      </c>
      <c r="L434">
        <v>118</v>
      </c>
      <c r="O434">
        <v>40368</v>
      </c>
    </row>
    <row r="435" spans="1:15">
      <c r="A435">
        <v>434</v>
      </c>
      <c r="B435">
        <v>5</v>
      </c>
      <c r="C435">
        <v>34</v>
      </c>
      <c r="D435" t="s">
        <v>306</v>
      </c>
      <c r="E435" t="s">
        <v>307</v>
      </c>
      <c r="G435">
        <v>42170</v>
      </c>
      <c r="H435">
        <v>8</v>
      </c>
      <c r="I435">
        <v>12</v>
      </c>
      <c r="J435">
        <v>482</v>
      </c>
      <c r="K435">
        <v>1030000</v>
      </c>
      <c r="L435">
        <v>122</v>
      </c>
      <c r="O435">
        <v>42386</v>
      </c>
    </row>
    <row r="436" spans="1:15">
      <c r="A436">
        <v>435</v>
      </c>
      <c r="B436">
        <v>5</v>
      </c>
      <c r="C436">
        <v>35</v>
      </c>
      <c r="D436" t="s">
        <v>308</v>
      </c>
      <c r="E436" t="s">
        <v>309</v>
      </c>
      <c r="G436">
        <v>44620</v>
      </c>
      <c r="H436">
        <v>8</v>
      </c>
      <c r="I436">
        <v>12</v>
      </c>
      <c r="J436">
        <v>496</v>
      </c>
      <c r="K436">
        <v>1070000</v>
      </c>
      <c r="L436">
        <v>126</v>
      </c>
      <c r="O436">
        <v>44505</v>
      </c>
    </row>
    <row r="437" spans="1:15">
      <c r="A437">
        <v>436</v>
      </c>
      <c r="B437">
        <v>5</v>
      </c>
      <c r="C437">
        <v>36</v>
      </c>
      <c r="D437" t="s">
        <v>310</v>
      </c>
      <c r="E437" t="s">
        <v>311</v>
      </c>
      <c r="G437">
        <v>47140</v>
      </c>
      <c r="H437">
        <v>8</v>
      </c>
      <c r="I437">
        <v>12</v>
      </c>
      <c r="J437">
        <v>510</v>
      </c>
      <c r="K437">
        <v>1110000</v>
      </c>
      <c r="L437">
        <v>130</v>
      </c>
      <c r="O437">
        <v>46730</v>
      </c>
    </row>
    <row r="438" spans="1:15">
      <c r="A438">
        <v>437</v>
      </c>
      <c r="B438">
        <v>5</v>
      </c>
      <c r="C438">
        <v>37</v>
      </c>
      <c r="D438" t="s">
        <v>312</v>
      </c>
      <c r="E438" t="s">
        <v>313</v>
      </c>
      <c r="G438">
        <v>49730</v>
      </c>
      <c r="H438">
        <v>8</v>
      </c>
      <c r="I438">
        <v>12</v>
      </c>
      <c r="J438">
        <v>524</v>
      </c>
      <c r="K438">
        <v>1150000</v>
      </c>
      <c r="L438">
        <v>134</v>
      </c>
      <c r="O438">
        <v>49067</v>
      </c>
    </row>
    <row r="439" spans="1:15">
      <c r="A439">
        <v>438</v>
      </c>
      <c r="B439">
        <v>5</v>
      </c>
      <c r="C439">
        <v>38</v>
      </c>
      <c r="D439" t="s">
        <v>314</v>
      </c>
      <c r="E439" t="s">
        <v>315</v>
      </c>
      <c r="G439">
        <v>52390</v>
      </c>
      <c r="H439">
        <v>8</v>
      </c>
      <c r="I439">
        <v>12</v>
      </c>
      <c r="J439">
        <v>538</v>
      </c>
      <c r="K439">
        <v>1190000</v>
      </c>
      <c r="L439">
        <v>138</v>
      </c>
      <c r="O439">
        <v>51520</v>
      </c>
    </row>
    <row r="440" spans="1:15">
      <c r="A440">
        <v>439</v>
      </c>
      <c r="B440">
        <v>5</v>
      </c>
      <c r="C440">
        <v>39</v>
      </c>
      <c r="D440" t="s">
        <v>316</v>
      </c>
      <c r="E440" t="s">
        <v>317</v>
      </c>
      <c r="G440">
        <v>55120</v>
      </c>
      <c r="H440">
        <v>8</v>
      </c>
      <c r="I440">
        <v>12</v>
      </c>
      <c r="J440">
        <v>552</v>
      </c>
      <c r="K440">
        <v>1230000</v>
      </c>
      <c r="L440">
        <v>142</v>
      </c>
      <c r="O440">
        <v>54096</v>
      </c>
    </row>
    <row r="441" spans="1:15">
      <c r="A441">
        <v>440</v>
      </c>
      <c r="B441">
        <v>5</v>
      </c>
      <c r="C441">
        <v>40</v>
      </c>
      <c r="D441" t="s">
        <v>318</v>
      </c>
      <c r="E441" t="s">
        <v>319</v>
      </c>
      <c r="G441">
        <v>57920</v>
      </c>
      <c r="H441">
        <v>8</v>
      </c>
      <c r="I441">
        <v>12</v>
      </c>
      <c r="J441">
        <v>566</v>
      </c>
      <c r="K441">
        <v>1270000</v>
      </c>
      <c r="L441">
        <v>146</v>
      </c>
      <c r="O441">
        <v>56801</v>
      </c>
    </row>
    <row r="442" spans="1:15">
      <c r="A442">
        <v>441</v>
      </c>
      <c r="B442">
        <v>5</v>
      </c>
      <c r="C442">
        <v>41</v>
      </c>
      <c r="D442" t="s">
        <v>320</v>
      </c>
      <c r="E442" t="s">
        <v>321</v>
      </c>
      <c r="G442">
        <v>60615</v>
      </c>
      <c r="H442">
        <v>8</v>
      </c>
      <c r="I442">
        <v>12</v>
      </c>
      <c r="J442">
        <v>580</v>
      </c>
      <c r="K442">
        <v>1310000</v>
      </c>
      <c r="L442">
        <v>150</v>
      </c>
      <c r="O442">
        <v>59318</v>
      </c>
    </row>
    <row r="443" spans="1:15">
      <c r="A443">
        <v>442</v>
      </c>
      <c r="B443">
        <v>5</v>
      </c>
      <c r="C443">
        <v>42</v>
      </c>
      <c r="D443" t="s">
        <v>322</v>
      </c>
      <c r="E443" t="s">
        <v>323</v>
      </c>
      <c r="G443">
        <v>63345</v>
      </c>
      <c r="H443">
        <v>8</v>
      </c>
      <c r="I443">
        <v>12</v>
      </c>
      <c r="J443">
        <v>594</v>
      </c>
      <c r="K443">
        <v>1350000</v>
      </c>
      <c r="L443">
        <v>154</v>
      </c>
      <c r="O443">
        <v>61835</v>
      </c>
    </row>
    <row r="444" spans="1:15">
      <c r="A444">
        <v>443</v>
      </c>
      <c r="B444">
        <v>5</v>
      </c>
      <c r="C444">
        <v>43</v>
      </c>
      <c r="D444" t="s">
        <v>324</v>
      </c>
      <c r="E444" t="s">
        <v>325</v>
      </c>
      <c r="G444">
        <v>66075</v>
      </c>
      <c r="H444">
        <v>8</v>
      </c>
      <c r="I444">
        <v>12</v>
      </c>
      <c r="J444">
        <v>608</v>
      </c>
      <c r="K444">
        <v>1390000</v>
      </c>
      <c r="L444">
        <v>158</v>
      </c>
      <c r="O444">
        <v>64352</v>
      </c>
    </row>
    <row r="445" spans="1:15">
      <c r="A445">
        <v>444</v>
      </c>
      <c r="B445">
        <v>5</v>
      </c>
      <c r="C445">
        <v>44</v>
      </c>
      <c r="D445" t="s">
        <v>326</v>
      </c>
      <c r="E445" t="s">
        <v>327</v>
      </c>
      <c r="G445">
        <v>68805</v>
      </c>
      <c r="H445">
        <v>8</v>
      </c>
      <c r="I445">
        <v>12</v>
      </c>
      <c r="J445">
        <v>622</v>
      </c>
      <c r="K445">
        <v>1430000</v>
      </c>
      <c r="L445">
        <v>162</v>
      </c>
      <c r="O445">
        <v>66869</v>
      </c>
    </row>
    <row r="446" spans="1:15">
      <c r="A446">
        <v>445</v>
      </c>
      <c r="B446">
        <v>5</v>
      </c>
      <c r="C446">
        <v>45</v>
      </c>
      <c r="D446" t="s">
        <v>328</v>
      </c>
      <c r="E446" t="s">
        <v>329</v>
      </c>
      <c r="G446">
        <v>71535</v>
      </c>
      <c r="H446">
        <v>8</v>
      </c>
      <c r="I446">
        <v>12</v>
      </c>
      <c r="J446">
        <v>636</v>
      </c>
      <c r="K446">
        <v>1470000</v>
      </c>
      <c r="L446">
        <v>166</v>
      </c>
      <c r="O446">
        <v>69386</v>
      </c>
    </row>
    <row r="447" spans="1:15">
      <c r="A447">
        <v>446</v>
      </c>
      <c r="B447">
        <v>5</v>
      </c>
      <c r="C447">
        <v>46</v>
      </c>
      <c r="D447" t="s">
        <v>330</v>
      </c>
      <c r="E447" t="s">
        <v>331</v>
      </c>
      <c r="G447">
        <v>74265</v>
      </c>
      <c r="H447">
        <v>8</v>
      </c>
      <c r="I447">
        <v>12</v>
      </c>
      <c r="J447">
        <v>650</v>
      </c>
      <c r="K447">
        <v>1510000</v>
      </c>
      <c r="L447">
        <v>170</v>
      </c>
      <c r="O447">
        <v>71903</v>
      </c>
    </row>
    <row r="448" spans="1:15">
      <c r="A448">
        <v>447</v>
      </c>
      <c r="B448">
        <v>5</v>
      </c>
      <c r="C448">
        <v>47</v>
      </c>
      <c r="D448" t="s">
        <v>332</v>
      </c>
      <c r="E448" t="s">
        <v>333</v>
      </c>
      <c r="G448">
        <v>76995</v>
      </c>
      <c r="H448">
        <v>8</v>
      </c>
      <c r="I448">
        <v>12</v>
      </c>
      <c r="J448">
        <v>664</v>
      </c>
      <c r="K448">
        <v>1550000</v>
      </c>
      <c r="L448">
        <v>174</v>
      </c>
      <c r="O448">
        <v>74420</v>
      </c>
    </row>
    <row r="449" spans="1:15">
      <c r="A449">
        <v>448</v>
      </c>
      <c r="B449">
        <v>5</v>
      </c>
      <c r="C449">
        <v>48</v>
      </c>
      <c r="D449" t="s">
        <v>334</v>
      </c>
      <c r="E449" t="s">
        <v>335</v>
      </c>
      <c r="G449">
        <v>79725</v>
      </c>
      <c r="H449">
        <v>8</v>
      </c>
      <c r="I449">
        <v>12</v>
      </c>
      <c r="J449">
        <v>678</v>
      </c>
      <c r="K449">
        <v>1590000</v>
      </c>
      <c r="L449">
        <v>178</v>
      </c>
      <c r="O449">
        <v>76937</v>
      </c>
    </row>
    <row r="450" spans="1:15">
      <c r="A450">
        <v>449</v>
      </c>
      <c r="B450">
        <v>5</v>
      </c>
      <c r="C450">
        <v>49</v>
      </c>
      <c r="D450" t="s">
        <v>336</v>
      </c>
      <c r="E450" t="s">
        <v>337</v>
      </c>
      <c r="G450">
        <v>82455</v>
      </c>
      <c r="H450">
        <v>8</v>
      </c>
      <c r="I450">
        <v>12</v>
      </c>
      <c r="J450">
        <v>692</v>
      </c>
      <c r="K450">
        <v>1630000</v>
      </c>
      <c r="L450">
        <v>182</v>
      </c>
      <c r="O450">
        <v>79454</v>
      </c>
    </row>
    <row r="451" spans="1:15">
      <c r="A451">
        <v>450</v>
      </c>
      <c r="B451">
        <v>5</v>
      </c>
      <c r="C451">
        <v>50</v>
      </c>
      <c r="D451" t="s">
        <v>338</v>
      </c>
      <c r="E451" t="s">
        <v>339</v>
      </c>
      <c r="G451">
        <v>85185</v>
      </c>
      <c r="H451">
        <v>8</v>
      </c>
      <c r="I451">
        <v>12</v>
      </c>
      <c r="J451">
        <v>706</v>
      </c>
      <c r="K451">
        <v>1670000</v>
      </c>
      <c r="L451">
        <v>186</v>
      </c>
      <c r="O451">
        <v>81971</v>
      </c>
    </row>
    <row r="452" spans="1:15">
      <c r="A452">
        <v>451</v>
      </c>
      <c r="B452">
        <v>5</v>
      </c>
      <c r="C452">
        <v>51</v>
      </c>
      <c r="D452" t="s">
        <v>340</v>
      </c>
      <c r="E452" t="s">
        <v>341</v>
      </c>
      <c r="G452">
        <v>87915</v>
      </c>
      <c r="H452">
        <v>8</v>
      </c>
      <c r="I452">
        <v>12</v>
      </c>
      <c r="J452">
        <v>720</v>
      </c>
      <c r="K452">
        <v>1710000</v>
      </c>
      <c r="L452">
        <v>190</v>
      </c>
      <c r="O452">
        <v>84488</v>
      </c>
    </row>
    <row r="453" spans="1:15">
      <c r="A453">
        <v>452</v>
      </c>
      <c r="B453">
        <v>5</v>
      </c>
      <c r="C453">
        <v>52</v>
      </c>
      <c r="D453" t="s">
        <v>342</v>
      </c>
      <c r="E453" t="s">
        <v>343</v>
      </c>
      <c r="G453">
        <v>90645</v>
      </c>
      <c r="H453">
        <v>8</v>
      </c>
      <c r="I453">
        <v>12</v>
      </c>
      <c r="J453">
        <v>734</v>
      </c>
      <c r="K453">
        <v>1750000</v>
      </c>
      <c r="L453">
        <v>194</v>
      </c>
      <c r="O453">
        <v>87005</v>
      </c>
    </row>
    <row r="454" spans="1:15">
      <c r="A454">
        <v>453</v>
      </c>
      <c r="B454">
        <v>5</v>
      </c>
      <c r="C454">
        <v>53</v>
      </c>
      <c r="D454" t="s">
        <v>344</v>
      </c>
      <c r="E454" t="s">
        <v>345</v>
      </c>
      <c r="G454">
        <v>93375</v>
      </c>
      <c r="H454">
        <v>8</v>
      </c>
      <c r="I454">
        <v>12</v>
      </c>
      <c r="J454">
        <v>748</v>
      </c>
      <c r="K454">
        <v>1790000</v>
      </c>
      <c r="L454">
        <v>198</v>
      </c>
      <c r="O454">
        <v>89522</v>
      </c>
    </row>
    <row r="455" spans="1:15">
      <c r="A455">
        <v>454</v>
      </c>
      <c r="B455">
        <v>5</v>
      </c>
      <c r="C455">
        <v>54</v>
      </c>
      <c r="D455" t="s">
        <v>346</v>
      </c>
      <c r="E455" t="s">
        <v>347</v>
      </c>
      <c r="G455">
        <v>96105</v>
      </c>
      <c r="H455">
        <v>8</v>
      </c>
      <c r="I455">
        <v>12</v>
      </c>
      <c r="J455">
        <v>762</v>
      </c>
      <c r="K455">
        <v>1830000</v>
      </c>
      <c r="L455">
        <v>202</v>
      </c>
      <c r="O455">
        <v>92039</v>
      </c>
    </row>
    <row r="456" spans="1:15">
      <c r="A456">
        <v>455</v>
      </c>
      <c r="B456">
        <v>5</v>
      </c>
      <c r="C456">
        <v>55</v>
      </c>
      <c r="D456" t="s">
        <v>348</v>
      </c>
      <c r="E456" t="s">
        <v>349</v>
      </c>
      <c r="G456">
        <v>98835</v>
      </c>
      <c r="H456">
        <v>8</v>
      </c>
      <c r="I456">
        <v>12</v>
      </c>
      <c r="J456">
        <v>776</v>
      </c>
      <c r="K456">
        <v>1870000</v>
      </c>
      <c r="L456">
        <v>206</v>
      </c>
      <c r="O456">
        <v>94556</v>
      </c>
    </row>
    <row r="457" spans="1:15">
      <c r="A457">
        <v>456</v>
      </c>
      <c r="B457">
        <v>5</v>
      </c>
      <c r="C457">
        <v>56</v>
      </c>
      <c r="D457" t="s">
        <v>350</v>
      </c>
      <c r="E457" t="s">
        <v>351</v>
      </c>
      <c r="G457">
        <v>101565</v>
      </c>
      <c r="H457">
        <v>8</v>
      </c>
      <c r="I457">
        <v>12</v>
      </c>
      <c r="J457">
        <v>790</v>
      </c>
      <c r="K457">
        <v>1910000</v>
      </c>
      <c r="L457">
        <v>210</v>
      </c>
      <c r="O457">
        <v>97073</v>
      </c>
    </row>
    <row r="458" spans="1:15">
      <c r="A458">
        <v>457</v>
      </c>
      <c r="B458">
        <v>5</v>
      </c>
      <c r="C458">
        <v>57</v>
      </c>
      <c r="D458" t="s">
        <v>352</v>
      </c>
      <c r="E458" t="s">
        <v>353</v>
      </c>
      <c r="G458">
        <v>104295</v>
      </c>
      <c r="H458">
        <v>8</v>
      </c>
      <c r="I458">
        <v>12</v>
      </c>
      <c r="J458">
        <v>804</v>
      </c>
      <c r="K458">
        <v>1950000</v>
      </c>
      <c r="L458">
        <v>214</v>
      </c>
      <c r="O458">
        <v>99590</v>
      </c>
    </row>
    <row r="459" spans="1:15">
      <c r="A459">
        <v>458</v>
      </c>
      <c r="B459">
        <v>5</v>
      </c>
      <c r="C459">
        <v>58</v>
      </c>
      <c r="D459" t="s">
        <v>354</v>
      </c>
      <c r="E459" t="s">
        <v>355</v>
      </c>
      <c r="G459">
        <v>107025</v>
      </c>
      <c r="H459">
        <v>8</v>
      </c>
      <c r="I459">
        <v>12</v>
      </c>
      <c r="J459">
        <v>818</v>
      </c>
      <c r="K459">
        <v>1990000</v>
      </c>
      <c r="L459">
        <v>218</v>
      </c>
      <c r="O459">
        <v>102107</v>
      </c>
    </row>
    <row r="460" spans="1:15">
      <c r="A460">
        <v>459</v>
      </c>
      <c r="B460">
        <v>5</v>
      </c>
      <c r="C460">
        <v>59</v>
      </c>
      <c r="D460" t="s">
        <v>356</v>
      </c>
      <c r="E460" t="s">
        <v>357</v>
      </c>
      <c r="G460">
        <v>109755</v>
      </c>
      <c r="H460">
        <v>8</v>
      </c>
      <c r="I460">
        <v>12</v>
      </c>
      <c r="J460">
        <v>832</v>
      </c>
      <c r="K460">
        <v>2030000</v>
      </c>
      <c r="L460">
        <v>222</v>
      </c>
      <c r="O460">
        <v>104624</v>
      </c>
    </row>
    <row r="461" spans="1:15">
      <c r="A461">
        <v>460</v>
      </c>
      <c r="B461">
        <v>5</v>
      </c>
      <c r="C461">
        <v>60</v>
      </c>
      <c r="D461" t="s">
        <v>358</v>
      </c>
      <c r="E461" t="s">
        <v>359</v>
      </c>
      <c r="G461">
        <v>112485</v>
      </c>
      <c r="H461">
        <v>8</v>
      </c>
      <c r="I461">
        <v>12</v>
      </c>
      <c r="J461">
        <v>846</v>
      </c>
      <c r="K461">
        <v>2070000</v>
      </c>
      <c r="L461">
        <v>226</v>
      </c>
      <c r="O461">
        <v>107141</v>
      </c>
    </row>
    <row r="462" spans="1:15">
      <c r="A462">
        <v>461</v>
      </c>
      <c r="B462">
        <v>5</v>
      </c>
      <c r="C462">
        <v>61</v>
      </c>
      <c r="D462" t="s">
        <v>360</v>
      </c>
      <c r="E462" t="s">
        <v>361</v>
      </c>
      <c r="G462">
        <v>115215</v>
      </c>
      <c r="H462">
        <v>8</v>
      </c>
      <c r="I462">
        <v>12</v>
      </c>
      <c r="J462">
        <v>860</v>
      </c>
      <c r="K462">
        <v>2110000</v>
      </c>
      <c r="L462">
        <v>230</v>
      </c>
      <c r="O462">
        <v>109658</v>
      </c>
    </row>
    <row r="463" spans="1:15">
      <c r="A463">
        <v>462</v>
      </c>
      <c r="B463">
        <v>5</v>
      </c>
      <c r="C463">
        <v>62</v>
      </c>
      <c r="D463" t="s">
        <v>362</v>
      </c>
      <c r="E463" t="s">
        <v>363</v>
      </c>
      <c r="G463">
        <v>117945</v>
      </c>
      <c r="H463">
        <v>8</v>
      </c>
      <c r="I463">
        <v>12</v>
      </c>
      <c r="J463">
        <v>874</v>
      </c>
      <c r="K463">
        <v>2150000</v>
      </c>
      <c r="L463">
        <v>234</v>
      </c>
      <c r="O463">
        <v>112175</v>
      </c>
    </row>
    <row r="464" spans="1:15">
      <c r="A464">
        <v>463</v>
      </c>
      <c r="B464">
        <v>5</v>
      </c>
      <c r="C464">
        <v>63</v>
      </c>
      <c r="D464" t="s">
        <v>364</v>
      </c>
      <c r="E464" t="s">
        <v>365</v>
      </c>
      <c r="G464">
        <v>120675</v>
      </c>
      <c r="H464">
        <v>8</v>
      </c>
      <c r="I464">
        <v>12</v>
      </c>
      <c r="J464">
        <v>888</v>
      </c>
      <c r="K464">
        <v>2190000</v>
      </c>
      <c r="L464">
        <v>238</v>
      </c>
      <c r="O464">
        <v>114692</v>
      </c>
    </row>
    <row r="465" spans="1:15">
      <c r="A465">
        <v>464</v>
      </c>
      <c r="B465">
        <v>5</v>
      </c>
      <c r="C465">
        <v>64</v>
      </c>
      <c r="D465" t="s">
        <v>366</v>
      </c>
      <c r="E465" t="s">
        <v>367</v>
      </c>
      <c r="G465">
        <v>123405</v>
      </c>
      <c r="H465">
        <v>8</v>
      </c>
      <c r="I465">
        <v>12</v>
      </c>
      <c r="J465">
        <v>902</v>
      </c>
      <c r="K465">
        <v>2230000</v>
      </c>
      <c r="L465">
        <v>242</v>
      </c>
      <c r="O465">
        <v>117209</v>
      </c>
    </row>
    <row r="466" spans="1:15">
      <c r="A466">
        <v>465</v>
      </c>
      <c r="B466">
        <v>5</v>
      </c>
      <c r="C466">
        <v>65</v>
      </c>
      <c r="D466" t="s">
        <v>368</v>
      </c>
      <c r="E466" t="s">
        <v>369</v>
      </c>
      <c r="G466">
        <v>126135</v>
      </c>
      <c r="H466">
        <v>8</v>
      </c>
      <c r="I466">
        <v>12</v>
      </c>
      <c r="J466">
        <v>916</v>
      </c>
      <c r="K466">
        <v>2270000</v>
      </c>
      <c r="L466">
        <v>246</v>
      </c>
      <c r="O466">
        <v>119726</v>
      </c>
    </row>
    <row r="467" spans="1:15">
      <c r="A467">
        <v>466</v>
      </c>
      <c r="B467">
        <v>5</v>
      </c>
      <c r="C467">
        <v>66</v>
      </c>
      <c r="D467" t="s">
        <v>370</v>
      </c>
      <c r="E467" t="s">
        <v>371</v>
      </c>
      <c r="G467">
        <v>128865</v>
      </c>
      <c r="H467">
        <v>8</v>
      </c>
      <c r="I467">
        <v>12</v>
      </c>
      <c r="J467">
        <v>930</v>
      </c>
      <c r="K467">
        <v>2310000</v>
      </c>
      <c r="L467">
        <v>250</v>
      </c>
      <c r="O467">
        <v>122243</v>
      </c>
    </row>
    <row r="468" spans="1:15">
      <c r="A468">
        <v>467</v>
      </c>
      <c r="B468">
        <v>5</v>
      </c>
      <c r="C468">
        <v>67</v>
      </c>
      <c r="D468" t="s">
        <v>372</v>
      </c>
      <c r="E468" t="s">
        <v>373</v>
      </c>
      <c r="G468">
        <v>131595</v>
      </c>
      <c r="H468">
        <v>8</v>
      </c>
      <c r="I468">
        <v>12</v>
      </c>
      <c r="J468">
        <v>944</v>
      </c>
      <c r="K468">
        <v>2350000</v>
      </c>
      <c r="L468">
        <v>254</v>
      </c>
      <c r="O468">
        <v>124760</v>
      </c>
    </row>
    <row r="469" spans="1:15">
      <c r="A469">
        <v>468</v>
      </c>
      <c r="B469">
        <v>5</v>
      </c>
      <c r="C469">
        <v>68</v>
      </c>
      <c r="D469" t="s">
        <v>374</v>
      </c>
      <c r="E469" t="s">
        <v>375</v>
      </c>
      <c r="G469">
        <v>134325</v>
      </c>
      <c r="H469">
        <v>8</v>
      </c>
      <c r="I469">
        <v>12</v>
      </c>
      <c r="J469">
        <v>958</v>
      </c>
      <c r="K469">
        <v>2390000</v>
      </c>
      <c r="L469">
        <v>258</v>
      </c>
      <c r="O469">
        <v>127277</v>
      </c>
    </row>
    <row r="470" spans="1:15">
      <c r="A470">
        <v>469</v>
      </c>
      <c r="B470">
        <v>5</v>
      </c>
      <c r="C470">
        <v>69</v>
      </c>
      <c r="D470" t="s">
        <v>376</v>
      </c>
      <c r="E470" t="s">
        <v>377</v>
      </c>
      <c r="G470">
        <v>137055</v>
      </c>
      <c r="H470">
        <v>8</v>
      </c>
      <c r="I470">
        <v>12</v>
      </c>
      <c r="J470">
        <v>972</v>
      </c>
      <c r="K470">
        <v>2430000</v>
      </c>
      <c r="L470">
        <v>262</v>
      </c>
      <c r="O470">
        <v>129794</v>
      </c>
    </row>
    <row r="471" spans="1:15">
      <c r="A471">
        <v>470</v>
      </c>
      <c r="B471">
        <v>5</v>
      </c>
      <c r="C471">
        <v>70</v>
      </c>
      <c r="D471" t="s">
        <v>378</v>
      </c>
      <c r="E471" t="s">
        <v>379</v>
      </c>
      <c r="G471">
        <v>139785</v>
      </c>
      <c r="H471">
        <v>8</v>
      </c>
      <c r="I471">
        <v>12</v>
      </c>
      <c r="J471">
        <v>986</v>
      </c>
      <c r="K471">
        <v>2470000</v>
      </c>
      <c r="L471">
        <v>266</v>
      </c>
      <c r="O471">
        <v>132311</v>
      </c>
    </row>
    <row r="472" spans="1:15">
      <c r="A472">
        <v>471</v>
      </c>
      <c r="B472">
        <v>5</v>
      </c>
      <c r="C472">
        <v>71</v>
      </c>
      <c r="D472" t="s">
        <v>380</v>
      </c>
      <c r="E472" t="s">
        <v>381</v>
      </c>
      <c r="G472">
        <v>142515</v>
      </c>
      <c r="H472">
        <v>8</v>
      </c>
      <c r="I472">
        <v>12</v>
      </c>
      <c r="J472">
        <v>1000</v>
      </c>
      <c r="K472">
        <v>2510000</v>
      </c>
      <c r="L472">
        <v>270</v>
      </c>
      <c r="O472">
        <v>134828</v>
      </c>
    </row>
    <row r="473" spans="1:15">
      <c r="A473">
        <v>472</v>
      </c>
      <c r="B473">
        <v>5</v>
      </c>
      <c r="C473">
        <v>72</v>
      </c>
      <c r="D473" t="s">
        <v>382</v>
      </c>
      <c r="E473" t="s">
        <v>383</v>
      </c>
      <c r="G473">
        <v>145245</v>
      </c>
      <c r="H473">
        <v>8</v>
      </c>
      <c r="I473">
        <v>12</v>
      </c>
      <c r="J473">
        <v>1014</v>
      </c>
      <c r="K473">
        <v>2550000</v>
      </c>
      <c r="L473">
        <v>274</v>
      </c>
      <c r="O473">
        <v>137345</v>
      </c>
    </row>
    <row r="474" spans="1:15">
      <c r="A474">
        <v>473</v>
      </c>
      <c r="B474">
        <v>5</v>
      </c>
      <c r="C474">
        <v>73</v>
      </c>
      <c r="D474" t="s">
        <v>384</v>
      </c>
      <c r="E474" t="s">
        <v>385</v>
      </c>
      <c r="G474">
        <v>147975</v>
      </c>
      <c r="H474">
        <v>8</v>
      </c>
      <c r="I474">
        <v>12</v>
      </c>
      <c r="J474">
        <v>1028</v>
      </c>
      <c r="K474">
        <v>2590000</v>
      </c>
      <c r="L474">
        <v>278</v>
      </c>
      <c r="O474">
        <v>139862</v>
      </c>
    </row>
    <row r="475" spans="1:15">
      <c r="A475">
        <v>474</v>
      </c>
      <c r="B475">
        <v>5</v>
      </c>
      <c r="C475">
        <v>74</v>
      </c>
      <c r="D475" t="s">
        <v>386</v>
      </c>
      <c r="E475" t="s">
        <v>387</v>
      </c>
      <c r="G475">
        <v>150705</v>
      </c>
      <c r="H475">
        <v>8</v>
      </c>
      <c r="I475">
        <v>12</v>
      </c>
      <c r="J475">
        <v>1042</v>
      </c>
      <c r="K475">
        <v>2630000</v>
      </c>
      <c r="L475">
        <v>282</v>
      </c>
      <c r="O475">
        <v>142379</v>
      </c>
    </row>
    <row r="476" spans="1:15">
      <c r="A476">
        <v>475</v>
      </c>
      <c r="B476">
        <v>5</v>
      </c>
      <c r="C476">
        <v>75</v>
      </c>
      <c r="D476" t="s">
        <v>388</v>
      </c>
      <c r="E476" t="s">
        <v>389</v>
      </c>
      <c r="G476">
        <v>153435</v>
      </c>
      <c r="H476">
        <v>8</v>
      </c>
      <c r="I476">
        <v>12</v>
      </c>
      <c r="J476">
        <v>1056</v>
      </c>
      <c r="K476">
        <v>2670000</v>
      </c>
      <c r="L476">
        <v>286</v>
      </c>
      <c r="O476">
        <v>144896</v>
      </c>
    </row>
    <row r="477" spans="1:15">
      <c r="A477">
        <v>476</v>
      </c>
      <c r="B477">
        <v>5</v>
      </c>
      <c r="C477">
        <v>76</v>
      </c>
      <c r="D477" t="s">
        <v>390</v>
      </c>
      <c r="E477" t="s">
        <v>391</v>
      </c>
      <c r="G477">
        <v>156165</v>
      </c>
      <c r="H477">
        <v>8</v>
      </c>
      <c r="I477">
        <v>12</v>
      </c>
      <c r="J477">
        <v>1070</v>
      </c>
      <c r="K477">
        <v>2710000</v>
      </c>
      <c r="L477">
        <v>290</v>
      </c>
      <c r="O477">
        <v>147413</v>
      </c>
    </row>
    <row r="478" spans="1:15">
      <c r="A478">
        <v>477</v>
      </c>
      <c r="B478">
        <v>5</v>
      </c>
      <c r="C478">
        <v>77</v>
      </c>
      <c r="D478" t="s">
        <v>392</v>
      </c>
      <c r="E478" t="s">
        <v>393</v>
      </c>
      <c r="G478">
        <v>158895</v>
      </c>
      <c r="H478">
        <v>8</v>
      </c>
      <c r="I478">
        <v>12</v>
      </c>
      <c r="J478">
        <v>1084</v>
      </c>
      <c r="K478">
        <v>2750000</v>
      </c>
      <c r="L478">
        <v>294</v>
      </c>
      <c r="O478">
        <v>149930</v>
      </c>
    </row>
    <row r="479" spans="1:15">
      <c r="A479">
        <v>478</v>
      </c>
      <c r="B479">
        <v>5</v>
      </c>
      <c r="C479">
        <v>78</v>
      </c>
      <c r="D479" t="s">
        <v>394</v>
      </c>
      <c r="E479" t="s">
        <v>395</v>
      </c>
      <c r="G479">
        <v>161625</v>
      </c>
      <c r="H479">
        <v>8</v>
      </c>
      <c r="I479">
        <v>12</v>
      </c>
      <c r="J479">
        <v>1098</v>
      </c>
      <c r="K479">
        <v>2790000</v>
      </c>
      <c r="L479">
        <v>298</v>
      </c>
      <c r="O479">
        <v>152447</v>
      </c>
    </row>
    <row r="480" spans="1:15">
      <c r="A480">
        <v>479</v>
      </c>
      <c r="B480">
        <v>5</v>
      </c>
      <c r="C480">
        <v>79</v>
      </c>
      <c r="D480" t="s">
        <v>396</v>
      </c>
      <c r="E480" t="s">
        <v>397</v>
      </c>
      <c r="G480">
        <v>164355</v>
      </c>
      <c r="H480">
        <v>8</v>
      </c>
      <c r="I480">
        <v>12</v>
      </c>
      <c r="J480">
        <v>1112</v>
      </c>
      <c r="K480">
        <v>2830000</v>
      </c>
      <c r="L480">
        <v>302</v>
      </c>
      <c r="O480">
        <v>154964</v>
      </c>
    </row>
    <row r="481" spans="1:15">
      <c r="A481">
        <v>480</v>
      </c>
      <c r="B481">
        <v>5</v>
      </c>
      <c r="C481">
        <v>80</v>
      </c>
      <c r="D481" t="s">
        <v>398</v>
      </c>
      <c r="E481" t="s">
        <v>399</v>
      </c>
      <c r="G481">
        <v>167085</v>
      </c>
      <c r="H481">
        <v>8</v>
      </c>
      <c r="I481">
        <v>12</v>
      </c>
      <c r="J481">
        <v>1126</v>
      </c>
      <c r="K481">
        <v>2870000</v>
      </c>
      <c r="L481">
        <v>306</v>
      </c>
      <c r="O481">
        <v>157481</v>
      </c>
    </row>
    <row r="482" spans="1:15">
      <c r="A482">
        <v>481</v>
      </c>
      <c r="B482">
        <v>5</v>
      </c>
      <c r="C482">
        <v>81</v>
      </c>
      <c r="D482" t="s">
        <v>400</v>
      </c>
      <c r="E482" t="s">
        <v>401</v>
      </c>
      <c r="G482">
        <v>169815</v>
      </c>
      <c r="H482">
        <v>8</v>
      </c>
      <c r="I482">
        <v>12</v>
      </c>
      <c r="J482">
        <v>1140</v>
      </c>
      <c r="K482">
        <v>2910000</v>
      </c>
      <c r="L482">
        <v>310</v>
      </c>
      <c r="O482">
        <v>159998</v>
      </c>
    </row>
    <row r="483" spans="1:15">
      <c r="A483">
        <v>482</v>
      </c>
      <c r="B483">
        <v>5</v>
      </c>
      <c r="C483">
        <v>82</v>
      </c>
      <c r="D483" t="s">
        <v>402</v>
      </c>
      <c r="E483" t="s">
        <v>403</v>
      </c>
      <c r="G483">
        <v>172545</v>
      </c>
      <c r="H483">
        <v>8</v>
      </c>
      <c r="I483">
        <v>12</v>
      </c>
      <c r="J483">
        <v>1154</v>
      </c>
      <c r="K483">
        <v>2950000</v>
      </c>
      <c r="L483">
        <v>314</v>
      </c>
      <c r="O483">
        <v>162515</v>
      </c>
    </row>
    <row r="484" spans="1:15">
      <c r="A484">
        <v>483</v>
      </c>
      <c r="B484">
        <v>5</v>
      </c>
      <c r="C484">
        <v>83</v>
      </c>
      <c r="D484" t="s">
        <v>404</v>
      </c>
      <c r="E484" t="s">
        <v>405</v>
      </c>
      <c r="G484">
        <v>175275</v>
      </c>
      <c r="H484">
        <v>8</v>
      </c>
      <c r="I484">
        <v>12</v>
      </c>
      <c r="J484">
        <v>1168</v>
      </c>
      <c r="K484">
        <v>2990000</v>
      </c>
      <c r="L484">
        <v>318</v>
      </c>
      <c r="O484">
        <v>165032</v>
      </c>
    </row>
    <row r="485" spans="1:15">
      <c r="A485">
        <v>484</v>
      </c>
      <c r="B485">
        <v>5</v>
      </c>
      <c r="C485">
        <v>84</v>
      </c>
      <c r="D485" t="s">
        <v>406</v>
      </c>
      <c r="E485" t="s">
        <v>407</v>
      </c>
      <c r="G485">
        <v>178005</v>
      </c>
      <c r="H485">
        <v>8</v>
      </c>
      <c r="I485">
        <v>12</v>
      </c>
      <c r="J485">
        <v>1182</v>
      </c>
      <c r="K485">
        <v>3030000</v>
      </c>
      <c r="L485">
        <v>322</v>
      </c>
      <c r="O485">
        <v>167549</v>
      </c>
    </row>
    <row r="486" spans="1:15">
      <c r="A486">
        <v>485</v>
      </c>
      <c r="B486">
        <v>5</v>
      </c>
      <c r="C486">
        <v>85</v>
      </c>
      <c r="D486" t="s">
        <v>408</v>
      </c>
      <c r="E486" t="s">
        <v>409</v>
      </c>
      <c r="G486">
        <v>180735</v>
      </c>
      <c r="H486">
        <v>8</v>
      </c>
      <c r="I486">
        <v>12</v>
      </c>
      <c r="J486">
        <v>1196</v>
      </c>
      <c r="K486">
        <v>3070000</v>
      </c>
      <c r="L486">
        <v>326</v>
      </c>
      <c r="O486">
        <v>170066</v>
      </c>
    </row>
    <row r="487" spans="1:15">
      <c r="A487">
        <v>486</v>
      </c>
      <c r="B487">
        <v>5</v>
      </c>
      <c r="C487">
        <v>86</v>
      </c>
      <c r="D487" t="s">
        <v>410</v>
      </c>
      <c r="E487" t="s">
        <v>411</v>
      </c>
      <c r="G487">
        <v>183465</v>
      </c>
      <c r="H487">
        <v>8</v>
      </c>
      <c r="I487">
        <v>12</v>
      </c>
      <c r="J487">
        <v>1210</v>
      </c>
      <c r="K487">
        <v>3110000</v>
      </c>
      <c r="L487">
        <v>330</v>
      </c>
      <c r="O487">
        <v>172583</v>
      </c>
    </row>
    <row r="488" spans="1:15">
      <c r="A488">
        <v>487</v>
      </c>
      <c r="B488">
        <v>5</v>
      </c>
      <c r="C488">
        <v>87</v>
      </c>
      <c r="D488" t="s">
        <v>412</v>
      </c>
      <c r="E488" t="s">
        <v>413</v>
      </c>
      <c r="G488">
        <v>186195</v>
      </c>
      <c r="H488">
        <v>8</v>
      </c>
      <c r="I488">
        <v>12</v>
      </c>
      <c r="J488">
        <v>1224</v>
      </c>
      <c r="K488">
        <v>3150000</v>
      </c>
      <c r="L488">
        <v>334</v>
      </c>
      <c r="O488">
        <v>175100</v>
      </c>
    </row>
    <row r="489" spans="1:15">
      <c r="A489">
        <v>488</v>
      </c>
      <c r="B489">
        <v>5</v>
      </c>
      <c r="C489">
        <v>88</v>
      </c>
      <c r="D489" t="s">
        <v>414</v>
      </c>
      <c r="E489" t="s">
        <v>415</v>
      </c>
      <c r="G489">
        <v>188925</v>
      </c>
      <c r="H489">
        <v>8</v>
      </c>
      <c r="I489">
        <v>12</v>
      </c>
      <c r="J489">
        <v>1238</v>
      </c>
      <c r="K489">
        <v>3190000</v>
      </c>
      <c r="L489">
        <v>338</v>
      </c>
      <c r="O489">
        <v>177617</v>
      </c>
    </row>
    <row r="490" spans="1:15">
      <c r="A490">
        <v>489</v>
      </c>
      <c r="B490">
        <v>5</v>
      </c>
      <c r="C490">
        <v>89</v>
      </c>
      <c r="D490" t="s">
        <v>416</v>
      </c>
      <c r="E490" t="s">
        <v>417</v>
      </c>
      <c r="G490">
        <v>191655</v>
      </c>
      <c r="H490">
        <v>8</v>
      </c>
      <c r="I490">
        <v>12</v>
      </c>
      <c r="J490">
        <v>1252</v>
      </c>
      <c r="K490">
        <v>3230000</v>
      </c>
      <c r="L490">
        <v>342</v>
      </c>
      <c r="O490">
        <v>180134</v>
      </c>
    </row>
    <row r="491" spans="1:15">
      <c r="A491">
        <v>490</v>
      </c>
      <c r="B491">
        <v>5</v>
      </c>
      <c r="C491">
        <v>90</v>
      </c>
      <c r="D491" t="s">
        <v>418</v>
      </c>
      <c r="E491" t="s">
        <v>419</v>
      </c>
      <c r="G491">
        <v>194385</v>
      </c>
      <c r="H491">
        <v>8</v>
      </c>
      <c r="I491">
        <v>12</v>
      </c>
      <c r="J491">
        <v>1266</v>
      </c>
      <c r="K491">
        <v>3270000</v>
      </c>
      <c r="L491">
        <v>346</v>
      </c>
      <c r="O491">
        <v>182651</v>
      </c>
    </row>
    <row r="492" spans="1:15">
      <c r="A492">
        <v>491</v>
      </c>
      <c r="B492">
        <v>5</v>
      </c>
      <c r="C492">
        <v>91</v>
      </c>
      <c r="D492" t="s">
        <v>420</v>
      </c>
      <c r="E492" t="s">
        <v>421</v>
      </c>
      <c r="G492">
        <v>197115</v>
      </c>
      <c r="H492">
        <v>8</v>
      </c>
      <c r="I492">
        <v>12</v>
      </c>
      <c r="J492">
        <v>1280</v>
      </c>
      <c r="K492">
        <v>3310000</v>
      </c>
      <c r="L492">
        <v>350</v>
      </c>
      <c r="O492">
        <v>185168</v>
      </c>
    </row>
    <row r="493" spans="1:15">
      <c r="A493">
        <v>492</v>
      </c>
      <c r="B493">
        <v>5</v>
      </c>
      <c r="C493">
        <v>92</v>
      </c>
      <c r="D493" t="s">
        <v>422</v>
      </c>
      <c r="E493" t="s">
        <v>423</v>
      </c>
      <c r="G493">
        <v>199845</v>
      </c>
      <c r="H493">
        <v>8</v>
      </c>
      <c r="I493">
        <v>12</v>
      </c>
      <c r="J493">
        <v>1294</v>
      </c>
      <c r="K493">
        <v>3350000</v>
      </c>
      <c r="L493">
        <v>354</v>
      </c>
      <c r="O493">
        <v>187685</v>
      </c>
    </row>
    <row r="494" spans="1:15">
      <c r="A494">
        <v>493</v>
      </c>
      <c r="B494">
        <v>5</v>
      </c>
      <c r="C494">
        <v>93</v>
      </c>
      <c r="D494" t="s">
        <v>424</v>
      </c>
      <c r="E494" t="s">
        <v>425</v>
      </c>
      <c r="G494">
        <v>202575</v>
      </c>
      <c r="H494">
        <v>8</v>
      </c>
      <c r="I494">
        <v>12</v>
      </c>
      <c r="J494">
        <v>1308</v>
      </c>
      <c r="K494">
        <v>3390000</v>
      </c>
      <c r="L494">
        <v>358</v>
      </c>
      <c r="O494">
        <v>190202</v>
      </c>
    </row>
    <row r="495" spans="1:15">
      <c r="A495">
        <v>494</v>
      </c>
      <c r="B495">
        <v>5</v>
      </c>
      <c r="C495">
        <v>94</v>
      </c>
      <c r="D495" t="s">
        <v>426</v>
      </c>
      <c r="E495" t="s">
        <v>427</v>
      </c>
      <c r="G495">
        <v>205305</v>
      </c>
      <c r="H495">
        <v>8</v>
      </c>
      <c r="I495">
        <v>12</v>
      </c>
      <c r="J495">
        <v>1322</v>
      </c>
      <c r="K495">
        <v>3430000</v>
      </c>
      <c r="L495">
        <v>362</v>
      </c>
      <c r="O495">
        <v>192719</v>
      </c>
    </row>
    <row r="496" spans="1:15">
      <c r="A496">
        <v>495</v>
      </c>
      <c r="B496">
        <v>5</v>
      </c>
      <c r="C496">
        <v>95</v>
      </c>
      <c r="D496" t="s">
        <v>428</v>
      </c>
      <c r="E496" t="s">
        <v>429</v>
      </c>
      <c r="G496">
        <v>208035</v>
      </c>
      <c r="H496">
        <v>8</v>
      </c>
      <c r="I496">
        <v>12</v>
      </c>
      <c r="J496">
        <v>1336</v>
      </c>
      <c r="K496">
        <v>3470000</v>
      </c>
      <c r="L496">
        <v>366</v>
      </c>
      <c r="O496">
        <v>195236</v>
      </c>
    </row>
    <row r="497" spans="1:15">
      <c r="A497">
        <v>496</v>
      </c>
      <c r="B497">
        <v>5</v>
      </c>
      <c r="C497">
        <v>96</v>
      </c>
      <c r="D497" t="s">
        <v>430</v>
      </c>
      <c r="E497" t="s">
        <v>431</v>
      </c>
      <c r="G497">
        <v>210765</v>
      </c>
      <c r="H497">
        <v>8</v>
      </c>
      <c r="I497">
        <v>12</v>
      </c>
      <c r="J497">
        <v>1350</v>
      </c>
      <c r="K497">
        <v>3510000</v>
      </c>
      <c r="L497">
        <v>370</v>
      </c>
      <c r="O497">
        <v>197753</v>
      </c>
    </row>
    <row r="498" spans="1:15">
      <c r="A498">
        <v>497</v>
      </c>
      <c r="B498">
        <v>5</v>
      </c>
      <c r="C498">
        <v>97</v>
      </c>
      <c r="D498" t="s">
        <v>432</v>
      </c>
      <c r="E498" t="s">
        <v>433</v>
      </c>
      <c r="G498">
        <v>213495</v>
      </c>
      <c r="H498">
        <v>8</v>
      </c>
      <c r="I498">
        <v>12</v>
      </c>
      <c r="J498">
        <v>1364</v>
      </c>
      <c r="K498">
        <v>3550000</v>
      </c>
      <c r="L498">
        <v>374</v>
      </c>
      <c r="O498">
        <v>200270</v>
      </c>
    </row>
    <row r="499" spans="1:15">
      <c r="A499">
        <v>498</v>
      </c>
      <c r="B499">
        <v>5</v>
      </c>
      <c r="C499">
        <v>98</v>
      </c>
      <c r="D499" t="s">
        <v>434</v>
      </c>
      <c r="E499" t="s">
        <v>435</v>
      </c>
      <c r="G499">
        <v>216225</v>
      </c>
      <c r="H499">
        <v>8</v>
      </c>
      <c r="I499">
        <v>12</v>
      </c>
      <c r="J499">
        <v>1378</v>
      </c>
      <c r="K499">
        <v>3590000</v>
      </c>
      <c r="L499">
        <v>378</v>
      </c>
      <c r="O499">
        <v>202787</v>
      </c>
    </row>
    <row r="500" spans="1:15">
      <c r="A500">
        <v>499</v>
      </c>
      <c r="B500">
        <v>5</v>
      </c>
      <c r="C500">
        <v>99</v>
      </c>
      <c r="D500" t="s">
        <v>436</v>
      </c>
      <c r="E500" t="s">
        <v>437</v>
      </c>
      <c r="G500">
        <v>218955</v>
      </c>
      <c r="H500">
        <v>8</v>
      </c>
      <c r="I500">
        <v>12</v>
      </c>
      <c r="J500">
        <v>1392</v>
      </c>
      <c r="K500">
        <v>3630000</v>
      </c>
      <c r="L500">
        <v>382</v>
      </c>
      <c r="O500">
        <v>205304</v>
      </c>
    </row>
    <row r="501" spans="1:15">
      <c r="A501">
        <v>500</v>
      </c>
      <c r="B501">
        <v>5</v>
      </c>
      <c r="C501">
        <v>100</v>
      </c>
      <c r="D501" t="s">
        <v>438</v>
      </c>
      <c r="E501" t="s">
        <v>439</v>
      </c>
      <c r="G501">
        <v>221685</v>
      </c>
      <c r="H501">
        <v>8</v>
      </c>
      <c r="I501">
        <v>12</v>
      </c>
      <c r="J501">
        <v>1406</v>
      </c>
      <c r="K501">
        <v>3670000</v>
      </c>
      <c r="L501">
        <v>386</v>
      </c>
      <c r="N501">
        <v>1</v>
      </c>
      <c r="O501">
        <v>207821</v>
      </c>
    </row>
    <row r="502" spans="1:15">
      <c r="A502">
        <v>501</v>
      </c>
      <c r="B502">
        <v>6</v>
      </c>
      <c r="C502">
        <v>1</v>
      </c>
      <c r="D502" t="s">
        <v>233</v>
      </c>
      <c r="E502" t="s">
        <v>234</v>
      </c>
      <c r="G502" s="1">
        <v>70</v>
      </c>
      <c r="H502" s="1">
        <v>8</v>
      </c>
      <c r="I502" s="1">
        <v>12</v>
      </c>
      <c r="J502" s="1">
        <v>14</v>
      </c>
      <c r="K502">
        <v>5000</v>
      </c>
      <c r="L502">
        <v>2</v>
      </c>
      <c r="O502">
        <v>11</v>
      </c>
    </row>
    <row r="503" spans="1:15">
      <c r="A503">
        <v>502</v>
      </c>
      <c r="B503">
        <v>6</v>
      </c>
      <c r="C503">
        <v>2</v>
      </c>
      <c r="D503" t="s">
        <v>238</v>
      </c>
      <c r="E503" t="s">
        <v>239</v>
      </c>
      <c r="G503" s="1">
        <v>210</v>
      </c>
      <c r="H503" s="1">
        <v>8</v>
      </c>
      <c r="I503" s="1">
        <v>12</v>
      </c>
      <c r="J503" s="1">
        <v>28</v>
      </c>
      <c r="K503">
        <v>10000</v>
      </c>
      <c r="L503">
        <v>4</v>
      </c>
      <c r="M503" t="s">
        <v>440</v>
      </c>
      <c r="O503">
        <v>55</v>
      </c>
    </row>
    <row r="504" spans="1:15">
      <c r="A504">
        <v>503</v>
      </c>
      <c r="B504">
        <v>6</v>
      </c>
      <c r="C504">
        <v>3</v>
      </c>
      <c r="D504" t="s">
        <v>243</v>
      </c>
      <c r="E504" t="s">
        <v>244</v>
      </c>
      <c r="G504" s="1">
        <v>420</v>
      </c>
      <c r="H504" s="1">
        <v>8</v>
      </c>
      <c r="I504" s="1">
        <v>12</v>
      </c>
      <c r="J504" s="1">
        <v>42</v>
      </c>
      <c r="K504">
        <v>18000</v>
      </c>
      <c r="L504">
        <v>6</v>
      </c>
      <c r="M504" t="s">
        <v>441</v>
      </c>
      <c r="O504">
        <v>144</v>
      </c>
    </row>
    <row r="505" spans="1:15">
      <c r="A505">
        <v>504</v>
      </c>
      <c r="B505">
        <v>6</v>
      </c>
      <c r="C505">
        <v>4</v>
      </c>
      <c r="D505" t="s">
        <v>246</v>
      </c>
      <c r="E505" t="s">
        <v>247</v>
      </c>
      <c r="G505" s="1">
        <v>710</v>
      </c>
      <c r="H505" s="1">
        <v>8</v>
      </c>
      <c r="I505" s="1">
        <v>12</v>
      </c>
      <c r="J505" s="1">
        <v>58</v>
      </c>
      <c r="K505">
        <v>28000</v>
      </c>
      <c r="L505">
        <v>8</v>
      </c>
      <c r="O505">
        <v>285</v>
      </c>
    </row>
    <row r="506" spans="1:15">
      <c r="A506">
        <v>505</v>
      </c>
      <c r="B506">
        <v>6</v>
      </c>
      <c r="C506">
        <v>5</v>
      </c>
      <c r="D506" t="s">
        <v>249</v>
      </c>
      <c r="E506" t="s">
        <v>250</v>
      </c>
      <c r="G506" s="1">
        <v>1070</v>
      </c>
      <c r="H506" s="1">
        <v>8</v>
      </c>
      <c r="I506" s="1">
        <v>12</v>
      </c>
      <c r="J506" s="1">
        <v>72</v>
      </c>
      <c r="K506">
        <v>40000</v>
      </c>
      <c r="L506">
        <v>10</v>
      </c>
      <c r="O506">
        <v>473</v>
      </c>
    </row>
    <row r="507" spans="1:15">
      <c r="A507">
        <v>506</v>
      </c>
      <c r="B507">
        <v>6</v>
      </c>
      <c r="C507">
        <v>6</v>
      </c>
      <c r="D507" t="s">
        <v>251</v>
      </c>
      <c r="E507" t="s">
        <v>252</v>
      </c>
      <c r="G507" s="1">
        <v>1490</v>
      </c>
      <c r="H507" s="1">
        <v>8</v>
      </c>
      <c r="I507" s="1">
        <v>12</v>
      </c>
      <c r="J507" s="1">
        <v>84</v>
      </c>
      <c r="K507">
        <v>54000</v>
      </c>
      <c r="L507">
        <v>13</v>
      </c>
      <c r="O507">
        <v>724</v>
      </c>
    </row>
    <row r="508" spans="1:15">
      <c r="A508">
        <v>507</v>
      </c>
      <c r="B508">
        <v>6</v>
      </c>
      <c r="C508">
        <v>7</v>
      </c>
      <c r="D508" t="s">
        <v>253</v>
      </c>
      <c r="E508" t="s">
        <v>254</v>
      </c>
      <c r="G508" s="1">
        <v>1990</v>
      </c>
      <c r="H508" s="1">
        <v>8</v>
      </c>
      <c r="I508" s="1">
        <v>12</v>
      </c>
      <c r="J508" s="1">
        <v>100</v>
      </c>
      <c r="K508">
        <v>70000</v>
      </c>
      <c r="L508">
        <v>16</v>
      </c>
      <c r="O508">
        <v>1076</v>
      </c>
    </row>
    <row r="509" spans="1:15">
      <c r="A509">
        <v>508</v>
      </c>
      <c r="B509">
        <v>6</v>
      </c>
      <c r="C509">
        <v>8</v>
      </c>
      <c r="D509" t="s">
        <v>255</v>
      </c>
      <c r="E509" t="s">
        <v>256</v>
      </c>
      <c r="G509" s="1">
        <v>2560</v>
      </c>
      <c r="H509" s="1">
        <v>8</v>
      </c>
      <c r="I509" s="1">
        <v>12</v>
      </c>
      <c r="J509" s="1">
        <v>114</v>
      </c>
      <c r="K509">
        <v>88000</v>
      </c>
      <c r="L509">
        <v>19</v>
      </c>
      <c r="O509">
        <v>1506</v>
      </c>
    </row>
    <row r="510" spans="1:15">
      <c r="A510">
        <v>509</v>
      </c>
      <c r="B510">
        <v>6</v>
      </c>
      <c r="C510">
        <v>9</v>
      </c>
      <c r="D510" t="s">
        <v>257</v>
      </c>
      <c r="E510" t="s">
        <v>258</v>
      </c>
      <c r="G510" s="1">
        <v>3200</v>
      </c>
      <c r="H510" s="1">
        <v>8</v>
      </c>
      <c r="I510" s="1">
        <v>12</v>
      </c>
      <c r="J510" s="1">
        <v>128</v>
      </c>
      <c r="K510">
        <v>100000</v>
      </c>
      <c r="L510">
        <v>22</v>
      </c>
      <c r="O510">
        <v>1992</v>
      </c>
    </row>
    <row r="511" spans="1:15">
      <c r="A511">
        <v>510</v>
      </c>
      <c r="B511">
        <v>6</v>
      </c>
      <c r="C511">
        <v>10</v>
      </c>
      <c r="D511" t="s">
        <v>259</v>
      </c>
      <c r="E511" t="s">
        <v>260</v>
      </c>
      <c r="G511" s="1">
        <v>3910</v>
      </c>
      <c r="H511" s="1">
        <v>8</v>
      </c>
      <c r="I511" s="1">
        <v>12</v>
      </c>
      <c r="J511" s="1">
        <v>142</v>
      </c>
      <c r="K511">
        <v>130000</v>
      </c>
      <c r="L511">
        <v>26</v>
      </c>
      <c r="O511">
        <v>2602</v>
      </c>
    </row>
    <row r="512" spans="1:15">
      <c r="A512">
        <v>511</v>
      </c>
      <c r="B512">
        <v>6</v>
      </c>
      <c r="C512">
        <v>11</v>
      </c>
      <c r="D512" t="s">
        <v>261</v>
      </c>
      <c r="E512" t="s">
        <v>262</v>
      </c>
      <c r="G512" s="1">
        <v>4690</v>
      </c>
      <c r="H512" s="1">
        <v>8</v>
      </c>
      <c r="I512" s="1">
        <v>12</v>
      </c>
      <c r="J512" s="1">
        <v>156</v>
      </c>
      <c r="K512">
        <v>150000</v>
      </c>
      <c r="L512">
        <v>30</v>
      </c>
      <c r="O512">
        <v>3348</v>
      </c>
    </row>
    <row r="513" spans="1:15">
      <c r="A513">
        <v>512</v>
      </c>
      <c r="B513">
        <v>6</v>
      </c>
      <c r="C513">
        <v>12</v>
      </c>
      <c r="D513" t="s">
        <v>263</v>
      </c>
      <c r="E513" t="s">
        <v>264</v>
      </c>
      <c r="G513" s="1">
        <v>5540</v>
      </c>
      <c r="H513" s="1">
        <v>8</v>
      </c>
      <c r="I513" s="1">
        <v>12</v>
      </c>
      <c r="J513" s="1">
        <v>170</v>
      </c>
      <c r="K513">
        <v>180000</v>
      </c>
      <c r="L513">
        <v>34</v>
      </c>
      <c r="O513">
        <v>4184</v>
      </c>
    </row>
    <row r="514" spans="1:15">
      <c r="A514">
        <v>513</v>
      </c>
      <c r="B514">
        <v>6</v>
      </c>
      <c r="C514">
        <v>13</v>
      </c>
      <c r="D514" t="s">
        <v>265</v>
      </c>
      <c r="E514" t="s">
        <v>266</v>
      </c>
      <c r="G514" s="1">
        <v>6470</v>
      </c>
      <c r="H514" s="1">
        <v>8</v>
      </c>
      <c r="I514" s="1">
        <v>12</v>
      </c>
      <c r="J514" s="1">
        <v>186</v>
      </c>
      <c r="K514">
        <v>200000</v>
      </c>
      <c r="L514">
        <v>38</v>
      </c>
      <c r="O514">
        <v>5139</v>
      </c>
    </row>
    <row r="515" spans="1:15">
      <c r="A515">
        <v>514</v>
      </c>
      <c r="B515">
        <v>6</v>
      </c>
      <c r="C515">
        <v>14</v>
      </c>
      <c r="D515" t="s">
        <v>267</v>
      </c>
      <c r="E515" t="s">
        <v>268</v>
      </c>
      <c r="G515" s="1">
        <v>7470</v>
      </c>
      <c r="H515" s="1">
        <v>8</v>
      </c>
      <c r="I515" s="1">
        <v>12</v>
      </c>
      <c r="J515" s="1">
        <v>200</v>
      </c>
      <c r="K515">
        <v>230000</v>
      </c>
      <c r="L515">
        <v>42</v>
      </c>
      <c r="O515">
        <v>6187</v>
      </c>
    </row>
    <row r="516" spans="1:15">
      <c r="A516">
        <v>515</v>
      </c>
      <c r="B516">
        <v>6</v>
      </c>
      <c r="C516">
        <v>15</v>
      </c>
      <c r="D516" t="s">
        <v>269</v>
      </c>
      <c r="E516" t="s">
        <v>270</v>
      </c>
      <c r="G516" s="1">
        <v>8540</v>
      </c>
      <c r="H516" s="1">
        <v>8</v>
      </c>
      <c r="I516" s="1">
        <v>12</v>
      </c>
      <c r="J516" s="1">
        <v>214</v>
      </c>
      <c r="K516">
        <v>270000</v>
      </c>
      <c r="L516">
        <v>46</v>
      </c>
      <c r="O516">
        <v>7297</v>
      </c>
    </row>
    <row r="517" spans="1:15">
      <c r="A517">
        <v>516</v>
      </c>
      <c r="B517">
        <v>6</v>
      </c>
      <c r="C517">
        <v>16</v>
      </c>
      <c r="D517" t="s">
        <v>271</v>
      </c>
      <c r="E517" t="s">
        <v>272</v>
      </c>
      <c r="G517">
        <v>9680</v>
      </c>
      <c r="H517">
        <v>8</v>
      </c>
      <c r="I517">
        <v>12</v>
      </c>
      <c r="J517">
        <v>228</v>
      </c>
      <c r="K517">
        <v>310000</v>
      </c>
      <c r="L517">
        <v>50</v>
      </c>
      <c r="O517">
        <v>8497</v>
      </c>
    </row>
    <row r="518" spans="1:15">
      <c r="A518">
        <v>517</v>
      </c>
      <c r="B518">
        <v>6</v>
      </c>
      <c r="C518">
        <v>17</v>
      </c>
      <c r="D518" t="s">
        <v>273</v>
      </c>
      <c r="E518" t="s">
        <v>274</v>
      </c>
      <c r="G518">
        <v>10890</v>
      </c>
      <c r="H518">
        <v>8</v>
      </c>
      <c r="I518">
        <v>12</v>
      </c>
      <c r="J518">
        <v>242</v>
      </c>
      <c r="K518">
        <v>350000</v>
      </c>
      <c r="L518">
        <v>54</v>
      </c>
      <c r="O518">
        <v>9787</v>
      </c>
    </row>
    <row r="519" spans="1:15">
      <c r="A519">
        <v>518</v>
      </c>
      <c r="B519">
        <v>6</v>
      </c>
      <c r="C519">
        <v>18</v>
      </c>
      <c r="D519" t="s">
        <v>275</v>
      </c>
      <c r="E519" t="s">
        <v>276</v>
      </c>
      <c r="G519">
        <v>12170</v>
      </c>
      <c r="H519">
        <v>8</v>
      </c>
      <c r="I519">
        <v>12</v>
      </c>
      <c r="J519">
        <v>256</v>
      </c>
      <c r="K519">
        <v>390000</v>
      </c>
      <c r="L519">
        <v>58</v>
      </c>
      <c r="O519">
        <v>11166</v>
      </c>
    </row>
    <row r="520" spans="1:15">
      <c r="A520">
        <v>519</v>
      </c>
      <c r="B520">
        <v>6</v>
      </c>
      <c r="C520">
        <v>19</v>
      </c>
      <c r="D520" t="s">
        <v>277</v>
      </c>
      <c r="E520" t="s">
        <v>278</v>
      </c>
      <c r="G520">
        <v>13520</v>
      </c>
      <c r="H520">
        <v>8</v>
      </c>
      <c r="I520">
        <v>12</v>
      </c>
      <c r="J520">
        <v>270</v>
      </c>
      <c r="K520">
        <v>430000</v>
      </c>
      <c r="L520">
        <v>62</v>
      </c>
      <c r="O520">
        <v>12635</v>
      </c>
    </row>
    <row r="521" spans="1:15">
      <c r="A521">
        <v>520</v>
      </c>
      <c r="B521">
        <v>6</v>
      </c>
      <c r="C521">
        <v>20</v>
      </c>
      <c r="D521" t="s">
        <v>279</v>
      </c>
      <c r="E521" t="s">
        <v>280</v>
      </c>
      <c r="G521">
        <v>14940</v>
      </c>
      <c r="H521">
        <v>8</v>
      </c>
      <c r="I521">
        <v>12</v>
      </c>
      <c r="J521">
        <v>284</v>
      </c>
      <c r="K521">
        <v>470000</v>
      </c>
      <c r="L521">
        <v>66</v>
      </c>
      <c r="O521">
        <v>14193</v>
      </c>
    </row>
    <row r="522" spans="1:15">
      <c r="A522">
        <v>521</v>
      </c>
      <c r="B522">
        <v>6</v>
      </c>
      <c r="C522">
        <v>21</v>
      </c>
      <c r="D522" t="s">
        <v>281</v>
      </c>
      <c r="E522" t="s">
        <v>282</v>
      </c>
      <c r="G522">
        <v>16430</v>
      </c>
      <c r="H522">
        <v>8</v>
      </c>
      <c r="I522">
        <v>12</v>
      </c>
      <c r="J522">
        <v>298</v>
      </c>
      <c r="K522">
        <v>510000</v>
      </c>
      <c r="L522">
        <v>70</v>
      </c>
      <c r="O522">
        <v>15841</v>
      </c>
    </row>
    <row r="523" spans="1:15">
      <c r="A523">
        <v>522</v>
      </c>
      <c r="B523">
        <v>6</v>
      </c>
      <c r="C523">
        <v>22</v>
      </c>
      <c r="D523" t="s">
        <v>283</v>
      </c>
      <c r="E523" t="s">
        <v>284</v>
      </c>
      <c r="G523">
        <v>17990</v>
      </c>
      <c r="H523">
        <v>8</v>
      </c>
      <c r="I523">
        <v>12</v>
      </c>
      <c r="J523">
        <v>312</v>
      </c>
      <c r="K523">
        <v>550000</v>
      </c>
      <c r="L523">
        <v>74</v>
      </c>
      <c r="O523">
        <v>17579</v>
      </c>
    </row>
    <row r="524" spans="1:15">
      <c r="A524">
        <v>523</v>
      </c>
      <c r="B524">
        <v>6</v>
      </c>
      <c r="C524">
        <v>23</v>
      </c>
      <c r="D524" t="s">
        <v>285</v>
      </c>
      <c r="E524" t="s">
        <v>286</v>
      </c>
      <c r="G524">
        <v>19630</v>
      </c>
      <c r="H524">
        <v>8</v>
      </c>
      <c r="I524">
        <v>12</v>
      </c>
      <c r="J524">
        <v>328</v>
      </c>
      <c r="K524">
        <v>590000</v>
      </c>
      <c r="L524">
        <v>78</v>
      </c>
      <c r="O524">
        <v>19468</v>
      </c>
    </row>
    <row r="525" spans="1:15">
      <c r="A525">
        <v>524</v>
      </c>
      <c r="B525">
        <v>6</v>
      </c>
      <c r="C525">
        <v>24</v>
      </c>
      <c r="D525" t="s">
        <v>287</v>
      </c>
      <c r="E525" t="s">
        <v>288</v>
      </c>
      <c r="G525">
        <v>21340</v>
      </c>
      <c r="H525">
        <v>8</v>
      </c>
      <c r="I525">
        <v>12</v>
      </c>
      <c r="J525">
        <v>342</v>
      </c>
      <c r="K525">
        <v>630000</v>
      </c>
      <c r="L525">
        <v>82</v>
      </c>
      <c r="O525">
        <v>21450</v>
      </c>
    </row>
    <row r="526" spans="1:15">
      <c r="A526">
        <v>525</v>
      </c>
      <c r="B526">
        <v>6</v>
      </c>
      <c r="C526">
        <v>25</v>
      </c>
      <c r="D526" t="s">
        <v>289</v>
      </c>
      <c r="E526" t="s">
        <v>290</v>
      </c>
      <c r="G526">
        <v>23120</v>
      </c>
      <c r="H526">
        <v>8</v>
      </c>
      <c r="I526">
        <v>12</v>
      </c>
      <c r="J526">
        <v>356</v>
      </c>
      <c r="K526">
        <v>670000</v>
      </c>
      <c r="L526">
        <v>86</v>
      </c>
      <c r="O526">
        <v>23463</v>
      </c>
    </row>
    <row r="527" spans="1:15">
      <c r="A527">
        <v>526</v>
      </c>
      <c r="B527">
        <v>6</v>
      </c>
      <c r="C527">
        <v>26</v>
      </c>
      <c r="D527" t="s">
        <v>291</v>
      </c>
      <c r="E527" t="s">
        <v>292</v>
      </c>
      <c r="G527">
        <v>24970</v>
      </c>
      <c r="H527">
        <v>8</v>
      </c>
      <c r="I527">
        <v>12</v>
      </c>
      <c r="J527">
        <v>370</v>
      </c>
      <c r="K527">
        <v>710000</v>
      </c>
      <c r="L527">
        <v>90</v>
      </c>
      <c r="O527">
        <v>25566</v>
      </c>
    </row>
    <row r="528" spans="1:15">
      <c r="A528">
        <v>527</v>
      </c>
      <c r="B528">
        <v>6</v>
      </c>
      <c r="C528">
        <v>27</v>
      </c>
      <c r="D528" t="s">
        <v>293</v>
      </c>
      <c r="E528" t="s">
        <v>294</v>
      </c>
      <c r="G528">
        <v>26890</v>
      </c>
      <c r="H528">
        <v>8</v>
      </c>
      <c r="I528">
        <v>12</v>
      </c>
      <c r="J528">
        <v>384</v>
      </c>
      <c r="K528">
        <v>750000</v>
      </c>
      <c r="L528">
        <v>94</v>
      </c>
      <c r="O528">
        <v>27758</v>
      </c>
    </row>
    <row r="529" spans="1:15">
      <c r="A529">
        <v>528</v>
      </c>
      <c r="B529">
        <v>6</v>
      </c>
      <c r="C529">
        <v>28</v>
      </c>
      <c r="D529" t="s">
        <v>295</v>
      </c>
      <c r="E529" t="s">
        <v>296</v>
      </c>
      <c r="G529">
        <v>28880</v>
      </c>
      <c r="H529">
        <v>8</v>
      </c>
      <c r="I529">
        <v>12</v>
      </c>
      <c r="J529">
        <v>398</v>
      </c>
      <c r="K529">
        <v>790000</v>
      </c>
      <c r="L529">
        <v>98</v>
      </c>
      <c r="O529">
        <v>30039</v>
      </c>
    </row>
    <row r="530" spans="1:15">
      <c r="A530">
        <v>529</v>
      </c>
      <c r="B530">
        <v>6</v>
      </c>
      <c r="C530">
        <v>29</v>
      </c>
      <c r="D530" t="s">
        <v>297</v>
      </c>
      <c r="E530" t="s">
        <v>298</v>
      </c>
      <c r="G530">
        <v>30940</v>
      </c>
      <c r="H530">
        <v>8</v>
      </c>
      <c r="I530">
        <v>12</v>
      </c>
      <c r="J530">
        <v>412</v>
      </c>
      <c r="K530">
        <v>830000</v>
      </c>
      <c r="L530">
        <v>102</v>
      </c>
      <c r="O530">
        <v>32410</v>
      </c>
    </row>
    <row r="531" spans="1:15">
      <c r="A531">
        <v>530</v>
      </c>
      <c r="B531">
        <v>6</v>
      </c>
      <c r="C531">
        <v>30</v>
      </c>
      <c r="D531" t="s">
        <v>297</v>
      </c>
      <c r="E531" t="s">
        <v>299</v>
      </c>
      <c r="G531">
        <v>33070</v>
      </c>
      <c r="H531">
        <v>8</v>
      </c>
      <c r="I531">
        <v>12</v>
      </c>
      <c r="J531">
        <v>426</v>
      </c>
      <c r="K531">
        <v>870000</v>
      </c>
      <c r="L531">
        <v>106</v>
      </c>
      <c r="O531">
        <v>34871</v>
      </c>
    </row>
    <row r="532" spans="1:15">
      <c r="A532">
        <v>531</v>
      </c>
      <c r="B532">
        <v>6</v>
      </c>
      <c r="C532">
        <v>31</v>
      </c>
      <c r="D532" t="s">
        <v>300</v>
      </c>
      <c r="E532" t="s">
        <v>301</v>
      </c>
      <c r="G532">
        <v>35240</v>
      </c>
      <c r="H532">
        <v>8</v>
      </c>
      <c r="I532">
        <v>12</v>
      </c>
      <c r="J532">
        <v>440</v>
      </c>
      <c r="K532">
        <v>910000</v>
      </c>
      <c r="L532">
        <v>110</v>
      </c>
      <c r="O532">
        <v>36615</v>
      </c>
    </row>
    <row r="533" spans="1:15">
      <c r="A533">
        <v>532</v>
      </c>
      <c r="B533">
        <v>6</v>
      </c>
      <c r="C533">
        <v>32</v>
      </c>
      <c r="D533" t="s">
        <v>302</v>
      </c>
      <c r="E533" t="s">
        <v>303</v>
      </c>
      <c r="G533">
        <v>37480</v>
      </c>
      <c r="H533">
        <v>8</v>
      </c>
      <c r="I533">
        <v>12</v>
      </c>
      <c r="J533">
        <v>454</v>
      </c>
      <c r="K533">
        <v>950000</v>
      </c>
      <c r="L533">
        <v>114</v>
      </c>
      <c r="O533">
        <v>38446</v>
      </c>
    </row>
    <row r="534" spans="1:15">
      <c r="A534">
        <v>533</v>
      </c>
      <c r="B534">
        <v>6</v>
      </c>
      <c r="C534">
        <v>33</v>
      </c>
      <c r="D534" t="s">
        <v>304</v>
      </c>
      <c r="E534" t="s">
        <v>305</v>
      </c>
      <c r="G534">
        <v>39790</v>
      </c>
      <c r="H534">
        <v>8</v>
      </c>
      <c r="I534">
        <v>12</v>
      </c>
      <c r="J534">
        <v>468</v>
      </c>
      <c r="K534">
        <v>990000</v>
      </c>
      <c r="L534">
        <v>118</v>
      </c>
      <c r="O534">
        <v>40368</v>
      </c>
    </row>
    <row r="535" spans="1:15">
      <c r="A535">
        <v>534</v>
      </c>
      <c r="B535">
        <v>6</v>
      </c>
      <c r="C535">
        <v>34</v>
      </c>
      <c r="D535" t="s">
        <v>306</v>
      </c>
      <c r="E535" t="s">
        <v>307</v>
      </c>
      <c r="G535">
        <v>42170</v>
      </c>
      <c r="H535">
        <v>8</v>
      </c>
      <c r="I535">
        <v>12</v>
      </c>
      <c r="J535">
        <v>482</v>
      </c>
      <c r="K535">
        <v>1030000</v>
      </c>
      <c r="L535">
        <v>122</v>
      </c>
      <c r="O535">
        <v>42386</v>
      </c>
    </row>
    <row r="536" spans="1:15">
      <c r="A536">
        <v>535</v>
      </c>
      <c r="B536">
        <v>6</v>
      </c>
      <c r="C536">
        <v>35</v>
      </c>
      <c r="D536" t="s">
        <v>308</v>
      </c>
      <c r="E536" t="s">
        <v>309</v>
      </c>
      <c r="G536">
        <v>44620</v>
      </c>
      <c r="H536">
        <v>8</v>
      </c>
      <c r="I536">
        <v>12</v>
      </c>
      <c r="J536">
        <v>496</v>
      </c>
      <c r="K536">
        <v>1070000</v>
      </c>
      <c r="L536">
        <v>126</v>
      </c>
      <c r="O536">
        <v>44505</v>
      </c>
    </row>
    <row r="537" spans="1:15">
      <c r="A537">
        <v>536</v>
      </c>
      <c r="B537">
        <v>6</v>
      </c>
      <c r="C537">
        <v>36</v>
      </c>
      <c r="D537" t="s">
        <v>310</v>
      </c>
      <c r="E537" t="s">
        <v>311</v>
      </c>
      <c r="G537">
        <v>47140</v>
      </c>
      <c r="H537">
        <v>8</v>
      </c>
      <c r="I537">
        <v>12</v>
      </c>
      <c r="J537">
        <v>510</v>
      </c>
      <c r="K537">
        <v>1110000</v>
      </c>
      <c r="L537">
        <v>130</v>
      </c>
      <c r="O537">
        <v>46730</v>
      </c>
    </row>
    <row r="538" spans="1:15">
      <c r="A538">
        <v>537</v>
      </c>
      <c r="B538">
        <v>6</v>
      </c>
      <c r="C538">
        <v>37</v>
      </c>
      <c r="D538" t="s">
        <v>312</v>
      </c>
      <c r="E538" t="s">
        <v>313</v>
      </c>
      <c r="G538">
        <v>49730</v>
      </c>
      <c r="H538">
        <v>8</v>
      </c>
      <c r="I538">
        <v>12</v>
      </c>
      <c r="J538">
        <v>524</v>
      </c>
      <c r="K538">
        <v>1150000</v>
      </c>
      <c r="L538">
        <v>134</v>
      </c>
      <c r="O538">
        <v>49067</v>
      </c>
    </row>
    <row r="539" spans="1:15">
      <c r="A539">
        <v>538</v>
      </c>
      <c r="B539">
        <v>6</v>
      </c>
      <c r="C539">
        <v>38</v>
      </c>
      <c r="D539" t="s">
        <v>314</v>
      </c>
      <c r="E539" t="s">
        <v>315</v>
      </c>
      <c r="G539">
        <v>52390</v>
      </c>
      <c r="H539">
        <v>8</v>
      </c>
      <c r="I539">
        <v>12</v>
      </c>
      <c r="J539">
        <v>538</v>
      </c>
      <c r="K539">
        <v>1190000</v>
      </c>
      <c r="L539">
        <v>138</v>
      </c>
      <c r="O539">
        <v>51520</v>
      </c>
    </row>
    <row r="540" spans="1:15">
      <c r="A540">
        <v>539</v>
      </c>
      <c r="B540">
        <v>6</v>
      </c>
      <c r="C540">
        <v>39</v>
      </c>
      <c r="D540" t="s">
        <v>316</v>
      </c>
      <c r="E540" t="s">
        <v>317</v>
      </c>
      <c r="G540">
        <v>55120</v>
      </c>
      <c r="H540">
        <v>8</v>
      </c>
      <c r="I540">
        <v>12</v>
      </c>
      <c r="J540">
        <v>552</v>
      </c>
      <c r="K540">
        <v>1230000</v>
      </c>
      <c r="L540">
        <v>142</v>
      </c>
      <c r="O540">
        <v>54096</v>
      </c>
    </row>
    <row r="541" spans="1:15">
      <c r="A541">
        <v>540</v>
      </c>
      <c r="B541">
        <v>6</v>
      </c>
      <c r="C541">
        <v>40</v>
      </c>
      <c r="D541" t="s">
        <v>318</v>
      </c>
      <c r="E541" t="s">
        <v>319</v>
      </c>
      <c r="G541">
        <v>57920</v>
      </c>
      <c r="H541">
        <v>8</v>
      </c>
      <c r="I541">
        <v>12</v>
      </c>
      <c r="J541">
        <v>566</v>
      </c>
      <c r="K541">
        <v>1270000</v>
      </c>
      <c r="L541">
        <v>146</v>
      </c>
      <c r="O541">
        <v>56801</v>
      </c>
    </row>
    <row r="542" spans="1:15">
      <c r="A542">
        <v>541</v>
      </c>
      <c r="B542">
        <v>6</v>
      </c>
      <c r="C542">
        <v>41</v>
      </c>
      <c r="D542" t="s">
        <v>320</v>
      </c>
      <c r="E542" t="s">
        <v>321</v>
      </c>
      <c r="G542">
        <v>60615</v>
      </c>
      <c r="H542">
        <v>8</v>
      </c>
      <c r="I542">
        <v>12</v>
      </c>
      <c r="J542">
        <v>580</v>
      </c>
      <c r="K542">
        <v>1310000</v>
      </c>
      <c r="L542">
        <v>150</v>
      </c>
      <c r="O542">
        <v>59318</v>
      </c>
    </row>
    <row r="543" spans="1:15">
      <c r="A543">
        <v>542</v>
      </c>
      <c r="B543">
        <v>6</v>
      </c>
      <c r="C543">
        <v>42</v>
      </c>
      <c r="D543" t="s">
        <v>322</v>
      </c>
      <c r="E543" t="s">
        <v>323</v>
      </c>
      <c r="G543">
        <v>63345</v>
      </c>
      <c r="H543">
        <v>8</v>
      </c>
      <c r="I543">
        <v>12</v>
      </c>
      <c r="J543">
        <v>594</v>
      </c>
      <c r="K543">
        <v>1350000</v>
      </c>
      <c r="L543">
        <v>154</v>
      </c>
      <c r="O543">
        <v>61835</v>
      </c>
    </row>
    <row r="544" spans="1:15">
      <c r="A544">
        <v>543</v>
      </c>
      <c r="B544">
        <v>6</v>
      </c>
      <c r="C544">
        <v>43</v>
      </c>
      <c r="D544" t="s">
        <v>324</v>
      </c>
      <c r="E544" t="s">
        <v>325</v>
      </c>
      <c r="G544">
        <v>66075</v>
      </c>
      <c r="H544">
        <v>8</v>
      </c>
      <c r="I544">
        <v>12</v>
      </c>
      <c r="J544">
        <v>608</v>
      </c>
      <c r="K544">
        <v>1390000</v>
      </c>
      <c r="L544">
        <v>158</v>
      </c>
      <c r="O544">
        <v>64352</v>
      </c>
    </row>
    <row r="545" spans="1:15">
      <c r="A545">
        <v>544</v>
      </c>
      <c r="B545">
        <v>6</v>
      </c>
      <c r="C545">
        <v>44</v>
      </c>
      <c r="D545" t="s">
        <v>326</v>
      </c>
      <c r="E545" t="s">
        <v>327</v>
      </c>
      <c r="G545">
        <v>68805</v>
      </c>
      <c r="H545">
        <v>8</v>
      </c>
      <c r="I545">
        <v>12</v>
      </c>
      <c r="J545">
        <v>622</v>
      </c>
      <c r="K545">
        <v>1430000</v>
      </c>
      <c r="L545">
        <v>162</v>
      </c>
      <c r="O545">
        <v>66869</v>
      </c>
    </row>
    <row r="546" spans="1:15">
      <c r="A546">
        <v>545</v>
      </c>
      <c r="B546">
        <v>6</v>
      </c>
      <c r="C546">
        <v>45</v>
      </c>
      <c r="D546" t="s">
        <v>328</v>
      </c>
      <c r="E546" t="s">
        <v>329</v>
      </c>
      <c r="G546">
        <v>71535</v>
      </c>
      <c r="H546">
        <v>8</v>
      </c>
      <c r="I546">
        <v>12</v>
      </c>
      <c r="J546">
        <v>636</v>
      </c>
      <c r="K546">
        <v>1470000</v>
      </c>
      <c r="L546">
        <v>166</v>
      </c>
      <c r="O546">
        <v>69386</v>
      </c>
    </row>
    <row r="547" spans="1:15">
      <c r="A547">
        <v>546</v>
      </c>
      <c r="B547">
        <v>6</v>
      </c>
      <c r="C547">
        <v>46</v>
      </c>
      <c r="D547" t="s">
        <v>330</v>
      </c>
      <c r="E547" t="s">
        <v>331</v>
      </c>
      <c r="G547">
        <v>74265</v>
      </c>
      <c r="H547">
        <v>8</v>
      </c>
      <c r="I547">
        <v>12</v>
      </c>
      <c r="J547">
        <v>650</v>
      </c>
      <c r="K547">
        <v>1510000</v>
      </c>
      <c r="L547">
        <v>170</v>
      </c>
      <c r="O547">
        <v>71903</v>
      </c>
    </row>
    <row r="548" spans="1:15">
      <c r="A548">
        <v>547</v>
      </c>
      <c r="B548">
        <v>6</v>
      </c>
      <c r="C548">
        <v>47</v>
      </c>
      <c r="D548" t="s">
        <v>332</v>
      </c>
      <c r="E548" t="s">
        <v>333</v>
      </c>
      <c r="G548">
        <v>76995</v>
      </c>
      <c r="H548">
        <v>8</v>
      </c>
      <c r="I548">
        <v>12</v>
      </c>
      <c r="J548">
        <v>664</v>
      </c>
      <c r="K548">
        <v>1550000</v>
      </c>
      <c r="L548">
        <v>174</v>
      </c>
      <c r="O548">
        <v>74420</v>
      </c>
    </row>
    <row r="549" spans="1:15">
      <c r="A549">
        <v>548</v>
      </c>
      <c r="B549">
        <v>6</v>
      </c>
      <c r="C549">
        <v>48</v>
      </c>
      <c r="D549" t="s">
        <v>334</v>
      </c>
      <c r="E549" t="s">
        <v>335</v>
      </c>
      <c r="G549">
        <v>79725</v>
      </c>
      <c r="H549">
        <v>8</v>
      </c>
      <c r="I549">
        <v>12</v>
      </c>
      <c r="J549">
        <v>678</v>
      </c>
      <c r="K549">
        <v>1590000</v>
      </c>
      <c r="L549">
        <v>178</v>
      </c>
      <c r="O549">
        <v>76937</v>
      </c>
    </row>
    <row r="550" spans="1:15">
      <c r="A550">
        <v>549</v>
      </c>
      <c r="B550">
        <v>6</v>
      </c>
      <c r="C550">
        <v>49</v>
      </c>
      <c r="D550" t="s">
        <v>336</v>
      </c>
      <c r="E550" t="s">
        <v>337</v>
      </c>
      <c r="G550">
        <v>82455</v>
      </c>
      <c r="H550">
        <v>8</v>
      </c>
      <c r="I550">
        <v>12</v>
      </c>
      <c r="J550">
        <v>692</v>
      </c>
      <c r="K550">
        <v>1630000</v>
      </c>
      <c r="L550">
        <v>182</v>
      </c>
      <c r="O550">
        <v>79454</v>
      </c>
    </row>
    <row r="551" spans="1:15">
      <c r="A551">
        <v>550</v>
      </c>
      <c r="B551">
        <v>6</v>
      </c>
      <c r="C551">
        <v>50</v>
      </c>
      <c r="D551" t="s">
        <v>338</v>
      </c>
      <c r="E551" t="s">
        <v>339</v>
      </c>
      <c r="G551">
        <v>85185</v>
      </c>
      <c r="H551">
        <v>8</v>
      </c>
      <c r="I551">
        <v>12</v>
      </c>
      <c r="J551">
        <v>706</v>
      </c>
      <c r="K551">
        <v>1670000</v>
      </c>
      <c r="L551">
        <v>186</v>
      </c>
      <c r="O551">
        <v>81971</v>
      </c>
    </row>
    <row r="552" spans="1:15">
      <c r="A552">
        <v>551</v>
      </c>
      <c r="B552">
        <v>6</v>
      </c>
      <c r="C552">
        <v>51</v>
      </c>
      <c r="D552" t="s">
        <v>340</v>
      </c>
      <c r="E552" t="s">
        <v>341</v>
      </c>
      <c r="G552">
        <v>87915</v>
      </c>
      <c r="H552">
        <v>8</v>
      </c>
      <c r="I552">
        <v>12</v>
      </c>
      <c r="J552">
        <v>720</v>
      </c>
      <c r="K552">
        <v>1710000</v>
      </c>
      <c r="L552">
        <v>190</v>
      </c>
      <c r="O552">
        <v>84488</v>
      </c>
    </row>
    <row r="553" spans="1:15">
      <c r="A553">
        <v>552</v>
      </c>
      <c r="B553">
        <v>6</v>
      </c>
      <c r="C553">
        <v>52</v>
      </c>
      <c r="D553" t="s">
        <v>342</v>
      </c>
      <c r="E553" t="s">
        <v>343</v>
      </c>
      <c r="G553">
        <v>90645</v>
      </c>
      <c r="H553">
        <v>8</v>
      </c>
      <c r="I553">
        <v>12</v>
      </c>
      <c r="J553">
        <v>734</v>
      </c>
      <c r="K553">
        <v>1750000</v>
      </c>
      <c r="L553">
        <v>194</v>
      </c>
      <c r="O553">
        <v>87005</v>
      </c>
    </row>
    <row r="554" spans="1:15">
      <c r="A554">
        <v>553</v>
      </c>
      <c r="B554">
        <v>6</v>
      </c>
      <c r="C554">
        <v>53</v>
      </c>
      <c r="D554" t="s">
        <v>344</v>
      </c>
      <c r="E554" t="s">
        <v>345</v>
      </c>
      <c r="G554">
        <v>93375</v>
      </c>
      <c r="H554">
        <v>8</v>
      </c>
      <c r="I554">
        <v>12</v>
      </c>
      <c r="J554">
        <v>748</v>
      </c>
      <c r="K554">
        <v>1790000</v>
      </c>
      <c r="L554">
        <v>198</v>
      </c>
      <c r="O554">
        <v>89522</v>
      </c>
    </row>
    <row r="555" spans="1:15">
      <c r="A555">
        <v>554</v>
      </c>
      <c r="B555">
        <v>6</v>
      </c>
      <c r="C555">
        <v>54</v>
      </c>
      <c r="D555" t="s">
        <v>346</v>
      </c>
      <c r="E555" t="s">
        <v>347</v>
      </c>
      <c r="G555">
        <v>96105</v>
      </c>
      <c r="H555">
        <v>8</v>
      </c>
      <c r="I555">
        <v>12</v>
      </c>
      <c r="J555">
        <v>762</v>
      </c>
      <c r="K555">
        <v>1830000</v>
      </c>
      <c r="L555">
        <v>202</v>
      </c>
      <c r="O555">
        <v>92039</v>
      </c>
    </row>
    <row r="556" spans="1:15">
      <c r="A556">
        <v>555</v>
      </c>
      <c r="B556">
        <v>6</v>
      </c>
      <c r="C556">
        <v>55</v>
      </c>
      <c r="D556" t="s">
        <v>348</v>
      </c>
      <c r="E556" t="s">
        <v>349</v>
      </c>
      <c r="G556">
        <v>98835</v>
      </c>
      <c r="H556">
        <v>8</v>
      </c>
      <c r="I556">
        <v>12</v>
      </c>
      <c r="J556">
        <v>776</v>
      </c>
      <c r="K556">
        <v>1870000</v>
      </c>
      <c r="L556">
        <v>206</v>
      </c>
      <c r="O556">
        <v>94556</v>
      </c>
    </row>
    <row r="557" spans="1:15">
      <c r="A557">
        <v>556</v>
      </c>
      <c r="B557">
        <v>6</v>
      </c>
      <c r="C557">
        <v>56</v>
      </c>
      <c r="D557" t="s">
        <v>350</v>
      </c>
      <c r="E557" t="s">
        <v>351</v>
      </c>
      <c r="G557">
        <v>101565</v>
      </c>
      <c r="H557">
        <v>8</v>
      </c>
      <c r="I557">
        <v>12</v>
      </c>
      <c r="J557">
        <v>790</v>
      </c>
      <c r="K557">
        <v>1910000</v>
      </c>
      <c r="L557">
        <v>210</v>
      </c>
      <c r="O557">
        <v>97073</v>
      </c>
    </row>
    <row r="558" spans="1:15">
      <c r="A558">
        <v>557</v>
      </c>
      <c r="B558">
        <v>6</v>
      </c>
      <c r="C558">
        <v>57</v>
      </c>
      <c r="D558" t="s">
        <v>352</v>
      </c>
      <c r="E558" t="s">
        <v>353</v>
      </c>
      <c r="G558">
        <v>104295</v>
      </c>
      <c r="H558">
        <v>8</v>
      </c>
      <c r="I558">
        <v>12</v>
      </c>
      <c r="J558">
        <v>804</v>
      </c>
      <c r="K558">
        <v>1950000</v>
      </c>
      <c r="L558">
        <v>214</v>
      </c>
      <c r="O558">
        <v>99590</v>
      </c>
    </row>
    <row r="559" spans="1:15">
      <c r="A559">
        <v>558</v>
      </c>
      <c r="B559">
        <v>6</v>
      </c>
      <c r="C559">
        <v>58</v>
      </c>
      <c r="D559" t="s">
        <v>354</v>
      </c>
      <c r="E559" t="s">
        <v>355</v>
      </c>
      <c r="G559">
        <v>107025</v>
      </c>
      <c r="H559">
        <v>8</v>
      </c>
      <c r="I559">
        <v>12</v>
      </c>
      <c r="J559">
        <v>818</v>
      </c>
      <c r="K559">
        <v>1990000</v>
      </c>
      <c r="L559">
        <v>218</v>
      </c>
      <c r="O559">
        <v>102107</v>
      </c>
    </row>
    <row r="560" spans="1:15">
      <c r="A560">
        <v>559</v>
      </c>
      <c r="B560">
        <v>6</v>
      </c>
      <c r="C560">
        <v>59</v>
      </c>
      <c r="D560" t="s">
        <v>356</v>
      </c>
      <c r="E560" t="s">
        <v>357</v>
      </c>
      <c r="G560">
        <v>109755</v>
      </c>
      <c r="H560">
        <v>8</v>
      </c>
      <c r="I560">
        <v>12</v>
      </c>
      <c r="J560">
        <v>832</v>
      </c>
      <c r="K560">
        <v>2030000</v>
      </c>
      <c r="L560">
        <v>222</v>
      </c>
      <c r="O560">
        <v>104624</v>
      </c>
    </row>
    <row r="561" spans="1:15">
      <c r="A561">
        <v>560</v>
      </c>
      <c r="B561">
        <v>6</v>
      </c>
      <c r="C561">
        <v>60</v>
      </c>
      <c r="D561" t="s">
        <v>358</v>
      </c>
      <c r="E561" t="s">
        <v>359</v>
      </c>
      <c r="G561">
        <v>112485</v>
      </c>
      <c r="H561">
        <v>8</v>
      </c>
      <c r="I561">
        <v>12</v>
      </c>
      <c r="J561">
        <v>846</v>
      </c>
      <c r="K561">
        <v>2070000</v>
      </c>
      <c r="L561">
        <v>226</v>
      </c>
      <c r="O561">
        <v>107141</v>
      </c>
    </row>
    <row r="562" spans="1:15">
      <c r="A562">
        <v>561</v>
      </c>
      <c r="B562">
        <v>6</v>
      </c>
      <c r="C562">
        <v>61</v>
      </c>
      <c r="D562" t="s">
        <v>360</v>
      </c>
      <c r="E562" t="s">
        <v>361</v>
      </c>
      <c r="G562">
        <v>115215</v>
      </c>
      <c r="H562">
        <v>8</v>
      </c>
      <c r="I562">
        <v>12</v>
      </c>
      <c r="J562">
        <v>860</v>
      </c>
      <c r="K562">
        <v>2110000</v>
      </c>
      <c r="L562">
        <v>230</v>
      </c>
      <c r="O562">
        <v>109658</v>
      </c>
    </row>
    <row r="563" spans="1:15">
      <c r="A563">
        <v>562</v>
      </c>
      <c r="B563">
        <v>6</v>
      </c>
      <c r="C563">
        <v>62</v>
      </c>
      <c r="D563" t="s">
        <v>362</v>
      </c>
      <c r="E563" t="s">
        <v>363</v>
      </c>
      <c r="G563">
        <v>117945</v>
      </c>
      <c r="H563">
        <v>8</v>
      </c>
      <c r="I563">
        <v>12</v>
      </c>
      <c r="J563">
        <v>874</v>
      </c>
      <c r="K563">
        <v>2150000</v>
      </c>
      <c r="L563">
        <v>234</v>
      </c>
      <c r="O563">
        <v>112175</v>
      </c>
    </row>
    <row r="564" spans="1:15">
      <c r="A564">
        <v>563</v>
      </c>
      <c r="B564">
        <v>6</v>
      </c>
      <c r="C564">
        <v>63</v>
      </c>
      <c r="D564" t="s">
        <v>364</v>
      </c>
      <c r="E564" t="s">
        <v>365</v>
      </c>
      <c r="G564">
        <v>120675</v>
      </c>
      <c r="H564">
        <v>8</v>
      </c>
      <c r="I564">
        <v>12</v>
      </c>
      <c r="J564">
        <v>888</v>
      </c>
      <c r="K564">
        <v>2190000</v>
      </c>
      <c r="L564">
        <v>238</v>
      </c>
      <c r="O564">
        <v>114692</v>
      </c>
    </row>
    <row r="565" spans="1:15">
      <c r="A565">
        <v>564</v>
      </c>
      <c r="B565">
        <v>6</v>
      </c>
      <c r="C565">
        <v>64</v>
      </c>
      <c r="D565" t="s">
        <v>366</v>
      </c>
      <c r="E565" t="s">
        <v>367</v>
      </c>
      <c r="G565">
        <v>123405</v>
      </c>
      <c r="H565">
        <v>8</v>
      </c>
      <c r="I565">
        <v>12</v>
      </c>
      <c r="J565">
        <v>902</v>
      </c>
      <c r="K565">
        <v>2230000</v>
      </c>
      <c r="L565">
        <v>242</v>
      </c>
      <c r="O565">
        <v>117209</v>
      </c>
    </row>
    <row r="566" spans="1:15">
      <c r="A566">
        <v>565</v>
      </c>
      <c r="B566">
        <v>6</v>
      </c>
      <c r="C566">
        <v>65</v>
      </c>
      <c r="D566" t="s">
        <v>368</v>
      </c>
      <c r="E566" t="s">
        <v>369</v>
      </c>
      <c r="G566">
        <v>126135</v>
      </c>
      <c r="H566">
        <v>8</v>
      </c>
      <c r="I566">
        <v>12</v>
      </c>
      <c r="J566">
        <v>916</v>
      </c>
      <c r="K566">
        <v>2270000</v>
      </c>
      <c r="L566">
        <v>246</v>
      </c>
      <c r="O566">
        <v>119726</v>
      </c>
    </row>
    <row r="567" spans="1:15">
      <c r="A567">
        <v>566</v>
      </c>
      <c r="B567">
        <v>6</v>
      </c>
      <c r="C567">
        <v>66</v>
      </c>
      <c r="D567" t="s">
        <v>370</v>
      </c>
      <c r="E567" t="s">
        <v>371</v>
      </c>
      <c r="G567">
        <v>128865</v>
      </c>
      <c r="H567">
        <v>8</v>
      </c>
      <c r="I567">
        <v>12</v>
      </c>
      <c r="J567">
        <v>930</v>
      </c>
      <c r="K567">
        <v>2310000</v>
      </c>
      <c r="L567">
        <v>250</v>
      </c>
      <c r="O567">
        <v>122243</v>
      </c>
    </row>
    <row r="568" spans="1:15">
      <c r="A568">
        <v>567</v>
      </c>
      <c r="B568">
        <v>6</v>
      </c>
      <c r="C568">
        <v>67</v>
      </c>
      <c r="D568" t="s">
        <v>372</v>
      </c>
      <c r="E568" t="s">
        <v>373</v>
      </c>
      <c r="G568">
        <v>131595</v>
      </c>
      <c r="H568">
        <v>8</v>
      </c>
      <c r="I568">
        <v>12</v>
      </c>
      <c r="J568">
        <v>944</v>
      </c>
      <c r="K568">
        <v>2350000</v>
      </c>
      <c r="L568">
        <v>254</v>
      </c>
      <c r="O568">
        <v>124760</v>
      </c>
    </row>
    <row r="569" spans="1:15">
      <c r="A569">
        <v>568</v>
      </c>
      <c r="B569">
        <v>6</v>
      </c>
      <c r="C569">
        <v>68</v>
      </c>
      <c r="D569" t="s">
        <v>374</v>
      </c>
      <c r="E569" t="s">
        <v>375</v>
      </c>
      <c r="G569">
        <v>134325</v>
      </c>
      <c r="H569">
        <v>8</v>
      </c>
      <c r="I569">
        <v>12</v>
      </c>
      <c r="J569">
        <v>958</v>
      </c>
      <c r="K569">
        <v>2390000</v>
      </c>
      <c r="L569">
        <v>258</v>
      </c>
      <c r="O569">
        <v>127277</v>
      </c>
    </row>
    <row r="570" spans="1:15">
      <c r="A570">
        <v>569</v>
      </c>
      <c r="B570">
        <v>6</v>
      </c>
      <c r="C570">
        <v>69</v>
      </c>
      <c r="D570" t="s">
        <v>376</v>
      </c>
      <c r="E570" t="s">
        <v>377</v>
      </c>
      <c r="G570">
        <v>137055</v>
      </c>
      <c r="H570">
        <v>8</v>
      </c>
      <c r="I570">
        <v>12</v>
      </c>
      <c r="J570">
        <v>972</v>
      </c>
      <c r="K570">
        <v>2430000</v>
      </c>
      <c r="L570">
        <v>262</v>
      </c>
      <c r="O570">
        <v>129794</v>
      </c>
    </row>
    <row r="571" spans="1:15">
      <c r="A571">
        <v>570</v>
      </c>
      <c r="B571">
        <v>6</v>
      </c>
      <c r="C571">
        <v>70</v>
      </c>
      <c r="D571" t="s">
        <v>378</v>
      </c>
      <c r="E571" t="s">
        <v>379</v>
      </c>
      <c r="G571">
        <v>139785</v>
      </c>
      <c r="H571">
        <v>8</v>
      </c>
      <c r="I571">
        <v>12</v>
      </c>
      <c r="J571">
        <v>986</v>
      </c>
      <c r="K571">
        <v>2470000</v>
      </c>
      <c r="L571">
        <v>266</v>
      </c>
      <c r="O571">
        <v>132311</v>
      </c>
    </row>
    <row r="572" spans="1:15">
      <c r="A572">
        <v>571</v>
      </c>
      <c r="B572">
        <v>6</v>
      </c>
      <c r="C572">
        <v>71</v>
      </c>
      <c r="D572" t="s">
        <v>380</v>
      </c>
      <c r="E572" t="s">
        <v>381</v>
      </c>
      <c r="G572">
        <v>142515</v>
      </c>
      <c r="H572">
        <v>8</v>
      </c>
      <c r="I572">
        <v>12</v>
      </c>
      <c r="J572">
        <v>1000</v>
      </c>
      <c r="K572">
        <v>2510000</v>
      </c>
      <c r="L572">
        <v>270</v>
      </c>
      <c r="O572">
        <v>134828</v>
      </c>
    </row>
    <row r="573" spans="1:15">
      <c r="A573">
        <v>572</v>
      </c>
      <c r="B573">
        <v>6</v>
      </c>
      <c r="C573">
        <v>72</v>
      </c>
      <c r="D573" t="s">
        <v>382</v>
      </c>
      <c r="E573" t="s">
        <v>383</v>
      </c>
      <c r="G573">
        <v>145245</v>
      </c>
      <c r="H573">
        <v>8</v>
      </c>
      <c r="I573">
        <v>12</v>
      </c>
      <c r="J573">
        <v>1014</v>
      </c>
      <c r="K573">
        <v>2550000</v>
      </c>
      <c r="L573">
        <v>274</v>
      </c>
      <c r="O573">
        <v>137345</v>
      </c>
    </row>
    <row r="574" spans="1:15">
      <c r="A574">
        <v>573</v>
      </c>
      <c r="B574">
        <v>6</v>
      </c>
      <c r="C574">
        <v>73</v>
      </c>
      <c r="D574" t="s">
        <v>384</v>
      </c>
      <c r="E574" t="s">
        <v>385</v>
      </c>
      <c r="G574">
        <v>147975</v>
      </c>
      <c r="H574">
        <v>8</v>
      </c>
      <c r="I574">
        <v>12</v>
      </c>
      <c r="J574">
        <v>1028</v>
      </c>
      <c r="K574">
        <v>2590000</v>
      </c>
      <c r="L574">
        <v>278</v>
      </c>
      <c r="O574">
        <v>139862</v>
      </c>
    </row>
    <row r="575" spans="1:15">
      <c r="A575">
        <v>574</v>
      </c>
      <c r="B575">
        <v>6</v>
      </c>
      <c r="C575">
        <v>74</v>
      </c>
      <c r="D575" t="s">
        <v>386</v>
      </c>
      <c r="E575" t="s">
        <v>387</v>
      </c>
      <c r="G575">
        <v>150705</v>
      </c>
      <c r="H575">
        <v>8</v>
      </c>
      <c r="I575">
        <v>12</v>
      </c>
      <c r="J575">
        <v>1042</v>
      </c>
      <c r="K575">
        <v>2630000</v>
      </c>
      <c r="L575">
        <v>282</v>
      </c>
      <c r="O575">
        <v>142379</v>
      </c>
    </row>
    <row r="576" spans="1:15">
      <c r="A576">
        <v>575</v>
      </c>
      <c r="B576">
        <v>6</v>
      </c>
      <c r="C576">
        <v>75</v>
      </c>
      <c r="D576" t="s">
        <v>388</v>
      </c>
      <c r="E576" t="s">
        <v>389</v>
      </c>
      <c r="G576">
        <v>153435</v>
      </c>
      <c r="H576">
        <v>8</v>
      </c>
      <c r="I576">
        <v>12</v>
      </c>
      <c r="J576">
        <v>1056</v>
      </c>
      <c r="K576">
        <v>2670000</v>
      </c>
      <c r="L576">
        <v>286</v>
      </c>
      <c r="O576">
        <v>144896</v>
      </c>
    </row>
    <row r="577" spans="1:15">
      <c r="A577">
        <v>576</v>
      </c>
      <c r="B577">
        <v>6</v>
      </c>
      <c r="C577">
        <v>76</v>
      </c>
      <c r="D577" t="s">
        <v>390</v>
      </c>
      <c r="E577" t="s">
        <v>391</v>
      </c>
      <c r="G577">
        <v>156165</v>
      </c>
      <c r="H577">
        <v>8</v>
      </c>
      <c r="I577">
        <v>12</v>
      </c>
      <c r="J577">
        <v>1070</v>
      </c>
      <c r="K577">
        <v>2710000</v>
      </c>
      <c r="L577">
        <v>290</v>
      </c>
      <c r="O577">
        <v>147413</v>
      </c>
    </row>
    <row r="578" spans="1:15">
      <c r="A578">
        <v>577</v>
      </c>
      <c r="B578">
        <v>6</v>
      </c>
      <c r="C578">
        <v>77</v>
      </c>
      <c r="D578" t="s">
        <v>392</v>
      </c>
      <c r="E578" t="s">
        <v>393</v>
      </c>
      <c r="G578">
        <v>158895</v>
      </c>
      <c r="H578">
        <v>8</v>
      </c>
      <c r="I578">
        <v>12</v>
      </c>
      <c r="J578">
        <v>1084</v>
      </c>
      <c r="K578">
        <v>2750000</v>
      </c>
      <c r="L578">
        <v>294</v>
      </c>
      <c r="O578">
        <v>149930</v>
      </c>
    </row>
    <row r="579" spans="1:15">
      <c r="A579">
        <v>578</v>
      </c>
      <c r="B579">
        <v>6</v>
      </c>
      <c r="C579">
        <v>78</v>
      </c>
      <c r="D579" t="s">
        <v>394</v>
      </c>
      <c r="E579" t="s">
        <v>395</v>
      </c>
      <c r="G579">
        <v>161625</v>
      </c>
      <c r="H579">
        <v>8</v>
      </c>
      <c r="I579">
        <v>12</v>
      </c>
      <c r="J579">
        <v>1098</v>
      </c>
      <c r="K579">
        <v>2790000</v>
      </c>
      <c r="L579">
        <v>298</v>
      </c>
      <c r="O579">
        <v>152447</v>
      </c>
    </row>
    <row r="580" spans="1:15">
      <c r="A580">
        <v>579</v>
      </c>
      <c r="B580">
        <v>6</v>
      </c>
      <c r="C580">
        <v>79</v>
      </c>
      <c r="D580" t="s">
        <v>396</v>
      </c>
      <c r="E580" t="s">
        <v>397</v>
      </c>
      <c r="G580">
        <v>164355</v>
      </c>
      <c r="H580">
        <v>8</v>
      </c>
      <c r="I580">
        <v>12</v>
      </c>
      <c r="J580">
        <v>1112</v>
      </c>
      <c r="K580">
        <v>2830000</v>
      </c>
      <c r="L580">
        <v>302</v>
      </c>
      <c r="O580">
        <v>154964</v>
      </c>
    </row>
    <row r="581" spans="1:15">
      <c r="A581">
        <v>580</v>
      </c>
      <c r="B581">
        <v>6</v>
      </c>
      <c r="C581">
        <v>80</v>
      </c>
      <c r="D581" t="s">
        <v>398</v>
      </c>
      <c r="E581" t="s">
        <v>399</v>
      </c>
      <c r="G581">
        <v>167085</v>
      </c>
      <c r="H581">
        <v>8</v>
      </c>
      <c r="I581">
        <v>12</v>
      </c>
      <c r="J581">
        <v>1126</v>
      </c>
      <c r="K581">
        <v>2870000</v>
      </c>
      <c r="L581">
        <v>306</v>
      </c>
      <c r="O581">
        <v>157481</v>
      </c>
    </row>
    <row r="582" spans="1:15">
      <c r="A582">
        <v>581</v>
      </c>
      <c r="B582">
        <v>6</v>
      </c>
      <c r="C582">
        <v>81</v>
      </c>
      <c r="D582" t="s">
        <v>400</v>
      </c>
      <c r="E582" t="s">
        <v>401</v>
      </c>
      <c r="G582">
        <v>169815</v>
      </c>
      <c r="H582">
        <v>8</v>
      </c>
      <c r="I582">
        <v>12</v>
      </c>
      <c r="J582">
        <v>1140</v>
      </c>
      <c r="K582">
        <v>2910000</v>
      </c>
      <c r="L582">
        <v>310</v>
      </c>
      <c r="O582">
        <v>159998</v>
      </c>
    </row>
    <row r="583" spans="1:15">
      <c r="A583">
        <v>582</v>
      </c>
      <c r="B583">
        <v>6</v>
      </c>
      <c r="C583">
        <v>82</v>
      </c>
      <c r="D583" t="s">
        <v>402</v>
      </c>
      <c r="E583" t="s">
        <v>403</v>
      </c>
      <c r="G583">
        <v>172545</v>
      </c>
      <c r="H583">
        <v>8</v>
      </c>
      <c r="I583">
        <v>12</v>
      </c>
      <c r="J583">
        <v>1154</v>
      </c>
      <c r="K583">
        <v>2950000</v>
      </c>
      <c r="L583">
        <v>314</v>
      </c>
      <c r="O583">
        <v>162515</v>
      </c>
    </row>
    <row r="584" spans="1:15">
      <c r="A584">
        <v>583</v>
      </c>
      <c r="B584">
        <v>6</v>
      </c>
      <c r="C584">
        <v>83</v>
      </c>
      <c r="D584" t="s">
        <v>404</v>
      </c>
      <c r="E584" t="s">
        <v>405</v>
      </c>
      <c r="G584">
        <v>175275</v>
      </c>
      <c r="H584">
        <v>8</v>
      </c>
      <c r="I584">
        <v>12</v>
      </c>
      <c r="J584">
        <v>1168</v>
      </c>
      <c r="K584">
        <v>2990000</v>
      </c>
      <c r="L584">
        <v>318</v>
      </c>
      <c r="O584">
        <v>165032</v>
      </c>
    </row>
    <row r="585" spans="1:15">
      <c r="A585">
        <v>584</v>
      </c>
      <c r="B585">
        <v>6</v>
      </c>
      <c r="C585">
        <v>84</v>
      </c>
      <c r="D585" t="s">
        <v>406</v>
      </c>
      <c r="E585" t="s">
        <v>407</v>
      </c>
      <c r="G585">
        <v>178005</v>
      </c>
      <c r="H585">
        <v>8</v>
      </c>
      <c r="I585">
        <v>12</v>
      </c>
      <c r="J585">
        <v>1182</v>
      </c>
      <c r="K585">
        <v>3030000</v>
      </c>
      <c r="L585">
        <v>322</v>
      </c>
      <c r="O585">
        <v>167549</v>
      </c>
    </row>
    <row r="586" spans="1:15">
      <c r="A586">
        <v>585</v>
      </c>
      <c r="B586">
        <v>6</v>
      </c>
      <c r="C586">
        <v>85</v>
      </c>
      <c r="D586" t="s">
        <v>408</v>
      </c>
      <c r="E586" t="s">
        <v>409</v>
      </c>
      <c r="G586">
        <v>180735</v>
      </c>
      <c r="H586">
        <v>8</v>
      </c>
      <c r="I586">
        <v>12</v>
      </c>
      <c r="J586">
        <v>1196</v>
      </c>
      <c r="K586">
        <v>3070000</v>
      </c>
      <c r="L586">
        <v>326</v>
      </c>
      <c r="O586">
        <v>170066</v>
      </c>
    </row>
    <row r="587" spans="1:15">
      <c r="A587">
        <v>586</v>
      </c>
      <c r="B587">
        <v>6</v>
      </c>
      <c r="C587">
        <v>86</v>
      </c>
      <c r="D587" t="s">
        <v>410</v>
      </c>
      <c r="E587" t="s">
        <v>411</v>
      </c>
      <c r="G587">
        <v>183465</v>
      </c>
      <c r="H587">
        <v>8</v>
      </c>
      <c r="I587">
        <v>12</v>
      </c>
      <c r="J587">
        <v>1210</v>
      </c>
      <c r="K587">
        <v>3110000</v>
      </c>
      <c r="L587">
        <v>330</v>
      </c>
      <c r="O587">
        <v>172583</v>
      </c>
    </row>
    <row r="588" spans="1:15">
      <c r="A588">
        <v>587</v>
      </c>
      <c r="B588">
        <v>6</v>
      </c>
      <c r="C588">
        <v>87</v>
      </c>
      <c r="D588" t="s">
        <v>412</v>
      </c>
      <c r="E588" t="s">
        <v>413</v>
      </c>
      <c r="G588">
        <v>186195</v>
      </c>
      <c r="H588">
        <v>8</v>
      </c>
      <c r="I588">
        <v>12</v>
      </c>
      <c r="J588">
        <v>1224</v>
      </c>
      <c r="K588">
        <v>3150000</v>
      </c>
      <c r="L588">
        <v>334</v>
      </c>
      <c r="O588">
        <v>175100</v>
      </c>
    </row>
    <row r="589" spans="1:15">
      <c r="A589">
        <v>588</v>
      </c>
      <c r="B589">
        <v>6</v>
      </c>
      <c r="C589">
        <v>88</v>
      </c>
      <c r="D589" t="s">
        <v>414</v>
      </c>
      <c r="E589" t="s">
        <v>415</v>
      </c>
      <c r="G589">
        <v>188925</v>
      </c>
      <c r="H589">
        <v>8</v>
      </c>
      <c r="I589">
        <v>12</v>
      </c>
      <c r="J589">
        <v>1238</v>
      </c>
      <c r="K589">
        <v>3190000</v>
      </c>
      <c r="L589">
        <v>338</v>
      </c>
      <c r="O589">
        <v>177617</v>
      </c>
    </row>
    <row r="590" spans="1:15">
      <c r="A590">
        <v>589</v>
      </c>
      <c r="B590">
        <v>6</v>
      </c>
      <c r="C590">
        <v>89</v>
      </c>
      <c r="D590" t="s">
        <v>416</v>
      </c>
      <c r="E590" t="s">
        <v>417</v>
      </c>
      <c r="G590">
        <v>191655</v>
      </c>
      <c r="H590">
        <v>8</v>
      </c>
      <c r="I590">
        <v>12</v>
      </c>
      <c r="J590">
        <v>1252</v>
      </c>
      <c r="K590">
        <v>3230000</v>
      </c>
      <c r="L590">
        <v>342</v>
      </c>
      <c r="O590">
        <v>180134</v>
      </c>
    </row>
    <row r="591" spans="1:15">
      <c r="A591">
        <v>590</v>
      </c>
      <c r="B591">
        <v>6</v>
      </c>
      <c r="C591">
        <v>90</v>
      </c>
      <c r="D591" t="s">
        <v>418</v>
      </c>
      <c r="E591" t="s">
        <v>419</v>
      </c>
      <c r="G591">
        <v>194385</v>
      </c>
      <c r="H591">
        <v>8</v>
      </c>
      <c r="I591">
        <v>12</v>
      </c>
      <c r="J591">
        <v>1266</v>
      </c>
      <c r="K591">
        <v>3270000</v>
      </c>
      <c r="L591">
        <v>346</v>
      </c>
      <c r="O591">
        <v>182651</v>
      </c>
    </row>
    <row r="592" spans="1:15">
      <c r="A592">
        <v>591</v>
      </c>
      <c r="B592">
        <v>6</v>
      </c>
      <c r="C592">
        <v>91</v>
      </c>
      <c r="D592" t="s">
        <v>420</v>
      </c>
      <c r="E592" t="s">
        <v>421</v>
      </c>
      <c r="G592">
        <v>197115</v>
      </c>
      <c r="H592">
        <v>8</v>
      </c>
      <c r="I592">
        <v>12</v>
      </c>
      <c r="J592">
        <v>1280</v>
      </c>
      <c r="K592">
        <v>3310000</v>
      </c>
      <c r="L592">
        <v>350</v>
      </c>
      <c r="O592">
        <v>185168</v>
      </c>
    </row>
    <row r="593" spans="1:15">
      <c r="A593">
        <v>592</v>
      </c>
      <c r="B593">
        <v>6</v>
      </c>
      <c r="C593">
        <v>92</v>
      </c>
      <c r="D593" t="s">
        <v>422</v>
      </c>
      <c r="E593" t="s">
        <v>423</v>
      </c>
      <c r="G593">
        <v>199845</v>
      </c>
      <c r="H593">
        <v>8</v>
      </c>
      <c r="I593">
        <v>12</v>
      </c>
      <c r="J593">
        <v>1294</v>
      </c>
      <c r="K593">
        <v>3350000</v>
      </c>
      <c r="L593">
        <v>354</v>
      </c>
      <c r="O593">
        <v>187685</v>
      </c>
    </row>
    <row r="594" spans="1:15">
      <c r="A594">
        <v>593</v>
      </c>
      <c r="B594">
        <v>6</v>
      </c>
      <c r="C594">
        <v>93</v>
      </c>
      <c r="D594" t="s">
        <v>424</v>
      </c>
      <c r="E594" t="s">
        <v>425</v>
      </c>
      <c r="G594">
        <v>202575</v>
      </c>
      <c r="H594">
        <v>8</v>
      </c>
      <c r="I594">
        <v>12</v>
      </c>
      <c r="J594">
        <v>1308</v>
      </c>
      <c r="K594">
        <v>3390000</v>
      </c>
      <c r="L594">
        <v>358</v>
      </c>
      <c r="O594">
        <v>190202</v>
      </c>
    </row>
    <row r="595" spans="1:15">
      <c r="A595">
        <v>594</v>
      </c>
      <c r="B595">
        <v>6</v>
      </c>
      <c r="C595">
        <v>94</v>
      </c>
      <c r="D595" t="s">
        <v>426</v>
      </c>
      <c r="E595" t="s">
        <v>427</v>
      </c>
      <c r="G595">
        <v>205305</v>
      </c>
      <c r="H595">
        <v>8</v>
      </c>
      <c r="I595">
        <v>12</v>
      </c>
      <c r="J595">
        <v>1322</v>
      </c>
      <c r="K595">
        <v>3430000</v>
      </c>
      <c r="L595">
        <v>362</v>
      </c>
      <c r="O595">
        <v>192719</v>
      </c>
    </row>
    <row r="596" spans="1:15">
      <c r="A596">
        <v>595</v>
      </c>
      <c r="B596">
        <v>6</v>
      </c>
      <c r="C596">
        <v>95</v>
      </c>
      <c r="D596" t="s">
        <v>428</v>
      </c>
      <c r="E596" t="s">
        <v>429</v>
      </c>
      <c r="G596">
        <v>208035</v>
      </c>
      <c r="H596">
        <v>8</v>
      </c>
      <c r="I596">
        <v>12</v>
      </c>
      <c r="J596">
        <v>1336</v>
      </c>
      <c r="K596">
        <v>3470000</v>
      </c>
      <c r="L596">
        <v>366</v>
      </c>
      <c r="O596">
        <v>195236</v>
      </c>
    </row>
    <row r="597" spans="1:15">
      <c r="A597">
        <v>596</v>
      </c>
      <c r="B597">
        <v>6</v>
      </c>
      <c r="C597">
        <v>96</v>
      </c>
      <c r="D597" t="s">
        <v>430</v>
      </c>
      <c r="E597" t="s">
        <v>431</v>
      </c>
      <c r="G597">
        <v>210765</v>
      </c>
      <c r="H597">
        <v>8</v>
      </c>
      <c r="I597">
        <v>12</v>
      </c>
      <c r="J597">
        <v>1350</v>
      </c>
      <c r="K597">
        <v>3510000</v>
      </c>
      <c r="L597">
        <v>370</v>
      </c>
      <c r="O597">
        <v>197753</v>
      </c>
    </row>
    <row r="598" spans="1:15">
      <c r="A598">
        <v>597</v>
      </c>
      <c r="B598">
        <v>6</v>
      </c>
      <c r="C598">
        <v>97</v>
      </c>
      <c r="D598" t="s">
        <v>432</v>
      </c>
      <c r="E598" t="s">
        <v>433</v>
      </c>
      <c r="G598">
        <v>213495</v>
      </c>
      <c r="H598">
        <v>8</v>
      </c>
      <c r="I598">
        <v>12</v>
      </c>
      <c r="J598">
        <v>1364</v>
      </c>
      <c r="K598">
        <v>3550000</v>
      </c>
      <c r="L598">
        <v>374</v>
      </c>
      <c r="O598">
        <v>200270</v>
      </c>
    </row>
    <row r="599" spans="1:15">
      <c r="A599">
        <v>598</v>
      </c>
      <c r="B599">
        <v>6</v>
      </c>
      <c r="C599">
        <v>98</v>
      </c>
      <c r="D599" t="s">
        <v>434</v>
      </c>
      <c r="E599" t="s">
        <v>435</v>
      </c>
      <c r="G599">
        <v>216225</v>
      </c>
      <c r="H599">
        <v>8</v>
      </c>
      <c r="I599">
        <v>12</v>
      </c>
      <c r="J599">
        <v>1378</v>
      </c>
      <c r="K599">
        <v>3590000</v>
      </c>
      <c r="L599">
        <v>378</v>
      </c>
      <c r="O599">
        <v>202787</v>
      </c>
    </row>
    <row r="600" spans="1:15">
      <c r="A600">
        <v>599</v>
      </c>
      <c r="B600">
        <v>6</v>
      </c>
      <c r="C600">
        <v>99</v>
      </c>
      <c r="D600" t="s">
        <v>436</v>
      </c>
      <c r="E600" t="s">
        <v>437</v>
      </c>
      <c r="G600">
        <v>218955</v>
      </c>
      <c r="H600">
        <v>8</v>
      </c>
      <c r="I600">
        <v>12</v>
      </c>
      <c r="J600">
        <v>1392</v>
      </c>
      <c r="K600">
        <v>3630000</v>
      </c>
      <c r="L600">
        <v>382</v>
      </c>
      <c r="O600">
        <v>205304</v>
      </c>
    </row>
    <row r="601" spans="1:15">
      <c r="A601">
        <v>600</v>
      </c>
      <c r="B601">
        <v>6</v>
      </c>
      <c r="C601">
        <v>100</v>
      </c>
      <c r="D601" t="s">
        <v>438</v>
      </c>
      <c r="E601" t="s">
        <v>439</v>
      </c>
      <c r="G601">
        <v>221685</v>
      </c>
      <c r="H601">
        <v>8</v>
      </c>
      <c r="I601">
        <v>12</v>
      </c>
      <c r="J601">
        <v>1406</v>
      </c>
      <c r="K601">
        <v>3670000</v>
      </c>
      <c r="L601">
        <v>386</v>
      </c>
      <c r="N601">
        <v>1</v>
      </c>
      <c r="O601">
        <v>207821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7"/>
  <sheetViews>
    <sheetView workbookViewId="0">
      <pane xSplit="2" ySplit="1" topLeftCell="C128" activePane="bottomRight" state="frozen"/>
      <selection/>
      <selection pane="topRight"/>
      <selection pane="bottomLeft"/>
      <selection pane="bottomRight" activeCell="H3" sqref="H3"/>
    </sheetView>
  </sheetViews>
  <sheetFormatPr defaultColWidth="9" defaultRowHeight="15" outlineLevelCol="7"/>
  <cols>
    <col min="4" max="4" width="15.3714285714286" customWidth="1"/>
    <col min="5" max="5" width="15.6285714285714" customWidth="1"/>
    <col min="6" max="6" width="20.752380952381" customWidth="1"/>
    <col min="8" max="8" width="18.752380952381" customWidth="1"/>
  </cols>
  <sheetData>
    <row r="1" spans="1:8">
      <c r="A1" t="s">
        <v>0</v>
      </c>
      <c r="B1" t="s">
        <v>26</v>
      </c>
      <c r="C1" t="s">
        <v>442</v>
      </c>
      <c r="D1" t="s">
        <v>443</v>
      </c>
      <c r="E1" t="s">
        <v>33</v>
      </c>
      <c r="F1" t="s">
        <v>34</v>
      </c>
      <c r="G1" t="s">
        <v>35</v>
      </c>
      <c r="H1" t="s">
        <v>36</v>
      </c>
    </row>
    <row r="2" spans="1:6">
      <c r="A2">
        <v>1</v>
      </c>
      <c r="B2">
        <v>1</v>
      </c>
      <c r="C2">
        <v>0</v>
      </c>
      <c r="D2">
        <v>0</v>
      </c>
      <c r="E2">
        <v>50000</v>
      </c>
      <c r="F2">
        <v>500</v>
      </c>
    </row>
    <row r="3" spans="1:8">
      <c r="A3">
        <v>2</v>
      </c>
      <c r="B3">
        <v>1</v>
      </c>
      <c r="C3">
        <v>1</v>
      </c>
      <c r="D3">
        <v>719</v>
      </c>
      <c r="E3">
        <v>60000</v>
      </c>
      <c r="F3">
        <v>1000</v>
      </c>
      <c r="H3">
        <v>500</v>
      </c>
    </row>
    <row r="4" spans="1:8">
      <c r="A4">
        <v>3</v>
      </c>
      <c r="B4">
        <v>1</v>
      </c>
      <c r="C4">
        <v>2</v>
      </c>
      <c r="D4">
        <v>2160</v>
      </c>
      <c r="E4">
        <v>70000</v>
      </c>
      <c r="F4">
        <v>1500</v>
      </c>
      <c r="H4">
        <v>1500</v>
      </c>
    </row>
    <row r="5" spans="1:8">
      <c r="A5">
        <v>4</v>
      </c>
      <c r="B5">
        <v>1</v>
      </c>
      <c r="C5">
        <v>3</v>
      </c>
      <c r="D5">
        <v>3722</v>
      </c>
      <c r="E5">
        <v>80000</v>
      </c>
      <c r="F5">
        <v>2000</v>
      </c>
      <c r="H5">
        <v>3000</v>
      </c>
    </row>
    <row r="6" spans="1:8">
      <c r="A6">
        <v>5</v>
      </c>
      <c r="B6">
        <v>1</v>
      </c>
      <c r="C6">
        <v>4</v>
      </c>
      <c r="D6">
        <v>5403</v>
      </c>
      <c r="E6">
        <v>90000</v>
      </c>
      <c r="F6">
        <v>2500</v>
      </c>
      <c r="H6">
        <v>5000</v>
      </c>
    </row>
    <row r="7" spans="1:8">
      <c r="A7">
        <v>6</v>
      </c>
      <c r="B7">
        <v>1</v>
      </c>
      <c r="C7">
        <v>5</v>
      </c>
      <c r="D7">
        <v>7204</v>
      </c>
      <c r="E7">
        <v>100000</v>
      </c>
      <c r="F7">
        <v>3000</v>
      </c>
      <c r="H7">
        <v>7500</v>
      </c>
    </row>
    <row r="8" spans="1:8">
      <c r="A8">
        <v>7</v>
      </c>
      <c r="B8">
        <v>1</v>
      </c>
      <c r="C8">
        <v>6</v>
      </c>
      <c r="D8">
        <v>9126</v>
      </c>
      <c r="E8">
        <v>110000</v>
      </c>
      <c r="F8">
        <v>3500</v>
      </c>
      <c r="H8">
        <v>10500</v>
      </c>
    </row>
    <row r="9" spans="1:8">
      <c r="A9">
        <v>8</v>
      </c>
      <c r="B9">
        <v>1</v>
      </c>
      <c r="C9">
        <v>7</v>
      </c>
      <c r="D9">
        <v>11168</v>
      </c>
      <c r="E9">
        <v>120000</v>
      </c>
      <c r="F9">
        <v>4000</v>
      </c>
      <c r="H9">
        <v>14000</v>
      </c>
    </row>
    <row r="10" spans="1:8">
      <c r="A10">
        <v>9</v>
      </c>
      <c r="B10">
        <v>1</v>
      </c>
      <c r="C10">
        <v>8</v>
      </c>
      <c r="D10">
        <v>13330</v>
      </c>
      <c r="E10">
        <v>130000</v>
      </c>
      <c r="F10">
        <v>4500</v>
      </c>
      <c r="H10">
        <v>18000</v>
      </c>
    </row>
    <row r="11" spans="1:8">
      <c r="A11">
        <v>10</v>
      </c>
      <c r="B11">
        <v>1</v>
      </c>
      <c r="C11">
        <v>9</v>
      </c>
      <c r="D11">
        <v>15611</v>
      </c>
      <c r="E11">
        <v>140000</v>
      </c>
      <c r="F11">
        <v>5000</v>
      </c>
      <c r="H11">
        <v>22500</v>
      </c>
    </row>
    <row r="12" spans="1:8">
      <c r="A12">
        <v>11</v>
      </c>
      <c r="B12">
        <v>1</v>
      </c>
      <c r="C12">
        <v>10</v>
      </c>
      <c r="D12">
        <v>18013</v>
      </c>
      <c r="E12">
        <v>150000</v>
      </c>
      <c r="F12">
        <v>5500</v>
      </c>
      <c r="H12">
        <v>27500</v>
      </c>
    </row>
    <row r="13" spans="1:8">
      <c r="A13">
        <v>12</v>
      </c>
      <c r="B13">
        <v>1</v>
      </c>
      <c r="C13">
        <v>11</v>
      </c>
      <c r="D13">
        <v>20536</v>
      </c>
      <c r="E13">
        <v>160000</v>
      </c>
      <c r="F13">
        <v>6000</v>
      </c>
      <c r="H13">
        <v>33000</v>
      </c>
    </row>
    <row r="14" spans="1:8">
      <c r="A14">
        <v>13</v>
      </c>
      <c r="B14">
        <v>1</v>
      </c>
      <c r="C14">
        <v>12</v>
      </c>
      <c r="D14">
        <v>23178</v>
      </c>
      <c r="E14">
        <v>170000</v>
      </c>
      <c r="F14">
        <v>6500</v>
      </c>
      <c r="H14">
        <v>39000</v>
      </c>
    </row>
    <row r="15" spans="1:8">
      <c r="A15">
        <v>14</v>
      </c>
      <c r="B15">
        <v>1</v>
      </c>
      <c r="C15">
        <v>13</v>
      </c>
      <c r="D15">
        <v>25940</v>
      </c>
      <c r="E15">
        <v>180000</v>
      </c>
      <c r="F15">
        <v>7000</v>
      </c>
      <c r="H15">
        <v>45500</v>
      </c>
    </row>
    <row r="16" spans="1:8">
      <c r="A16">
        <v>15</v>
      </c>
      <c r="B16">
        <v>1</v>
      </c>
      <c r="C16">
        <v>14</v>
      </c>
      <c r="D16">
        <v>28822</v>
      </c>
      <c r="E16">
        <v>190000</v>
      </c>
      <c r="F16">
        <v>7500</v>
      </c>
      <c r="H16">
        <v>52500</v>
      </c>
    </row>
    <row r="17" spans="1:8">
      <c r="A17">
        <v>16</v>
      </c>
      <c r="B17">
        <v>1</v>
      </c>
      <c r="C17">
        <v>15</v>
      </c>
      <c r="D17">
        <v>31825</v>
      </c>
      <c r="E17">
        <v>200000</v>
      </c>
      <c r="F17">
        <v>8000</v>
      </c>
      <c r="H17">
        <v>60000</v>
      </c>
    </row>
    <row r="18" spans="1:8">
      <c r="A18">
        <v>17</v>
      </c>
      <c r="B18">
        <v>1</v>
      </c>
      <c r="C18">
        <v>16</v>
      </c>
      <c r="D18">
        <v>34948</v>
      </c>
      <c r="E18">
        <v>210000</v>
      </c>
      <c r="F18">
        <v>8500</v>
      </c>
      <c r="H18">
        <v>68000</v>
      </c>
    </row>
    <row r="19" spans="1:8">
      <c r="A19">
        <v>18</v>
      </c>
      <c r="B19">
        <v>1</v>
      </c>
      <c r="C19">
        <v>17</v>
      </c>
      <c r="D19">
        <v>38190</v>
      </c>
      <c r="E19">
        <v>220000</v>
      </c>
      <c r="F19">
        <v>9000</v>
      </c>
      <c r="H19">
        <v>76500</v>
      </c>
    </row>
    <row r="20" spans="1:8">
      <c r="A20">
        <v>19</v>
      </c>
      <c r="B20">
        <v>1</v>
      </c>
      <c r="C20">
        <v>18</v>
      </c>
      <c r="D20">
        <v>41553</v>
      </c>
      <c r="E20">
        <v>230000</v>
      </c>
      <c r="F20">
        <v>9500</v>
      </c>
      <c r="H20">
        <v>85500</v>
      </c>
    </row>
    <row r="21" spans="1:8">
      <c r="A21">
        <v>20</v>
      </c>
      <c r="B21">
        <v>1</v>
      </c>
      <c r="C21">
        <v>19</v>
      </c>
      <c r="D21">
        <v>45036</v>
      </c>
      <c r="E21">
        <v>240000</v>
      </c>
      <c r="F21">
        <v>10000</v>
      </c>
      <c r="H21">
        <v>95000</v>
      </c>
    </row>
    <row r="22" spans="1:8">
      <c r="A22">
        <v>21</v>
      </c>
      <c r="B22">
        <v>1</v>
      </c>
      <c r="C22">
        <v>20</v>
      </c>
      <c r="D22">
        <v>48639</v>
      </c>
      <c r="E22">
        <v>250000</v>
      </c>
      <c r="F22">
        <v>10500</v>
      </c>
      <c r="H22">
        <v>105000</v>
      </c>
    </row>
    <row r="23" spans="1:8">
      <c r="A23">
        <v>22</v>
      </c>
      <c r="B23">
        <v>1</v>
      </c>
      <c r="C23">
        <v>21</v>
      </c>
      <c r="D23">
        <v>52362</v>
      </c>
      <c r="E23">
        <v>260000</v>
      </c>
      <c r="F23">
        <v>11000</v>
      </c>
      <c r="H23">
        <v>115500</v>
      </c>
    </row>
    <row r="24" spans="1:8">
      <c r="A24">
        <v>23</v>
      </c>
      <c r="B24">
        <v>1</v>
      </c>
      <c r="C24">
        <v>22</v>
      </c>
      <c r="D24">
        <v>56205</v>
      </c>
      <c r="E24">
        <v>270000</v>
      </c>
      <c r="F24">
        <v>11500</v>
      </c>
      <c r="H24">
        <v>126500</v>
      </c>
    </row>
    <row r="25" spans="1:8">
      <c r="A25">
        <v>24</v>
      </c>
      <c r="B25">
        <v>1</v>
      </c>
      <c r="C25">
        <v>23</v>
      </c>
      <c r="D25">
        <v>60169</v>
      </c>
      <c r="E25">
        <v>280000</v>
      </c>
      <c r="F25">
        <v>12000</v>
      </c>
      <c r="H25">
        <v>138000</v>
      </c>
    </row>
    <row r="26" spans="1:8">
      <c r="A26">
        <v>25</v>
      </c>
      <c r="B26">
        <v>1</v>
      </c>
      <c r="C26">
        <v>24</v>
      </c>
      <c r="D26">
        <v>64252</v>
      </c>
      <c r="E26">
        <v>290000</v>
      </c>
      <c r="F26">
        <v>12500</v>
      </c>
      <c r="H26">
        <v>150000</v>
      </c>
    </row>
    <row r="27" spans="1:8">
      <c r="A27">
        <v>26</v>
      </c>
      <c r="B27">
        <v>1</v>
      </c>
      <c r="C27">
        <v>25</v>
      </c>
      <c r="D27">
        <v>68455</v>
      </c>
      <c r="E27">
        <v>300000</v>
      </c>
      <c r="F27">
        <v>13000</v>
      </c>
      <c r="H27">
        <v>162500</v>
      </c>
    </row>
    <row r="28" spans="1:8">
      <c r="A28">
        <v>27</v>
      </c>
      <c r="B28">
        <v>1</v>
      </c>
      <c r="C28">
        <v>26</v>
      </c>
      <c r="D28">
        <v>72779</v>
      </c>
      <c r="E28">
        <v>310000</v>
      </c>
      <c r="F28">
        <v>13500</v>
      </c>
      <c r="H28">
        <v>175500</v>
      </c>
    </row>
    <row r="29" spans="1:8">
      <c r="A29">
        <v>28</v>
      </c>
      <c r="B29">
        <v>1</v>
      </c>
      <c r="C29">
        <v>27</v>
      </c>
      <c r="D29">
        <v>77223</v>
      </c>
      <c r="E29">
        <v>320000</v>
      </c>
      <c r="F29">
        <v>14000</v>
      </c>
      <c r="H29">
        <v>189000</v>
      </c>
    </row>
    <row r="30" spans="1:8">
      <c r="A30">
        <v>29</v>
      </c>
      <c r="B30">
        <v>1</v>
      </c>
      <c r="C30">
        <v>28</v>
      </c>
      <c r="D30">
        <v>81787</v>
      </c>
      <c r="E30">
        <v>330000</v>
      </c>
      <c r="F30">
        <v>14500</v>
      </c>
      <c r="H30">
        <v>203000</v>
      </c>
    </row>
    <row r="31" spans="1:8">
      <c r="A31">
        <v>30</v>
      </c>
      <c r="B31">
        <v>1</v>
      </c>
      <c r="C31">
        <v>29</v>
      </c>
      <c r="D31">
        <v>86470</v>
      </c>
      <c r="E31">
        <v>340000</v>
      </c>
      <c r="F31">
        <v>15000</v>
      </c>
      <c r="H31">
        <v>217500</v>
      </c>
    </row>
    <row r="32" spans="1:8">
      <c r="A32">
        <v>31</v>
      </c>
      <c r="B32">
        <v>1</v>
      </c>
      <c r="C32">
        <v>30</v>
      </c>
      <c r="D32">
        <v>91274</v>
      </c>
      <c r="E32">
        <v>350000</v>
      </c>
      <c r="F32">
        <v>15500</v>
      </c>
      <c r="H32">
        <v>232500</v>
      </c>
    </row>
    <row r="33" spans="1:8">
      <c r="A33">
        <v>32</v>
      </c>
      <c r="B33">
        <v>1</v>
      </c>
      <c r="C33">
        <v>31</v>
      </c>
      <c r="D33">
        <v>96199</v>
      </c>
      <c r="E33">
        <v>360000</v>
      </c>
      <c r="F33">
        <v>16000</v>
      </c>
      <c r="H33">
        <v>248000</v>
      </c>
    </row>
    <row r="34" spans="1:8">
      <c r="A34">
        <v>33</v>
      </c>
      <c r="B34">
        <v>1</v>
      </c>
      <c r="C34">
        <v>32</v>
      </c>
      <c r="D34">
        <v>101243</v>
      </c>
      <c r="E34">
        <v>370000</v>
      </c>
      <c r="F34">
        <v>16500</v>
      </c>
      <c r="H34">
        <v>264000</v>
      </c>
    </row>
    <row r="35" spans="1:8">
      <c r="A35">
        <v>34</v>
      </c>
      <c r="B35">
        <v>1</v>
      </c>
      <c r="C35">
        <v>33</v>
      </c>
      <c r="D35">
        <v>106407</v>
      </c>
      <c r="E35">
        <v>380000</v>
      </c>
      <c r="F35">
        <v>17000</v>
      </c>
      <c r="H35">
        <v>280500</v>
      </c>
    </row>
    <row r="36" spans="1:8">
      <c r="A36">
        <v>35</v>
      </c>
      <c r="B36">
        <v>1</v>
      </c>
      <c r="C36">
        <v>34</v>
      </c>
      <c r="D36">
        <v>111691</v>
      </c>
      <c r="E36">
        <v>390000</v>
      </c>
      <c r="F36">
        <v>17500</v>
      </c>
      <c r="H36">
        <v>297500</v>
      </c>
    </row>
    <row r="37" spans="1:8">
      <c r="A37">
        <v>36</v>
      </c>
      <c r="B37">
        <v>1</v>
      </c>
      <c r="C37">
        <v>35</v>
      </c>
      <c r="D37">
        <v>117096</v>
      </c>
      <c r="E37">
        <v>400000</v>
      </c>
      <c r="F37">
        <v>18000</v>
      </c>
      <c r="H37">
        <v>315000</v>
      </c>
    </row>
    <row r="38" spans="1:8">
      <c r="A38">
        <v>37</v>
      </c>
      <c r="B38">
        <v>1</v>
      </c>
      <c r="C38">
        <v>36</v>
      </c>
      <c r="D38">
        <v>122621</v>
      </c>
      <c r="E38">
        <v>410000</v>
      </c>
      <c r="F38">
        <v>18500</v>
      </c>
      <c r="H38">
        <v>333000</v>
      </c>
    </row>
    <row r="39" spans="1:8">
      <c r="A39">
        <v>38</v>
      </c>
      <c r="B39">
        <v>1</v>
      </c>
      <c r="C39">
        <v>37</v>
      </c>
      <c r="D39">
        <v>128265</v>
      </c>
      <c r="E39">
        <v>420000</v>
      </c>
      <c r="F39">
        <v>19000</v>
      </c>
      <c r="H39">
        <v>351500</v>
      </c>
    </row>
    <row r="40" spans="1:8">
      <c r="A40">
        <v>39</v>
      </c>
      <c r="B40">
        <v>1</v>
      </c>
      <c r="C40">
        <v>38</v>
      </c>
      <c r="D40">
        <v>134030</v>
      </c>
      <c r="E40">
        <v>430000</v>
      </c>
      <c r="F40">
        <v>19500</v>
      </c>
      <c r="H40">
        <v>370500</v>
      </c>
    </row>
    <row r="41" spans="1:8">
      <c r="A41">
        <v>40</v>
      </c>
      <c r="B41">
        <v>1</v>
      </c>
      <c r="C41">
        <v>39</v>
      </c>
      <c r="D41">
        <v>139915</v>
      </c>
      <c r="E41">
        <v>440000</v>
      </c>
      <c r="F41">
        <v>20000</v>
      </c>
      <c r="H41">
        <v>390000</v>
      </c>
    </row>
    <row r="42" spans="1:8">
      <c r="A42">
        <v>41</v>
      </c>
      <c r="B42">
        <v>1</v>
      </c>
      <c r="C42">
        <v>40</v>
      </c>
      <c r="D42">
        <v>145920</v>
      </c>
      <c r="E42">
        <v>450000</v>
      </c>
      <c r="F42">
        <v>20500</v>
      </c>
      <c r="H42">
        <v>410000</v>
      </c>
    </row>
    <row r="43" spans="1:8">
      <c r="A43">
        <v>42</v>
      </c>
      <c r="B43">
        <v>1</v>
      </c>
      <c r="C43">
        <v>41</v>
      </c>
      <c r="D43">
        <v>152045</v>
      </c>
      <c r="E43">
        <v>460000</v>
      </c>
      <c r="F43">
        <v>21000</v>
      </c>
      <c r="H43">
        <v>430500</v>
      </c>
    </row>
    <row r="44" spans="1:8">
      <c r="A44">
        <v>43</v>
      </c>
      <c r="B44">
        <v>1</v>
      </c>
      <c r="C44">
        <v>42</v>
      </c>
      <c r="D44">
        <v>158290</v>
      </c>
      <c r="E44">
        <v>470000</v>
      </c>
      <c r="F44">
        <v>21500</v>
      </c>
      <c r="H44">
        <v>451500</v>
      </c>
    </row>
    <row r="45" spans="1:8">
      <c r="A45">
        <v>44</v>
      </c>
      <c r="B45">
        <v>1</v>
      </c>
      <c r="C45">
        <v>43</v>
      </c>
      <c r="D45">
        <v>164656</v>
      </c>
      <c r="E45">
        <v>480000</v>
      </c>
      <c r="F45">
        <v>22000</v>
      </c>
      <c r="H45">
        <v>473000</v>
      </c>
    </row>
    <row r="46" spans="1:8">
      <c r="A46">
        <v>45</v>
      </c>
      <c r="B46">
        <v>1</v>
      </c>
      <c r="C46">
        <v>44</v>
      </c>
      <c r="D46">
        <v>171141</v>
      </c>
      <c r="E46">
        <v>490000</v>
      </c>
      <c r="F46">
        <v>22500</v>
      </c>
      <c r="H46">
        <v>495000</v>
      </c>
    </row>
    <row r="47" spans="1:8">
      <c r="A47">
        <v>46</v>
      </c>
      <c r="B47">
        <v>1</v>
      </c>
      <c r="C47">
        <v>45</v>
      </c>
      <c r="D47">
        <v>177746</v>
      </c>
      <c r="E47">
        <v>500000</v>
      </c>
      <c r="F47">
        <v>23000</v>
      </c>
      <c r="H47">
        <v>517500</v>
      </c>
    </row>
    <row r="48" spans="1:8">
      <c r="A48">
        <v>47</v>
      </c>
      <c r="B48">
        <v>1</v>
      </c>
      <c r="C48">
        <v>46</v>
      </c>
      <c r="D48">
        <v>184472</v>
      </c>
      <c r="E48">
        <v>510000</v>
      </c>
      <c r="F48">
        <v>23500</v>
      </c>
      <c r="H48">
        <v>540500</v>
      </c>
    </row>
    <row r="49" spans="1:8">
      <c r="A49">
        <v>48</v>
      </c>
      <c r="B49">
        <v>1</v>
      </c>
      <c r="C49">
        <v>47</v>
      </c>
      <c r="D49">
        <v>191318</v>
      </c>
      <c r="E49">
        <v>520000</v>
      </c>
      <c r="F49">
        <v>24000</v>
      </c>
      <c r="H49">
        <v>564000</v>
      </c>
    </row>
    <row r="50" spans="1:8">
      <c r="A50">
        <v>49</v>
      </c>
      <c r="B50">
        <v>1</v>
      </c>
      <c r="C50">
        <v>48</v>
      </c>
      <c r="D50">
        <v>198284</v>
      </c>
      <c r="E50">
        <v>530000</v>
      </c>
      <c r="F50">
        <v>24500</v>
      </c>
      <c r="H50">
        <v>588000</v>
      </c>
    </row>
    <row r="51" spans="1:8">
      <c r="A51">
        <v>50</v>
      </c>
      <c r="B51">
        <v>1</v>
      </c>
      <c r="C51">
        <v>49</v>
      </c>
      <c r="D51">
        <v>205369</v>
      </c>
      <c r="E51">
        <v>540000</v>
      </c>
      <c r="F51">
        <v>25000</v>
      </c>
      <c r="H51">
        <v>612500</v>
      </c>
    </row>
    <row r="52" spans="1:8">
      <c r="A52">
        <v>51</v>
      </c>
      <c r="B52">
        <v>1</v>
      </c>
      <c r="C52">
        <v>50</v>
      </c>
      <c r="D52">
        <v>212575</v>
      </c>
      <c r="E52">
        <v>550000</v>
      </c>
      <c r="F52">
        <v>25500</v>
      </c>
      <c r="H52">
        <v>637500</v>
      </c>
    </row>
    <row r="53" spans="1:8">
      <c r="A53">
        <v>52</v>
      </c>
      <c r="B53">
        <v>1</v>
      </c>
      <c r="C53">
        <v>51</v>
      </c>
      <c r="D53">
        <v>219902</v>
      </c>
      <c r="E53">
        <v>560000</v>
      </c>
      <c r="F53">
        <v>26000</v>
      </c>
      <c r="H53">
        <v>663000</v>
      </c>
    </row>
    <row r="54" spans="1:8">
      <c r="A54">
        <v>53</v>
      </c>
      <c r="B54">
        <v>1</v>
      </c>
      <c r="C54">
        <v>52</v>
      </c>
      <c r="D54">
        <v>227348</v>
      </c>
      <c r="E54">
        <v>570000</v>
      </c>
      <c r="F54">
        <v>26500</v>
      </c>
      <c r="H54">
        <v>689000</v>
      </c>
    </row>
    <row r="55" spans="1:8">
      <c r="A55">
        <v>54</v>
      </c>
      <c r="B55">
        <v>1</v>
      </c>
      <c r="C55">
        <v>53</v>
      </c>
      <c r="D55">
        <v>234914</v>
      </c>
      <c r="E55">
        <v>580000</v>
      </c>
      <c r="F55">
        <v>27000</v>
      </c>
      <c r="H55">
        <v>715500</v>
      </c>
    </row>
    <row r="56" spans="1:8">
      <c r="A56">
        <v>55</v>
      </c>
      <c r="B56">
        <v>1</v>
      </c>
      <c r="C56">
        <v>54</v>
      </c>
      <c r="D56">
        <v>242600</v>
      </c>
      <c r="E56">
        <v>590000</v>
      </c>
      <c r="F56">
        <v>27500</v>
      </c>
      <c r="H56">
        <v>742500</v>
      </c>
    </row>
    <row r="57" spans="1:8">
      <c r="A57">
        <v>56</v>
      </c>
      <c r="B57">
        <v>1</v>
      </c>
      <c r="C57">
        <v>55</v>
      </c>
      <c r="D57">
        <v>250407</v>
      </c>
      <c r="E57">
        <v>600000</v>
      </c>
      <c r="F57">
        <v>28000</v>
      </c>
      <c r="H57">
        <v>770000</v>
      </c>
    </row>
    <row r="58" spans="1:8">
      <c r="A58">
        <v>57</v>
      </c>
      <c r="B58">
        <v>1</v>
      </c>
      <c r="C58">
        <v>56</v>
      </c>
      <c r="D58">
        <v>258334</v>
      </c>
      <c r="E58">
        <v>610000</v>
      </c>
      <c r="F58">
        <v>28500</v>
      </c>
      <c r="H58">
        <v>798000</v>
      </c>
    </row>
    <row r="59" spans="1:8">
      <c r="A59">
        <v>58</v>
      </c>
      <c r="B59">
        <v>1</v>
      </c>
      <c r="C59">
        <v>57</v>
      </c>
      <c r="D59">
        <v>266380</v>
      </c>
      <c r="E59">
        <v>620000</v>
      </c>
      <c r="F59">
        <v>29000</v>
      </c>
      <c r="H59">
        <v>826500</v>
      </c>
    </row>
    <row r="60" spans="1:8">
      <c r="A60">
        <v>59</v>
      </c>
      <c r="B60">
        <v>1</v>
      </c>
      <c r="C60">
        <v>58</v>
      </c>
      <c r="D60">
        <v>274547</v>
      </c>
      <c r="E60">
        <v>630000</v>
      </c>
      <c r="F60">
        <v>29500</v>
      </c>
      <c r="H60">
        <v>855500</v>
      </c>
    </row>
    <row r="61" spans="1:8">
      <c r="A61">
        <v>60</v>
      </c>
      <c r="B61">
        <v>1</v>
      </c>
      <c r="C61">
        <v>59</v>
      </c>
      <c r="D61">
        <v>282834</v>
      </c>
      <c r="E61">
        <v>640000</v>
      </c>
      <c r="F61">
        <v>30000</v>
      </c>
      <c r="H61">
        <v>885000</v>
      </c>
    </row>
    <row r="62" spans="1:8">
      <c r="A62">
        <v>61</v>
      </c>
      <c r="B62">
        <v>1</v>
      </c>
      <c r="C62">
        <v>60</v>
      </c>
      <c r="D62">
        <v>291241</v>
      </c>
      <c r="E62">
        <v>650000</v>
      </c>
      <c r="F62">
        <v>30500</v>
      </c>
      <c r="H62">
        <v>915000</v>
      </c>
    </row>
    <row r="63" s="4" customFormat="1" spans="1:8">
      <c r="A63">
        <v>62</v>
      </c>
      <c r="B63" s="4">
        <v>1</v>
      </c>
      <c r="C63" s="4">
        <v>61</v>
      </c>
      <c r="D63" s="5">
        <v>299768</v>
      </c>
      <c r="E63" s="4">
        <v>8220000</v>
      </c>
      <c r="F63" s="4">
        <v>341084</v>
      </c>
      <c r="H63">
        <v>945500</v>
      </c>
    </row>
    <row r="64" s="4" customFormat="1" spans="1:8">
      <c r="A64">
        <v>63</v>
      </c>
      <c r="B64" s="4">
        <v>1</v>
      </c>
      <c r="C64" s="4">
        <v>62</v>
      </c>
      <c r="D64" s="5">
        <v>308415</v>
      </c>
      <c r="E64" s="4">
        <v>9420000</v>
      </c>
      <c r="F64" s="4">
        <v>345888</v>
      </c>
      <c r="H64">
        <v>1286584</v>
      </c>
    </row>
    <row r="65" s="4" customFormat="1" spans="1:8">
      <c r="A65">
        <v>64</v>
      </c>
      <c r="B65" s="4">
        <v>1</v>
      </c>
      <c r="C65" s="4">
        <v>63</v>
      </c>
      <c r="D65" s="5">
        <v>317183</v>
      </c>
      <c r="E65" s="4">
        <v>10620000</v>
      </c>
      <c r="F65" s="4">
        <v>350692</v>
      </c>
      <c r="H65">
        <v>1632472</v>
      </c>
    </row>
    <row r="66" s="4" customFormat="1" spans="1:8">
      <c r="A66">
        <v>65</v>
      </c>
      <c r="B66" s="4">
        <v>1</v>
      </c>
      <c r="C66" s="4">
        <v>64</v>
      </c>
      <c r="D66" s="5">
        <v>326070</v>
      </c>
      <c r="E66" s="4">
        <v>11820000</v>
      </c>
      <c r="F66" s="4">
        <v>355496</v>
      </c>
      <c r="H66">
        <v>1983164</v>
      </c>
    </row>
    <row r="67" s="4" customFormat="1" spans="1:8">
      <c r="A67">
        <v>66</v>
      </c>
      <c r="B67" s="4">
        <v>1</v>
      </c>
      <c r="C67" s="4">
        <v>65</v>
      </c>
      <c r="D67" s="5">
        <v>335077</v>
      </c>
      <c r="E67" s="4">
        <v>13020000</v>
      </c>
      <c r="F67" s="4">
        <v>360300</v>
      </c>
      <c r="H67">
        <v>2338660</v>
      </c>
    </row>
    <row r="68" s="4" customFormat="1" spans="1:8">
      <c r="A68">
        <v>67</v>
      </c>
      <c r="B68" s="4">
        <v>1</v>
      </c>
      <c r="C68" s="4">
        <v>66</v>
      </c>
      <c r="D68" s="5">
        <v>344205</v>
      </c>
      <c r="E68" s="4">
        <v>14620000</v>
      </c>
      <c r="F68" s="4">
        <v>365104</v>
      </c>
      <c r="H68">
        <v>2698960</v>
      </c>
    </row>
    <row r="69" s="4" customFormat="1" spans="1:8">
      <c r="A69">
        <v>68</v>
      </c>
      <c r="B69" s="4">
        <v>1</v>
      </c>
      <c r="C69" s="4">
        <v>67</v>
      </c>
      <c r="D69" s="5">
        <v>353453</v>
      </c>
      <c r="E69" s="4">
        <v>16220000</v>
      </c>
      <c r="F69" s="4">
        <v>369908</v>
      </c>
      <c r="H69">
        <v>3064064</v>
      </c>
    </row>
    <row r="70" s="4" customFormat="1" spans="1:8">
      <c r="A70">
        <v>69</v>
      </c>
      <c r="B70" s="4">
        <v>1</v>
      </c>
      <c r="C70" s="4">
        <v>68</v>
      </c>
      <c r="D70" s="5">
        <v>362821</v>
      </c>
      <c r="E70" s="4">
        <v>17820000</v>
      </c>
      <c r="F70" s="4">
        <v>374712</v>
      </c>
      <c r="H70">
        <v>3433972</v>
      </c>
    </row>
    <row r="71" s="4" customFormat="1" spans="1:8">
      <c r="A71">
        <v>70</v>
      </c>
      <c r="B71" s="4">
        <v>1</v>
      </c>
      <c r="C71" s="4">
        <v>69</v>
      </c>
      <c r="D71" s="5">
        <v>372308</v>
      </c>
      <c r="E71" s="4">
        <v>19420000</v>
      </c>
      <c r="F71" s="4">
        <v>379516</v>
      </c>
      <c r="H71">
        <v>3808684</v>
      </c>
    </row>
    <row r="72" s="4" customFormat="1" spans="1:8">
      <c r="A72">
        <v>71</v>
      </c>
      <c r="B72" s="4">
        <v>1</v>
      </c>
      <c r="C72" s="4">
        <v>70</v>
      </c>
      <c r="D72" s="5">
        <v>381916</v>
      </c>
      <c r="E72" s="4">
        <v>21020000</v>
      </c>
      <c r="F72" s="4">
        <v>384320</v>
      </c>
      <c r="H72">
        <v>4188200</v>
      </c>
    </row>
    <row r="73" s="4" customFormat="1" spans="1:8">
      <c r="A73">
        <v>72</v>
      </c>
      <c r="B73" s="4">
        <v>1</v>
      </c>
      <c r="C73" s="4">
        <v>71</v>
      </c>
      <c r="D73" s="5">
        <v>391645</v>
      </c>
      <c r="E73" s="4">
        <v>23020000</v>
      </c>
      <c r="F73" s="4">
        <v>389124</v>
      </c>
      <c r="H73">
        <v>4572520</v>
      </c>
    </row>
    <row r="74" s="4" customFormat="1" spans="1:8">
      <c r="A74">
        <v>73</v>
      </c>
      <c r="B74" s="4">
        <v>1</v>
      </c>
      <c r="C74" s="4">
        <v>72</v>
      </c>
      <c r="D74" s="5">
        <v>401493</v>
      </c>
      <c r="E74" s="4">
        <v>25020000</v>
      </c>
      <c r="F74" s="4">
        <v>393928</v>
      </c>
      <c r="H74">
        <v>4961644</v>
      </c>
    </row>
    <row r="75" s="4" customFormat="1" spans="1:8">
      <c r="A75">
        <v>74</v>
      </c>
      <c r="B75" s="4">
        <v>1</v>
      </c>
      <c r="C75" s="4">
        <v>73</v>
      </c>
      <c r="D75" s="5">
        <v>411461</v>
      </c>
      <c r="E75" s="4">
        <v>27020000</v>
      </c>
      <c r="F75" s="4">
        <v>398732</v>
      </c>
      <c r="H75">
        <v>5355572</v>
      </c>
    </row>
    <row r="76" s="4" customFormat="1" spans="1:8">
      <c r="A76">
        <v>75</v>
      </c>
      <c r="B76" s="4">
        <v>1</v>
      </c>
      <c r="C76" s="4">
        <v>74</v>
      </c>
      <c r="D76" s="5">
        <v>421549</v>
      </c>
      <c r="E76" s="4">
        <v>29020000</v>
      </c>
      <c r="F76" s="4">
        <v>403536</v>
      </c>
      <c r="H76">
        <v>5754304</v>
      </c>
    </row>
    <row r="77" s="4" customFormat="1" spans="1:8">
      <c r="A77">
        <v>76</v>
      </c>
      <c r="B77" s="4">
        <v>1</v>
      </c>
      <c r="C77" s="4">
        <v>75</v>
      </c>
      <c r="D77" s="5">
        <v>431758</v>
      </c>
      <c r="E77" s="4">
        <v>31020000</v>
      </c>
      <c r="F77" s="4">
        <v>408340</v>
      </c>
      <c r="H77">
        <v>6157840</v>
      </c>
    </row>
    <row r="78" s="4" customFormat="1" spans="1:8">
      <c r="A78">
        <v>77</v>
      </c>
      <c r="B78" s="4">
        <v>1</v>
      </c>
      <c r="C78" s="4">
        <v>76</v>
      </c>
      <c r="D78" s="5">
        <v>442087</v>
      </c>
      <c r="E78" s="4">
        <v>33420000</v>
      </c>
      <c r="F78" s="4">
        <v>413144</v>
      </c>
      <c r="H78">
        <v>6566180</v>
      </c>
    </row>
    <row r="79" s="4" customFormat="1" spans="1:8">
      <c r="A79">
        <v>78</v>
      </c>
      <c r="B79" s="4">
        <v>1</v>
      </c>
      <c r="C79" s="4">
        <v>77</v>
      </c>
      <c r="D79" s="5">
        <v>452535</v>
      </c>
      <c r="E79" s="4">
        <v>35820000</v>
      </c>
      <c r="F79" s="4">
        <v>417948</v>
      </c>
      <c r="H79">
        <v>6979324</v>
      </c>
    </row>
    <row r="80" s="4" customFormat="1" spans="1:8">
      <c r="A80">
        <v>79</v>
      </c>
      <c r="B80" s="4">
        <v>1</v>
      </c>
      <c r="C80" s="4">
        <v>78</v>
      </c>
      <c r="D80" s="5">
        <v>463104</v>
      </c>
      <c r="E80" s="4">
        <v>38220000</v>
      </c>
      <c r="F80" s="4">
        <v>422752</v>
      </c>
      <c r="H80">
        <v>7397272</v>
      </c>
    </row>
    <row r="81" s="4" customFormat="1" spans="1:8">
      <c r="A81">
        <v>80</v>
      </c>
      <c r="B81" s="4">
        <v>1</v>
      </c>
      <c r="C81" s="4">
        <v>79</v>
      </c>
      <c r="D81" s="5">
        <v>473793</v>
      </c>
      <c r="E81" s="4">
        <v>40620000</v>
      </c>
      <c r="F81" s="4">
        <v>427556</v>
      </c>
      <c r="H81">
        <v>7820024</v>
      </c>
    </row>
    <row r="82" s="4" customFormat="1" spans="1:8">
      <c r="A82">
        <v>81</v>
      </c>
      <c r="B82" s="4">
        <v>1</v>
      </c>
      <c r="C82" s="4">
        <v>80</v>
      </c>
      <c r="D82" s="5">
        <v>484602</v>
      </c>
      <c r="E82" s="4">
        <v>43020000</v>
      </c>
      <c r="F82" s="4">
        <v>432360</v>
      </c>
      <c r="G82" s="4">
        <v>1</v>
      </c>
      <c r="H82">
        <v>8247580</v>
      </c>
    </row>
    <row r="83" spans="1:6">
      <c r="A83">
        <v>82</v>
      </c>
      <c r="B83">
        <v>2</v>
      </c>
      <c r="C83">
        <v>0</v>
      </c>
      <c r="D83">
        <v>0</v>
      </c>
      <c r="E83">
        <v>60000</v>
      </c>
      <c r="F83">
        <v>600</v>
      </c>
    </row>
    <row r="84" spans="1:8">
      <c r="A84">
        <v>83</v>
      </c>
      <c r="B84">
        <v>2</v>
      </c>
      <c r="C84">
        <v>1</v>
      </c>
      <c r="D84">
        <v>719</v>
      </c>
      <c r="E84">
        <v>72000</v>
      </c>
      <c r="F84">
        <v>1200</v>
      </c>
      <c r="H84">
        <v>600</v>
      </c>
    </row>
    <row r="85" spans="1:8">
      <c r="A85">
        <v>84</v>
      </c>
      <c r="B85">
        <v>2</v>
      </c>
      <c r="C85">
        <v>2</v>
      </c>
      <c r="D85">
        <v>2160</v>
      </c>
      <c r="E85">
        <v>84000</v>
      </c>
      <c r="F85">
        <v>1800</v>
      </c>
      <c r="H85">
        <v>1800</v>
      </c>
    </row>
    <row r="86" spans="1:8">
      <c r="A86">
        <v>85</v>
      </c>
      <c r="B86">
        <v>2</v>
      </c>
      <c r="C86">
        <v>3</v>
      </c>
      <c r="D86">
        <v>3722</v>
      </c>
      <c r="E86">
        <v>96000</v>
      </c>
      <c r="F86">
        <v>2400</v>
      </c>
      <c r="H86">
        <v>3600</v>
      </c>
    </row>
    <row r="87" spans="1:8">
      <c r="A87">
        <v>86</v>
      </c>
      <c r="B87">
        <v>2</v>
      </c>
      <c r="C87">
        <v>4</v>
      </c>
      <c r="D87">
        <v>5403</v>
      </c>
      <c r="E87">
        <v>108000</v>
      </c>
      <c r="F87">
        <v>3000</v>
      </c>
      <c r="H87">
        <v>6000</v>
      </c>
    </row>
    <row r="88" spans="1:8">
      <c r="A88">
        <v>87</v>
      </c>
      <c r="B88">
        <v>2</v>
      </c>
      <c r="C88">
        <v>5</v>
      </c>
      <c r="D88">
        <v>7204</v>
      </c>
      <c r="E88">
        <v>120000</v>
      </c>
      <c r="F88">
        <v>3600</v>
      </c>
      <c r="H88">
        <v>9000</v>
      </c>
    </row>
    <row r="89" spans="1:8">
      <c r="A89">
        <v>88</v>
      </c>
      <c r="B89">
        <v>2</v>
      </c>
      <c r="C89">
        <v>6</v>
      </c>
      <c r="D89">
        <v>9126</v>
      </c>
      <c r="E89">
        <v>132000</v>
      </c>
      <c r="F89">
        <v>4200</v>
      </c>
      <c r="H89">
        <v>12600</v>
      </c>
    </row>
    <row r="90" spans="1:8">
      <c r="A90">
        <v>89</v>
      </c>
      <c r="B90">
        <v>2</v>
      </c>
      <c r="C90">
        <v>7</v>
      </c>
      <c r="D90">
        <v>11168</v>
      </c>
      <c r="E90">
        <v>144000</v>
      </c>
      <c r="F90">
        <v>4800</v>
      </c>
      <c r="H90">
        <v>16800</v>
      </c>
    </row>
    <row r="91" spans="1:8">
      <c r="A91">
        <v>90</v>
      </c>
      <c r="B91">
        <v>2</v>
      </c>
      <c r="C91">
        <v>8</v>
      </c>
      <c r="D91">
        <v>13330</v>
      </c>
      <c r="E91">
        <v>156000</v>
      </c>
      <c r="F91">
        <v>5400</v>
      </c>
      <c r="H91">
        <v>21600</v>
      </c>
    </row>
    <row r="92" spans="1:8">
      <c r="A92">
        <v>91</v>
      </c>
      <c r="B92">
        <v>2</v>
      </c>
      <c r="C92">
        <v>9</v>
      </c>
      <c r="D92">
        <v>15611</v>
      </c>
      <c r="E92">
        <v>168000</v>
      </c>
      <c r="F92">
        <v>6000</v>
      </c>
      <c r="H92">
        <v>27000</v>
      </c>
    </row>
    <row r="93" spans="1:8">
      <c r="A93">
        <v>92</v>
      </c>
      <c r="B93">
        <v>2</v>
      </c>
      <c r="C93">
        <v>10</v>
      </c>
      <c r="D93">
        <v>18013</v>
      </c>
      <c r="E93">
        <v>180000</v>
      </c>
      <c r="F93">
        <v>6600</v>
      </c>
      <c r="H93">
        <v>33000</v>
      </c>
    </row>
    <row r="94" spans="1:8">
      <c r="A94">
        <v>93</v>
      </c>
      <c r="B94">
        <v>2</v>
      </c>
      <c r="C94">
        <v>11</v>
      </c>
      <c r="D94">
        <v>20536</v>
      </c>
      <c r="E94">
        <v>192000</v>
      </c>
      <c r="F94">
        <v>7200</v>
      </c>
      <c r="H94">
        <v>39600</v>
      </c>
    </row>
    <row r="95" spans="1:8">
      <c r="A95">
        <v>94</v>
      </c>
      <c r="B95">
        <v>2</v>
      </c>
      <c r="C95">
        <v>12</v>
      </c>
      <c r="D95">
        <v>23178</v>
      </c>
      <c r="E95">
        <v>204000</v>
      </c>
      <c r="F95">
        <v>7800</v>
      </c>
      <c r="H95">
        <v>46800</v>
      </c>
    </row>
    <row r="96" spans="1:8">
      <c r="A96">
        <v>95</v>
      </c>
      <c r="B96">
        <v>2</v>
      </c>
      <c r="C96">
        <v>13</v>
      </c>
      <c r="D96">
        <v>25940</v>
      </c>
      <c r="E96">
        <v>216000</v>
      </c>
      <c r="F96">
        <v>8400</v>
      </c>
      <c r="H96">
        <v>54600</v>
      </c>
    </row>
    <row r="97" spans="1:8">
      <c r="A97">
        <v>96</v>
      </c>
      <c r="B97">
        <v>2</v>
      </c>
      <c r="C97">
        <v>14</v>
      </c>
      <c r="D97">
        <v>28822</v>
      </c>
      <c r="E97">
        <v>228000</v>
      </c>
      <c r="F97">
        <v>9000</v>
      </c>
      <c r="H97">
        <v>63000</v>
      </c>
    </row>
    <row r="98" spans="1:8">
      <c r="A98">
        <v>97</v>
      </c>
      <c r="B98">
        <v>2</v>
      </c>
      <c r="C98">
        <v>15</v>
      </c>
      <c r="D98">
        <v>31825</v>
      </c>
      <c r="E98">
        <v>240000</v>
      </c>
      <c r="F98">
        <v>9600</v>
      </c>
      <c r="H98">
        <v>72000</v>
      </c>
    </row>
    <row r="99" spans="1:8">
      <c r="A99">
        <v>98</v>
      </c>
      <c r="B99">
        <v>2</v>
      </c>
      <c r="C99">
        <v>16</v>
      </c>
      <c r="D99">
        <v>34948</v>
      </c>
      <c r="E99">
        <v>252000</v>
      </c>
      <c r="F99">
        <v>10200</v>
      </c>
      <c r="H99">
        <v>81600</v>
      </c>
    </row>
    <row r="100" spans="1:8">
      <c r="A100">
        <v>99</v>
      </c>
      <c r="B100">
        <v>2</v>
      </c>
      <c r="C100">
        <v>17</v>
      </c>
      <c r="D100">
        <v>38190</v>
      </c>
      <c r="E100">
        <v>264000</v>
      </c>
      <c r="F100">
        <v>10800</v>
      </c>
      <c r="H100">
        <v>91800</v>
      </c>
    </row>
    <row r="101" spans="1:8">
      <c r="A101">
        <v>100</v>
      </c>
      <c r="B101">
        <v>2</v>
      </c>
      <c r="C101">
        <v>18</v>
      </c>
      <c r="D101">
        <v>41553</v>
      </c>
      <c r="E101">
        <v>276000</v>
      </c>
      <c r="F101">
        <v>11400</v>
      </c>
      <c r="H101">
        <v>102600</v>
      </c>
    </row>
    <row r="102" spans="1:8">
      <c r="A102">
        <v>101</v>
      </c>
      <c r="B102">
        <v>2</v>
      </c>
      <c r="C102">
        <v>19</v>
      </c>
      <c r="D102">
        <v>45036</v>
      </c>
      <c r="E102">
        <v>288000</v>
      </c>
      <c r="F102">
        <v>12000</v>
      </c>
      <c r="H102">
        <v>114000</v>
      </c>
    </row>
    <row r="103" spans="1:8">
      <c r="A103">
        <v>102</v>
      </c>
      <c r="B103">
        <v>2</v>
      </c>
      <c r="C103">
        <v>20</v>
      </c>
      <c r="D103">
        <v>48639</v>
      </c>
      <c r="E103">
        <v>300000</v>
      </c>
      <c r="F103">
        <v>12600</v>
      </c>
      <c r="H103">
        <v>126000</v>
      </c>
    </row>
    <row r="104" spans="1:8">
      <c r="A104">
        <v>103</v>
      </c>
      <c r="B104">
        <v>2</v>
      </c>
      <c r="C104">
        <v>21</v>
      </c>
      <c r="D104">
        <v>52362</v>
      </c>
      <c r="E104">
        <v>312000</v>
      </c>
      <c r="F104">
        <v>13200</v>
      </c>
      <c r="H104">
        <v>138600</v>
      </c>
    </row>
    <row r="105" spans="1:8">
      <c r="A105">
        <v>104</v>
      </c>
      <c r="B105">
        <v>2</v>
      </c>
      <c r="C105">
        <v>22</v>
      </c>
      <c r="D105">
        <v>56205</v>
      </c>
      <c r="E105">
        <v>324000</v>
      </c>
      <c r="F105">
        <v>13800</v>
      </c>
      <c r="H105">
        <v>151800</v>
      </c>
    </row>
    <row r="106" spans="1:8">
      <c r="A106">
        <v>105</v>
      </c>
      <c r="B106">
        <v>2</v>
      </c>
      <c r="C106">
        <v>23</v>
      </c>
      <c r="D106">
        <v>60169</v>
      </c>
      <c r="E106">
        <v>336000</v>
      </c>
      <c r="F106">
        <v>14400</v>
      </c>
      <c r="H106">
        <v>165600</v>
      </c>
    </row>
    <row r="107" spans="1:8">
      <c r="A107">
        <v>106</v>
      </c>
      <c r="B107">
        <v>2</v>
      </c>
      <c r="C107">
        <v>24</v>
      </c>
      <c r="D107">
        <v>64252</v>
      </c>
      <c r="E107">
        <v>348000</v>
      </c>
      <c r="F107">
        <v>15000</v>
      </c>
      <c r="H107">
        <v>180000</v>
      </c>
    </row>
    <row r="108" spans="1:8">
      <c r="A108">
        <v>107</v>
      </c>
      <c r="B108">
        <v>2</v>
      </c>
      <c r="C108">
        <v>25</v>
      </c>
      <c r="D108">
        <v>68455</v>
      </c>
      <c r="E108">
        <v>360000</v>
      </c>
      <c r="F108">
        <v>15600</v>
      </c>
      <c r="H108">
        <v>195000</v>
      </c>
    </row>
    <row r="109" spans="1:8">
      <c r="A109">
        <v>108</v>
      </c>
      <c r="B109">
        <v>2</v>
      </c>
      <c r="C109">
        <v>26</v>
      </c>
      <c r="D109">
        <v>72779</v>
      </c>
      <c r="E109">
        <v>372000</v>
      </c>
      <c r="F109">
        <v>16200</v>
      </c>
      <c r="H109">
        <v>210600</v>
      </c>
    </row>
    <row r="110" spans="1:8">
      <c r="A110">
        <v>109</v>
      </c>
      <c r="B110">
        <v>2</v>
      </c>
      <c r="C110">
        <v>27</v>
      </c>
      <c r="D110">
        <v>77223</v>
      </c>
      <c r="E110">
        <v>384000</v>
      </c>
      <c r="F110">
        <v>16800</v>
      </c>
      <c r="H110">
        <v>226800</v>
      </c>
    </row>
    <row r="111" spans="1:8">
      <c r="A111">
        <v>110</v>
      </c>
      <c r="B111">
        <v>2</v>
      </c>
      <c r="C111">
        <v>28</v>
      </c>
      <c r="D111">
        <v>81787</v>
      </c>
      <c r="E111">
        <v>396000</v>
      </c>
      <c r="F111">
        <v>17400</v>
      </c>
      <c r="H111">
        <v>243600</v>
      </c>
    </row>
    <row r="112" spans="1:8">
      <c r="A112">
        <v>111</v>
      </c>
      <c r="B112">
        <v>2</v>
      </c>
      <c r="C112">
        <v>29</v>
      </c>
      <c r="D112">
        <v>86470</v>
      </c>
      <c r="E112">
        <v>408000</v>
      </c>
      <c r="F112">
        <v>18000</v>
      </c>
      <c r="H112">
        <v>261000</v>
      </c>
    </row>
    <row r="113" spans="1:8">
      <c r="A113">
        <v>112</v>
      </c>
      <c r="B113">
        <v>2</v>
      </c>
      <c r="C113">
        <v>30</v>
      </c>
      <c r="D113">
        <v>91274</v>
      </c>
      <c r="E113">
        <v>420000</v>
      </c>
      <c r="F113">
        <v>18600</v>
      </c>
      <c r="H113">
        <v>279000</v>
      </c>
    </row>
    <row r="114" spans="1:8">
      <c r="A114">
        <v>113</v>
      </c>
      <c r="B114">
        <v>2</v>
      </c>
      <c r="C114">
        <v>31</v>
      </c>
      <c r="D114">
        <v>96199</v>
      </c>
      <c r="E114">
        <v>432000</v>
      </c>
      <c r="F114">
        <v>19200</v>
      </c>
      <c r="H114">
        <v>297600</v>
      </c>
    </row>
    <row r="115" spans="1:8">
      <c r="A115">
        <v>114</v>
      </c>
      <c r="B115">
        <v>2</v>
      </c>
      <c r="C115">
        <v>32</v>
      </c>
      <c r="D115">
        <v>101243</v>
      </c>
      <c r="E115">
        <v>444000</v>
      </c>
      <c r="F115">
        <v>19800</v>
      </c>
      <c r="H115">
        <v>316800</v>
      </c>
    </row>
    <row r="116" spans="1:8">
      <c r="A116">
        <v>115</v>
      </c>
      <c r="B116">
        <v>2</v>
      </c>
      <c r="C116">
        <v>33</v>
      </c>
      <c r="D116">
        <v>106407</v>
      </c>
      <c r="E116">
        <v>456000</v>
      </c>
      <c r="F116">
        <v>20400</v>
      </c>
      <c r="H116">
        <v>336600</v>
      </c>
    </row>
    <row r="117" spans="1:8">
      <c r="A117">
        <v>116</v>
      </c>
      <c r="B117">
        <v>2</v>
      </c>
      <c r="C117">
        <v>34</v>
      </c>
      <c r="D117">
        <v>111691</v>
      </c>
      <c r="E117">
        <v>468000</v>
      </c>
      <c r="F117">
        <v>21000</v>
      </c>
      <c r="H117">
        <v>357000</v>
      </c>
    </row>
    <row r="118" spans="1:8">
      <c r="A118">
        <v>117</v>
      </c>
      <c r="B118">
        <v>2</v>
      </c>
      <c r="C118">
        <v>35</v>
      </c>
      <c r="D118">
        <v>117096</v>
      </c>
      <c r="E118">
        <v>480000</v>
      </c>
      <c r="F118">
        <v>21600</v>
      </c>
      <c r="H118">
        <v>378000</v>
      </c>
    </row>
    <row r="119" spans="1:8">
      <c r="A119">
        <v>118</v>
      </c>
      <c r="B119">
        <v>2</v>
      </c>
      <c r="C119">
        <v>36</v>
      </c>
      <c r="D119">
        <v>122621</v>
      </c>
      <c r="E119">
        <v>492000</v>
      </c>
      <c r="F119">
        <v>22200</v>
      </c>
      <c r="H119">
        <v>399600</v>
      </c>
    </row>
    <row r="120" spans="1:8">
      <c r="A120">
        <v>119</v>
      </c>
      <c r="B120">
        <v>2</v>
      </c>
      <c r="C120">
        <v>37</v>
      </c>
      <c r="D120">
        <v>128265</v>
      </c>
      <c r="E120">
        <v>504000</v>
      </c>
      <c r="F120">
        <v>22800</v>
      </c>
      <c r="H120">
        <v>421800</v>
      </c>
    </row>
    <row r="121" spans="1:8">
      <c r="A121">
        <v>120</v>
      </c>
      <c r="B121">
        <v>2</v>
      </c>
      <c r="C121">
        <v>38</v>
      </c>
      <c r="D121">
        <v>134030</v>
      </c>
      <c r="E121">
        <v>516000</v>
      </c>
      <c r="F121">
        <v>23400</v>
      </c>
      <c r="H121">
        <v>444600</v>
      </c>
    </row>
    <row r="122" spans="1:8">
      <c r="A122">
        <v>121</v>
      </c>
      <c r="B122">
        <v>2</v>
      </c>
      <c r="C122">
        <v>39</v>
      </c>
      <c r="D122">
        <v>139915</v>
      </c>
      <c r="E122">
        <v>528000</v>
      </c>
      <c r="F122">
        <v>24000</v>
      </c>
      <c r="H122">
        <v>468000</v>
      </c>
    </row>
    <row r="123" spans="1:8">
      <c r="A123">
        <v>122</v>
      </c>
      <c r="B123">
        <v>2</v>
      </c>
      <c r="C123">
        <v>40</v>
      </c>
      <c r="D123">
        <v>145920</v>
      </c>
      <c r="E123">
        <v>540000</v>
      </c>
      <c r="F123">
        <v>24600</v>
      </c>
      <c r="H123">
        <v>492000</v>
      </c>
    </row>
    <row r="124" spans="1:8">
      <c r="A124">
        <v>123</v>
      </c>
      <c r="B124">
        <v>2</v>
      </c>
      <c r="C124">
        <v>41</v>
      </c>
      <c r="D124">
        <v>152045</v>
      </c>
      <c r="E124">
        <v>552000</v>
      </c>
      <c r="F124">
        <v>25200</v>
      </c>
      <c r="H124">
        <v>516600</v>
      </c>
    </row>
    <row r="125" spans="1:8">
      <c r="A125">
        <v>124</v>
      </c>
      <c r="B125">
        <v>2</v>
      </c>
      <c r="C125">
        <v>42</v>
      </c>
      <c r="D125">
        <v>158290</v>
      </c>
      <c r="E125">
        <v>564000</v>
      </c>
      <c r="F125">
        <v>25800</v>
      </c>
      <c r="H125">
        <v>541800</v>
      </c>
    </row>
    <row r="126" spans="1:8">
      <c r="A126">
        <v>125</v>
      </c>
      <c r="B126">
        <v>2</v>
      </c>
      <c r="C126">
        <v>43</v>
      </c>
      <c r="D126">
        <v>164656</v>
      </c>
      <c r="E126">
        <v>576000</v>
      </c>
      <c r="F126">
        <v>26400</v>
      </c>
      <c r="H126">
        <v>567600</v>
      </c>
    </row>
    <row r="127" spans="1:8">
      <c r="A127">
        <v>126</v>
      </c>
      <c r="B127">
        <v>2</v>
      </c>
      <c r="C127">
        <v>44</v>
      </c>
      <c r="D127">
        <v>171141</v>
      </c>
      <c r="E127">
        <v>588000</v>
      </c>
      <c r="F127">
        <v>27000</v>
      </c>
      <c r="H127">
        <v>594000</v>
      </c>
    </row>
    <row r="128" spans="1:8">
      <c r="A128">
        <v>127</v>
      </c>
      <c r="B128">
        <v>2</v>
      </c>
      <c r="C128">
        <v>45</v>
      </c>
      <c r="D128">
        <v>177746</v>
      </c>
      <c r="E128">
        <v>600000</v>
      </c>
      <c r="F128">
        <v>27600</v>
      </c>
      <c r="H128">
        <v>621000</v>
      </c>
    </row>
    <row r="129" spans="1:8">
      <c r="A129">
        <v>128</v>
      </c>
      <c r="B129">
        <v>2</v>
      </c>
      <c r="C129">
        <v>46</v>
      </c>
      <c r="D129">
        <v>184472</v>
      </c>
      <c r="E129">
        <v>612000</v>
      </c>
      <c r="F129">
        <v>28200</v>
      </c>
      <c r="H129">
        <v>648600</v>
      </c>
    </row>
    <row r="130" spans="1:8">
      <c r="A130">
        <v>129</v>
      </c>
      <c r="B130">
        <v>2</v>
      </c>
      <c r="C130">
        <v>47</v>
      </c>
      <c r="D130">
        <v>191318</v>
      </c>
      <c r="E130">
        <v>624000</v>
      </c>
      <c r="F130">
        <v>28800</v>
      </c>
      <c r="H130">
        <v>676800</v>
      </c>
    </row>
    <row r="131" spans="1:8">
      <c r="A131">
        <v>130</v>
      </c>
      <c r="B131">
        <v>2</v>
      </c>
      <c r="C131">
        <v>48</v>
      </c>
      <c r="D131">
        <v>198284</v>
      </c>
      <c r="E131">
        <v>636000</v>
      </c>
      <c r="F131">
        <v>29400</v>
      </c>
      <c r="H131">
        <v>705600</v>
      </c>
    </row>
    <row r="132" spans="1:8">
      <c r="A132">
        <v>131</v>
      </c>
      <c r="B132">
        <v>2</v>
      </c>
      <c r="C132">
        <v>49</v>
      </c>
      <c r="D132">
        <v>205369</v>
      </c>
      <c r="E132">
        <v>648000</v>
      </c>
      <c r="F132">
        <v>30000</v>
      </c>
      <c r="H132">
        <v>735000</v>
      </c>
    </row>
    <row r="133" spans="1:8">
      <c r="A133">
        <v>132</v>
      </c>
      <c r="B133">
        <v>2</v>
      </c>
      <c r="C133">
        <v>50</v>
      </c>
      <c r="D133">
        <v>212575</v>
      </c>
      <c r="E133">
        <v>660000</v>
      </c>
      <c r="F133">
        <v>30600</v>
      </c>
      <c r="H133">
        <v>765000</v>
      </c>
    </row>
    <row r="134" spans="1:8">
      <c r="A134">
        <v>133</v>
      </c>
      <c r="B134">
        <v>2</v>
      </c>
      <c r="C134">
        <v>51</v>
      </c>
      <c r="D134">
        <v>219902</v>
      </c>
      <c r="E134">
        <v>672000</v>
      </c>
      <c r="F134">
        <v>31200</v>
      </c>
      <c r="H134">
        <v>795600</v>
      </c>
    </row>
    <row r="135" spans="1:8">
      <c r="A135">
        <v>134</v>
      </c>
      <c r="B135">
        <v>2</v>
      </c>
      <c r="C135">
        <v>52</v>
      </c>
      <c r="D135">
        <v>227348</v>
      </c>
      <c r="E135">
        <v>684000</v>
      </c>
      <c r="F135">
        <v>31800</v>
      </c>
      <c r="H135">
        <v>826800</v>
      </c>
    </row>
    <row r="136" spans="1:8">
      <c r="A136">
        <v>135</v>
      </c>
      <c r="B136">
        <v>2</v>
      </c>
      <c r="C136">
        <v>53</v>
      </c>
      <c r="D136">
        <v>234914</v>
      </c>
      <c r="E136">
        <v>696000</v>
      </c>
      <c r="F136">
        <v>32400</v>
      </c>
      <c r="H136">
        <v>858600</v>
      </c>
    </row>
    <row r="137" spans="1:8">
      <c r="A137">
        <v>136</v>
      </c>
      <c r="B137">
        <v>2</v>
      </c>
      <c r="C137">
        <v>54</v>
      </c>
      <c r="D137">
        <v>242600</v>
      </c>
      <c r="E137">
        <v>708000</v>
      </c>
      <c r="F137">
        <v>33000</v>
      </c>
      <c r="H137">
        <v>891000</v>
      </c>
    </row>
    <row r="138" spans="1:8">
      <c r="A138">
        <v>137</v>
      </c>
      <c r="B138">
        <v>2</v>
      </c>
      <c r="C138">
        <v>55</v>
      </c>
      <c r="D138">
        <v>250407</v>
      </c>
      <c r="E138">
        <v>720000</v>
      </c>
      <c r="F138">
        <v>33600</v>
      </c>
      <c r="H138">
        <v>924000</v>
      </c>
    </row>
    <row r="139" spans="1:8">
      <c r="A139">
        <v>138</v>
      </c>
      <c r="B139">
        <v>2</v>
      </c>
      <c r="C139">
        <v>56</v>
      </c>
      <c r="D139">
        <v>258334</v>
      </c>
      <c r="E139">
        <v>732000</v>
      </c>
      <c r="F139">
        <v>34200</v>
      </c>
      <c r="H139">
        <v>957600</v>
      </c>
    </row>
    <row r="140" spans="1:8">
      <c r="A140">
        <v>139</v>
      </c>
      <c r="B140">
        <v>2</v>
      </c>
      <c r="C140">
        <v>57</v>
      </c>
      <c r="D140">
        <v>266380</v>
      </c>
      <c r="E140">
        <v>744000</v>
      </c>
      <c r="F140">
        <v>34800</v>
      </c>
      <c r="H140">
        <v>991800</v>
      </c>
    </row>
    <row r="141" spans="1:8">
      <c r="A141">
        <v>140</v>
      </c>
      <c r="B141">
        <v>2</v>
      </c>
      <c r="C141">
        <v>58</v>
      </c>
      <c r="D141">
        <v>274547</v>
      </c>
      <c r="E141">
        <v>756000</v>
      </c>
      <c r="F141">
        <v>35400</v>
      </c>
      <c r="H141">
        <v>1026600</v>
      </c>
    </row>
    <row r="142" spans="1:8">
      <c r="A142">
        <v>141</v>
      </c>
      <c r="B142">
        <v>2</v>
      </c>
      <c r="C142">
        <v>59</v>
      </c>
      <c r="D142">
        <v>282834</v>
      </c>
      <c r="E142">
        <v>768000</v>
      </c>
      <c r="F142">
        <v>36000</v>
      </c>
      <c r="H142">
        <v>1062000</v>
      </c>
    </row>
    <row r="143" spans="1:8">
      <c r="A143">
        <v>142</v>
      </c>
      <c r="B143">
        <v>2</v>
      </c>
      <c r="C143">
        <v>60</v>
      </c>
      <c r="D143">
        <v>291241</v>
      </c>
      <c r="E143">
        <v>780000</v>
      </c>
      <c r="F143">
        <v>36600</v>
      </c>
      <c r="H143">
        <v>1098000</v>
      </c>
    </row>
    <row r="144" s="4" customFormat="1" spans="1:8">
      <c r="A144">
        <v>143</v>
      </c>
      <c r="B144" s="4">
        <v>2</v>
      </c>
      <c r="C144" s="4">
        <v>61</v>
      </c>
      <c r="D144" s="5">
        <v>299768</v>
      </c>
      <c r="E144" s="4">
        <v>8220000</v>
      </c>
      <c r="F144" s="4">
        <v>341084</v>
      </c>
      <c r="H144">
        <v>1134600</v>
      </c>
    </row>
    <row r="145" s="4" customFormat="1" spans="1:8">
      <c r="A145">
        <v>144</v>
      </c>
      <c r="B145" s="4">
        <v>2</v>
      </c>
      <c r="C145" s="4">
        <v>62</v>
      </c>
      <c r="D145" s="5">
        <v>308415</v>
      </c>
      <c r="E145" s="4">
        <v>9420000</v>
      </c>
      <c r="F145" s="4">
        <v>345888</v>
      </c>
      <c r="H145">
        <v>1475684</v>
      </c>
    </row>
    <row r="146" s="4" customFormat="1" spans="1:8">
      <c r="A146">
        <v>145</v>
      </c>
      <c r="B146" s="4">
        <v>2</v>
      </c>
      <c r="C146" s="4">
        <v>63</v>
      </c>
      <c r="D146" s="5">
        <v>317183</v>
      </c>
      <c r="E146" s="4">
        <v>10620000</v>
      </c>
      <c r="F146" s="4">
        <v>350692</v>
      </c>
      <c r="H146">
        <v>1821572</v>
      </c>
    </row>
    <row r="147" s="4" customFormat="1" spans="1:8">
      <c r="A147">
        <v>146</v>
      </c>
      <c r="B147" s="4">
        <v>2</v>
      </c>
      <c r="C147" s="4">
        <v>64</v>
      </c>
      <c r="D147" s="5">
        <v>326070</v>
      </c>
      <c r="E147" s="4">
        <v>11820000</v>
      </c>
      <c r="F147" s="4">
        <v>355496</v>
      </c>
      <c r="H147">
        <v>2172264</v>
      </c>
    </row>
    <row r="148" s="4" customFormat="1" spans="1:8">
      <c r="A148">
        <v>147</v>
      </c>
      <c r="B148" s="4">
        <v>2</v>
      </c>
      <c r="C148" s="4">
        <v>65</v>
      </c>
      <c r="D148" s="5">
        <v>335077</v>
      </c>
      <c r="E148" s="4">
        <v>13020000</v>
      </c>
      <c r="F148" s="4">
        <v>360300</v>
      </c>
      <c r="H148">
        <v>2527760</v>
      </c>
    </row>
    <row r="149" s="4" customFormat="1" spans="1:8">
      <c r="A149">
        <v>148</v>
      </c>
      <c r="B149" s="4">
        <v>2</v>
      </c>
      <c r="C149" s="4">
        <v>66</v>
      </c>
      <c r="D149" s="5">
        <v>344205</v>
      </c>
      <c r="E149" s="4">
        <v>14620000</v>
      </c>
      <c r="F149" s="4">
        <v>365104</v>
      </c>
      <c r="H149">
        <v>2888060</v>
      </c>
    </row>
    <row r="150" s="4" customFormat="1" spans="1:8">
      <c r="A150">
        <v>149</v>
      </c>
      <c r="B150" s="4">
        <v>2</v>
      </c>
      <c r="C150" s="4">
        <v>67</v>
      </c>
      <c r="D150" s="5">
        <v>353453</v>
      </c>
      <c r="E150" s="4">
        <v>16220000</v>
      </c>
      <c r="F150" s="4">
        <v>369908</v>
      </c>
      <c r="H150">
        <v>3253164</v>
      </c>
    </row>
    <row r="151" s="4" customFormat="1" spans="1:8">
      <c r="A151">
        <v>150</v>
      </c>
      <c r="B151" s="4">
        <v>2</v>
      </c>
      <c r="C151" s="4">
        <v>68</v>
      </c>
      <c r="D151" s="5">
        <v>362821</v>
      </c>
      <c r="E151" s="4">
        <v>17820000</v>
      </c>
      <c r="F151" s="4">
        <v>374712</v>
      </c>
      <c r="H151">
        <v>3623072</v>
      </c>
    </row>
    <row r="152" s="4" customFormat="1" spans="1:8">
      <c r="A152">
        <v>151</v>
      </c>
      <c r="B152" s="4">
        <v>2</v>
      </c>
      <c r="C152" s="4">
        <v>69</v>
      </c>
      <c r="D152" s="5">
        <v>372308</v>
      </c>
      <c r="E152" s="4">
        <v>19420000</v>
      </c>
      <c r="F152" s="4">
        <v>379516</v>
      </c>
      <c r="H152">
        <v>3997784</v>
      </c>
    </row>
    <row r="153" s="4" customFormat="1" spans="1:8">
      <c r="A153">
        <v>152</v>
      </c>
      <c r="B153" s="4">
        <v>2</v>
      </c>
      <c r="C153" s="4">
        <v>70</v>
      </c>
      <c r="D153" s="5">
        <v>381916</v>
      </c>
      <c r="E153" s="4">
        <v>21020000</v>
      </c>
      <c r="F153" s="4">
        <v>384320</v>
      </c>
      <c r="H153">
        <v>4377300</v>
      </c>
    </row>
    <row r="154" s="4" customFormat="1" spans="1:8">
      <c r="A154">
        <v>153</v>
      </c>
      <c r="B154" s="4">
        <v>2</v>
      </c>
      <c r="C154" s="4">
        <v>71</v>
      </c>
      <c r="D154" s="5">
        <v>391645</v>
      </c>
      <c r="E154" s="4">
        <v>23020000</v>
      </c>
      <c r="F154" s="4">
        <v>389124</v>
      </c>
      <c r="H154">
        <v>4761620</v>
      </c>
    </row>
    <row r="155" s="4" customFormat="1" spans="1:8">
      <c r="A155">
        <v>154</v>
      </c>
      <c r="B155" s="4">
        <v>2</v>
      </c>
      <c r="C155" s="4">
        <v>72</v>
      </c>
      <c r="D155" s="5">
        <v>401493</v>
      </c>
      <c r="E155" s="4">
        <v>25020000</v>
      </c>
      <c r="F155" s="4">
        <v>393928</v>
      </c>
      <c r="H155">
        <v>5150744</v>
      </c>
    </row>
    <row r="156" s="4" customFormat="1" spans="1:8">
      <c r="A156">
        <v>155</v>
      </c>
      <c r="B156" s="4">
        <v>2</v>
      </c>
      <c r="C156" s="4">
        <v>73</v>
      </c>
      <c r="D156" s="5">
        <v>411461</v>
      </c>
      <c r="E156" s="4">
        <v>27020000</v>
      </c>
      <c r="F156" s="4">
        <v>398732</v>
      </c>
      <c r="H156">
        <v>5544672</v>
      </c>
    </row>
    <row r="157" s="4" customFormat="1" spans="1:8">
      <c r="A157">
        <v>156</v>
      </c>
      <c r="B157" s="4">
        <v>2</v>
      </c>
      <c r="C157" s="4">
        <v>74</v>
      </c>
      <c r="D157" s="5">
        <v>421549</v>
      </c>
      <c r="E157" s="4">
        <v>29020000</v>
      </c>
      <c r="F157" s="4">
        <v>403536</v>
      </c>
      <c r="H157">
        <v>5943404</v>
      </c>
    </row>
    <row r="158" s="4" customFormat="1" spans="1:8">
      <c r="A158">
        <v>157</v>
      </c>
      <c r="B158" s="4">
        <v>2</v>
      </c>
      <c r="C158" s="4">
        <v>75</v>
      </c>
      <c r="D158" s="5">
        <v>431758</v>
      </c>
      <c r="E158" s="4">
        <v>31020000</v>
      </c>
      <c r="F158" s="4">
        <v>408340</v>
      </c>
      <c r="H158">
        <v>6346940</v>
      </c>
    </row>
    <row r="159" s="4" customFormat="1" spans="1:8">
      <c r="A159">
        <v>158</v>
      </c>
      <c r="B159" s="4">
        <v>2</v>
      </c>
      <c r="C159" s="4">
        <v>76</v>
      </c>
      <c r="D159" s="5">
        <v>442087</v>
      </c>
      <c r="E159" s="4">
        <v>33420000</v>
      </c>
      <c r="F159" s="4">
        <v>413144</v>
      </c>
      <c r="H159">
        <v>6755280</v>
      </c>
    </row>
    <row r="160" s="4" customFormat="1" spans="1:8">
      <c r="A160">
        <v>159</v>
      </c>
      <c r="B160" s="4">
        <v>2</v>
      </c>
      <c r="C160" s="4">
        <v>77</v>
      </c>
      <c r="D160" s="5">
        <v>452535</v>
      </c>
      <c r="E160" s="4">
        <v>35820000</v>
      </c>
      <c r="F160" s="4">
        <v>417948</v>
      </c>
      <c r="H160">
        <v>7168424</v>
      </c>
    </row>
    <row r="161" s="4" customFormat="1" spans="1:8">
      <c r="A161">
        <v>160</v>
      </c>
      <c r="B161" s="4">
        <v>2</v>
      </c>
      <c r="C161" s="4">
        <v>78</v>
      </c>
      <c r="D161" s="5">
        <v>463104</v>
      </c>
      <c r="E161" s="4">
        <v>38220000</v>
      </c>
      <c r="F161" s="4">
        <v>422752</v>
      </c>
      <c r="H161">
        <v>7586372</v>
      </c>
    </row>
    <row r="162" s="4" customFormat="1" spans="1:8">
      <c r="A162">
        <v>161</v>
      </c>
      <c r="B162" s="4">
        <v>2</v>
      </c>
      <c r="C162" s="4">
        <v>79</v>
      </c>
      <c r="D162" s="5">
        <v>473793</v>
      </c>
      <c r="E162" s="4">
        <v>40620000</v>
      </c>
      <c r="F162" s="4">
        <v>427556</v>
      </c>
      <c r="H162">
        <v>8009124</v>
      </c>
    </row>
    <row r="163" s="4" customFormat="1" spans="1:8">
      <c r="A163">
        <v>162</v>
      </c>
      <c r="B163" s="4">
        <v>2</v>
      </c>
      <c r="C163" s="4">
        <v>80</v>
      </c>
      <c r="D163" s="5">
        <v>484602</v>
      </c>
      <c r="E163" s="4">
        <v>43020000</v>
      </c>
      <c r="F163" s="4">
        <v>432360</v>
      </c>
      <c r="G163" s="4">
        <v>1</v>
      </c>
      <c r="H163">
        <v>8436680</v>
      </c>
    </row>
    <row r="164" spans="1:6">
      <c r="A164">
        <v>163</v>
      </c>
      <c r="B164">
        <v>3</v>
      </c>
      <c r="C164">
        <v>0</v>
      </c>
      <c r="D164">
        <v>0</v>
      </c>
      <c r="E164">
        <v>90000</v>
      </c>
      <c r="F164">
        <v>900</v>
      </c>
    </row>
    <row r="165" spans="1:8">
      <c r="A165">
        <v>164</v>
      </c>
      <c r="B165">
        <v>3</v>
      </c>
      <c r="C165">
        <v>1</v>
      </c>
      <c r="D165">
        <v>719</v>
      </c>
      <c r="E165">
        <v>108000</v>
      </c>
      <c r="F165">
        <v>1800</v>
      </c>
      <c r="H165">
        <v>900</v>
      </c>
    </row>
    <row r="166" spans="1:8">
      <c r="A166">
        <v>165</v>
      </c>
      <c r="B166">
        <v>3</v>
      </c>
      <c r="C166">
        <v>2</v>
      </c>
      <c r="D166">
        <v>2160</v>
      </c>
      <c r="E166">
        <v>126000</v>
      </c>
      <c r="F166">
        <v>2700</v>
      </c>
      <c r="H166">
        <v>2700</v>
      </c>
    </row>
    <row r="167" spans="1:8">
      <c r="A167">
        <v>166</v>
      </c>
      <c r="B167">
        <v>3</v>
      </c>
      <c r="C167">
        <v>3</v>
      </c>
      <c r="D167">
        <v>3722</v>
      </c>
      <c r="E167">
        <v>144000</v>
      </c>
      <c r="F167">
        <v>3600</v>
      </c>
      <c r="H167">
        <v>5400</v>
      </c>
    </row>
    <row r="168" spans="1:8">
      <c r="A168">
        <v>167</v>
      </c>
      <c r="B168">
        <v>3</v>
      </c>
      <c r="C168">
        <v>4</v>
      </c>
      <c r="D168">
        <v>5403</v>
      </c>
      <c r="E168">
        <v>162000</v>
      </c>
      <c r="F168">
        <v>4500</v>
      </c>
      <c r="H168">
        <v>9000</v>
      </c>
    </row>
    <row r="169" spans="1:8">
      <c r="A169">
        <v>168</v>
      </c>
      <c r="B169">
        <v>3</v>
      </c>
      <c r="C169">
        <v>5</v>
      </c>
      <c r="D169">
        <v>7204</v>
      </c>
      <c r="E169">
        <v>180000</v>
      </c>
      <c r="F169">
        <v>5400</v>
      </c>
      <c r="H169">
        <v>13500</v>
      </c>
    </row>
    <row r="170" spans="1:8">
      <c r="A170">
        <v>169</v>
      </c>
      <c r="B170">
        <v>3</v>
      </c>
      <c r="C170">
        <v>6</v>
      </c>
      <c r="D170">
        <v>9126</v>
      </c>
      <c r="E170">
        <v>198000</v>
      </c>
      <c r="F170">
        <v>6300</v>
      </c>
      <c r="H170">
        <v>18900</v>
      </c>
    </row>
    <row r="171" spans="1:8">
      <c r="A171">
        <v>170</v>
      </c>
      <c r="B171">
        <v>3</v>
      </c>
      <c r="C171">
        <v>7</v>
      </c>
      <c r="D171">
        <v>11168</v>
      </c>
      <c r="E171">
        <v>216000</v>
      </c>
      <c r="F171">
        <v>7200</v>
      </c>
      <c r="H171">
        <v>25200</v>
      </c>
    </row>
    <row r="172" spans="1:8">
      <c r="A172">
        <v>171</v>
      </c>
      <c r="B172">
        <v>3</v>
      </c>
      <c r="C172">
        <v>8</v>
      </c>
      <c r="D172">
        <v>13330</v>
      </c>
      <c r="E172">
        <v>234000</v>
      </c>
      <c r="F172">
        <v>8100</v>
      </c>
      <c r="H172">
        <v>32400</v>
      </c>
    </row>
    <row r="173" spans="1:8">
      <c r="A173">
        <v>172</v>
      </c>
      <c r="B173">
        <v>3</v>
      </c>
      <c r="C173">
        <v>9</v>
      </c>
      <c r="D173">
        <v>15611</v>
      </c>
      <c r="E173">
        <v>252000</v>
      </c>
      <c r="F173">
        <v>9000</v>
      </c>
      <c r="H173">
        <v>40500</v>
      </c>
    </row>
    <row r="174" spans="1:8">
      <c r="A174">
        <v>173</v>
      </c>
      <c r="B174">
        <v>3</v>
      </c>
      <c r="C174">
        <v>10</v>
      </c>
      <c r="D174">
        <v>18013</v>
      </c>
      <c r="E174">
        <v>270000</v>
      </c>
      <c r="F174">
        <v>9900</v>
      </c>
      <c r="H174">
        <v>49500</v>
      </c>
    </row>
    <row r="175" spans="1:8">
      <c r="A175">
        <v>174</v>
      </c>
      <c r="B175">
        <v>3</v>
      </c>
      <c r="C175">
        <v>11</v>
      </c>
      <c r="D175">
        <v>20536</v>
      </c>
      <c r="E175">
        <v>288000</v>
      </c>
      <c r="F175">
        <v>10800</v>
      </c>
      <c r="H175">
        <v>59400</v>
      </c>
    </row>
    <row r="176" spans="1:8">
      <c r="A176">
        <v>175</v>
      </c>
      <c r="B176">
        <v>3</v>
      </c>
      <c r="C176">
        <v>12</v>
      </c>
      <c r="D176">
        <v>23178</v>
      </c>
      <c r="E176">
        <v>306000</v>
      </c>
      <c r="F176">
        <v>11700</v>
      </c>
      <c r="H176">
        <v>70200</v>
      </c>
    </row>
    <row r="177" spans="1:8">
      <c r="A177">
        <v>176</v>
      </c>
      <c r="B177">
        <v>3</v>
      </c>
      <c r="C177">
        <v>13</v>
      </c>
      <c r="D177">
        <v>25940</v>
      </c>
      <c r="E177">
        <v>324000</v>
      </c>
      <c r="F177">
        <v>12600</v>
      </c>
      <c r="H177">
        <v>81900</v>
      </c>
    </row>
    <row r="178" spans="1:8">
      <c r="A178">
        <v>177</v>
      </c>
      <c r="B178">
        <v>3</v>
      </c>
      <c r="C178">
        <v>14</v>
      </c>
      <c r="D178">
        <v>28822</v>
      </c>
      <c r="E178">
        <v>342000</v>
      </c>
      <c r="F178">
        <v>13500</v>
      </c>
      <c r="H178">
        <v>94500</v>
      </c>
    </row>
    <row r="179" spans="1:8">
      <c r="A179">
        <v>178</v>
      </c>
      <c r="B179">
        <v>3</v>
      </c>
      <c r="C179">
        <v>15</v>
      </c>
      <c r="D179">
        <v>31825</v>
      </c>
      <c r="E179">
        <v>360000</v>
      </c>
      <c r="F179">
        <v>14400</v>
      </c>
      <c r="H179">
        <v>108000</v>
      </c>
    </row>
    <row r="180" spans="1:8">
      <c r="A180">
        <v>179</v>
      </c>
      <c r="B180">
        <v>3</v>
      </c>
      <c r="C180">
        <v>16</v>
      </c>
      <c r="D180">
        <v>34948</v>
      </c>
      <c r="E180">
        <v>378000</v>
      </c>
      <c r="F180">
        <v>15300</v>
      </c>
      <c r="H180">
        <v>122400</v>
      </c>
    </row>
    <row r="181" spans="1:8">
      <c r="A181">
        <v>180</v>
      </c>
      <c r="B181">
        <v>3</v>
      </c>
      <c r="C181">
        <v>17</v>
      </c>
      <c r="D181">
        <v>38190</v>
      </c>
      <c r="E181">
        <v>396000</v>
      </c>
      <c r="F181">
        <v>16200</v>
      </c>
      <c r="H181">
        <v>137700</v>
      </c>
    </row>
    <row r="182" spans="1:8">
      <c r="A182">
        <v>181</v>
      </c>
      <c r="B182">
        <v>3</v>
      </c>
      <c r="C182">
        <v>18</v>
      </c>
      <c r="D182">
        <v>41553</v>
      </c>
      <c r="E182">
        <v>414000</v>
      </c>
      <c r="F182">
        <v>17100</v>
      </c>
      <c r="H182">
        <v>153900</v>
      </c>
    </row>
    <row r="183" spans="1:8">
      <c r="A183">
        <v>182</v>
      </c>
      <c r="B183">
        <v>3</v>
      </c>
      <c r="C183">
        <v>19</v>
      </c>
      <c r="D183">
        <v>45036</v>
      </c>
      <c r="E183">
        <v>432000</v>
      </c>
      <c r="F183">
        <v>18000</v>
      </c>
      <c r="H183">
        <v>171000</v>
      </c>
    </row>
    <row r="184" spans="1:8">
      <c r="A184">
        <v>183</v>
      </c>
      <c r="B184">
        <v>3</v>
      </c>
      <c r="C184">
        <v>20</v>
      </c>
      <c r="D184">
        <v>48639</v>
      </c>
      <c r="E184">
        <v>450000</v>
      </c>
      <c r="F184">
        <v>18900</v>
      </c>
      <c r="H184">
        <v>189000</v>
      </c>
    </row>
    <row r="185" spans="1:8">
      <c r="A185">
        <v>184</v>
      </c>
      <c r="B185">
        <v>3</v>
      </c>
      <c r="C185">
        <v>21</v>
      </c>
      <c r="D185">
        <v>52362</v>
      </c>
      <c r="E185">
        <v>468000</v>
      </c>
      <c r="F185">
        <v>19800</v>
      </c>
      <c r="H185">
        <v>207900</v>
      </c>
    </row>
    <row r="186" spans="1:8">
      <c r="A186">
        <v>185</v>
      </c>
      <c r="B186">
        <v>3</v>
      </c>
      <c r="C186">
        <v>22</v>
      </c>
      <c r="D186">
        <v>56205</v>
      </c>
      <c r="E186">
        <v>486000</v>
      </c>
      <c r="F186">
        <v>20700</v>
      </c>
      <c r="H186">
        <v>227700</v>
      </c>
    </row>
    <row r="187" spans="1:8">
      <c r="A187">
        <v>186</v>
      </c>
      <c r="B187">
        <v>3</v>
      </c>
      <c r="C187">
        <v>23</v>
      </c>
      <c r="D187">
        <v>60169</v>
      </c>
      <c r="E187">
        <v>504000</v>
      </c>
      <c r="F187">
        <v>21600</v>
      </c>
      <c r="H187">
        <v>248400</v>
      </c>
    </row>
    <row r="188" spans="1:8">
      <c r="A188">
        <v>187</v>
      </c>
      <c r="B188">
        <v>3</v>
      </c>
      <c r="C188">
        <v>24</v>
      </c>
      <c r="D188">
        <v>64252</v>
      </c>
      <c r="E188">
        <v>522000</v>
      </c>
      <c r="F188">
        <v>22500</v>
      </c>
      <c r="H188">
        <v>270000</v>
      </c>
    </row>
    <row r="189" spans="1:8">
      <c r="A189">
        <v>188</v>
      </c>
      <c r="B189">
        <v>3</v>
      </c>
      <c r="C189">
        <v>25</v>
      </c>
      <c r="D189">
        <v>68455</v>
      </c>
      <c r="E189">
        <v>540000</v>
      </c>
      <c r="F189">
        <v>23400</v>
      </c>
      <c r="H189">
        <v>292500</v>
      </c>
    </row>
    <row r="190" spans="1:8">
      <c r="A190">
        <v>189</v>
      </c>
      <c r="B190">
        <v>3</v>
      </c>
      <c r="C190">
        <v>26</v>
      </c>
      <c r="D190">
        <v>72779</v>
      </c>
      <c r="E190">
        <v>558000</v>
      </c>
      <c r="F190">
        <v>24300</v>
      </c>
      <c r="H190">
        <v>315900</v>
      </c>
    </row>
    <row r="191" spans="1:8">
      <c r="A191">
        <v>190</v>
      </c>
      <c r="B191">
        <v>3</v>
      </c>
      <c r="C191">
        <v>27</v>
      </c>
      <c r="D191">
        <v>77223</v>
      </c>
      <c r="E191">
        <v>576000</v>
      </c>
      <c r="F191">
        <v>25200</v>
      </c>
      <c r="H191">
        <v>340200</v>
      </c>
    </row>
    <row r="192" spans="1:8">
      <c r="A192">
        <v>191</v>
      </c>
      <c r="B192">
        <v>3</v>
      </c>
      <c r="C192">
        <v>28</v>
      </c>
      <c r="D192">
        <v>81787</v>
      </c>
      <c r="E192">
        <v>594000</v>
      </c>
      <c r="F192">
        <v>26100</v>
      </c>
      <c r="H192">
        <v>365400</v>
      </c>
    </row>
    <row r="193" spans="1:8">
      <c r="A193">
        <v>192</v>
      </c>
      <c r="B193">
        <v>3</v>
      </c>
      <c r="C193">
        <v>29</v>
      </c>
      <c r="D193">
        <v>86470</v>
      </c>
      <c r="E193">
        <v>612000</v>
      </c>
      <c r="F193">
        <v>27000</v>
      </c>
      <c r="H193">
        <v>391500</v>
      </c>
    </row>
    <row r="194" spans="1:8">
      <c r="A194">
        <v>193</v>
      </c>
      <c r="B194">
        <v>3</v>
      </c>
      <c r="C194">
        <v>30</v>
      </c>
      <c r="D194">
        <v>91274</v>
      </c>
      <c r="E194">
        <v>630000</v>
      </c>
      <c r="F194">
        <v>27900</v>
      </c>
      <c r="H194">
        <v>418500</v>
      </c>
    </row>
    <row r="195" spans="1:8">
      <c r="A195">
        <v>194</v>
      </c>
      <c r="B195">
        <v>3</v>
      </c>
      <c r="C195">
        <v>31</v>
      </c>
      <c r="D195">
        <v>96199</v>
      </c>
      <c r="E195">
        <v>648000</v>
      </c>
      <c r="F195">
        <v>28800</v>
      </c>
      <c r="H195">
        <v>446400</v>
      </c>
    </row>
    <row r="196" spans="1:8">
      <c r="A196">
        <v>195</v>
      </c>
      <c r="B196">
        <v>3</v>
      </c>
      <c r="C196">
        <v>32</v>
      </c>
      <c r="D196">
        <v>101243</v>
      </c>
      <c r="E196">
        <v>666000</v>
      </c>
      <c r="F196">
        <v>29700</v>
      </c>
      <c r="H196">
        <v>475200</v>
      </c>
    </row>
    <row r="197" spans="1:8">
      <c r="A197">
        <v>196</v>
      </c>
      <c r="B197">
        <v>3</v>
      </c>
      <c r="C197">
        <v>33</v>
      </c>
      <c r="D197">
        <v>106407</v>
      </c>
      <c r="E197">
        <v>684000</v>
      </c>
      <c r="F197">
        <v>30600</v>
      </c>
      <c r="H197">
        <v>504900</v>
      </c>
    </row>
    <row r="198" spans="1:8">
      <c r="A198">
        <v>197</v>
      </c>
      <c r="B198">
        <v>3</v>
      </c>
      <c r="C198">
        <v>34</v>
      </c>
      <c r="D198">
        <v>111691</v>
      </c>
      <c r="E198">
        <v>702000</v>
      </c>
      <c r="F198">
        <v>31500</v>
      </c>
      <c r="H198">
        <v>535500</v>
      </c>
    </row>
    <row r="199" spans="1:8">
      <c r="A199">
        <v>198</v>
      </c>
      <c r="B199">
        <v>3</v>
      </c>
      <c r="C199">
        <v>35</v>
      </c>
      <c r="D199">
        <v>117096</v>
      </c>
      <c r="E199">
        <v>720000</v>
      </c>
      <c r="F199">
        <v>32400</v>
      </c>
      <c r="H199">
        <v>567000</v>
      </c>
    </row>
    <row r="200" spans="1:8">
      <c r="A200">
        <v>199</v>
      </c>
      <c r="B200">
        <v>3</v>
      </c>
      <c r="C200">
        <v>36</v>
      </c>
      <c r="D200">
        <v>122621</v>
      </c>
      <c r="E200">
        <v>738000</v>
      </c>
      <c r="F200">
        <v>33300</v>
      </c>
      <c r="H200">
        <v>599400</v>
      </c>
    </row>
    <row r="201" spans="1:8">
      <c r="A201">
        <v>200</v>
      </c>
      <c r="B201">
        <v>3</v>
      </c>
      <c r="C201">
        <v>37</v>
      </c>
      <c r="D201">
        <v>128265</v>
      </c>
      <c r="E201">
        <v>756000</v>
      </c>
      <c r="F201">
        <v>34200</v>
      </c>
      <c r="H201">
        <v>632700</v>
      </c>
    </row>
    <row r="202" spans="1:8">
      <c r="A202">
        <v>201</v>
      </c>
      <c r="B202">
        <v>3</v>
      </c>
      <c r="C202">
        <v>38</v>
      </c>
      <c r="D202">
        <v>134030</v>
      </c>
      <c r="E202">
        <v>774000</v>
      </c>
      <c r="F202">
        <v>35100</v>
      </c>
      <c r="H202">
        <v>666900</v>
      </c>
    </row>
    <row r="203" spans="1:8">
      <c r="A203">
        <v>202</v>
      </c>
      <c r="B203">
        <v>3</v>
      </c>
      <c r="C203">
        <v>39</v>
      </c>
      <c r="D203">
        <v>139915</v>
      </c>
      <c r="E203">
        <v>792000</v>
      </c>
      <c r="F203">
        <v>36000</v>
      </c>
      <c r="H203">
        <v>702000</v>
      </c>
    </row>
    <row r="204" spans="1:8">
      <c r="A204">
        <v>203</v>
      </c>
      <c r="B204">
        <v>3</v>
      </c>
      <c r="C204">
        <v>40</v>
      </c>
      <c r="D204">
        <v>145920</v>
      </c>
      <c r="E204">
        <v>810000</v>
      </c>
      <c r="F204">
        <v>36900</v>
      </c>
      <c r="H204">
        <v>738000</v>
      </c>
    </row>
    <row r="205" spans="1:8">
      <c r="A205">
        <v>204</v>
      </c>
      <c r="B205">
        <v>3</v>
      </c>
      <c r="C205">
        <v>41</v>
      </c>
      <c r="D205">
        <v>152045</v>
      </c>
      <c r="E205">
        <v>828000</v>
      </c>
      <c r="F205">
        <v>37800</v>
      </c>
      <c r="H205">
        <v>774900</v>
      </c>
    </row>
    <row r="206" spans="1:8">
      <c r="A206">
        <v>205</v>
      </c>
      <c r="B206">
        <v>3</v>
      </c>
      <c r="C206">
        <v>42</v>
      </c>
      <c r="D206">
        <v>158290</v>
      </c>
      <c r="E206">
        <v>846000</v>
      </c>
      <c r="F206">
        <v>38700</v>
      </c>
      <c r="H206">
        <v>812700</v>
      </c>
    </row>
    <row r="207" spans="1:8">
      <c r="A207">
        <v>206</v>
      </c>
      <c r="B207">
        <v>3</v>
      </c>
      <c r="C207">
        <v>43</v>
      </c>
      <c r="D207">
        <v>164656</v>
      </c>
      <c r="E207">
        <v>864000</v>
      </c>
      <c r="F207">
        <v>39600</v>
      </c>
      <c r="H207">
        <v>851400</v>
      </c>
    </row>
    <row r="208" spans="1:8">
      <c r="A208">
        <v>207</v>
      </c>
      <c r="B208">
        <v>3</v>
      </c>
      <c r="C208">
        <v>44</v>
      </c>
      <c r="D208">
        <v>171141</v>
      </c>
      <c r="E208">
        <v>882000</v>
      </c>
      <c r="F208">
        <v>40500</v>
      </c>
      <c r="H208">
        <v>891000</v>
      </c>
    </row>
    <row r="209" spans="1:8">
      <c r="A209">
        <v>208</v>
      </c>
      <c r="B209">
        <v>3</v>
      </c>
      <c r="C209">
        <v>45</v>
      </c>
      <c r="D209">
        <v>177746</v>
      </c>
      <c r="E209">
        <v>900000</v>
      </c>
      <c r="F209">
        <v>41400</v>
      </c>
      <c r="H209">
        <v>931500</v>
      </c>
    </row>
    <row r="210" spans="1:8">
      <c r="A210">
        <v>209</v>
      </c>
      <c r="B210">
        <v>3</v>
      </c>
      <c r="C210">
        <v>46</v>
      </c>
      <c r="D210">
        <v>184472</v>
      </c>
      <c r="E210">
        <v>918000</v>
      </c>
      <c r="F210">
        <v>42300</v>
      </c>
      <c r="H210">
        <v>972900</v>
      </c>
    </row>
    <row r="211" spans="1:8">
      <c r="A211">
        <v>210</v>
      </c>
      <c r="B211">
        <v>3</v>
      </c>
      <c r="C211">
        <v>47</v>
      </c>
      <c r="D211">
        <v>191318</v>
      </c>
      <c r="E211">
        <v>936000</v>
      </c>
      <c r="F211">
        <v>43200</v>
      </c>
      <c r="H211">
        <v>1015200</v>
      </c>
    </row>
    <row r="212" spans="1:8">
      <c r="A212">
        <v>211</v>
      </c>
      <c r="B212">
        <v>3</v>
      </c>
      <c r="C212">
        <v>48</v>
      </c>
      <c r="D212">
        <v>198284</v>
      </c>
      <c r="E212">
        <v>954000</v>
      </c>
      <c r="F212">
        <v>44100</v>
      </c>
      <c r="H212">
        <v>1058400</v>
      </c>
    </row>
    <row r="213" spans="1:8">
      <c r="A213">
        <v>212</v>
      </c>
      <c r="B213">
        <v>3</v>
      </c>
      <c r="C213">
        <v>49</v>
      </c>
      <c r="D213">
        <v>205369</v>
      </c>
      <c r="E213">
        <v>972000</v>
      </c>
      <c r="F213">
        <v>45000</v>
      </c>
      <c r="H213">
        <v>1102500</v>
      </c>
    </row>
    <row r="214" spans="1:8">
      <c r="A214">
        <v>213</v>
      </c>
      <c r="B214">
        <v>3</v>
      </c>
      <c r="C214">
        <v>50</v>
      </c>
      <c r="D214">
        <v>212575</v>
      </c>
      <c r="E214">
        <v>990000</v>
      </c>
      <c r="F214">
        <v>45900</v>
      </c>
      <c r="H214">
        <v>1147500</v>
      </c>
    </row>
    <row r="215" spans="1:8">
      <c r="A215">
        <v>214</v>
      </c>
      <c r="B215">
        <v>3</v>
      </c>
      <c r="C215">
        <v>51</v>
      </c>
      <c r="D215">
        <v>219902</v>
      </c>
      <c r="E215">
        <v>1008000</v>
      </c>
      <c r="F215">
        <v>46800</v>
      </c>
      <c r="H215">
        <v>1193400</v>
      </c>
    </row>
    <row r="216" spans="1:8">
      <c r="A216">
        <v>215</v>
      </c>
      <c r="B216">
        <v>3</v>
      </c>
      <c r="C216">
        <v>52</v>
      </c>
      <c r="D216">
        <v>227348</v>
      </c>
      <c r="E216">
        <v>1026000</v>
      </c>
      <c r="F216">
        <v>47700</v>
      </c>
      <c r="H216">
        <v>1240200</v>
      </c>
    </row>
    <row r="217" spans="1:8">
      <c r="A217">
        <v>216</v>
      </c>
      <c r="B217">
        <v>3</v>
      </c>
      <c r="C217">
        <v>53</v>
      </c>
      <c r="D217">
        <v>234914</v>
      </c>
      <c r="E217">
        <v>1044000</v>
      </c>
      <c r="F217">
        <v>48600</v>
      </c>
      <c r="H217">
        <v>1287900</v>
      </c>
    </row>
    <row r="218" spans="1:8">
      <c r="A218">
        <v>217</v>
      </c>
      <c r="B218">
        <v>3</v>
      </c>
      <c r="C218">
        <v>54</v>
      </c>
      <c r="D218">
        <v>242600</v>
      </c>
      <c r="E218">
        <v>1062000</v>
      </c>
      <c r="F218">
        <v>49500</v>
      </c>
      <c r="H218">
        <v>1336500</v>
      </c>
    </row>
    <row r="219" spans="1:8">
      <c r="A219">
        <v>218</v>
      </c>
      <c r="B219">
        <v>3</v>
      </c>
      <c r="C219">
        <v>55</v>
      </c>
      <c r="D219">
        <v>250407</v>
      </c>
      <c r="E219">
        <v>1080000</v>
      </c>
      <c r="F219">
        <v>50400</v>
      </c>
      <c r="H219">
        <v>1386000</v>
      </c>
    </row>
    <row r="220" spans="1:8">
      <c r="A220">
        <v>219</v>
      </c>
      <c r="B220">
        <v>3</v>
      </c>
      <c r="C220">
        <v>56</v>
      </c>
      <c r="D220">
        <v>258334</v>
      </c>
      <c r="E220">
        <v>1098000</v>
      </c>
      <c r="F220">
        <v>51300</v>
      </c>
      <c r="H220">
        <v>1436400</v>
      </c>
    </row>
    <row r="221" spans="1:8">
      <c r="A221">
        <v>220</v>
      </c>
      <c r="B221">
        <v>3</v>
      </c>
      <c r="C221">
        <v>57</v>
      </c>
      <c r="D221">
        <v>266380</v>
      </c>
      <c r="E221">
        <v>1116000</v>
      </c>
      <c r="F221">
        <v>52200</v>
      </c>
      <c r="H221">
        <v>1487700</v>
      </c>
    </row>
    <row r="222" spans="1:8">
      <c r="A222">
        <v>221</v>
      </c>
      <c r="B222">
        <v>3</v>
      </c>
      <c r="C222">
        <v>58</v>
      </c>
      <c r="D222">
        <v>274547</v>
      </c>
      <c r="E222">
        <v>1134000</v>
      </c>
      <c r="F222">
        <v>53100</v>
      </c>
      <c r="H222">
        <v>1539900</v>
      </c>
    </row>
    <row r="223" spans="1:8">
      <c r="A223">
        <v>222</v>
      </c>
      <c r="B223">
        <v>3</v>
      </c>
      <c r="C223">
        <v>59</v>
      </c>
      <c r="D223">
        <v>282834</v>
      </c>
      <c r="E223">
        <v>1152000</v>
      </c>
      <c r="F223">
        <v>54000</v>
      </c>
      <c r="H223">
        <v>1593000</v>
      </c>
    </row>
    <row r="224" spans="1:8">
      <c r="A224">
        <v>223</v>
      </c>
      <c r="B224">
        <v>3</v>
      </c>
      <c r="C224">
        <v>60</v>
      </c>
      <c r="D224">
        <v>291241</v>
      </c>
      <c r="E224">
        <v>1170000</v>
      </c>
      <c r="F224">
        <v>54900</v>
      </c>
      <c r="H224">
        <v>1647000</v>
      </c>
    </row>
    <row r="225" s="4" customFormat="1" spans="1:8">
      <c r="A225">
        <v>224</v>
      </c>
      <c r="B225" s="4">
        <v>3</v>
      </c>
      <c r="C225" s="4">
        <v>61</v>
      </c>
      <c r="D225" s="5">
        <v>299768</v>
      </c>
      <c r="E225" s="4">
        <v>8220000</v>
      </c>
      <c r="F225" s="4">
        <v>341084</v>
      </c>
      <c r="H225">
        <v>1701900</v>
      </c>
    </row>
    <row r="226" s="4" customFormat="1" spans="1:8">
      <c r="A226">
        <v>225</v>
      </c>
      <c r="B226" s="4">
        <v>3</v>
      </c>
      <c r="C226" s="4">
        <v>62</v>
      </c>
      <c r="D226" s="5">
        <v>308415</v>
      </c>
      <c r="E226" s="4">
        <v>9420000</v>
      </c>
      <c r="F226" s="4">
        <v>345888</v>
      </c>
      <c r="H226">
        <v>2042984</v>
      </c>
    </row>
    <row r="227" s="4" customFormat="1" spans="1:8">
      <c r="A227">
        <v>226</v>
      </c>
      <c r="B227" s="4">
        <v>3</v>
      </c>
      <c r="C227" s="4">
        <v>63</v>
      </c>
      <c r="D227" s="5">
        <v>317183</v>
      </c>
      <c r="E227" s="4">
        <v>10620000</v>
      </c>
      <c r="F227" s="4">
        <v>350692</v>
      </c>
      <c r="H227">
        <v>2388872</v>
      </c>
    </row>
    <row r="228" s="4" customFormat="1" spans="1:8">
      <c r="A228">
        <v>227</v>
      </c>
      <c r="B228" s="4">
        <v>3</v>
      </c>
      <c r="C228" s="4">
        <v>64</v>
      </c>
      <c r="D228" s="5">
        <v>326070</v>
      </c>
      <c r="E228" s="4">
        <v>11820000</v>
      </c>
      <c r="F228" s="4">
        <v>355496</v>
      </c>
      <c r="H228">
        <v>2739564</v>
      </c>
    </row>
    <row r="229" s="4" customFormat="1" spans="1:8">
      <c r="A229">
        <v>228</v>
      </c>
      <c r="B229" s="4">
        <v>3</v>
      </c>
      <c r="C229" s="4">
        <v>65</v>
      </c>
      <c r="D229" s="5">
        <v>335077</v>
      </c>
      <c r="E229" s="4">
        <v>13020000</v>
      </c>
      <c r="F229" s="4">
        <v>360300</v>
      </c>
      <c r="H229">
        <v>3095060</v>
      </c>
    </row>
    <row r="230" s="4" customFormat="1" spans="1:8">
      <c r="A230">
        <v>229</v>
      </c>
      <c r="B230" s="4">
        <v>3</v>
      </c>
      <c r="C230" s="4">
        <v>66</v>
      </c>
      <c r="D230" s="5">
        <v>344205</v>
      </c>
      <c r="E230" s="4">
        <v>14620000</v>
      </c>
      <c r="F230" s="4">
        <v>365104</v>
      </c>
      <c r="H230">
        <v>3455360</v>
      </c>
    </row>
    <row r="231" s="4" customFormat="1" spans="1:8">
      <c r="A231">
        <v>230</v>
      </c>
      <c r="B231" s="4">
        <v>3</v>
      </c>
      <c r="C231" s="4">
        <v>67</v>
      </c>
      <c r="D231" s="5">
        <v>353453</v>
      </c>
      <c r="E231" s="4">
        <v>16220000</v>
      </c>
      <c r="F231" s="4">
        <v>369908</v>
      </c>
      <c r="H231">
        <v>3820464</v>
      </c>
    </row>
    <row r="232" s="4" customFormat="1" spans="1:8">
      <c r="A232">
        <v>231</v>
      </c>
      <c r="B232" s="4">
        <v>3</v>
      </c>
      <c r="C232" s="4">
        <v>68</v>
      </c>
      <c r="D232" s="5">
        <v>362821</v>
      </c>
      <c r="E232" s="4">
        <v>17820000</v>
      </c>
      <c r="F232" s="4">
        <v>374712</v>
      </c>
      <c r="H232">
        <v>4190372</v>
      </c>
    </row>
    <row r="233" s="4" customFormat="1" spans="1:8">
      <c r="A233">
        <v>232</v>
      </c>
      <c r="B233" s="4">
        <v>3</v>
      </c>
      <c r="C233" s="4">
        <v>69</v>
      </c>
      <c r="D233" s="5">
        <v>372308</v>
      </c>
      <c r="E233" s="4">
        <v>19420000</v>
      </c>
      <c r="F233" s="4">
        <v>379516</v>
      </c>
      <c r="H233">
        <v>4565084</v>
      </c>
    </row>
    <row r="234" s="4" customFormat="1" spans="1:8">
      <c r="A234">
        <v>233</v>
      </c>
      <c r="B234" s="4">
        <v>3</v>
      </c>
      <c r="C234" s="4">
        <v>70</v>
      </c>
      <c r="D234" s="5">
        <v>381916</v>
      </c>
      <c r="E234" s="4">
        <v>21020000</v>
      </c>
      <c r="F234" s="4">
        <v>384320</v>
      </c>
      <c r="H234">
        <v>4944600</v>
      </c>
    </row>
    <row r="235" s="4" customFormat="1" spans="1:8">
      <c r="A235">
        <v>234</v>
      </c>
      <c r="B235" s="4">
        <v>3</v>
      </c>
      <c r="C235" s="4">
        <v>71</v>
      </c>
      <c r="D235" s="5">
        <v>391645</v>
      </c>
      <c r="E235" s="4">
        <v>23020000</v>
      </c>
      <c r="F235" s="4">
        <v>389124</v>
      </c>
      <c r="H235">
        <v>5328920</v>
      </c>
    </row>
    <row r="236" s="4" customFormat="1" spans="1:8">
      <c r="A236">
        <v>235</v>
      </c>
      <c r="B236" s="4">
        <v>3</v>
      </c>
      <c r="C236" s="4">
        <v>72</v>
      </c>
      <c r="D236" s="5">
        <v>401493</v>
      </c>
      <c r="E236" s="4">
        <v>25020000</v>
      </c>
      <c r="F236" s="4">
        <v>393928</v>
      </c>
      <c r="H236">
        <v>5718044</v>
      </c>
    </row>
    <row r="237" s="4" customFormat="1" spans="1:8">
      <c r="A237">
        <v>236</v>
      </c>
      <c r="B237" s="4">
        <v>3</v>
      </c>
      <c r="C237" s="4">
        <v>73</v>
      </c>
      <c r="D237" s="5">
        <v>411461</v>
      </c>
      <c r="E237" s="4">
        <v>27020000</v>
      </c>
      <c r="F237" s="4">
        <v>398732</v>
      </c>
      <c r="H237">
        <v>6111972</v>
      </c>
    </row>
    <row r="238" s="4" customFormat="1" spans="1:8">
      <c r="A238">
        <v>237</v>
      </c>
      <c r="B238" s="4">
        <v>3</v>
      </c>
      <c r="C238" s="4">
        <v>74</v>
      </c>
      <c r="D238" s="5">
        <v>421549</v>
      </c>
      <c r="E238" s="4">
        <v>29020000</v>
      </c>
      <c r="F238" s="4">
        <v>403536</v>
      </c>
      <c r="H238">
        <v>6510704</v>
      </c>
    </row>
    <row r="239" s="4" customFormat="1" spans="1:8">
      <c r="A239">
        <v>238</v>
      </c>
      <c r="B239" s="4">
        <v>3</v>
      </c>
      <c r="C239" s="4">
        <v>75</v>
      </c>
      <c r="D239" s="5">
        <v>431758</v>
      </c>
      <c r="E239" s="4">
        <v>31020000</v>
      </c>
      <c r="F239" s="4">
        <v>408340</v>
      </c>
      <c r="H239">
        <v>6914240</v>
      </c>
    </row>
    <row r="240" s="4" customFormat="1" spans="1:8">
      <c r="A240">
        <v>239</v>
      </c>
      <c r="B240" s="4">
        <v>3</v>
      </c>
      <c r="C240" s="4">
        <v>76</v>
      </c>
      <c r="D240" s="5">
        <v>442087</v>
      </c>
      <c r="E240" s="4">
        <v>33420000</v>
      </c>
      <c r="F240" s="4">
        <v>413144</v>
      </c>
      <c r="H240">
        <v>7322580</v>
      </c>
    </row>
    <row r="241" s="4" customFormat="1" spans="1:8">
      <c r="A241">
        <v>240</v>
      </c>
      <c r="B241" s="4">
        <v>3</v>
      </c>
      <c r="C241" s="4">
        <v>77</v>
      </c>
      <c r="D241" s="5">
        <v>452535</v>
      </c>
      <c r="E241" s="4">
        <v>35820000</v>
      </c>
      <c r="F241" s="4">
        <v>417948</v>
      </c>
      <c r="H241">
        <v>7735724</v>
      </c>
    </row>
    <row r="242" s="4" customFormat="1" spans="1:8">
      <c r="A242">
        <v>241</v>
      </c>
      <c r="B242" s="4">
        <v>3</v>
      </c>
      <c r="C242" s="4">
        <v>78</v>
      </c>
      <c r="D242" s="5">
        <v>463104</v>
      </c>
      <c r="E242" s="4">
        <v>38220000</v>
      </c>
      <c r="F242" s="4">
        <v>422752</v>
      </c>
      <c r="H242">
        <v>8153672</v>
      </c>
    </row>
    <row r="243" s="4" customFormat="1" spans="1:8">
      <c r="A243">
        <v>242</v>
      </c>
      <c r="B243" s="4">
        <v>3</v>
      </c>
      <c r="C243" s="4">
        <v>79</v>
      </c>
      <c r="D243" s="5">
        <v>473793</v>
      </c>
      <c r="E243" s="4">
        <v>40620000</v>
      </c>
      <c r="F243" s="4">
        <v>427556</v>
      </c>
      <c r="H243">
        <v>8576424</v>
      </c>
    </row>
    <row r="244" s="4" customFormat="1" spans="1:8">
      <c r="A244">
        <v>243</v>
      </c>
      <c r="B244" s="4">
        <v>3</v>
      </c>
      <c r="C244" s="4">
        <v>80</v>
      </c>
      <c r="D244" s="5">
        <v>484602</v>
      </c>
      <c r="E244" s="4">
        <v>43020000</v>
      </c>
      <c r="F244" s="4">
        <v>432360</v>
      </c>
      <c r="G244" s="4">
        <v>1</v>
      </c>
      <c r="H244">
        <v>9003980</v>
      </c>
    </row>
    <row r="245" spans="1:6">
      <c r="A245">
        <v>244</v>
      </c>
      <c r="B245">
        <v>4</v>
      </c>
      <c r="C245">
        <v>0</v>
      </c>
      <c r="D245">
        <v>0</v>
      </c>
      <c r="E245">
        <v>180000</v>
      </c>
      <c r="F245">
        <v>1800</v>
      </c>
    </row>
    <row r="246" spans="1:8">
      <c r="A246">
        <v>245</v>
      </c>
      <c r="B246">
        <v>4</v>
      </c>
      <c r="C246">
        <v>1</v>
      </c>
      <c r="D246">
        <v>719</v>
      </c>
      <c r="E246">
        <v>216000</v>
      </c>
      <c r="F246">
        <v>3600</v>
      </c>
      <c r="H246">
        <v>1800</v>
      </c>
    </row>
    <row r="247" spans="1:8">
      <c r="A247">
        <v>246</v>
      </c>
      <c r="B247">
        <v>4</v>
      </c>
      <c r="C247">
        <v>2</v>
      </c>
      <c r="D247">
        <v>2160</v>
      </c>
      <c r="E247">
        <v>252000</v>
      </c>
      <c r="F247">
        <v>5400</v>
      </c>
      <c r="H247">
        <v>5400</v>
      </c>
    </row>
    <row r="248" spans="1:8">
      <c r="A248">
        <v>247</v>
      </c>
      <c r="B248">
        <v>4</v>
      </c>
      <c r="C248">
        <v>3</v>
      </c>
      <c r="D248">
        <v>3722</v>
      </c>
      <c r="E248">
        <v>288000</v>
      </c>
      <c r="F248">
        <v>7200</v>
      </c>
      <c r="H248">
        <v>10800</v>
      </c>
    </row>
    <row r="249" spans="1:8">
      <c r="A249">
        <v>248</v>
      </c>
      <c r="B249">
        <v>4</v>
      </c>
      <c r="C249">
        <v>4</v>
      </c>
      <c r="D249">
        <v>5403</v>
      </c>
      <c r="E249">
        <v>324000</v>
      </c>
      <c r="F249">
        <v>9000</v>
      </c>
      <c r="H249">
        <v>18000</v>
      </c>
    </row>
    <row r="250" spans="1:8">
      <c r="A250">
        <v>249</v>
      </c>
      <c r="B250">
        <v>4</v>
      </c>
      <c r="C250">
        <v>5</v>
      </c>
      <c r="D250">
        <v>7204</v>
      </c>
      <c r="E250">
        <v>360000</v>
      </c>
      <c r="F250">
        <v>10800</v>
      </c>
      <c r="H250">
        <v>27000</v>
      </c>
    </row>
    <row r="251" spans="1:8">
      <c r="A251">
        <v>250</v>
      </c>
      <c r="B251">
        <v>4</v>
      </c>
      <c r="C251">
        <v>6</v>
      </c>
      <c r="D251">
        <v>9126</v>
      </c>
      <c r="E251">
        <v>396000</v>
      </c>
      <c r="F251">
        <v>12600</v>
      </c>
      <c r="H251">
        <v>37800</v>
      </c>
    </row>
    <row r="252" spans="1:8">
      <c r="A252">
        <v>251</v>
      </c>
      <c r="B252">
        <v>4</v>
      </c>
      <c r="C252">
        <v>7</v>
      </c>
      <c r="D252">
        <v>11168</v>
      </c>
      <c r="E252">
        <v>432000</v>
      </c>
      <c r="F252">
        <v>14400</v>
      </c>
      <c r="H252">
        <v>50400</v>
      </c>
    </row>
    <row r="253" spans="1:8">
      <c r="A253">
        <v>252</v>
      </c>
      <c r="B253">
        <v>4</v>
      </c>
      <c r="C253">
        <v>8</v>
      </c>
      <c r="D253">
        <v>13330</v>
      </c>
      <c r="E253">
        <v>468000</v>
      </c>
      <c r="F253">
        <v>16200</v>
      </c>
      <c r="H253">
        <v>64800</v>
      </c>
    </row>
    <row r="254" spans="1:8">
      <c r="A254">
        <v>253</v>
      </c>
      <c r="B254">
        <v>4</v>
      </c>
      <c r="C254">
        <v>9</v>
      </c>
      <c r="D254">
        <v>15611</v>
      </c>
      <c r="E254">
        <v>504000</v>
      </c>
      <c r="F254">
        <v>18000</v>
      </c>
      <c r="H254">
        <v>81000</v>
      </c>
    </row>
    <row r="255" spans="1:8">
      <c r="A255">
        <v>254</v>
      </c>
      <c r="B255">
        <v>4</v>
      </c>
      <c r="C255">
        <v>10</v>
      </c>
      <c r="D255">
        <v>18013</v>
      </c>
      <c r="E255">
        <v>540000</v>
      </c>
      <c r="F255">
        <v>19800</v>
      </c>
      <c r="H255">
        <v>99000</v>
      </c>
    </row>
    <row r="256" spans="1:8">
      <c r="A256">
        <v>255</v>
      </c>
      <c r="B256">
        <v>4</v>
      </c>
      <c r="C256">
        <v>11</v>
      </c>
      <c r="D256">
        <v>20536</v>
      </c>
      <c r="E256">
        <v>576000</v>
      </c>
      <c r="F256">
        <v>21600</v>
      </c>
      <c r="H256">
        <v>118800</v>
      </c>
    </row>
    <row r="257" spans="1:8">
      <c r="A257">
        <v>256</v>
      </c>
      <c r="B257">
        <v>4</v>
      </c>
      <c r="C257">
        <v>12</v>
      </c>
      <c r="D257">
        <v>23178</v>
      </c>
      <c r="E257">
        <v>612000</v>
      </c>
      <c r="F257">
        <v>23400</v>
      </c>
      <c r="H257">
        <v>140400</v>
      </c>
    </row>
    <row r="258" spans="1:8">
      <c r="A258">
        <v>257</v>
      </c>
      <c r="B258">
        <v>4</v>
      </c>
      <c r="C258">
        <v>13</v>
      </c>
      <c r="D258">
        <v>25940</v>
      </c>
      <c r="E258">
        <v>648000</v>
      </c>
      <c r="F258">
        <v>25200</v>
      </c>
      <c r="H258">
        <v>163800</v>
      </c>
    </row>
    <row r="259" spans="1:8">
      <c r="A259">
        <v>258</v>
      </c>
      <c r="B259">
        <v>4</v>
      </c>
      <c r="C259">
        <v>14</v>
      </c>
      <c r="D259">
        <v>28822</v>
      </c>
      <c r="E259">
        <v>684000</v>
      </c>
      <c r="F259">
        <v>27000</v>
      </c>
      <c r="H259">
        <v>189000</v>
      </c>
    </row>
    <row r="260" spans="1:8">
      <c r="A260">
        <v>259</v>
      </c>
      <c r="B260">
        <v>4</v>
      </c>
      <c r="C260">
        <v>15</v>
      </c>
      <c r="D260">
        <v>31825</v>
      </c>
      <c r="E260">
        <v>720000</v>
      </c>
      <c r="F260">
        <v>28800</v>
      </c>
      <c r="H260">
        <v>216000</v>
      </c>
    </row>
    <row r="261" spans="1:8">
      <c r="A261">
        <v>260</v>
      </c>
      <c r="B261">
        <v>4</v>
      </c>
      <c r="C261">
        <v>16</v>
      </c>
      <c r="D261">
        <v>34948</v>
      </c>
      <c r="E261">
        <v>756000</v>
      </c>
      <c r="F261">
        <v>30600</v>
      </c>
      <c r="H261">
        <v>244800</v>
      </c>
    </row>
    <row r="262" spans="1:8">
      <c r="A262">
        <v>261</v>
      </c>
      <c r="B262">
        <v>4</v>
      </c>
      <c r="C262">
        <v>17</v>
      </c>
      <c r="D262">
        <v>38190</v>
      </c>
      <c r="E262">
        <v>792000</v>
      </c>
      <c r="F262">
        <v>32400</v>
      </c>
      <c r="H262">
        <v>275400</v>
      </c>
    </row>
    <row r="263" spans="1:8">
      <c r="A263">
        <v>262</v>
      </c>
      <c r="B263">
        <v>4</v>
      </c>
      <c r="C263">
        <v>18</v>
      </c>
      <c r="D263">
        <v>41553</v>
      </c>
      <c r="E263">
        <v>828000</v>
      </c>
      <c r="F263">
        <v>34200</v>
      </c>
      <c r="H263">
        <v>307800</v>
      </c>
    </row>
    <row r="264" spans="1:8">
      <c r="A264">
        <v>263</v>
      </c>
      <c r="B264">
        <v>4</v>
      </c>
      <c r="C264">
        <v>19</v>
      </c>
      <c r="D264">
        <v>45036</v>
      </c>
      <c r="E264">
        <v>864000</v>
      </c>
      <c r="F264">
        <v>36000</v>
      </c>
      <c r="H264">
        <v>342000</v>
      </c>
    </row>
    <row r="265" spans="1:8">
      <c r="A265">
        <v>264</v>
      </c>
      <c r="B265">
        <v>4</v>
      </c>
      <c r="C265">
        <v>20</v>
      </c>
      <c r="D265">
        <v>48639</v>
      </c>
      <c r="E265">
        <v>900000</v>
      </c>
      <c r="F265">
        <v>37800</v>
      </c>
      <c r="H265">
        <v>378000</v>
      </c>
    </row>
    <row r="266" spans="1:8">
      <c r="A266">
        <v>265</v>
      </c>
      <c r="B266">
        <v>4</v>
      </c>
      <c r="C266">
        <v>21</v>
      </c>
      <c r="D266">
        <v>52362</v>
      </c>
      <c r="E266">
        <v>936000</v>
      </c>
      <c r="F266">
        <v>39600</v>
      </c>
      <c r="H266">
        <v>415800</v>
      </c>
    </row>
    <row r="267" spans="1:8">
      <c r="A267">
        <v>266</v>
      </c>
      <c r="B267">
        <v>4</v>
      </c>
      <c r="C267">
        <v>22</v>
      </c>
      <c r="D267">
        <v>56205</v>
      </c>
      <c r="E267">
        <v>972000</v>
      </c>
      <c r="F267">
        <v>41400</v>
      </c>
      <c r="H267">
        <v>455400</v>
      </c>
    </row>
    <row r="268" spans="1:8">
      <c r="A268">
        <v>267</v>
      </c>
      <c r="B268">
        <v>4</v>
      </c>
      <c r="C268">
        <v>23</v>
      </c>
      <c r="D268">
        <v>60169</v>
      </c>
      <c r="E268">
        <v>1008000</v>
      </c>
      <c r="F268">
        <v>43200</v>
      </c>
      <c r="H268">
        <v>496800</v>
      </c>
    </row>
    <row r="269" spans="1:8">
      <c r="A269">
        <v>268</v>
      </c>
      <c r="B269">
        <v>4</v>
      </c>
      <c r="C269">
        <v>24</v>
      </c>
      <c r="D269">
        <v>64252</v>
      </c>
      <c r="E269">
        <v>1044000</v>
      </c>
      <c r="F269">
        <v>45000</v>
      </c>
      <c r="H269">
        <v>540000</v>
      </c>
    </row>
    <row r="270" spans="1:8">
      <c r="A270">
        <v>269</v>
      </c>
      <c r="B270">
        <v>4</v>
      </c>
      <c r="C270">
        <v>25</v>
      </c>
      <c r="D270">
        <v>68455</v>
      </c>
      <c r="E270">
        <v>1080000</v>
      </c>
      <c r="F270">
        <v>46800</v>
      </c>
      <c r="H270">
        <v>585000</v>
      </c>
    </row>
    <row r="271" spans="1:8">
      <c r="A271">
        <v>270</v>
      </c>
      <c r="B271">
        <v>4</v>
      </c>
      <c r="C271">
        <v>26</v>
      </c>
      <c r="D271">
        <v>72779</v>
      </c>
      <c r="E271">
        <v>1116000</v>
      </c>
      <c r="F271">
        <v>48600</v>
      </c>
      <c r="H271">
        <v>631800</v>
      </c>
    </row>
    <row r="272" spans="1:8">
      <c r="A272">
        <v>271</v>
      </c>
      <c r="B272">
        <v>4</v>
      </c>
      <c r="C272">
        <v>27</v>
      </c>
      <c r="D272">
        <v>77223</v>
      </c>
      <c r="E272">
        <v>1152000</v>
      </c>
      <c r="F272">
        <v>50400</v>
      </c>
      <c r="H272">
        <v>680400</v>
      </c>
    </row>
    <row r="273" spans="1:8">
      <c r="A273">
        <v>272</v>
      </c>
      <c r="B273">
        <v>4</v>
      </c>
      <c r="C273">
        <v>28</v>
      </c>
      <c r="D273">
        <v>81787</v>
      </c>
      <c r="E273">
        <v>1188000</v>
      </c>
      <c r="F273">
        <v>52200</v>
      </c>
      <c r="H273">
        <v>730800</v>
      </c>
    </row>
    <row r="274" spans="1:8">
      <c r="A274">
        <v>273</v>
      </c>
      <c r="B274">
        <v>4</v>
      </c>
      <c r="C274">
        <v>29</v>
      </c>
      <c r="D274">
        <v>86470</v>
      </c>
      <c r="E274">
        <v>1224000</v>
      </c>
      <c r="F274">
        <v>54000</v>
      </c>
      <c r="H274">
        <v>783000</v>
      </c>
    </row>
    <row r="275" spans="1:8">
      <c r="A275">
        <v>274</v>
      </c>
      <c r="B275">
        <v>4</v>
      </c>
      <c r="C275">
        <v>30</v>
      </c>
      <c r="D275">
        <v>91274</v>
      </c>
      <c r="E275">
        <v>1260000</v>
      </c>
      <c r="F275">
        <v>55800</v>
      </c>
      <c r="H275">
        <v>837000</v>
      </c>
    </row>
    <row r="276" spans="1:8">
      <c r="A276">
        <v>275</v>
      </c>
      <c r="B276">
        <v>4</v>
      </c>
      <c r="C276">
        <v>31</v>
      </c>
      <c r="D276">
        <v>96199</v>
      </c>
      <c r="E276">
        <v>1296000</v>
      </c>
      <c r="F276">
        <v>57600</v>
      </c>
      <c r="H276">
        <v>892800</v>
      </c>
    </row>
    <row r="277" spans="1:8">
      <c r="A277">
        <v>276</v>
      </c>
      <c r="B277">
        <v>4</v>
      </c>
      <c r="C277">
        <v>32</v>
      </c>
      <c r="D277">
        <v>101243</v>
      </c>
      <c r="E277">
        <v>1332000</v>
      </c>
      <c r="F277">
        <v>59400</v>
      </c>
      <c r="H277">
        <v>950400</v>
      </c>
    </row>
    <row r="278" spans="1:8">
      <c r="A278">
        <v>277</v>
      </c>
      <c r="B278">
        <v>4</v>
      </c>
      <c r="C278">
        <v>33</v>
      </c>
      <c r="D278">
        <v>106407</v>
      </c>
      <c r="E278">
        <v>1368000</v>
      </c>
      <c r="F278">
        <v>61200</v>
      </c>
      <c r="H278">
        <v>1009800</v>
      </c>
    </row>
    <row r="279" spans="1:8">
      <c r="A279">
        <v>278</v>
      </c>
      <c r="B279">
        <v>4</v>
      </c>
      <c r="C279">
        <v>34</v>
      </c>
      <c r="D279">
        <v>111691</v>
      </c>
      <c r="E279">
        <v>1404000</v>
      </c>
      <c r="F279">
        <v>63000</v>
      </c>
      <c r="H279">
        <v>1071000</v>
      </c>
    </row>
    <row r="280" spans="1:8">
      <c r="A280">
        <v>279</v>
      </c>
      <c r="B280">
        <v>4</v>
      </c>
      <c r="C280">
        <v>35</v>
      </c>
      <c r="D280">
        <v>117096</v>
      </c>
      <c r="E280">
        <v>1440000</v>
      </c>
      <c r="F280">
        <v>64800</v>
      </c>
      <c r="H280">
        <v>1134000</v>
      </c>
    </row>
    <row r="281" spans="1:8">
      <c r="A281">
        <v>280</v>
      </c>
      <c r="B281">
        <v>4</v>
      </c>
      <c r="C281">
        <v>36</v>
      </c>
      <c r="D281">
        <v>122621</v>
      </c>
      <c r="E281">
        <v>1476000</v>
      </c>
      <c r="F281">
        <v>66600</v>
      </c>
      <c r="H281">
        <v>1198800</v>
      </c>
    </row>
    <row r="282" spans="1:8">
      <c r="A282">
        <v>281</v>
      </c>
      <c r="B282">
        <v>4</v>
      </c>
      <c r="C282">
        <v>37</v>
      </c>
      <c r="D282">
        <v>128265</v>
      </c>
      <c r="E282">
        <v>1512000</v>
      </c>
      <c r="F282">
        <v>68400</v>
      </c>
      <c r="H282">
        <v>1265400</v>
      </c>
    </row>
    <row r="283" spans="1:8">
      <c r="A283">
        <v>282</v>
      </c>
      <c r="B283">
        <v>4</v>
      </c>
      <c r="C283">
        <v>38</v>
      </c>
      <c r="D283">
        <v>134030</v>
      </c>
      <c r="E283">
        <v>1548000</v>
      </c>
      <c r="F283">
        <v>70200</v>
      </c>
      <c r="H283">
        <v>1333800</v>
      </c>
    </row>
    <row r="284" spans="1:8">
      <c r="A284">
        <v>283</v>
      </c>
      <c r="B284">
        <v>4</v>
      </c>
      <c r="C284">
        <v>39</v>
      </c>
      <c r="D284">
        <v>139915</v>
      </c>
      <c r="E284">
        <v>1584000</v>
      </c>
      <c r="F284">
        <v>72000</v>
      </c>
      <c r="H284">
        <v>1404000</v>
      </c>
    </row>
    <row r="285" spans="1:8">
      <c r="A285">
        <v>284</v>
      </c>
      <c r="B285">
        <v>4</v>
      </c>
      <c r="C285">
        <v>40</v>
      </c>
      <c r="D285">
        <v>145920</v>
      </c>
      <c r="E285">
        <v>1620000</v>
      </c>
      <c r="F285">
        <v>73800</v>
      </c>
      <c r="H285">
        <v>1476000</v>
      </c>
    </row>
    <row r="286" spans="1:8">
      <c r="A286">
        <v>285</v>
      </c>
      <c r="B286">
        <v>4</v>
      </c>
      <c r="C286">
        <v>41</v>
      </c>
      <c r="D286">
        <v>152045</v>
      </c>
      <c r="E286">
        <v>1656000</v>
      </c>
      <c r="F286">
        <v>75600</v>
      </c>
      <c r="H286">
        <v>1549800</v>
      </c>
    </row>
    <row r="287" spans="1:8">
      <c r="A287">
        <v>286</v>
      </c>
      <c r="B287">
        <v>4</v>
      </c>
      <c r="C287">
        <v>42</v>
      </c>
      <c r="D287">
        <v>158290</v>
      </c>
      <c r="E287">
        <v>1692000</v>
      </c>
      <c r="F287">
        <v>77400</v>
      </c>
      <c r="H287">
        <v>1625400</v>
      </c>
    </row>
    <row r="288" spans="1:8">
      <c r="A288">
        <v>287</v>
      </c>
      <c r="B288">
        <v>4</v>
      </c>
      <c r="C288">
        <v>43</v>
      </c>
      <c r="D288">
        <v>164656</v>
      </c>
      <c r="E288">
        <v>1728000</v>
      </c>
      <c r="F288">
        <v>79200</v>
      </c>
      <c r="H288">
        <v>1702800</v>
      </c>
    </row>
    <row r="289" spans="1:8">
      <c r="A289">
        <v>288</v>
      </c>
      <c r="B289">
        <v>4</v>
      </c>
      <c r="C289">
        <v>44</v>
      </c>
      <c r="D289">
        <v>171141</v>
      </c>
      <c r="E289">
        <v>1764000</v>
      </c>
      <c r="F289">
        <v>81000</v>
      </c>
      <c r="H289">
        <v>1782000</v>
      </c>
    </row>
    <row r="290" spans="1:8">
      <c r="A290">
        <v>289</v>
      </c>
      <c r="B290">
        <v>4</v>
      </c>
      <c r="C290">
        <v>45</v>
      </c>
      <c r="D290">
        <v>177746</v>
      </c>
      <c r="E290">
        <v>1800000</v>
      </c>
      <c r="F290">
        <v>82800</v>
      </c>
      <c r="H290">
        <v>1863000</v>
      </c>
    </row>
    <row r="291" spans="1:8">
      <c r="A291">
        <v>290</v>
      </c>
      <c r="B291">
        <v>4</v>
      </c>
      <c r="C291">
        <v>46</v>
      </c>
      <c r="D291">
        <v>184472</v>
      </c>
      <c r="E291">
        <v>1836000</v>
      </c>
      <c r="F291">
        <v>84600</v>
      </c>
      <c r="H291">
        <v>1945800</v>
      </c>
    </row>
    <row r="292" spans="1:8">
      <c r="A292">
        <v>291</v>
      </c>
      <c r="B292">
        <v>4</v>
      </c>
      <c r="C292">
        <v>47</v>
      </c>
      <c r="D292">
        <v>191318</v>
      </c>
      <c r="E292">
        <v>1872000</v>
      </c>
      <c r="F292">
        <v>86400</v>
      </c>
      <c r="H292">
        <v>2030400</v>
      </c>
    </row>
    <row r="293" spans="1:8">
      <c r="A293">
        <v>292</v>
      </c>
      <c r="B293">
        <v>4</v>
      </c>
      <c r="C293">
        <v>48</v>
      </c>
      <c r="D293">
        <v>198284</v>
      </c>
      <c r="E293">
        <v>1908000</v>
      </c>
      <c r="F293">
        <v>88200</v>
      </c>
      <c r="H293">
        <v>2116800</v>
      </c>
    </row>
    <row r="294" spans="1:8">
      <c r="A294">
        <v>293</v>
      </c>
      <c r="B294">
        <v>4</v>
      </c>
      <c r="C294">
        <v>49</v>
      </c>
      <c r="D294">
        <v>205369</v>
      </c>
      <c r="E294">
        <v>1944000</v>
      </c>
      <c r="F294">
        <v>90000</v>
      </c>
      <c r="H294">
        <v>2205000</v>
      </c>
    </row>
    <row r="295" spans="1:8">
      <c r="A295">
        <v>294</v>
      </c>
      <c r="B295">
        <v>4</v>
      </c>
      <c r="C295">
        <v>50</v>
      </c>
      <c r="D295">
        <v>212575</v>
      </c>
      <c r="E295">
        <v>1980000</v>
      </c>
      <c r="F295">
        <v>91800</v>
      </c>
      <c r="H295">
        <v>2295000</v>
      </c>
    </row>
    <row r="296" spans="1:8">
      <c r="A296">
        <v>295</v>
      </c>
      <c r="B296">
        <v>4</v>
      </c>
      <c r="C296">
        <v>51</v>
      </c>
      <c r="D296">
        <v>219902</v>
      </c>
      <c r="E296">
        <v>2016000</v>
      </c>
      <c r="F296">
        <v>93600</v>
      </c>
      <c r="H296">
        <v>2386800</v>
      </c>
    </row>
    <row r="297" spans="1:8">
      <c r="A297">
        <v>296</v>
      </c>
      <c r="B297">
        <v>4</v>
      </c>
      <c r="C297">
        <v>52</v>
      </c>
      <c r="D297">
        <v>227348</v>
      </c>
      <c r="E297">
        <v>2052000</v>
      </c>
      <c r="F297">
        <v>95400</v>
      </c>
      <c r="H297">
        <v>2480400</v>
      </c>
    </row>
    <row r="298" spans="1:8">
      <c r="A298">
        <v>297</v>
      </c>
      <c r="B298">
        <v>4</v>
      </c>
      <c r="C298">
        <v>53</v>
      </c>
      <c r="D298">
        <v>234914</v>
      </c>
      <c r="E298">
        <v>2088000</v>
      </c>
      <c r="F298">
        <v>97200</v>
      </c>
      <c r="H298">
        <v>2575800</v>
      </c>
    </row>
    <row r="299" spans="1:8">
      <c r="A299">
        <v>298</v>
      </c>
      <c r="B299">
        <v>4</v>
      </c>
      <c r="C299">
        <v>54</v>
      </c>
      <c r="D299">
        <v>242600</v>
      </c>
      <c r="E299">
        <v>2124000</v>
      </c>
      <c r="F299">
        <v>99000</v>
      </c>
      <c r="H299">
        <v>2673000</v>
      </c>
    </row>
    <row r="300" spans="1:8">
      <c r="A300">
        <v>299</v>
      </c>
      <c r="B300">
        <v>4</v>
      </c>
      <c r="C300">
        <v>55</v>
      </c>
      <c r="D300">
        <v>250407</v>
      </c>
      <c r="E300">
        <v>2160000</v>
      </c>
      <c r="F300">
        <v>100800</v>
      </c>
      <c r="H300">
        <v>2772000</v>
      </c>
    </row>
    <row r="301" spans="1:8">
      <c r="A301">
        <v>300</v>
      </c>
      <c r="B301">
        <v>4</v>
      </c>
      <c r="C301">
        <v>56</v>
      </c>
      <c r="D301">
        <v>258334</v>
      </c>
      <c r="E301">
        <v>2196000</v>
      </c>
      <c r="F301">
        <v>102600</v>
      </c>
      <c r="H301">
        <v>2872800</v>
      </c>
    </row>
    <row r="302" spans="1:8">
      <c r="A302">
        <v>301</v>
      </c>
      <c r="B302">
        <v>4</v>
      </c>
      <c r="C302">
        <v>57</v>
      </c>
      <c r="D302">
        <v>266380</v>
      </c>
      <c r="E302">
        <v>2232000</v>
      </c>
      <c r="F302">
        <v>104400</v>
      </c>
      <c r="H302">
        <v>2975400</v>
      </c>
    </row>
    <row r="303" spans="1:8">
      <c r="A303">
        <v>302</v>
      </c>
      <c r="B303">
        <v>4</v>
      </c>
      <c r="C303">
        <v>58</v>
      </c>
      <c r="D303">
        <v>274547</v>
      </c>
      <c r="E303">
        <v>2268000</v>
      </c>
      <c r="F303">
        <v>106200</v>
      </c>
      <c r="H303">
        <v>3079800</v>
      </c>
    </row>
    <row r="304" spans="1:8">
      <c r="A304">
        <v>303</v>
      </c>
      <c r="B304">
        <v>4</v>
      </c>
      <c r="C304">
        <v>59</v>
      </c>
      <c r="D304">
        <v>282834</v>
      </c>
      <c r="E304">
        <v>2304000</v>
      </c>
      <c r="F304">
        <v>108000</v>
      </c>
      <c r="H304">
        <v>3186000</v>
      </c>
    </row>
    <row r="305" spans="1:8">
      <c r="A305">
        <v>304</v>
      </c>
      <c r="B305">
        <v>4</v>
      </c>
      <c r="C305">
        <v>60</v>
      </c>
      <c r="D305">
        <v>291241</v>
      </c>
      <c r="E305">
        <v>2340000</v>
      </c>
      <c r="F305">
        <v>109800</v>
      </c>
      <c r="H305">
        <v>3294000</v>
      </c>
    </row>
    <row r="306" s="4" customFormat="1" spans="1:8">
      <c r="A306">
        <v>305</v>
      </c>
      <c r="B306" s="4">
        <v>4</v>
      </c>
      <c r="C306" s="4">
        <v>61</v>
      </c>
      <c r="D306" s="5">
        <v>299768</v>
      </c>
      <c r="E306" s="4">
        <v>8220000</v>
      </c>
      <c r="F306" s="4">
        <v>341084</v>
      </c>
      <c r="H306">
        <v>3403800</v>
      </c>
    </row>
    <row r="307" s="4" customFormat="1" spans="1:8">
      <c r="A307">
        <v>306</v>
      </c>
      <c r="B307" s="4">
        <v>4</v>
      </c>
      <c r="C307" s="4">
        <v>62</v>
      </c>
      <c r="D307" s="5">
        <v>308415</v>
      </c>
      <c r="E307" s="4">
        <v>9420000</v>
      </c>
      <c r="F307" s="4">
        <v>345888</v>
      </c>
      <c r="H307">
        <v>3744884</v>
      </c>
    </row>
    <row r="308" s="4" customFormat="1" spans="1:8">
      <c r="A308">
        <v>307</v>
      </c>
      <c r="B308" s="4">
        <v>4</v>
      </c>
      <c r="C308" s="4">
        <v>63</v>
      </c>
      <c r="D308" s="5">
        <v>317183</v>
      </c>
      <c r="E308" s="4">
        <v>10620000</v>
      </c>
      <c r="F308" s="4">
        <v>350692</v>
      </c>
      <c r="H308">
        <v>4090772</v>
      </c>
    </row>
    <row r="309" s="4" customFormat="1" spans="1:8">
      <c r="A309">
        <v>308</v>
      </c>
      <c r="B309" s="4">
        <v>4</v>
      </c>
      <c r="C309" s="4">
        <v>64</v>
      </c>
      <c r="D309" s="5">
        <v>326070</v>
      </c>
      <c r="E309" s="4">
        <v>11820000</v>
      </c>
      <c r="F309" s="4">
        <v>355496</v>
      </c>
      <c r="H309">
        <v>4441464</v>
      </c>
    </row>
    <row r="310" s="4" customFormat="1" spans="1:8">
      <c r="A310">
        <v>309</v>
      </c>
      <c r="B310" s="4">
        <v>4</v>
      </c>
      <c r="C310" s="4">
        <v>65</v>
      </c>
      <c r="D310" s="5">
        <v>335077</v>
      </c>
      <c r="E310" s="4">
        <v>13020000</v>
      </c>
      <c r="F310" s="4">
        <v>360300</v>
      </c>
      <c r="H310">
        <v>4796960</v>
      </c>
    </row>
    <row r="311" s="4" customFormat="1" spans="1:8">
      <c r="A311">
        <v>310</v>
      </c>
      <c r="B311" s="4">
        <v>4</v>
      </c>
      <c r="C311" s="4">
        <v>66</v>
      </c>
      <c r="D311" s="5">
        <v>344205</v>
      </c>
      <c r="E311" s="4">
        <v>14620000</v>
      </c>
      <c r="F311" s="4">
        <v>365104</v>
      </c>
      <c r="H311">
        <v>5157260</v>
      </c>
    </row>
    <row r="312" s="4" customFormat="1" spans="1:8">
      <c r="A312">
        <v>311</v>
      </c>
      <c r="B312" s="4">
        <v>4</v>
      </c>
      <c r="C312" s="4">
        <v>67</v>
      </c>
      <c r="D312" s="5">
        <v>353453</v>
      </c>
      <c r="E312" s="4">
        <v>16220000</v>
      </c>
      <c r="F312" s="4">
        <v>369908</v>
      </c>
      <c r="H312">
        <v>5522364</v>
      </c>
    </row>
    <row r="313" s="4" customFormat="1" spans="1:8">
      <c r="A313">
        <v>312</v>
      </c>
      <c r="B313" s="4">
        <v>4</v>
      </c>
      <c r="C313" s="4">
        <v>68</v>
      </c>
      <c r="D313" s="5">
        <v>362821</v>
      </c>
      <c r="E313" s="4">
        <v>17820000</v>
      </c>
      <c r="F313" s="4">
        <v>374712</v>
      </c>
      <c r="H313">
        <v>5892272</v>
      </c>
    </row>
    <row r="314" s="4" customFormat="1" spans="1:8">
      <c r="A314">
        <v>313</v>
      </c>
      <c r="B314" s="4">
        <v>4</v>
      </c>
      <c r="C314" s="4">
        <v>69</v>
      </c>
      <c r="D314" s="5">
        <v>372308</v>
      </c>
      <c r="E314" s="4">
        <v>19420000</v>
      </c>
      <c r="F314" s="4">
        <v>379516</v>
      </c>
      <c r="H314">
        <v>6266984</v>
      </c>
    </row>
    <row r="315" s="4" customFormat="1" spans="1:8">
      <c r="A315">
        <v>314</v>
      </c>
      <c r="B315" s="4">
        <v>4</v>
      </c>
      <c r="C315" s="4">
        <v>70</v>
      </c>
      <c r="D315" s="5">
        <v>381916</v>
      </c>
      <c r="E315" s="4">
        <v>21020000</v>
      </c>
      <c r="F315" s="4">
        <v>384320</v>
      </c>
      <c r="H315">
        <v>6646500</v>
      </c>
    </row>
    <row r="316" s="4" customFormat="1" spans="1:8">
      <c r="A316">
        <v>315</v>
      </c>
      <c r="B316" s="4">
        <v>4</v>
      </c>
      <c r="C316" s="4">
        <v>71</v>
      </c>
      <c r="D316" s="5">
        <v>391645</v>
      </c>
      <c r="E316" s="4">
        <v>23020000</v>
      </c>
      <c r="F316" s="4">
        <v>389124</v>
      </c>
      <c r="H316">
        <v>7030820</v>
      </c>
    </row>
    <row r="317" s="4" customFormat="1" spans="1:8">
      <c r="A317">
        <v>316</v>
      </c>
      <c r="B317" s="4">
        <v>4</v>
      </c>
      <c r="C317" s="4">
        <v>72</v>
      </c>
      <c r="D317" s="5">
        <v>401493</v>
      </c>
      <c r="E317" s="4">
        <v>25020000</v>
      </c>
      <c r="F317" s="4">
        <v>393928</v>
      </c>
      <c r="H317">
        <v>7419944</v>
      </c>
    </row>
    <row r="318" s="4" customFormat="1" spans="1:8">
      <c r="A318">
        <v>317</v>
      </c>
      <c r="B318" s="4">
        <v>4</v>
      </c>
      <c r="C318" s="4">
        <v>73</v>
      </c>
      <c r="D318" s="5">
        <v>411461</v>
      </c>
      <c r="E318" s="4">
        <v>27020000</v>
      </c>
      <c r="F318" s="4">
        <v>398732</v>
      </c>
      <c r="H318">
        <v>7813872</v>
      </c>
    </row>
    <row r="319" s="4" customFormat="1" spans="1:8">
      <c r="A319">
        <v>318</v>
      </c>
      <c r="B319" s="4">
        <v>4</v>
      </c>
      <c r="C319" s="4">
        <v>74</v>
      </c>
      <c r="D319" s="5">
        <v>421549</v>
      </c>
      <c r="E319" s="4">
        <v>29020000</v>
      </c>
      <c r="F319" s="4">
        <v>403536</v>
      </c>
      <c r="H319">
        <v>8212604</v>
      </c>
    </row>
    <row r="320" s="4" customFormat="1" spans="1:8">
      <c r="A320">
        <v>319</v>
      </c>
      <c r="B320" s="4">
        <v>4</v>
      </c>
      <c r="C320" s="4">
        <v>75</v>
      </c>
      <c r="D320" s="5">
        <v>431758</v>
      </c>
      <c r="E320" s="4">
        <v>31020000</v>
      </c>
      <c r="F320" s="4">
        <v>408340</v>
      </c>
      <c r="H320">
        <v>8616140</v>
      </c>
    </row>
    <row r="321" s="4" customFormat="1" spans="1:8">
      <c r="A321">
        <v>320</v>
      </c>
      <c r="B321" s="4">
        <v>4</v>
      </c>
      <c r="C321" s="4">
        <v>76</v>
      </c>
      <c r="D321" s="5">
        <v>442087</v>
      </c>
      <c r="E321" s="4">
        <v>33420000</v>
      </c>
      <c r="F321" s="4">
        <v>413144</v>
      </c>
      <c r="H321">
        <v>9024480</v>
      </c>
    </row>
    <row r="322" s="4" customFormat="1" spans="1:8">
      <c r="A322">
        <v>321</v>
      </c>
      <c r="B322" s="4">
        <v>4</v>
      </c>
      <c r="C322" s="4">
        <v>77</v>
      </c>
      <c r="D322" s="5">
        <v>452535</v>
      </c>
      <c r="E322" s="4">
        <v>35820000</v>
      </c>
      <c r="F322" s="4">
        <v>417948</v>
      </c>
      <c r="H322">
        <v>9437624</v>
      </c>
    </row>
    <row r="323" s="4" customFormat="1" spans="1:8">
      <c r="A323">
        <v>322</v>
      </c>
      <c r="B323" s="4">
        <v>4</v>
      </c>
      <c r="C323" s="4">
        <v>78</v>
      </c>
      <c r="D323" s="5">
        <v>463104</v>
      </c>
      <c r="E323" s="4">
        <v>38220000</v>
      </c>
      <c r="F323" s="4">
        <v>422752</v>
      </c>
      <c r="H323">
        <v>9855572</v>
      </c>
    </row>
    <row r="324" s="4" customFormat="1" spans="1:8">
      <c r="A324">
        <v>323</v>
      </c>
      <c r="B324" s="4">
        <v>4</v>
      </c>
      <c r="C324" s="4">
        <v>79</v>
      </c>
      <c r="D324" s="5">
        <v>473793</v>
      </c>
      <c r="E324" s="4">
        <v>40620000</v>
      </c>
      <c r="F324" s="4">
        <v>427556</v>
      </c>
      <c r="H324">
        <v>10278324</v>
      </c>
    </row>
    <row r="325" s="4" customFormat="1" spans="1:8">
      <c r="A325">
        <v>324</v>
      </c>
      <c r="B325" s="4">
        <v>4</v>
      </c>
      <c r="C325" s="4">
        <v>80</v>
      </c>
      <c r="D325" s="5">
        <v>484602</v>
      </c>
      <c r="E325" s="4">
        <v>43020000</v>
      </c>
      <c r="F325" s="4">
        <v>432360</v>
      </c>
      <c r="G325" s="4">
        <v>1</v>
      </c>
      <c r="H325">
        <v>10705880</v>
      </c>
    </row>
    <row r="326" spans="1:6">
      <c r="A326">
        <v>325</v>
      </c>
      <c r="B326">
        <v>5</v>
      </c>
      <c r="C326">
        <v>0</v>
      </c>
      <c r="D326">
        <v>0</v>
      </c>
      <c r="E326">
        <v>540000</v>
      </c>
      <c r="F326">
        <v>5400</v>
      </c>
    </row>
    <row r="327" spans="1:8">
      <c r="A327">
        <v>326</v>
      </c>
      <c r="B327">
        <v>5</v>
      </c>
      <c r="C327">
        <v>1</v>
      </c>
      <c r="D327">
        <v>719</v>
      </c>
      <c r="E327">
        <v>648000</v>
      </c>
      <c r="F327">
        <v>10800</v>
      </c>
      <c r="H327">
        <v>5400</v>
      </c>
    </row>
    <row r="328" spans="1:8">
      <c r="A328">
        <v>327</v>
      </c>
      <c r="B328">
        <v>5</v>
      </c>
      <c r="C328">
        <v>2</v>
      </c>
      <c r="D328">
        <v>2160</v>
      </c>
      <c r="E328">
        <v>756000</v>
      </c>
      <c r="F328">
        <v>16200</v>
      </c>
      <c r="H328">
        <v>16200</v>
      </c>
    </row>
    <row r="329" spans="1:8">
      <c r="A329">
        <v>328</v>
      </c>
      <c r="B329">
        <v>5</v>
      </c>
      <c r="C329">
        <v>3</v>
      </c>
      <c r="D329">
        <v>3722</v>
      </c>
      <c r="E329">
        <v>864000</v>
      </c>
      <c r="F329">
        <v>21600</v>
      </c>
      <c r="H329">
        <v>32400</v>
      </c>
    </row>
    <row r="330" spans="1:8">
      <c r="A330">
        <v>329</v>
      </c>
      <c r="B330">
        <v>5</v>
      </c>
      <c r="C330">
        <v>4</v>
      </c>
      <c r="D330">
        <v>5403</v>
      </c>
      <c r="E330">
        <v>972000</v>
      </c>
      <c r="F330">
        <v>27000</v>
      </c>
      <c r="H330">
        <v>54000</v>
      </c>
    </row>
    <row r="331" spans="1:8">
      <c r="A331">
        <v>330</v>
      </c>
      <c r="B331">
        <v>5</v>
      </c>
      <c r="C331">
        <v>5</v>
      </c>
      <c r="D331">
        <v>7204</v>
      </c>
      <c r="E331">
        <v>1080000</v>
      </c>
      <c r="F331">
        <v>32400</v>
      </c>
      <c r="H331">
        <v>81000</v>
      </c>
    </row>
    <row r="332" spans="1:8">
      <c r="A332">
        <v>331</v>
      </c>
      <c r="B332">
        <v>5</v>
      </c>
      <c r="C332">
        <v>6</v>
      </c>
      <c r="D332">
        <v>9126</v>
      </c>
      <c r="E332">
        <v>1188000</v>
      </c>
      <c r="F332">
        <v>37800</v>
      </c>
      <c r="H332">
        <v>113400</v>
      </c>
    </row>
    <row r="333" spans="1:8">
      <c r="A333">
        <v>332</v>
      </c>
      <c r="B333">
        <v>5</v>
      </c>
      <c r="C333">
        <v>7</v>
      </c>
      <c r="D333">
        <v>11168</v>
      </c>
      <c r="E333">
        <v>1296000</v>
      </c>
      <c r="F333">
        <v>43200</v>
      </c>
      <c r="H333">
        <v>151200</v>
      </c>
    </row>
    <row r="334" spans="1:8">
      <c r="A334">
        <v>333</v>
      </c>
      <c r="B334">
        <v>5</v>
      </c>
      <c r="C334">
        <v>8</v>
      </c>
      <c r="D334">
        <v>13330</v>
      </c>
      <c r="E334">
        <v>1404000</v>
      </c>
      <c r="F334">
        <v>48600</v>
      </c>
      <c r="H334">
        <v>194400</v>
      </c>
    </row>
    <row r="335" spans="1:8">
      <c r="A335">
        <v>334</v>
      </c>
      <c r="B335">
        <v>5</v>
      </c>
      <c r="C335">
        <v>9</v>
      </c>
      <c r="D335">
        <v>15611</v>
      </c>
      <c r="E335">
        <v>1512000</v>
      </c>
      <c r="F335">
        <v>54000</v>
      </c>
      <c r="H335">
        <v>243000</v>
      </c>
    </row>
    <row r="336" spans="1:8">
      <c r="A336">
        <v>335</v>
      </c>
      <c r="B336">
        <v>5</v>
      </c>
      <c r="C336">
        <v>10</v>
      </c>
      <c r="D336">
        <v>18013</v>
      </c>
      <c r="E336">
        <v>1620000</v>
      </c>
      <c r="F336">
        <v>59400</v>
      </c>
      <c r="H336">
        <v>297000</v>
      </c>
    </row>
    <row r="337" spans="1:8">
      <c r="A337">
        <v>336</v>
      </c>
      <c r="B337">
        <v>5</v>
      </c>
      <c r="C337">
        <v>11</v>
      </c>
      <c r="D337">
        <v>20536</v>
      </c>
      <c r="E337">
        <v>1728000</v>
      </c>
      <c r="F337">
        <v>64800</v>
      </c>
      <c r="H337">
        <v>356400</v>
      </c>
    </row>
    <row r="338" spans="1:8">
      <c r="A338">
        <v>337</v>
      </c>
      <c r="B338">
        <v>5</v>
      </c>
      <c r="C338">
        <v>12</v>
      </c>
      <c r="D338">
        <v>23178</v>
      </c>
      <c r="E338">
        <v>1836000</v>
      </c>
      <c r="F338">
        <v>70200</v>
      </c>
      <c r="H338">
        <v>421200</v>
      </c>
    </row>
    <row r="339" spans="1:8">
      <c r="A339">
        <v>338</v>
      </c>
      <c r="B339">
        <v>5</v>
      </c>
      <c r="C339">
        <v>13</v>
      </c>
      <c r="D339">
        <v>25940</v>
      </c>
      <c r="E339">
        <v>1944000</v>
      </c>
      <c r="F339">
        <v>75600</v>
      </c>
      <c r="H339">
        <v>491400</v>
      </c>
    </row>
    <row r="340" spans="1:8">
      <c r="A340">
        <v>339</v>
      </c>
      <c r="B340">
        <v>5</v>
      </c>
      <c r="C340">
        <v>14</v>
      </c>
      <c r="D340">
        <v>28822</v>
      </c>
      <c r="E340">
        <v>2052000</v>
      </c>
      <c r="F340">
        <v>81000</v>
      </c>
      <c r="H340">
        <v>567000</v>
      </c>
    </row>
    <row r="341" spans="1:8">
      <c r="A341">
        <v>340</v>
      </c>
      <c r="B341">
        <v>5</v>
      </c>
      <c r="C341">
        <v>15</v>
      </c>
      <c r="D341">
        <v>31825</v>
      </c>
      <c r="E341">
        <v>2160000</v>
      </c>
      <c r="F341">
        <v>86400</v>
      </c>
      <c r="H341">
        <v>648000</v>
      </c>
    </row>
    <row r="342" spans="1:8">
      <c r="A342">
        <v>341</v>
      </c>
      <c r="B342">
        <v>5</v>
      </c>
      <c r="C342">
        <v>16</v>
      </c>
      <c r="D342">
        <v>34948</v>
      </c>
      <c r="E342">
        <v>2268000</v>
      </c>
      <c r="F342">
        <v>91800</v>
      </c>
      <c r="H342">
        <v>734400</v>
      </c>
    </row>
    <row r="343" spans="1:8">
      <c r="A343">
        <v>342</v>
      </c>
      <c r="B343">
        <v>5</v>
      </c>
      <c r="C343">
        <v>17</v>
      </c>
      <c r="D343">
        <v>38190</v>
      </c>
      <c r="E343">
        <v>2376000</v>
      </c>
      <c r="F343">
        <v>97200</v>
      </c>
      <c r="H343">
        <v>826200</v>
      </c>
    </row>
    <row r="344" spans="1:8">
      <c r="A344">
        <v>343</v>
      </c>
      <c r="B344">
        <v>5</v>
      </c>
      <c r="C344">
        <v>18</v>
      </c>
      <c r="D344">
        <v>41553</v>
      </c>
      <c r="E344">
        <v>2484000</v>
      </c>
      <c r="F344">
        <v>102600</v>
      </c>
      <c r="H344">
        <v>923400</v>
      </c>
    </row>
    <row r="345" spans="1:8">
      <c r="A345">
        <v>344</v>
      </c>
      <c r="B345">
        <v>5</v>
      </c>
      <c r="C345">
        <v>19</v>
      </c>
      <c r="D345">
        <v>45036</v>
      </c>
      <c r="E345">
        <v>2592000</v>
      </c>
      <c r="F345">
        <v>108000</v>
      </c>
      <c r="H345">
        <v>1026000</v>
      </c>
    </row>
    <row r="346" spans="1:8">
      <c r="A346">
        <v>345</v>
      </c>
      <c r="B346">
        <v>5</v>
      </c>
      <c r="C346">
        <v>20</v>
      </c>
      <c r="D346">
        <v>48639</v>
      </c>
      <c r="E346">
        <v>2700000</v>
      </c>
      <c r="F346">
        <v>113400</v>
      </c>
      <c r="H346">
        <v>1134000</v>
      </c>
    </row>
    <row r="347" spans="1:8">
      <c r="A347">
        <v>346</v>
      </c>
      <c r="B347">
        <v>5</v>
      </c>
      <c r="C347">
        <v>21</v>
      </c>
      <c r="D347">
        <v>52362</v>
      </c>
      <c r="E347">
        <v>2808000</v>
      </c>
      <c r="F347">
        <v>118800</v>
      </c>
      <c r="H347">
        <v>1247400</v>
      </c>
    </row>
    <row r="348" spans="1:8">
      <c r="A348">
        <v>347</v>
      </c>
      <c r="B348">
        <v>5</v>
      </c>
      <c r="C348">
        <v>22</v>
      </c>
      <c r="D348">
        <v>56205</v>
      </c>
      <c r="E348">
        <v>2916000</v>
      </c>
      <c r="F348">
        <v>124200</v>
      </c>
      <c r="H348">
        <v>1366200</v>
      </c>
    </row>
    <row r="349" spans="1:8">
      <c r="A349">
        <v>348</v>
      </c>
      <c r="B349">
        <v>5</v>
      </c>
      <c r="C349">
        <v>23</v>
      </c>
      <c r="D349">
        <v>60169</v>
      </c>
      <c r="E349">
        <v>3024000</v>
      </c>
      <c r="F349">
        <v>129600</v>
      </c>
      <c r="H349">
        <v>1490400</v>
      </c>
    </row>
    <row r="350" spans="1:8">
      <c r="A350">
        <v>349</v>
      </c>
      <c r="B350">
        <v>5</v>
      </c>
      <c r="C350">
        <v>24</v>
      </c>
      <c r="D350">
        <v>64252</v>
      </c>
      <c r="E350">
        <v>3132000</v>
      </c>
      <c r="F350">
        <v>135000</v>
      </c>
      <c r="H350">
        <v>1620000</v>
      </c>
    </row>
    <row r="351" spans="1:8">
      <c r="A351">
        <v>350</v>
      </c>
      <c r="B351">
        <v>5</v>
      </c>
      <c r="C351">
        <v>25</v>
      </c>
      <c r="D351">
        <v>68455</v>
      </c>
      <c r="E351">
        <v>3240000</v>
      </c>
      <c r="F351">
        <v>140400</v>
      </c>
      <c r="H351">
        <v>1755000</v>
      </c>
    </row>
    <row r="352" spans="1:8">
      <c r="A352">
        <v>351</v>
      </c>
      <c r="B352">
        <v>5</v>
      </c>
      <c r="C352">
        <v>26</v>
      </c>
      <c r="D352">
        <v>72779</v>
      </c>
      <c r="E352">
        <v>3348000</v>
      </c>
      <c r="F352">
        <v>145800</v>
      </c>
      <c r="H352">
        <v>1895400</v>
      </c>
    </row>
    <row r="353" spans="1:8">
      <c r="A353">
        <v>352</v>
      </c>
      <c r="B353">
        <v>5</v>
      </c>
      <c r="C353">
        <v>27</v>
      </c>
      <c r="D353">
        <v>77223</v>
      </c>
      <c r="E353">
        <v>3456000</v>
      </c>
      <c r="F353">
        <v>151200</v>
      </c>
      <c r="H353">
        <v>2041200</v>
      </c>
    </row>
    <row r="354" spans="1:8">
      <c r="A354">
        <v>353</v>
      </c>
      <c r="B354">
        <v>5</v>
      </c>
      <c r="C354">
        <v>28</v>
      </c>
      <c r="D354">
        <v>81787</v>
      </c>
      <c r="E354">
        <v>3564000</v>
      </c>
      <c r="F354">
        <v>156600</v>
      </c>
      <c r="H354">
        <v>2192400</v>
      </c>
    </row>
    <row r="355" spans="1:8">
      <c r="A355">
        <v>354</v>
      </c>
      <c r="B355">
        <v>5</v>
      </c>
      <c r="C355">
        <v>29</v>
      </c>
      <c r="D355">
        <v>86470</v>
      </c>
      <c r="E355">
        <v>3672000</v>
      </c>
      <c r="F355">
        <v>162000</v>
      </c>
      <c r="H355">
        <v>2349000</v>
      </c>
    </row>
    <row r="356" spans="1:8">
      <c r="A356">
        <v>355</v>
      </c>
      <c r="B356">
        <v>5</v>
      </c>
      <c r="C356">
        <v>30</v>
      </c>
      <c r="D356">
        <v>91274</v>
      </c>
      <c r="E356">
        <v>3780000</v>
      </c>
      <c r="F356">
        <v>167400</v>
      </c>
      <c r="H356">
        <v>2511000</v>
      </c>
    </row>
    <row r="357" spans="1:8">
      <c r="A357">
        <v>356</v>
      </c>
      <c r="B357">
        <v>5</v>
      </c>
      <c r="C357">
        <v>31</v>
      </c>
      <c r="D357">
        <v>96199</v>
      </c>
      <c r="E357">
        <v>3888000</v>
      </c>
      <c r="F357">
        <v>172800</v>
      </c>
      <c r="H357">
        <v>2678400</v>
      </c>
    </row>
    <row r="358" spans="1:8">
      <c r="A358">
        <v>357</v>
      </c>
      <c r="B358">
        <v>5</v>
      </c>
      <c r="C358">
        <v>32</v>
      </c>
      <c r="D358">
        <v>101243</v>
      </c>
      <c r="E358">
        <v>3996000</v>
      </c>
      <c r="F358">
        <v>178200</v>
      </c>
      <c r="H358">
        <v>2851200</v>
      </c>
    </row>
    <row r="359" spans="1:8">
      <c r="A359">
        <v>358</v>
      </c>
      <c r="B359">
        <v>5</v>
      </c>
      <c r="C359">
        <v>33</v>
      </c>
      <c r="D359">
        <v>106407</v>
      </c>
      <c r="E359">
        <v>4104000</v>
      </c>
      <c r="F359">
        <v>183600</v>
      </c>
      <c r="H359">
        <v>3029400</v>
      </c>
    </row>
    <row r="360" spans="1:8">
      <c r="A360">
        <v>359</v>
      </c>
      <c r="B360">
        <v>5</v>
      </c>
      <c r="C360">
        <v>34</v>
      </c>
      <c r="D360">
        <v>111691</v>
      </c>
      <c r="E360">
        <v>4212000</v>
      </c>
      <c r="F360">
        <v>189000</v>
      </c>
      <c r="H360">
        <v>3213000</v>
      </c>
    </row>
    <row r="361" spans="1:8">
      <c r="A361">
        <v>360</v>
      </c>
      <c r="B361">
        <v>5</v>
      </c>
      <c r="C361">
        <v>35</v>
      </c>
      <c r="D361">
        <v>117096</v>
      </c>
      <c r="E361">
        <v>4320000</v>
      </c>
      <c r="F361">
        <v>194400</v>
      </c>
      <c r="H361">
        <v>3402000</v>
      </c>
    </row>
    <row r="362" spans="1:8">
      <c r="A362">
        <v>361</v>
      </c>
      <c r="B362">
        <v>5</v>
      </c>
      <c r="C362">
        <v>36</v>
      </c>
      <c r="D362">
        <v>122621</v>
      </c>
      <c r="E362">
        <v>4428000</v>
      </c>
      <c r="F362">
        <v>199800</v>
      </c>
      <c r="H362">
        <v>3596400</v>
      </c>
    </row>
    <row r="363" spans="1:8">
      <c r="A363">
        <v>362</v>
      </c>
      <c r="B363">
        <v>5</v>
      </c>
      <c r="C363">
        <v>37</v>
      </c>
      <c r="D363">
        <v>128265</v>
      </c>
      <c r="E363">
        <v>4536000</v>
      </c>
      <c r="F363">
        <v>205200</v>
      </c>
      <c r="H363">
        <v>3796200</v>
      </c>
    </row>
    <row r="364" spans="1:8">
      <c r="A364">
        <v>363</v>
      </c>
      <c r="B364">
        <v>5</v>
      </c>
      <c r="C364">
        <v>38</v>
      </c>
      <c r="D364">
        <v>134030</v>
      </c>
      <c r="E364">
        <v>4644000</v>
      </c>
      <c r="F364">
        <v>210600</v>
      </c>
      <c r="H364">
        <v>4001400</v>
      </c>
    </row>
    <row r="365" spans="1:8">
      <c r="A365">
        <v>364</v>
      </c>
      <c r="B365">
        <v>5</v>
      </c>
      <c r="C365">
        <v>39</v>
      </c>
      <c r="D365">
        <v>139915</v>
      </c>
      <c r="E365">
        <v>4752000</v>
      </c>
      <c r="F365">
        <v>216000</v>
      </c>
      <c r="H365">
        <v>4212000</v>
      </c>
    </row>
    <row r="366" spans="1:8">
      <c r="A366">
        <v>365</v>
      </c>
      <c r="B366">
        <v>5</v>
      </c>
      <c r="C366">
        <v>40</v>
      </c>
      <c r="D366">
        <v>145920</v>
      </c>
      <c r="E366">
        <v>4860000</v>
      </c>
      <c r="F366">
        <v>221400</v>
      </c>
      <c r="H366">
        <v>4428000</v>
      </c>
    </row>
    <row r="367" spans="1:8">
      <c r="A367">
        <v>366</v>
      </c>
      <c r="B367">
        <v>5</v>
      </c>
      <c r="C367">
        <v>41</v>
      </c>
      <c r="D367">
        <v>152045</v>
      </c>
      <c r="E367">
        <v>4968000</v>
      </c>
      <c r="F367">
        <v>226800</v>
      </c>
      <c r="H367">
        <v>4649400</v>
      </c>
    </row>
    <row r="368" spans="1:8">
      <c r="A368">
        <v>367</v>
      </c>
      <c r="B368">
        <v>5</v>
      </c>
      <c r="C368">
        <v>42</v>
      </c>
      <c r="D368">
        <v>158290</v>
      </c>
      <c r="E368">
        <v>5076000</v>
      </c>
      <c r="F368">
        <v>232200</v>
      </c>
      <c r="H368">
        <v>4876200</v>
      </c>
    </row>
    <row r="369" spans="1:8">
      <c r="A369">
        <v>368</v>
      </c>
      <c r="B369">
        <v>5</v>
      </c>
      <c r="C369">
        <v>43</v>
      </c>
      <c r="D369">
        <v>164656</v>
      </c>
      <c r="E369">
        <v>5184000</v>
      </c>
      <c r="F369">
        <v>237600</v>
      </c>
      <c r="H369">
        <v>5108400</v>
      </c>
    </row>
    <row r="370" spans="1:8">
      <c r="A370">
        <v>369</v>
      </c>
      <c r="B370">
        <v>5</v>
      </c>
      <c r="C370">
        <v>44</v>
      </c>
      <c r="D370">
        <v>171141</v>
      </c>
      <c r="E370">
        <v>5292000</v>
      </c>
      <c r="F370">
        <v>243000</v>
      </c>
      <c r="H370">
        <v>5346000</v>
      </c>
    </row>
    <row r="371" spans="1:8">
      <c r="A371">
        <v>370</v>
      </c>
      <c r="B371">
        <v>5</v>
      </c>
      <c r="C371">
        <v>45</v>
      </c>
      <c r="D371">
        <v>177746</v>
      </c>
      <c r="E371">
        <v>5400000</v>
      </c>
      <c r="F371">
        <v>248400</v>
      </c>
      <c r="H371">
        <v>5589000</v>
      </c>
    </row>
    <row r="372" spans="1:8">
      <c r="A372">
        <v>371</v>
      </c>
      <c r="B372">
        <v>5</v>
      </c>
      <c r="C372">
        <v>46</v>
      </c>
      <c r="D372">
        <v>184472</v>
      </c>
      <c r="E372">
        <v>5508000</v>
      </c>
      <c r="F372">
        <v>253800</v>
      </c>
      <c r="H372">
        <v>5837400</v>
      </c>
    </row>
    <row r="373" spans="1:8">
      <c r="A373">
        <v>372</v>
      </c>
      <c r="B373">
        <v>5</v>
      </c>
      <c r="C373">
        <v>47</v>
      </c>
      <c r="D373">
        <v>191318</v>
      </c>
      <c r="E373">
        <v>5616000</v>
      </c>
      <c r="F373">
        <v>259200</v>
      </c>
      <c r="H373">
        <v>6091200</v>
      </c>
    </row>
    <row r="374" spans="1:8">
      <c r="A374">
        <v>373</v>
      </c>
      <c r="B374">
        <v>5</v>
      </c>
      <c r="C374">
        <v>48</v>
      </c>
      <c r="D374">
        <v>198284</v>
      </c>
      <c r="E374">
        <v>5724000</v>
      </c>
      <c r="F374">
        <v>264600</v>
      </c>
      <c r="H374">
        <v>6350400</v>
      </c>
    </row>
    <row r="375" spans="1:8">
      <c r="A375">
        <v>374</v>
      </c>
      <c r="B375">
        <v>5</v>
      </c>
      <c r="C375">
        <v>49</v>
      </c>
      <c r="D375">
        <v>205369</v>
      </c>
      <c r="E375">
        <v>5832000</v>
      </c>
      <c r="F375">
        <v>270000</v>
      </c>
      <c r="H375">
        <v>6615000</v>
      </c>
    </row>
    <row r="376" spans="1:8">
      <c r="A376">
        <v>375</v>
      </c>
      <c r="B376">
        <v>5</v>
      </c>
      <c r="C376">
        <v>50</v>
      </c>
      <c r="D376">
        <v>212575</v>
      </c>
      <c r="E376">
        <v>5940000</v>
      </c>
      <c r="F376">
        <v>275400</v>
      </c>
      <c r="H376">
        <v>6885000</v>
      </c>
    </row>
    <row r="377" spans="1:8">
      <c r="A377">
        <v>376</v>
      </c>
      <c r="B377">
        <v>5</v>
      </c>
      <c r="C377">
        <v>51</v>
      </c>
      <c r="D377">
        <v>219902</v>
      </c>
      <c r="E377">
        <v>6048000</v>
      </c>
      <c r="F377">
        <v>280800</v>
      </c>
      <c r="H377">
        <v>7160400</v>
      </c>
    </row>
    <row r="378" spans="1:8">
      <c r="A378">
        <v>377</v>
      </c>
      <c r="B378">
        <v>5</v>
      </c>
      <c r="C378">
        <v>52</v>
      </c>
      <c r="D378">
        <v>227348</v>
      </c>
      <c r="E378">
        <v>6156000</v>
      </c>
      <c r="F378">
        <v>286200</v>
      </c>
      <c r="H378">
        <v>7441200</v>
      </c>
    </row>
    <row r="379" spans="1:8">
      <c r="A379">
        <v>378</v>
      </c>
      <c r="B379">
        <v>5</v>
      </c>
      <c r="C379">
        <v>53</v>
      </c>
      <c r="D379">
        <v>234914</v>
      </c>
      <c r="E379">
        <v>6264000</v>
      </c>
      <c r="F379">
        <v>291600</v>
      </c>
      <c r="H379">
        <v>7727400</v>
      </c>
    </row>
    <row r="380" spans="1:8">
      <c r="A380">
        <v>379</v>
      </c>
      <c r="B380">
        <v>5</v>
      </c>
      <c r="C380">
        <v>54</v>
      </c>
      <c r="D380">
        <v>242600</v>
      </c>
      <c r="E380">
        <v>6372000</v>
      </c>
      <c r="F380">
        <v>297000</v>
      </c>
      <c r="H380">
        <v>8019000</v>
      </c>
    </row>
    <row r="381" spans="1:8">
      <c r="A381">
        <v>380</v>
      </c>
      <c r="B381">
        <v>5</v>
      </c>
      <c r="C381">
        <v>55</v>
      </c>
      <c r="D381">
        <v>250407</v>
      </c>
      <c r="E381">
        <v>6480000</v>
      </c>
      <c r="F381">
        <v>302400</v>
      </c>
      <c r="H381">
        <v>8316000</v>
      </c>
    </row>
    <row r="382" spans="1:8">
      <c r="A382">
        <v>381</v>
      </c>
      <c r="B382">
        <v>5</v>
      </c>
      <c r="C382">
        <v>56</v>
      </c>
      <c r="D382">
        <v>258334</v>
      </c>
      <c r="E382">
        <v>6588000</v>
      </c>
      <c r="F382">
        <v>307800</v>
      </c>
      <c r="H382">
        <v>8618400</v>
      </c>
    </row>
    <row r="383" spans="1:8">
      <c r="A383">
        <v>382</v>
      </c>
      <c r="B383">
        <v>5</v>
      </c>
      <c r="C383">
        <v>57</v>
      </c>
      <c r="D383">
        <v>266380</v>
      </c>
      <c r="E383">
        <v>6696000</v>
      </c>
      <c r="F383">
        <v>313200</v>
      </c>
      <c r="H383">
        <v>8926200</v>
      </c>
    </row>
    <row r="384" spans="1:8">
      <c r="A384">
        <v>383</v>
      </c>
      <c r="B384">
        <v>5</v>
      </c>
      <c r="C384">
        <v>58</v>
      </c>
      <c r="D384">
        <v>274547</v>
      </c>
      <c r="E384">
        <v>6804000</v>
      </c>
      <c r="F384">
        <v>318600</v>
      </c>
      <c r="H384">
        <v>9239400</v>
      </c>
    </row>
    <row r="385" spans="1:8">
      <c r="A385">
        <v>384</v>
      </c>
      <c r="B385">
        <v>5</v>
      </c>
      <c r="C385">
        <v>59</v>
      </c>
      <c r="D385">
        <v>282834</v>
      </c>
      <c r="E385">
        <v>6912000</v>
      </c>
      <c r="F385">
        <v>324000</v>
      </c>
      <c r="H385">
        <v>9558000</v>
      </c>
    </row>
    <row r="386" spans="1:8">
      <c r="A386">
        <v>385</v>
      </c>
      <c r="B386">
        <v>5</v>
      </c>
      <c r="C386">
        <v>60</v>
      </c>
      <c r="D386">
        <v>291241</v>
      </c>
      <c r="E386">
        <v>7020000</v>
      </c>
      <c r="F386">
        <v>329400</v>
      </c>
      <c r="H386">
        <v>9882000</v>
      </c>
    </row>
    <row r="387" s="4" customFormat="1" spans="1:8">
      <c r="A387">
        <v>386</v>
      </c>
      <c r="B387" s="4">
        <v>5</v>
      </c>
      <c r="C387" s="4">
        <v>61</v>
      </c>
      <c r="D387" s="5">
        <v>299768</v>
      </c>
      <c r="E387" s="4">
        <v>8220000</v>
      </c>
      <c r="F387" s="4">
        <v>341084</v>
      </c>
      <c r="H387">
        <v>10211400</v>
      </c>
    </row>
    <row r="388" s="4" customFormat="1" spans="1:8">
      <c r="A388">
        <v>387</v>
      </c>
      <c r="B388" s="4">
        <v>5</v>
      </c>
      <c r="C388" s="4">
        <v>62</v>
      </c>
      <c r="D388" s="5">
        <v>308415</v>
      </c>
      <c r="E388" s="4">
        <v>9420000</v>
      </c>
      <c r="F388" s="4">
        <v>345888</v>
      </c>
      <c r="H388">
        <v>10552484</v>
      </c>
    </row>
    <row r="389" s="4" customFormat="1" spans="1:8">
      <c r="A389">
        <v>388</v>
      </c>
      <c r="B389" s="4">
        <v>5</v>
      </c>
      <c r="C389" s="4">
        <v>63</v>
      </c>
      <c r="D389" s="5">
        <v>317183</v>
      </c>
      <c r="E389" s="4">
        <v>10620000</v>
      </c>
      <c r="F389" s="4">
        <v>350692</v>
      </c>
      <c r="H389">
        <v>10898372</v>
      </c>
    </row>
    <row r="390" s="4" customFormat="1" spans="1:8">
      <c r="A390">
        <v>389</v>
      </c>
      <c r="B390" s="4">
        <v>5</v>
      </c>
      <c r="C390" s="4">
        <v>64</v>
      </c>
      <c r="D390" s="5">
        <v>326070</v>
      </c>
      <c r="E390" s="4">
        <v>11820000</v>
      </c>
      <c r="F390" s="4">
        <v>355496</v>
      </c>
      <c r="H390">
        <v>11249064</v>
      </c>
    </row>
    <row r="391" s="4" customFormat="1" spans="1:8">
      <c r="A391">
        <v>390</v>
      </c>
      <c r="B391" s="4">
        <v>5</v>
      </c>
      <c r="C391" s="4">
        <v>65</v>
      </c>
      <c r="D391" s="5">
        <v>335077</v>
      </c>
      <c r="E391" s="4">
        <v>13020000</v>
      </c>
      <c r="F391" s="4">
        <v>360300</v>
      </c>
      <c r="H391">
        <v>11604560</v>
      </c>
    </row>
    <row r="392" s="4" customFormat="1" spans="1:8">
      <c r="A392">
        <v>391</v>
      </c>
      <c r="B392" s="4">
        <v>5</v>
      </c>
      <c r="C392" s="4">
        <v>66</v>
      </c>
      <c r="D392" s="5">
        <v>344205</v>
      </c>
      <c r="E392" s="4">
        <v>14620000</v>
      </c>
      <c r="F392" s="4">
        <v>365104</v>
      </c>
      <c r="H392">
        <v>11964860</v>
      </c>
    </row>
    <row r="393" s="4" customFormat="1" spans="1:8">
      <c r="A393">
        <v>392</v>
      </c>
      <c r="B393" s="4">
        <v>5</v>
      </c>
      <c r="C393" s="4">
        <v>67</v>
      </c>
      <c r="D393" s="5">
        <v>353453</v>
      </c>
      <c r="E393" s="4">
        <v>16220000</v>
      </c>
      <c r="F393" s="4">
        <v>369908</v>
      </c>
      <c r="H393">
        <v>12329964</v>
      </c>
    </row>
    <row r="394" s="4" customFormat="1" spans="1:8">
      <c r="A394">
        <v>393</v>
      </c>
      <c r="B394" s="4">
        <v>5</v>
      </c>
      <c r="C394" s="4">
        <v>68</v>
      </c>
      <c r="D394" s="5">
        <v>362821</v>
      </c>
      <c r="E394" s="4">
        <v>17820000</v>
      </c>
      <c r="F394" s="4">
        <v>374712</v>
      </c>
      <c r="H394">
        <v>12699872</v>
      </c>
    </row>
    <row r="395" s="4" customFormat="1" spans="1:8">
      <c r="A395">
        <v>394</v>
      </c>
      <c r="B395" s="4">
        <v>5</v>
      </c>
      <c r="C395" s="4">
        <v>69</v>
      </c>
      <c r="D395" s="5">
        <v>372308</v>
      </c>
      <c r="E395" s="4">
        <v>19420000</v>
      </c>
      <c r="F395" s="4">
        <v>379516</v>
      </c>
      <c r="H395">
        <v>13074584</v>
      </c>
    </row>
    <row r="396" s="4" customFormat="1" spans="1:8">
      <c r="A396">
        <v>395</v>
      </c>
      <c r="B396" s="4">
        <v>5</v>
      </c>
      <c r="C396" s="4">
        <v>70</v>
      </c>
      <c r="D396" s="5">
        <v>381916</v>
      </c>
      <c r="E396" s="4">
        <v>21020000</v>
      </c>
      <c r="F396" s="4">
        <v>384320</v>
      </c>
      <c r="H396">
        <v>13454100</v>
      </c>
    </row>
    <row r="397" s="4" customFormat="1" spans="1:8">
      <c r="A397">
        <v>396</v>
      </c>
      <c r="B397" s="4">
        <v>5</v>
      </c>
      <c r="C397" s="4">
        <v>71</v>
      </c>
      <c r="D397" s="5">
        <v>391645</v>
      </c>
      <c r="E397" s="4">
        <v>23020000</v>
      </c>
      <c r="F397" s="4">
        <v>389124</v>
      </c>
      <c r="H397">
        <v>13838420</v>
      </c>
    </row>
    <row r="398" s="4" customFormat="1" spans="1:8">
      <c r="A398">
        <v>397</v>
      </c>
      <c r="B398" s="4">
        <v>5</v>
      </c>
      <c r="C398" s="4">
        <v>72</v>
      </c>
      <c r="D398" s="5">
        <v>401493</v>
      </c>
      <c r="E398" s="4">
        <v>25020000</v>
      </c>
      <c r="F398" s="4">
        <v>393928</v>
      </c>
      <c r="H398">
        <v>14227544</v>
      </c>
    </row>
    <row r="399" s="4" customFormat="1" spans="1:8">
      <c r="A399">
        <v>398</v>
      </c>
      <c r="B399" s="4">
        <v>5</v>
      </c>
      <c r="C399" s="4">
        <v>73</v>
      </c>
      <c r="D399" s="5">
        <v>411461</v>
      </c>
      <c r="E399" s="4">
        <v>27020000</v>
      </c>
      <c r="F399" s="4">
        <v>398732</v>
      </c>
      <c r="H399">
        <v>14621472</v>
      </c>
    </row>
    <row r="400" s="4" customFormat="1" spans="1:8">
      <c r="A400">
        <v>399</v>
      </c>
      <c r="B400" s="4">
        <v>5</v>
      </c>
      <c r="C400" s="4">
        <v>74</v>
      </c>
      <c r="D400" s="5">
        <v>421549</v>
      </c>
      <c r="E400" s="4">
        <v>29020000</v>
      </c>
      <c r="F400" s="4">
        <v>403536</v>
      </c>
      <c r="H400">
        <v>15020204</v>
      </c>
    </row>
    <row r="401" s="4" customFormat="1" spans="1:8">
      <c r="A401">
        <v>400</v>
      </c>
      <c r="B401" s="4">
        <v>5</v>
      </c>
      <c r="C401" s="4">
        <v>75</v>
      </c>
      <c r="D401" s="5">
        <v>431758</v>
      </c>
      <c r="E401" s="4">
        <v>31020000</v>
      </c>
      <c r="F401" s="4">
        <v>408340</v>
      </c>
      <c r="H401">
        <v>15423740</v>
      </c>
    </row>
    <row r="402" s="4" customFormat="1" spans="1:8">
      <c r="A402">
        <v>401</v>
      </c>
      <c r="B402" s="4">
        <v>5</v>
      </c>
      <c r="C402" s="4">
        <v>76</v>
      </c>
      <c r="D402" s="5">
        <v>442087</v>
      </c>
      <c r="E402" s="4">
        <v>33420000</v>
      </c>
      <c r="F402" s="4">
        <v>413144</v>
      </c>
      <c r="H402">
        <v>15832080</v>
      </c>
    </row>
    <row r="403" s="4" customFormat="1" spans="1:8">
      <c r="A403">
        <v>402</v>
      </c>
      <c r="B403" s="4">
        <v>5</v>
      </c>
      <c r="C403" s="4">
        <v>77</v>
      </c>
      <c r="D403" s="5">
        <v>452535</v>
      </c>
      <c r="E403" s="4">
        <v>35820000</v>
      </c>
      <c r="F403" s="4">
        <v>417948</v>
      </c>
      <c r="H403">
        <v>16245224</v>
      </c>
    </row>
    <row r="404" s="4" customFormat="1" spans="1:8">
      <c r="A404">
        <v>403</v>
      </c>
      <c r="B404" s="4">
        <v>5</v>
      </c>
      <c r="C404" s="4">
        <v>78</v>
      </c>
      <c r="D404" s="5">
        <v>463104</v>
      </c>
      <c r="E404" s="4">
        <v>38220000</v>
      </c>
      <c r="F404" s="4">
        <v>422752</v>
      </c>
      <c r="H404">
        <v>16663172</v>
      </c>
    </row>
    <row r="405" s="4" customFormat="1" spans="1:8">
      <c r="A405">
        <v>404</v>
      </c>
      <c r="B405" s="4">
        <v>5</v>
      </c>
      <c r="C405" s="4">
        <v>79</v>
      </c>
      <c r="D405" s="5">
        <v>473793</v>
      </c>
      <c r="E405" s="4">
        <v>40620000</v>
      </c>
      <c r="F405" s="4">
        <v>427556</v>
      </c>
      <c r="H405">
        <v>17085924</v>
      </c>
    </row>
    <row r="406" s="4" customFormat="1" spans="1:8">
      <c r="A406">
        <v>405</v>
      </c>
      <c r="B406" s="4">
        <v>5</v>
      </c>
      <c r="C406" s="4">
        <v>80</v>
      </c>
      <c r="D406" s="5">
        <v>484602</v>
      </c>
      <c r="E406" s="4">
        <v>43020000</v>
      </c>
      <c r="F406" s="4">
        <v>432360</v>
      </c>
      <c r="G406" s="4">
        <v>1</v>
      </c>
      <c r="H406">
        <v>17513480</v>
      </c>
    </row>
    <row r="407" spans="1:6">
      <c r="A407">
        <v>406</v>
      </c>
      <c r="B407">
        <v>6</v>
      </c>
      <c r="C407">
        <v>0</v>
      </c>
      <c r="D407">
        <v>0</v>
      </c>
      <c r="E407">
        <v>540000</v>
      </c>
      <c r="F407">
        <v>5400</v>
      </c>
    </row>
    <row r="408" spans="1:8">
      <c r="A408">
        <v>407</v>
      </c>
      <c r="B408">
        <v>6</v>
      </c>
      <c r="C408">
        <v>1</v>
      </c>
      <c r="D408">
        <v>719</v>
      </c>
      <c r="E408">
        <v>648000</v>
      </c>
      <c r="F408">
        <v>10800</v>
      </c>
      <c r="H408">
        <v>5400</v>
      </c>
    </row>
    <row r="409" spans="1:8">
      <c r="A409">
        <v>408</v>
      </c>
      <c r="B409">
        <v>6</v>
      </c>
      <c r="C409">
        <v>2</v>
      </c>
      <c r="D409">
        <v>2160</v>
      </c>
      <c r="E409">
        <v>756000</v>
      </c>
      <c r="F409">
        <v>16200</v>
      </c>
      <c r="H409">
        <v>16200</v>
      </c>
    </row>
    <row r="410" spans="1:8">
      <c r="A410">
        <v>409</v>
      </c>
      <c r="B410">
        <v>6</v>
      </c>
      <c r="C410">
        <v>3</v>
      </c>
      <c r="D410">
        <v>3722</v>
      </c>
      <c r="E410">
        <v>864000</v>
      </c>
      <c r="F410">
        <v>21600</v>
      </c>
      <c r="H410">
        <v>32400</v>
      </c>
    </row>
    <row r="411" spans="1:8">
      <c r="A411">
        <v>410</v>
      </c>
      <c r="B411">
        <v>6</v>
      </c>
      <c r="C411">
        <v>4</v>
      </c>
      <c r="D411">
        <v>5403</v>
      </c>
      <c r="E411">
        <v>972000</v>
      </c>
      <c r="F411">
        <v>27000</v>
      </c>
      <c r="H411">
        <v>54000</v>
      </c>
    </row>
    <row r="412" spans="1:8">
      <c r="A412">
        <v>411</v>
      </c>
      <c r="B412">
        <v>6</v>
      </c>
      <c r="C412">
        <v>5</v>
      </c>
      <c r="D412">
        <v>7204</v>
      </c>
      <c r="E412">
        <v>1080000</v>
      </c>
      <c r="F412">
        <v>32400</v>
      </c>
      <c r="H412">
        <v>81000</v>
      </c>
    </row>
    <row r="413" spans="1:8">
      <c r="A413">
        <v>412</v>
      </c>
      <c r="B413">
        <v>6</v>
      </c>
      <c r="C413">
        <v>6</v>
      </c>
      <c r="D413">
        <v>9126</v>
      </c>
      <c r="E413">
        <v>1188000</v>
      </c>
      <c r="F413">
        <v>37800</v>
      </c>
      <c r="H413">
        <v>113400</v>
      </c>
    </row>
    <row r="414" spans="1:8">
      <c r="A414">
        <v>413</v>
      </c>
      <c r="B414">
        <v>6</v>
      </c>
      <c r="C414">
        <v>7</v>
      </c>
      <c r="D414">
        <v>11168</v>
      </c>
      <c r="E414">
        <v>1296000</v>
      </c>
      <c r="F414">
        <v>43200</v>
      </c>
      <c r="H414">
        <v>151200</v>
      </c>
    </row>
    <row r="415" spans="1:8">
      <c r="A415">
        <v>414</v>
      </c>
      <c r="B415">
        <v>6</v>
      </c>
      <c r="C415">
        <v>8</v>
      </c>
      <c r="D415">
        <v>13330</v>
      </c>
      <c r="E415">
        <v>1404000</v>
      </c>
      <c r="F415">
        <v>48600</v>
      </c>
      <c r="H415">
        <v>194400</v>
      </c>
    </row>
    <row r="416" spans="1:8">
      <c r="A416">
        <v>415</v>
      </c>
      <c r="B416">
        <v>6</v>
      </c>
      <c r="C416">
        <v>9</v>
      </c>
      <c r="D416">
        <v>15611</v>
      </c>
      <c r="E416">
        <v>1512000</v>
      </c>
      <c r="F416">
        <v>54000</v>
      </c>
      <c r="H416">
        <v>243000</v>
      </c>
    </row>
    <row r="417" spans="1:8">
      <c r="A417">
        <v>416</v>
      </c>
      <c r="B417">
        <v>6</v>
      </c>
      <c r="C417">
        <v>10</v>
      </c>
      <c r="D417">
        <v>18013</v>
      </c>
      <c r="E417">
        <v>1620000</v>
      </c>
      <c r="F417">
        <v>59400</v>
      </c>
      <c r="H417">
        <v>297000</v>
      </c>
    </row>
    <row r="418" spans="1:8">
      <c r="A418">
        <v>417</v>
      </c>
      <c r="B418">
        <v>6</v>
      </c>
      <c r="C418">
        <v>11</v>
      </c>
      <c r="D418">
        <v>20536</v>
      </c>
      <c r="E418">
        <v>1728000</v>
      </c>
      <c r="F418">
        <v>64800</v>
      </c>
      <c r="H418">
        <v>356400</v>
      </c>
    </row>
    <row r="419" spans="1:8">
      <c r="A419">
        <v>418</v>
      </c>
      <c r="B419">
        <v>6</v>
      </c>
      <c r="C419">
        <v>12</v>
      </c>
      <c r="D419">
        <v>23178</v>
      </c>
      <c r="E419">
        <v>1836000</v>
      </c>
      <c r="F419">
        <v>70200</v>
      </c>
      <c r="H419">
        <v>421200</v>
      </c>
    </row>
    <row r="420" spans="1:8">
      <c r="A420">
        <v>419</v>
      </c>
      <c r="B420">
        <v>6</v>
      </c>
      <c r="C420">
        <v>13</v>
      </c>
      <c r="D420">
        <v>25940</v>
      </c>
      <c r="E420">
        <v>1944000</v>
      </c>
      <c r="F420">
        <v>75600</v>
      </c>
      <c r="H420">
        <v>491400</v>
      </c>
    </row>
    <row r="421" spans="1:8">
      <c r="A421">
        <v>420</v>
      </c>
      <c r="B421">
        <v>6</v>
      </c>
      <c r="C421">
        <v>14</v>
      </c>
      <c r="D421">
        <v>28822</v>
      </c>
      <c r="E421">
        <v>2052000</v>
      </c>
      <c r="F421">
        <v>81000</v>
      </c>
      <c r="H421">
        <v>567000</v>
      </c>
    </row>
    <row r="422" spans="1:8">
      <c r="A422">
        <v>421</v>
      </c>
      <c r="B422">
        <v>6</v>
      </c>
      <c r="C422">
        <v>15</v>
      </c>
      <c r="D422">
        <v>31825</v>
      </c>
      <c r="E422">
        <v>2160000</v>
      </c>
      <c r="F422">
        <v>86400</v>
      </c>
      <c r="H422">
        <v>648000</v>
      </c>
    </row>
    <row r="423" spans="1:8">
      <c r="A423">
        <v>422</v>
      </c>
      <c r="B423">
        <v>6</v>
      </c>
      <c r="C423">
        <v>16</v>
      </c>
      <c r="D423">
        <v>34948</v>
      </c>
      <c r="E423">
        <v>2268000</v>
      </c>
      <c r="F423">
        <v>91800</v>
      </c>
      <c r="H423">
        <v>734400</v>
      </c>
    </row>
    <row r="424" spans="1:8">
      <c r="A424">
        <v>423</v>
      </c>
      <c r="B424">
        <v>6</v>
      </c>
      <c r="C424">
        <v>17</v>
      </c>
      <c r="D424">
        <v>38190</v>
      </c>
      <c r="E424">
        <v>2376000</v>
      </c>
      <c r="F424">
        <v>97200</v>
      </c>
      <c r="H424">
        <v>826200</v>
      </c>
    </row>
    <row r="425" spans="1:8">
      <c r="A425">
        <v>424</v>
      </c>
      <c r="B425">
        <v>6</v>
      </c>
      <c r="C425">
        <v>18</v>
      </c>
      <c r="D425">
        <v>41553</v>
      </c>
      <c r="E425">
        <v>2484000</v>
      </c>
      <c r="F425">
        <v>102600</v>
      </c>
      <c r="H425">
        <v>923400</v>
      </c>
    </row>
    <row r="426" spans="1:8">
      <c r="A426">
        <v>425</v>
      </c>
      <c r="B426">
        <v>6</v>
      </c>
      <c r="C426">
        <v>19</v>
      </c>
      <c r="D426">
        <v>45036</v>
      </c>
      <c r="E426">
        <v>2592000</v>
      </c>
      <c r="F426">
        <v>108000</v>
      </c>
      <c r="H426">
        <v>1026000</v>
      </c>
    </row>
    <row r="427" spans="1:8">
      <c r="A427">
        <v>426</v>
      </c>
      <c r="B427">
        <v>6</v>
      </c>
      <c r="C427">
        <v>20</v>
      </c>
      <c r="D427">
        <v>48639</v>
      </c>
      <c r="E427">
        <v>2700000</v>
      </c>
      <c r="F427">
        <v>113400</v>
      </c>
      <c r="H427">
        <v>1134000</v>
      </c>
    </row>
    <row r="428" spans="1:8">
      <c r="A428">
        <v>427</v>
      </c>
      <c r="B428">
        <v>6</v>
      </c>
      <c r="C428">
        <v>21</v>
      </c>
      <c r="D428">
        <v>52362</v>
      </c>
      <c r="E428">
        <v>2808000</v>
      </c>
      <c r="F428">
        <v>118800</v>
      </c>
      <c r="H428">
        <v>1247400</v>
      </c>
    </row>
    <row r="429" spans="1:8">
      <c r="A429">
        <v>428</v>
      </c>
      <c r="B429">
        <v>6</v>
      </c>
      <c r="C429">
        <v>22</v>
      </c>
      <c r="D429">
        <v>56205</v>
      </c>
      <c r="E429">
        <v>2916000</v>
      </c>
      <c r="F429">
        <v>124200</v>
      </c>
      <c r="H429">
        <v>1366200</v>
      </c>
    </row>
    <row r="430" spans="1:8">
      <c r="A430">
        <v>429</v>
      </c>
      <c r="B430">
        <v>6</v>
      </c>
      <c r="C430">
        <v>23</v>
      </c>
      <c r="D430">
        <v>60169</v>
      </c>
      <c r="E430">
        <v>3024000</v>
      </c>
      <c r="F430">
        <v>129600</v>
      </c>
      <c r="H430">
        <v>1490400</v>
      </c>
    </row>
    <row r="431" spans="1:8">
      <c r="A431">
        <v>430</v>
      </c>
      <c r="B431">
        <v>6</v>
      </c>
      <c r="C431">
        <v>24</v>
      </c>
      <c r="D431">
        <v>64252</v>
      </c>
      <c r="E431">
        <v>3132000</v>
      </c>
      <c r="F431">
        <v>135000</v>
      </c>
      <c r="H431">
        <v>1620000</v>
      </c>
    </row>
    <row r="432" spans="1:8">
      <c r="A432">
        <v>431</v>
      </c>
      <c r="B432">
        <v>6</v>
      </c>
      <c r="C432">
        <v>25</v>
      </c>
      <c r="D432">
        <v>68455</v>
      </c>
      <c r="E432">
        <v>3240000</v>
      </c>
      <c r="F432">
        <v>140400</v>
      </c>
      <c r="H432">
        <v>1755000</v>
      </c>
    </row>
    <row r="433" spans="1:8">
      <c r="A433">
        <v>432</v>
      </c>
      <c r="B433">
        <v>6</v>
      </c>
      <c r="C433">
        <v>26</v>
      </c>
      <c r="D433">
        <v>72779</v>
      </c>
      <c r="E433">
        <v>3348000</v>
      </c>
      <c r="F433">
        <v>145800</v>
      </c>
      <c r="H433">
        <v>1895400</v>
      </c>
    </row>
    <row r="434" spans="1:8">
      <c r="A434">
        <v>433</v>
      </c>
      <c r="B434">
        <v>6</v>
      </c>
      <c r="C434">
        <v>27</v>
      </c>
      <c r="D434">
        <v>77223</v>
      </c>
      <c r="E434">
        <v>3456000</v>
      </c>
      <c r="F434">
        <v>151200</v>
      </c>
      <c r="H434">
        <v>2041200</v>
      </c>
    </row>
    <row r="435" spans="1:8">
      <c r="A435">
        <v>434</v>
      </c>
      <c r="B435">
        <v>6</v>
      </c>
      <c r="C435">
        <v>28</v>
      </c>
      <c r="D435">
        <v>81787</v>
      </c>
      <c r="E435">
        <v>3564000</v>
      </c>
      <c r="F435">
        <v>156600</v>
      </c>
      <c r="H435">
        <v>2192400</v>
      </c>
    </row>
    <row r="436" spans="1:8">
      <c r="A436">
        <v>435</v>
      </c>
      <c r="B436">
        <v>6</v>
      </c>
      <c r="C436">
        <v>29</v>
      </c>
      <c r="D436">
        <v>86470</v>
      </c>
      <c r="E436">
        <v>3672000</v>
      </c>
      <c r="F436">
        <v>162000</v>
      </c>
      <c r="H436">
        <v>2349000</v>
      </c>
    </row>
    <row r="437" spans="1:8">
      <c r="A437">
        <v>436</v>
      </c>
      <c r="B437">
        <v>6</v>
      </c>
      <c r="C437">
        <v>30</v>
      </c>
      <c r="D437">
        <v>91274</v>
      </c>
      <c r="E437">
        <v>3780000</v>
      </c>
      <c r="F437">
        <v>167400</v>
      </c>
      <c r="H437">
        <v>2511000</v>
      </c>
    </row>
    <row r="438" spans="1:8">
      <c r="A438">
        <v>437</v>
      </c>
      <c r="B438">
        <v>6</v>
      </c>
      <c r="C438">
        <v>31</v>
      </c>
      <c r="D438">
        <v>96199</v>
      </c>
      <c r="E438">
        <v>3888000</v>
      </c>
      <c r="F438">
        <v>172800</v>
      </c>
      <c r="H438">
        <v>2678400</v>
      </c>
    </row>
    <row r="439" spans="1:8">
      <c r="A439">
        <v>438</v>
      </c>
      <c r="B439">
        <v>6</v>
      </c>
      <c r="C439">
        <v>32</v>
      </c>
      <c r="D439">
        <v>101243</v>
      </c>
      <c r="E439">
        <v>3996000</v>
      </c>
      <c r="F439">
        <v>178200</v>
      </c>
      <c r="H439">
        <v>2851200</v>
      </c>
    </row>
    <row r="440" spans="1:8">
      <c r="A440">
        <v>439</v>
      </c>
      <c r="B440">
        <v>6</v>
      </c>
      <c r="C440">
        <v>33</v>
      </c>
      <c r="D440">
        <v>106407</v>
      </c>
      <c r="E440">
        <v>4104000</v>
      </c>
      <c r="F440">
        <v>183600</v>
      </c>
      <c r="H440">
        <v>3029400</v>
      </c>
    </row>
    <row r="441" spans="1:8">
      <c r="A441">
        <v>440</v>
      </c>
      <c r="B441">
        <v>6</v>
      </c>
      <c r="C441">
        <v>34</v>
      </c>
      <c r="D441">
        <v>111691</v>
      </c>
      <c r="E441">
        <v>4212000</v>
      </c>
      <c r="F441">
        <v>189000</v>
      </c>
      <c r="H441">
        <v>3213000</v>
      </c>
    </row>
    <row r="442" spans="1:8">
      <c r="A442">
        <v>441</v>
      </c>
      <c r="B442">
        <v>6</v>
      </c>
      <c r="C442">
        <v>35</v>
      </c>
      <c r="D442">
        <v>117096</v>
      </c>
      <c r="E442">
        <v>4320000</v>
      </c>
      <c r="F442">
        <v>194400</v>
      </c>
      <c r="H442">
        <v>3402000</v>
      </c>
    </row>
    <row r="443" spans="1:8">
      <c r="A443">
        <v>442</v>
      </c>
      <c r="B443">
        <v>6</v>
      </c>
      <c r="C443">
        <v>36</v>
      </c>
      <c r="D443">
        <v>122621</v>
      </c>
      <c r="E443">
        <v>4428000</v>
      </c>
      <c r="F443">
        <v>199800</v>
      </c>
      <c r="H443">
        <v>3596400</v>
      </c>
    </row>
    <row r="444" spans="1:8">
      <c r="A444">
        <v>443</v>
      </c>
      <c r="B444">
        <v>6</v>
      </c>
      <c r="C444">
        <v>37</v>
      </c>
      <c r="D444">
        <v>128265</v>
      </c>
      <c r="E444">
        <v>4536000</v>
      </c>
      <c r="F444">
        <v>205200</v>
      </c>
      <c r="H444">
        <v>3796200</v>
      </c>
    </row>
    <row r="445" spans="1:8">
      <c r="A445">
        <v>444</v>
      </c>
      <c r="B445">
        <v>6</v>
      </c>
      <c r="C445">
        <v>38</v>
      </c>
      <c r="D445">
        <v>134030</v>
      </c>
      <c r="E445">
        <v>4644000</v>
      </c>
      <c r="F445">
        <v>210600</v>
      </c>
      <c r="H445">
        <v>4001400</v>
      </c>
    </row>
    <row r="446" spans="1:8">
      <c r="A446">
        <v>445</v>
      </c>
      <c r="B446">
        <v>6</v>
      </c>
      <c r="C446">
        <v>39</v>
      </c>
      <c r="D446">
        <v>139915</v>
      </c>
      <c r="E446">
        <v>4752000</v>
      </c>
      <c r="F446">
        <v>216000</v>
      </c>
      <c r="H446">
        <v>4212000</v>
      </c>
    </row>
    <row r="447" spans="1:8">
      <c r="A447">
        <v>446</v>
      </c>
      <c r="B447">
        <v>6</v>
      </c>
      <c r="C447">
        <v>40</v>
      </c>
      <c r="D447">
        <v>145920</v>
      </c>
      <c r="E447">
        <v>4860000</v>
      </c>
      <c r="F447">
        <v>221400</v>
      </c>
      <c r="H447">
        <v>4428000</v>
      </c>
    </row>
    <row r="448" spans="1:8">
      <c r="A448">
        <v>447</v>
      </c>
      <c r="B448">
        <v>6</v>
      </c>
      <c r="C448">
        <v>41</v>
      </c>
      <c r="D448">
        <v>152045</v>
      </c>
      <c r="E448">
        <v>4968000</v>
      </c>
      <c r="F448">
        <v>226800</v>
      </c>
      <c r="H448">
        <v>4649400</v>
      </c>
    </row>
    <row r="449" spans="1:8">
      <c r="A449">
        <v>448</v>
      </c>
      <c r="B449">
        <v>6</v>
      </c>
      <c r="C449">
        <v>42</v>
      </c>
      <c r="D449">
        <v>158290</v>
      </c>
      <c r="E449">
        <v>5076000</v>
      </c>
      <c r="F449">
        <v>232200</v>
      </c>
      <c r="H449">
        <v>4876200</v>
      </c>
    </row>
    <row r="450" spans="1:8">
      <c r="A450">
        <v>449</v>
      </c>
      <c r="B450">
        <v>6</v>
      </c>
      <c r="C450">
        <v>43</v>
      </c>
      <c r="D450">
        <v>164656</v>
      </c>
      <c r="E450">
        <v>5184000</v>
      </c>
      <c r="F450">
        <v>237600</v>
      </c>
      <c r="H450">
        <v>5108400</v>
      </c>
    </row>
    <row r="451" spans="1:8">
      <c r="A451">
        <v>450</v>
      </c>
      <c r="B451">
        <v>6</v>
      </c>
      <c r="C451">
        <v>44</v>
      </c>
      <c r="D451">
        <v>171141</v>
      </c>
      <c r="E451">
        <v>5292000</v>
      </c>
      <c r="F451">
        <v>243000</v>
      </c>
      <c r="H451">
        <v>5346000</v>
      </c>
    </row>
    <row r="452" spans="1:8">
      <c r="A452">
        <v>451</v>
      </c>
      <c r="B452">
        <v>6</v>
      </c>
      <c r="C452">
        <v>45</v>
      </c>
      <c r="D452">
        <v>177746</v>
      </c>
      <c r="E452">
        <v>5400000</v>
      </c>
      <c r="F452">
        <v>248400</v>
      </c>
      <c r="H452">
        <v>5589000</v>
      </c>
    </row>
    <row r="453" spans="1:8">
      <c r="A453">
        <v>452</v>
      </c>
      <c r="B453">
        <v>6</v>
      </c>
      <c r="C453">
        <v>46</v>
      </c>
      <c r="D453">
        <v>184472</v>
      </c>
      <c r="E453">
        <v>5508000</v>
      </c>
      <c r="F453">
        <v>253800</v>
      </c>
      <c r="H453">
        <v>5837400</v>
      </c>
    </row>
    <row r="454" spans="1:8">
      <c r="A454">
        <v>453</v>
      </c>
      <c r="B454">
        <v>6</v>
      </c>
      <c r="C454">
        <v>47</v>
      </c>
      <c r="D454">
        <v>191318</v>
      </c>
      <c r="E454">
        <v>5616000</v>
      </c>
      <c r="F454">
        <v>259200</v>
      </c>
      <c r="H454">
        <v>6091200</v>
      </c>
    </row>
    <row r="455" spans="1:8">
      <c r="A455">
        <v>454</v>
      </c>
      <c r="B455">
        <v>6</v>
      </c>
      <c r="C455">
        <v>48</v>
      </c>
      <c r="D455">
        <v>198284</v>
      </c>
      <c r="E455">
        <v>5724000</v>
      </c>
      <c r="F455">
        <v>264600</v>
      </c>
      <c r="H455">
        <v>6350400</v>
      </c>
    </row>
    <row r="456" spans="1:8">
      <c r="A456">
        <v>455</v>
      </c>
      <c r="B456">
        <v>6</v>
      </c>
      <c r="C456">
        <v>49</v>
      </c>
      <c r="D456">
        <v>205369</v>
      </c>
      <c r="E456">
        <v>5832000</v>
      </c>
      <c r="F456">
        <v>270000</v>
      </c>
      <c r="H456">
        <v>6615000</v>
      </c>
    </row>
    <row r="457" spans="1:8">
      <c r="A457">
        <v>456</v>
      </c>
      <c r="B457">
        <v>6</v>
      </c>
      <c r="C457">
        <v>50</v>
      </c>
      <c r="D457">
        <v>212575</v>
      </c>
      <c r="E457">
        <v>5940000</v>
      </c>
      <c r="F457">
        <v>275400</v>
      </c>
      <c r="H457">
        <v>6885000</v>
      </c>
    </row>
    <row r="458" spans="1:8">
      <c r="A458">
        <v>457</v>
      </c>
      <c r="B458">
        <v>6</v>
      </c>
      <c r="C458">
        <v>51</v>
      </c>
      <c r="D458">
        <v>219902</v>
      </c>
      <c r="E458">
        <v>6048000</v>
      </c>
      <c r="F458">
        <v>280800</v>
      </c>
      <c r="H458">
        <v>7160400</v>
      </c>
    </row>
    <row r="459" spans="1:8">
      <c r="A459">
        <v>458</v>
      </c>
      <c r="B459">
        <v>6</v>
      </c>
      <c r="C459">
        <v>52</v>
      </c>
      <c r="D459">
        <v>227348</v>
      </c>
      <c r="E459">
        <v>6156000</v>
      </c>
      <c r="F459">
        <v>286200</v>
      </c>
      <c r="H459">
        <v>7441200</v>
      </c>
    </row>
    <row r="460" spans="1:8">
      <c r="A460">
        <v>459</v>
      </c>
      <c r="B460">
        <v>6</v>
      </c>
      <c r="C460">
        <v>53</v>
      </c>
      <c r="D460">
        <v>234914</v>
      </c>
      <c r="E460">
        <v>6264000</v>
      </c>
      <c r="F460">
        <v>291600</v>
      </c>
      <c r="H460">
        <v>7727400</v>
      </c>
    </row>
    <row r="461" spans="1:8">
      <c r="A461">
        <v>460</v>
      </c>
      <c r="B461">
        <v>6</v>
      </c>
      <c r="C461">
        <v>54</v>
      </c>
      <c r="D461">
        <v>242600</v>
      </c>
      <c r="E461">
        <v>6372000</v>
      </c>
      <c r="F461">
        <v>297000</v>
      </c>
      <c r="H461">
        <v>8019000</v>
      </c>
    </row>
    <row r="462" spans="1:8">
      <c r="A462">
        <v>461</v>
      </c>
      <c r="B462">
        <v>6</v>
      </c>
      <c r="C462">
        <v>55</v>
      </c>
      <c r="D462">
        <v>250407</v>
      </c>
      <c r="E462">
        <v>6480000</v>
      </c>
      <c r="F462">
        <v>302400</v>
      </c>
      <c r="H462">
        <v>8316000</v>
      </c>
    </row>
    <row r="463" spans="1:8">
      <c r="A463">
        <v>462</v>
      </c>
      <c r="B463">
        <v>6</v>
      </c>
      <c r="C463">
        <v>56</v>
      </c>
      <c r="D463">
        <v>258334</v>
      </c>
      <c r="E463">
        <v>6588000</v>
      </c>
      <c r="F463">
        <v>307800</v>
      </c>
      <c r="H463">
        <v>8618400</v>
      </c>
    </row>
    <row r="464" spans="1:8">
      <c r="A464">
        <v>463</v>
      </c>
      <c r="B464">
        <v>6</v>
      </c>
      <c r="C464">
        <v>57</v>
      </c>
      <c r="D464">
        <v>266380</v>
      </c>
      <c r="E464">
        <v>6696000</v>
      </c>
      <c r="F464">
        <v>313200</v>
      </c>
      <c r="H464">
        <v>8926200</v>
      </c>
    </row>
    <row r="465" spans="1:8">
      <c r="A465">
        <v>464</v>
      </c>
      <c r="B465">
        <v>6</v>
      </c>
      <c r="C465">
        <v>58</v>
      </c>
      <c r="D465">
        <v>274547</v>
      </c>
      <c r="E465">
        <v>6804000</v>
      </c>
      <c r="F465">
        <v>318600</v>
      </c>
      <c r="H465">
        <v>9239400</v>
      </c>
    </row>
    <row r="466" spans="1:8">
      <c r="A466">
        <v>465</v>
      </c>
      <c r="B466">
        <v>6</v>
      </c>
      <c r="C466">
        <v>59</v>
      </c>
      <c r="D466">
        <v>282834</v>
      </c>
      <c r="E466">
        <v>6912000</v>
      </c>
      <c r="F466">
        <v>324000</v>
      </c>
      <c r="H466">
        <v>9558000</v>
      </c>
    </row>
    <row r="467" spans="1:8">
      <c r="A467">
        <v>466</v>
      </c>
      <c r="B467">
        <v>6</v>
      </c>
      <c r="C467">
        <v>60</v>
      </c>
      <c r="D467">
        <v>291241</v>
      </c>
      <c r="E467">
        <v>7020000</v>
      </c>
      <c r="F467">
        <v>329400</v>
      </c>
      <c r="H467">
        <v>9882000</v>
      </c>
    </row>
    <row r="468" spans="1:8">
      <c r="A468">
        <v>467</v>
      </c>
      <c r="B468">
        <v>6</v>
      </c>
      <c r="C468" s="4">
        <v>61</v>
      </c>
      <c r="D468" s="5">
        <v>299768</v>
      </c>
      <c r="E468" s="4">
        <v>8220000</v>
      </c>
      <c r="F468" s="4">
        <v>341084</v>
      </c>
      <c r="G468" s="4"/>
      <c r="H468">
        <v>10211400</v>
      </c>
    </row>
    <row r="469" spans="1:8">
      <c r="A469">
        <v>468</v>
      </c>
      <c r="B469">
        <v>6</v>
      </c>
      <c r="C469" s="4">
        <v>62</v>
      </c>
      <c r="D469" s="5">
        <v>308415</v>
      </c>
      <c r="E469" s="4">
        <v>9420000</v>
      </c>
      <c r="F469" s="4">
        <v>345888</v>
      </c>
      <c r="G469" s="4"/>
      <c r="H469">
        <v>10552484</v>
      </c>
    </row>
    <row r="470" spans="1:8">
      <c r="A470">
        <v>469</v>
      </c>
      <c r="B470">
        <v>6</v>
      </c>
      <c r="C470" s="4">
        <v>63</v>
      </c>
      <c r="D470" s="5">
        <v>317183</v>
      </c>
      <c r="E470" s="4">
        <v>10620000</v>
      </c>
      <c r="F470" s="4">
        <v>350692</v>
      </c>
      <c r="G470" s="4"/>
      <c r="H470">
        <v>10898372</v>
      </c>
    </row>
    <row r="471" spans="1:8">
      <c r="A471">
        <v>470</v>
      </c>
      <c r="B471">
        <v>6</v>
      </c>
      <c r="C471" s="4">
        <v>64</v>
      </c>
      <c r="D471" s="5">
        <v>326070</v>
      </c>
      <c r="E471" s="4">
        <v>11820000</v>
      </c>
      <c r="F471" s="4">
        <v>355496</v>
      </c>
      <c r="G471" s="4"/>
      <c r="H471">
        <v>11249064</v>
      </c>
    </row>
    <row r="472" spans="1:8">
      <c r="A472">
        <v>471</v>
      </c>
      <c r="B472">
        <v>6</v>
      </c>
      <c r="C472" s="4">
        <v>65</v>
      </c>
      <c r="D472" s="5">
        <v>335077</v>
      </c>
      <c r="E472" s="4">
        <v>13020000</v>
      </c>
      <c r="F472" s="4">
        <v>360300</v>
      </c>
      <c r="G472" s="4"/>
      <c r="H472">
        <v>11604560</v>
      </c>
    </row>
    <row r="473" spans="1:8">
      <c r="A473">
        <v>472</v>
      </c>
      <c r="B473">
        <v>6</v>
      </c>
      <c r="C473" s="4">
        <v>66</v>
      </c>
      <c r="D473" s="5">
        <v>344205</v>
      </c>
      <c r="E473" s="4">
        <v>14620000</v>
      </c>
      <c r="F473" s="4">
        <v>365104</v>
      </c>
      <c r="G473" s="4"/>
      <c r="H473">
        <v>11964860</v>
      </c>
    </row>
    <row r="474" spans="1:8">
      <c r="A474">
        <v>473</v>
      </c>
      <c r="B474">
        <v>6</v>
      </c>
      <c r="C474" s="4">
        <v>67</v>
      </c>
      <c r="D474" s="5">
        <v>353453</v>
      </c>
      <c r="E474" s="4">
        <v>16220000</v>
      </c>
      <c r="F474" s="4">
        <v>369908</v>
      </c>
      <c r="G474" s="4"/>
      <c r="H474">
        <v>12329964</v>
      </c>
    </row>
    <row r="475" spans="1:8">
      <c r="A475">
        <v>474</v>
      </c>
      <c r="B475">
        <v>6</v>
      </c>
      <c r="C475" s="4">
        <v>68</v>
      </c>
      <c r="D475" s="5">
        <v>362821</v>
      </c>
      <c r="E475" s="4">
        <v>17820000</v>
      </c>
      <c r="F475" s="4">
        <v>374712</v>
      </c>
      <c r="G475" s="4"/>
      <c r="H475">
        <v>12699872</v>
      </c>
    </row>
    <row r="476" spans="1:8">
      <c r="A476">
        <v>475</v>
      </c>
      <c r="B476">
        <v>6</v>
      </c>
      <c r="C476" s="4">
        <v>69</v>
      </c>
      <c r="D476" s="5">
        <v>372308</v>
      </c>
      <c r="E476" s="4">
        <v>19420000</v>
      </c>
      <c r="F476" s="4">
        <v>379516</v>
      </c>
      <c r="G476" s="4"/>
      <c r="H476">
        <v>13074584</v>
      </c>
    </row>
    <row r="477" spans="1:8">
      <c r="A477">
        <v>476</v>
      </c>
      <c r="B477">
        <v>6</v>
      </c>
      <c r="C477" s="4">
        <v>70</v>
      </c>
      <c r="D477" s="5">
        <v>381916</v>
      </c>
      <c r="E477" s="4">
        <v>21020000</v>
      </c>
      <c r="F477" s="4">
        <v>384320</v>
      </c>
      <c r="G477" s="4"/>
      <c r="H477">
        <v>13454100</v>
      </c>
    </row>
    <row r="478" spans="1:8">
      <c r="A478">
        <v>477</v>
      </c>
      <c r="B478">
        <v>6</v>
      </c>
      <c r="C478" s="4">
        <v>71</v>
      </c>
      <c r="D478" s="5">
        <v>391645</v>
      </c>
      <c r="E478" s="4">
        <v>23020000</v>
      </c>
      <c r="F478" s="4">
        <v>389124</v>
      </c>
      <c r="G478" s="4"/>
      <c r="H478">
        <v>13838420</v>
      </c>
    </row>
    <row r="479" spans="1:8">
      <c r="A479">
        <v>478</v>
      </c>
      <c r="B479">
        <v>6</v>
      </c>
      <c r="C479" s="4">
        <v>72</v>
      </c>
      <c r="D479" s="5">
        <v>401493</v>
      </c>
      <c r="E479" s="4">
        <v>25020000</v>
      </c>
      <c r="F479" s="4">
        <v>393928</v>
      </c>
      <c r="G479" s="4"/>
      <c r="H479">
        <v>14227544</v>
      </c>
    </row>
    <row r="480" spans="1:8">
      <c r="A480">
        <v>479</v>
      </c>
      <c r="B480">
        <v>6</v>
      </c>
      <c r="C480" s="4">
        <v>73</v>
      </c>
      <c r="D480" s="5">
        <v>411461</v>
      </c>
      <c r="E480" s="4">
        <v>27020000</v>
      </c>
      <c r="F480" s="4">
        <v>398732</v>
      </c>
      <c r="G480" s="4"/>
      <c r="H480">
        <v>14621472</v>
      </c>
    </row>
    <row r="481" spans="1:8">
      <c r="A481">
        <v>480</v>
      </c>
      <c r="B481">
        <v>6</v>
      </c>
      <c r="C481" s="4">
        <v>74</v>
      </c>
      <c r="D481" s="5">
        <v>421549</v>
      </c>
      <c r="E481" s="4">
        <v>29020000</v>
      </c>
      <c r="F481" s="4">
        <v>403536</v>
      </c>
      <c r="G481" s="4"/>
      <c r="H481">
        <v>15020204</v>
      </c>
    </row>
    <row r="482" spans="1:8">
      <c r="A482">
        <v>481</v>
      </c>
      <c r="B482">
        <v>6</v>
      </c>
      <c r="C482" s="4">
        <v>75</v>
      </c>
      <c r="D482" s="5">
        <v>431758</v>
      </c>
      <c r="E482" s="4">
        <v>31020000</v>
      </c>
      <c r="F482" s="4">
        <v>408340</v>
      </c>
      <c r="G482" s="4"/>
      <c r="H482">
        <v>15423740</v>
      </c>
    </row>
    <row r="483" spans="1:8">
      <c r="A483">
        <v>482</v>
      </c>
      <c r="B483">
        <v>6</v>
      </c>
      <c r="C483" s="4">
        <v>76</v>
      </c>
      <c r="D483" s="5">
        <v>442087</v>
      </c>
      <c r="E483" s="4">
        <v>33420000</v>
      </c>
      <c r="F483" s="4">
        <v>413144</v>
      </c>
      <c r="G483" s="4"/>
      <c r="H483">
        <v>15832080</v>
      </c>
    </row>
    <row r="484" spans="1:8">
      <c r="A484">
        <v>483</v>
      </c>
      <c r="B484">
        <v>6</v>
      </c>
      <c r="C484" s="4">
        <v>77</v>
      </c>
      <c r="D484" s="5">
        <v>452535</v>
      </c>
      <c r="E484" s="4">
        <v>35820000</v>
      </c>
      <c r="F484" s="4">
        <v>417948</v>
      </c>
      <c r="G484" s="4"/>
      <c r="H484">
        <v>16245224</v>
      </c>
    </row>
    <row r="485" spans="1:8">
      <c r="A485">
        <v>484</v>
      </c>
      <c r="B485">
        <v>6</v>
      </c>
      <c r="C485" s="4">
        <v>78</v>
      </c>
      <c r="D485" s="5">
        <v>463104</v>
      </c>
      <c r="E485" s="4">
        <v>38220000</v>
      </c>
      <c r="F485" s="4">
        <v>422752</v>
      </c>
      <c r="G485" s="4"/>
      <c r="H485">
        <v>16663172</v>
      </c>
    </row>
    <row r="486" spans="1:8">
      <c r="A486">
        <v>485</v>
      </c>
      <c r="B486">
        <v>6</v>
      </c>
      <c r="C486" s="4">
        <v>79</v>
      </c>
      <c r="D486" s="5">
        <v>473793</v>
      </c>
      <c r="E486" s="4">
        <v>40620000</v>
      </c>
      <c r="F486" s="4">
        <v>427556</v>
      </c>
      <c r="G486" s="4"/>
      <c r="H486">
        <v>17085924</v>
      </c>
    </row>
    <row r="487" spans="1:8">
      <c r="A487">
        <v>486</v>
      </c>
      <c r="B487">
        <v>6</v>
      </c>
      <c r="C487" s="4">
        <v>80</v>
      </c>
      <c r="D487" s="5">
        <v>484602</v>
      </c>
      <c r="E487" s="4">
        <v>43020000</v>
      </c>
      <c r="F487" s="4">
        <v>432360</v>
      </c>
      <c r="G487" s="4">
        <v>1</v>
      </c>
      <c r="H487">
        <v>17513480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topLeftCell="A78" workbookViewId="0">
      <selection activeCell="J105" sqref="J105"/>
    </sheetView>
  </sheetViews>
  <sheetFormatPr defaultColWidth="9" defaultRowHeight="15" outlineLevelCol="2"/>
  <cols>
    <col min="2" max="3" width="18.1238095238095" customWidth="1"/>
  </cols>
  <sheetData>
    <row r="1" spans="1:3">
      <c r="A1" t="s">
        <v>220</v>
      </c>
      <c r="B1" t="s">
        <v>444</v>
      </c>
      <c r="C1" s="3" t="s">
        <v>445</v>
      </c>
    </row>
    <row r="2" spans="1:3">
      <c r="A2">
        <v>1</v>
      </c>
      <c r="B2">
        <v>10</v>
      </c>
      <c r="C2" t="s">
        <v>446</v>
      </c>
    </row>
    <row r="3" spans="1:3">
      <c r="A3">
        <v>2</v>
      </c>
      <c r="B3">
        <v>15</v>
      </c>
      <c r="C3" t="s">
        <v>447</v>
      </c>
    </row>
    <row r="4" spans="1:3">
      <c r="A4">
        <v>3</v>
      </c>
      <c r="B4">
        <v>20</v>
      </c>
      <c r="C4" t="s">
        <v>448</v>
      </c>
    </row>
    <row r="5" spans="1:2">
      <c r="A5">
        <v>4</v>
      </c>
      <c r="B5">
        <v>25</v>
      </c>
    </row>
    <row r="6" spans="1:2">
      <c r="A6">
        <v>5</v>
      </c>
      <c r="B6">
        <v>30</v>
      </c>
    </row>
    <row r="7" spans="1:2">
      <c r="A7">
        <v>6</v>
      </c>
      <c r="B7">
        <v>38</v>
      </c>
    </row>
    <row r="8" spans="1:2">
      <c r="A8">
        <v>7</v>
      </c>
      <c r="B8">
        <v>46</v>
      </c>
    </row>
    <row r="9" spans="1:2">
      <c r="A9">
        <v>8</v>
      </c>
      <c r="B9">
        <v>54</v>
      </c>
    </row>
    <row r="10" spans="1:2">
      <c r="A10">
        <v>9</v>
      </c>
      <c r="B10">
        <v>62</v>
      </c>
    </row>
    <row r="11" spans="1:2">
      <c r="A11">
        <v>10</v>
      </c>
      <c r="B11">
        <v>70</v>
      </c>
    </row>
    <row r="12" spans="1:2">
      <c r="A12">
        <v>11</v>
      </c>
      <c r="B12">
        <v>80</v>
      </c>
    </row>
    <row r="13" spans="1:2">
      <c r="A13">
        <v>12</v>
      </c>
      <c r="B13">
        <v>90</v>
      </c>
    </row>
    <row r="14" spans="1:2">
      <c r="A14">
        <v>13</v>
      </c>
      <c r="B14">
        <v>100</v>
      </c>
    </row>
    <row r="15" spans="1:2">
      <c r="A15">
        <v>14</v>
      </c>
      <c r="B15">
        <v>110</v>
      </c>
    </row>
    <row r="16" spans="1:2">
      <c r="A16">
        <v>15</v>
      </c>
      <c r="B16">
        <v>120</v>
      </c>
    </row>
    <row r="17" spans="1:2">
      <c r="A17">
        <v>16</v>
      </c>
      <c r="B17">
        <v>135</v>
      </c>
    </row>
    <row r="18" spans="1:2">
      <c r="A18">
        <v>17</v>
      </c>
      <c r="B18">
        <v>150</v>
      </c>
    </row>
    <row r="19" spans="1:2">
      <c r="A19">
        <v>18</v>
      </c>
      <c r="B19">
        <v>165</v>
      </c>
    </row>
    <row r="20" spans="1:2">
      <c r="A20">
        <v>19</v>
      </c>
      <c r="B20">
        <v>180</v>
      </c>
    </row>
    <row r="21" spans="1:2">
      <c r="A21">
        <v>20</v>
      </c>
      <c r="B21">
        <v>195</v>
      </c>
    </row>
    <row r="22" spans="1:2">
      <c r="A22">
        <v>21</v>
      </c>
      <c r="B22">
        <v>215</v>
      </c>
    </row>
    <row r="23" spans="1:2">
      <c r="A23">
        <v>22</v>
      </c>
      <c r="B23">
        <v>235</v>
      </c>
    </row>
    <row r="24" spans="1:2">
      <c r="A24">
        <v>23</v>
      </c>
      <c r="B24">
        <v>255</v>
      </c>
    </row>
    <row r="25" spans="1:2">
      <c r="A25">
        <v>24</v>
      </c>
      <c r="B25">
        <v>275</v>
      </c>
    </row>
    <row r="26" spans="1:2">
      <c r="A26">
        <v>25</v>
      </c>
      <c r="B26">
        <v>295</v>
      </c>
    </row>
    <row r="27" spans="1:2">
      <c r="A27">
        <v>26</v>
      </c>
      <c r="B27">
        <v>320</v>
      </c>
    </row>
    <row r="28" spans="1:2">
      <c r="A28">
        <v>27</v>
      </c>
      <c r="B28">
        <v>345</v>
      </c>
    </row>
    <row r="29" spans="1:2">
      <c r="A29">
        <v>28</v>
      </c>
      <c r="B29">
        <v>370</v>
      </c>
    </row>
    <row r="30" spans="1:2">
      <c r="A30">
        <v>29</v>
      </c>
      <c r="B30">
        <v>395</v>
      </c>
    </row>
    <row r="31" spans="1:2">
      <c r="A31">
        <v>30</v>
      </c>
      <c r="B31">
        <v>420</v>
      </c>
    </row>
    <row r="32" spans="1:2">
      <c r="A32">
        <v>31</v>
      </c>
      <c r="B32">
        <v>445</v>
      </c>
    </row>
    <row r="33" spans="1:2">
      <c r="A33">
        <v>32</v>
      </c>
      <c r="B33">
        <v>470</v>
      </c>
    </row>
    <row r="34" spans="1:2">
      <c r="A34">
        <v>33</v>
      </c>
      <c r="B34">
        <v>495</v>
      </c>
    </row>
    <row r="35" spans="1:2">
      <c r="A35">
        <v>34</v>
      </c>
      <c r="B35">
        <v>520</v>
      </c>
    </row>
    <row r="36" spans="1:2">
      <c r="A36">
        <v>35</v>
      </c>
      <c r="B36">
        <v>545</v>
      </c>
    </row>
    <row r="37" spans="1:2">
      <c r="A37">
        <v>36</v>
      </c>
      <c r="B37">
        <v>570</v>
      </c>
    </row>
    <row r="38" spans="1:2">
      <c r="A38">
        <v>37</v>
      </c>
      <c r="B38">
        <v>595</v>
      </c>
    </row>
    <row r="39" spans="1:2">
      <c r="A39">
        <v>38</v>
      </c>
      <c r="B39">
        <v>620</v>
      </c>
    </row>
    <row r="40" spans="1:2">
      <c r="A40">
        <v>39</v>
      </c>
      <c r="B40">
        <v>645</v>
      </c>
    </row>
    <row r="41" spans="1:2">
      <c r="A41">
        <v>40</v>
      </c>
      <c r="B41">
        <v>670</v>
      </c>
    </row>
    <row r="42" spans="1:2">
      <c r="A42">
        <v>41</v>
      </c>
      <c r="B42">
        <v>695</v>
      </c>
    </row>
    <row r="43" spans="1:2">
      <c r="A43">
        <v>42</v>
      </c>
      <c r="B43">
        <v>720</v>
      </c>
    </row>
    <row r="44" spans="1:2">
      <c r="A44">
        <v>43</v>
      </c>
      <c r="B44">
        <v>745</v>
      </c>
    </row>
    <row r="45" spans="1:2">
      <c r="A45">
        <v>44</v>
      </c>
      <c r="B45">
        <v>770</v>
      </c>
    </row>
    <row r="46" spans="1:2">
      <c r="A46">
        <v>45</v>
      </c>
      <c r="B46">
        <v>795</v>
      </c>
    </row>
    <row r="47" spans="1:2">
      <c r="A47">
        <v>46</v>
      </c>
      <c r="B47">
        <v>820</v>
      </c>
    </row>
    <row r="48" spans="1:2">
      <c r="A48">
        <v>47</v>
      </c>
      <c r="B48">
        <v>845</v>
      </c>
    </row>
    <row r="49" spans="1:2">
      <c r="A49">
        <v>48</v>
      </c>
      <c r="B49">
        <v>870</v>
      </c>
    </row>
    <row r="50" spans="1:2">
      <c r="A50">
        <v>49</v>
      </c>
      <c r="B50">
        <v>895</v>
      </c>
    </row>
    <row r="51" spans="1:2">
      <c r="A51">
        <v>50</v>
      </c>
      <c r="B51">
        <v>920</v>
      </c>
    </row>
    <row r="52" spans="1:2">
      <c r="A52">
        <v>51</v>
      </c>
      <c r="B52">
        <v>945</v>
      </c>
    </row>
    <row r="53" spans="1:2">
      <c r="A53">
        <v>52</v>
      </c>
      <c r="B53">
        <v>970</v>
      </c>
    </row>
    <row r="54" spans="1:2">
      <c r="A54">
        <v>53</v>
      </c>
      <c r="B54">
        <v>995</v>
      </c>
    </row>
    <row r="55" spans="1:2">
      <c r="A55">
        <v>54</v>
      </c>
      <c r="B55">
        <v>1020</v>
      </c>
    </row>
    <row r="56" spans="1:2">
      <c r="A56">
        <v>55</v>
      </c>
      <c r="B56">
        <v>1045</v>
      </c>
    </row>
    <row r="57" spans="1:2">
      <c r="A57">
        <v>56</v>
      </c>
      <c r="B57">
        <v>1070</v>
      </c>
    </row>
    <row r="58" spans="1:2">
      <c r="A58">
        <v>57</v>
      </c>
      <c r="B58">
        <v>1095</v>
      </c>
    </row>
    <row r="59" spans="1:2">
      <c r="A59">
        <v>58</v>
      </c>
      <c r="B59">
        <v>1120</v>
      </c>
    </row>
    <row r="60" spans="1:2">
      <c r="A60">
        <v>59</v>
      </c>
      <c r="B60">
        <v>1145</v>
      </c>
    </row>
    <row r="61" spans="1:2">
      <c r="A61">
        <v>60</v>
      </c>
      <c r="B61">
        <v>1170</v>
      </c>
    </row>
    <row r="62" spans="1:2">
      <c r="A62">
        <v>61</v>
      </c>
      <c r="B62">
        <v>1195</v>
      </c>
    </row>
    <row r="63" spans="1:2">
      <c r="A63">
        <v>62</v>
      </c>
      <c r="B63">
        <v>1220</v>
      </c>
    </row>
    <row r="64" spans="1:2">
      <c r="A64">
        <v>63</v>
      </c>
      <c r="B64">
        <v>1245</v>
      </c>
    </row>
    <row r="65" spans="1:2">
      <c r="A65">
        <v>64</v>
      </c>
      <c r="B65">
        <v>1270</v>
      </c>
    </row>
    <row r="66" spans="1:2">
      <c r="A66">
        <v>65</v>
      </c>
      <c r="B66">
        <v>1295</v>
      </c>
    </row>
    <row r="67" spans="1:2">
      <c r="A67">
        <v>66</v>
      </c>
      <c r="B67">
        <v>1320</v>
      </c>
    </row>
    <row r="68" spans="1:2">
      <c r="A68">
        <v>67</v>
      </c>
      <c r="B68">
        <v>1345</v>
      </c>
    </row>
    <row r="69" spans="1:2">
      <c r="A69">
        <v>68</v>
      </c>
      <c r="B69">
        <v>1370</v>
      </c>
    </row>
    <row r="70" spans="1:2">
      <c r="A70">
        <v>69</v>
      </c>
      <c r="B70">
        <v>1395</v>
      </c>
    </row>
    <row r="71" spans="1:2">
      <c r="A71">
        <v>70</v>
      </c>
      <c r="B71">
        <v>1420</v>
      </c>
    </row>
    <row r="72" spans="1:2">
      <c r="A72">
        <v>71</v>
      </c>
      <c r="B72">
        <v>1445</v>
      </c>
    </row>
    <row r="73" spans="1:2">
      <c r="A73">
        <v>72</v>
      </c>
      <c r="B73">
        <v>1470</v>
      </c>
    </row>
    <row r="74" spans="1:2">
      <c r="A74">
        <v>73</v>
      </c>
      <c r="B74">
        <v>1495</v>
      </c>
    </row>
    <row r="75" spans="1:2">
      <c r="A75">
        <v>74</v>
      </c>
      <c r="B75">
        <v>1520</v>
      </c>
    </row>
    <row r="76" spans="1:2">
      <c r="A76">
        <v>75</v>
      </c>
      <c r="B76">
        <v>1545</v>
      </c>
    </row>
    <row r="77" spans="1:2">
      <c r="A77">
        <v>76</v>
      </c>
      <c r="B77">
        <v>1570</v>
      </c>
    </row>
    <row r="78" spans="1:2">
      <c r="A78">
        <v>77</v>
      </c>
      <c r="B78">
        <v>1595</v>
      </c>
    </row>
    <row r="79" spans="1:2">
      <c r="A79">
        <v>78</v>
      </c>
      <c r="B79">
        <v>1620</v>
      </c>
    </row>
    <row r="80" spans="1:2">
      <c r="A80">
        <v>79</v>
      </c>
      <c r="B80">
        <v>1645</v>
      </c>
    </row>
    <row r="81" spans="1:2">
      <c r="A81">
        <v>80</v>
      </c>
      <c r="B81">
        <v>1670</v>
      </c>
    </row>
    <row r="82" spans="1:2">
      <c r="A82">
        <v>81</v>
      </c>
      <c r="B82">
        <v>1695</v>
      </c>
    </row>
    <row r="83" spans="1:2">
      <c r="A83">
        <v>82</v>
      </c>
      <c r="B83">
        <v>1720</v>
      </c>
    </row>
    <row r="84" spans="1:2">
      <c r="A84">
        <v>83</v>
      </c>
      <c r="B84">
        <v>1745</v>
      </c>
    </row>
    <row r="85" spans="1:2">
      <c r="A85">
        <v>84</v>
      </c>
      <c r="B85">
        <v>1770</v>
      </c>
    </row>
    <row r="86" spans="1:2">
      <c r="A86">
        <v>85</v>
      </c>
      <c r="B86">
        <v>1795</v>
      </c>
    </row>
    <row r="87" spans="1:2">
      <c r="A87">
        <v>86</v>
      </c>
      <c r="B87">
        <v>1820</v>
      </c>
    </row>
    <row r="88" spans="1:2">
      <c r="A88">
        <v>87</v>
      </c>
      <c r="B88">
        <v>1845</v>
      </c>
    </row>
    <row r="89" spans="1:2">
      <c r="A89">
        <v>88</v>
      </c>
      <c r="B89">
        <v>1870</v>
      </c>
    </row>
    <row r="90" spans="1:2">
      <c r="A90">
        <v>89</v>
      </c>
      <c r="B90">
        <v>1895</v>
      </c>
    </row>
    <row r="91" spans="1:2">
      <c r="A91">
        <v>90</v>
      </c>
      <c r="B91">
        <v>1920</v>
      </c>
    </row>
    <row r="92" spans="1:2">
      <c r="A92">
        <v>91</v>
      </c>
      <c r="B92">
        <v>1945</v>
      </c>
    </row>
    <row r="93" spans="1:2">
      <c r="A93">
        <v>92</v>
      </c>
      <c r="B93">
        <v>1970</v>
      </c>
    </row>
    <row r="94" spans="1:2">
      <c r="A94">
        <v>93</v>
      </c>
      <c r="B94">
        <v>1995</v>
      </c>
    </row>
    <row r="95" spans="1:2">
      <c r="A95">
        <v>94</v>
      </c>
      <c r="B95">
        <v>2020</v>
      </c>
    </row>
    <row r="96" spans="1:2">
      <c r="A96">
        <v>95</v>
      </c>
      <c r="B96">
        <v>2045</v>
      </c>
    </row>
    <row r="97" spans="1:2">
      <c r="A97">
        <v>96</v>
      </c>
      <c r="B97">
        <v>2070</v>
      </c>
    </row>
    <row r="98" spans="1:2">
      <c r="A98">
        <v>97</v>
      </c>
      <c r="B98">
        <v>2095</v>
      </c>
    </row>
    <row r="99" spans="1:2">
      <c r="A99">
        <v>98</v>
      </c>
      <c r="B99">
        <v>2120</v>
      </c>
    </row>
    <row r="100" spans="1:2">
      <c r="A100">
        <v>99</v>
      </c>
      <c r="B100">
        <v>2145</v>
      </c>
    </row>
    <row r="101" spans="1:2">
      <c r="A101">
        <v>100</v>
      </c>
      <c r="B101">
        <v>2170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1"/>
  <sheetViews>
    <sheetView workbookViewId="0">
      <selection activeCell="D32" sqref="D32"/>
    </sheetView>
  </sheetViews>
  <sheetFormatPr defaultColWidth="9" defaultRowHeight="15"/>
  <cols>
    <col min="1" max="1" width="17.6285714285714" customWidth="1"/>
    <col min="2" max="2" width="17.6285714285714" style="1" customWidth="1"/>
    <col min="4" max="8" width="9" style="1"/>
    <col min="9" max="9" width="15.8761904761905" style="1" customWidth="1"/>
    <col min="10" max="10" width="19.6285714285714" customWidth="1"/>
  </cols>
  <sheetData>
    <row r="1" spans="1:10">
      <c r="A1" t="s">
        <v>222</v>
      </c>
      <c r="I1" s="1" t="s">
        <v>228</v>
      </c>
      <c r="J1" t="s">
        <v>229</v>
      </c>
    </row>
    <row r="2" spans="1:12">
      <c r="A2" s="2" t="s">
        <v>449</v>
      </c>
      <c r="B2" s="1">
        <v>471</v>
      </c>
      <c r="C2" t="s">
        <v>450</v>
      </c>
      <c r="D2" s="1">
        <v>55</v>
      </c>
      <c r="H2" s="1">
        <f>F2*M2</f>
        <v>0</v>
      </c>
      <c r="I2" s="1">
        <v>5000</v>
      </c>
      <c r="J2">
        <v>2</v>
      </c>
      <c r="L2" s="1">
        <v>70</v>
      </c>
    </row>
    <row r="3" spans="1:12">
      <c r="A3" s="2" t="s">
        <v>449</v>
      </c>
      <c r="B3" s="1">
        <v>942</v>
      </c>
      <c r="C3" t="s">
        <v>450</v>
      </c>
      <c r="D3" s="1">
        <v>112</v>
      </c>
      <c r="F3" s="1">
        <f>B3-B2</f>
        <v>471</v>
      </c>
      <c r="G3" s="1">
        <f>D3-D2</f>
        <v>57</v>
      </c>
      <c r="H3" s="1">
        <f t="shared" ref="H3:H66" si="0">F3*M3</f>
        <v>0</v>
      </c>
      <c r="I3" s="1">
        <v>10000</v>
      </c>
      <c r="J3">
        <v>4</v>
      </c>
      <c r="L3" s="1">
        <v>140</v>
      </c>
    </row>
    <row r="4" spans="1:12">
      <c r="A4" s="2" t="s">
        <v>449</v>
      </c>
      <c r="B4" s="1">
        <v>3297</v>
      </c>
      <c r="C4" t="s">
        <v>450</v>
      </c>
      <c r="D4" s="1">
        <v>390</v>
      </c>
      <c r="F4" s="1">
        <f t="shared" ref="F4:F31" si="1">B4-B3</f>
        <v>2355</v>
      </c>
      <c r="G4" s="1">
        <f t="shared" ref="G4:G31" si="2">D4-D3</f>
        <v>278</v>
      </c>
      <c r="H4" s="1">
        <f t="shared" si="0"/>
        <v>0</v>
      </c>
      <c r="I4" s="1">
        <v>18000</v>
      </c>
      <c r="J4">
        <v>6</v>
      </c>
      <c r="L4" s="1">
        <v>210</v>
      </c>
    </row>
    <row r="5" spans="1:12">
      <c r="A5" s="2" t="s">
        <v>449</v>
      </c>
      <c r="B5" s="1">
        <v>2355</v>
      </c>
      <c r="C5" t="s">
        <v>450</v>
      </c>
      <c r="D5" s="1">
        <v>279</v>
      </c>
      <c r="F5" s="1">
        <f t="shared" si="1"/>
        <v>-942</v>
      </c>
      <c r="G5" s="1">
        <f t="shared" si="2"/>
        <v>-111</v>
      </c>
      <c r="H5" s="1">
        <f t="shared" si="0"/>
        <v>0</v>
      </c>
      <c r="I5" s="1">
        <v>28000</v>
      </c>
      <c r="J5">
        <v>8</v>
      </c>
      <c r="L5" s="1">
        <v>290</v>
      </c>
    </row>
    <row r="6" spans="1:12">
      <c r="A6" s="2" t="s">
        <v>449</v>
      </c>
      <c r="B6" s="1">
        <v>2827</v>
      </c>
      <c r="C6" t="s">
        <v>450</v>
      </c>
      <c r="D6" s="1">
        <v>334</v>
      </c>
      <c r="F6" s="1">
        <f t="shared" si="1"/>
        <v>472</v>
      </c>
      <c r="G6" s="1">
        <f t="shared" si="2"/>
        <v>55</v>
      </c>
      <c r="H6" s="1">
        <f t="shared" si="0"/>
        <v>0</v>
      </c>
      <c r="I6" s="1">
        <v>40000</v>
      </c>
      <c r="J6">
        <v>10</v>
      </c>
      <c r="L6" s="1">
        <v>360</v>
      </c>
    </row>
    <row r="7" spans="1:12">
      <c r="A7" s="2" t="s">
        <v>449</v>
      </c>
      <c r="B7" s="1">
        <v>3297</v>
      </c>
      <c r="C7" t="s">
        <v>450</v>
      </c>
      <c r="D7" s="1">
        <v>391</v>
      </c>
      <c r="F7" s="1">
        <f t="shared" si="1"/>
        <v>470</v>
      </c>
      <c r="G7" s="1">
        <f t="shared" si="2"/>
        <v>57</v>
      </c>
      <c r="H7" s="1">
        <f t="shared" si="0"/>
        <v>0</v>
      </c>
      <c r="I7" s="1">
        <v>54000</v>
      </c>
      <c r="J7">
        <v>13</v>
      </c>
      <c r="L7" s="1">
        <v>420</v>
      </c>
    </row>
    <row r="8" spans="1:12">
      <c r="A8" s="2" t="s">
        <v>449</v>
      </c>
      <c r="B8" s="1">
        <v>3769</v>
      </c>
      <c r="C8" t="s">
        <v>450</v>
      </c>
      <c r="D8" s="1">
        <v>446</v>
      </c>
      <c r="F8" s="1">
        <f t="shared" si="1"/>
        <v>472</v>
      </c>
      <c r="G8" s="1">
        <f t="shared" si="2"/>
        <v>55</v>
      </c>
      <c r="H8" s="1">
        <f t="shared" si="0"/>
        <v>0</v>
      </c>
      <c r="I8" s="1">
        <v>70000</v>
      </c>
      <c r="J8">
        <v>16</v>
      </c>
      <c r="L8" s="1">
        <v>500</v>
      </c>
    </row>
    <row r="9" spans="1:12">
      <c r="A9" s="2" t="s">
        <v>449</v>
      </c>
      <c r="B9" s="1">
        <v>4240</v>
      </c>
      <c r="C9" t="s">
        <v>450</v>
      </c>
      <c r="D9" s="1">
        <v>503</v>
      </c>
      <c r="F9" s="1">
        <f t="shared" si="1"/>
        <v>471</v>
      </c>
      <c r="G9" s="1">
        <f t="shared" si="2"/>
        <v>57</v>
      </c>
      <c r="H9" s="1">
        <f t="shared" si="0"/>
        <v>0</v>
      </c>
      <c r="I9" s="1">
        <v>88000</v>
      </c>
      <c r="J9">
        <v>19</v>
      </c>
      <c r="L9" s="1">
        <v>570</v>
      </c>
    </row>
    <row r="10" spans="1:12">
      <c r="A10" s="2" t="s">
        <v>449</v>
      </c>
      <c r="B10" s="1">
        <v>4710</v>
      </c>
      <c r="C10" t="s">
        <v>450</v>
      </c>
      <c r="D10" s="1">
        <v>556</v>
      </c>
      <c r="F10" s="1">
        <f t="shared" si="1"/>
        <v>470</v>
      </c>
      <c r="G10" s="1">
        <f t="shared" si="2"/>
        <v>53</v>
      </c>
      <c r="H10" s="1">
        <f t="shared" si="0"/>
        <v>0</v>
      </c>
      <c r="I10" s="1">
        <v>100000</v>
      </c>
      <c r="J10">
        <v>22</v>
      </c>
      <c r="L10" s="1">
        <v>640</v>
      </c>
    </row>
    <row r="11" spans="1:12">
      <c r="A11" s="2" t="s">
        <v>449</v>
      </c>
      <c r="B11" s="1">
        <v>5181</v>
      </c>
      <c r="C11" t="s">
        <v>450</v>
      </c>
      <c r="D11" s="1">
        <v>614</v>
      </c>
      <c r="F11" s="1">
        <f t="shared" si="1"/>
        <v>471</v>
      </c>
      <c r="G11" s="1">
        <f t="shared" si="2"/>
        <v>58</v>
      </c>
      <c r="H11" s="1">
        <f t="shared" si="0"/>
        <v>0</v>
      </c>
      <c r="I11" s="1">
        <v>130000</v>
      </c>
      <c r="J11">
        <v>26</v>
      </c>
      <c r="L11" s="1">
        <v>710</v>
      </c>
    </row>
    <row r="12" spans="1:12">
      <c r="A12" s="2" t="s">
        <v>449</v>
      </c>
      <c r="B12" s="1">
        <v>5653</v>
      </c>
      <c r="C12" t="s">
        <v>450</v>
      </c>
      <c r="D12" s="1">
        <v>669</v>
      </c>
      <c r="F12" s="1">
        <f t="shared" si="1"/>
        <v>472</v>
      </c>
      <c r="G12" s="1">
        <f t="shared" si="2"/>
        <v>55</v>
      </c>
      <c r="H12" s="1">
        <f t="shared" si="0"/>
        <v>0</v>
      </c>
      <c r="I12" s="1">
        <v>150000</v>
      </c>
      <c r="J12">
        <v>30</v>
      </c>
      <c r="L12" s="1">
        <v>780</v>
      </c>
    </row>
    <row r="13" spans="1:12">
      <c r="A13" s="2" t="s">
        <v>449</v>
      </c>
      <c r="B13" s="1">
        <v>6124</v>
      </c>
      <c r="C13" t="s">
        <v>450</v>
      </c>
      <c r="D13" s="1">
        <v>725</v>
      </c>
      <c r="F13" s="1">
        <f t="shared" si="1"/>
        <v>471</v>
      </c>
      <c r="G13" s="1">
        <f t="shared" si="2"/>
        <v>56</v>
      </c>
      <c r="H13" s="1">
        <f t="shared" si="0"/>
        <v>0</v>
      </c>
      <c r="I13" s="1">
        <v>180000</v>
      </c>
      <c r="J13">
        <v>34</v>
      </c>
      <c r="L13" s="1">
        <v>850</v>
      </c>
    </row>
    <row r="14" spans="1:12">
      <c r="A14" s="2" t="s">
        <v>449</v>
      </c>
      <c r="B14" s="1">
        <v>6595</v>
      </c>
      <c r="C14" t="s">
        <v>450</v>
      </c>
      <c r="D14" s="1">
        <v>780</v>
      </c>
      <c r="F14" s="1">
        <f t="shared" si="1"/>
        <v>471</v>
      </c>
      <c r="G14" s="1">
        <f t="shared" si="2"/>
        <v>55</v>
      </c>
      <c r="H14" s="1">
        <f t="shared" si="0"/>
        <v>0</v>
      </c>
      <c r="I14" s="1">
        <v>200000</v>
      </c>
      <c r="J14">
        <v>38</v>
      </c>
      <c r="L14" s="1">
        <v>930</v>
      </c>
    </row>
    <row r="15" spans="1:12">
      <c r="A15" s="2" t="s">
        <v>449</v>
      </c>
      <c r="B15" s="1">
        <v>7066</v>
      </c>
      <c r="C15" t="s">
        <v>450</v>
      </c>
      <c r="D15" s="1">
        <v>837</v>
      </c>
      <c r="F15" s="1">
        <f t="shared" si="1"/>
        <v>471</v>
      </c>
      <c r="G15" s="1">
        <f t="shared" si="2"/>
        <v>57</v>
      </c>
      <c r="H15" s="1">
        <f t="shared" si="0"/>
        <v>0</v>
      </c>
      <c r="I15" s="1">
        <v>230000</v>
      </c>
      <c r="J15">
        <v>42</v>
      </c>
      <c r="L15" s="1">
        <v>1000</v>
      </c>
    </row>
    <row r="16" spans="1:12">
      <c r="A16" s="2" t="s">
        <v>449</v>
      </c>
      <c r="B16" s="1">
        <v>7537</v>
      </c>
      <c r="C16" t="s">
        <v>450</v>
      </c>
      <c r="D16" s="1">
        <v>892</v>
      </c>
      <c r="F16" s="1">
        <f t="shared" si="1"/>
        <v>471</v>
      </c>
      <c r="G16" s="1">
        <f t="shared" si="2"/>
        <v>55</v>
      </c>
      <c r="H16" s="1">
        <f t="shared" si="0"/>
        <v>0</v>
      </c>
      <c r="I16" s="1">
        <v>270000</v>
      </c>
      <c r="J16">
        <v>46</v>
      </c>
      <c r="L16" s="1">
        <v>1070</v>
      </c>
    </row>
    <row r="17" spans="1:12">
      <c r="A17" s="2" t="s">
        <v>449</v>
      </c>
      <c r="B17">
        <v>8026</v>
      </c>
      <c r="C17" t="s">
        <v>450</v>
      </c>
      <c r="D17" s="1">
        <v>949</v>
      </c>
      <c r="F17" s="1">
        <f t="shared" si="1"/>
        <v>489</v>
      </c>
      <c r="G17" s="1">
        <f t="shared" si="2"/>
        <v>57</v>
      </c>
      <c r="H17" s="1">
        <f t="shared" si="0"/>
        <v>0</v>
      </c>
      <c r="I17" s="1">
        <v>310000</v>
      </c>
      <c r="J17">
        <v>50</v>
      </c>
      <c r="L17" s="1">
        <v>1140</v>
      </c>
    </row>
    <row r="18" spans="1:12">
      <c r="A18" s="2" t="s">
        <v>449</v>
      </c>
      <c r="B18">
        <v>8547</v>
      </c>
      <c r="C18" t="s">
        <v>450</v>
      </c>
      <c r="D18" s="1">
        <v>1011</v>
      </c>
      <c r="F18" s="1">
        <f t="shared" si="1"/>
        <v>521</v>
      </c>
      <c r="G18" s="1">
        <f t="shared" si="2"/>
        <v>62</v>
      </c>
      <c r="H18" s="1">
        <f t="shared" si="0"/>
        <v>0</v>
      </c>
      <c r="I18" s="1">
        <v>350000</v>
      </c>
      <c r="J18">
        <v>54</v>
      </c>
      <c r="L18" s="1">
        <v>1210</v>
      </c>
    </row>
    <row r="19" spans="1:12">
      <c r="A19" s="2" t="s">
        <v>449</v>
      </c>
      <c r="B19">
        <v>9102</v>
      </c>
      <c r="C19" t="s">
        <v>450</v>
      </c>
      <c r="D19" s="1">
        <v>1077</v>
      </c>
      <c r="F19" s="1">
        <f t="shared" si="1"/>
        <v>555</v>
      </c>
      <c r="G19" s="1">
        <f t="shared" si="2"/>
        <v>66</v>
      </c>
      <c r="H19" s="1">
        <f t="shared" si="0"/>
        <v>0</v>
      </c>
      <c r="I19" s="1">
        <v>390000</v>
      </c>
      <c r="J19">
        <v>58</v>
      </c>
      <c r="L19" s="1">
        <v>1280</v>
      </c>
    </row>
    <row r="20" spans="1:12">
      <c r="A20" s="2" t="s">
        <v>449</v>
      </c>
      <c r="B20">
        <v>9693</v>
      </c>
      <c r="C20" t="s">
        <v>450</v>
      </c>
      <c r="D20" s="1">
        <v>1147</v>
      </c>
      <c r="F20" s="1">
        <f t="shared" si="1"/>
        <v>591</v>
      </c>
      <c r="G20" s="1">
        <f t="shared" si="2"/>
        <v>70</v>
      </c>
      <c r="H20" s="1">
        <f t="shared" si="0"/>
        <v>0</v>
      </c>
      <c r="I20" s="1">
        <v>430000</v>
      </c>
      <c r="J20">
        <v>62</v>
      </c>
      <c r="L20" s="1">
        <v>1350</v>
      </c>
    </row>
    <row r="21" spans="1:12">
      <c r="A21" s="2" t="s">
        <v>449</v>
      </c>
      <c r="B21">
        <v>10323</v>
      </c>
      <c r="C21" t="s">
        <v>450</v>
      </c>
      <c r="D21" s="1">
        <v>1222</v>
      </c>
      <c r="F21" s="1">
        <f t="shared" si="1"/>
        <v>630</v>
      </c>
      <c r="G21" s="1">
        <f t="shared" si="2"/>
        <v>75</v>
      </c>
      <c r="H21" s="1">
        <f t="shared" si="0"/>
        <v>0</v>
      </c>
      <c r="I21" s="1">
        <v>470000</v>
      </c>
      <c r="J21">
        <v>66</v>
      </c>
      <c r="L21" s="1">
        <v>1420</v>
      </c>
    </row>
    <row r="22" spans="1:12">
      <c r="A22" s="2" t="s">
        <v>449</v>
      </c>
      <c r="B22">
        <v>10993</v>
      </c>
      <c r="C22" t="s">
        <v>450</v>
      </c>
      <c r="D22" s="1">
        <v>1301</v>
      </c>
      <c r="F22" s="1">
        <f t="shared" si="1"/>
        <v>670</v>
      </c>
      <c r="G22" s="1">
        <f t="shared" si="2"/>
        <v>79</v>
      </c>
      <c r="H22" s="1">
        <f t="shared" si="0"/>
        <v>0</v>
      </c>
      <c r="I22" s="1">
        <v>510000</v>
      </c>
      <c r="J22">
        <v>70</v>
      </c>
      <c r="L22" s="1">
        <v>1490</v>
      </c>
    </row>
    <row r="23" spans="1:12">
      <c r="A23" s="2" t="s">
        <v>449</v>
      </c>
      <c r="B23">
        <v>11707</v>
      </c>
      <c r="C23" t="s">
        <v>450</v>
      </c>
      <c r="D23" s="1">
        <v>1386</v>
      </c>
      <c r="F23" s="1">
        <f t="shared" si="1"/>
        <v>714</v>
      </c>
      <c r="G23" s="1">
        <f t="shared" si="2"/>
        <v>85</v>
      </c>
      <c r="H23" s="1">
        <f t="shared" si="0"/>
        <v>0</v>
      </c>
      <c r="I23" s="1">
        <v>550000</v>
      </c>
      <c r="J23">
        <v>74</v>
      </c>
      <c r="L23" s="1">
        <v>1560</v>
      </c>
    </row>
    <row r="24" spans="1:12">
      <c r="A24" s="2" t="s">
        <v>449</v>
      </c>
      <c r="B24">
        <v>12467</v>
      </c>
      <c r="C24" t="s">
        <v>450</v>
      </c>
      <c r="D24" s="1">
        <v>1476</v>
      </c>
      <c r="F24" s="1">
        <f t="shared" si="1"/>
        <v>760</v>
      </c>
      <c r="G24" s="1">
        <f t="shared" si="2"/>
        <v>90</v>
      </c>
      <c r="H24" s="1">
        <f t="shared" si="0"/>
        <v>0</v>
      </c>
      <c r="I24" s="1">
        <v>590000</v>
      </c>
      <c r="J24">
        <v>78</v>
      </c>
      <c r="L24" s="1">
        <v>1640</v>
      </c>
    </row>
    <row r="25" spans="1:12">
      <c r="A25" s="2" t="s">
        <v>449</v>
      </c>
      <c r="B25">
        <v>13277</v>
      </c>
      <c r="C25" t="s">
        <v>450</v>
      </c>
      <c r="D25" s="1">
        <v>1572</v>
      </c>
      <c r="F25" s="1">
        <f t="shared" si="1"/>
        <v>810</v>
      </c>
      <c r="G25" s="1">
        <f t="shared" si="2"/>
        <v>96</v>
      </c>
      <c r="H25" s="1">
        <f t="shared" si="0"/>
        <v>0</v>
      </c>
      <c r="I25" s="1">
        <v>630000</v>
      </c>
      <c r="J25">
        <v>82</v>
      </c>
      <c r="L25" s="1">
        <v>1710</v>
      </c>
    </row>
    <row r="26" spans="1:12">
      <c r="A26" s="2" t="s">
        <v>449</v>
      </c>
      <c r="B26">
        <v>14140</v>
      </c>
      <c r="C26" t="s">
        <v>450</v>
      </c>
      <c r="D26" s="1">
        <v>1674</v>
      </c>
      <c r="F26" s="1">
        <f t="shared" si="1"/>
        <v>863</v>
      </c>
      <c r="G26" s="1">
        <f t="shared" si="2"/>
        <v>102</v>
      </c>
      <c r="H26" s="1">
        <f t="shared" si="0"/>
        <v>0</v>
      </c>
      <c r="I26" s="1">
        <v>670000</v>
      </c>
      <c r="J26">
        <v>86</v>
      </c>
      <c r="L26" s="1">
        <v>1780</v>
      </c>
    </row>
    <row r="27" spans="1:12">
      <c r="A27" s="2" t="s">
        <v>449</v>
      </c>
      <c r="B27">
        <v>15059</v>
      </c>
      <c r="C27" t="s">
        <v>450</v>
      </c>
      <c r="D27" s="1">
        <v>1783</v>
      </c>
      <c r="F27" s="1">
        <f t="shared" si="1"/>
        <v>919</v>
      </c>
      <c r="G27" s="1">
        <f t="shared" si="2"/>
        <v>109</v>
      </c>
      <c r="H27" s="1">
        <f t="shared" si="0"/>
        <v>0</v>
      </c>
      <c r="I27" s="1">
        <v>710000</v>
      </c>
      <c r="J27">
        <v>90</v>
      </c>
      <c r="L27" s="1">
        <v>1850</v>
      </c>
    </row>
    <row r="28" spans="1:12">
      <c r="A28" s="2" t="s">
        <v>449</v>
      </c>
      <c r="B28">
        <v>16037</v>
      </c>
      <c r="C28" t="s">
        <v>450</v>
      </c>
      <c r="D28" s="1">
        <v>1899</v>
      </c>
      <c r="F28" s="1">
        <f t="shared" si="1"/>
        <v>978</v>
      </c>
      <c r="G28" s="1">
        <f t="shared" si="2"/>
        <v>116</v>
      </c>
      <c r="H28" s="1">
        <f t="shared" si="0"/>
        <v>0</v>
      </c>
      <c r="I28" s="1">
        <v>750000</v>
      </c>
      <c r="J28">
        <v>94</v>
      </c>
      <c r="L28" s="1">
        <v>1920</v>
      </c>
    </row>
    <row r="29" spans="1:12">
      <c r="A29" s="2" t="s">
        <v>449</v>
      </c>
      <c r="B29">
        <v>17079</v>
      </c>
      <c r="C29" t="s">
        <v>450</v>
      </c>
      <c r="D29" s="1">
        <v>2022</v>
      </c>
      <c r="F29" s="1">
        <f t="shared" si="1"/>
        <v>1042</v>
      </c>
      <c r="G29" s="1">
        <f t="shared" si="2"/>
        <v>123</v>
      </c>
      <c r="H29" s="1">
        <f t="shared" si="0"/>
        <v>0</v>
      </c>
      <c r="I29" s="1">
        <v>790000</v>
      </c>
      <c r="J29">
        <v>98</v>
      </c>
      <c r="L29" s="1">
        <v>1990</v>
      </c>
    </row>
    <row r="30" spans="1:12">
      <c r="A30" s="2" t="s">
        <v>449</v>
      </c>
      <c r="B30">
        <v>18189</v>
      </c>
      <c r="C30" t="s">
        <v>450</v>
      </c>
      <c r="D30" s="1">
        <v>2154</v>
      </c>
      <c r="F30" s="1">
        <f t="shared" si="1"/>
        <v>1110</v>
      </c>
      <c r="G30" s="1">
        <f t="shared" si="2"/>
        <v>132</v>
      </c>
      <c r="H30" s="1">
        <f t="shared" si="0"/>
        <v>0</v>
      </c>
      <c r="I30" s="1">
        <v>830000</v>
      </c>
      <c r="J30">
        <v>102</v>
      </c>
      <c r="L30" s="1">
        <v>2060</v>
      </c>
    </row>
    <row r="31" spans="1:12">
      <c r="A31" s="2" t="s">
        <v>449</v>
      </c>
      <c r="B31">
        <v>19371</v>
      </c>
      <c r="C31" t="s">
        <v>450</v>
      </c>
      <c r="D31" s="1">
        <v>2294</v>
      </c>
      <c r="F31" s="1">
        <f t="shared" si="1"/>
        <v>1182</v>
      </c>
      <c r="G31" s="1">
        <f t="shared" si="2"/>
        <v>140</v>
      </c>
      <c r="H31" s="1">
        <f t="shared" si="0"/>
        <v>0</v>
      </c>
      <c r="I31" s="1">
        <v>870000</v>
      </c>
      <c r="J31">
        <v>106</v>
      </c>
      <c r="L31" s="1">
        <v>2130</v>
      </c>
    </row>
    <row r="32" spans="1:10">
      <c r="A32" s="2" t="s">
        <v>449</v>
      </c>
      <c r="H32" s="1">
        <f t="shared" si="0"/>
        <v>0</v>
      </c>
      <c r="I32" s="1" t="s">
        <v>451</v>
      </c>
      <c r="J32">
        <v>2</v>
      </c>
    </row>
    <row r="33" spans="1:10">
      <c r="A33" s="2" t="s">
        <v>449</v>
      </c>
      <c r="H33" s="1">
        <f t="shared" si="0"/>
        <v>0</v>
      </c>
      <c r="I33" s="1" t="s">
        <v>452</v>
      </c>
      <c r="J33">
        <v>3</v>
      </c>
    </row>
    <row r="34" spans="1:10">
      <c r="A34" s="2" t="s">
        <v>449</v>
      </c>
      <c r="H34" s="1">
        <f t="shared" si="0"/>
        <v>0</v>
      </c>
      <c r="I34" s="1" t="s">
        <v>453</v>
      </c>
      <c r="J34">
        <v>3</v>
      </c>
    </row>
    <row r="35" spans="1:10">
      <c r="A35" s="2" t="s">
        <v>449</v>
      </c>
      <c r="H35" s="1">
        <f t="shared" si="0"/>
        <v>0</v>
      </c>
      <c r="I35" s="1" t="s">
        <v>454</v>
      </c>
      <c r="J35">
        <v>5</v>
      </c>
    </row>
    <row r="36" spans="1:10">
      <c r="A36" s="2" t="s">
        <v>449</v>
      </c>
      <c r="H36" s="1">
        <f t="shared" si="0"/>
        <v>0</v>
      </c>
      <c r="I36" s="1" t="s">
        <v>455</v>
      </c>
      <c r="J36">
        <v>7</v>
      </c>
    </row>
    <row r="37" spans="1:10">
      <c r="A37" s="2" t="s">
        <v>449</v>
      </c>
      <c r="H37" s="1">
        <f t="shared" si="0"/>
        <v>0</v>
      </c>
      <c r="I37" s="1" t="s">
        <v>456</v>
      </c>
      <c r="J37">
        <v>9</v>
      </c>
    </row>
    <row r="38" spans="1:10">
      <c r="A38" s="2" t="s">
        <v>449</v>
      </c>
      <c r="H38" s="1">
        <f t="shared" si="0"/>
        <v>0</v>
      </c>
      <c r="I38" s="1" t="s">
        <v>457</v>
      </c>
      <c r="J38">
        <v>11</v>
      </c>
    </row>
    <row r="39" spans="1:10">
      <c r="A39" s="2" t="s">
        <v>449</v>
      </c>
      <c r="H39" s="1">
        <f t="shared" si="0"/>
        <v>0</v>
      </c>
      <c r="I39" s="1" t="s">
        <v>458</v>
      </c>
      <c r="J39">
        <v>13</v>
      </c>
    </row>
    <row r="40" spans="1:10">
      <c r="A40" s="2" t="s">
        <v>449</v>
      </c>
      <c r="H40" s="1">
        <f t="shared" si="0"/>
        <v>0</v>
      </c>
      <c r="I40" s="1" t="s">
        <v>459</v>
      </c>
      <c r="J40">
        <v>15</v>
      </c>
    </row>
    <row r="41" spans="1:10">
      <c r="A41" s="2" t="s">
        <v>449</v>
      </c>
      <c r="H41" s="1">
        <f t="shared" si="0"/>
        <v>0</v>
      </c>
      <c r="I41" s="1" t="s">
        <v>460</v>
      </c>
      <c r="J41">
        <v>17</v>
      </c>
    </row>
    <row r="42" spans="1:10">
      <c r="A42" s="2" t="s">
        <v>449</v>
      </c>
      <c r="H42" s="1">
        <f t="shared" si="0"/>
        <v>0</v>
      </c>
      <c r="I42" s="1" t="s">
        <v>461</v>
      </c>
      <c r="J42">
        <v>19</v>
      </c>
    </row>
    <row r="43" spans="1:10">
      <c r="A43" s="2" t="s">
        <v>449</v>
      </c>
      <c r="H43" s="1">
        <f t="shared" si="0"/>
        <v>0</v>
      </c>
      <c r="I43" s="1" t="s">
        <v>462</v>
      </c>
      <c r="J43">
        <v>21</v>
      </c>
    </row>
    <row r="44" spans="1:10">
      <c r="A44" s="2" t="s">
        <v>449</v>
      </c>
      <c r="H44" s="1">
        <f t="shared" si="0"/>
        <v>0</v>
      </c>
      <c r="I44" s="1" t="s">
        <v>463</v>
      </c>
      <c r="J44">
        <v>23</v>
      </c>
    </row>
    <row r="45" spans="1:10">
      <c r="A45" s="2" t="s">
        <v>449</v>
      </c>
      <c r="H45" s="1">
        <f t="shared" si="0"/>
        <v>0</v>
      </c>
      <c r="I45" s="1" t="s">
        <v>464</v>
      </c>
      <c r="J45">
        <v>25</v>
      </c>
    </row>
    <row r="46" spans="1:10">
      <c r="A46" s="2" t="s">
        <v>449</v>
      </c>
      <c r="H46" s="1">
        <f t="shared" si="0"/>
        <v>0</v>
      </c>
      <c r="I46" s="1" t="s">
        <v>465</v>
      </c>
      <c r="J46">
        <v>27</v>
      </c>
    </row>
    <row r="47" spans="1:10">
      <c r="A47" s="2" t="s">
        <v>449</v>
      </c>
      <c r="H47" s="1">
        <f t="shared" si="0"/>
        <v>0</v>
      </c>
      <c r="I47" s="1" t="s">
        <v>466</v>
      </c>
      <c r="J47">
        <v>29</v>
      </c>
    </row>
    <row r="48" spans="1:10">
      <c r="A48" s="2" t="s">
        <v>449</v>
      </c>
      <c r="H48" s="1">
        <f t="shared" si="0"/>
        <v>0</v>
      </c>
      <c r="I48" s="1" t="s">
        <v>467</v>
      </c>
      <c r="J48">
        <v>31</v>
      </c>
    </row>
    <row r="49" spans="1:10">
      <c r="A49" s="2" t="s">
        <v>449</v>
      </c>
      <c r="H49" s="1">
        <f t="shared" si="0"/>
        <v>0</v>
      </c>
      <c r="I49" s="1" t="s">
        <v>468</v>
      </c>
      <c r="J49">
        <v>33</v>
      </c>
    </row>
    <row r="50" spans="1:10">
      <c r="A50" s="2" t="s">
        <v>449</v>
      </c>
      <c r="H50" s="1">
        <f t="shared" si="0"/>
        <v>0</v>
      </c>
      <c r="I50" s="1" t="s">
        <v>469</v>
      </c>
      <c r="J50">
        <v>35</v>
      </c>
    </row>
    <row r="51" spans="1:10">
      <c r="A51" s="2" t="s">
        <v>449</v>
      </c>
      <c r="H51" s="1">
        <f t="shared" si="0"/>
        <v>0</v>
      </c>
      <c r="I51" s="1" t="s">
        <v>470</v>
      </c>
      <c r="J51">
        <v>37</v>
      </c>
    </row>
    <row r="52" spans="1:10">
      <c r="A52" s="2" t="s">
        <v>449</v>
      </c>
      <c r="H52" s="1">
        <f t="shared" si="0"/>
        <v>0</v>
      </c>
      <c r="I52" s="1" t="s">
        <v>461</v>
      </c>
      <c r="J52">
        <v>19</v>
      </c>
    </row>
    <row r="53" spans="1:10">
      <c r="A53" s="2" t="s">
        <v>449</v>
      </c>
      <c r="H53" s="1">
        <f t="shared" si="0"/>
        <v>0</v>
      </c>
      <c r="I53" s="1" t="s">
        <v>462</v>
      </c>
      <c r="J53">
        <v>21</v>
      </c>
    </row>
    <row r="54" spans="1:10">
      <c r="A54" s="2" t="s">
        <v>449</v>
      </c>
      <c r="H54" s="1">
        <f t="shared" si="0"/>
        <v>0</v>
      </c>
      <c r="I54" s="1" t="s">
        <v>463</v>
      </c>
      <c r="J54">
        <v>23</v>
      </c>
    </row>
    <row r="55" spans="1:10">
      <c r="A55" s="2" t="s">
        <v>449</v>
      </c>
      <c r="H55" s="1">
        <f t="shared" si="0"/>
        <v>0</v>
      </c>
      <c r="I55" s="1" t="s">
        <v>464</v>
      </c>
      <c r="J55">
        <v>25</v>
      </c>
    </row>
    <row r="56" spans="1:10">
      <c r="A56" s="2" t="s">
        <v>449</v>
      </c>
      <c r="H56" s="1">
        <f t="shared" si="0"/>
        <v>0</v>
      </c>
      <c r="I56" s="1" t="s">
        <v>465</v>
      </c>
      <c r="J56">
        <v>27</v>
      </c>
    </row>
    <row r="57" spans="1:10">
      <c r="A57" s="2" t="s">
        <v>449</v>
      </c>
      <c r="H57" s="1">
        <f t="shared" si="0"/>
        <v>0</v>
      </c>
      <c r="I57" s="1" t="s">
        <v>466</v>
      </c>
      <c r="J57">
        <v>29</v>
      </c>
    </row>
    <row r="58" spans="1:10">
      <c r="A58" s="2" t="s">
        <v>449</v>
      </c>
      <c r="H58" s="1">
        <f t="shared" si="0"/>
        <v>0</v>
      </c>
      <c r="I58" s="1" t="s">
        <v>467</v>
      </c>
      <c r="J58">
        <v>31</v>
      </c>
    </row>
    <row r="59" spans="1:10">
      <c r="A59" s="2" t="s">
        <v>449</v>
      </c>
      <c r="H59" s="1">
        <f t="shared" si="0"/>
        <v>0</v>
      </c>
      <c r="I59" s="1" t="s">
        <v>468</v>
      </c>
      <c r="J59">
        <v>33</v>
      </c>
    </row>
    <row r="60" spans="1:10">
      <c r="A60" s="2" t="s">
        <v>449</v>
      </c>
      <c r="H60" s="1">
        <f t="shared" si="0"/>
        <v>0</v>
      </c>
      <c r="I60" s="1" t="s">
        <v>469</v>
      </c>
      <c r="J60">
        <v>35</v>
      </c>
    </row>
    <row r="61" spans="1:10">
      <c r="A61" s="2" t="s">
        <v>449</v>
      </c>
      <c r="H61" s="1">
        <f t="shared" si="0"/>
        <v>0</v>
      </c>
      <c r="I61" s="1" t="s">
        <v>470</v>
      </c>
      <c r="J61">
        <v>37</v>
      </c>
    </row>
    <row r="62" spans="1:10">
      <c r="A62" s="2" t="s">
        <v>449</v>
      </c>
      <c r="H62" s="1">
        <f t="shared" si="0"/>
        <v>0</v>
      </c>
      <c r="I62" s="1" t="s">
        <v>451</v>
      </c>
      <c r="J62">
        <v>2</v>
      </c>
    </row>
    <row r="63" spans="1:10">
      <c r="A63" s="2" t="s">
        <v>449</v>
      </c>
      <c r="H63" s="1">
        <f t="shared" si="0"/>
        <v>0</v>
      </c>
      <c r="I63" s="1" t="s">
        <v>452</v>
      </c>
      <c r="J63">
        <v>3</v>
      </c>
    </row>
    <row r="64" spans="1:10">
      <c r="A64" s="2" t="s">
        <v>449</v>
      </c>
      <c r="H64" s="1">
        <f t="shared" si="0"/>
        <v>0</v>
      </c>
      <c r="I64" s="1" t="s">
        <v>453</v>
      </c>
      <c r="J64">
        <v>3</v>
      </c>
    </row>
    <row r="65" spans="1:10">
      <c r="A65" s="2" t="s">
        <v>449</v>
      </c>
      <c r="H65" s="1">
        <f t="shared" si="0"/>
        <v>0</v>
      </c>
      <c r="I65" s="1" t="s">
        <v>454</v>
      </c>
      <c r="J65">
        <v>5</v>
      </c>
    </row>
    <row r="66" spans="1:10">
      <c r="A66" s="2" t="s">
        <v>449</v>
      </c>
      <c r="H66" s="1">
        <f t="shared" si="0"/>
        <v>0</v>
      </c>
      <c r="I66" s="1" t="s">
        <v>455</v>
      </c>
      <c r="J66">
        <v>7</v>
      </c>
    </row>
    <row r="67" spans="1:10">
      <c r="A67" s="2" t="s">
        <v>449</v>
      </c>
      <c r="H67" s="1">
        <f t="shared" ref="H67:H130" si="3">F67*M67</f>
        <v>0</v>
      </c>
      <c r="I67" s="1" t="s">
        <v>456</v>
      </c>
      <c r="J67">
        <v>9</v>
      </c>
    </row>
    <row r="68" spans="1:10">
      <c r="A68" s="2" t="s">
        <v>449</v>
      </c>
      <c r="H68" s="1">
        <f t="shared" si="3"/>
        <v>0</v>
      </c>
      <c r="I68" s="1" t="s">
        <v>457</v>
      </c>
      <c r="J68">
        <v>11</v>
      </c>
    </row>
    <row r="69" spans="1:10">
      <c r="A69" s="2" t="s">
        <v>449</v>
      </c>
      <c r="H69" s="1">
        <f t="shared" si="3"/>
        <v>0</v>
      </c>
      <c r="I69" s="1" t="s">
        <v>458</v>
      </c>
      <c r="J69">
        <v>13</v>
      </c>
    </row>
    <row r="70" spans="1:10">
      <c r="A70" s="2" t="s">
        <v>449</v>
      </c>
      <c r="H70" s="1">
        <f t="shared" si="3"/>
        <v>0</v>
      </c>
      <c r="I70" s="1" t="s">
        <v>459</v>
      </c>
      <c r="J70">
        <v>15</v>
      </c>
    </row>
    <row r="71" spans="1:10">
      <c r="A71" s="2" t="s">
        <v>449</v>
      </c>
      <c r="H71" s="1">
        <f t="shared" si="3"/>
        <v>0</v>
      </c>
      <c r="I71" s="1" t="s">
        <v>460</v>
      </c>
      <c r="J71">
        <v>17</v>
      </c>
    </row>
    <row r="72" spans="1:10">
      <c r="A72" s="2" t="s">
        <v>449</v>
      </c>
      <c r="H72" s="1">
        <f t="shared" si="3"/>
        <v>0</v>
      </c>
      <c r="I72" s="1" t="s">
        <v>461</v>
      </c>
      <c r="J72">
        <v>19</v>
      </c>
    </row>
    <row r="73" spans="1:10">
      <c r="A73" s="2" t="s">
        <v>449</v>
      </c>
      <c r="H73" s="1">
        <f t="shared" si="3"/>
        <v>0</v>
      </c>
      <c r="I73" s="1" t="s">
        <v>462</v>
      </c>
      <c r="J73">
        <v>21</v>
      </c>
    </row>
    <row r="74" spans="1:10">
      <c r="A74" s="2" t="s">
        <v>449</v>
      </c>
      <c r="H74" s="1">
        <f t="shared" si="3"/>
        <v>0</v>
      </c>
      <c r="I74" s="1" t="s">
        <v>463</v>
      </c>
      <c r="J74">
        <v>23</v>
      </c>
    </row>
    <row r="75" spans="1:10">
      <c r="A75" s="2" t="s">
        <v>449</v>
      </c>
      <c r="H75" s="1">
        <f t="shared" si="3"/>
        <v>0</v>
      </c>
      <c r="I75" s="1" t="s">
        <v>464</v>
      </c>
      <c r="J75">
        <v>25</v>
      </c>
    </row>
    <row r="76" spans="1:10">
      <c r="A76" s="2" t="s">
        <v>449</v>
      </c>
      <c r="H76" s="1">
        <f t="shared" si="3"/>
        <v>0</v>
      </c>
      <c r="I76" s="1" t="s">
        <v>465</v>
      </c>
      <c r="J76">
        <v>27</v>
      </c>
    </row>
    <row r="77" spans="1:10">
      <c r="A77" s="2" t="s">
        <v>449</v>
      </c>
      <c r="H77" s="1">
        <f t="shared" si="3"/>
        <v>0</v>
      </c>
      <c r="I77" s="1" t="s">
        <v>466</v>
      </c>
      <c r="J77">
        <v>29</v>
      </c>
    </row>
    <row r="78" spans="1:10">
      <c r="A78" s="2" t="s">
        <v>449</v>
      </c>
      <c r="H78" s="1">
        <f t="shared" si="3"/>
        <v>0</v>
      </c>
      <c r="I78" s="1" t="s">
        <v>467</v>
      </c>
      <c r="J78">
        <v>31</v>
      </c>
    </row>
    <row r="79" spans="1:10">
      <c r="A79" s="2" t="s">
        <v>449</v>
      </c>
      <c r="H79" s="1">
        <f t="shared" si="3"/>
        <v>0</v>
      </c>
      <c r="I79" s="1" t="s">
        <v>468</v>
      </c>
      <c r="J79">
        <v>33</v>
      </c>
    </row>
    <row r="80" spans="1:10">
      <c r="A80" s="2" t="s">
        <v>449</v>
      </c>
      <c r="H80" s="1">
        <f t="shared" si="3"/>
        <v>0</v>
      </c>
      <c r="I80" s="1" t="s">
        <v>469</v>
      </c>
      <c r="J80">
        <v>35</v>
      </c>
    </row>
    <row r="81" spans="1:10">
      <c r="A81" s="2" t="s">
        <v>449</v>
      </c>
      <c r="H81" s="1">
        <f t="shared" si="3"/>
        <v>0</v>
      </c>
      <c r="I81" s="1" t="s">
        <v>470</v>
      </c>
      <c r="J81">
        <v>37</v>
      </c>
    </row>
    <row r="82" spans="1:10">
      <c r="A82" s="2" t="s">
        <v>449</v>
      </c>
      <c r="H82" s="1">
        <f t="shared" si="3"/>
        <v>0</v>
      </c>
      <c r="I82" s="1" t="s">
        <v>461</v>
      </c>
      <c r="J82">
        <v>19</v>
      </c>
    </row>
    <row r="83" spans="1:10">
      <c r="A83" s="2" t="s">
        <v>449</v>
      </c>
      <c r="H83" s="1">
        <f t="shared" si="3"/>
        <v>0</v>
      </c>
      <c r="I83" s="1" t="s">
        <v>462</v>
      </c>
      <c r="J83">
        <v>21</v>
      </c>
    </row>
    <row r="84" spans="1:10">
      <c r="A84" s="2" t="s">
        <v>449</v>
      </c>
      <c r="H84" s="1">
        <f t="shared" si="3"/>
        <v>0</v>
      </c>
      <c r="I84" s="1" t="s">
        <v>463</v>
      </c>
      <c r="J84">
        <v>23</v>
      </c>
    </row>
    <row r="85" spans="1:10">
      <c r="A85" s="2" t="s">
        <v>449</v>
      </c>
      <c r="H85" s="1">
        <f t="shared" si="3"/>
        <v>0</v>
      </c>
      <c r="I85" s="1" t="s">
        <v>464</v>
      </c>
      <c r="J85">
        <v>25</v>
      </c>
    </row>
    <row r="86" spans="1:10">
      <c r="A86" s="2" t="s">
        <v>449</v>
      </c>
      <c r="H86" s="1">
        <f t="shared" si="3"/>
        <v>0</v>
      </c>
      <c r="I86" s="1" t="s">
        <v>465</v>
      </c>
      <c r="J86">
        <v>27</v>
      </c>
    </row>
    <row r="87" spans="1:10">
      <c r="A87" s="2" t="s">
        <v>449</v>
      </c>
      <c r="H87" s="1">
        <f t="shared" si="3"/>
        <v>0</v>
      </c>
      <c r="I87" s="1" t="s">
        <v>466</v>
      </c>
      <c r="J87">
        <v>29</v>
      </c>
    </row>
    <row r="88" spans="1:10">
      <c r="A88" s="2" t="s">
        <v>449</v>
      </c>
      <c r="H88" s="1">
        <f t="shared" si="3"/>
        <v>0</v>
      </c>
      <c r="I88" s="1" t="s">
        <v>467</v>
      </c>
      <c r="J88">
        <v>31</v>
      </c>
    </row>
    <row r="89" spans="1:10">
      <c r="A89" s="2" t="s">
        <v>449</v>
      </c>
      <c r="H89" s="1">
        <f t="shared" si="3"/>
        <v>0</v>
      </c>
      <c r="I89" s="1" t="s">
        <v>468</v>
      </c>
      <c r="J89">
        <v>33</v>
      </c>
    </row>
    <row r="90" spans="1:10">
      <c r="A90" s="2" t="s">
        <v>449</v>
      </c>
      <c r="H90" s="1">
        <f t="shared" si="3"/>
        <v>0</v>
      </c>
      <c r="I90" s="1" t="s">
        <v>469</v>
      </c>
      <c r="J90">
        <v>35</v>
      </c>
    </row>
    <row r="91" spans="1:10">
      <c r="A91" s="2" t="s">
        <v>449</v>
      </c>
      <c r="H91" s="1">
        <f t="shared" si="3"/>
        <v>0</v>
      </c>
      <c r="I91" s="1" t="s">
        <v>470</v>
      </c>
      <c r="J91">
        <v>37</v>
      </c>
    </row>
    <row r="92" spans="1:10">
      <c r="A92" s="2" t="s">
        <v>449</v>
      </c>
      <c r="H92" s="1">
        <f t="shared" si="3"/>
        <v>0</v>
      </c>
      <c r="I92" s="1" t="s">
        <v>451</v>
      </c>
      <c r="J92">
        <v>2</v>
      </c>
    </row>
    <row r="93" spans="1:10">
      <c r="A93" s="2" t="s">
        <v>449</v>
      </c>
      <c r="H93" s="1">
        <f t="shared" si="3"/>
        <v>0</v>
      </c>
      <c r="I93" s="1" t="s">
        <v>452</v>
      </c>
      <c r="J93">
        <v>3</v>
      </c>
    </row>
    <row r="94" spans="1:10">
      <c r="A94" s="2" t="s">
        <v>449</v>
      </c>
      <c r="H94" s="1">
        <f t="shared" si="3"/>
        <v>0</v>
      </c>
      <c r="I94" s="1" t="s">
        <v>453</v>
      </c>
      <c r="J94">
        <v>3</v>
      </c>
    </row>
    <row r="95" spans="1:10">
      <c r="A95" s="2" t="s">
        <v>449</v>
      </c>
      <c r="H95" s="1">
        <f t="shared" si="3"/>
        <v>0</v>
      </c>
      <c r="I95" s="1" t="s">
        <v>454</v>
      </c>
      <c r="J95">
        <v>5</v>
      </c>
    </row>
    <row r="96" spans="1:10">
      <c r="A96" s="2" t="s">
        <v>449</v>
      </c>
      <c r="H96" s="1">
        <f t="shared" si="3"/>
        <v>0</v>
      </c>
      <c r="I96" s="1" t="s">
        <v>455</v>
      </c>
      <c r="J96">
        <v>7</v>
      </c>
    </row>
    <row r="97" spans="1:10">
      <c r="A97" s="2" t="s">
        <v>449</v>
      </c>
      <c r="H97" s="1">
        <f t="shared" si="3"/>
        <v>0</v>
      </c>
      <c r="I97" s="1" t="s">
        <v>456</v>
      </c>
      <c r="J97">
        <v>9</v>
      </c>
    </row>
    <row r="98" spans="1:10">
      <c r="A98" s="2" t="s">
        <v>449</v>
      </c>
      <c r="H98" s="1">
        <f t="shared" si="3"/>
        <v>0</v>
      </c>
      <c r="I98" s="1" t="s">
        <v>457</v>
      </c>
      <c r="J98">
        <v>11</v>
      </c>
    </row>
    <row r="99" spans="1:10">
      <c r="A99" s="2" t="s">
        <v>449</v>
      </c>
      <c r="H99" s="1">
        <f t="shared" si="3"/>
        <v>0</v>
      </c>
      <c r="I99" s="1" t="s">
        <v>458</v>
      </c>
      <c r="J99">
        <v>13</v>
      </c>
    </row>
    <row r="100" spans="1:10">
      <c r="A100" s="2" t="s">
        <v>449</v>
      </c>
      <c r="H100" s="1">
        <f t="shared" si="3"/>
        <v>0</v>
      </c>
      <c r="I100" s="1" t="s">
        <v>459</v>
      </c>
      <c r="J100">
        <v>15</v>
      </c>
    </row>
    <row r="101" spans="1:10">
      <c r="A101" s="2" t="s">
        <v>449</v>
      </c>
      <c r="H101" s="1">
        <f t="shared" si="3"/>
        <v>0</v>
      </c>
      <c r="I101" s="1" t="s">
        <v>460</v>
      </c>
      <c r="J101">
        <v>17</v>
      </c>
    </row>
    <row r="102" spans="1:10">
      <c r="A102" s="2" t="s">
        <v>449</v>
      </c>
      <c r="H102" s="1">
        <f t="shared" si="3"/>
        <v>0</v>
      </c>
      <c r="I102" s="1" t="s">
        <v>461</v>
      </c>
      <c r="J102">
        <v>19</v>
      </c>
    </row>
    <row r="103" spans="1:10">
      <c r="A103" s="2" t="s">
        <v>449</v>
      </c>
      <c r="H103" s="1">
        <f t="shared" si="3"/>
        <v>0</v>
      </c>
      <c r="I103" s="1" t="s">
        <v>462</v>
      </c>
      <c r="J103">
        <v>21</v>
      </c>
    </row>
    <row r="104" spans="1:10">
      <c r="A104" s="2" t="s">
        <v>449</v>
      </c>
      <c r="H104" s="1">
        <f t="shared" si="3"/>
        <v>0</v>
      </c>
      <c r="I104" s="1" t="s">
        <v>463</v>
      </c>
      <c r="J104">
        <v>23</v>
      </c>
    </row>
    <row r="105" spans="1:10">
      <c r="A105" s="2" t="s">
        <v>449</v>
      </c>
      <c r="H105" s="1">
        <f t="shared" si="3"/>
        <v>0</v>
      </c>
      <c r="I105" s="1" t="s">
        <v>464</v>
      </c>
      <c r="J105">
        <v>25</v>
      </c>
    </row>
    <row r="106" spans="1:10">
      <c r="A106" s="2" t="s">
        <v>449</v>
      </c>
      <c r="H106" s="1">
        <f t="shared" si="3"/>
        <v>0</v>
      </c>
      <c r="I106" s="1" t="s">
        <v>465</v>
      </c>
      <c r="J106">
        <v>27</v>
      </c>
    </row>
    <row r="107" spans="1:10">
      <c r="A107" s="2" t="s">
        <v>449</v>
      </c>
      <c r="H107" s="1">
        <f t="shared" si="3"/>
        <v>0</v>
      </c>
      <c r="I107" s="1" t="s">
        <v>466</v>
      </c>
      <c r="J107">
        <v>29</v>
      </c>
    </row>
    <row r="108" spans="1:10">
      <c r="A108" s="2" t="s">
        <v>449</v>
      </c>
      <c r="H108" s="1">
        <f t="shared" si="3"/>
        <v>0</v>
      </c>
      <c r="I108" s="1" t="s">
        <v>467</v>
      </c>
      <c r="J108">
        <v>31</v>
      </c>
    </row>
    <row r="109" spans="1:10">
      <c r="A109" s="2" t="s">
        <v>449</v>
      </c>
      <c r="H109" s="1">
        <f t="shared" si="3"/>
        <v>0</v>
      </c>
      <c r="I109" s="1" t="s">
        <v>468</v>
      </c>
      <c r="J109">
        <v>33</v>
      </c>
    </row>
    <row r="110" spans="1:10">
      <c r="A110" s="2" t="s">
        <v>449</v>
      </c>
      <c r="H110" s="1">
        <f t="shared" si="3"/>
        <v>0</v>
      </c>
      <c r="I110" s="1" t="s">
        <v>469</v>
      </c>
      <c r="J110">
        <v>35</v>
      </c>
    </row>
    <row r="111" spans="1:10">
      <c r="A111" s="2" t="s">
        <v>449</v>
      </c>
      <c r="H111" s="1">
        <f t="shared" si="3"/>
        <v>0</v>
      </c>
      <c r="I111" s="1" t="s">
        <v>470</v>
      </c>
      <c r="J111">
        <v>37</v>
      </c>
    </row>
    <row r="112" spans="1:10">
      <c r="A112" s="2" t="s">
        <v>449</v>
      </c>
      <c r="H112" s="1">
        <f t="shared" si="3"/>
        <v>0</v>
      </c>
      <c r="I112" s="1" t="s">
        <v>461</v>
      </c>
      <c r="J112">
        <v>19</v>
      </c>
    </row>
    <row r="113" spans="1:10">
      <c r="A113" s="2" t="s">
        <v>449</v>
      </c>
      <c r="H113" s="1">
        <f t="shared" si="3"/>
        <v>0</v>
      </c>
      <c r="I113" s="1" t="s">
        <v>462</v>
      </c>
      <c r="J113">
        <v>21</v>
      </c>
    </row>
    <row r="114" spans="1:10">
      <c r="A114" s="2" t="s">
        <v>449</v>
      </c>
      <c r="H114" s="1">
        <f t="shared" si="3"/>
        <v>0</v>
      </c>
      <c r="I114" s="1" t="s">
        <v>463</v>
      </c>
      <c r="J114">
        <v>23</v>
      </c>
    </row>
    <row r="115" spans="1:10">
      <c r="A115" s="2" t="s">
        <v>449</v>
      </c>
      <c r="H115" s="1">
        <f t="shared" si="3"/>
        <v>0</v>
      </c>
      <c r="I115" s="1" t="s">
        <v>464</v>
      </c>
      <c r="J115">
        <v>25</v>
      </c>
    </row>
    <row r="116" spans="1:10">
      <c r="A116" s="2" t="s">
        <v>449</v>
      </c>
      <c r="H116" s="1">
        <f t="shared" si="3"/>
        <v>0</v>
      </c>
      <c r="I116" s="1" t="s">
        <v>465</v>
      </c>
      <c r="J116">
        <v>27</v>
      </c>
    </row>
    <row r="117" spans="1:10">
      <c r="A117" s="2" t="s">
        <v>449</v>
      </c>
      <c r="H117" s="1">
        <f t="shared" si="3"/>
        <v>0</v>
      </c>
      <c r="I117" s="1" t="s">
        <v>466</v>
      </c>
      <c r="J117">
        <v>29</v>
      </c>
    </row>
    <row r="118" spans="1:10">
      <c r="A118" s="2" t="s">
        <v>449</v>
      </c>
      <c r="H118" s="1">
        <f t="shared" si="3"/>
        <v>0</v>
      </c>
      <c r="I118" s="1" t="s">
        <v>467</v>
      </c>
      <c r="J118">
        <v>31</v>
      </c>
    </row>
    <row r="119" spans="1:10">
      <c r="A119" s="2" t="s">
        <v>449</v>
      </c>
      <c r="H119" s="1">
        <f t="shared" si="3"/>
        <v>0</v>
      </c>
      <c r="I119" s="1" t="s">
        <v>468</v>
      </c>
      <c r="J119">
        <v>33</v>
      </c>
    </row>
    <row r="120" spans="1:10">
      <c r="A120" s="2" t="s">
        <v>449</v>
      </c>
      <c r="H120" s="1">
        <f t="shared" si="3"/>
        <v>0</v>
      </c>
      <c r="I120" s="1" t="s">
        <v>469</v>
      </c>
      <c r="J120">
        <v>35</v>
      </c>
    </row>
    <row r="121" spans="1:10">
      <c r="A121" s="2" t="s">
        <v>449</v>
      </c>
      <c r="H121" s="1">
        <f t="shared" si="3"/>
        <v>0</v>
      </c>
      <c r="I121" s="1" t="s">
        <v>470</v>
      </c>
      <c r="J121">
        <v>37</v>
      </c>
    </row>
    <row r="122" spans="1:10">
      <c r="A122" s="2" t="s">
        <v>449</v>
      </c>
      <c r="H122" s="1">
        <f t="shared" si="3"/>
        <v>0</v>
      </c>
      <c r="I122" s="1" t="s">
        <v>451</v>
      </c>
      <c r="J122">
        <v>2</v>
      </c>
    </row>
    <row r="123" spans="1:10">
      <c r="A123" s="2" t="s">
        <v>449</v>
      </c>
      <c r="H123" s="1">
        <f t="shared" si="3"/>
        <v>0</v>
      </c>
      <c r="I123" s="1" t="s">
        <v>452</v>
      </c>
      <c r="J123">
        <v>3</v>
      </c>
    </row>
    <row r="124" spans="1:10">
      <c r="A124" s="2" t="s">
        <v>449</v>
      </c>
      <c r="H124" s="1">
        <f t="shared" si="3"/>
        <v>0</v>
      </c>
      <c r="I124" s="1" t="s">
        <v>453</v>
      </c>
      <c r="J124">
        <v>3</v>
      </c>
    </row>
    <row r="125" spans="1:10">
      <c r="A125" s="2" t="s">
        <v>449</v>
      </c>
      <c r="H125" s="1">
        <f t="shared" si="3"/>
        <v>0</v>
      </c>
      <c r="I125" s="1" t="s">
        <v>454</v>
      </c>
      <c r="J125">
        <v>5</v>
      </c>
    </row>
    <row r="126" spans="1:10">
      <c r="A126" s="2" t="s">
        <v>449</v>
      </c>
      <c r="H126" s="1">
        <f t="shared" si="3"/>
        <v>0</v>
      </c>
      <c r="I126" s="1" t="s">
        <v>455</v>
      </c>
      <c r="J126">
        <v>7</v>
      </c>
    </row>
    <row r="127" spans="1:10">
      <c r="A127" s="2" t="s">
        <v>449</v>
      </c>
      <c r="H127" s="1">
        <f t="shared" si="3"/>
        <v>0</v>
      </c>
      <c r="I127" s="1" t="s">
        <v>456</v>
      </c>
      <c r="J127">
        <v>9</v>
      </c>
    </row>
    <row r="128" spans="1:10">
      <c r="A128" s="2" t="s">
        <v>449</v>
      </c>
      <c r="H128" s="1">
        <f t="shared" si="3"/>
        <v>0</v>
      </c>
      <c r="I128" s="1" t="s">
        <v>457</v>
      </c>
      <c r="J128">
        <v>11</v>
      </c>
    </row>
    <row r="129" spans="1:10">
      <c r="A129" s="2" t="s">
        <v>449</v>
      </c>
      <c r="H129" s="1">
        <f t="shared" si="3"/>
        <v>0</v>
      </c>
      <c r="I129" s="1" t="s">
        <v>458</v>
      </c>
      <c r="J129">
        <v>13</v>
      </c>
    </row>
    <row r="130" spans="1:10">
      <c r="A130" s="2" t="s">
        <v>449</v>
      </c>
      <c r="H130" s="1">
        <f t="shared" si="3"/>
        <v>0</v>
      </c>
      <c r="I130" s="1" t="s">
        <v>459</v>
      </c>
      <c r="J130">
        <v>15</v>
      </c>
    </row>
    <row r="131" spans="1:10">
      <c r="A131" s="2" t="s">
        <v>449</v>
      </c>
      <c r="H131" s="1">
        <f t="shared" ref="H131:H151" si="4">F131*M131</f>
        <v>0</v>
      </c>
      <c r="I131" s="1" t="s">
        <v>460</v>
      </c>
      <c r="J131">
        <v>17</v>
      </c>
    </row>
    <row r="132" spans="1:10">
      <c r="A132" s="2" t="s">
        <v>449</v>
      </c>
      <c r="H132" s="1">
        <f t="shared" si="4"/>
        <v>0</v>
      </c>
      <c r="I132" s="1" t="s">
        <v>461</v>
      </c>
      <c r="J132">
        <v>19</v>
      </c>
    </row>
    <row r="133" spans="1:10">
      <c r="A133" s="2" t="s">
        <v>449</v>
      </c>
      <c r="H133" s="1">
        <f t="shared" si="4"/>
        <v>0</v>
      </c>
      <c r="I133" s="1" t="s">
        <v>462</v>
      </c>
      <c r="J133">
        <v>21</v>
      </c>
    </row>
    <row r="134" spans="1:10">
      <c r="A134" s="2" t="s">
        <v>449</v>
      </c>
      <c r="H134" s="1">
        <f t="shared" si="4"/>
        <v>0</v>
      </c>
      <c r="I134" s="1" t="s">
        <v>463</v>
      </c>
      <c r="J134">
        <v>23</v>
      </c>
    </row>
    <row r="135" spans="1:10">
      <c r="A135" s="2" t="s">
        <v>449</v>
      </c>
      <c r="H135" s="1">
        <f t="shared" si="4"/>
        <v>0</v>
      </c>
      <c r="I135" s="1" t="s">
        <v>464</v>
      </c>
      <c r="J135">
        <v>25</v>
      </c>
    </row>
    <row r="136" spans="1:10">
      <c r="A136" s="2" t="s">
        <v>449</v>
      </c>
      <c r="H136" s="1">
        <f t="shared" si="4"/>
        <v>0</v>
      </c>
      <c r="I136" s="1" t="s">
        <v>465</v>
      </c>
      <c r="J136">
        <v>27</v>
      </c>
    </row>
    <row r="137" spans="1:10">
      <c r="A137" s="2" t="s">
        <v>449</v>
      </c>
      <c r="H137" s="1">
        <f t="shared" si="4"/>
        <v>0</v>
      </c>
      <c r="I137" s="1" t="s">
        <v>466</v>
      </c>
      <c r="J137">
        <v>29</v>
      </c>
    </row>
    <row r="138" spans="1:10">
      <c r="A138" s="2" t="s">
        <v>449</v>
      </c>
      <c r="H138" s="1">
        <f t="shared" si="4"/>
        <v>0</v>
      </c>
      <c r="I138" s="1" t="s">
        <v>467</v>
      </c>
      <c r="J138">
        <v>31</v>
      </c>
    </row>
    <row r="139" spans="1:10">
      <c r="A139" s="2" t="s">
        <v>449</v>
      </c>
      <c r="H139" s="1">
        <f t="shared" si="4"/>
        <v>0</v>
      </c>
      <c r="I139" s="1" t="s">
        <v>468</v>
      </c>
      <c r="J139">
        <v>33</v>
      </c>
    </row>
    <row r="140" spans="1:10">
      <c r="A140" s="2" t="s">
        <v>449</v>
      </c>
      <c r="H140" s="1">
        <f t="shared" si="4"/>
        <v>0</v>
      </c>
      <c r="I140" s="1" t="s">
        <v>469</v>
      </c>
      <c r="J140">
        <v>35</v>
      </c>
    </row>
    <row r="141" spans="1:10">
      <c r="A141" s="2" t="s">
        <v>449</v>
      </c>
      <c r="H141" s="1">
        <f t="shared" si="4"/>
        <v>0</v>
      </c>
      <c r="I141" s="1" t="s">
        <v>470</v>
      </c>
      <c r="J141">
        <v>37</v>
      </c>
    </row>
    <row r="142" spans="1:10">
      <c r="A142" s="2" t="s">
        <v>449</v>
      </c>
      <c r="H142" s="1">
        <f t="shared" si="4"/>
        <v>0</v>
      </c>
      <c r="I142" s="1" t="s">
        <v>461</v>
      </c>
      <c r="J142">
        <v>19</v>
      </c>
    </row>
    <row r="143" spans="1:10">
      <c r="A143" s="2" t="s">
        <v>449</v>
      </c>
      <c r="H143" s="1">
        <f t="shared" si="4"/>
        <v>0</v>
      </c>
      <c r="I143" s="1" t="s">
        <v>462</v>
      </c>
      <c r="J143">
        <v>21</v>
      </c>
    </row>
    <row r="144" spans="1:10">
      <c r="A144" s="2" t="s">
        <v>449</v>
      </c>
      <c r="H144" s="1">
        <f t="shared" si="4"/>
        <v>0</v>
      </c>
      <c r="I144" s="1" t="s">
        <v>463</v>
      </c>
      <c r="J144">
        <v>23</v>
      </c>
    </row>
    <row r="145" spans="1:10">
      <c r="A145" s="2" t="s">
        <v>449</v>
      </c>
      <c r="H145" s="1">
        <f t="shared" si="4"/>
        <v>0</v>
      </c>
      <c r="I145" s="1" t="s">
        <v>464</v>
      </c>
      <c r="J145">
        <v>25</v>
      </c>
    </row>
    <row r="146" spans="1:10">
      <c r="A146" s="2" t="s">
        <v>449</v>
      </c>
      <c r="H146" s="1">
        <f t="shared" si="4"/>
        <v>0</v>
      </c>
      <c r="I146" s="1" t="s">
        <v>465</v>
      </c>
      <c r="J146">
        <v>27</v>
      </c>
    </row>
    <row r="147" spans="1:10">
      <c r="A147" s="2" t="s">
        <v>449</v>
      </c>
      <c r="H147" s="1">
        <f t="shared" si="4"/>
        <v>0</v>
      </c>
      <c r="I147" s="1" t="s">
        <v>466</v>
      </c>
      <c r="J147">
        <v>29</v>
      </c>
    </row>
    <row r="148" spans="1:10">
      <c r="A148" s="2" t="s">
        <v>449</v>
      </c>
      <c r="H148" s="1">
        <f t="shared" si="4"/>
        <v>0</v>
      </c>
      <c r="I148" s="1" t="s">
        <v>467</v>
      </c>
      <c r="J148">
        <v>31</v>
      </c>
    </row>
    <row r="149" spans="1:10">
      <c r="A149" s="2" t="s">
        <v>449</v>
      </c>
      <c r="H149" s="1">
        <f t="shared" si="4"/>
        <v>0</v>
      </c>
      <c r="I149" s="1" t="s">
        <v>468</v>
      </c>
      <c r="J149">
        <v>33</v>
      </c>
    </row>
    <row r="150" spans="1:10">
      <c r="A150" s="2" t="s">
        <v>449</v>
      </c>
      <c r="H150" s="1">
        <f t="shared" si="4"/>
        <v>0</v>
      </c>
      <c r="I150" s="1" t="s">
        <v>469</v>
      </c>
      <c r="J150">
        <v>35</v>
      </c>
    </row>
    <row r="151" spans="1:10">
      <c r="A151" s="2" t="s">
        <v>449</v>
      </c>
      <c r="H151" s="1">
        <f t="shared" si="4"/>
        <v>0</v>
      </c>
      <c r="I151" s="1" t="s">
        <v>470</v>
      </c>
      <c r="J151">
        <v>37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神器基础</vt:lpstr>
      <vt:lpstr>神器技能</vt:lpstr>
      <vt:lpstr>神器等级</vt:lpstr>
      <vt:lpstr>神器精炼</vt:lpstr>
      <vt:lpstr>神器圣印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2015-06-05T18:19:00Z</dcterms:created>
  <dcterms:modified xsi:type="dcterms:W3CDTF">2023-09-27T09:11:27Z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E5591A29C24C4C09833945CC84A57972_12</vt:lpwstr>
  </property>
  <property fmtid="{D5CDD505-2E9C-101B-9397-08002B2CF9AE}" pid="3" name="KSOProductBuildVer">
    <vt:lpwstr>1033-12.2.0.13215</vt:lpwstr>
  </property>
</Properties>
</file>