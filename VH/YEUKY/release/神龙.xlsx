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 tên file\"/>
    </mc:Choice>
  </mc:AlternateContent>
  <xr:revisionPtr revIDLastSave="0" documentId="13_ncr:1_{A2E2C900-D141-466B-A580-D4C18DBE3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神龙基础" sheetId="1" r:id="rId1"/>
    <sheet name="神龙召唤" sheetId="2" r:id="rId2"/>
    <sheet name="神龙强化" sheetId="3" r:id="rId3"/>
    <sheet name="神龙图鉴" sheetId="4" r:id="rId4"/>
    <sheet name="御灵等级" sheetId="5" r:id="rId5"/>
    <sheet name="龙蛋合成" sheetId="10" r:id="rId6"/>
    <sheet name="Sheet1" sheetId="6" r:id="rId7"/>
    <sheet name="Sheet2" sheetId="7" r:id="rId8"/>
    <sheet name="Sheet3" sheetId="8" r:id="rId9"/>
    <sheet name="Sheet4" sheetId="9" r:id="rId10"/>
  </sheets>
  <calcPr calcId="181029"/>
</workbook>
</file>

<file path=xl/calcChain.xml><?xml version="1.0" encoding="utf-8"?>
<calcChain xmlns="http://schemas.openxmlformats.org/spreadsheetml/2006/main">
  <c r="A282" i="1" l="1"/>
  <c r="B282" i="1"/>
  <c r="B382" i="1" s="1"/>
  <c r="A283" i="1"/>
  <c r="B283" i="1"/>
  <c r="A284" i="1"/>
  <c r="A384" i="1" s="1"/>
  <c r="B284" i="1"/>
  <c r="B384" i="1" s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A394" i="1" s="1"/>
  <c r="B294" i="1"/>
  <c r="B394" i="1" s="1"/>
  <c r="A295" i="1"/>
  <c r="A395" i="1" s="1"/>
  <c r="B295" i="1"/>
  <c r="B395" i="1" s="1"/>
  <c r="A296" i="1"/>
  <c r="A396" i="1" s="1"/>
  <c r="B296" i="1"/>
  <c r="B396" i="1" s="1"/>
  <c r="A297" i="1"/>
  <c r="A397" i="1" s="1"/>
  <c r="B297" i="1"/>
  <c r="B397" i="1" s="1"/>
  <c r="A298" i="1"/>
  <c r="B298" i="1"/>
  <c r="B398" i="1" s="1"/>
  <c r="A299" i="1"/>
  <c r="B299" i="1"/>
  <c r="A300" i="1"/>
  <c r="A400" i="1" s="1"/>
  <c r="B300" i="1"/>
  <c r="B400" i="1" s="1"/>
  <c r="A301" i="1"/>
  <c r="B301" i="1"/>
  <c r="A382" i="1"/>
  <c r="A383" i="1"/>
  <c r="B383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8" i="1"/>
  <c r="A399" i="1"/>
  <c r="B399" i="1"/>
  <c r="A401" i="1"/>
  <c r="B40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H70" i="8"/>
  <c r="H67" i="8"/>
  <c r="H54" i="8"/>
  <c r="H51" i="8"/>
  <c r="E42" i="8"/>
  <c r="D42" i="8"/>
  <c r="W31" i="8"/>
  <c r="V31" i="8"/>
  <c r="W30" i="8"/>
  <c r="W29" i="8"/>
  <c r="V29" i="8"/>
  <c r="W28" i="8"/>
  <c r="V28" i="8"/>
  <c r="W27" i="8"/>
  <c r="V27" i="8"/>
  <c r="W26" i="8"/>
  <c r="V26" i="8"/>
  <c r="W25" i="8"/>
  <c r="W24" i="8"/>
  <c r="V24" i="8"/>
  <c r="W23" i="8"/>
  <c r="V23" i="8"/>
  <c r="W22" i="8"/>
  <c r="V22" i="8"/>
  <c r="E22" i="8"/>
  <c r="E43" i="8" s="1"/>
  <c r="D22" i="8"/>
  <c r="W21" i="8"/>
  <c r="V21" i="8"/>
  <c r="W20" i="8"/>
  <c r="W19" i="8"/>
  <c r="W18" i="8"/>
  <c r="V18" i="8"/>
  <c r="A18" i="8"/>
  <c r="W17" i="8"/>
  <c r="V17" i="8"/>
  <c r="U17" i="8"/>
  <c r="W16" i="8"/>
  <c r="V16" i="8"/>
  <c r="U16" i="8"/>
  <c r="W15" i="8"/>
  <c r="W14" i="8"/>
  <c r="V14" i="8"/>
  <c r="U14" i="8"/>
  <c r="E14" i="8"/>
  <c r="E35" i="8" s="1"/>
  <c r="D14" i="8"/>
  <c r="D35" i="8" s="1"/>
  <c r="A14" i="8"/>
  <c r="A19" i="8" s="1"/>
  <c r="W13" i="8"/>
  <c r="V13" i="8"/>
  <c r="A13" i="8"/>
  <c r="W12" i="8"/>
  <c r="V12" i="8"/>
  <c r="A12" i="8"/>
  <c r="A17" i="8" s="1"/>
  <c r="W11" i="8"/>
  <c r="T11" i="8"/>
  <c r="F11" i="8"/>
  <c r="H71" i="8" s="1"/>
  <c r="E11" i="8"/>
  <c r="E32" i="8" s="1"/>
  <c r="D11" i="8"/>
  <c r="D32" i="8" s="1"/>
  <c r="C11" i="8"/>
  <c r="H11" i="8" s="1"/>
  <c r="A11" i="8"/>
  <c r="W10" i="8"/>
  <c r="V10" i="8"/>
  <c r="U10" i="8"/>
  <c r="T10" i="8"/>
  <c r="F10" i="8"/>
  <c r="C10" i="8"/>
  <c r="H10" i="8" s="1"/>
  <c r="A10" i="8"/>
  <c r="W9" i="8"/>
  <c r="V9" i="8"/>
  <c r="U9" i="8"/>
  <c r="H9" i="8"/>
  <c r="C9" i="8"/>
  <c r="W8" i="8"/>
  <c r="V8" i="8"/>
  <c r="U8" i="8"/>
  <c r="T8" i="8"/>
  <c r="C8" i="8"/>
  <c r="H8" i="8" s="1"/>
  <c r="W7" i="8"/>
  <c r="V7" i="8"/>
  <c r="U7" i="8"/>
  <c r="T7" i="8"/>
  <c r="H7" i="8"/>
  <c r="F7" i="8"/>
  <c r="E7" i="8"/>
  <c r="H47" i="8" s="1"/>
  <c r="D7" i="8"/>
  <c r="H27" i="8" s="1"/>
  <c r="C7" i="8"/>
  <c r="W6" i="8"/>
  <c r="T6" i="8"/>
  <c r="H6" i="8"/>
  <c r="F6" i="8"/>
  <c r="H66" i="8" s="1"/>
  <c r="E6" i="8"/>
  <c r="H46" i="8" s="1"/>
  <c r="D6" i="8"/>
  <c r="H26" i="8" s="1"/>
  <c r="C6" i="8"/>
  <c r="W5" i="8"/>
  <c r="T5" i="8"/>
  <c r="L5" i="8"/>
  <c r="K5" i="8"/>
  <c r="J5" i="8"/>
  <c r="H5" i="8"/>
  <c r="C5" i="8"/>
  <c r="W4" i="8"/>
  <c r="V4" i="8"/>
  <c r="U4" i="8"/>
  <c r="T4" i="8"/>
  <c r="H4" i="8"/>
  <c r="F4" i="8"/>
  <c r="H64" i="8" s="1"/>
  <c r="E4" i="8"/>
  <c r="H44" i="8" s="1"/>
  <c r="D4" i="8"/>
  <c r="H24" i="8" s="1"/>
  <c r="C4" i="8"/>
  <c r="W3" i="8"/>
  <c r="U3" i="8"/>
  <c r="C3" i="8"/>
  <c r="H3" i="8" s="1"/>
  <c r="W2" i="8"/>
  <c r="T2" i="8"/>
  <c r="R2" i="8"/>
  <c r="V3" i="8" s="1"/>
  <c r="Q2" i="8"/>
  <c r="U21" i="8" s="1"/>
  <c r="P2" i="8"/>
  <c r="T3" i="8" s="1"/>
  <c r="H2" i="8"/>
  <c r="F2" i="8"/>
  <c r="H62" i="8" s="1"/>
  <c r="E2" i="8"/>
  <c r="H42" i="8" s="1"/>
  <c r="C2" i="8"/>
  <c r="H1" i="8"/>
  <c r="F1" i="8"/>
  <c r="E1" i="8"/>
  <c r="D1" i="8"/>
  <c r="H21" i="8" s="1"/>
  <c r="B40" i="7"/>
  <c r="B38" i="7"/>
  <c r="B37" i="7"/>
  <c r="B36" i="7"/>
  <c r="B41" i="7" s="1"/>
  <c r="B35" i="7"/>
  <c r="B34" i="7"/>
  <c r="B39" i="7" s="1"/>
  <c r="B33" i="7"/>
  <c r="B32" i="7"/>
  <c r="A18" i="7"/>
  <c r="D15" i="7"/>
  <c r="C15" i="7"/>
  <c r="A15" i="7"/>
  <c r="A14" i="7"/>
  <c r="A19" i="7" s="1"/>
  <c r="A13" i="7"/>
  <c r="K12" i="7"/>
  <c r="G12" i="7"/>
  <c r="F12" i="7"/>
  <c r="E12" i="7"/>
  <c r="J12" i="7" s="1"/>
  <c r="D12" i="7"/>
  <c r="I12" i="7" s="1"/>
  <c r="C12" i="7"/>
  <c r="H12" i="7" s="1"/>
  <c r="A12" i="7"/>
  <c r="G14" i="7" s="1"/>
  <c r="G11" i="7"/>
  <c r="J11" i="7" s="1"/>
  <c r="F11" i="7"/>
  <c r="E11" i="7"/>
  <c r="C11" i="7"/>
  <c r="A11" i="7"/>
  <c r="K10" i="7"/>
  <c r="J10" i="7"/>
  <c r="I10" i="7"/>
  <c r="H10" i="7"/>
  <c r="G10" i="7"/>
  <c r="F10" i="7"/>
  <c r="E10" i="7"/>
  <c r="D10" i="7"/>
  <c r="C10" i="7"/>
  <c r="A10" i="7"/>
  <c r="F14" i="7" s="1"/>
  <c r="K14" i="7" s="1"/>
  <c r="J9" i="7"/>
  <c r="I9" i="7"/>
  <c r="G9" i="7"/>
  <c r="F9" i="7"/>
  <c r="K9" i="7" s="1"/>
  <c r="E9" i="7"/>
  <c r="D9" i="7"/>
  <c r="C9" i="7"/>
  <c r="H9" i="7" s="1"/>
  <c r="G8" i="7"/>
  <c r="H8" i="7" s="1"/>
  <c r="F8" i="7"/>
  <c r="K8" i="7" s="1"/>
  <c r="E8" i="7"/>
  <c r="D8" i="7"/>
  <c r="I8" i="7" s="1"/>
  <c r="C8" i="7"/>
  <c r="G7" i="7"/>
  <c r="H7" i="7" s="1"/>
  <c r="F7" i="7"/>
  <c r="K7" i="7" s="1"/>
  <c r="E7" i="7"/>
  <c r="J7" i="7" s="1"/>
  <c r="D7" i="7"/>
  <c r="I7" i="7" s="1"/>
  <c r="C7" i="7"/>
  <c r="K6" i="7"/>
  <c r="H6" i="7"/>
  <c r="G6" i="7"/>
  <c r="F6" i="7"/>
  <c r="E6" i="7"/>
  <c r="J6" i="7" s="1"/>
  <c r="D6" i="7"/>
  <c r="I6" i="7" s="1"/>
  <c r="C6" i="7"/>
  <c r="G5" i="7"/>
  <c r="F5" i="7"/>
  <c r="K5" i="7" s="1"/>
  <c r="E5" i="7"/>
  <c r="J5" i="7" s="1"/>
  <c r="D5" i="7"/>
  <c r="I5" i="7" s="1"/>
  <c r="C5" i="7"/>
  <c r="H5" i="7" s="1"/>
  <c r="K4" i="7"/>
  <c r="J4" i="7"/>
  <c r="I4" i="7"/>
  <c r="H4" i="7"/>
  <c r="G4" i="7"/>
  <c r="F4" i="7"/>
  <c r="E4" i="7"/>
  <c r="D4" i="7"/>
  <c r="C4" i="7"/>
  <c r="J3" i="7"/>
  <c r="I3" i="7"/>
  <c r="H3" i="7"/>
  <c r="G3" i="7"/>
  <c r="F3" i="7"/>
  <c r="K3" i="7" s="1"/>
  <c r="E3" i="7"/>
  <c r="D3" i="7"/>
  <c r="C3" i="7"/>
  <c r="I2" i="7"/>
  <c r="H2" i="7"/>
  <c r="G2" i="7"/>
  <c r="K2" i="7" s="1"/>
  <c r="F2" i="7"/>
  <c r="E2" i="7"/>
  <c r="J2" i="7" s="1"/>
  <c r="D2" i="7"/>
  <c r="C2" i="7"/>
  <c r="K1" i="7"/>
  <c r="J1" i="7"/>
  <c r="I1" i="7"/>
  <c r="H1" i="7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U357" i="6"/>
  <c r="U356" i="6"/>
  <c r="U355" i="6"/>
  <c r="U354" i="6"/>
  <c r="U353" i="6"/>
  <c r="U352" i="6"/>
  <c r="U351" i="6"/>
  <c r="U350" i="6"/>
  <c r="U349" i="6"/>
  <c r="U348" i="6"/>
  <c r="U347" i="6"/>
  <c r="U346" i="6"/>
  <c r="U345" i="6"/>
  <c r="U344" i="6"/>
  <c r="U343" i="6"/>
  <c r="U342" i="6"/>
  <c r="U341" i="6"/>
  <c r="U340" i="6"/>
  <c r="U339" i="6"/>
  <c r="U338" i="6"/>
  <c r="U337" i="6"/>
  <c r="U336" i="6"/>
  <c r="U335" i="6"/>
  <c r="U334" i="6"/>
  <c r="U333" i="6"/>
  <c r="U332" i="6"/>
  <c r="U331" i="6"/>
  <c r="U330" i="6"/>
  <c r="U329" i="6"/>
  <c r="U328" i="6"/>
  <c r="U327" i="6"/>
  <c r="U326" i="6"/>
  <c r="U325" i="6"/>
  <c r="U324" i="6"/>
  <c r="U323" i="6"/>
  <c r="U322" i="6"/>
  <c r="U321" i="6"/>
  <c r="U320" i="6"/>
  <c r="U319" i="6"/>
  <c r="U318" i="6"/>
  <c r="U317" i="6"/>
  <c r="U316" i="6"/>
  <c r="U315" i="6"/>
  <c r="U314" i="6"/>
  <c r="U313" i="6"/>
  <c r="U312" i="6"/>
  <c r="U311" i="6"/>
  <c r="U310" i="6"/>
  <c r="U309" i="6"/>
  <c r="U308" i="6"/>
  <c r="U307" i="6"/>
  <c r="U306" i="6"/>
  <c r="U305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65" i="6"/>
  <c r="U159" i="6" s="1"/>
  <c r="E30" i="6"/>
  <c r="E29" i="6"/>
  <c r="E28" i="6"/>
  <c r="E13" i="6"/>
  <c r="I13" i="6" s="1"/>
  <c r="B276" i="1"/>
  <c r="B376" i="1" s="1"/>
  <c r="B244" i="1"/>
  <c r="B344" i="1" s="1"/>
  <c r="B181" i="1"/>
  <c r="B281" i="1" s="1"/>
  <c r="B381" i="1" s="1"/>
  <c r="A181" i="1"/>
  <c r="A281" i="1" s="1"/>
  <c r="A381" i="1" s="1"/>
  <c r="B180" i="1"/>
  <c r="B280" i="1" s="1"/>
  <c r="B380" i="1" s="1"/>
  <c r="A180" i="1"/>
  <c r="A280" i="1" s="1"/>
  <c r="A380" i="1" s="1"/>
  <c r="B179" i="1"/>
  <c r="B279" i="1" s="1"/>
  <c r="B379" i="1" s="1"/>
  <c r="A179" i="1"/>
  <c r="A279" i="1" s="1"/>
  <c r="A379" i="1" s="1"/>
  <c r="B178" i="1"/>
  <c r="B278" i="1" s="1"/>
  <c r="B378" i="1" s="1"/>
  <c r="A178" i="1"/>
  <c r="A278" i="1" s="1"/>
  <c r="A378" i="1" s="1"/>
  <c r="B177" i="1"/>
  <c r="B277" i="1" s="1"/>
  <c r="B377" i="1" s="1"/>
  <c r="A177" i="1"/>
  <c r="A277" i="1" s="1"/>
  <c r="A377" i="1" s="1"/>
  <c r="B176" i="1"/>
  <c r="A176" i="1"/>
  <c r="A276" i="1" s="1"/>
  <c r="A376" i="1" s="1"/>
  <c r="B175" i="1"/>
  <c r="B275" i="1" s="1"/>
  <c r="B375" i="1" s="1"/>
  <c r="A175" i="1"/>
  <c r="A275" i="1" s="1"/>
  <c r="A375" i="1" s="1"/>
  <c r="B174" i="1"/>
  <c r="B274" i="1" s="1"/>
  <c r="B374" i="1" s="1"/>
  <c r="A174" i="1"/>
  <c r="A274" i="1" s="1"/>
  <c r="A374" i="1" s="1"/>
  <c r="B173" i="1"/>
  <c r="B273" i="1" s="1"/>
  <c r="B373" i="1" s="1"/>
  <c r="A173" i="1"/>
  <c r="A273" i="1" s="1"/>
  <c r="A373" i="1" s="1"/>
  <c r="B172" i="1"/>
  <c r="B272" i="1" s="1"/>
  <c r="B372" i="1" s="1"/>
  <c r="A172" i="1"/>
  <c r="A272" i="1" s="1"/>
  <c r="A372" i="1" s="1"/>
  <c r="B171" i="1"/>
  <c r="B271" i="1" s="1"/>
  <c r="B371" i="1" s="1"/>
  <c r="A171" i="1"/>
  <c r="A271" i="1" s="1"/>
  <c r="A371" i="1" s="1"/>
  <c r="B170" i="1"/>
  <c r="B270" i="1" s="1"/>
  <c r="B370" i="1" s="1"/>
  <c r="A170" i="1"/>
  <c r="A270" i="1" s="1"/>
  <c r="A370" i="1" s="1"/>
  <c r="B169" i="1"/>
  <c r="B269" i="1" s="1"/>
  <c r="B369" i="1" s="1"/>
  <c r="A169" i="1"/>
  <c r="A269" i="1" s="1"/>
  <c r="A369" i="1" s="1"/>
  <c r="B168" i="1"/>
  <c r="B268" i="1" s="1"/>
  <c r="B368" i="1" s="1"/>
  <c r="A168" i="1"/>
  <c r="A268" i="1" s="1"/>
  <c r="A368" i="1" s="1"/>
  <c r="B167" i="1"/>
  <c r="B267" i="1" s="1"/>
  <c r="B367" i="1" s="1"/>
  <c r="A167" i="1"/>
  <c r="A267" i="1" s="1"/>
  <c r="A367" i="1" s="1"/>
  <c r="B166" i="1"/>
  <c r="B266" i="1" s="1"/>
  <c r="B366" i="1" s="1"/>
  <c r="A166" i="1"/>
  <c r="A266" i="1" s="1"/>
  <c r="A366" i="1" s="1"/>
  <c r="B165" i="1"/>
  <c r="B265" i="1" s="1"/>
  <c r="B365" i="1" s="1"/>
  <c r="A165" i="1"/>
  <c r="A265" i="1" s="1"/>
  <c r="A365" i="1" s="1"/>
  <c r="B164" i="1"/>
  <c r="B264" i="1" s="1"/>
  <c r="B364" i="1" s="1"/>
  <c r="A164" i="1"/>
  <c r="A264" i="1" s="1"/>
  <c r="A364" i="1" s="1"/>
  <c r="B163" i="1"/>
  <c r="B263" i="1" s="1"/>
  <c r="B363" i="1" s="1"/>
  <c r="A163" i="1"/>
  <c r="A263" i="1" s="1"/>
  <c r="A363" i="1" s="1"/>
  <c r="B162" i="1"/>
  <c r="B262" i="1" s="1"/>
  <c r="B362" i="1" s="1"/>
  <c r="A162" i="1"/>
  <c r="A262" i="1" s="1"/>
  <c r="A362" i="1" s="1"/>
  <c r="B161" i="1"/>
  <c r="B261" i="1" s="1"/>
  <c r="B361" i="1" s="1"/>
  <c r="A161" i="1"/>
  <c r="A261" i="1" s="1"/>
  <c r="A361" i="1" s="1"/>
  <c r="B160" i="1"/>
  <c r="B260" i="1" s="1"/>
  <c r="B360" i="1" s="1"/>
  <c r="A160" i="1"/>
  <c r="A260" i="1" s="1"/>
  <c r="A360" i="1" s="1"/>
  <c r="B159" i="1"/>
  <c r="B259" i="1" s="1"/>
  <c r="B359" i="1" s="1"/>
  <c r="A159" i="1"/>
  <c r="A259" i="1" s="1"/>
  <c r="A359" i="1" s="1"/>
  <c r="B158" i="1"/>
  <c r="B258" i="1" s="1"/>
  <c r="B358" i="1" s="1"/>
  <c r="A158" i="1"/>
  <c r="A258" i="1" s="1"/>
  <c r="A358" i="1" s="1"/>
  <c r="B157" i="1"/>
  <c r="B257" i="1" s="1"/>
  <c r="B357" i="1" s="1"/>
  <c r="A157" i="1"/>
  <c r="A257" i="1" s="1"/>
  <c r="A357" i="1" s="1"/>
  <c r="B156" i="1"/>
  <c r="B256" i="1" s="1"/>
  <c r="B356" i="1" s="1"/>
  <c r="A156" i="1"/>
  <c r="A256" i="1" s="1"/>
  <c r="A356" i="1" s="1"/>
  <c r="B155" i="1"/>
  <c r="B255" i="1" s="1"/>
  <c r="B355" i="1" s="1"/>
  <c r="A155" i="1"/>
  <c r="A255" i="1" s="1"/>
  <c r="A355" i="1" s="1"/>
  <c r="B154" i="1"/>
  <c r="B254" i="1" s="1"/>
  <c r="B354" i="1" s="1"/>
  <c r="A154" i="1"/>
  <c r="A254" i="1" s="1"/>
  <c r="A354" i="1" s="1"/>
  <c r="B153" i="1"/>
  <c r="B253" i="1" s="1"/>
  <c r="B353" i="1" s="1"/>
  <c r="A153" i="1"/>
  <c r="A253" i="1" s="1"/>
  <c r="A353" i="1" s="1"/>
  <c r="B152" i="1"/>
  <c r="B252" i="1" s="1"/>
  <c r="B352" i="1" s="1"/>
  <c r="A152" i="1"/>
  <c r="A252" i="1" s="1"/>
  <c r="A352" i="1" s="1"/>
  <c r="B151" i="1"/>
  <c r="B251" i="1" s="1"/>
  <c r="B351" i="1" s="1"/>
  <c r="A151" i="1"/>
  <c r="A251" i="1" s="1"/>
  <c r="A351" i="1" s="1"/>
  <c r="B150" i="1"/>
  <c r="B250" i="1" s="1"/>
  <c r="B350" i="1" s="1"/>
  <c r="A150" i="1"/>
  <c r="A250" i="1" s="1"/>
  <c r="A350" i="1" s="1"/>
  <c r="B149" i="1"/>
  <c r="B249" i="1" s="1"/>
  <c r="B349" i="1" s="1"/>
  <c r="A149" i="1"/>
  <c r="A249" i="1" s="1"/>
  <c r="A349" i="1" s="1"/>
  <c r="B148" i="1"/>
  <c r="B248" i="1" s="1"/>
  <c r="B348" i="1" s="1"/>
  <c r="A148" i="1"/>
  <c r="A248" i="1" s="1"/>
  <c r="A348" i="1" s="1"/>
  <c r="B147" i="1"/>
  <c r="B247" i="1" s="1"/>
  <c r="B347" i="1" s="1"/>
  <c r="A147" i="1"/>
  <c r="A247" i="1" s="1"/>
  <c r="A347" i="1" s="1"/>
  <c r="B146" i="1"/>
  <c r="B246" i="1" s="1"/>
  <c r="B346" i="1" s="1"/>
  <c r="A146" i="1"/>
  <c r="A246" i="1" s="1"/>
  <c r="A346" i="1" s="1"/>
  <c r="B145" i="1"/>
  <c r="B245" i="1" s="1"/>
  <c r="B345" i="1" s="1"/>
  <c r="A145" i="1"/>
  <c r="A245" i="1" s="1"/>
  <c r="A345" i="1" s="1"/>
  <c r="B144" i="1"/>
  <c r="A144" i="1"/>
  <c r="A244" i="1" s="1"/>
  <c r="A344" i="1" s="1"/>
  <c r="B143" i="1"/>
  <c r="B243" i="1" s="1"/>
  <c r="B343" i="1" s="1"/>
  <c r="A143" i="1"/>
  <c r="A243" i="1" s="1"/>
  <c r="A343" i="1" s="1"/>
  <c r="B142" i="1"/>
  <c r="B242" i="1" s="1"/>
  <c r="B342" i="1" s="1"/>
  <c r="A142" i="1"/>
  <c r="A242" i="1" s="1"/>
  <c r="A342" i="1" s="1"/>
  <c r="B141" i="1"/>
  <c r="B241" i="1" s="1"/>
  <c r="B341" i="1" s="1"/>
  <c r="A141" i="1"/>
  <c r="A241" i="1" s="1"/>
  <c r="A341" i="1" s="1"/>
  <c r="B140" i="1"/>
  <c r="B240" i="1" s="1"/>
  <c r="B340" i="1" s="1"/>
  <c r="A140" i="1"/>
  <c r="A240" i="1" s="1"/>
  <c r="A340" i="1" s="1"/>
  <c r="B139" i="1"/>
  <c r="B239" i="1" s="1"/>
  <c r="B339" i="1" s="1"/>
  <c r="A139" i="1"/>
  <c r="A239" i="1" s="1"/>
  <c r="A339" i="1" s="1"/>
  <c r="B138" i="1"/>
  <c r="B238" i="1" s="1"/>
  <c r="B338" i="1" s="1"/>
  <c r="A138" i="1"/>
  <c r="A238" i="1" s="1"/>
  <c r="A338" i="1" s="1"/>
  <c r="B137" i="1"/>
  <c r="B237" i="1" s="1"/>
  <c r="B337" i="1" s="1"/>
  <c r="A137" i="1"/>
  <c r="A237" i="1" s="1"/>
  <c r="A337" i="1" s="1"/>
  <c r="B136" i="1"/>
  <c r="B236" i="1" s="1"/>
  <c r="B336" i="1" s="1"/>
  <c r="A136" i="1"/>
  <c r="A236" i="1" s="1"/>
  <c r="A336" i="1" s="1"/>
  <c r="B135" i="1"/>
  <c r="B235" i="1" s="1"/>
  <c r="B335" i="1" s="1"/>
  <c r="A135" i="1"/>
  <c r="A235" i="1" s="1"/>
  <c r="A335" i="1" s="1"/>
  <c r="B134" i="1"/>
  <c r="B234" i="1" s="1"/>
  <c r="B334" i="1" s="1"/>
  <c r="A134" i="1"/>
  <c r="A234" i="1" s="1"/>
  <c r="A334" i="1" s="1"/>
  <c r="B133" i="1"/>
  <c r="B233" i="1" s="1"/>
  <c r="B333" i="1" s="1"/>
  <c r="A133" i="1"/>
  <c r="A233" i="1" s="1"/>
  <c r="A333" i="1" s="1"/>
  <c r="B132" i="1"/>
  <c r="B232" i="1" s="1"/>
  <c r="B332" i="1" s="1"/>
  <c r="A132" i="1"/>
  <c r="A232" i="1" s="1"/>
  <c r="A332" i="1" s="1"/>
  <c r="B131" i="1"/>
  <c r="B231" i="1" s="1"/>
  <c r="B331" i="1" s="1"/>
  <c r="A131" i="1"/>
  <c r="A231" i="1" s="1"/>
  <c r="A331" i="1" s="1"/>
  <c r="B130" i="1"/>
  <c r="B230" i="1" s="1"/>
  <c r="B330" i="1" s="1"/>
  <c r="A130" i="1"/>
  <c r="A230" i="1" s="1"/>
  <c r="A330" i="1" s="1"/>
  <c r="B129" i="1"/>
  <c r="B229" i="1" s="1"/>
  <c r="B329" i="1" s="1"/>
  <c r="A129" i="1"/>
  <c r="A229" i="1" s="1"/>
  <c r="A329" i="1" s="1"/>
  <c r="B128" i="1"/>
  <c r="B228" i="1" s="1"/>
  <c r="B328" i="1" s="1"/>
  <c r="A128" i="1"/>
  <c r="A228" i="1" s="1"/>
  <c r="A328" i="1" s="1"/>
  <c r="B127" i="1"/>
  <c r="B227" i="1" s="1"/>
  <c r="B327" i="1" s="1"/>
  <c r="A127" i="1"/>
  <c r="A227" i="1" s="1"/>
  <c r="A327" i="1" s="1"/>
  <c r="B126" i="1"/>
  <c r="B226" i="1" s="1"/>
  <c r="B326" i="1" s="1"/>
  <c r="A126" i="1"/>
  <c r="A226" i="1" s="1"/>
  <c r="A326" i="1" s="1"/>
  <c r="B125" i="1"/>
  <c r="B225" i="1" s="1"/>
  <c r="B325" i="1" s="1"/>
  <c r="A125" i="1"/>
  <c r="A225" i="1" s="1"/>
  <c r="A325" i="1" s="1"/>
  <c r="B124" i="1"/>
  <c r="B224" i="1" s="1"/>
  <c r="B324" i="1" s="1"/>
  <c r="A124" i="1"/>
  <c r="A224" i="1" s="1"/>
  <c r="A324" i="1" s="1"/>
  <c r="B123" i="1"/>
  <c r="B223" i="1" s="1"/>
  <c r="B323" i="1" s="1"/>
  <c r="A123" i="1"/>
  <c r="A223" i="1" s="1"/>
  <c r="A323" i="1" s="1"/>
  <c r="B122" i="1"/>
  <c r="B222" i="1" s="1"/>
  <c r="B322" i="1" s="1"/>
  <c r="A122" i="1"/>
  <c r="A222" i="1" s="1"/>
  <c r="A322" i="1" s="1"/>
  <c r="B121" i="1"/>
  <c r="B221" i="1" s="1"/>
  <c r="B321" i="1" s="1"/>
  <c r="A121" i="1"/>
  <c r="A221" i="1" s="1"/>
  <c r="A321" i="1" s="1"/>
  <c r="B120" i="1"/>
  <c r="B220" i="1" s="1"/>
  <c r="B320" i="1" s="1"/>
  <c r="A120" i="1"/>
  <c r="A220" i="1" s="1"/>
  <c r="A320" i="1" s="1"/>
  <c r="B119" i="1"/>
  <c r="B219" i="1" s="1"/>
  <c r="B319" i="1" s="1"/>
  <c r="A119" i="1"/>
  <c r="A219" i="1" s="1"/>
  <c r="A319" i="1" s="1"/>
  <c r="B118" i="1"/>
  <c r="B218" i="1" s="1"/>
  <c r="B318" i="1" s="1"/>
  <c r="A118" i="1"/>
  <c r="A218" i="1" s="1"/>
  <c r="A318" i="1" s="1"/>
  <c r="B117" i="1"/>
  <c r="B217" i="1" s="1"/>
  <c r="B317" i="1" s="1"/>
  <c r="A117" i="1"/>
  <c r="A217" i="1" s="1"/>
  <c r="A317" i="1" s="1"/>
  <c r="B116" i="1"/>
  <c r="B216" i="1" s="1"/>
  <c r="B316" i="1" s="1"/>
  <c r="A116" i="1"/>
  <c r="A216" i="1" s="1"/>
  <c r="A316" i="1" s="1"/>
  <c r="B115" i="1"/>
  <c r="B215" i="1" s="1"/>
  <c r="B315" i="1" s="1"/>
  <c r="A115" i="1"/>
  <c r="A215" i="1" s="1"/>
  <c r="A315" i="1" s="1"/>
  <c r="B114" i="1"/>
  <c r="B214" i="1" s="1"/>
  <c r="B314" i="1" s="1"/>
  <c r="A114" i="1"/>
  <c r="A214" i="1" s="1"/>
  <c r="A314" i="1" s="1"/>
  <c r="B113" i="1"/>
  <c r="B213" i="1" s="1"/>
  <c r="B313" i="1" s="1"/>
  <c r="A113" i="1"/>
  <c r="A213" i="1" s="1"/>
  <c r="A313" i="1" s="1"/>
  <c r="B112" i="1"/>
  <c r="B212" i="1" s="1"/>
  <c r="B312" i="1" s="1"/>
  <c r="A112" i="1"/>
  <c r="A212" i="1" s="1"/>
  <c r="A312" i="1" s="1"/>
  <c r="B111" i="1"/>
  <c r="B211" i="1" s="1"/>
  <c r="B311" i="1" s="1"/>
  <c r="A111" i="1"/>
  <c r="A211" i="1" s="1"/>
  <c r="A311" i="1" s="1"/>
  <c r="B110" i="1"/>
  <c r="B210" i="1" s="1"/>
  <c r="B310" i="1" s="1"/>
  <c r="A110" i="1"/>
  <c r="A210" i="1" s="1"/>
  <c r="A310" i="1" s="1"/>
  <c r="B109" i="1"/>
  <c r="B209" i="1" s="1"/>
  <c r="B309" i="1" s="1"/>
  <c r="A109" i="1"/>
  <c r="A209" i="1" s="1"/>
  <c r="A309" i="1" s="1"/>
  <c r="B108" i="1"/>
  <c r="B208" i="1" s="1"/>
  <c r="B308" i="1" s="1"/>
  <c r="A108" i="1"/>
  <c r="A208" i="1" s="1"/>
  <c r="A308" i="1" s="1"/>
  <c r="B107" i="1"/>
  <c r="B207" i="1" s="1"/>
  <c r="B307" i="1" s="1"/>
  <c r="A107" i="1"/>
  <c r="A207" i="1" s="1"/>
  <c r="A307" i="1" s="1"/>
  <c r="B106" i="1"/>
  <c r="B206" i="1" s="1"/>
  <c r="B306" i="1" s="1"/>
  <c r="A106" i="1"/>
  <c r="A206" i="1" s="1"/>
  <c r="A306" i="1" s="1"/>
  <c r="B105" i="1"/>
  <c r="B205" i="1" s="1"/>
  <c r="B305" i="1" s="1"/>
  <c r="A105" i="1"/>
  <c r="A205" i="1" s="1"/>
  <c r="A305" i="1" s="1"/>
  <c r="B104" i="1"/>
  <c r="B204" i="1" s="1"/>
  <c r="B304" i="1" s="1"/>
  <c r="A104" i="1"/>
  <c r="A204" i="1" s="1"/>
  <c r="A304" i="1" s="1"/>
  <c r="B103" i="1"/>
  <c r="B203" i="1" s="1"/>
  <c r="B303" i="1" s="1"/>
  <c r="A103" i="1"/>
  <c r="A203" i="1" s="1"/>
  <c r="A303" i="1" s="1"/>
  <c r="B102" i="1"/>
  <c r="B202" i="1" s="1"/>
  <c r="B302" i="1" s="1"/>
  <c r="A102" i="1"/>
  <c r="A202" i="1" s="1"/>
  <c r="A302" i="1" s="1"/>
  <c r="D28" i="8" l="1"/>
  <c r="H11" i="7"/>
  <c r="C14" i="8"/>
  <c r="H14" i="8" s="1"/>
  <c r="E28" i="8"/>
  <c r="G15" i="7"/>
  <c r="H15" i="7" s="1"/>
  <c r="E23" i="8"/>
  <c r="E44" i="8" s="1"/>
  <c r="D8" i="8"/>
  <c r="A15" i="8"/>
  <c r="F20" i="8" s="1"/>
  <c r="H80" i="8" s="1"/>
  <c r="E8" i="8"/>
  <c r="C15" i="8"/>
  <c r="H15" i="8" s="1"/>
  <c r="U18" i="8"/>
  <c r="D5" i="8"/>
  <c r="F8" i="8"/>
  <c r="H68" i="8" s="1"/>
  <c r="U11" i="8"/>
  <c r="D15" i="8"/>
  <c r="E5" i="8"/>
  <c r="V11" i="8"/>
  <c r="E15" i="8"/>
  <c r="H61" i="8"/>
  <c r="J8" i="7"/>
  <c r="F15" i="7"/>
  <c r="K15" i="7" s="1"/>
  <c r="A16" i="7"/>
  <c r="E19" i="7" s="1"/>
  <c r="D2" i="8"/>
  <c r="F5" i="8"/>
  <c r="H65" i="8" s="1"/>
  <c r="F15" i="8"/>
  <c r="H75" i="8" s="1"/>
  <c r="V30" i="8"/>
  <c r="D16" i="7"/>
  <c r="U15" i="8"/>
  <c r="C13" i="7"/>
  <c r="E16" i="7"/>
  <c r="D12" i="8"/>
  <c r="V15" i="8"/>
  <c r="G13" i="6"/>
  <c r="C12" i="8"/>
  <c r="H12" i="8" s="1"/>
  <c r="D13" i="7"/>
  <c r="I13" i="7" s="1"/>
  <c r="F16" i="7"/>
  <c r="E12" i="8"/>
  <c r="D25" i="8"/>
  <c r="H31" i="8"/>
  <c r="H41" i="8"/>
  <c r="G16" i="7"/>
  <c r="D9" i="8"/>
  <c r="F12" i="8"/>
  <c r="H72" i="8" s="1"/>
  <c r="A16" i="8"/>
  <c r="D17" i="8" s="1"/>
  <c r="E25" i="8"/>
  <c r="E46" i="8" s="1"/>
  <c r="F13" i="7"/>
  <c r="K13" i="7" s="1"/>
  <c r="U5" i="8"/>
  <c r="E9" i="8"/>
  <c r="U19" i="8"/>
  <c r="C16" i="7"/>
  <c r="E13" i="7"/>
  <c r="G13" i="7"/>
  <c r="V5" i="8"/>
  <c r="F9" i="8"/>
  <c r="H69" i="8" s="1"/>
  <c r="U12" i="8"/>
  <c r="V19" i="8"/>
  <c r="V25" i="8"/>
  <c r="F13" i="6"/>
  <c r="F14" i="8"/>
  <c r="H74" i="8" s="1"/>
  <c r="K11" i="7"/>
  <c r="H13" i="6"/>
  <c r="E15" i="7"/>
  <c r="J15" i="7" s="1"/>
  <c r="U2" i="8"/>
  <c r="E16" i="8"/>
  <c r="V2" i="8"/>
  <c r="T9" i="8"/>
  <c r="F16" i="8"/>
  <c r="H76" i="8" s="1"/>
  <c r="C18" i="8"/>
  <c r="H18" i="8" s="1"/>
  <c r="D14" i="7"/>
  <c r="I14" i="7" s="1"/>
  <c r="F3" i="8"/>
  <c r="H63" i="8" s="1"/>
  <c r="F13" i="8"/>
  <c r="H73" i="8" s="1"/>
  <c r="U20" i="8"/>
  <c r="D27" i="8"/>
  <c r="D3" i="8"/>
  <c r="E13" i="8"/>
  <c r="E14" i="7"/>
  <c r="J14" i="7" s="1"/>
  <c r="U6" i="8"/>
  <c r="D10" i="8"/>
  <c r="V20" i="8"/>
  <c r="E27" i="8"/>
  <c r="H34" i="8"/>
  <c r="D13" i="8"/>
  <c r="C14" i="7"/>
  <c r="H14" i="7" s="1"/>
  <c r="E3" i="8"/>
  <c r="D11" i="7"/>
  <c r="I11" i="7" s="1"/>
  <c r="V6" i="8"/>
  <c r="E10" i="8"/>
  <c r="U13" i="8"/>
  <c r="A17" i="7"/>
  <c r="C13" i="8"/>
  <c r="H13" i="8" s="1"/>
  <c r="H37" i="8" l="1"/>
  <c r="D38" i="8"/>
  <c r="H55" i="8"/>
  <c r="E36" i="8"/>
  <c r="C19" i="8"/>
  <c r="H19" i="8" s="1"/>
  <c r="H35" i="8"/>
  <c r="D36" i="8"/>
  <c r="D18" i="7"/>
  <c r="C18" i="7"/>
  <c r="E31" i="8"/>
  <c r="H50" i="8"/>
  <c r="D26" i="8"/>
  <c r="H25" i="8"/>
  <c r="H33" i="8"/>
  <c r="D34" i="8"/>
  <c r="H48" i="8"/>
  <c r="E29" i="8"/>
  <c r="E20" i="7"/>
  <c r="J20" i="7" s="1"/>
  <c r="E33" i="8"/>
  <c r="H52" i="8"/>
  <c r="F20" i="7"/>
  <c r="K20" i="7" s="1"/>
  <c r="F18" i="7"/>
  <c r="E34" i="8"/>
  <c r="H53" i="8"/>
  <c r="D16" i="8"/>
  <c r="G19" i="7"/>
  <c r="J19" i="7" s="1"/>
  <c r="C20" i="8"/>
  <c r="H20" i="8" s="1"/>
  <c r="D20" i="7"/>
  <c r="I20" i="7" s="1"/>
  <c r="F19" i="8"/>
  <c r="H79" i="8" s="1"/>
  <c r="D17" i="7"/>
  <c r="I17" i="7" s="1"/>
  <c r="D20" i="8"/>
  <c r="H45" i="8"/>
  <c r="E26" i="8"/>
  <c r="E47" i="8" s="1"/>
  <c r="H43" i="8"/>
  <c r="E24" i="8"/>
  <c r="E45" i="8" s="1"/>
  <c r="K16" i="7"/>
  <c r="D29" i="8"/>
  <c r="H28" i="8"/>
  <c r="E19" i="8"/>
  <c r="D33" i="8"/>
  <c r="H32" i="8"/>
  <c r="E17" i="7"/>
  <c r="J16" i="7"/>
  <c r="D24" i="8"/>
  <c r="H23" i="8"/>
  <c r="H13" i="7"/>
  <c r="D18" i="8"/>
  <c r="G20" i="7"/>
  <c r="D19" i="8"/>
  <c r="C17" i="8"/>
  <c r="H17" i="8" s="1"/>
  <c r="F19" i="7"/>
  <c r="D31" i="8"/>
  <c r="H30" i="8"/>
  <c r="I15" i="7"/>
  <c r="E37" i="8"/>
  <c r="H56" i="8"/>
  <c r="G18" i="7"/>
  <c r="J13" i="7"/>
  <c r="I16" i="7"/>
  <c r="H16" i="7"/>
  <c r="E18" i="7"/>
  <c r="J18" i="7" s="1"/>
  <c r="F18" i="8"/>
  <c r="H78" i="8" s="1"/>
  <c r="E20" i="8"/>
  <c r="E18" i="8"/>
  <c r="F17" i="8"/>
  <c r="H77" i="8" s="1"/>
  <c r="C17" i="7"/>
  <c r="E17" i="8"/>
  <c r="C19" i="7"/>
  <c r="F17" i="7"/>
  <c r="K17" i="7" s="1"/>
  <c r="C16" i="8"/>
  <c r="H16" i="8" s="1"/>
  <c r="H22" i="8"/>
  <c r="D23" i="8"/>
  <c r="H29" i="8"/>
  <c r="D30" i="8"/>
  <c r="C20" i="7"/>
  <c r="E30" i="8"/>
  <c r="H49" i="8"/>
  <c r="D19" i="7"/>
  <c r="I19" i="7" s="1"/>
  <c r="G17" i="7"/>
  <c r="D41" i="8" l="1"/>
  <c r="H40" i="8"/>
  <c r="E41" i="8"/>
  <c r="H60" i="8"/>
  <c r="K18" i="7"/>
  <c r="J17" i="7"/>
  <c r="H18" i="7"/>
  <c r="D40" i="8"/>
  <c r="H39" i="8"/>
  <c r="I18" i="7"/>
  <c r="K19" i="7"/>
  <c r="E40" i="8"/>
  <c r="H59" i="8"/>
  <c r="D39" i="8"/>
  <c r="H38" i="8"/>
  <c r="E38" i="8"/>
  <c r="H57" i="8"/>
  <c r="H36" i="8"/>
  <c r="D37" i="8"/>
  <c r="H20" i="7"/>
  <c r="H17" i="7"/>
  <c r="H19" i="7"/>
  <c r="E39" i="8"/>
  <c r="H5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</authors>
  <commentList>
    <comment ref="F1" authorId="0" shapeId="0" xr:uid="{00000000-0006-0000-0000-000001000000}">
      <text>
        <r>
          <rPr>
            <b/>
            <sz val="9"/>
            <rFont val="SimSun"/>
            <charset val="134"/>
          </rPr>
          <t>win10:</t>
        </r>
        <r>
          <rPr>
            <sz val="9"/>
            <rFont val="SimSun"/>
            <charset val="134"/>
          </rPr>
          <t xml:space="preserve">
1幼年龙
2青年龙
3壮年龙
4龙王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win10</author>
    <author>HMT</author>
  </authors>
  <commentList>
    <comment ref="C1" authorId="0" shapeId="0" xr:uid="{00000000-0006-0000-0200-000001000000}">
      <text>
        <r>
          <rPr>
            <b/>
            <sz val="9"/>
            <rFont val="SimSun"/>
            <charset val="134"/>
          </rPr>
          <t>win10:</t>
        </r>
        <r>
          <rPr>
            <sz val="9"/>
            <rFont val="SimSun"/>
            <charset val="134"/>
          </rPr>
          <t xml:space="preserve">
幼龙只能+10
青年龙+20
壮年和龙王+30</t>
        </r>
      </text>
    </comment>
    <comment ref="D1" authorId="0" shapeId="0" xr:uid="{00000000-0006-0000-0200-000002000000}">
      <text>
        <r>
          <rPr>
            <b/>
            <sz val="9"/>
            <rFont val="SimSun"/>
            <charset val="134"/>
          </rPr>
          <t>win10:</t>
        </r>
        <r>
          <rPr>
            <sz val="9"/>
            <rFont val="SimSun"/>
            <charset val="134"/>
          </rPr>
          <t xml:space="preserve">
星级要求对应当前行的强化等级
比如：1星神龙最高只能强化到5级
</t>
        </r>
      </text>
    </comment>
    <comment ref="J1" authorId="1" shapeId="0" xr:uid="{00000000-0006-0000-0200-000003000000}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万分比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HMT</author>
  </authors>
  <commentList>
    <comment ref="C1" authorId="0" shapeId="0" xr:uid="{00000000-0006-0000-0300-000001000000}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万分比</t>
        </r>
      </text>
    </comment>
  </commentList>
</comments>
</file>

<file path=xl/sharedStrings.xml><?xml version="1.0" encoding="utf-8"?>
<sst xmlns="http://schemas.openxmlformats.org/spreadsheetml/2006/main" count="2937" uniqueCount="888">
  <si>
    <t>神龙ID</t>
  </si>
  <si>
    <t>原型ID</t>
  </si>
  <si>
    <t>背景底</t>
  </si>
  <si>
    <t>神龙星级</t>
  </si>
  <si>
    <t>神龙名称</t>
  </si>
  <si>
    <t>神龙品阶</t>
  </si>
  <si>
    <t>图标</t>
  </si>
  <si>
    <t>模型</t>
  </si>
  <si>
    <t>全员附加属性</t>
  </si>
  <si>
    <t>基础技能伤害</t>
  </si>
  <si>
    <t>升星消耗</t>
  </si>
  <si>
    <t>献祭返还</t>
  </si>
  <si>
    <t>升星获得图鉴经验</t>
  </si>
  <si>
    <t>升星御灵等级要求</t>
  </si>
  <si>
    <t>Còn nhỏ.Ứng Long</t>
  </si>
  <si>
    <t>1:10000#28:75</t>
  </si>
  <si>
    <t>20:10001:1</t>
  </si>
  <si>
    <t>3:200101:10#3:200105:1</t>
  </si>
  <si>
    <t>1:20000#28:150</t>
  </si>
  <si>
    <t>3:200101:20#3:200105:2</t>
  </si>
  <si>
    <t>1:30000#28:225</t>
  </si>
  <si>
    <t>3:200101:30#3:200105:3</t>
  </si>
  <si>
    <t>1:40000#28:300</t>
  </si>
  <si>
    <t>3:200101:40#3:200105:4</t>
  </si>
  <si>
    <t>1:50000#28:375</t>
  </si>
  <si>
    <t>20:10001:2</t>
  </si>
  <si>
    <t>3:200101:50#3:200105:5</t>
  </si>
  <si>
    <t>1:70000#28:525</t>
  </si>
  <si>
    <t>3:200101:70#3:200105:7</t>
  </si>
  <si>
    <t>1:90000#28:675</t>
  </si>
  <si>
    <t>3:200101:90#3:200105:9</t>
  </si>
  <si>
    <t>1:110000#28:825</t>
  </si>
  <si>
    <t>3:200101:110#3:200105:11</t>
  </si>
  <si>
    <t>1:130000#28:975</t>
  </si>
  <si>
    <t>3:200101:130#3:200105:13</t>
  </si>
  <si>
    <t>1:150000#28:1125</t>
  </si>
  <si>
    <t>20:10001:3</t>
  </si>
  <si>
    <t>3:200101:150#3:200105:15</t>
  </si>
  <si>
    <t>1:180000#28:1350</t>
  </si>
  <si>
    <t>3:200101:180#3:200105:18</t>
  </si>
  <si>
    <t>1:210000#28:1575</t>
  </si>
  <si>
    <t>3:200101:210#3:200105:21</t>
  </si>
  <si>
    <t>1:240000#28:1800</t>
  </si>
  <si>
    <t>3:200101:240#3:200105:24</t>
  </si>
  <si>
    <t>1:270000#28:2025</t>
  </si>
  <si>
    <t>3:200101:270#3:200105:27</t>
  </si>
  <si>
    <t>1:300000#28:2250</t>
  </si>
  <si>
    <t>20:10001:4</t>
  </si>
  <si>
    <t>3:200101:300#3:200105:30</t>
  </si>
  <si>
    <t>1:340000#28:2550</t>
  </si>
  <si>
    <t>3:200101:340#3:200105:34</t>
  </si>
  <si>
    <t>1:380000#28:2850</t>
  </si>
  <si>
    <t>3:200101:380#3:200105:38</t>
  </si>
  <si>
    <t>1:420000#28:3150</t>
  </si>
  <si>
    <t>3:200101:420#3:200105:42</t>
  </si>
  <si>
    <t>1:460000#28:3450</t>
  </si>
  <si>
    <t>3:200101:460#3:200105:46</t>
  </si>
  <si>
    <t>1:500000#28:3750</t>
  </si>
  <si>
    <t>3:200101:500#3:200105:50</t>
  </si>
  <si>
    <t>Thanh niên.Ứng Long</t>
  </si>
  <si>
    <t>20:10101:1</t>
  </si>
  <si>
    <t>3:200101:20#3:200109:1</t>
  </si>
  <si>
    <t>3:200101:40#3:200109:2</t>
  </si>
  <si>
    <t>1:60000#28:450</t>
  </si>
  <si>
    <t>3:200101:60#3:200109:3</t>
  </si>
  <si>
    <t>1:80000#28:600</t>
  </si>
  <si>
    <t>3:200101:80#3:200109:4</t>
  </si>
  <si>
    <t>1:100000#28:750</t>
  </si>
  <si>
    <t>20:10101:2</t>
  </si>
  <si>
    <t>3:200101:100#3:200109:5</t>
  </si>
  <si>
    <t>1:140000#28:1050</t>
  </si>
  <si>
    <t>3:200101:140#3:200109:7</t>
  </si>
  <si>
    <t>3:200101:180#3:200109:9</t>
  </si>
  <si>
    <t>1:220000#28:1650</t>
  </si>
  <si>
    <t>3:200101:220#3:200109:11</t>
  </si>
  <si>
    <t>1:260000#28:1950</t>
  </si>
  <si>
    <t>3:200101:260#3:200109:13</t>
  </si>
  <si>
    <t>20:10101:3</t>
  </si>
  <si>
    <t>3:200101:300#3:200109:15</t>
  </si>
  <si>
    <t>1:360000#28:2700</t>
  </si>
  <si>
    <t>3:200101:360#3:200109:18</t>
  </si>
  <si>
    <t>3:200101:420#3:200109:21</t>
  </si>
  <si>
    <t>1:480000#28:3600</t>
  </si>
  <si>
    <t>3:200101:480#3:200109:24</t>
  </si>
  <si>
    <t>1:540000#28:4050</t>
  </si>
  <si>
    <t>3:200101:540#3:200109:27</t>
  </si>
  <si>
    <t>1:600000#28:4500</t>
  </si>
  <si>
    <t>20:10101:4</t>
  </si>
  <si>
    <t>3:200101:600#3:200109:30</t>
  </si>
  <si>
    <t>1:680000#28:5100</t>
  </si>
  <si>
    <t>3:200101:680#3:200109:34</t>
  </si>
  <si>
    <t>1:760000#28:5700</t>
  </si>
  <si>
    <t>3:200101:760#3:200109:38</t>
  </si>
  <si>
    <t>1:840000#28:6300</t>
  </si>
  <si>
    <t>3:200101:840#3:200109:42</t>
  </si>
  <si>
    <t>1:920000#28:6900</t>
  </si>
  <si>
    <t>3:200101:920#3:200109:46</t>
  </si>
  <si>
    <t>1:1000000#28:7500</t>
  </si>
  <si>
    <t>0</t>
  </si>
  <si>
    <t>3:200101:1000#3:200109:50</t>
  </si>
  <si>
    <t>Tráng niên.Ứng Long</t>
  </si>
  <si>
    <t>20:10201:1</t>
  </si>
  <si>
    <t>3:200101:50#3:200113:1</t>
  </si>
  <si>
    <t>3:200101:100#3:200113:2</t>
  </si>
  <si>
    <t>3:200101:150#3:200113:3</t>
  </si>
  <si>
    <t>1:120000#28:900</t>
  </si>
  <si>
    <t>3:200101:200#3:200113:4</t>
  </si>
  <si>
    <t>20:10201:2</t>
  </si>
  <si>
    <t>3:200101:250#3:200113:5</t>
  </si>
  <si>
    <t>3:200101:350#3:200113:7</t>
  </si>
  <si>
    <t>3:200101:450#3:200113:9</t>
  </si>
  <si>
    <t>1:330000#28:2475</t>
  </si>
  <si>
    <t>3:200101:550#3:200113:11</t>
  </si>
  <si>
    <t>1:390000#28:2925</t>
  </si>
  <si>
    <t>3:200101:650#3:200113:13</t>
  </si>
  <si>
    <t>1:450000#28:3375</t>
  </si>
  <si>
    <t>20:10201:3</t>
  </si>
  <si>
    <t>3:200101:750#3:200113:15</t>
  </si>
  <si>
    <t>3:200101:900#3:200113:18</t>
  </si>
  <si>
    <t>1:630000#28:4725</t>
  </si>
  <si>
    <t>3:200101:1050#3:200113:21</t>
  </si>
  <si>
    <t>1:720000#28:5400</t>
  </si>
  <si>
    <t>3:200101:1200#3:200113:24</t>
  </si>
  <si>
    <t>1:810000#28:6075</t>
  </si>
  <si>
    <t>3:200101:1350#3:200113:27</t>
  </si>
  <si>
    <t>1:900000#28:6750</t>
  </si>
  <si>
    <t>20:10201:4</t>
  </si>
  <si>
    <t>3:200101:1500#3:200113:30</t>
  </si>
  <si>
    <t>1:1020000#28:7650</t>
  </si>
  <si>
    <t>3:200101:1700#3:200113:34</t>
  </si>
  <si>
    <t>1:1140000#28:8550</t>
  </si>
  <si>
    <t>3:200101:1900#3:200113:38</t>
  </si>
  <si>
    <t>1:1260000#28:9450</t>
  </si>
  <si>
    <t>3:200101:2100#3:200113:42</t>
  </si>
  <si>
    <t>1:1380000#28:10350</t>
  </si>
  <si>
    <t>3:200101:2300#3:200113:46</t>
  </si>
  <si>
    <t>1:1500000#28:11250</t>
  </si>
  <si>
    <t>3:200101:2500#3:200113:50</t>
  </si>
  <si>
    <t>Long Vương.Ứng Long</t>
  </si>
  <si>
    <t>20:10301:1</t>
  </si>
  <si>
    <t>3:200101:100#3:200117:1</t>
  </si>
  <si>
    <t>3:200101:200#3:200117:2</t>
  </si>
  <si>
    <t>3:200101:300#3:200117:3</t>
  </si>
  <si>
    <t>1:160000#28:1200</t>
  </si>
  <si>
    <t>3:200101:400#3:200117:4</t>
  </si>
  <si>
    <t>1:200000#28:1500</t>
  </si>
  <si>
    <t>20:10301:2</t>
  </si>
  <si>
    <t>3:200101:500#3:200117:5</t>
  </si>
  <si>
    <t>1:280000#28:2100</t>
  </si>
  <si>
    <t>3:200101:700#3:200117:7</t>
  </si>
  <si>
    <t>3:200101:900#3:200117:9</t>
  </si>
  <si>
    <t>1:440000#28:3300</t>
  </si>
  <si>
    <t>3:200101:1100#3:200117:11</t>
  </si>
  <si>
    <t>1:520000#28:3900</t>
  </si>
  <si>
    <t>3:200101:1300#3:200117:13</t>
  </si>
  <si>
    <t>20:10301:3</t>
  </si>
  <si>
    <t>3:200101:1500#3:200117:15</t>
  </si>
  <si>
    <t>3:200101:1800#3:200117:18</t>
  </si>
  <si>
    <t>3:200101:2100#3:200117:21</t>
  </si>
  <si>
    <t>1:960000#28:7200</t>
  </si>
  <si>
    <t>3:200101:2400#3:200117:24</t>
  </si>
  <si>
    <t>1:1080000#28:8100</t>
  </si>
  <si>
    <t>3:200101:2700#3:200117:27</t>
  </si>
  <si>
    <t>1:1200000#28:9000</t>
  </si>
  <si>
    <t>20:10301:4</t>
  </si>
  <si>
    <t>3:200101:3000#3:200117:30</t>
  </si>
  <si>
    <t>1:1360000#28:10200</t>
  </si>
  <si>
    <t>3:200101:3400#3:200117:34</t>
  </si>
  <si>
    <t>1:1520000#28:11400</t>
  </si>
  <si>
    <t>3:200101:3800#3:200117:38</t>
  </si>
  <si>
    <t>1:1680000#28:12600</t>
  </si>
  <si>
    <t>3:200101:4200#3:200117:42</t>
  </si>
  <si>
    <t>1:1840000#28:13800</t>
  </si>
  <si>
    <t>3:200101:4600#3:200117:46</t>
  </si>
  <si>
    <t>1:2000000#28:15000</t>
  </si>
  <si>
    <t>3:200101:5000#3:200117:50</t>
  </si>
  <si>
    <t>Còn nhỏ.Thương Long</t>
  </si>
  <si>
    <t>20:20001:1</t>
  </si>
  <si>
    <t>3:200101:10#3:200106:1</t>
  </si>
  <si>
    <t>3:200101:20#3:200106:2</t>
  </si>
  <si>
    <t>3:200101:30#3:200106:3</t>
  </si>
  <si>
    <t>3:200101:40#3:200106:4</t>
  </si>
  <si>
    <t>20:20001:2</t>
  </si>
  <si>
    <t>3:200101:50#3:200106:5</t>
  </si>
  <si>
    <t>3:200101:70#3:200106:7</t>
  </si>
  <si>
    <t>3:200101:90#3:200106:9</t>
  </si>
  <si>
    <t>3:200101:110#3:200106:11</t>
  </si>
  <si>
    <t>3:200101:130#3:200106:13</t>
  </si>
  <si>
    <t>20:20001:3</t>
  </si>
  <si>
    <t>3:200101:150#3:200106:15</t>
  </si>
  <si>
    <t>3:200101:180#3:200106:18</t>
  </si>
  <si>
    <t>3:200101:210#3:200106:21</t>
  </si>
  <si>
    <t>3:200101:240#3:200106:24</t>
  </si>
  <si>
    <t>3:200101:270#3:200106:27</t>
  </si>
  <si>
    <t>20:20001:4</t>
  </si>
  <si>
    <t>3:200101:300#3:200106:30</t>
  </si>
  <si>
    <t>3:200101:340#3:200106:34</t>
  </si>
  <si>
    <t>3:200101:380#3:200106:38</t>
  </si>
  <si>
    <t>3:200101:420#3:200106:42</t>
  </si>
  <si>
    <t>3:200101:460#3:200106:46</t>
  </si>
  <si>
    <t>3:200101:500#3:200106:50</t>
  </si>
  <si>
    <t>Thanh niên.Thương Long</t>
  </si>
  <si>
    <t>20:20101:1</t>
  </si>
  <si>
    <t>3:200101:20#3:200110:1</t>
  </si>
  <si>
    <t>3:200101:40#3:200110:2</t>
  </si>
  <si>
    <t>3:200101:60#3:200110:3</t>
  </si>
  <si>
    <t>3:200101:80#3:200110:4</t>
  </si>
  <si>
    <t>20:20101:2</t>
  </si>
  <si>
    <t>3:200101:100#3:200110:5</t>
  </si>
  <si>
    <t>3:200101:140#3:200110:7</t>
  </si>
  <si>
    <t>3:200101:180#3:200110:9</t>
  </si>
  <si>
    <t>3:200101:220#3:200110:11</t>
  </si>
  <si>
    <t>3:200101:260#3:200110:13</t>
  </si>
  <si>
    <t>20:20101:3</t>
  </si>
  <si>
    <t>3:200101:300#3:200110:15</t>
  </si>
  <si>
    <t>3:200101:360#3:200110:18</t>
  </si>
  <si>
    <t>3:200101:420#3:200110:21</t>
  </si>
  <si>
    <t>3:200101:480#3:200110:24</t>
  </si>
  <si>
    <t>3:200101:540#3:200110:27</t>
  </si>
  <si>
    <t>20:20101:4</t>
  </si>
  <si>
    <t>3:200101:600#3:200110:30</t>
  </si>
  <si>
    <t>3:200101:680#3:200110:34</t>
  </si>
  <si>
    <t>3:200101:760#3:200110:38</t>
  </si>
  <si>
    <t>3:200101:840#3:200110:42</t>
  </si>
  <si>
    <t>3:200101:920#3:200110:46</t>
  </si>
  <si>
    <t>3:200101:1000#3:200110:50</t>
  </si>
  <si>
    <t>Tráng niên.Thương Long</t>
  </si>
  <si>
    <t>20:20201:1</t>
  </si>
  <si>
    <t>3:200101:50#3:200114:1</t>
  </si>
  <si>
    <t>3:200101:100#3:200114:2</t>
  </si>
  <si>
    <t>3:200101:150#3:200114:3</t>
  </si>
  <si>
    <t>3:200101:200#3:200114:4</t>
  </si>
  <si>
    <t>20:20201:2</t>
  </si>
  <si>
    <t>3:200101:250#3:200114:5</t>
  </si>
  <si>
    <t>3:200101:350#3:200114:7</t>
  </si>
  <si>
    <t>3:200101:450#3:200114:9</t>
  </si>
  <si>
    <t>3:200101:550#3:200114:11</t>
  </si>
  <si>
    <t>3:200101:650#3:200114:13</t>
  </si>
  <si>
    <t>20:20201:3</t>
  </si>
  <si>
    <t>3:200101:750#3:200114:15</t>
  </si>
  <si>
    <t>3:200101:900#3:200114:18</t>
  </si>
  <si>
    <t>3:200101:1050#3:200114:21</t>
  </si>
  <si>
    <t>3:200101:1200#3:200114:24</t>
  </si>
  <si>
    <t>3:200101:1350#3:200114:27</t>
  </si>
  <si>
    <t>20:20201:4</t>
  </si>
  <si>
    <t>3:200101:1500#3:200114:30</t>
  </si>
  <si>
    <t>3:200101:1700#3:200114:34</t>
  </si>
  <si>
    <t>3:200101:1900#3:200114:38</t>
  </si>
  <si>
    <t>3:200101:2100#3:200114:42</t>
  </si>
  <si>
    <t>3:200101:2300#3:200114:46</t>
  </si>
  <si>
    <t>3:200101:2500#3:200114:50</t>
  </si>
  <si>
    <t>Long Vương.Thương Long</t>
  </si>
  <si>
    <t>20:20301:1</t>
  </si>
  <si>
    <t>3:200101:100#3:200118:1</t>
  </si>
  <si>
    <t>3:200101:200#3:200118:2</t>
  </si>
  <si>
    <t>3:200101:300#3:200118:3</t>
  </si>
  <si>
    <t>3:200101:400#3:200118:4</t>
  </si>
  <si>
    <t>20:20301:2</t>
  </si>
  <si>
    <t>3:200101:500#3:200118:5</t>
  </si>
  <si>
    <t>3:200101:700#3:200118:7</t>
  </si>
  <si>
    <t>3:200101:900#3:200118:9</t>
  </si>
  <si>
    <t>3:200101:1100#3:200118:11</t>
  </si>
  <si>
    <t>3:200101:1300#3:200118:13</t>
  </si>
  <si>
    <t>20:20301:3</t>
  </si>
  <si>
    <t>3:200101:1500#3:200118:15</t>
  </si>
  <si>
    <t>3:200101:1800#3:200118:18</t>
  </si>
  <si>
    <t>3:200101:2100#3:200118:21</t>
  </si>
  <si>
    <t>3:200101:2400#3:200118:24</t>
  </si>
  <si>
    <t>3:200101:2700#3:200118:27</t>
  </si>
  <si>
    <t>20:20301:4</t>
  </si>
  <si>
    <t>3:200101:3000#3:200118:30</t>
  </si>
  <si>
    <t>3:200101:3400#3:200118:34</t>
  </si>
  <si>
    <t>3:200101:3800#3:200118:38</t>
  </si>
  <si>
    <t>3:200101:4200#3:200118:42</t>
  </si>
  <si>
    <t>3:200101:4600#3:200118:46</t>
  </si>
  <si>
    <t>3:200101:5000#3:200118:50</t>
  </si>
  <si>
    <t>Còn nhỏ.Cầu Long</t>
  </si>
  <si>
    <t>20:30001:1</t>
  </si>
  <si>
    <t>3:200101:10#3:200107:1</t>
  </si>
  <si>
    <t>3:200101:20#3:200107:2</t>
  </si>
  <si>
    <t>3:200101:30#3:200107:3</t>
  </si>
  <si>
    <t>3:200101:40#3:200107:4</t>
  </si>
  <si>
    <t>20:30001:2</t>
  </si>
  <si>
    <t>3:200101:50#3:200107:5</t>
  </si>
  <si>
    <t>3:200101:70#3:200107:7</t>
  </si>
  <si>
    <t>3:200101:90#3:200107:9</t>
  </si>
  <si>
    <t>3:200101:110#3:200107:11</t>
  </si>
  <si>
    <t>3:200101:130#3:200107:13</t>
  </si>
  <si>
    <t>20:30001:3</t>
  </si>
  <si>
    <t>3:200101:150#3:200107:15</t>
  </si>
  <si>
    <t>3:200101:180#3:200107:18</t>
  </si>
  <si>
    <t>3:200101:210#3:200107:21</t>
  </si>
  <si>
    <t>3:200101:240#3:200107:24</t>
  </si>
  <si>
    <t>3:200101:270#3:200107:27</t>
  </si>
  <si>
    <t>20:30001:4</t>
  </si>
  <si>
    <t>3:200101:300#3:200107:30</t>
  </si>
  <si>
    <t>3:200101:340#3:200107:34</t>
  </si>
  <si>
    <t>3:200101:380#3:200107:38</t>
  </si>
  <si>
    <t>3:200101:420#3:200107:42</t>
  </si>
  <si>
    <t>3:200101:460#3:200107:46</t>
  </si>
  <si>
    <t>3:200101:500#3:200107:50</t>
  </si>
  <si>
    <t>Thanh niên.Cầu Long</t>
  </si>
  <si>
    <t>20:30101:1</t>
  </si>
  <si>
    <t>3:200101:20#3:200111:1</t>
  </si>
  <si>
    <t>3:200101:40#3:200111:2</t>
  </si>
  <si>
    <t>3:200101:60#3:200111:3</t>
  </si>
  <si>
    <t>3:200101:80#3:200111:4</t>
  </si>
  <si>
    <t>20:30101:2</t>
  </si>
  <si>
    <t>3:200101:100#3:200111:5</t>
  </si>
  <si>
    <t>3:200101:140#3:200111:7</t>
  </si>
  <si>
    <t>3:200101:180#3:200111:9</t>
  </si>
  <si>
    <t>3:200101:220#3:200111:11</t>
  </si>
  <si>
    <t>3:200101:260#3:200111:13</t>
  </si>
  <si>
    <t>20:30101:3</t>
  </si>
  <si>
    <t>3:200101:300#3:200111:15</t>
  </si>
  <si>
    <t>3:200101:360#3:200111:18</t>
  </si>
  <si>
    <t>3:200101:420#3:200111:21</t>
  </si>
  <si>
    <t>3:200101:480#3:200111:24</t>
  </si>
  <si>
    <t>3:200101:540#3:200111:27</t>
  </si>
  <si>
    <t>20:30101:4</t>
  </si>
  <si>
    <t>3:200101:600#3:200111:30</t>
  </si>
  <si>
    <t>3:200101:680#3:200111:34</t>
  </si>
  <si>
    <t>3:200101:760#3:200111:38</t>
  </si>
  <si>
    <t>3:200101:840#3:200111:42</t>
  </si>
  <si>
    <t>3:200101:920#3:200111:46</t>
  </si>
  <si>
    <t>3:200101:1000#3:200111:50</t>
  </si>
  <si>
    <t>Tráng niên.Cầu Long</t>
  </si>
  <si>
    <t>20:30201:1</t>
  </si>
  <si>
    <t>3:200101:50#3:200115:1</t>
  </si>
  <si>
    <t>3:200101:100#3:200115:2</t>
  </si>
  <si>
    <t>3:200101:150#3:200115:3</t>
  </si>
  <si>
    <t>3:200101:200#3:200115:4</t>
  </si>
  <si>
    <t>20:30201:2</t>
  </si>
  <si>
    <t>3:200101:250#3:200115:5</t>
  </si>
  <si>
    <t>3:200101:350#3:200115:7</t>
  </si>
  <si>
    <t>3:200101:450#3:200115:9</t>
  </si>
  <si>
    <t>3:200101:550#3:200115:11</t>
  </si>
  <si>
    <t>3:200101:650#3:200115:13</t>
  </si>
  <si>
    <t>20:30201:3</t>
  </si>
  <si>
    <t>3:200101:750#3:200115:15</t>
  </si>
  <si>
    <t>3:200101:900#3:200115:18</t>
  </si>
  <si>
    <t>3:200101:1050#3:200115:21</t>
  </si>
  <si>
    <t>3:200101:1200#3:200115:24</t>
  </si>
  <si>
    <t>3:200101:1350#3:200115:27</t>
  </si>
  <si>
    <t>20:30201:4</t>
  </si>
  <si>
    <t>3:200101:1500#3:200115:30</t>
  </si>
  <si>
    <t>3:200101:1700#3:200115:34</t>
  </si>
  <si>
    <t>3:200101:1900#3:200115:38</t>
  </si>
  <si>
    <t>3:200101:2100#3:200115:42</t>
  </si>
  <si>
    <t>3:200101:2300#3:200115:46</t>
  </si>
  <si>
    <t>3:200101:2500#3:200115:50</t>
  </si>
  <si>
    <t>Long Vương.Cầu Long</t>
  </si>
  <si>
    <t>20:30301:1</t>
  </si>
  <si>
    <t>3:200101:100#3:200119:1</t>
  </si>
  <si>
    <t>3:200101:200#3:200119:2</t>
  </si>
  <si>
    <t>3:200101:300#3:200119:3</t>
  </si>
  <si>
    <t>3:200101:400#3:200119:4</t>
  </si>
  <si>
    <t>20:30301:2</t>
  </si>
  <si>
    <t>3:200101:500#3:200119:5</t>
  </si>
  <si>
    <t>3:200101:700#3:200119:7</t>
  </si>
  <si>
    <t>3:200101:900#3:200119:9</t>
  </si>
  <si>
    <t>3:200101:1100#3:200119:11</t>
  </si>
  <si>
    <t>3:200101:1300#3:200119:13</t>
  </si>
  <si>
    <t>20:30301:3</t>
  </si>
  <si>
    <t>3:200101:1500#3:200119:15</t>
  </si>
  <si>
    <t>3:200101:1800#3:200119:18</t>
  </si>
  <si>
    <t>3:200101:2100#3:200119:21</t>
  </si>
  <si>
    <t>3:200101:2400#3:200119:24</t>
  </si>
  <si>
    <t>3:200101:2700#3:200119:27</t>
  </si>
  <si>
    <t>20:30301:4</t>
  </si>
  <si>
    <t>3:200101:3000#3:200119:30</t>
  </si>
  <si>
    <t>3:200101:3400#3:200119:34</t>
  </si>
  <si>
    <t>3:200101:3800#3:200119:38</t>
  </si>
  <si>
    <t>3:200101:4200#3:200119:42</t>
  </si>
  <si>
    <t>3:200101:4600#3:200119:46</t>
  </si>
  <si>
    <t>3:200101:5000#3:200119:50</t>
  </si>
  <si>
    <t>Còn nhỏ.Vân long</t>
  </si>
  <si>
    <t>20:40001:1</t>
  </si>
  <si>
    <t>3:200101:10#3:200108:1</t>
  </si>
  <si>
    <t>3:200101:20#3:200108:2</t>
  </si>
  <si>
    <t>3:200101:30#3:200108:3</t>
  </si>
  <si>
    <t>3:200101:40#3:200108:4</t>
  </si>
  <si>
    <t>20:40001:2</t>
  </si>
  <si>
    <t>3:200101:50#3:200108:5</t>
  </si>
  <si>
    <t>3:200101:70#3:200108:7</t>
  </si>
  <si>
    <t>3:200101:90#3:200108:9</t>
  </si>
  <si>
    <t>3:200101:110#3:200108:11</t>
  </si>
  <si>
    <t>3:200101:130#3:200108:13</t>
  </si>
  <si>
    <t>20:40001:3</t>
  </si>
  <si>
    <t>3:200101:150#3:200108:15</t>
  </si>
  <si>
    <t>3:200101:180#3:200108:18</t>
  </si>
  <si>
    <t>3:200101:210#3:200108:21</t>
  </si>
  <si>
    <t>3:200101:240#3:200108:24</t>
  </si>
  <si>
    <t>3:200101:270#3:200108:27</t>
  </si>
  <si>
    <t>20:40001:4</t>
  </si>
  <si>
    <t>3:200101:300#3:200108:30</t>
  </si>
  <si>
    <t>3:200101:340#3:200108:34</t>
  </si>
  <si>
    <t>3:200101:380#3:200108:38</t>
  </si>
  <si>
    <t>3:200101:420#3:200108:42</t>
  </si>
  <si>
    <t>3:200101:460#3:200108:46</t>
  </si>
  <si>
    <t>3:200101:500#3:200108:50</t>
  </si>
  <si>
    <t>Thanh niên.Vân long</t>
  </si>
  <si>
    <t>20:40101:1</t>
  </si>
  <si>
    <t>3:200101:20#3:200112:1</t>
  </si>
  <si>
    <t>3:200101:40#3:200112:2</t>
  </si>
  <si>
    <t>3:200101:60#3:200112:3</t>
  </si>
  <si>
    <t>3:200101:80#3:200112:4</t>
  </si>
  <si>
    <t>20:40101:2</t>
  </si>
  <si>
    <t>3:200101:100#3:200112:5</t>
  </si>
  <si>
    <t>3:200101:140#3:200112:7</t>
  </si>
  <si>
    <t>3:200101:180#3:200112:9</t>
  </si>
  <si>
    <t>3:200101:220#3:200112:11</t>
  </si>
  <si>
    <t>3:200101:260#3:200112:13</t>
  </si>
  <si>
    <t>20:40101:3</t>
  </si>
  <si>
    <t>3:200101:300#3:200112:15</t>
  </si>
  <si>
    <t>3:200101:360#3:200112:18</t>
  </si>
  <si>
    <t>3:200101:420#3:200112:21</t>
  </si>
  <si>
    <t>3:200101:480#3:200112:24</t>
  </si>
  <si>
    <t>3:200101:540#3:200112:27</t>
  </si>
  <si>
    <t>20:40101:4</t>
  </si>
  <si>
    <t>3:200101:600#3:200112:30</t>
  </si>
  <si>
    <t>3:200101:680#3:200112:34</t>
  </si>
  <si>
    <t>3:200101:760#3:200112:38</t>
  </si>
  <si>
    <t>3:200101:840#3:200112:42</t>
  </si>
  <si>
    <t>3:200101:920#3:200112:46</t>
  </si>
  <si>
    <t>3:200101:1000#3:200112:50</t>
  </si>
  <si>
    <t>Tráng niên.Vân long</t>
  </si>
  <si>
    <t>20:40201:1</t>
  </si>
  <si>
    <t>3:200101:50#3:200116:1</t>
  </si>
  <si>
    <t>3:200101:100#3:200116:2</t>
  </si>
  <si>
    <t>3:200101:150#3:200116:3</t>
  </si>
  <si>
    <t>3:200101:200#3:200116:4</t>
  </si>
  <si>
    <t>20:40201:2</t>
  </si>
  <si>
    <t>3:200101:250#3:200116:5</t>
  </si>
  <si>
    <t>3:200101:350#3:200116:7</t>
  </si>
  <si>
    <t>3:200101:450#3:200116:9</t>
  </si>
  <si>
    <t>3:200101:550#3:200116:11</t>
  </si>
  <si>
    <t>3:200101:650#3:200116:13</t>
  </si>
  <si>
    <t>20:40201:3</t>
  </si>
  <si>
    <t>3:200101:750#3:200116:15</t>
  </si>
  <si>
    <t>3:200101:900#3:200116:18</t>
  </si>
  <si>
    <t>3:200101:1050#3:200116:21</t>
  </si>
  <si>
    <t>3:200101:1200#3:200116:24</t>
  </si>
  <si>
    <t>3:200101:1350#3:200116:27</t>
  </si>
  <si>
    <t>20:40201:4</t>
  </si>
  <si>
    <t>3:200101:1500#3:200116:30</t>
  </si>
  <si>
    <t>3:200101:1700#3:200116:34</t>
  </si>
  <si>
    <t>3:200101:1900#3:200116:38</t>
  </si>
  <si>
    <t>3:200101:2100#3:200116:42</t>
  </si>
  <si>
    <t>3:200101:2300#3:200116:46</t>
  </si>
  <si>
    <t>3:200101:2500#3:200116:50</t>
  </si>
  <si>
    <t>Long Vương.Vân long</t>
  </si>
  <si>
    <t>20:40301:1</t>
  </si>
  <si>
    <t>3:200101:100#3:200120:1</t>
  </si>
  <si>
    <t>3:200101:200#3:200120:2</t>
  </si>
  <si>
    <t>3:200101:300#3:200120:3</t>
  </si>
  <si>
    <t>3:200101:400#3:200120:4</t>
  </si>
  <si>
    <t>20:40301:2</t>
  </si>
  <si>
    <t>3:200101:500#3:200120:5</t>
  </si>
  <si>
    <t>3:200101:700#3:200120:7</t>
  </si>
  <si>
    <t>3:200101:900#3:200120:9</t>
  </si>
  <si>
    <t>3:200101:1100#3:200120:11</t>
  </si>
  <si>
    <t>3:200101:1300#3:200120:13</t>
  </si>
  <si>
    <t>20:40301:3</t>
  </si>
  <si>
    <t>3:200101:1500#3:200120:15</t>
  </si>
  <si>
    <t>3:200101:1800#3:200120:18</t>
  </si>
  <si>
    <t>3:200101:2100#3:200120:21</t>
  </si>
  <si>
    <t>3:200101:2400#3:200120:24</t>
  </si>
  <si>
    <t>3:200101:2700#3:200120:27</t>
  </si>
  <si>
    <t>20:40301:4</t>
  </si>
  <si>
    <t>3:200101:3000#3:200120:30</t>
  </si>
  <si>
    <t>3:200101:3400#3:200120:34</t>
  </si>
  <si>
    <t>3:200101:3800#3:200120:38</t>
  </si>
  <si>
    <t>3:200101:4200#3:200120:42</t>
  </si>
  <si>
    <t>3:200101:4600#3:200120:46</t>
  </si>
  <si>
    <t>3:200101:5000#3:200120:50</t>
  </si>
  <si>
    <t>通用召唤材料</t>
  </si>
  <si>
    <t>特殊召唤材料</t>
  </si>
  <si>
    <t>首次召唤获得图鉴经验</t>
  </si>
  <si>
    <t>御灵经验</t>
  </si>
  <si>
    <r>
      <rPr>
        <sz val="11"/>
        <color theme="1"/>
        <rFont val="Calibri"/>
        <charset val="134"/>
        <scheme val="minor"/>
      </rPr>
      <t>3:200101:10#0: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:10000</t>
    </r>
  </si>
  <si>
    <t>3:200105:1</t>
  </si>
  <si>
    <r>
      <rPr>
        <sz val="11"/>
        <color theme="1"/>
        <rFont val="Calibri"/>
        <charset val="134"/>
        <scheme val="minor"/>
      </rPr>
      <t>3:200101:20#0</t>
    </r>
    <r>
      <rPr>
        <sz val="11"/>
        <color theme="1"/>
        <rFont val="Calibri"/>
        <charset val="134"/>
        <scheme val="minor"/>
      </rPr>
      <t>:0</t>
    </r>
    <r>
      <rPr>
        <sz val="11"/>
        <color theme="1"/>
        <rFont val="Calibri"/>
        <charset val="134"/>
        <scheme val="minor"/>
      </rPr>
      <t>:100000</t>
    </r>
  </si>
  <si>
    <t>3:200109:1</t>
  </si>
  <si>
    <r>
      <rPr>
        <sz val="11"/>
        <color theme="1"/>
        <rFont val="Calibri"/>
        <charset val="134"/>
        <scheme val="minor"/>
      </rPr>
      <t>3:200101:50#0</t>
    </r>
    <r>
      <rPr>
        <sz val="11"/>
        <color theme="1"/>
        <rFont val="Calibri"/>
        <charset val="134"/>
        <scheme val="minor"/>
      </rPr>
      <t>:0</t>
    </r>
    <r>
      <rPr>
        <sz val="11"/>
        <color theme="1"/>
        <rFont val="Calibri"/>
        <charset val="134"/>
        <scheme val="minor"/>
      </rPr>
      <t>:1000000</t>
    </r>
  </si>
  <si>
    <t>3:200113:1</t>
  </si>
  <si>
    <r>
      <rPr>
        <sz val="11"/>
        <color theme="1"/>
        <rFont val="Calibri"/>
        <charset val="134"/>
        <scheme val="minor"/>
      </rPr>
      <t>3:200101:100#0</t>
    </r>
    <r>
      <rPr>
        <sz val="11"/>
        <color theme="1"/>
        <rFont val="Calibri"/>
        <charset val="134"/>
        <scheme val="minor"/>
      </rPr>
      <t>:0</t>
    </r>
    <r>
      <rPr>
        <sz val="11"/>
        <color theme="1"/>
        <rFont val="Calibri"/>
        <charset val="134"/>
        <scheme val="minor"/>
      </rPr>
      <t>:1000000</t>
    </r>
  </si>
  <si>
    <t>3:200117:1</t>
  </si>
  <si>
    <t>3:200106:1</t>
  </si>
  <si>
    <t>3:200110:1</t>
  </si>
  <si>
    <t>3:200114:1</t>
  </si>
  <si>
    <t>3:200118:1</t>
  </si>
  <si>
    <r>
      <rPr>
        <sz val="11"/>
        <color theme="1"/>
        <rFont val="Calibri"/>
        <charset val="134"/>
        <scheme val="minor"/>
      </rPr>
      <t>3:200101:10#0</t>
    </r>
    <r>
      <rPr>
        <sz val="11"/>
        <color theme="1"/>
        <rFont val="Calibri"/>
        <charset val="134"/>
        <scheme val="minor"/>
      </rPr>
      <t>:0</t>
    </r>
    <r>
      <rPr>
        <sz val="11"/>
        <color theme="1"/>
        <rFont val="Calibri"/>
        <charset val="134"/>
        <scheme val="minor"/>
      </rPr>
      <t>:10000</t>
    </r>
  </si>
  <si>
    <t>3:200107:1</t>
  </si>
  <si>
    <t>3:200111:1</t>
  </si>
  <si>
    <t>3:200115:1</t>
  </si>
  <si>
    <t>3:200119:1</t>
  </si>
  <si>
    <t>3:200108:1</t>
  </si>
  <si>
    <t>3:200112:1</t>
  </si>
  <si>
    <t>3:200116:1</t>
  </si>
  <si>
    <t>3:200120:1</t>
  </si>
  <si>
    <t>ID</t>
  </si>
  <si>
    <t>神龙原型ID</t>
  </si>
  <si>
    <t>强化等级</t>
  </si>
  <si>
    <t>强化星级要求</t>
  </si>
  <si>
    <t>强化消耗</t>
  </si>
  <si>
    <t>技能ID</t>
  </si>
  <si>
    <t>技能伤害加成</t>
  </si>
  <si>
    <t>技能伤害加成比例</t>
  </si>
  <si>
    <t>技能目标数</t>
  </si>
  <si>
    <t>*技能释放概率</t>
  </si>
  <si>
    <t>强化效果描述</t>
  </si>
  <si>
    <t>技能描述</t>
  </si>
  <si>
    <t>3:200102:10#3:200101:10</t>
  </si>
  <si>
    <t>Khi bắt đầu hiệp đấu, nó sẽ gây ra &lt;2467 {d}&gt; sát thương thực cho tất cả kẻ thù, với xác suất &lt;2467 10%&gt; gây ra hiệu ứng [Giáp rồng], kéo dài trong &lt;2467 2&gt; hiệp đấu . Hồi chiêu 3 vòng</t>
  </si>
  <si>
    <t>3:200102:11#3:200101:20</t>
  </si>
  <si>
    <t>3:200102:12#3:200101:30</t>
  </si>
  <si>
    <t>3:200102:13#3:200101:40</t>
  </si>
  <si>
    <t>3:200102:14#3:200101:50</t>
  </si>
  <si>
    <t>3:200102:15#3:200101:60</t>
  </si>
  <si>
    <t>3:200102:16#3:200101:70</t>
  </si>
  <si>
    <t>3:200102:17#3:200101:80</t>
  </si>
  <si>
    <t>3:200102:18#3:200101:90</t>
  </si>
  <si>
    <t>3:200102:20#3:200101:100</t>
  </si>
  <si>
    <t>Sát thương gây ra bởi [Phá giáp Ưng Long] tăng thêm 8%\nXác suất kích hoạt [Phá giáp Shenlong] tăng lên 20%</t>
  </si>
  <si>
    <t>Khi bắt đầu hiệp đấu, nó sẽ gây &lt;2467 {d}&gt; sát thương thực cho tất cả kẻ thù, với xác suất &lt;2467 20%&gt; gây ra hiệu ứng [Giáp rồng], kéo dài trong &lt;2467 2&gt; hiệp đấu . Hồi chiêu 3 vòng</t>
  </si>
  <si>
    <t>3:200103:10#3:200101:20</t>
  </si>
  <si>
    <t>[Phá Ưng Long Giáp] tăng sát thương thêm 8%\nXác suất kích hoạt [Phá Giáp Thần Long] tăng lên 30%</t>
  </si>
  <si>
    <t>Khi bắt đầu hiệp đấu, nó sẽ gây ra &lt;2467 {d}&gt; sát thương thực cho tất cả kẻ thù, với xác suất &lt;2467 30%&gt; gây ra hiệu ứng [Giáp rồng], kéo dài trong &lt;2467 2&gt; hiệp đấu. Hồi chiêu 3 vòng</t>
  </si>
  <si>
    <t>3:200103:11#3:200101:40</t>
  </si>
  <si>
    <t>3:200103:12#3:200101:60</t>
  </si>
  <si>
    <t>3:200103:13#3:200101:80</t>
  </si>
  <si>
    <t>3:200103:14#3:200101:100</t>
  </si>
  <si>
    <t>3:200103:15#3:200101:120</t>
  </si>
  <si>
    <t>3:200103:16#3:200101:140</t>
  </si>
  <si>
    <t>3:200103:17#3:200101:160</t>
  </si>
  <si>
    <t>3:200103:18#3:200101:180</t>
  </si>
  <si>
    <t>3:200103:20#3:200101:200</t>
  </si>
  <si>
    <t>Sát thương gây ra bởi [Phá giáp Ưng Long] tăng thêm 16%\nXác suất kích hoạt [Phá giáp Shenlong] tăng lên 40%</t>
  </si>
  <si>
    <t>Khi bắt đầu hiệp đấu, nó sẽ gây ra&lt;2467 {d}&gt;sát thương thực cho tất cả kẻ thù, với xác suấ&lt;2467 40%&gt; gây ra hiệu ứng [Giáp rồng], kéo dài trong &lt;2467 2&gt;hiệp đấu. Hồi chiêu 3 vòng</t>
  </si>
  <si>
    <t>Sát thương gây ra bởi [Phá giáp Ưng Long] tăng thêm 8%\nXác suất kích hoạt [Phá giáp Shenlong] tăng lên 50%</t>
  </si>
  <si>
    <t>Khi bắt đầu hiệp đấu, nó sẽ gây ra&lt;2467 {d}&gt;sát thương thực cho tất cả kẻ thù, với xác suấ&lt;2467 50%&gt; gây ra hiệu ứng [Giáp rồng], kéo dài trong &lt;2467 2&gt;hiệp đấu. Hồi chiêu 3 vòng</t>
  </si>
  <si>
    <t>3:200104:10#3:200101:50</t>
  </si>
  <si>
    <t>Sát thương gây ra bởi [Phá Giáp Ưng Long] tăng thêm 16%\nXác suất kích hoạt [Phá Giáp Shenlong] tăng lên 60%</t>
  </si>
  <si>
    <t>Khi bắt đầu hiệp đấu, nó sẽ gây ra&lt;2467 {d}&gt;sát thương thực cho tất cả kẻ thù, với xác suấ&lt;2467 60%&gt; gây ra hiệu ứng [Giáp rồng], kéo dài trong &lt;2467 2&gt;hiệp đấu. Hồi chiêu 3 vòng</t>
  </si>
  <si>
    <t>3:200104:11#3:200101:100</t>
  </si>
  <si>
    <t>3:200104:12#3:200101:150</t>
  </si>
  <si>
    <t>3:200104:13#3:200101:200</t>
  </si>
  <si>
    <t>3:200104:14#3:200101:250</t>
  </si>
  <si>
    <t>3:200104:15#3:200101:300</t>
  </si>
  <si>
    <t>3:200104:16#3:200101:350</t>
  </si>
  <si>
    <t>3:200104:17#3:200101:400</t>
  </si>
  <si>
    <t>3:200104:18#3:200101:450</t>
  </si>
  <si>
    <t>3:200104:20#3:200101:500</t>
  </si>
  <si>
    <t>Sát thương gây ra bởi [Phá giáp Ưng Long] tăng thêm 24%\nXác suất kích hoạt [Phá giáp Shenlong] tăng lên 70%</t>
  </si>
  <si>
    <t>Khi bắt đầu hiệp đấu, nó sẽ gây ra&lt;2467 {d}&gt;sát thương thực cho tất cả kẻ thù, với xác suấ&lt;2467 70%&gt; gây ra hiệu ứng [Giáp rồng], kéo dài trong &lt;2467 2&gt;hiệp đấu. Hồi chiêu 3 vòng</t>
  </si>
  <si>
    <t>[Phá Ưng Long Giáp] tăng sát thương thêm 8%\nXác suất kích hoạt [Phá Giáp Thần Long] tăng lên 80%</t>
  </si>
  <si>
    <t>Khi bắt đầu hiệp đấu, nó sẽ gây ra&lt;2467 {d}&gt;sát thương thực cho tất cả kẻ thù, với xác suấ&lt;2467 80%&gt; gây ra hiệu ứng [Giáp rồng], kéo dài trong &lt;2467 2&gt;hiệp đấu. Hồi chiêu 3 vòng</t>
  </si>
  <si>
    <t>Sát thương gây ra bởi [Phá Giáp Ưng Long] tăng thêm 16%\nXác suất kích hoạt [Phá Giáp Shenlong] tăng lên 90%</t>
  </si>
  <si>
    <t>Khi bắt đầu hiệp đấu, nó sẽ gây ra&lt;2467 {d}&gt;sát thương thực cho tất cả kẻ thù, với xác suấ&lt;2467 90%&gt; gây ra hiệu ứng [Giáp rồng], kéo dài trong &lt;2467 2&gt;hiệp đấu. Hồi chiêu 3 vòng</t>
  </si>
  <si>
    <t>Sát thương gây ra bởi [Phá giáp Ưng Long] tăng thêm 24%\nXác suất kích hoạt [Phá giáp Shenlong] tăng lên 100%</t>
  </si>
  <si>
    <t>Khi bắt đầu hiệp đấu, nó sẽ gây ra&lt;2467 {d}&gt;sát thương thực cho tất cả kẻ thù, với xác suấ&lt;2467 100%&gt; gây ra hiệu ứng [Giáp rồng], kéo dài trong &lt;2467 2&gt;hiệp đấu. Hồi chiêu 3 vòng</t>
  </si>
  <si>
    <t>Khi bắt đầu hiệp đấu, đơn vị có sức tấn công cao nhất vào kẻ thù sẽ gây ra &lt;2467 {d}&gt;sát thương thực sự cho tất cả kẻ thù, với xác suất&lt;2467 10%&gt; xác suất [Xóa bỏ] tất cả các trạng thái tích cực của nó có thể được giải trừ và thêm vào trạng thái [Giảm thương tích] mục tiêu. Hồi chiêu 3 vòng</t>
  </si>
  <si>
    <t>Khi bắt đầu hiệp đấu, đơn vị có sức tấn công cao nhất vào kẻ thù sẽ gây ra&lt;2467 {d}&gt;sát thương thực cho tất cả kẻ thù, với xác suấ&lt;2467 10%&gt;xác suất [Xóa bỏ] tất cả các trạng thái tích cực của nó có thể được giải trừ và thêm vào trạng thái [Giảm thương tích] mục tiêu. Hồi chiêu 3 vòng</t>
  </si>
  <si>
    <t>【Canglong Zhenyue】Tăng thêm 8% sát thương gây ra\nXác suất 【Xuất tan】tăng lên 20%</t>
  </si>
  <si>
    <t>Khi bắt đầu hiệp đấu, đơn vị có sức tấn công cao nhất vào kẻ thù sẽ gây ra&lt;2467 {d}&gt;sát thương thực cho tất cả kẻ thù, với xác suấ&lt;2467 20%&gt;xác suất [Xóa bỏ] tất cả các trạng thái tích cực của nó có thể được giải trừ và thêm vào trạng thái [Giảm thương tích] mục tiêu. Hồi chiêu 3 vòng</t>
  </si>
  <si>
    <t>【Canglong Zhenyue】Tăng sát thương gây ra thêm 8%\nXác suất 【Xuất tan】tăng lên 30%</t>
  </si>
  <si>
    <t>Khi bắt đầu hiệp đấu, đơn vị có sức tấn công cao nhất vào kẻ thù sẽ gây ra&lt;2467 {d}&gt;sát thương thực cho tất cả kẻ thù, với xác suấ&lt;2467 30%&gt;xác suất [Xóa bỏ] tất cả các trạng thái tích cực của nó có thể được giải trừ và thêm vào trạng thái [Giảm thương tích] mục tiêu. Hồi chiêu 3 vòng</t>
  </si>
  <si>
    <t>【Canglong Zhenyue】Tăng thêm 16% sát thương gây ra\nXác suất 【Xuất tan】tăng lên 40%</t>
  </si>
  <si>
    <t>Khi bắt đầu hiệp đấu, đơn vị có sức tấn công cao nhất vào kẻ thù sẽ gây ra&lt;2467 {d}&gt;sát thương thực cho tất cả kẻ thù, với xác suấ&lt;2467 40%&gt;xác suất [Xóa bỏ] tất cả các trạng thái tích cực của nó có thể được giải trừ và thêm vào trạng thái [Giảm thương tích] mục tiêu. Hồi chiêu 3 vòng</t>
  </si>
  <si>
    <t>【Canglong Zhenyue】Tăng thêm 8% sát thương gây ra\nXác suất 【Xuất tan】tăng lên 50%</t>
  </si>
  <si>
    <t>Khi bắt đầu hiệp đấu, đơn vị có sức tấn công cao nhất vào kẻ thù sẽ gây ra&lt;2467 {d}&gt;sát thương thực cho tất cả kẻ thù, với xác suấ&lt;2467 50%&gt;xác suất [Xóa bỏ] tất cả các trạng thái tích cực của nó có thể được giải trừ và thêm vào trạng thái [Giảm thương tích] mục tiêu. Hồi chiêu 3 vòng</t>
  </si>
  <si>
    <t>【Canglong Zhenyue】Tăng thêm 16% sát thương gây ra\nXác suất của 【Xua tan】 được tăng lên 60%</t>
  </si>
  <si>
    <t>Khi bắt đầu hiệp đấu, đơn vị có sức tấn công cao nhất vào kẻ thù sẽ gây ra&lt;2467 {d}&gt;sát thương thực cho tất cả kẻ thù, với xác suấ&lt;2467 60%&gt;xác suất [Xóa bỏ] tất cả các trạng thái tích cực của nó có thể được giải trừ và thêm vào trạng thái [Giảm thương tích] mục tiêu. Hồi chiêu 3 vòng</t>
  </si>
  <si>
    <t>【Canglong Zhenyue】Tăng thêm 24% sát thương gây ra\nXác suất của 【Dispel】được tăng lên 70%</t>
  </si>
  <si>
    <t>Khi bắt đầu hiệp đấu, đơn vị có sức tấn công cao nhất vào kẻ thù sẽ gây ra&lt;2467 {d}&gt;sát thương thực cho tất cả kẻ thù, với xác suấ&lt;2467 70%&gt;xác suất [Xóa bỏ] tất cả các trạng thái tích cực của nó có thể được giải trừ và thêm vào trạng thái [Giảm thương tích] mục tiêu. Hồi chiêu 3 vòng</t>
  </si>
  <si>
    <t>【Canglong Zhenyue】Tăng thêm 8% sát thương gây ra\nXác suất 【Xuất tan】tăng lên 80%</t>
  </si>
  <si>
    <t>Khi bắt đầu hiệp đấu, đơn vị có sức tấn công cao nhất vào kẻ thù sẽ gây ra&lt;2467 {d}&gt;sát thương thực cho tất cả kẻ thù, với xác suấ&lt;2467 80%&gt;xác suất [Xóa bỏ] tất cả các trạng thái tích cực của nó có thể được giải trừ và thêm vào trạng thái [Giảm thương tích] mục tiêu. Hồi chiêu 3 vòng</t>
  </si>
  <si>
    <t>【Canglong Zhenyue】Tăng thêm 16% sát thương gây ra\nXác suất của 【Xua tan】 được tăng lên 90%</t>
  </si>
  <si>
    <t>Khi bắt đầu hiệp đấu, đơn vị có sức tấn công cao nhất vào kẻ thù sẽ gây ra&lt;2467 {d}&gt;sát thương thực cho tất cả kẻ thù, với xác suấ&lt;2467 90%&gt;xác suất [Xóa bỏ] tất cả các trạng thái tích cực của nó có thể được giải trừ và thêm vào trạng thái [Giảm thương tích] mục tiêu. Hồi chiêu 3 vòng</t>
  </si>
  <si>
    <t>【Canglong Zhenyue】Tăng 24% sát thương gây ra\nXác suất 【Xuất tan】tăng lên 100%</t>
  </si>
  <si>
    <t>Khi bắt đầu hiệp đấu, đơn vị có sức tấn công cao nhất vào kẻ thù sẽ gây ra&lt;2467 {d}&gt;sát thương thực cho tất cả kẻ thù, với xác suấ&lt;2467 100%&gt;xác suất [Xóa bỏ] tất cả các trạng thái tích cực của nó có thể được giải trừ và thêm vào trạng thái [Giảm thương tích] mục tiêu. Hồi chiêu 3 vòng</t>
  </si>
  <si>
    <t>Khi bắt đầu vòng đấu, xác suất &lt;2467 {d}&gt;sát thương thực sự cho tất cả kẻ thù, với xác nhận&lt;2467 10%&gt; cho 3 đơn vị có sức tấn công cao nhất của kẻ thù là &lt;2467 2&gt; đơn vị có sức tấn công cao nhất của phe ta Thêm 1 [Khiên rồng] cho đơn vị. Hồi chiêu 3 vòng</t>
  </si>
  <si>
    <t>Sát thương gây ra bởi [Mưa vải rồng sừng] tăng thêm 8%\nXác suất của [Khiên rồng] tăng lên 20%</t>
  </si>
  <si>
    <t>Khi bắt đầu vòng, &lt;2467 {d}&gt;sát thương thực tế cho tất cả kẻ thù, với xác nhận &lt;2467 20%&gt; cho 3 đơn vị bị kẻ thù tấn công cao nhất có xác suất &lt;2467 2&gt; đơn vị với đòn tấn công cao nhất của phe ta Thêm 1 [Khiên rồng] cho đơn vị. Hồi chiêu 3 vòng</t>
  </si>
  <si>
    <t>Sát thương gây ra bởi [Mưa vải rồng sừng] tăng thêm 8%\nXác suất của [Khiên rồng] tăng lên 30%</t>
  </si>
  <si>
    <t>Khi bắt đầu vòng đấu, xác suất &lt;2467 {d}&gt;sát thương thực sự cho tất cả kẻ thù, với xác nhận&lt;2467 30%&gt; cho 3 đơn vị có sức tấn công cao nhất của kẻ thù là &lt;2467 2&gt; đơn vị có sức tấn công cao nhất của phe ta Thêm 1 [Khiên rồng] cho đơn vị. Hồi chiêu 3 vòng</t>
  </si>
  <si>
    <t>Sát thương gây ra bởi [Mưa vải rồng có sừng] tăng thêm 16%\nXác suất của [Khiên rồng] tăng lên 40%</t>
  </si>
  <si>
    <t>Khi bắt đầu hiệp đấu, xác suất &lt;2467 {d}&gt;sát thương thực sự cho tất cả kẻ thù, với xác nhận&lt;2467 40%&gt;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</si>
  <si>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sừng] tăng thêm 8%\nXác suất của [Khiên rồng] tăng lên 50%</t>
  </si>
  <si>
    <t>Khi bắt đầu hiệp đấu, xác suất &lt;2467 {d}&gt;sát thương thực sự cho tất cả kẻ thù, với xác nhận&lt;2467 50%&gt;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</si>
  <si>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có sừng] tăng thêm 16%\nXác suất của [Khiên rồng] tăng lên 60%</t>
  </si>
  <si>
    <t>Khi bắt đầu hiệp đấu, xác suất &lt;2467 {d}&gt;sát thương thực sự cho tất cả kẻ thù, với xác nhận&lt;2467 60%&gt;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</si>
  <si>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có sừng] tăng thêm 24%\nXác suất của [Khiên rồng] tăng lên 70%</t>
  </si>
  <si>
    <t>Khi bắt đầu hiệp đấu, xác suất &lt;2467 {d}&gt;sát thương thực sự cho tất cả kẻ thù, với xác nhận&lt;2467 70%&gt;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</si>
  <si>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sừng] tăng thêm 8%\nXác suất của [Khiên rồng] tăng lên 80%</t>
  </si>
  <si>
    <t>Khi bắt đầu hiệp đấu, xác suất &lt;2467 {d}&gt;sát thương thực sự cho tất cả kẻ thù, với xác nhận&lt;2467 80%&gt;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</si>
  <si>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sừng] tăng thêm 16%\nXác suất của [Khiên rồng] tăng lên 90%</t>
  </si>
  <si>
    <t>Khi bắt đầu hiệp đấu, xác suất &lt;2467 {d}&gt;sát thương thực sự cho tất cả kẻ thù, với xác nhận&lt;2467 90%&gt; cho 3 đơn vị có sức tấn công cao nhất của kẻ địch là &lt;2467 2&gt; đơn vị có sức tấn công cao nhất của phe ta Thêm 1 [Khiên rồng] cho đơn vị. Hồi chiêu 3 vòng</t>
  </si>
  <si>
    <t>Sát thương gây ra bởi [Mưa vải rồng có sừng] tăng thêm 24%\nXác suất của [Khiên rồng] tăng lên 100%</t>
  </si>
  <si>
    <t>Khi bắt đầu hiệp đấu, xác suất &lt;2467 {d}&gt;sát thương thực sự cho tất cả kẻ thù, với xác nhận&lt;2467 100%&gt; cho 3 đơn vị có sức tấn công cao nhất của kẻ địch là &lt;2467 2&gt; đơn vị có sức tấn công cao nhất của phe ta Thêm 1 [Khiên rồng] cho đơn vị. Hồi chiêu 3 vòng</t>
  </si>
  <si>
    <t>Khi bắt đầu vòng &lt;2467 2&gt;, hãy phục hồi các đơn vị &lt;2467 2&gt; có sức mạnh tấn công cao nhất &lt;2467 {d}&gt; điểm HP và có xác suất &lt;2467 10%&gt; để thêm trạng thái [Tăng cường tấn công] vào họ. Hồi chiêu 3 vòng</t>
  </si>
  <si>
    <t>[Người bảo vệ Rồng Mây] phục hồi thêm 8% HP\nXác suất [Tăng cường Tấn công] tăng lên 20%</t>
  </si>
  <si>
    <t>Khi bắt đầu vòng &lt;2467 2&gt;, hãy phục hồi các đơn vị &lt;2467 2&gt; có sức mạnh tấn công cao nhất &lt;2467 {d}&gt; điểm HP và có xác suất &lt;2467 20%&gt; để thêm trạng thái [Tăng cường tấn công] vào họ. Hồi chiêu 3 vòng</t>
  </si>
  <si>
    <t>[Người bảo vệ Rồng Mây] phục hồi thêm 8% HP\nXác suất [Tăng cường Tấn công] tăng lên 30%</t>
  </si>
  <si>
    <t>Khi bắt đầu vòng &lt;2467 2&gt;, hãy phục hồi các đơn vị &lt;2467 2&gt; có sức mạnh tấn công cao nhất &lt;2467 {d}&gt; điểm HP và có xác suất &lt;2467 30%&gt; để thêm trạng thái [Tăng cường tấn công] vào họ. Hồi chiêu 3 vòng</t>
  </si>
  <si>
    <t>[Người bảo vệ Rồng Mây] phục hồi thêm 16% HP\nXác suất [Tăng cường Tấn công] tăng lên 40%</t>
  </si>
  <si>
    <t>Khi bắt đầu vòng &lt;2467 2&gt;, hãy phục hồi các đơn vị &lt;2467 2&gt; có sức mạnh tấn công cao nhất &lt;2467 {d}&gt; điểm HP và có xác suất &lt;2467 40%&gt; để thêm trạng thái [Tăng cường tấn công] vào họ. Hồi chiêu 3 vòng</t>
  </si>
  <si>
    <t>[Người bảo vệ Rồng Mây] phục hồi thêm 8% HP\nXác suất [Tăng cường Tấn công] tăng lên 50%</t>
  </si>
  <si>
    <t>Khi bắt đầu vòng &lt;2467 2&gt;, hãy phục hồi các đơn vị &lt;2467 2&gt; có sức mạnh tấn công cao nhất &lt;2467 {d}&gt; điểm HP và có xác suất &lt;2467 50%&gt; để thêm trạng thái [Tăng cường tấn công] vào họ. Hồi chiêu 3 vòng</t>
  </si>
  <si>
    <t>[Người bảo vệ rồng mây] phục hồi thêm 16% HP\nXác suất [Tăng cường tấn công] tăng lên 60%</t>
  </si>
  <si>
    <t>Khi bắt đầu vòng &lt;2467 2&gt;, hãy phục hồi các đơn vị &lt;2467 2&gt; có sức mạnh tấn công cao nhất &lt;2467 {d}&gt; điểm HP và có xác suất &lt;2467 60%&gt; để thêm trạng thái [Tăng cường tấn công] vào họ. Hồi chiêu 3 vòng</t>
  </si>
  <si>
    <t>[Người bảo vệ Rồng Mây] phục hồi thêm 24% HP\nXác suất [Tăng cường Tấn công] tăng lên 70%</t>
  </si>
  <si>
    <t>Khi bắt đầu vòng &lt;2467 2&gt;, hãy phục hồi các đơn vị &lt;2467 2&gt; có sức mạnh tấn công cao nhất &lt;2467 {d}&gt; điểm HP và có xác suất &lt;2467 70%&gt; để thêm trạng thái [Tăng cường tấn công] vào họ. Hồi chiêu 3 vòng</t>
  </si>
  <si>
    <t>[Người bảo vệ Rồng Mây] phục hồi thêm 8% HP\nXác suất [Tăng cường Tấn công] tăng lên 80%</t>
  </si>
  <si>
    <t>Khi bắt đầu vòng &lt;2467 2&gt;, hãy phục hồi các đơn vị &lt;2467 2&gt; có sức mạnh tấn công cao nhất &lt;2467 {d}&gt; điểm HP và có xác suất &lt;2467 80%&gt; để thêm trạng thái [Tăng cường tấn công] vào họ. Hồi chiêu 3 vòng</t>
  </si>
  <si>
    <t>[Người bảo vệ Rồng Mây] phục hồi thêm 16% HP\nXác suất [Tăng cường Tấn công] tăng lên 90%</t>
  </si>
  <si>
    <t>Khi bắt đầu vòng &lt;2467 2&gt;, hãy phục hồi các đơn vị &lt;2467 2&gt; có sức mạnh tấn công cao nhất &lt;2467 {d}&gt; điểm HP và có xác suất &lt;2467 90%&gt; để thêm trạng thái [Tăng cường tấn công] vào họ. Hồi chiêu 3 vòng</t>
  </si>
  <si>
    <t>[Người bảo vệ Rồng Mây] phục hồi thêm 24% HP\nXác suất [Tăng cường Tấn công] tăng lên 100%</t>
  </si>
  <si>
    <t>Khi bắt đầu vòng &lt;2467 2&gt;, hãy phục hồi các đơn vị &lt;2467 2&gt; có sức mạnh tấn công cao nhất &lt;2467 {d}&gt; điểm HP và có xác suất &lt;2467 100%&gt; để thêm trạng thái [Tăng cường tấn công] vào họ. Hồi chiêu 3 vòng</t>
  </si>
  <si>
    <t>图鉴等级</t>
  </si>
  <si>
    <t>总经验</t>
  </si>
  <si>
    <t>御灵等级</t>
  </si>
  <si>
    <t>名字</t>
  </si>
  <si>
    <t>召唤品阶上限</t>
  </si>
  <si>
    <t>本级效果</t>
  </si>
  <si>
    <t>下级解锁</t>
  </si>
  <si>
    <t>Sơ Cấp</t>
  </si>
  <si>
    <t>Có thể mở ra triệu hoán còn nhỏ thần long và chức năng thăng tinh</t>
  </si>
  <si>
    <t>Hạ cấp triệu hoán thanh niên thần long</t>
  </si>
  <si>
    <t>Trung Cấp</t>
  </si>
  <si>
    <t>Có thể mở ra triệu hoán thanh niên thần long và chức năng thăng tinh</t>
  </si>
  <si>
    <t>Hạ cấp giải tỏa thanh niên thần long thăng tinh</t>
  </si>
  <si>
    <t>Cao Cấp</t>
  </si>
  <si>
    <t>Hạ cấp có thể triệu hoán tráng niên thần long</t>
  </si>
  <si>
    <t>Đặc Cấp</t>
  </si>
  <si>
    <t>Có thể mở ra triệu hoán tráng niên thần long và chức năng thăng tinh</t>
  </si>
  <si>
    <t>Hạ cấp giải tỏa tráng niên thần long thăng tinh</t>
  </si>
  <si>
    <t>Đại Sư</t>
  </si>
  <si>
    <t>Hạ cấp có thể triệu hoán Long Vương</t>
  </si>
  <si>
    <t>Tông Sư</t>
  </si>
  <si>
    <t>Có thể mở ra triệu hoán long vương thần long và chức năng thăng tinh</t>
  </si>
  <si>
    <t>Hạ cấp giải tỏa Long Vương thăng tinh</t>
  </si>
  <si>
    <t>Thần Cấp</t>
  </si>
  <si>
    <t>龙蛋ID</t>
  </si>
  <si>
    <t>*名称</t>
  </si>
  <si>
    <t>龙蛋需求</t>
  </si>
  <si>
    <t>合成材料</t>
  </si>
  <si>
    <t>Ấu Long Tự Do</t>
  </si>
  <si>
    <t>3:200192:30</t>
  </si>
  <si>
    <t>3:200101:0#3:200191:0</t>
  </si>
  <si>
    <t>Thanh Niên · Ứng Long Trứng</t>
  </si>
  <si>
    <t>3:200105:3</t>
  </si>
  <si>
    <t>3:200101:10#3:200191:100</t>
  </si>
  <si>
    <t>Tráng Niên · Ứng Long Trứng</t>
  </si>
  <si>
    <t>3:200109:3</t>
  </si>
  <si>
    <t>3:200101:30#3:200191:180</t>
  </si>
  <si>
    <t>Long Vương · Ứng Long Trứng</t>
  </si>
  <si>
    <t>3:200113:3</t>
  </si>
  <si>
    <t>3:200101:100#3:200191:300</t>
  </si>
  <si>
    <t>3:200101:300</t>
  </si>
  <si>
    <t>Thanh Niên · Thương Long Trứng</t>
  </si>
  <si>
    <t>3:200106:3</t>
  </si>
  <si>
    <t>Tráng Niên · Thương Long Trứng</t>
  </si>
  <si>
    <t>3:200110:3</t>
  </si>
  <si>
    <t>Long Vương · Thương Long Trứng</t>
  </si>
  <si>
    <t>3:200114:3</t>
  </si>
  <si>
    <t>Thanh Niên · Cầu Long Trứng</t>
  </si>
  <si>
    <t>3:200107:3</t>
  </si>
  <si>
    <t>Tráng Niên · Cầu Long Trứng</t>
  </si>
  <si>
    <t>3:200111:3</t>
  </si>
  <si>
    <t>Long Vương · Cầu Long Trứng</t>
  </si>
  <si>
    <t>3:200115:3</t>
  </si>
  <si>
    <t>Thanh Niên · Vân Long Trứng</t>
  </si>
  <si>
    <t>3:200108:3</t>
  </si>
  <si>
    <t>Tráng Niên · Vân Long Trứng</t>
  </si>
  <si>
    <t>3:200112:3</t>
  </si>
  <si>
    <t>Long Vương · Vân Long Trứng</t>
  </si>
  <si>
    <t>3:200116:3</t>
  </si>
  <si>
    <t>单条龙</t>
  </si>
  <si>
    <t>HP上限</t>
  </si>
  <si>
    <t>200w</t>
  </si>
  <si>
    <t>爆伤减免</t>
  </si>
  <si>
    <t>伤害上限</t>
  </si>
  <si>
    <t>aoe</t>
  </si>
  <si>
    <t>100W</t>
  </si>
  <si>
    <t>单体</t>
  </si>
  <si>
    <t>180W</t>
  </si>
  <si>
    <t>1星龙</t>
  </si>
  <si>
    <t>1+1</t>
  </si>
  <si>
    <t>——</t>
  </si>
  <si>
    <t>先强化还是先升星再强化，对比价值应该是相同的，差异在1/10以内</t>
  </si>
  <si>
    <t>血量增加%</t>
  </si>
  <si>
    <t>上限</t>
  </si>
  <si>
    <t>群体</t>
  </si>
  <si>
    <t>攻击前3</t>
  </si>
  <si>
    <t>付费</t>
  </si>
  <si>
    <t>20w</t>
  </si>
  <si>
    <t>攻击前2</t>
  </si>
  <si>
    <t>1条</t>
  </si>
  <si>
    <t>5W</t>
  </si>
  <si>
    <t>幼年·苍龙蛋</t>
  </si>
  <si>
    <t>青年·苍龙蛋</t>
  </si>
  <si>
    <t>壮年·苍龙蛋</t>
  </si>
  <si>
    <t>龙王·苍龙蛋</t>
  </si>
  <si>
    <t>神龙背景特效</t>
  </si>
  <si>
    <t>92040010_s1_tx_2</t>
  </si>
  <si>
    <t>92030010_s1_tx_2</t>
  </si>
  <si>
    <t>20:10301:5</t>
  </si>
  <si>
    <t>20:10301:6</t>
  </si>
  <si>
    <t>20:10301:7</t>
  </si>
  <si>
    <t>20:10301:8</t>
  </si>
  <si>
    <t>20:10301:9</t>
  </si>
  <si>
    <t>20:10301:10</t>
  </si>
  <si>
    <t>20:10301:11</t>
  </si>
  <si>
    <t>20:10301:12</t>
  </si>
  <si>
    <t>20:10301:13</t>
  </si>
  <si>
    <t>20:10301:14</t>
  </si>
  <si>
    <t>20:10301:15</t>
  </si>
  <si>
    <t>20:10301:16</t>
  </si>
  <si>
    <t>20:10301:17</t>
  </si>
  <si>
    <t>20:10301:18</t>
  </si>
  <si>
    <t>20:10301:19</t>
  </si>
  <si>
    <t>20:10301:20</t>
  </si>
  <si>
    <t>20:10301:21</t>
  </si>
  <si>
    <t>20:10301:22</t>
  </si>
  <si>
    <t>20:10301:23</t>
  </si>
  <si>
    <t>20:10301:24</t>
  </si>
  <si>
    <t>3:200101:5500#3:200117:55</t>
  </si>
  <si>
    <t>3:200101:6000#3:200117:60</t>
  </si>
  <si>
    <t>3:200101:6500#3:200117:65</t>
  </si>
  <si>
    <t>3:200101:7000#3:200117:70</t>
  </si>
  <si>
    <t>3:200101:7500#3:200117:75</t>
  </si>
  <si>
    <t>3:200101:8000#3:200117:80</t>
  </si>
  <si>
    <t>3:200101:8500#3:200117:85</t>
  </si>
  <si>
    <t>3:200101:9000#3:200117:90</t>
  </si>
  <si>
    <t>3:200101:9500#3:200117:95</t>
  </si>
  <si>
    <t>3:200101:10000#3:200117:100</t>
  </si>
  <si>
    <t>3:200101:10500#3:200117:105</t>
  </si>
  <si>
    <t>3:200101:11000#3:200117:110</t>
  </si>
  <si>
    <t>3:200101:11500#3:200117:115</t>
  </si>
  <si>
    <t>3:200101:12000#3:200117:120</t>
  </si>
  <si>
    <t>3:200101:12500#3:200117:125</t>
  </si>
  <si>
    <t>3:200101:13000#3:200117:130</t>
  </si>
  <si>
    <t>3:200101:13500#3:200117:135</t>
  </si>
  <si>
    <t>3:200101:14000#3:200117:140</t>
  </si>
  <si>
    <t>3:200101:14500#3:200117:145</t>
  </si>
  <si>
    <t>3:200101:15000#3:200117:150</t>
  </si>
  <si>
    <t>1:2100000#28:18000</t>
  </si>
  <si>
    <t>1:2200000#28:21000</t>
  </si>
  <si>
    <t>1:2300000#28:24000</t>
  </si>
  <si>
    <t>1:2400000#28:27000</t>
  </si>
  <si>
    <t>1:2500000#28:30000</t>
  </si>
  <si>
    <t>1:2600000#28:33000</t>
  </si>
  <si>
    <t>1:2700000#28:36000</t>
  </si>
  <si>
    <t>1:2800000#28:39000</t>
  </si>
  <si>
    <t>1:2900000#28:42000</t>
  </si>
  <si>
    <t>1:3000000#28:45000</t>
  </si>
  <si>
    <t>1:3100000#28:48000</t>
  </si>
  <si>
    <t>1:3200000#28:51000</t>
  </si>
  <si>
    <t>1:3300000#28:54000</t>
  </si>
  <si>
    <t>1:3400000#28:57000</t>
  </si>
  <si>
    <t>1:3500000#28:60000</t>
  </si>
  <si>
    <t>1:3600000#28:63000</t>
  </si>
  <si>
    <t>1:3700000#28:66000</t>
  </si>
  <si>
    <t>1:3800000#28:69000</t>
  </si>
  <si>
    <t>1:3900000#28:72000</t>
  </si>
  <si>
    <t>1:4000000#28:75000</t>
  </si>
  <si>
    <t>20:20301:5</t>
  </si>
  <si>
    <t>20:20301:6</t>
  </si>
  <si>
    <t>20:20301:7</t>
  </si>
  <si>
    <t>20:20301:8</t>
  </si>
  <si>
    <t>20:20301:9</t>
  </si>
  <si>
    <t>20:20301:10</t>
  </si>
  <si>
    <t>20:20301:11</t>
  </si>
  <si>
    <t>20:20301:12</t>
  </si>
  <si>
    <t>20:20301:13</t>
  </si>
  <si>
    <t>20:20301:14</t>
  </si>
  <si>
    <t>20:20301:15</t>
  </si>
  <si>
    <t>20:20301:16</t>
  </si>
  <si>
    <t>20:20301:17</t>
  </si>
  <si>
    <t>20:20301:18</t>
  </si>
  <si>
    <t>20:20301:19</t>
  </si>
  <si>
    <t>20:20301:20</t>
  </si>
  <si>
    <t>20:20301:21</t>
  </si>
  <si>
    <t>20:20301:22</t>
  </si>
  <si>
    <t>20:20301:23</t>
  </si>
  <si>
    <t>20:20301:24</t>
  </si>
  <si>
    <t>3:200101:5500#3:200118:55</t>
  </si>
  <si>
    <t>3:200101:6000#3:200118:60</t>
  </si>
  <si>
    <t>3:200101:6500#3:200118:65</t>
  </si>
  <si>
    <t>3:200101:7000#3:200118:70</t>
  </si>
  <si>
    <t>3:200101:7500#3:200118:75</t>
  </si>
  <si>
    <t>3:200101:8000#3:200118:80</t>
  </si>
  <si>
    <t>3:200101:8500#3:200118:85</t>
  </si>
  <si>
    <t>3:200101:9000#3:200118:90</t>
  </si>
  <si>
    <t>3:200101:9500#3:200118:95</t>
  </si>
  <si>
    <t>3:200101:10000#3:200118:100</t>
  </si>
  <si>
    <t>3:200101:10500#3:200118:105</t>
  </si>
  <si>
    <t>3:200101:11000#3:200118:110</t>
  </si>
  <si>
    <t>3:200101:11500#3:200118:115</t>
  </si>
  <si>
    <t>3:200101:12000#3:200118:120</t>
  </si>
  <si>
    <t>3:200101:12500#3:200118:125</t>
  </si>
  <si>
    <t>3:200101:13000#3:200118:130</t>
  </si>
  <si>
    <t>3:200101:13500#3:200118:135</t>
  </si>
  <si>
    <t>3:200101:14000#3:200118:140</t>
  </si>
  <si>
    <t>3:200101:14500#3:200118:145</t>
  </si>
  <si>
    <t>3:200101:15000#3:200118:150</t>
  </si>
  <si>
    <t>3:200101:5500#3:200119:55</t>
  </si>
  <si>
    <t>3:200101:6000#3:200119:60</t>
  </si>
  <si>
    <t>3:200101:6500#3:200119:65</t>
  </si>
  <si>
    <t>3:200101:7000#3:200119:70</t>
  </si>
  <si>
    <t>3:200101:7500#3:200119:75</t>
  </si>
  <si>
    <t>3:200101:8000#3:200119:80</t>
  </si>
  <si>
    <t>3:200101:8500#3:200119:85</t>
  </si>
  <si>
    <t>3:200101:9000#3:200119:90</t>
  </si>
  <si>
    <t>3:200101:9500#3:200119:95</t>
  </si>
  <si>
    <t>3:200101:10000#3:200119:100</t>
  </si>
  <si>
    <t>3:200101:10500#3:200119:105</t>
  </si>
  <si>
    <t>3:200101:11000#3:200119:110</t>
  </si>
  <si>
    <t>3:200101:11500#3:200119:115</t>
  </si>
  <si>
    <t>3:200101:12000#3:200119:120</t>
  </si>
  <si>
    <t>3:200101:12500#3:200119:125</t>
  </si>
  <si>
    <t>3:200101:13000#3:200119:130</t>
  </si>
  <si>
    <t>3:200101:13500#3:200119:135</t>
  </si>
  <si>
    <t>3:200101:14000#3:200119:140</t>
  </si>
  <si>
    <t>3:200101:14500#3:200119:145</t>
  </si>
  <si>
    <t>3:200101:15000#3:200119:150</t>
  </si>
  <si>
    <t>3:200101:5500#3:200120:55</t>
  </si>
  <si>
    <t>3:200101:6000#3:200120:60</t>
  </si>
  <si>
    <t>3:200101:6500#3:200120:65</t>
  </si>
  <si>
    <t>3:200101:7000#3:200120:70</t>
  </si>
  <si>
    <t>3:200101:7500#3:200120:75</t>
  </si>
  <si>
    <t>3:200101:8000#3:200120:80</t>
  </si>
  <si>
    <t>3:200101:8500#3:200120:85</t>
  </si>
  <si>
    <t>3:200101:9000#3:200120:90</t>
  </si>
  <si>
    <t>3:200101:9500#3:200120:95</t>
  </si>
  <si>
    <t>3:200101:10000#3:200120:100</t>
  </si>
  <si>
    <t>3:200101:10500#3:200120:105</t>
  </si>
  <si>
    <t>3:200101:11000#3:200120:110</t>
  </si>
  <si>
    <t>3:200101:11500#3:200120:115</t>
  </si>
  <si>
    <t>3:200101:12000#3:200120:120</t>
  </si>
  <si>
    <t>3:200101:12500#3:200120:125</t>
  </si>
  <si>
    <t>3:200101:13000#3:200120:130</t>
  </si>
  <si>
    <t>3:200101:13500#3:200120:135</t>
  </si>
  <si>
    <t>3:200101:14000#3:200120:140</t>
  </si>
  <si>
    <t>3:200101:14500#3:200120:145</t>
  </si>
  <si>
    <t>3:200101:15000#3:200120:150</t>
  </si>
  <si>
    <t>20:40301:5</t>
  </si>
  <si>
    <t>20:40301:6</t>
  </si>
  <si>
    <t>20:40301:7</t>
  </si>
  <si>
    <t>20:40301:8</t>
  </si>
  <si>
    <t>20:40301:9</t>
  </si>
  <si>
    <t>20:40301:10</t>
  </si>
  <si>
    <t>20:40301:11</t>
  </si>
  <si>
    <t>20:40301:12</t>
  </si>
  <si>
    <t>20:40301:13</t>
  </si>
  <si>
    <t>20:40301:14</t>
  </si>
  <si>
    <t>20:40301:15</t>
  </si>
  <si>
    <t>20:40301:16</t>
  </si>
  <si>
    <t>20:40301:17</t>
  </si>
  <si>
    <t>20:40301:18</t>
  </si>
  <si>
    <t>20:40301:19</t>
  </si>
  <si>
    <t>20:40301:20</t>
  </si>
  <si>
    <t>20:40301:21</t>
  </si>
  <si>
    <t>20:40301:22</t>
  </si>
  <si>
    <t>20:40301:23</t>
  </si>
  <si>
    <t>20:40301:24</t>
  </si>
  <si>
    <t>20:30301:5</t>
  </si>
  <si>
    <t>20:30301:6</t>
  </si>
  <si>
    <t>20:30301:7</t>
  </si>
  <si>
    <t>20:30301:8</t>
  </si>
  <si>
    <t>20:30301:9</t>
  </si>
  <si>
    <t>20:30301:10</t>
  </si>
  <si>
    <t>20:30301:11</t>
  </si>
  <si>
    <t>20:30301:12</t>
  </si>
  <si>
    <t>20:30301:13</t>
  </si>
  <si>
    <t>20:30301:14</t>
  </si>
  <si>
    <t>20:30301:15</t>
  </si>
  <si>
    <t>20:30301:16</t>
  </si>
  <si>
    <t>20:30301:17</t>
  </si>
  <si>
    <t>20:30301:18</t>
  </si>
  <si>
    <t>20:30301:19</t>
  </si>
  <si>
    <t>20:30301:20</t>
  </si>
  <si>
    <t>20:30301:21</t>
  </si>
  <si>
    <t>20:30301:22</t>
  </si>
  <si>
    <t>20:30301:23</t>
  </si>
  <si>
    <t>20:30301:24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</si>
</sst>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[Red]\(0\)"/>
  </numFmts>
  <fonts count="12">
    <font>
      <sz val="11"/>
      <color theme="1"/>
      <name val="Calibri"/>
      <charset val="134"/>
      <scheme val="minor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Calibri"/>
      <charset val="134"/>
      <scheme val="minor"/>
    </font>
    <font>
      <sz val="11"/>
      <color rgb="FF000000"/>
      <name val="&amp;Quot"/>
      <charset val="134"/>
    </font>
    <font>
      <sz val="11"/>
      <color rgb="FF000000"/>
      <name val="Calibri"/>
      <charset val="134"/>
      <scheme val="minor"/>
    </font>
    <font>
      <sz val="11"/>
      <color rgb="FF404040"/>
      <name val="微软雅黑"/>
      <charset val="134"/>
    </font>
    <font>
      <b/>
      <sz val="9"/>
      <name val="SimSun"/>
      <charset val="134"/>
    </font>
    <font>
      <sz val="9"/>
      <name val="SimSun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84588152714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3" tint="0.7997680593279824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768059327982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168" fontId="1" fillId="3" borderId="0" xfId="0" applyNumberFormat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4" fillId="0" borderId="0" xfId="0" applyFont="1">
      <alignment vertical="center"/>
    </xf>
    <xf numFmtId="0" fontId="0" fillId="4" borderId="0" xfId="0" applyFill="1" applyAlignme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5" borderId="0" xfId="0" applyFont="1" applyFill="1" applyAlignment="1">
      <alignment vertical="center" wrapText="1"/>
    </xf>
    <xf numFmtId="0" fontId="1" fillId="3" borderId="0" xfId="1" applyFont="1" applyFill="1" applyAlignment="1">
      <alignment horizontal="right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49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10" borderId="0" xfId="0" applyFill="1" applyAlignment="1">
      <alignment horizontal="center" vertical="center"/>
    </xf>
    <xf numFmtId="0" fontId="0" fillId="11" borderId="0" xfId="0" applyFill="1" applyAlignment="1"/>
    <xf numFmtId="49" fontId="4" fillId="3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0" xfId="0" applyAlignment="1">
      <alignment vertical="center" wrapText="1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49" fontId="0" fillId="17" borderId="0" xfId="0" applyNumberFormat="1" applyFill="1">
      <alignment vertical="center"/>
    </xf>
    <xf numFmtId="0" fontId="0" fillId="0" borderId="0" xfId="0" applyAlignment="1"/>
    <xf numFmtId="49" fontId="0" fillId="3" borderId="0" xfId="0" applyNumberFormat="1" applyFill="1">
      <alignment vertical="center"/>
    </xf>
  </cellXfs>
  <cellStyles count="2">
    <cellStyle name="Normal" xfId="0" builtinId="0"/>
    <cellStyle name="常规 2" xfId="1" xr:uid="{00000000-0005-0000-0000-000031000000}"/>
  </cellStyles>
  <dxfs count="4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abSelected="1" topLeftCell="A270" workbookViewId="0">
      <selection activeCell="I407" sqref="I407"/>
    </sheetView>
  </sheetViews>
  <sheetFormatPr defaultColWidth="9" defaultRowHeight="15"/>
  <cols>
    <col min="1" max="3" width="7.28515625" customWidth="1"/>
    <col min="4" max="4" width="8.85546875" customWidth="1"/>
    <col min="5" max="5" width="23.7109375" customWidth="1"/>
    <col min="6" max="7" width="8.85546875" customWidth="1"/>
    <col min="8" max="8" width="9.42578125"/>
    <col min="9" max="9" width="20" customWidth="1"/>
    <col min="10" max="10" width="15" customWidth="1"/>
    <col min="11" max="11" width="12.85546875" customWidth="1"/>
    <col min="12" max="12" width="27.140625" customWidth="1"/>
    <col min="13" max="14" width="17.140625" customWidth="1"/>
  </cols>
  <sheetData>
    <row r="1" spans="1:14" ht="16.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t="s">
        <v>12</v>
      </c>
      <c r="N1" t="s">
        <v>13</v>
      </c>
    </row>
    <row r="2" spans="1:14">
      <c r="A2">
        <v>10001</v>
      </c>
      <c r="B2">
        <v>10001</v>
      </c>
      <c r="C2">
        <v>3</v>
      </c>
      <c r="D2">
        <v>1</v>
      </c>
      <c r="E2" s="28" t="s">
        <v>14</v>
      </c>
      <c r="F2" s="29">
        <v>2</v>
      </c>
      <c r="G2">
        <v>10001</v>
      </c>
      <c r="H2" s="30">
        <v>92030010</v>
      </c>
      <c r="I2" s="34" t="s">
        <v>15</v>
      </c>
      <c r="J2" s="35">
        <v>1500</v>
      </c>
      <c r="K2" s="1" t="s">
        <v>16</v>
      </c>
      <c r="L2" s="35" t="s">
        <v>17</v>
      </c>
      <c r="M2">
        <v>100</v>
      </c>
      <c r="N2">
        <v>1</v>
      </c>
    </row>
    <row r="3" spans="1:14">
      <c r="A3">
        <v>10002</v>
      </c>
      <c r="B3">
        <v>10001</v>
      </c>
      <c r="C3">
        <v>3</v>
      </c>
      <c r="D3">
        <v>2</v>
      </c>
      <c r="E3" s="28" t="s">
        <v>14</v>
      </c>
      <c r="F3" s="29">
        <v>2</v>
      </c>
      <c r="G3">
        <v>10001</v>
      </c>
      <c r="H3" s="30">
        <v>92030010</v>
      </c>
      <c r="I3" s="34" t="s">
        <v>18</v>
      </c>
      <c r="J3" s="35">
        <v>3000</v>
      </c>
      <c r="K3" s="1" t="s">
        <v>16</v>
      </c>
      <c r="L3" s="35" t="s">
        <v>19</v>
      </c>
      <c r="M3">
        <v>100</v>
      </c>
      <c r="N3">
        <v>1</v>
      </c>
    </row>
    <row r="4" spans="1:14">
      <c r="A4">
        <v>10003</v>
      </c>
      <c r="B4">
        <v>10001</v>
      </c>
      <c r="C4">
        <v>3</v>
      </c>
      <c r="D4">
        <v>3</v>
      </c>
      <c r="E4" s="28" t="s">
        <v>14</v>
      </c>
      <c r="F4" s="29">
        <v>2</v>
      </c>
      <c r="G4">
        <v>10001</v>
      </c>
      <c r="H4" s="30">
        <v>92030010</v>
      </c>
      <c r="I4" s="34" t="s">
        <v>20</v>
      </c>
      <c r="J4" s="35">
        <v>4500</v>
      </c>
      <c r="K4" s="1" t="s">
        <v>16</v>
      </c>
      <c r="L4" s="35" t="s">
        <v>21</v>
      </c>
      <c r="M4">
        <v>100</v>
      </c>
      <c r="N4">
        <v>1</v>
      </c>
    </row>
    <row r="5" spans="1:14">
      <c r="A5">
        <v>10004</v>
      </c>
      <c r="B5">
        <v>10001</v>
      </c>
      <c r="C5">
        <v>3</v>
      </c>
      <c r="D5">
        <v>4</v>
      </c>
      <c r="E5" s="28" t="s">
        <v>14</v>
      </c>
      <c r="F5" s="29">
        <v>2</v>
      </c>
      <c r="G5">
        <v>10001</v>
      </c>
      <c r="H5" s="30">
        <v>92030010</v>
      </c>
      <c r="I5" s="34" t="s">
        <v>22</v>
      </c>
      <c r="J5" s="35">
        <v>6000</v>
      </c>
      <c r="K5" s="1" t="s">
        <v>16</v>
      </c>
      <c r="L5" s="35" t="s">
        <v>23</v>
      </c>
      <c r="M5">
        <v>100</v>
      </c>
      <c r="N5">
        <v>1</v>
      </c>
    </row>
    <row r="6" spans="1:14">
      <c r="A6">
        <v>10005</v>
      </c>
      <c r="B6">
        <v>10001</v>
      </c>
      <c r="C6">
        <v>3</v>
      </c>
      <c r="D6">
        <v>5</v>
      </c>
      <c r="E6" s="28" t="s">
        <v>14</v>
      </c>
      <c r="F6" s="29">
        <v>2</v>
      </c>
      <c r="G6">
        <v>10001</v>
      </c>
      <c r="H6" s="30">
        <v>92030010</v>
      </c>
      <c r="I6" s="34" t="s">
        <v>24</v>
      </c>
      <c r="J6" s="35">
        <v>7500</v>
      </c>
      <c r="K6" s="1" t="s">
        <v>25</v>
      </c>
      <c r="L6" s="35" t="s">
        <v>26</v>
      </c>
      <c r="M6">
        <v>100</v>
      </c>
      <c r="N6">
        <v>1</v>
      </c>
    </row>
    <row r="7" spans="1:14">
      <c r="A7">
        <v>10006</v>
      </c>
      <c r="B7">
        <v>10001</v>
      </c>
      <c r="C7">
        <v>3</v>
      </c>
      <c r="D7">
        <v>6</v>
      </c>
      <c r="E7" s="28" t="s">
        <v>14</v>
      </c>
      <c r="F7" s="29">
        <v>2</v>
      </c>
      <c r="G7">
        <v>10001</v>
      </c>
      <c r="H7" s="30">
        <v>92030010</v>
      </c>
      <c r="I7" s="34" t="s">
        <v>27</v>
      </c>
      <c r="J7" s="35">
        <v>10500</v>
      </c>
      <c r="K7" s="1" t="s">
        <v>25</v>
      </c>
      <c r="L7" s="35" t="s">
        <v>28</v>
      </c>
      <c r="M7">
        <v>100</v>
      </c>
      <c r="N7">
        <v>1</v>
      </c>
    </row>
    <row r="8" spans="1:14">
      <c r="A8">
        <v>10007</v>
      </c>
      <c r="B8">
        <v>10001</v>
      </c>
      <c r="C8">
        <v>3</v>
      </c>
      <c r="D8">
        <v>7</v>
      </c>
      <c r="E8" s="28" t="s">
        <v>14</v>
      </c>
      <c r="F8" s="29">
        <v>2</v>
      </c>
      <c r="G8">
        <v>10001</v>
      </c>
      <c r="H8" s="30">
        <v>92030010</v>
      </c>
      <c r="I8" s="34" t="s">
        <v>29</v>
      </c>
      <c r="J8" s="35">
        <v>13500</v>
      </c>
      <c r="K8" s="1" t="s">
        <v>25</v>
      </c>
      <c r="L8" s="35" t="s">
        <v>30</v>
      </c>
      <c r="M8">
        <v>100</v>
      </c>
      <c r="N8">
        <v>1</v>
      </c>
    </row>
    <row r="9" spans="1:14">
      <c r="A9">
        <v>10008</v>
      </c>
      <c r="B9">
        <v>10001</v>
      </c>
      <c r="C9">
        <v>3</v>
      </c>
      <c r="D9">
        <v>8</v>
      </c>
      <c r="E9" s="28" t="s">
        <v>14</v>
      </c>
      <c r="F9" s="29">
        <v>2</v>
      </c>
      <c r="G9">
        <v>10001</v>
      </c>
      <c r="H9" s="30">
        <v>92030010</v>
      </c>
      <c r="I9" s="34" t="s">
        <v>31</v>
      </c>
      <c r="J9" s="35">
        <v>16500</v>
      </c>
      <c r="K9" s="1" t="s">
        <v>25</v>
      </c>
      <c r="L9" s="35" t="s">
        <v>32</v>
      </c>
      <c r="M9">
        <v>100</v>
      </c>
      <c r="N9">
        <v>1</v>
      </c>
    </row>
    <row r="10" spans="1:14">
      <c r="A10">
        <v>10009</v>
      </c>
      <c r="B10">
        <v>10001</v>
      </c>
      <c r="C10">
        <v>3</v>
      </c>
      <c r="D10">
        <v>9</v>
      </c>
      <c r="E10" s="28" t="s">
        <v>14</v>
      </c>
      <c r="F10" s="29">
        <v>2</v>
      </c>
      <c r="G10">
        <v>10001</v>
      </c>
      <c r="H10" s="30">
        <v>92030010</v>
      </c>
      <c r="I10" s="34" t="s">
        <v>33</v>
      </c>
      <c r="J10" s="35">
        <v>19500</v>
      </c>
      <c r="K10" s="1" t="s">
        <v>25</v>
      </c>
      <c r="L10" s="35" t="s">
        <v>34</v>
      </c>
      <c r="M10">
        <v>100</v>
      </c>
      <c r="N10">
        <v>1</v>
      </c>
    </row>
    <row r="11" spans="1:14">
      <c r="A11">
        <v>10010</v>
      </c>
      <c r="B11">
        <v>10001</v>
      </c>
      <c r="C11">
        <v>3</v>
      </c>
      <c r="D11">
        <v>10</v>
      </c>
      <c r="E11" s="28" t="s">
        <v>14</v>
      </c>
      <c r="F11" s="29">
        <v>2</v>
      </c>
      <c r="G11">
        <v>10001</v>
      </c>
      <c r="H11" s="30">
        <v>92030010</v>
      </c>
      <c r="I11" s="34" t="s">
        <v>35</v>
      </c>
      <c r="J11" s="35">
        <v>22500</v>
      </c>
      <c r="K11" s="1" t="s">
        <v>36</v>
      </c>
      <c r="L11" s="35" t="s">
        <v>37</v>
      </c>
      <c r="M11">
        <v>100</v>
      </c>
      <c r="N11">
        <v>1</v>
      </c>
    </row>
    <row r="12" spans="1:14">
      <c r="A12">
        <v>10011</v>
      </c>
      <c r="B12">
        <v>10001</v>
      </c>
      <c r="C12">
        <v>3</v>
      </c>
      <c r="D12">
        <v>11</v>
      </c>
      <c r="E12" s="28" t="s">
        <v>14</v>
      </c>
      <c r="F12" s="29">
        <v>2</v>
      </c>
      <c r="G12">
        <v>10001</v>
      </c>
      <c r="H12" s="30">
        <v>92030010</v>
      </c>
      <c r="I12" s="34" t="s">
        <v>38</v>
      </c>
      <c r="J12" s="35">
        <v>27000</v>
      </c>
      <c r="K12" s="1" t="s">
        <v>36</v>
      </c>
      <c r="L12" s="35" t="s">
        <v>39</v>
      </c>
      <c r="M12">
        <v>100</v>
      </c>
      <c r="N12">
        <v>1</v>
      </c>
    </row>
    <row r="13" spans="1:14">
      <c r="A13">
        <v>10012</v>
      </c>
      <c r="B13">
        <v>10001</v>
      </c>
      <c r="C13">
        <v>3</v>
      </c>
      <c r="D13">
        <v>12</v>
      </c>
      <c r="E13" s="28" t="s">
        <v>14</v>
      </c>
      <c r="F13" s="29">
        <v>2</v>
      </c>
      <c r="G13">
        <v>10001</v>
      </c>
      <c r="H13" s="30">
        <v>92030010</v>
      </c>
      <c r="I13" s="34" t="s">
        <v>40</v>
      </c>
      <c r="J13" s="35">
        <v>31500</v>
      </c>
      <c r="K13" s="1" t="s">
        <v>36</v>
      </c>
      <c r="L13" s="35" t="s">
        <v>41</v>
      </c>
      <c r="M13">
        <v>100</v>
      </c>
      <c r="N13">
        <v>1</v>
      </c>
    </row>
    <row r="14" spans="1:14">
      <c r="A14">
        <v>10013</v>
      </c>
      <c r="B14">
        <v>10001</v>
      </c>
      <c r="C14">
        <v>3</v>
      </c>
      <c r="D14">
        <v>13</v>
      </c>
      <c r="E14" s="28" t="s">
        <v>14</v>
      </c>
      <c r="F14" s="29">
        <v>2</v>
      </c>
      <c r="G14">
        <v>10001</v>
      </c>
      <c r="H14" s="30">
        <v>92030010</v>
      </c>
      <c r="I14" s="34" t="s">
        <v>42</v>
      </c>
      <c r="J14" s="35">
        <v>36000</v>
      </c>
      <c r="K14" s="1" t="s">
        <v>36</v>
      </c>
      <c r="L14" s="35" t="s">
        <v>43</v>
      </c>
      <c r="M14">
        <v>100</v>
      </c>
      <c r="N14">
        <v>1</v>
      </c>
    </row>
    <row r="15" spans="1:14">
      <c r="A15">
        <v>10014</v>
      </c>
      <c r="B15">
        <v>10001</v>
      </c>
      <c r="C15">
        <v>3</v>
      </c>
      <c r="D15">
        <v>14</v>
      </c>
      <c r="E15" s="28" t="s">
        <v>14</v>
      </c>
      <c r="F15" s="29">
        <v>2</v>
      </c>
      <c r="G15">
        <v>10001</v>
      </c>
      <c r="H15" s="30">
        <v>92030010</v>
      </c>
      <c r="I15" s="34" t="s">
        <v>44</v>
      </c>
      <c r="J15" s="35">
        <v>40500</v>
      </c>
      <c r="K15" s="1" t="s">
        <v>36</v>
      </c>
      <c r="L15" s="35" t="s">
        <v>45</v>
      </c>
      <c r="M15">
        <v>100</v>
      </c>
      <c r="N15">
        <v>1</v>
      </c>
    </row>
    <row r="16" spans="1:14">
      <c r="A16">
        <v>10015</v>
      </c>
      <c r="B16">
        <v>10001</v>
      </c>
      <c r="C16">
        <v>3</v>
      </c>
      <c r="D16">
        <v>15</v>
      </c>
      <c r="E16" s="28" t="s">
        <v>14</v>
      </c>
      <c r="F16" s="29">
        <v>2</v>
      </c>
      <c r="G16">
        <v>10001</v>
      </c>
      <c r="H16" s="30">
        <v>92030010</v>
      </c>
      <c r="I16" s="34" t="s">
        <v>46</v>
      </c>
      <c r="J16" s="35">
        <v>45000</v>
      </c>
      <c r="K16" s="1" t="s">
        <v>47</v>
      </c>
      <c r="L16" s="35" t="s">
        <v>48</v>
      </c>
      <c r="M16">
        <v>100</v>
      </c>
      <c r="N16">
        <v>1</v>
      </c>
    </row>
    <row r="17" spans="1:14">
      <c r="A17">
        <v>10016</v>
      </c>
      <c r="B17">
        <v>10001</v>
      </c>
      <c r="C17">
        <v>3</v>
      </c>
      <c r="D17">
        <v>16</v>
      </c>
      <c r="E17" s="28" t="s">
        <v>14</v>
      </c>
      <c r="F17" s="29">
        <v>2</v>
      </c>
      <c r="G17">
        <v>10001</v>
      </c>
      <c r="H17" s="30">
        <v>92030010</v>
      </c>
      <c r="I17" s="34" t="s">
        <v>49</v>
      </c>
      <c r="J17" s="35">
        <v>51000</v>
      </c>
      <c r="K17" s="1" t="s">
        <v>47</v>
      </c>
      <c r="L17" s="35" t="s">
        <v>50</v>
      </c>
      <c r="M17">
        <v>100</v>
      </c>
      <c r="N17">
        <v>1</v>
      </c>
    </row>
    <row r="18" spans="1:14">
      <c r="A18">
        <v>10017</v>
      </c>
      <c r="B18">
        <v>10001</v>
      </c>
      <c r="C18">
        <v>3</v>
      </c>
      <c r="D18">
        <v>17</v>
      </c>
      <c r="E18" s="28" t="s">
        <v>14</v>
      </c>
      <c r="F18" s="29">
        <v>2</v>
      </c>
      <c r="G18">
        <v>10001</v>
      </c>
      <c r="H18" s="30">
        <v>92030010</v>
      </c>
      <c r="I18" s="34" t="s">
        <v>51</v>
      </c>
      <c r="J18" s="35">
        <v>57000</v>
      </c>
      <c r="K18" s="1" t="s">
        <v>47</v>
      </c>
      <c r="L18" s="35" t="s">
        <v>52</v>
      </c>
      <c r="M18">
        <v>100</v>
      </c>
      <c r="N18">
        <v>1</v>
      </c>
    </row>
    <row r="19" spans="1:14">
      <c r="A19">
        <v>10018</v>
      </c>
      <c r="B19">
        <v>10001</v>
      </c>
      <c r="C19">
        <v>3</v>
      </c>
      <c r="D19">
        <v>18</v>
      </c>
      <c r="E19" s="28" t="s">
        <v>14</v>
      </c>
      <c r="F19" s="29">
        <v>2</v>
      </c>
      <c r="G19">
        <v>10001</v>
      </c>
      <c r="H19" s="30">
        <v>92030010</v>
      </c>
      <c r="I19" s="34" t="s">
        <v>53</v>
      </c>
      <c r="J19" s="35">
        <v>63000</v>
      </c>
      <c r="K19" s="1" t="s">
        <v>47</v>
      </c>
      <c r="L19" s="35" t="s">
        <v>54</v>
      </c>
      <c r="M19">
        <v>100</v>
      </c>
      <c r="N19">
        <v>1</v>
      </c>
    </row>
    <row r="20" spans="1:14">
      <c r="A20">
        <v>10019</v>
      </c>
      <c r="B20">
        <v>10001</v>
      </c>
      <c r="C20">
        <v>3</v>
      </c>
      <c r="D20">
        <v>19</v>
      </c>
      <c r="E20" s="28" t="s">
        <v>14</v>
      </c>
      <c r="F20" s="29">
        <v>2</v>
      </c>
      <c r="G20">
        <v>10001</v>
      </c>
      <c r="H20" s="30">
        <v>92030010</v>
      </c>
      <c r="I20" s="34" t="s">
        <v>55</v>
      </c>
      <c r="J20" s="35">
        <v>69000</v>
      </c>
      <c r="K20" s="1" t="s">
        <v>47</v>
      </c>
      <c r="L20" s="35" t="s">
        <v>56</v>
      </c>
      <c r="M20">
        <v>100</v>
      </c>
      <c r="N20">
        <v>1</v>
      </c>
    </row>
    <row r="21" spans="1:14">
      <c r="A21">
        <v>10020</v>
      </c>
      <c r="B21">
        <v>10001</v>
      </c>
      <c r="C21">
        <v>3</v>
      </c>
      <c r="D21">
        <v>20</v>
      </c>
      <c r="E21" s="28" t="s">
        <v>14</v>
      </c>
      <c r="F21" s="29">
        <v>2</v>
      </c>
      <c r="G21">
        <v>10001</v>
      </c>
      <c r="H21" s="30">
        <v>92030010</v>
      </c>
      <c r="I21" s="34" t="s">
        <v>57</v>
      </c>
      <c r="J21" s="35">
        <v>75000</v>
      </c>
      <c r="K21">
        <v>0</v>
      </c>
      <c r="L21" s="35" t="s">
        <v>58</v>
      </c>
      <c r="M21">
        <v>0</v>
      </c>
      <c r="N21">
        <v>1</v>
      </c>
    </row>
    <row r="22" spans="1:14">
      <c r="A22">
        <v>10101</v>
      </c>
      <c r="B22">
        <v>10101</v>
      </c>
      <c r="C22">
        <v>3</v>
      </c>
      <c r="D22">
        <v>1</v>
      </c>
      <c r="E22" s="28" t="s">
        <v>59</v>
      </c>
      <c r="F22" s="31">
        <v>3</v>
      </c>
      <c r="G22">
        <v>10002</v>
      </c>
      <c r="H22" s="30">
        <v>92040010</v>
      </c>
      <c r="I22" s="34" t="s">
        <v>18</v>
      </c>
      <c r="J22" s="35">
        <v>3000</v>
      </c>
      <c r="K22" s="1" t="s">
        <v>60</v>
      </c>
      <c r="L22" s="35" t="s">
        <v>61</v>
      </c>
      <c r="M22">
        <v>100</v>
      </c>
      <c r="N22">
        <v>3</v>
      </c>
    </row>
    <row r="23" spans="1:14">
      <c r="A23">
        <v>10102</v>
      </c>
      <c r="B23">
        <v>10101</v>
      </c>
      <c r="C23">
        <v>3</v>
      </c>
      <c r="D23">
        <v>2</v>
      </c>
      <c r="E23" s="28" t="s">
        <v>59</v>
      </c>
      <c r="F23" s="31">
        <v>3</v>
      </c>
      <c r="G23">
        <v>10002</v>
      </c>
      <c r="H23" s="30">
        <v>92040010</v>
      </c>
      <c r="I23" s="34" t="s">
        <v>22</v>
      </c>
      <c r="J23" s="35">
        <v>6000</v>
      </c>
      <c r="K23" s="1" t="s">
        <v>60</v>
      </c>
      <c r="L23" s="35" t="s">
        <v>62</v>
      </c>
      <c r="M23">
        <v>100</v>
      </c>
      <c r="N23">
        <v>3</v>
      </c>
    </row>
    <row r="24" spans="1:14">
      <c r="A24">
        <v>10103</v>
      </c>
      <c r="B24">
        <v>10101</v>
      </c>
      <c r="C24">
        <v>3</v>
      </c>
      <c r="D24">
        <v>3</v>
      </c>
      <c r="E24" s="28" t="s">
        <v>59</v>
      </c>
      <c r="F24" s="31">
        <v>3</v>
      </c>
      <c r="G24">
        <v>10002</v>
      </c>
      <c r="H24" s="30">
        <v>92040010</v>
      </c>
      <c r="I24" s="34" t="s">
        <v>63</v>
      </c>
      <c r="J24" s="35">
        <v>9000</v>
      </c>
      <c r="K24" s="1" t="s">
        <v>60</v>
      </c>
      <c r="L24" s="35" t="s">
        <v>64</v>
      </c>
      <c r="M24">
        <v>100</v>
      </c>
      <c r="N24">
        <v>3</v>
      </c>
    </row>
    <row r="25" spans="1:14">
      <c r="A25">
        <v>10104</v>
      </c>
      <c r="B25">
        <v>10101</v>
      </c>
      <c r="C25">
        <v>3</v>
      </c>
      <c r="D25">
        <v>4</v>
      </c>
      <c r="E25" s="28" t="s">
        <v>59</v>
      </c>
      <c r="F25" s="31">
        <v>3</v>
      </c>
      <c r="G25">
        <v>10002</v>
      </c>
      <c r="H25" s="30">
        <v>92040010</v>
      </c>
      <c r="I25" s="34" t="s">
        <v>65</v>
      </c>
      <c r="J25" s="35">
        <v>12000</v>
      </c>
      <c r="K25" s="1" t="s">
        <v>60</v>
      </c>
      <c r="L25" s="35" t="s">
        <v>66</v>
      </c>
      <c r="M25">
        <v>100</v>
      </c>
      <c r="N25">
        <v>3</v>
      </c>
    </row>
    <row r="26" spans="1:14">
      <c r="A26">
        <v>10105</v>
      </c>
      <c r="B26">
        <v>10101</v>
      </c>
      <c r="C26">
        <v>3</v>
      </c>
      <c r="D26">
        <v>5</v>
      </c>
      <c r="E26" s="28" t="s">
        <v>59</v>
      </c>
      <c r="F26" s="31">
        <v>3</v>
      </c>
      <c r="G26">
        <v>10002</v>
      </c>
      <c r="H26" s="30">
        <v>92040010</v>
      </c>
      <c r="I26" s="34" t="s">
        <v>67</v>
      </c>
      <c r="J26" s="35">
        <v>15000</v>
      </c>
      <c r="K26" s="1" t="s">
        <v>68</v>
      </c>
      <c r="L26" s="35" t="s">
        <v>69</v>
      </c>
      <c r="M26">
        <v>100</v>
      </c>
      <c r="N26">
        <v>3</v>
      </c>
    </row>
    <row r="27" spans="1:14">
      <c r="A27">
        <v>10106</v>
      </c>
      <c r="B27">
        <v>10101</v>
      </c>
      <c r="C27">
        <v>3</v>
      </c>
      <c r="D27">
        <v>6</v>
      </c>
      <c r="E27" s="28" t="s">
        <v>59</v>
      </c>
      <c r="F27" s="31">
        <v>3</v>
      </c>
      <c r="G27">
        <v>10002</v>
      </c>
      <c r="H27" s="30">
        <v>92040010</v>
      </c>
      <c r="I27" s="34" t="s">
        <v>70</v>
      </c>
      <c r="J27" s="35">
        <v>21000</v>
      </c>
      <c r="K27" s="1" t="s">
        <v>68</v>
      </c>
      <c r="L27" s="35" t="s">
        <v>71</v>
      </c>
      <c r="M27">
        <v>100</v>
      </c>
      <c r="N27">
        <v>3</v>
      </c>
    </row>
    <row r="28" spans="1:14">
      <c r="A28">
        <v>10107</v>
      </c>
      <c r="B28">
        <v>10101</v>
      </c>
      <c r="C28">
        <v>3</v>
      </c>
      <c r="D28">
        <v>7</v>
      </c>
      <c r="E28" s="28" t="s">
        <v>59</v>
      </c>
      <c r="F28" s="31">
        <v>3</v>
      </c>
      <c r="G28">
        <v>10002</v>
      </c>
      <c r="H28" s="30">
        <v>92040010</v>
      </c>
      <c r="I28" s="34" t="s">
        <v>38</v>
      </c>
      <c r="J28" s="35">
        <v>27000</v>
      </c>
      <c r="K28" s="1" t="s">
        <v>68</v>
      </c>
      <c r="L28" s="35" t="s">
        <v>72</v>
      </c>
      <c r="M28">
        <v>100</v>
      </c>
      <c r="N28">
        <v>3</v>
      </c>
    </row>
    <row r="29" spans="1:14">
      <c r="A29">
        <v>10108</v>
      </c>
      <c r="B29">
        <v>10101</v>
      </c>
      <c r="C29">
        <v>3</v>
      </c>
      <c r="D29">
        <v>8</v>
      </c>
      <c r="E29" s="28" t="s">
        <v>59</v>
      </c>
      <c r="F29" s="31">
        <v>3</v>
      </c>
      <c r="G29">
        <v>10002</v>
      </c>
      <c r="H29" s="30">
        <v>92040010</v>
      </c>
      <c r="I29" s="34" t="s">
        <v>73</v>
      </c>
      <c r="J29" s="35">
        <v>33000</v>
      </c>
      <c r="K29" s="1" t="s">
        <v>68</v>
      </c>
      <c r="L29" s="35" t="s">
        <v>74</v>
      </c>
      <c r="M29">
        <v>100</v>
      </c>
      <c r="N29">
        <v>3</v>
      </c>
    </row>
    <row r="30" spans="1:14">
      <c r="A30">
        <v>10109</v>
      </c>
      <c r="B30">
        <v>10101</v>
      </c>
      <c r="C30">
        <v>3</v>
      </c>
      <c r="D30">
        <v>9</v>
      </c>
      <c r="E30" s="28" t="s">
        <v>59</v>
      </c>
      <c r="F30" s="31">
        <v>3</v>
      </c>
      <c r="G30">
        <v>10002</v>
      </c>
      <c r="H30" s="30">
        <v>92040010</v>
      </c>
      <c r="I30" s="34" t="s">
        <v>75</v>
      </c>
      <c r="J30" s="35">
        <v>39000</v>
      </c>
      <c r="K30" s="1" t="s">
        <v>68</v>
      </c>
      <c r="L30" s="35" t="s">
        <v>76</v>
      </c>
      <c r="M30">
        <v>100</v>
      </c>
      <c r="N30">
        <v>3</v>
      </c>
    </row>
    <row r="31" spans="1:14">
      <c r="A31">
        <v>10110</v>
      </c>
      <c r="B31">
        <v>10101</v>
      </c>
      <c r="C31">
        <v>3</v>
      </c>
      <c r="D31">
        <v>10</v>
      </c>
      <c r="E31" s="28" t="s">
        <v>59</v>
      </c>
      <c r="F31" s="31">
        <v>3</v>
      </c>
      <c r="G31">
        <v>10002</v>
      </c>
      <c r="H31" s="30">
        <v>92040010</v>
      </c>
      <c r="I31" s="34" t="s">
        <v>46</v>
      </c>
      <c r="J31" s="35">
        <v>45000</v>
      </c>
      <c r="K31" s="1" t="s">
        <v>77</v>
      </c>
      <c r="L31" s="35" t="s">
        <v>78</v>
      </c>
      <c r="M31">
        <v>100</v>
      </c>
      <c r="N31">
        <v>3</v>
      </c>
    </row>
    <row r="32" spans="1:14">
      <c r="A32">
        <v>10111</v>
      </c>
      <c r="B32">
        <v>10101</v>
      </c>
      <c r="C32">
        <v>3</v>
      </c>
      <c r="D32">
        <v>11</v>
      </c>
      <c r="E32" s="28" t="s">
        <v>59</v>
      </c>
      <c r="F32" s="31">
        <v>3</v>
      </c>
      <c r="G32">
        <v>10002</v>
      </c>
      <c r="H32" s="30">
        <v>92040010</v>
      </c>
      <c r="I32" s="34" t="s">
        <v>79</v>
      </c>
      <c r="J32" s="35">
        <v>54000</v>
      </c>
      <c r="K32" s="1" t="s">
        <v>77</v>
      </c>
      <c r="L32" s="35" t="s">
        <v>80</v>
      </c>
      <c r="M32">
        <v>100</v>
      </c>
      <c r="N32">
        <v>3</v>
      </c>
    </row>
    <row r="33" spans="1:14">
      <c r="A33">
        <v>10112</v>
      </c>
      <c r="B33">
        <v>10101</v>
      </c>
      <c r="C33">
        <v>3</v>
      </c>
      <c r="D33">
        <v>12</v>
      </c>
      <c r="E33" s="28" t="s">
        <v>59</v>
      </c>
      <c r="F33" s="31">
        <v>3</v>
      </c>
      <c r="G33">
        <v>10002</v>
      </c>
      <c r="H33" s="30">
        <v>92040010</v>
      </c>
      <c r="I33" s="34" t="s">
        <v>53</v>
      </c>
      <c r="J33" s="35">
        <v>63000</v>
      </c>
      <c r="K33" s="1" t="s">
        <v>77</v>
      </c>
      <c r="L33" s="35" t="s">
        <v>81</v>
      </c>
      <c r="M33">
        <v>100</v>
      </c>
      <c r="N33">
        <v>3</v>
      </c>
    </row>
    <row r="34" spans="1:14">
      <c r="A34">
        <v>10113</v>
      </c>
      <c r="B34">
        <v>10101</v>
      </c>
      <c r="C34">
        <v>3</v>
      </c>
      <c r="D34">
        <v>13</v>
      </c>
      <c r="E34" s="28" t="s">
        <v>59</v>
      </c>
      <c r="F34" s="31">
        <v>3</v>
      </c>
      <c r="G34">
        <v>10002</v>
      </c>
      <c r="H34" s="30">
        <v>92040010</v>
      </c>
      <c r="I34" s="34" t="s">
        <v>82</v>
      </c>
      <c r="J34" s="35">
        <v>72000</v>
      </c>
      <c r="K34" s="1" t="s">
        <v>77</v>
      </c>
      <c r="L34" s="35" t="s">
        <v>83</v>
      </c>
      <c r="M34">
        <v>100</v>
      </c>
      <c r="N34">
        <v>3</v>
      </c>
    </row>
    <row r="35" spans="1:14">
      <c r="A35">
        <v>10114</v>
      </c>
      <c r="B35">
        <v>10101</v>
      </c>
      <c r="C35">
        <v>3</v>
      </c>
      <c r="D35">
        <v>14</v>
      </c>
      <c r="E35" s="28" t="s">
        <v>59</v>
      </c>
      <c r="F35" s="31">
        <v>3</v>
      </c>
      <c r="G35">
        <v>10002</v>
      </c>
      <c r="H35" s="30">
        <v>92040010</v>
      </c>
      <c r="I35" s="34" t="s">
        <v>84</v>
      </c>
      <c r="J35" s="35">
        <v>81000</v>
      </c>
      <c r="K35" s="1" t="s">
        <v>77</v>
      </c>
      <c r="L35" s="35" t="s">
        <v>85</v>
      </c>
      <c r="M35">
        <v>100</v>
      </c>
      <c r="N35">
        <v>3</v>
      </c>
    </row>
    <row r="36" spans="1:14">
      <c r="A36">
        <v>10115</v>
      </c>
      <c r="B36">
        <v>10101</v>
      </c>
      <c r="C36">
        <v>3</v>
      </c>
      <c r="D36">
        <v>15</v>
      </c>
      <c r="E36" s="28" t="s">
        <v>59</v>
      </c>
      <c r="F36" s="31">
        <v>3</v>
      </c>
      <c r="G36">
        <v>10002</v>
      </c>
      <c r="H36" s="30">
        <v>92040010</v>
      </c>
      <c r="I36" s="34" t="s">
        <v>86</v>
      </c>
      <c r="J36" s="35">
        <v>90000</v>
      </c>
      <c r="K36" s="1" t="s">
        <v>87</v>
      </c>
      <c r="L36" s="35" t="s">
        <v>88</v>
      </c>
      <c r="M36">
        <v>100</v>
      </c>
      <c r="N36">
        <v>3</v>
      </c>
    </row>
    <row r="37" spans="1:14">
      <c r="A37">
        <v>10116</v>
      </c>
      <c r="B37">
        <v>10101</v>
      </c>
      <c r="C37">
        <v>3</v>
      </c>
      <c r="D37">
        <v>16</v>
      </c>
      <c r="E37" s="28" t="s">
        <v>59</v>
      </c>
      <c r="F37" s="31">
        <v>3</v>
      </c>
      <c r="G37">
        <v>10002</v>
      </c>
      <c r="H37" s="30">
        <v>92040010</v>
      </c>
      <c r="I37" s="34" t="s">
        <v>89</v>
      </c>
      <c r="J37" s="35">
        <v>102000</v>
      </c>
      <c r="K37" s="1" t="s">
        <v>87</v>
      </c>
      <c r="L37" s="35" t="s">
        <v>90</v>
      </c>
      <c r="M37">
        <v>100</v>
      </c>
      <c r="N37">
        <v>3</v>
      </c>
    </row>
    <row r="38" spans="1:14">
      <c r="A38">
        <v>10117</v>
      </c>
      <c r="B38">
        <v>10101</v>
      </c>
      <c r="C38">
        <v>3</v>
      </c>
      <c r="D38">
        <v>17</v>
      </c>
      <c r="E38" s="28" t="s">
        <v>59</v>
      </c>
      <c r="F38" s="31">
        <v>3</v>
      </c>
      <c r="G38">
        <v>10002</v>
      </c>
      <c r="H38" s="30">
        <v>92040010</v>
      </c>
      <c r="I38" s="34" t="s">
        <v>91</v>
      </c>
      <c r="J38" s="35">
        <v>114000</v>
      </c>
      <c r="K38" s="1" t="s">
        <v>87</v>
      </c>
      <c r="L38" s="35" t="s">
        <v>92</v>
      </c>
      <c r="M38">
        <v>100</v>
      </c>
      <c r="N38">
        <v>3</v>
      </c>
    </row>
    <row r="39" spans="1:14">
      <c r="A39">
        <v>10118</v>
      </c>
      <c r="B39">
        <v>10101</v>
      </c>
      <c r="C39">
        <v>3</v>
      </c>
      <c r="D39">
        <v>18</v>
      </c>
      <c r="E39" s="28" t="s">
        <v>59</v>
      </c>
      <c r="F39" s="31">
        <v>3</v>
      </c>
      <c r="G39">
        <v>10002</v>
      </c>
      <c r="H39" s="30">
        <v>92040010</v>
      </c>
      <c r="I39" s="34" t="s">
        <v>93</v>
      </c>
      <c r="J39" s="35">
        <v>126000</v>
      </c>
      <c r="K39" s="1" t="s">
        <v>87</v>
      </c>
      <c r="L39" s="35" t="s">
        <v>94</v>
      </c>
      <c r="M39">
        <v>100</v>
      </c>
      <c r="N39">
        <v>3</v>
      </c>
    </row>
    <row r="40" spans="1:14">
      <c r="A40">
        <v>10119</v>
      </c>
      <c r="B40">
        <v>10101</v>
      </c>
      <c r="C40">
        <v>3</v>
      </c>
      <c r="D40">
        <v>19</v>
      </c>
      <c r="E40" s="28" t="s">
        <v>59</v>
      </c>
      <c r="F40" s="31">
        <v>3</v>
      </c>
      <c r="G40">
        <v>10002</v>
      </c>
      <c r="H40" s="30">
        <v>92040010</v>
      </c>
      <c r="I40" s="34" t="s">
        <v>95</v>
      </c>
      <c r="J40" s="35">
        <v>138000</v>
      </c>
      <c r="K40" s="1" t="s">
        <v>87</v>
      </c>
      <c r="L40" s="35" t="s">
        <v>96</v>
      </c>
      <c r="M40">
        <v>100</v>
      </c>
      <c r="N40">
        <v>3</v>
      </c>
    </row>
    <row r="41" spans="1:14">
      <c r="A41">
        <v>10120</v>
      </c>
      <c r="B41">
        <v>10101</v>
      </c>
      <c r="C41">
        <v>3</v>
      </c>
      <c r="D41">
        <v>20</v>
      </c>
      <c r="E41" s="28" t="s">
        <v>59</v>
      </c>
      <c r="F41" s="31">
        <v>3</v>
      </c>
      <c r="G41">
        <v>10002</v>
      </c>
      <c r="H41" s="30">
        <v>92040010</v>
      </c>
      <c r="I41" s="34" t="s">
        <v>97</v>
      </c>
      <c r="J41" s="35">
        <v>150000</v>
      </c>
      <c r="K41" s="16" t="s">
        <v>98</v>
      </c>
      <c r="L41" s="35" t="s">
        <v>99</v>
      </c>
      <c r="M41">
        <v>0</v>
      </c>
      <c r="N41">
        <v>3</v>
      </c>
    </row>
    <row r="42" spans="1:14">
      <c r="A42">
        <v>10201</v>
      </c>
      <c r="B42">
        <v>10201</v>
      </c>
      <c r="C42">
        <v>3</v>
      </c>
      <c r="D42">
        <v>1</v>
      </c>
      <c r="E42" s="28" t="s">
        <v>100</v>
      </c>
      <c r="F42" s="32">
        <v>4</v>
      </c>
      <c r="G42">
        <v>10003</v>
      </c>
      <c r="H42" s="30">
        <v>92020010</v>
      </c>
      <c r="I42" s="34" t="s">
        <v>20</v>
      </c>
      <c r="J42" s="35">
        <v>4500</v>
      </c>
      <c r="K42" s="1" t="s">
        <v>101</v>
      </c>
      <c r="L42" s="35" t="s">
        <v>102</v>
      </c>
      <c r="M42">
        <v>100</v>
      </c>
      <c r="N42">
        <v>5</v>
      </c>
    </row>
    <row r="43" spans="1:14">
      <c r="A43">
        <v>10202</v>
      </c>
      <c r="B43">
        <v>10201</v>
      </c>
      <c r="C43">
        <v>3</v>
      </c>
      <c r="D43">
        <v>2</v>
      </c>
      <c r="E43" s="28" t="s">
        <v>100</v>
      </c>
      <c r="F43" s="32">
        <v>4</v>
      </c>
      <c r="G43">
        <v>10003</v>
      </c>
      <c r="H43" s="30">
        <v>92020010</v>
      </c>
      <c r="I43" s="34" t="s">
        <v>63</v>
      </c>
      <c r="J43" s="35">
        <v>9000</v>
      </c>
      <c r="K43" s="1" t="s">
        <v>101</v>
      </c>
      <c r="L43" s="35" t="s">
        <v>103</v>
      </c>
      <c r="M43">
        <v>100</v>
      </c>
      <c r="N43">
        <v>5</v>
      </c>
    </row>
    <row r="44" spans="1:14">
      <c r="A44">
        <v>10203</v>
      </c>
      <c r="B44">
        <v>10201</v>
      </c>
      <c r="C44">
        <v>3</v>
      </c>
      <c r="D44">
        <v>3</v>
      </c>
      <c r="E44" s="28" t="s">
        <v>100</v>
      </c>
      <c r="F44" s="32">
        <v>4</v>
      </c>
      <c r="G44">
        <v>10003</v>
      </c>
      <c r="H44" s="30">
        <v>92020010</v>
      </c>
      <c r="I44" s="34" t="s">
        <v>29</v>
      </c>
      <c r="J44" s="35">
        <v>13500</v>
      </c>
      <c r="K44" s="1" t="s">
        <v>101</v>
      </c>
      <c r="L44" s="35" t="s">
        <v>104</v>
      </c>
      <c r="M44">
        <v>100</v>
      </c>
      <c r="N44">
        <v>5</v>
      </c>
    </row>
    <row r="45" spans="1:14">
      <c r="A45">
        <v>10204</v>
      </c>
      <c r="B45">
        <v>10201</v>
      </c>
      <c r="C45">
        <v>3</v>
      </c>
      <c r="D45">
        <v>4</v>
      </c>
      <c r="E45" s="28" t="s">
        <v>100</v>
      </c>
      <c r="F45" s="32">
        <v>4</v>
      </c>
      <c r="G45">
        <v>10003</v>
      </c>
      <c r="H45" s="30">
        <v>92020010</v>
      </c>
      <c r="I45" s="34" t="s">
        <v>105</v>
      </c>
      <c r="J45" s="35">
        <v>18000</v>
      </c>
      <c r="K45" s="1" t="s">
        <v>101</v>
      </c>
      <c r="L45" s="35" t="s">
        <v>106</v>
      </c>
      <c r="M45">
        <v>100</v>
      </c>
      <c r="N45">
        <v>5</v>
      </c>
    </row>
    <row r="46" spans="1:14">
      <c r="A46">
        <v>10205</v>
      </c>
      <c r="B46">
        <v>10201</v>
      </c>
      <c r="C46">
        <v>3</v>
      </c>
      <c r="D46">
        <v>5</v>
      </c>
      <c r="E46" s="28" t="s">
        <v>100</v>
      </c>
      <c r="F46" s="32">
        <v>4</v>
      </c>
      <c r="G46">
        <v>10003</v>
      </c>
      <c r="H46" s="30">
        <v>92020010</v>
      </c>
      <c r="I46" s="34" t="s">
        <v>35</v>
      </c>
      <c r="J46" s="35">
        <v>22500</v>
      </c>
      <c r="K46" s="1" t="s">
        <v>107</v>
      </c>
      <c r="L46" s="35" t="s">
        <v>108</v>
      </c>
      <c r="M46">
        <v>100</v>
      </c>
      <c r="N46">
        <v>5</v>
      </c>
    </row>
    <row r="47" spans="1:14">
      <c r="A47">
        <v>10206</v>
      </c>
      <c r="B47">
        <v>10201</v>
      </c>
      <c r="C47">
        <v>3</v>
      </c>
      <c r="D47">
        <v>6</v>
      </c>
      <c r="E47" s="28" t="s">
        <v>100</v>
      </c>
      <c r="F47" s="32">
        <v>4</v>
      </c>
      <c r="G47">
        <v>10003</v>
      </c>
      <c r="H47" s="30">
        <v>92020010</v>
      </c>
      <c r="I47" s="34" t="s">
        <v>40</v>
      </c>
      <c r="J47" s="35">
        <v>31500</v>
      </c>
      <c r="K47" s="1" t="s">
        <v>107</v>
      </c>
      <c r="L47" s="35" t="s">
        <v>109</v>
      </c>
      <c r="M47">
        <v>100</v>
      </c>
      <c r="N47">
        <v>5</v>
      </c>
    </row>
    <row r="48" spans="1:14">
      <c r="A48">
        <v>10207</v>
      </c>
      <c r="B48">
        <v>10201</v>
      </c>
      <c r="C48">
        <v>3</v>
      </c>
      <c r="D48">
        <v>7</v>
      </c>
      <c r="E48" s="28" t="s">
        <v>100</v>
      </c>
      <c r="F48" s="32">
        <v>4</v>
      </c>
      <c r="G48">
        <v>10003</v>
      </c>
      <c r="H48" s="30">
        <v>92020010</v>
      </c>
      <c r="I48" s="34" t="s">
        <v>44</v>
      </c>
      <c r="J48" s="35">
        <v>40500</v>
      </c>
      <c r="K48" s="1" t="s">
        <v>107</v>
      </c>
      <c r="L48" s="35" t="s">
        <v>110</v>
      </c>
      <c r="M48">
        <v>100</v>
      </c>
      <c r="N48">
        <v>5</v>
      </c>
    </row>
    <row r="49" spans="1:14">
      <c r="A49">
        <v>10208</v>
      </c>
      <c r="B49">
        <v>10201</v>
      </c>
      <c r="C49">
        <v>3</v>
      </c>
      <c r="D49">
        <v>8</v>
      </c>
      <c r="E49" s="28" t="s">
        <v>100</v>
      </c>
      <c r="F49" s="32">
        <v>4</v>
      </c>
      <c r="G49">
        <v>10003</v>
      </c>
      <c r="H49" s="30">
        <v>92020010</v>
      </c>
      <c r="I49" s="34" t="s">
        <v>111</v>
      </c>
      <c r="J49" s="35">
        <v>49500</v>
      </c>
      <c r="K49" s="1" t="s">
        <v>107</v>
      </c>
      <c r="L49" s="35" t="s">
        <v>112</v>
      </c>
      <c r="M49">
        <v>100</v>
      </c>
      <c r="N49">
        <v>5</v>
      </c>
    </row>
    <row r="50" spans="1:14">
      <c r="A50">
        <v>10209</v>
      </c>
      <c r="B50">
        <v>10201</v>
      </c>
      <c r="C50">
        <v>3</v>
      </c>
      <c r="D50">
        <v>9</v>
      </c>
      <c r="E50" s="28" t="s">
        <v>100</v>
      </c>
      <c r="F50" s="32">
        <v>4</v>
      </c>
      <c r="G50">
        <v>10003</v>
      </c>
      <c r="H50" s="30">
        <v>92020010</v>
      </c>
      <c r="I50" s="34" t="s">
        <v>113</v>
      </c>
      <c r="J50" s="35">
        <v>58500</v>
      </c>
      <c r="K50" s="1" t="s">
        <v>107</v>
      </c>
      <c r="L50" s="35" t="s">
        <v>114</v>
      </c>
      <c r="M50">
        <v>100</v>
      </c>
      <c r="N50">
        <v>5</v>
      </c>
    </row>
    <row r="51" spans="1:14">
      <c r="A51">
        <v>10210</v>
      </c>
      <c r="B51">
        <v>10201</v>
      </c>
      <c r="C51">
        <v>3</v>
      </c>
      <c r="D51">
        <v>10</v>
      </c>
      <c r="E51" s="28" t="s">
        <v>100</v>
      </c>
      <c r="F51" s="32">
        <v>4</v>
      </c>
      <c r="G51">
        <v>10003</v>
      </c>
      <c r="H51" s="30">
        <v>92020010</v>
      </c>
      <c r="I51" s="34" t="s">
        <v>115</v>
      </c>
      <c r="J51" s="35">
        <v>67500</v>
      </c>
      <c r="K51" s="1" t="s">
        <v>116</v>
      </c>
      <c r="L51" s="35" t="s">
        <v>117</v>
      </c>
      <c r="M51">
        <v>100</v>
      </c>
      <c r="N51">
        <v>5</v>
      </c>
    </row>
    <row r="52" spans="1:14">
      <c r="A52">
        <v>10211</v>
      </c>
      <c r="B52">
        <v>10201</v>
      </c>
      <c r="C52">
        <v>3</v>
      </c>
      <c r="D52">
        <v>11</v>
      </c>
      <c r="E52" s="28" t="s">
        <v>100</v>
      </c>
      <c r="F52" s="32">
        <v>4</v>
      </c>
      <c r="G52">
        <v>10003</v>
      </c>
      <c r="H52" s="30">
        <v>92020010</v>
      </c>
      <c r="I52" s="34" t="s">
        <v>84</v>
      </c>
      <c r="J52" s="35">
        <v>81000</v>
      </c>
      <c r="K52" s="1" t="s">
        <v>116</v>
      </c>
      <c r="L52" s="35" t="s">
        <v>118</v>
      </c>
      <c r="M52">
        <v>100</v>
      </c>
      <c r="N52">
        <v>5</v>
      </c>
    </row>
    <row r="53" spans="1:14">
      <c r="A53">
        <v>10212</v>
      </c>
      <c r="B53">
        <v>10201</v>
      </c>
      <c r="C53">
        <v>3</v>
      </c>
      <c r="D53">
        <v>12</v>
      </c>
      <c r="E53" s="28" t="s">
        <v>100</v>
      </c>
      <c r="F53" s="32">
        <v>4</v>
      </c>
      <c r="G53">
        <v>10003</v>
      </c>
      <c r="H53" s="30">
        <v>92020010</v>
      </c>
      <c r="I53" s="34" t="s">
        <v>119</v>
      </c>
      <c r="J53" s="35">
        <v>94500</v>
      </c>
      <c r="K53" s="1" t="s">
        <v>116</v>
      </c>
      <c r="L53" s="35" t="s">
        <v>120</v>
      </c>
      <c r="M53">
        <v>100</v>
      </c>
      <c r="N53">
        <v>5</v>
      </c>
    </row>
    <row r="54" spans="1:14">
      <c r="A54">
        <v>10213</v>
      </c>
      <c r="B54">
        <v>10201</v>
      </c>
      <c r="C54">
        <v>3</v>
      </c>
      <c r="D54">
        <v>13</v>
      </c>
      <c r="E54" s="28" t="s">
        <v>100</v>
      </c>
      <c r="F54" s="32">
        <v>4</v>
      </c>
      <c r="G54">
        <v>10003</v>
      </c>
      <c r="H54" s="30">
        <v>92020010</v>
      </c>
      <c r="I54" s="34" t="s">
        <v>121</v>
      </c>
      <c r="J54" s="35">
        <v>108000</v>
      </c>
      <c r="K54" s="1" t="s">
        <v>116</v>
      </c>
      <c r="L54" s="35" t="s">
        <v>122</v>
      </c>
      <c r="M54">
        <v>100</v>
      </c>
      <c r="N54">
        <v>5</v>
      </c>
    </row>
    <row r="55" spans="1:14">
      <c r="A55">
        <v>10214</v>
      </c>
      <c r="B55">
        <v>10201</v>
      </c>
      <c r="C55">
        <v>3</v>
      </c>
      <c r="D55">
        <v>14</v>
      </c>
      <c r="E55" s="28" t="s">
        <v>100</v>
      </c>
      <c r="F55" s="32">
        <v>4</v>
      </c>
      <c r="G55">
        <v>10003</v>
      </c>
      <c r="H55" s="30">
        <v>92020010</v>
      </c>
      <c r="I55" s="34" t="s">
        <v>123</v>
      </c>
      <c r="J55" s="35">
        <v>121500</v>
      </c>
      <c r="K55" s="1" t="s">
        <v>116</v>
      </c>
      <c r="L55" s="35" t="s">
        <v>124</v>
      </c>
      <c r="M55">
        <v>100</v>
      </c>
      <c r="N55">
        <v>5</v>
      </c>
    </row>
    <row r="56" spans="1:14">
      <c r="A56">
        <v>10215</v>
      </c>
      <c r="B56">
        <v>10201</v>
      </c>
      <c r="C56">
        <v>3</v>
      </c>
      <c r="D56">
        <v>15</v>
      </c>
      <c r="E56" s="28" t="s">
        <v>100</v>
      </c>
      <c r="F56" s="32">
        <v>4</v>
      </c>
      <c r="G56">
        <v>10003</v>
      </c>
      <c r="H56" s="30">
        <v>92020010</v>
      </c>
      <c r="I56" s="34" t="s">
        <v>125</v>
      </c>
      <c r="J56" s="35">
        <v>135000</v>
      </c>
      <c r="K56" s="1" t="s">
        <v>126</v>
      </c>
      <c r="L56" s="35" t="s">
        <v>127</v>
      </c>
      <c r="M56">
        <v>100</v>
      </c>
      <c r="N56">
        <v>5</v>
      </c>
    </row>
    <row r="57" spans="1:14">
      <c r="A57">
        <v>10216</v>
      </c>
      <c r="B57">
        <v>10201</v>
      </c>
      <c r="C57">
        <v>3</v>
      </c>
      <c r="D57">
        <v>16</v>
      </c>
      <c r="E57" s="28" t="s">
        <v>100</v>
      </c>
      <c r="F57" s="32">
        <v>4</v>
      </c>
      <c r="G57">
        <v>10003</v>
      </c>
      <c r="H57" s="30">
        <v>92020010</v>
      </c>
      <c r="I57" s="34" t="s">
        <v>128</v>
      </c>
      <c r="J57" s="35">
        <v>153000</v>
      </c>
      <c r="K57" s="1" t="s">
        <v>126</v>
      </c>
      <c r="L57" s="35" t="s">
        <v>129</v>
      </c>
      <c r="M57">
        <v>100</v>
      </c>
      <c r="N57">
        <v>5</v>
      </c>
    </row>
    <row r="58" spans="1:14">
      <c r="A58">
        <v>10217</v>
      </c>
      <c r="B58">
        <v>10201</v>
      </c>
      <c r="C58">
        <v>3</v>
      </c>
      <c r="D58">
        <v>17</v>
      </c>
      <c r="E58" s="28" t="s">
        <v>100</v>
      </c>
      <c r="F58" s="32">
        <v>4</v>
      </c>
      <c r="G58">
        <v>10003</v>
      </c>
      <c r="H58" s="30">
        <v>92020010</v>
      </c>
      <c r="I58" s="34" t="s">
        <v>130</v>
      </c>
      <c r="J58" s="35">
        <v>171000</v>
      </c>
      <c r="K58" s="1" t="s">
        <v>126</v>
      </c>
      <c r="L58" s="35" t="s">
        <v>131</v>
      </c>
      <c r="M58">
        <v>100</v>
      </c>
      <c r="N58">
        <v>5</v>
      </c>
    </row>
    <row r="59" spans="1:14">
      <c r="A59">
        <v>10218</v>
      </c>
      <c r="B59">
        <v>10201</v>
      </c>
      <c r="C59">
        <v>3</v>
      </c>
      <c r="D59">
        <v>18</v>
      </c>
      <c r="E59" s="28" t="s">
        <v>100</v>
      </c>
      <c r="F59" s="32">
        <v>4</v>
      </c>
      <c r="G59">
        <v>10003</v>
      </c>
      <c r="H59" s="30">
        <v>92020010</v>
      </c>
      <c r="I59" s="34" t="s">
        <v>132</v>
      </c>
      <c r="J59" s="35">
        <v>189000</v>
      </c>
      <c r="K59" s="1" t="s">
        <v>126</v>
      </c>
      <c r="L59" s="35" t="s">
        <v>133</v>
      </c>
      <c r="M59">
        <v>100</v>
      </c>
      <c r="N59">
        <v>5</v>
      </c>
    </row>
    <row r="60" spans="1:14">
      <c r="A60">
        <v>10219</v>
      </c>
      <c r="B60">
        <v>10201</v>
      </c>
      <c r="C60">
        <v>3</v>
      </c>
      <c r="D60">
        <v>19</v>
      </c>
      <c r="E60" s="28" t="s">
        <v>100</v>
      </c>
      <c r="F60" s="32">
        <v>4</v>
      </c>
      <c r="G60">
        <v>10003</v>
      </c>
      <c r="H60" s="30">
        <v>92020010</v>
      </c>
      <c r="I60" s="34" t="s">
        <v>134</v>
      </c>
      <c r="J60" s="35">
        <v>207000</v>
      </c>
      <c r="K60" s="1" t="s">
        <v>126</v>
      </c>
      <c r="L60" s="35" t="s">
        <v>135</v>
      </c>
      <c r="M60">
        <v>100</v>
      </c>
      <c r="N60">
        <v>5</v>
      </c>
    </row>
    <row r="61" spans="1:14">
      <c r="A61">
        <v>10220</v>
      </c>
      <c r="B61">
        <v>10201</v>
      </c>
      <c r="C61">
        <v>3</v>
      </c>
      <c r="D61">
        <v>20</v>
      </c>
      <c r="E61" s="28" t="s">
        <v>100</v>
      </c>
      <c r="F61" s="32">
        <v>4</v>
      </c>
      <c r="G61">
        <v>10003</v>
      </c>
      <c r="H61" s="30">
        <v>92020010</v>
      </c>
      <c r="I61" s="34" t="s">
        <v>136</v>
      </c>
      <c r="J61" s="35">
        <v>225000</v>
      </c>
      <c r="K61" s="16" t="s">
        <v>98</v>
      </c>
      <c r="L61" s="35" t="s">
        <v>137</v>
      </c>
      <c r="M61">
        <v>0</v>
      </c>
      <c r="N61">
        <v>5</v>
      </c>
    </row>
    <row r="62" spans="1:14">
      <c r="A62">
        <v>10301</v>
      </c>
      <c r="B62">
        <v>10301</v>
      </c>
      <c r="C62">
        <v>3</v>
      </c>
      <c r="D62">
        <v>1</v>
      </c>
      <c r="E62" s="28" t="s">
        <v>138</v>
      </c>
      <c r="F62" s="33">
        <v>5</v>
      </c>
      <c r="G62">
        <v>10004</v>
      </c>
      <c r="H62" s="30">
        <v>92010010</v>
      </c>
      <c r="I62" s="34" t="s">
        <v>22</v>
      </c>
      <c r="J62" s="35">
        <v>6000</v>
      </c>
      <c r="K62" s="1" t="s">
        <v>139</v>
      </c>
      <c r="L62" s="35" t="s">
        <v>140</v>
      </c>
      <c r="M62">
        <v>100</v>
      </c>
      <c r="N62">
        <v>7</v>
      </c>
    </row>
    <row r="63" spans="1:14">
      <c r="A63">
        <v>10302</v>
      </c>
      <c r="B63">
        <v>10301</v>
      </c>
      <c r="C63">
        <v>3</v>
      </c>
      <c r="D63">
        <v>2</v>
      </c>
      <c r="E63" s="28" t="s">
        <v>138</v>
      </c>
      <c r="F63" s="33">
        <v>5</v>
      </c>
      <c r="G63">
        <v>10004</v>
      </c>
      <c r="H63" s="30">
        <v>92010010</v>
      </c>
      <c r="I63" s="34" t="s">
        <v>65</v>
      </c>
      <c r="J63" s="35">
        <v>12000</v>
      </c>
      <c r="K63" s="1" t="s">
        <v>139</v>
      </c>
      <c r="L63" s="35" t="s">
        <v>141</v>
      </c>
      <c r="M63">
        <v>100</v>
      </c>
      <c r="N63">
        <v>7</v>
      </c>
    </row>
    <row r="64" spans="1:14">
      <c r="A64">
        <v>10303</v>
      </c>
      <c r="B64">
        <v>10301</v>
      </c>
      <c r="C64">
        <v>3</v>
      </c>
      <c r="D64">
        <v>3</v>
      </c>
      <c r="E64" s="28" t="s">
        <v>138</v>
      </c>
      <c r="F64" s="33">
        <v>5</v>
      </c>
      <c r="G64">
        <v>10004</v>
      </c>
      <c r="H64" s="30">
        <v>92010010</v>
      </c>
      <c r="I64" s="34" t="s">
        <v>105</v>
      </c>
      <c r="J64" s="35">
        <v>18000</v>
      </c>
      <c r="K64" s="1" t="s">
        <v>139</v>
      </c>
      <c r="L64" s="35" t="s">
        <v>142</v>
      </c>
      <c r="M64">
        <v>100</v>
      </c>
      <c r="N64">
        <v>7</v>
      </c>
    </row>
    <row r="65" spans="1:14">
      <c r="A65">
        <v>10304</v>
      </c>
      <c r="B65">
        <v>10301</v>
      </c>
      <c r="C65">
        <v>3</v>
      </c>
      <c r="D65">
        <v>4</v>
      </c>
      <c r="E65" s="28" t="s">
        <v>138</v>
      </c>
      <c r="F65" s="33">
        <v>5</v>
      </c>
      <c r="G65">
        <v>10004</v>
      </c>
      <c r="H65" s="30">
        <v>92010010</v>
      </c>
      <c r="I65" s="34" t="s">
        <v>143</v>
      </c>
      <c r="J65" s="35">
        <v>24000</v>
      </c>
      <c r="K65" s="1" t="s">
        <v>139</v>
      </c>
      <c r="L65" s="35" t="s">
        <v>144</v>
      </c>
      <c r="M65">
        <v>100</v>
      </c>
      <c r="N65">
        <v>7</v>
      </c>
    </row>
    <row r="66" spans="1:14">
      <c r="A66">
        <v>10305</v>
      </c>
      <c r="B66">
        <v>10301</v>
      </c>
      <c r="C66">
        <v>3</v>
      </c>
      <c r="D66">
        <v>5</v>
      </c>
      <c r="E66" s="28" t="s">
        <v>138</v>
      </c>
      <c r="F66" s="33">
        <v>5</v>
      </c>
      <c r="G66">
        <v>10004</v>
      </c>
      <c r="H66" s="30">
        <v>92010010</v>
      </c>
      <c r="I66" s="34" t="s">
        <v>145</v>
      </c>
      <c r="J66" s="35">
        <v>30000</v>
      </c>
      <c r="K66" s="1" t="s">
        <v>146</v>
      </c>
      <c r="L66" s="35" t="s">
        <v>147</v>
      </c>
      <c r="M66">
        <v>100</v>
      </c>
      <c r="N66">
        <v>7</v>
      </c>
    </row>
    <row r="67" spans="1:14">
      <c r="A67">
        <v>10306</v>
      </c>
      <c r="B67">
        <v>10301</v>
      </c>
      <c r="C67">
        <v>3</v>
      </c>
      <c r="D67">
        <v>6</v>
      </c>
      <c r="E67" s="28" t="s">
        <v>138</v>
      </c>
      <c r="F67" s="33">
        <v>5</v>
      </c>
      <c r="G67">
        <v>10004</v>
      </c>
      <c r="H67" s="30">
        <v>92010010</v>
      </c>
      <c r="I67" s="34" t="s">
        <v>148</v>
      </c>
      <c r="J67" s="35">
        <v>42000</v>
      </c>
      <c r="K67" s="1" t="s">
        <v>146</v>
      </c>
      <c r="L67" s="35" t="s">
        <v>149</v>
      </c>
      <c r="M67">
        <v>100</v>
      </c>
      <c r="N67">
        <v>7</v>
      </c>
    </row>
    <row r="68" spans="1:14">
      <c r="A68">
        <v>10307</v>
      </c>
      <c r="B68">
        <v>10301</v>
      </c>
      <c r="C68">
        <v>3</v>
      </c>
      <c r="D68">
        <v>7</v>
      </c>
      <c r="E68" s="28" t="s">
        <v>138</v>
      </c>
      <c r="F68" s="33">
        <v>5</v>
      </c>
      <c r="G68">
        <v>10004</v>
      </c>
      <c r="H68" s="30">
        <v>92010010</v>
      </c>
      <c r="I68" s="34" t="s">
        <v>79</v>
      </c>
      <c r="J68" s="35">
        <v>54000</v>
      </c>
      <c r="K68" s="1" t="s">
        <v>146</v>
      </c>
      <c r="L68" s="35" t="s">
        <v>150</v>
      </c>
      <c r="M68">
        <v>100</v>
      </c>
      <c r="N68">
        <v>7</v>
      </c>
    </row>
    <row r="69" spans="1:14">
      <c r="A69">
        <v>10308</v>
      </c>
      <c r="B69">
        <v>10301</v>
      </c>
      <c r="C69">
        <v>3</v>
      </c>
      <c r="D69">
        <v>8</v>
      </c>
      <c r="E69" s="28" t="s">
        <v>138</v>
      </c>
      <c r="F69" s="33">
        <v>5</v>
      </c>
      <c r="G69">
        <v>10004</v>
      </c>
      <c r="H69" s="30">
        <v>92010010</v>
      </c>
      <c r="I69" s="34" t="s">
        <v>151</v>
      </c>
      <c r="J69" s="35">
        <v>66000</v>
      </c>
      <c r="K69" s="1" t="s">
        <v>146</v>
      </c>
      <c r="L69" s="35" t="s">
        <v>152</v>
      </c>
      <c r="M69">
        <v>100</v>
      </c>
      <c r="N69">
        <v>7</v>
      </c>
    </row>
    <row r="70" spans="1:14">
      <c r="A70">
        <v>10309</v>
      </c>
      <c r="B70">
        <v>10301</v>
      </c>
      <c r="C70">
        <v>3</v>
      </c>
      <c r="D70">
        <v>9</v>
      </c>
      <c r="E70" s="28" t="s">
        <v>138</v>
      </c>
      <c r="F70" s="33">
        <v>5</v>
      </c>
      <c r="G70">
        <v>10004</v>
      </c>
      <c r="H70" s="30">
        <v>92010010</v>
      </c>
      <c r="I70" s="34" t="s">
        <v>153</v>
      </c>
      <c r="J70" s="35">
        <v>78000</v>
      </c>
      <c r="K70" s="1" t="s">
        <v>146</v>
      </c>
      <c r="L70" s="35" t="s">
        <v>154</v>
      </c>
      <c r="M70">
        <v>100</v>
      </c>
      <c r="N70">
        <v>7</v>
      </c>
    </row>
    <row r="71" spans="1:14">
      <c r="A71">
        <v>10310</v>
      </c>
      <c r="B71">
        <v>10301</v>
      </c>
      <c r="C71">
        <v>3</v>
      </c>
      <c r="D71">
        <v>10</v>
      </c>
      <c r="E71" s="28" t="s">
        <v>138</v>
      </c>
      <c r="F71" s="33">
        <v>5</v>
      </c>
      <c r="G71">
        <v>10004</v>
      </c>
      <c r="H71" s="30">
        <v>92010010</v>
      </c>
      <c r="I71" s="34" t="s">
        <v>86</v>
      </c>
      <c r="J71" s="35">
        <v>90000</v>
      </c>
      <c r="K71" s="1" t="s">
        <v>155</v>
      </c>
      <c r="L71" s="35" t="s">
        <v>156</v>
      </c>
      <c r="M71">
        <v>100</v>
      </c>
      <c r="N71">
        <v>7</v>
      </c>
    </row>
    <row r="72" spans="1:14">
      <c r="A72">
        <v>10311</v>
      </c>
      <c r="B72">
        <v>10301</v>
      </c>
      <c r="C72">
        <v>3</v>
      </c>
      <c r="D72">
        <v>11</v>
      </c>
      <c r="E72" s="28" t="s">
        <v>138</v>
      </c>
      <c r="F72" s="33">
        <v>5</v>
      </c>
      <c r="G72">
        <v>10004</v>
      </c>
      <c r="H72" s="30">
        <v>92010010</v>
      </c>
      <c r="I72" s="34" t="s">
        <v>121</v>
      </c>
      <c r="J72" s="35">
        <v>108000</v>
      </c>
      <c r="K72" s="1" t="s">
        <v>155</v>
      </c>
      <c r="L72" s="35" t="s">
        <v>157</v>
      </c>
      <c r="M72">
        <v>100</v>
      </c>
      <c r="N72">
        <v>7</v>
      </c>
    </row>
    <row r="73" spans="1:14">
      <c r="A73">
        <v>10312</v>
      </c>
      <c r="B73">
        <v>10301</v>
      </c>
      <c r="C73">
        <v>3</v>
      </c>
      <c r="D73">
        <v>12</v>
      </c>
      <c r="E73" s="28" t="s">
        <v>138</v>
      </c>
      <c r="F73" s="33">
        <v>5</v>
      </c>
      <c r="G73">
        <v>10004</v>
      </c>
      <c r="H73" s="30">
        <v>92010010</v>
      </c>
      <c r="I73" s="34" t="s">
        <v>93</v>
      </c>
      <c r="J73" s="35">
        <v>126000</v>
      </c>
      <c r="K73" s="1" t="s">
        <v>155</v>
      </c>
      <c r="L73" s="35" t="s">
        <v>158</v>
      </c>
      <c r="M73">
        <v>100</v>
      </c>
      <c r="N73">
        <v>7</v>
      </c>
    </row>
    <row r="74" spans="1:14">
      <c r="A74">
        <v>10313</v>
      </c>
      <c r="B74">
        <v>10301</v>
      </c>
      <c r="C74">
        <v>3</v>
      </c>
      <c r="D74">
        <v>13</v>
      </c>
      <c r="E74" s="28" t="s">
        <v>138</v>
      </c>
      <c r="F74" s="33">
        <v>5</v>
      </c>
      <c r="G74">
        <v>10004</v>
      </c>
      <c r="H74" s="30">
        <v>92010010</v>
      </c>
      <c r="I74" s="34" t="s">
        <v>159</v>
      </c>
      <c r="J74" s="35">
        <v>144000</v>
      </c>
      <c r="K74" s="1" t="s">
        <v>155</v>
      </c>
      <c r="L74" s="35" t="s">
        <v>160</v>
      </c>
      <c r="M74">
        <v>100</v>
      </c>
      <c r="N74">
        <v>7</v>
      </c>
    </row>
    <row r="75" spans="1:14">
      <c r="A75">
        <v>10314</v>
      </c>
      <c r="B75">
        <v>10301</v>
      </c>
      <c r="C75">
        <v>3</v>
      </c>
      <c r="D75">
        <v>14</v>
      </c>
      <c r="E75" s="28" t="s">
        <v>138</v>
      </c>
      <c r="F75" s="33">
        <v>5</v>
      </c>
      <c r="G75">
        <v>10004</v>
      </c>
      <c r="H75" s="30">
        <v>92010010</v>
      </c>
      <c r="I75" s="34" t="s">
        <v>161</v>
      </c>
      <c r="J75" s="35">
        <v>162000</v>
      </c>
      <c r="K75" s="1" t="s">
        <v>155</v>
      </c>
      <c r="L75" s="35" t="s">
        <v>162</v>
      </c>
      <c r="M75">
        <v>100</v>
      </c>
      <c r="N75">
        <v>7</v>
      </c>
    </row>
    <row r="76" spans="1:14">
      <c r="A76">
        <v>10315</v>
      </c>
      <c r="B76">
        <v>10301</v>
      </c>
      <c r="C76">
        <v>3</v>
      </c>
      <c r="D76">
        <v>15</v>
      </c>
      <c r="E76" s="28" t="s">
        <v>138</v>
      </c>
      <c r="F76" s="33">
        <v>5</v>
      </c>
      <c r="G76">
        <v>10004</v>
      </c>
      <c r="H76" s="30">
        <v>92010010</v>
      </c>
      <c r="I76" s="34" t="s">
        <v>163</v>
      </c>
      <c r="J76" s="35">
        <v>180000</v>
      </c>
      <c r="K76" s="1" t="s">
        <v>164</v>
      </c>
      <c r="L76" s="35" t="s">
        <v>165</v>
      </c>
      <c r="M76">
        <v>100</v>
      </c>
      <c r="N76">
        <v>7</v>
      </c>
    </row>
    <row r="77" spans="1:14">
      <c r="A77">
        <v>10316</v>
      </c>
      <c r="B77">
        <v>10301</v>
      </c>
      <c r="C77">
        <v>3</v>
      </c>
      <c r="D77">
        <v>16</v>
      </c>
      <c r="E77" s="28" t="s">
        <v>138</v>
      </c>
      <c r="F77" s="33">
        <v>5</v>
      </c>
      <c r="G77">
        <v>10004</v>
      </c>
      <c r="H77" s="30">
        <v>92010010</v>
      </c>
      <c r="I77" s="34" t="s">
        <v>166</v>
      </c>
      <c r="J77" s="35">
        <v>204000</v>
      </c>
      <c r="K77" s="1" t="s">
        <v>164</v>
      </c>
      <c r="L77" s="35" t="s">
        <v>167</v>
      </c>
      <c r="M77">
        <v>100</v>
      </c>
      <c r="N77">
        <v>7</v>
      </c>
    </row>
    <row r="78" spans="1:14">
      <c r="A78">
        <v>10317</v>
      </c>
      <c r="B78">
        <v>10301</v>
      </c>
      <c r="C78">
        <v>3</v>
      </c>
      <c r="D78">
        <v>17</v>
      </c>
      <c r="E78" s="28" t="s">
        <v>138</v>
      </c>
      <c r="F78" s="33">
        <v>5</v>
      </c>
      <c r="G78">
        <v>10004</v>
      </c>
      <c r="H78" s="30">
        <v>92010010</v>
      </c>
      <c r="I78" s="34" t="s">
        <v>168</v>
      </c>
      <c r="J78" s="35">
        <v>228000</v>
      </c>
      <c r="K78" s="1" t="s">
        <v>164</v>
      </c>
      <c r="L78" s="35" t="s">
        <v>169</v>
      </c>
      <c r="M78">
        <v>100</v>
      </c>
      <c r="N78">
        <v>7</v>
      </c>
    </row>
    <row r="79" spans="1:14">
      <c r="A79">
        <v>10318</v>
      </c>
      <c r="B79">
        <v>10301</v>
      </c>
      <c r="C79">
        <v>3</v>
      </c>
      <c r="D79">
        <v>18</v>
      </c>
      <c r="E79" s="28" t="s">
        <v>138</v>
      </c>
      <c r="F79" s="33">
        <v>5</v>
      </c>
      <c r="G79">
        <v>10004</v>
      </c>
      <c r="H79" s="30">
        <v>92010010</v>
      </c>
      <c r="I79" s="34" t="s">
        <v>170</v>
      </c>
      <c r="J79" s="35">
        <v>252000</v>
      </c>
      <c r="K79" s="1" t="s">
        <v>164</v>
      </c>
      <c r="L79" s="35" t="s">
        <v>171</v>
      </c>
      <c r="M79">
        <v>100</v>
      </c>
      <c r="N79">
        <v>7</v>
      </c>
    </row>
    <row r="80" spans="1:14">
      <c r="A80">
        <v>10319</v>
      </c>
      <c r="B80">
        <v>10301</v>
      </c>
      <c r="C80">
        <v>3</v>
      </c>
      <c r="D80">
        <v>19</v>
      </c>
      <c r="E80" s="28" t="s">
        <v>138</v>
      </c>
      <c r="F80" s="33">
        <v>5</v>
      </c>
      <c r="G80">
        <v>10004</v>
      </c>
      <c r="H80" s="30">
        <v>92010010</v>
      </c>
      <c r="I80" s="34" t="s">
        <v>172</v>
      </c>
      <c r="J80" s="35">
        <v>276000</v>
      </c>
      <c r="K80" s="1" t="s">
        <v>164</v>
      </c>
      <c r="L80" s="35" t="s">
        <v>173</v>
      </c>
      <c r="M80">
        <v>100</v>
      </c>
      <c r="N80">
        <v>7</v>
      </c>
    </row>
    <row r="81" spans="1:14">
      <c r="A81">
        <v>10320</v>
      </c>
      <c r="B81">
        <v>10301</v>
      </c>
      <c r="C81">
        <v>3</v>
      </c>
      <c r="D81">
        <v>20</v>
      </c>
      <c r="E81" s="28" t="s">
        <v>138</v>
      </c>
      <c r="F81" s="33">
        <v>5</v>
      </c>
      <c r="G81">
        <v>10004</v>
      </c>
      <c r="H81" s="30">
        <v>92010010</v>
      </c>
      <c r="I81" s="36" t="s">
        <v>174</v>
      </c>
      <c r="J81" s="35">
        <v>300000</v>
      </c>
      <c r="K81" s="1" t="s">
        <v>708</v>
      </c>
      <c r="L81" s="35" t="s">
        <v>175</v>
      </c>
      <c r="M81">
        <v>100</v>
      </c>
      <c r="N81">
        <v>7</v>
      </c>
    </row>
    <row r="82" spans="1:14">
      <c r="A82">
        <v>10321</v>
      </c>
      <c r="B82">
        <v>10301</v>
      </c>
      <c r="C82">
        <v>3</v>
      </c>
      <c r="D82">
        <v>21</v>
      </c>
      <c r="E82" s="28" t="s">
        <v>138</v>
      </c>
      <c r="F82" s="33">
        <v>5</v>
      </c>
      <c r="G82">
        <v>10004</v>
      </c>
      <c r="H82" s="30">
        <v>92010010</v>
      </c>
      <c r="I82" s="36" t="s">
        <v>748</v>
      </c>
      <c r="J82" s="35">
        <v>400000</v>
      </c>
      <c r="K82" s="1" t="s">
        <v>709</v>
      </c>
      <c r="L82" s="35" t="s">
        <v>728</v>
      </c>
      <c r="M82">
        <v>100</v>
      </c>
      <c r="N82">
        <v>7</v>
      </c>
    </row>
    <row r="83" spans="1:14">
      <c r="A83">
        <v>10322</v>
      </c>
      <c r="B83">
        <v>10301</v>
      </c>
      <c r="C83">
        <v>3</v>
      </c>
      <c r="D83">
        <v>22</v>
      </c>
      <c r="E83" s="28" t="s">
        <v>138</v>
      </c>
      <c r="F83" s="33">
        <v>5</v>
      </c>
      <c r="G83">
        <v>10004</v>
      </c>
      <c r="H83" s="30">
        <v>92010010</v>
      </c>
      <c r="I83" s="36" t="s">
        <v>749</v>
      </c>
      <c r="J83" s="35">
        <v>500000</v>
      </c>
      <c r="K83" s="1" t="s">
        <v>710</v>
      </c>
      <c r="L83" s="35" t="s">
        <v>729</v>
      </c>
      <c r="M83">
        <v>100</v>
      </c>
      <c r="N83">
        <v>7</v>
      </c>
    </row>
    <row r="84" spans="1:14">
      <c r="A84">
        <v>10323</v>
      </c>
      <c r="B84">
        <v>10301</v>
      </c>
      <c r="C84">
        <v>3</v>
      </c>
      <c r="D84">
        <v>23</v>
      </c>
      <c r="E84" s="28" t="s">
        <v>138</v>
      </c>
      <c r="F84" s="33">
        <v>5</v>
      </c>
      <c r="G84">
        <v>10004</v>
      </c>
      <c r="H84" s="30">
        <v>92010010</v>
      </c>
      <c r="I84" s="36" t="s">
        <v>750</v>
      </c>
      <c r="J84" s="35">
        <v>600000</v>
      </c>
      <c r="K84" s="1" t="s">
        <v>711</v>
      </c>
      <c r="L84" s="35" t="s">
        <v>730</v>
      </c>
      <c r="M84">
        <v>100</v>
      </c>
      <c r="N84">
        <v>7</v>
      </c>
    </row>
    <row r="85" spans="1:14">
      <c r="A85">
        <v>10324</v>
      </c>
      <c r="B85">
        <v>10301</v>
      </c>
      <c r="C85">
        <v>3</v>
      </c>
      <c r="D85">
        <v>24</v>
      </c>
      <c r="E85" s="28" t="s">
        <v>138</v>
      </c>
      <c r="F85" s="33">
        <v>5</v>
      </c>
      <c r="G85">
        <v>10004</v>
      </c>
      <c r="H85" s="30">
        <v>92010010</v>
      </c>
      <c r="I85" s="36" t="s">
        <v>751</v>
      </c>
      <c r="J85" s="35">
        <v>700000</v>
      </c>
      <c r="K85" s="1" t="s">
        <v>712</v>
      </c>
      <c r="L85" s="35" t="s">
        <v>731</v>
      </c>
      <c r="M85">
        <v>100</v>
      </c>
      <c r="N85">
        <v>7</v>
      </c>
    </row>
    <row r="86" spans="1:14">
      <c r="A86">
        <v>10325</v>
      </c>
      <c r="B86">
        <v>10301</v>
      </c>
      <c r="C86">
        <v>3</v>
      </c>
      <c r="D86">
        <v>25</v>
      </c>
      <c r="E86" s="28" t="s">
        <v>138</v>
      </c>
      <c r="F86" s="33">
        <v>5</v>
      </c>
      <c r="G86">
        <v>10004</v>
      </c>
      <c r="H86" s="30">
        <v>92010010</v>
      </c>
      <c r="I86" s="36" t="s">
        <v>752</v>
      </c>
      <c r="J86" s="35">
        <v>800000</v>
      </c>
      <c r="K86" s="1" t="s">
        <v>713</v>
      </c>
      <c r="L86" s="35" t="s">
        <v>732</v>
      </c>
      <c r="M86">
        <v>100</v>
      </c>
      <c r="N86">
        <v>7</v>
      </c>
    </row>
    <row r="87" spans="1:14">
      <c r="A87">
        <v>10326</v>
      </c>
      <c r="B87">
        <v>10301</v>
      </c>
      <c r="C87">
        <v>3</v>
      </c>
      <c r="D87">
        <v>26</v>
      </c>
      <c r="E87" s="28" t="s">
        <v>138</v>
      </c>
      <c r="F87" s="33">
        <v>5</v>
      </c>
      <c r="G87">
        <v>10004</v>
      </c>
      <c r="H87" s="30">
        <v>92010010</v>
      </c>
      <c r="I87" s="36" t="s">
        <v>753</v>
      </c>
      <c r="J87" s="35">
        <v>900000</v>
      </c>
      <c r="K87" s="1" t="s">
        <v>714</v>
      </c>
      <c r="L87" s="35" t="s">
        <v>733</v>
      </c>
      <c r="M87">
        <v>100</v>
      </c>
      <c r="N87">
        <v>7</v>
      </c>
    </row>
    <row r="88" spans="1:14">
      <c r="A88">
        <v>10327</v>
      </c>
      <c r="B88">
        <v>10301</v>
      </c>
      <c r="C88">
        <v>3</v>
      </c>
      <c r="D88">
        <v>27</v>
      </c>
      <c r="E88" s="28" t="s">
        <v>138</v>
      </c>
      <c r="F88" s="33">
        <v>5</v>
      </c>
      <c r="G88">
        <v>10004</v>
      </c>
      <c r="H88" s="30">
        <v>92010010</v>
      </c>
      <c r="I88" s="36" t="s">
        <v>754</v>
      </c>
      <c r="J88" s="35">
        <v>1000000</v>
      </c>
      <c r="K88" s="1" t="s">
        <v>715</v>
      </c>
      <c r="L88" s="35" t="s">
        <v>734</v>
      </c>
      <c r="M88">
        <v>100</v>
      </c>
      <c r="N88">
        <v>7</v>
      </c>
    </row>
    <row r="89" spans="1:14">
      <c r="A89">
        <v>10328</v>
      </c>
      <c r="B89">
        <v>10301</v>
      </c>
      <c r="C89">
        <v>3</v>
      </c>
      <c r="D89">
        <v>28</v>
      </c>
      <c r="E89" s="28" t="s">
        <v>138</v>
      </c>
      <c r="F89" s="33">
        <v>5</v>
      </c>
      <c r="G89">
        <v>10004</v>
      </c>
      <c r="H89" s="30">
        <v>92010010</v>
      </c>
      <c r="I89" s="36" t="s">
        <v>755</v>
      </c>
      <c r="J89" s="35">
        <v>1100000</v>
      </c>
      <c r="K89" s="1" t="s">
        <v>716</v>
      </c>
      <c r="L89" s="35" t="s">
        <v>735</v>
      </c>
      <c r="M89">
        <v>100</v>
      </c>
      <c r="N89">
        <v>7</v>
      </c>
    </row>
    <row r="90" spans="1:14">
      <c r="A90">
        <v>10329</v>
      </c>
      <c r="B90">
        <v>10301</v>
      </c>
      <c r="C90">
        <v>3</v>
      </c>
      <c r="D90">
        <v>29</v>
      </c>
      <c r="E90" s="28" t="s">
        <v>138</v>
      </c>
      <c r="F90" s="33">
        <v>5</v>
      </c>
      <c r="G90">
        <v>10004</v>
      </c>
      <c r="H90" s="30">
        <v>92010010</v>
      </c>
      <c r="I90" s="36" t="s">
        <v>756</v>
      </c>
      <c r="J90" s="35">
        <v>1200000</v>
      </c>
      <c r="K90" s="1" t="s">
        <v>717</v>
      </c>
      <c r="L90" s="35" t="s">
        <v>736</v>
      </c>
      <c r="M90">
        <v>100</v>
      </c>
      <c r="N90">
        <v>7</v>
      </c>
    </row>
    <row r="91" spans="1:14">
      <c r="A91">
        <v>10330</v>
      </c>
      <c r="B91">
        <v>10301</v>
      </c>
      <c r="C91">
        <v>3</v>
      </c>
      <c r="D91">
        <v>30</v>
      </c>
      <c r="E91" s="28" t="s">
        <v>138</v>
      </c>
      <c r="F91" s="33">
        <v>5</v>
      </c>
      <c r="G91">
        <v>10004</v>
      </c>
      <c r="H91" s="30">
        <v>92010010</v>
      </c>
      <c r="I91" s="36" t="s">
        <v>757</v>
      </c>
      <c r="J91" s="35">
        <v>1300000</v>
      </c>
      <c r="K91" s="1" t="s">
        <v>718</v>
      </c>
      <c r="L91" s="35" t="s">
        <v>737</v>
      </c>
      <c r="M91">
        <v>100</v>
      </c>
      <c r="N91">
        <v>7</v>
      </c>
    </row>
    <row r="92" spans="1:14">
      <c r="A92">
        <v>10331</v>
      </c>
      <c r="B92">
        <v>10301</v>
      </c>
      <c r="C92">
        <v>3</v>
      </c>
      <c r="D92">
        <v>31</v>
      </c>
      <c r="E92" s="28" t="s">
        <v>138</v>
      </c>
      <c r="F92" s="33">
        <v>5</v>
      </c>
      <c r="G92">
        <v>10004</v>
      </c>
      <c r="H92" s="30">
        <v>92010010</v>
      </c>
      <c r="I92" s="36" t="s">
        <v>758</v>
      </c>
      <c r="J92" s="35">
        <v>1400000</v>
      </c>
      <c r="K92" s="1" t="s">
        <v>719</v>
      </c>
      <c r="L92" s="35" t="s">
        <v>738</v>
      </c>
      <c r="M92">
        <v>100</v>
      </c>
      <c r="N92">
        <v>7</v>
      </c>
    </row>
    <row r="93" spans="1:14">
      <c r="A93">
        <v>10332</v>
      </c>
      <c r="B93">
        <v>10301</v>
      </c>
      <c r="C93">
        <v>3</v>
      </c>
      <c r="D93">
        <v>32</v>
      </c>
      <c r="E93" s="28" t="s">
        <v>138</v>
      </c>
      <c r="F93" s="33">
        <v>5</v>
      </c>
      <c r="G93">
        <v>10004</v>
      </c>
      <c r="H93" s="30">
        <v>92010010</v>
      </c>
      <c r="I93" s="36" t="s">
        <v>759</v>
      </c>
      <c r="J93" s="35">
        <v>1500000</v>
      </c>
      <c r="K93" s="1" t="s">
        <v>720</v>
      </c>
      <c r="L93" s="35" t="s">
        <v>739</v>
      </c>
      <c r="M93">
        <v>100</v>
      </c>
      <c r="N93">
        <v>7</v>
      </c>
    </row>
    <row r="94" spans="1:14">
      <c r="A94">
        <v>10333</v>
      </c>
      <c r="B94">
        <v>10301</v>
      </c>
      <c r="C94">
        <v>3</v>
      </c>
      <c r="D94">
        <v>33</v>
      </c>
      <c r="E94" s="28" t="s">
        <v>138</v>
      </c>
      <c r="F94" s="33">
        <v>5</v>
      </c>
      <c r="G94">
        <v>10004</v>
      </c>
      <c r="H94" s="30">
        <v>92010010</v>
      </c>
      <c r="I94" s="36" t="s">
        <v>760</v>
      </c>
      <c r="J94" s="35">
        <v>1600000</v>
      </c>
      <c r="K94" s="1" t="s">
        <v>721</v>
      </c>
      <c r="L94" s="35" t="s">
        <v>740</v>
      </c>
      <c r="M94">
        <v>100</v>
      </c>
      <c r="N94">
        <v>7</v>
      </c>
    </row>
    <row r="95" spans="1:14">
      <c r="A95">
        <v>10334</v>
      </c>
      <c r="B95">
        <v>10301</v>
      </c>
      <c r="C95">
        <v>3</v>
      </c>
      <c r="D95">
        <v>34</v>
      </c>
      <c r="E95" s="28" t="s">
        <v>138</v>
      </c>
      <c r="F95" s="33">
        <v>5</v>
      </c>
      <c r="G95">
        <v>10004</v>
      </c>
      <c r="H95" s="30">
        <v>92010010</v>
      </c>
      <c r="I95" s="36" t="s">
        <v>761</v>
      </c>
      <c r="J95" s="35">
        <v>1700000</v>
      </c>
      <c r="K95" s="1" t="s">
        <v>722</v>
      </c>
      <c r="L95" s="35" t="s">
        <v>741</v>
      </c>
      <c r="M95">
        <v>100</v>
      </c>
      <c r="N95">
        <v>7</v>
      </c>
    </row>
    <row r="96" spans="1:14">
      <c r="A96">
        <v>10335</v>
      </c>
      <c r="B96">
        <v>10301</v>
      </c>
      <c r="C96">
        <v>3</v>
      </c>
      <c r="D96">
        <v>35</v>
      </c>
      <c r="E96" s="28" t="s">
        <v>138</v>
      </c>
      <c r="F96" s="33">
        <v>5</v>
      </c>
      <c r="G96">
        <v>10004</v>
      </c>
      <c r="H96" s="30">
        <v>92010010</v>
      </c>
      <c r="I96" s="36" t="s">
        <v>762</v>
      </c>
      <c r="J96" s="35">
        <v>1800000</v>
      </c>
      <c r="K96" s="1" t="s">
        <v>723</v>
      </c>
      <c r="L96" s="35" t="s">
        <v>742</v>
      </c>
      <c r="M96">
        <v>100</v>
      </c>
      <c r="N96">
        <v>7</v>
      </c>
    </row>
    <row r="97" spans="1:14">
      <c r="A97">
        <v>10336</v>
      </c>
      <c r="B97">
        <v>10301</v>
      </c>
      <c r="C97">
        <v>3</v>
      </c>
      <c r="D97">
        <v>36</v>
      </c>
      <c r="E97" s="28" t="s">
        <v>138</v>
      </c>
      <c r="F97" s="33">
        <v>5</v>
      </c>
      <c r="G97">
        <v>10004</v>
      </c>
      <c r="H97" s="30">
        <v>92010010</v>
      </c>
      <c r="I97" s="36" t="s">
        <v>763</v>
      </c>
      <c r="J97" s="35">
        <v>1900000</v>
      </c>
      <c r="K97" s="1" t="s">
        <v>724</v>
      </c>
      <c r="L97" s="35" t="s">
        <v>743</v>
      </c>
      <c r="M97">
        <v>100</v>
      </c>
      <c r="N97">
        <v>7</v>
      </c>
    </row>
    <row r="98" spans="1:14">
      <c r="A98">
        <v>10337</v>
      </c>
      <c r="B98">
        <v>10301</v>
      </c>
      <c r="C98">
        <v>3</v>
      </c>
      <c r="D98">
        <v>37</v>
      </c>
      <c r="E98" s="28" t="s">
        <v>138</v>
      </c>
      <c r="F98" s="33">
        <v>5</v>
      </c>
      <c r="G98">
        <v>10004</v>
      </c>
      <c r="H98" s="30">
        <v>92010010</v>
      </c>
      <c r="I98" s="36" t="s">
        <v>764</v>
      </c>
      <c r="J98" s="35">
        <v>2000000</v>
      </c>
      <c r="K98" s="1" t="s">
        <v>725</v>
      </c>
      <c r="L98" s="35" t="s">
        <v>744</v>
      </c>
      <c r="M98">
        <v>100</v>
      </c>
      <c r="N98">
        <v>7</v>
      </c>
    </row>
    <row r="99" spans="1:14">
      <c r="A99">
        <v>10338</v>
      </c>
      <c r="B99">
        <v>10301</v>
      </c>
      <c r="C99">
        <v>3</v>
      </c>
      <c r="D99">
        <v>38</v>
      </c>
      <c r="E99" s="28" t="s">
        <v>138</v>
      </c>
      <c r="F99" s="33">
        <v>5</v>
      </c>
      <c r="G99">
        <v>10004</v>
      </c>
      <c r="H99" s="30">
        <v>92010010</v>
      </c>
      <c r="I99" s="36" t="s">
        <v>765</v>
      </c>
      <c r="J99" s="35">
        <v>2100000</v>
      </c>
      <c r="K99" s="1" t="s">
        <v>726</v>
      </c>
      <c r="L99" s="35" t="s">
        <v>745</v>
      </c>
      <c r="M99">
        <v>100</v>
      </c>
      <c r="N99">
        <v>7</v>
      </c>
    </row>
    <row r="100" spans="1:14">
      <c r="A100">
        <v>10339</v>
      </c>
      <c r="B100">
        <v>10301</v>
      </c>
      <c r="C100">
        <v>3</v>
      </c>
      <c r="D100">
        <v>39</v>
      </c>
      <c r="E100" s="28" t="s">
        <v>138</v>
      </c>
      <c r="F100" s="33">
        <v>5</v>
      </c>
      <c r="G100">
        <v>10004</v>
      </c>
      <c r="H100" s="30">
        <v>92010010</v>
      </c>
      <c r="I100" s="36" t="s">
        <v>766</v>
      </c>
      <c r="J100" s="35">
        <v>2200000</v>
      </c>
      <c r="K100" s="1" t="s">
        <v>727</v>
      </c>
      <c r="L100" s="35" t="s">
        <v>746</v>
      </c>
      <c r="M100">
        <v>100</v>
      </c>
      <c r="N100">
        <v>7</v>
      </c>
    </row>
    <row r="101" spans="1:14">
      <c r="A101">
        <v>10340</v>
      </c>
      <c r="B101">
        <v>10301</v>
      </c>
      <c r="C101">
        <v>3</v>
      </c>
      <c r="D101">
        <v>40</v>
      </c>
      <c r="E101" s="28" t="s">
        <v>138</v>
      </c>
      <c r="F101" s="33">
        <v>5</v>
      </c>
      <c r="G101">
        <v>10004</v>
      </c>
      <c r="H101" s="30">
        <v>92010010</v>
      </c>
      <c r="I101" s="36" t="s">
        <v>767</v>
      </c>
      <c r="J101" s="35">
        <v>2300000</v>
      </c>
      <c r="K101" s="36" t="s">
        <v>98</v>
      </c>
      <c r="L101" s="35" t="s">
        <v>747</v>
      </c>
      <c r="M101">
        <v>0</v>
      </c>
      <c r="N101">
        <v>7</v>
      </c>
    </row>
    <row r="102" spans="1:14">
      <c r="A102">
        <f>A2+10000</f>
        <v>20001</v>
      </c>
      <c r="B102">
        <f>B2+10000</f>
        <v>20001</v>
      </c>
      <c r="C102">
        <v>4</v>
      </c>
      <c r="D102">
        <v>1</v>
      </c>
      <c r="E102" t="s">
        <v>176</v>
      </c>
      <c r="F102" s="29">
        <v>2</v>
      </c>
      <c r="G102">
        <v>10001</v>
      </c>
      <c r="H102" s="30">
        <v>92030010</v>
      </c>
      <c r="I102" s="34" t="s">
        <v>15</v>
      </c>
      <c r="J102" s="35">
        <v>2700</v>
      </c>
      <c r="K102" s="35" t="s">
        <v>177</v>
      </c>
      <c r="L102" s="35" t="s">
        <v>178</v>
      </c>
      <c r="M102">
        <v>100</v>
      </c>
      <c r="N102">
        <v>1</v>
      </c>
    </row>
    <row r="103" spans="1:14">
      <c r="A103">
        <f>A3+10000</f>
        <v>20002</v>
      </c>
      <c r="B103">
        <f>B3+10000</f>
        <v>20001</v>
      </c>
      <c r="C103">
        <v>4</v>
      </c>
      <c r="D103">
        <v>2</v>
      </c>
      <c r="E103" t="s">
        <v>176</v>
      </c>
      <c r="F103" s="29">
        <v>2</v>
      </c>
      <c r="G103">
        <v>10001</v>
      </c>
      <c r="H103" s="30">
        <v>92030010</v>
      </c>
      <c r="I103" s="34" t="s">
        <v>18</v>
      </c>
      <c r="J103" s="35">
        <v>5400</v>
      </c>
      <c r="K103" s="35" t="s">
        <v>177</v>
      </c>
      <c r="L103" s="35" t="s">
        <v>179</v>
      </c>
      <c r="M103">
        <v>100</v>
      </c>
      <c r="N103">
        <v>1</v>
      </c>
    </row>
    <row r="104" spans="1:14">
      <c r="A104">
        <f>A4+10000</f>
        <v>20003</v>
      </c>
      <c r="B104">
        <f>B4+10000</f>
        <v>20001</v>
      </c>
      <c r="C104">
        <v>4</v>
      </c>
      <c r="D104">
        <v>3</v>
      </c>
      <c r="E104" t="s">
        <v>176</v>
      </c>
      <c r="F104" s="29">
        <v>2</v>
      </c>
      <c r="G104">
        <v>10001</v>
      </c>
      <c r="H104" s="30">
        <v>92030010</v>
      </c>
      <c r="I104" s="34" t="s">
        <v>20</v>
      </c>
      <c r="J104" s="35">
        <v>8100</v>
      </c>
      <c r="K104" s="35" t="s">
        <v>177</v>
      </c>
      <c r="L104" s="35" t="s">
        <v>180</v>
      </c>
      <c r="M104">
        <v>100</v>
      </c>
      <c r="N104">
        <v>1</v>
      </c>
    </row>
    <row r="105" spans="1:14">
      <c r="A105">
        <f>A5+10000</f>
        <v>20004</v>
      </c>
      <c r="B105">
        <f>B5+10000</f>
        <v>20001</v>
      </c>
      <c r="C105">
        <v>4</v>
      </c>
      <c r="D105">
        <v>4</v>
      </c>
      <c r="E105" t="s">
        <v>176</v>
      </c>
      <c r="F105" s="29">
        <v>2</v>
      </c>
      <c r="G105">
        <v>10001</v>
      </c>
      <c r="H105" s="30">
        <v>92030010</v>
      </c>
      <c r="I105" s="34" t="s">
        <v>22</v>
      </c>
      <c r="J105" s="35">
        <v>10800</v>
      </c>
      <c r="K105" s="35" t="s">
        <v>177</v>
      </c>
      <c r="L105" s="35" t="s">
        <v>181</v>
      </c>
      <c r="M105">
        <v>100</v>
      </c>
      <c r="N105">
        <v>1</v>
      </c>
    </row>
    <row r="106" spans="1:14">
      <c r="A106">
        <f>A6+10000</f>
        <v>20005</v>
      </c>
      <c r="B106">
        <f>B6+10000</f>
        <v>20001</v>
      </c>
      <c r="C106">
        <v>4</v>
      </c>
      <c r="D106">
        <v>5</v>
      </c>
      <c r="E106" t="s">
        <v>176</v>
      </c>
      <c r="F106" s="29">
        <v>2</v>
      </c>
      <c r="G106">
        <v>10001</v>
      </c>
      <c r="H106" s="30">
        <v>92030010</v>
      </c>
      <c r="I106" s="34" t="s">
        <v>24</v>
      </c>
      <c r="J106" s="35">
        <v>13500</v>
      </c>
      <c r="K106" s="35" t="s">
        <v>182</v>
      </c>
      <c r="L106" s="35" t="s">
        <v>183</v>
      </c>
      <c r="M106">
        <v>100</v>
      </c>
      <c r="N106">
        <v>1</v>
      </c>
    </row>
    <row r="107" spans="1:14">
      <c r="A107">
        <f>A7+10000</f>
        <v>20006</v>
      </c>
      <c r="B107">
        <f>B7+10000</f>
        <v>20001</v>
      </c>
      <c r="C107">
        <v>4</v>
      </c>
      <c r="D107">
        <v>6</v>
      </c>
      <c r="E107" t="s">
        <v>176</v>
      </c>
      <c r="F107" s="29">
        <v>2</v>
      </c>
      <c r="G107">
        <v>10001</v>
      </c>
      <c r="H107" s="30">
        <v>92030010</v>
      </c>
      <c r="I107" s="34" t="s">
        <v>27</v>
      </c>
      <c r="J107" s="35">
        <v>18900</v>
      </c>
      <c r="K107" s="35" t="s">
        <v>182</v>
      </c>
      <c r="L107" s="35" t="s">
        <v>184</v>
      </c>
      <c r="M107">
        <v>100</v>
      </c>
      <c r="N107">
        <v>1</v>
      </c>
    </row>
    <row r="108" spans="1:14">
      <c r="A108">
        <f>A8+10000</f>
        <v>20007</v>
      </c>
      <c r="B108">
        <f>B8+10000</f>
        <v>20001</v>
      </c>
      <c r="C108">
        <v>4</v>
      </c>
      <c r="D108">
        <v>7</v>
      </c>
      <c r="E108" t="s">
        <v>176</v>
      </c>
      <c r="F108" s="29">
        <v>2</v>
      </c>
      <c r="G108">
        <v>10001</v>
      </c>
      <c r="H108" s="30">
        <v>92030010</v>
      </c>
      <c r="I108" s="34" t="s">
        <v>29</v>
      </c>
      <c r="J108" s="35">
        <v>24300</v>
      </c>
      <c r="K108" s="35" t="s">
        <v>182</v>
      </c>
      <c r="L108" s="35" t="s">
        <v>185</v>
      </c>
      <c r="M108">
        <v>100</v>
      </c>
      <c r="N108">
        <v>1</v>
      </c>
    </row>
    <row r="109" spans="1:14">
      <c r="A109">
        <f>A9+10000</f>
        <v>20008</v>
      </c>
      <c r="B109">
        <f>B9+10000</f>
        <v>20001</v>
      </c>
      <c r="C109">
        <v>4</v>
      </c>
      <c r="D109">
        <v>8</v>
      </c>
      <c r="E109" t="s">
        <v>176</v>
      </c>
      <c r="F109" s="29">
        <v>2</v>
      </c>
      <c r="G109">
        <v>10001</v>
      </c>
      <c r="H109" s="30">
        <v>92030010</v>
      </c>
      <c r="I109" s="34" t="s">
        <v>31</v>
      </c>
      <c r="J109" s="35">
        <v>29700</v>
      </c>
      <c r="K109" s="35" t="s">
        <v>182</v>
      </c>
      <c r="L109" s="35" t="s">
        <v>186</v>
      </c>
      <c r="M109">
        <v>100</v>
      </c>
      <c r="N109">
        <v>1</v>
      </c>
    </row>
    <row r="110" spans="1:14">
      <c r="A110">
        <f>A10+10000</f>
        <v>20009</v>
      </c>
      <c r="B110">
        <f>B10+10000</f>
        <v>20001</v>
      </c>
      <c r="C110">
        <v>4</v>
      </c>
      <c r="D110">
        <v>9</v>
      </c>
      <c r="E110" t="s">
        <v>176</v>
      </c>
      <c r="F110" s="29">
        <v>2</v>
      </c>
      <c r="G110">
        <v>10001</v>
      </c>
      <c r="H110" s="30">
        <v>92030010</v>
      </c>
      <c r="I110" s="34" t="s">
        <v>33</v>
      </c>
      <c r="J110" s="35">
        <v>35100</v>
      </c>
      <c r="K110" s="35" t="s">
        <v>182</v>
      </c>
      <c r="L110" s="35" t="s">
        <v>187</v>
      </c>
      <c r="M110">
        <v>100</v>
      </c>
      <c r="N110">
        <v>1</v>
      </c>
    </row>
    <row r="111" spans="1:14">
      <c r="A111">
        <f>A11+10000</f>
        <v>20010</v>
      </c>
      <c r="B111">
        <f>B11+10000</f>
        <v>20001</v>
      </c>
      <c r="C111">
        <v>4</v>
      </c>
      <c r="D111">
        <v>10</v>
      </c>
      <c r="E111" t="s">
        <v>176</v>
      </c>
      <c r="F111" s="29">
        <v>2</v>
      </c>
      <c r="G111">
        <v>10001</v>
      </c>
      <c r="H111" s="30">
        <v>92030010</v>
      </c>
      <c r="I111" s="34" t="s">
        <v>35</v>
      </c>
      <c r="J111" s="35">
        <v>40500</v>
      </c>
      <c r="K111" s="35" t="s">
        <v>188</v>
      </c>
      <c r="L111" s="35" t="s">
        <v>189</v>
      </c>
      <c r="M111">
        <v>100</v>
      </c>
      <c r="N111">
        <v>1</v>
      </c>
    </row>
    <row r="112" spans="1:14">
      <c r="A112">
        <f>A12+10000</f>
        <v>20011</v>
      </c>
      <c r="B112">
        <f>B12+10000</f>
        <v>20001</v>
      </c>
      <c r="C112">
        <v>4</v>
      </c>
      <c r="D112">
        <v>11</v>
      </c>
      <c r="E112" t="s">
        <v>176</v>
      </c>
      <c r="F112" s="29">
        <v>2</v>
      </c>
      <c r="G112">
        <v>10001</v>
      </c>
      <c r="H112" s="30">
        <v>92030010</v>
      </c>
      <c r="I112" s="34" t="s">
        <v>38</v>
      </c>
      <c r="J112" s="35">
        <v>48600</v>
      </c>
      <c r="K112" s="35" t="s">
        <v>188</v>
      </c>
      <c r="L112" s="35" t="s">
        <v>190</v>
      </c>
      <c r="M112">
        <v>100</v>
      </c>
      <c r="N112">
        <v>1</v>
      </c>
    </row>
    <row r="113" spans="1:14">
      <c r="A113">
        <f>A13+10000</f>
        <v>20012</v>
      </c>
      <c r="B113">
        <f>B13+10000</f>
        <v>20001</v>
      </c>
      <c r="C113">
        <v>4</v>
      </c>
      <c r="D113">
        <v>12</v>
      </c>
      <c r="E113" t="s">
        <v>176</v>
      </c>
      <c r="F113" s="29">
        <v>2</v>
      </c>
      <c r="G113">
        <v>10001</v>
      </c>
      <c r="H113" s="30">
        <v>92030010</v>
      </c>
      <c r="I113" s="34" t="s">
        <v>40</v>
      </c>
      <c r="J113" s="35">
        <v>56700</v>
      </c>
      <c r="K113" s="35" t="s">
        <v>188</v>
      </c>
      <c r="L113" s="35" t="s">
        <v>191</v>
      </c>
      <c r="M113">
        <v>100</v>
      </c>
      <c r="N113">
        <v>1</v>
      </c>
    </row>
    <row r="114" spans="1:14">
      <c r="A114">
        <f>A14+10000</f>
        <v>20013</v>
      </c>
      <c r="B114">
        <f>B14+10000</f>
        <v>20001</v>
      </c>
      <c r="C114">
        <v>4</v>
      </c>
      <c r="D114">
        <v>13</v>
      </c>
      <c r="E114" t="s">
        <v>176</v>
      </c>
      <c r="F114" s="29">
        <v>2</v>
      </c>
      <c r="G114">
        <v>10001</v>
      </c>
      <c r="H114" s="30">
        <v>92030010</v>
      </c>
      <c r="I114" s="34" t="s">
        <v>42</v>
      </c>
      <c r="J114" s="35">
        <v>64800</v>
      </c>
      <c r="K114" s="35" t="s">
        <v>188</v>
      </c>
      <c r="L114" s="35" t="s">
        <v>192</v>
      </c>
      <c r="M114">
        <v>100</v>
      </c>
      <c r="N114">
        <v>1</v>
      </c>
    </row>
    <row r="115" spans="1:14">
      <c r="A115">
        <f>A15+10000</f>
        <v>20014</v>
      </c>
      <c r="B115">
        <f>B15+10000</f>
        <v>20001</v>
      </c>
      <c r="C115">
        <v>4</v>
      </c>
      <c r="D115">
        <v>14</v>
      </c>
      <c r="E115" t="s">
        <v>176</v>
      </c>
      <c r="F115" s="29">
        <v>2</v>
      </c>
      <c r="G115">
        <v>10001</v>
      </c>
      <c r="H115" s="30">
        <v>92030010</v>
      </c>
      <c r="I115" s="34" t="s">
        <v>44</v>
      </c>
      <c r="J115" s="35">
        <v>72900</v>
      </c>
      <c r="K115" s="35" t="s">
        <v>188</v>
      </c>
      <c r="L115" s="35" t="s">
        <v>193</v>
      </c>
      <c r="M115">
        <v>100</v>
      </c>
      <c r="N115">
        <v>1</v>
      </c>
    </row>
    <row r="116" spans="1:14">
      <c r="A116">
        <f>A16+10000</f>
        <v>20015</v>
      </c>
      <c r="B116">
        <f>B16+10000</f>
        <v>20001</v>
      </c>
      <c r="C116">
        <v>4</v>
      </c>
      <c r="D116">
        <v>15</v>
      </c>
      <c r="E116" t="s">
        <v>176</v>
      </c>
      <c r="F116" s="29">
        <v>2</v>
      </c>
      <c r="G116">
        <v>10001</v>
      </c>
      <c r="H116" s="30">
        <v>92030010</v>
      </c>
      <c r="I116" s="34" t="s">
        <v>46</v>
      </c>
      <c r="J116" s="35">
        <v>81000</v>
      </c>
      <c r="K116" s="35" t="s">
        <v>194</v>
      </c>
      <c r="L116" s="35" t="s">
        <v>195</v>
      </c>
      <c r="M116">
        <v>100</v>
      </c>
      <c r="N116">
        <v>1</v>
      </c>
    </row>
    <row r="117" spans="1:14">
      <c r="A117">
        <f>A17+10000</f>
        <v>20016</v>
      </c>
      <c r="B117">
        <f>B17+10000</f>
        <v>20001</v>
      </c>
      <c r="C117">
        <v>4</v>
      </c>
      <c r="D117">
        <v>16</v>
      </c>
      <c r="E117" t="s">
        <v>176</v>
      </c>
      <c r="F117" s="29">
        <v>2</v>
      </c>
      <c r="G117">
        <v>10001</v>
      </c>
      <c r="H117" s="30">
        <v>92030010</v>
      </c>
      <c r="I117" s="34" t="s">
        <v>49</v>
      </c>
      <c r="J117" s="35">
        <v>91800</v>
      </c>
      <c r="K117" s="35" t="s">
        <v>194</v>
      </c>
      <c r="L117" s="35" t="s">
        <v>196</v>
      </c>
      <c r="M117">
        <v>100</v>
      </c>
      <c r="N117">
        <v>1</v>
      </c>
    </row>
    <row r="118" spans="1:14">
      <c r="A118">
        <f>A18+10000</f>
        <v>20017</v>
      </c>
      <c r="B118">
        <f>B18+10000</f>
        <v>20001</v>
      </c>
      <c r="C118">
        <v>4</v>
      </c>
      <c r="D118">
        <v>17</v>
      </c>
      <c r="E118" t="s">
        <v>176</v>
      </c>
      <c r="F118" s="29">
        <v>2</v>
      </c>
      <c r="G118">
        <v>10001</v>
      </c>
      <c r="H118" s="30">
        <v>92030010</v>
      </c>
      <c r="I118" s="34" t="s">
        <v>51</v>
      </c>
      <c r="J118" s="35">
        <v>102600</v>
      </c>
      <c r="K118" s="35" t="s">
        <v>194</v>
      </c>
      <c r="L118" s="35" t="s">
        <v>197</v>
      </c>
      <c r="M118">
        <v>100</v>
      </c>
      <c r="N118">
        <v>1</v>
      </c>
    </row>
    <row r="119" spans="1:14">
      <c r="A119">
        <f>A19+10000</f>
        <v>20018</v>
      </c>
      <c r="B119">
        <f>B19+10000</f>
        <v>20001</v>
      </c>
      <c r="C119">
        <v>4</v>
      </c>
      <c r="D119">
        <v>18</v>
      </c>
      <c r="E119" t="s">
        <v>176</v>
      </c>
      <c r="F119" s="29">
        <v>2</v>
      </c>
      <c r="G119">
        <v>10001</v>
      </c>
      <c r="H119" s="30">
        <v>92030010</v>
      </c>
      <c r="I119" s="34" t="s">
        <v>53</v>
      </c>
      <c r="J119" s="35">
        <v>113400</v>
      </c>
      <c r="K119" s="35" t="s">
        <v>194</v>
      </c>
      <c r="L119" s="35" t="s">
        <v>198</v>
      </c>
      <c r="M119">
        <v>100</v>
      </c>
      <c r="N119">
        <v>1</v>
      </c>
    </row>
    <row r="120" spans="1:14">
      <c r="A120">
        <f>A20+10000</f>
        <v>20019</v>
      </c>
      <c r="B120">
        <f>B20+10000</f>
        <v>20001</v>
      </c>
      <c r="C120">
        <v>4</v>
      </c>
      <c r="D120">
        <v>19</v>
      </c>
      <c r="E120" t="s">
        <v>176</v>
      </c>
      <c r="F120" s="29">
        <v>2</v>
      </c>
      <c r="G120">
        <v>10001</v>
      </c>
      <c r="H120" s="30">
        <v>92030010</v>
      </c>
      <c r="I120" s="34" t="s">
        <v>55</v>
      </c>
      <c r="J120" s="35">
        <v>124200</v>
      </c>
      <c r="K120" s="35" t="s">
        <v>194</v>
      </c>
      <c r="L120" s="35" t="s">
        <v>199</v>
      </c>
      <c r="M120">
        <v>100</v>
      </c>
      <c r="N120">
        <v>1</v>
      </c>
    </row>
    <row r="121" spans="1:14">
      <c r="A121">
        <f>A21+10000</f>
        <v>20020</v>
      </c>
      <c r="B121">
        <f>B21+10000</f>
        <v>20001</v>
      </c>
      <c r="C121">
        <v>4</v>
      </c>
      <c r="D121">
        <v>20</v>
      </c>
      <c r="E121" t="s">
        <v>176</v>
      </c>
      <c r="F121" s="29">
        <v>2</v>
      </c>
      <c r="G121">
        <v>10001</v>
      </c>
      <c r="H121" s="30">
        <v>92030010</v>
      </c>
      <c r="I121" s="34" t="s">
        <v>57</v>
      </c>
      <c r="J121" s="35">
        <v>135000</v>
      </c>
      <c r="K121" s="36" t="s">
        <v>98</v>
      </c>
      <c r="L121" s="35" t="s">
        <v>200</v>
      </c>
      <c r="M121">
        <v>0</v>
      </c>
      <c r="N121">
        <v>1</v>
      </c>
    </row>
    <row r="122" spans="1:14">
      <c r="A122">
        <f>A22+10000</f>
        <v>20101</v>
      </c>
      <c r="B122">
        <f>B22+10000</f>
        <v>20101</v>
      </c>
      <c r="C122">
        <v>4</v>
      </c>
      <c r="D122">
        <v>1</v>
      </c>
      <c r="E122" t="s">
        <v>201</v>
      </c>
      <c r="F122" s="31">
        <v>3</v>
      </c>
      <c r="G122">
        <v>10002</v>
      </c>
      <c r="H122" s="30">
        <v>92040010</v>
      </c>
      <c r="I122" s="34" t="s">
        <v>18</v>
      </c>
      <c r="J122" s="35">
        <v>5400</v>
      </c>
      <c r="K122" s="35" t="s">
        <v>202</v>
      </c>
      <c r="L122" s="35" t="s">
        <v>203</v>
      </c>
      <c r="M122">
        <v>100</v>
      </c>
      <c r="N122">
        <v>3</v>
      </c>
    </row>
    <row r="123" spans="1:14">
      <c r="A123">
        <f>A23+10000</f>
        <v>20102</v>
      </c>
      <c r="B123">
        <f>B23+10000</f>
        <v>20101</v>
      </c>
      <c r="C123">
        <v>4</v>
      </c>
      <c r="D123">
        <v>2</v>
      </c>
      <c r="E123" t="s">
        <v>201</v>
      </c>
      <c r="F123" s="31">
        <v>3</v>
      </c>
      <c r="G123">
        <v>10002</v>
      </c>
      <c r="H123" s="30">
        <v>92040010</v>
      </c>
      <c r="I123" s="34" t="s">
        <v>22</v>
      </c>
      <c r="J123" s="35">
        <v>10800</v>
      </c>
      <c r="K123" s="35" t="s">
        <v>202</v>
      </c>
      <c r="L123" s="35" t="s">
        <v>204</v>
      </c>
      <c r="M123">
        <v>100</v>
      </c>
      <c r="N123">
        <v>3</v>
      </c>
    </row>
    <row r="124" spans="1:14">
      <c r="A124">
        <f>A24+10000</f>
        <v>20103</v>
      </c>
      <c r="B124">
        <f>B24+10000</f>
        <v>20101</v>
      </c>
      <c r="C124">
        <v>4</v>
      </c>
      <c r="D124">
        <v>3</v>
      </c>
      <c r="E124" t="s">
        <v>201</v>
      </c>
      <c r="F124" s="31">
        <v>3</v>
      </c>
      <c r="G124">
        <v>10002</v>
      </c>
      <c r="H124" s="30">
        <v>92040010</v>
      </c>
      <c r="I124" s="34" t="s">
        <v>63</v>
      </c>
      <c r="J124" s="35">
        <v>16200</v>
      </c>
      <c r="K124" s="35" t="s">
        <v>202</v>
      </c>
      <c r="L124" s="35" t="s">
        <v>205</v>
      </c>
      <c r="M124">
        <v>100</v>
      </c>
      <c r="N124">
        <v>3</v>
      </c>
    </row>
    <row r="125" spans="1:14">
      <c r="A125">
        <f>A25+10000</f>
        <v>20104</v>
      </c>
      <c r="B125">
        <f>B25+10000</f>
        <v>20101</v>
      </c>
      <c r="C125">
        <v>4</v>
      </c>
      <c r="D125">
        <v>4</v>
      </c>
      <c r="E125" t="s">
        <v>201</v>
      </c>
      <c r="F125" s="31">
        <v>3</v>
      </c>
      <c r="G125">
        <v>10002</v>
      </c>
      <c r="H125" s="30">
        <v>92040010</v>
      </c>
      <c r="I125" s="34" t="s">
        <v>65</v>
      </c>
      <c r="J125" s="35">
        <v>21600</v>
      </c>
      <c r="K125" s="35" t="s">
        <v>202</v>
      </c>
      <c r="L125" s="35" t="s">
        <v>206</v>
      </c>
      <c r="M125">
        <v>100</v>
      </c>
      <c r="N125">
        <v>3</v>
      </c>
    </row>
    <row r="126" spans="1:14">
      <c r="A126">
        <f>A26+10000</f>
        <v>20105</v>
      </c>
      <c r="B126">
        <f>B26+10000</f>
        <v>20101</v>
      </c>
      <c r="C126">
        <v>4</v>
      </c>
      <c r="D126">
        <v>5</v>
      </c>
      <c r="E126" t="s">
        <v>201</v>
      </c>
      <c r="F126" s="31">
        <v>3</v>
      </c>
      <c r="G126">
        <v>10002</v>
      </c>
      <c r="H126" s="30">
        <v>92040010</v>
      </c>
      <c r="I126" s="34" t="s">
        <v>67</v>
      </c>
      <c r="J126" s="35">
        <v>27000</v>
      </c>
      <c r="K126" s="35" t="s">
        <v>207</v>
      </c>
      <c r="L126" s="35" t="s">
        <v>208</v>
      </c>
      <c r="M126">
        <v>100</v>
      </c>
      <c r="N126">
        <v>3</v>
      </c>
    </row>
    <row r="127" spans="1:14">
      <c r="A127">
        <f>A27+10000</f>
        <v>20106</v>
      </c>
      <c r="B127">
        <f>B27+10000</f>
        <v>20101</v>
      </c>
      <c r="C127">
        <v>4</v>
      </c>
      <c r="D127">
        <v>6</v>
      </c>
      <c r="E127" t="s">
        <v>201</v>
      </c>
      <c r="F127" s="31">
        <v>3</v>
      </c>
      <c r="G127">
        <v>10002</v>
      </c>
      <c r="H127" s="30">
        <v>92040010</v>
      </c>
      <c r="I127" s="34" t="s">
        <v>70</v>
      </c>
      <c r="J127" s="35">
        <v>37800</v>
      </c>
      <c r="K127" s="35" t="s">
        <v>207</v>
      </c>
      <c r="L127" s="35" t="s">
        <v>209</v>
      </c>
      <c r="M127">
        <v>100</v>
      </c>
      <c r="N127">
        <v>3</v>
      </c>
    </row>
    <row r="128" spans="1:14">
      <c r="A128">
        <f>A28+10000</f>
        <v>20107</v>
      </c>
      <c r="B128">
        <f>B28+10000</f>
        <v>20101</v>
      </c>
      <c r="C128">
        <v>4</v>
      </c>
      <c r="D128">
        <v>7</v>
      </c>
      <c r="E128" t="s">
        <v>201</v>
      </c>
      <c r="F128" s="31">
        <v>3</v>
      </c>
      <c r="G128">
        <v>10002</v>
      </c>
      <c r="H128" s="30">
        <v>92040010</v>
      </c>
      <c r="I128" s="34" t="s">
        <v>38</v>
      </c>
      <c r="J128" s="35">
        <v>48600</v>
      </c>
      <c r="K128" s="35" t="s">
        <v>207</v>
      </c>
      <c r="L128" s="35" t="s">
        <v>210</v>
      </c>
      <c r="M128">
        <v>100</v>
      </c>
      <c r="N128">
        <v>3</v>
      </c>
    </row>
    <row r="129" spans="1:14">
      <c r="A129">
        <f>A29+10000</f>
        <v>20108</v>
      </c>
      <c r="B129">
        <f>B29+10000</f>
        <v>20101</v>
      </c>
      <c r="C129">
        <v>4</v>
      </c>
      <c r="D129">
        <v>8</v>
      </c>
      <c r="E129" t="s">
        <v>201</v>
      </c>
      <c r="F129" s="31">
        <v>3</v>
      </c>
      <c r="G129">
        <v>10002</v>
      </c>
      <c r="H129" s="30">
        <v>92040010</v>
      </c>
      <c r="I129" s="34" t="s">
        <v>73</v>
      </c>
      <c r="J129" s="35">
        <v>59400</v>
      </c>
      <c r="K129" s="35" t="s">
        <v>207</v>
      </c>
      <c r="L129" s="35" t="s">
        <v>211</v>
      </c>
      <c r="M129">
        <v>100</v>
      </c>
      <c r="N129">
        <v>3</v>
      </c>
    </row>
    <row r="130" spans="1:14">
      <c r="A130">
        <f>A30+10000</f>
        <v>20109</v>
      </c>
      <c r="B130">
        <f>B30+10000</f>
        <v>20101</v>
      </c>
      <c r="C130">
        <v>4</v>
      </c>
      <c r="D130">
        <v>9</v>
      </c>
      <c r="E130" t="s">
        <v>201</v>
      </c>
      <c r="F130" s="31">
        <v>3</v>
      </c>
      <c r="G130">
        <v>10002</v>
      </c>
      <c r="H130" s="30">
        <v>92040010</v>
      </c>
      <c r="I130" s="34" t="s">
        <v>75</v>
      </c>
      <c r="J130" s="35">
        <v>70200</v>
      </c>
      <c r="K130" s="35" t="s">
        <v>207</v>
      </c>
      <c r="L130" s="35" t="s">
        <v>212</v>
      </c>
      <c r="M130">
        <v>100</v>
      </c>
      <c r="N130">
        <v>3</v>
      </c>
    </row>
    <row r="131" spans="1:14">
      <c r="A131">
        <f>A31+10000</f>
        <v>20110</v>
      </c>
      <c r="B131">
        <f>B31+10000</f>
        <v>20101</v>
      </c>
      <c r="C131">
        <v>4</v>
      </c>
      <c r="D131">
        <v>10</v>
      </c>
      <c r="E131" t="s">
        <v>201</v>
      </c>
      <c r="F131" s="31">
        <v>3</v>
      </c>
      <c r="G131">
        <v>10002</v>
      </c>
      <c r="H131" s="30">
        <v>92040010</v>
      </c>
      <c r="I131" s="34" t="s">
        <v>46</v>
      </c>
      <c r="J131" s="35">
        <v>81000</v>
      </c>
      <c r="K131" s="35" t="s">
        <v>213</v>
      </c>
      <c r="L131" s="35" t="s">
        <v>214</v>
      </c>
      <c r="M131">
        <v>100</v>
      </c>
      <c r="N131">
        <v>3</v>
      </c>
    </row>
    <row r="132" spans="1:14">
      <c r="A132">
        <f>A32+10000</f>
        <v>20111</v>
      </c>
      <c r="B132">
        <f>B32+10000</f>
        <v>20101</v>
      </c>
      <c r="C132">
        <v>4</v>
      </c>
      <c r="D132">
        <v>11</v>
      </c>
      <c r="E132" t="s">
        <v>201</v>
      </c>
      <c r="F132" s="31">
        <v>3</v>
      </c>
      <c r="G132">
        <v>10002</v>
      </c>
      <c r="H132" s="30">
        <v>92040010</v>
      </c>
      <c r="I132" s="34" t="s">
        <v>79</v>
      </c>
      <c r="J132" s="35">
        <v>97200</v>
      </c>
      <c r="K132" s="35" t="s">
        <v>213</v>
      </c>
      <c r="L132" s="35" t="s">
        <v>215</v>
      </c>
      <c r="M132">
        <v>100</v>
      </c>
      <c r="N132">
        <v>3</v>
      </c>
    </row>
    <row r="133" spans="1:14">
      <c r="A133">
        <f>A33+10000</f>
        <v>20112</v>
      </c>
      <c r="B133">
        <f>B33+10000</f>
        <v>20101</v>
      </c>
      <c r="C133">
        <v>4</v>
      </c>
      <c r="D133">
        <v>12</v>
      </c>
      <c r="E133" t="s">
        <v>201</v>
      </c>
      <c r="F133" s="31">
        <v>3</v>
      </c>
      <c r="G133">
        <v>10002</v>
      </c>
      <c r="H133" s="30">
        <v>92040010</v>
      </c>
      <c r="I133" s="34" t="s">
        <v>53</v>
      </c>
      <c r="J133" s="35">
        <v>113400</v>
      </c>
      <c r="K133" s="35" t="s">
        <v>213</v>
      </c>
      <c r="L133" s="35" t="s">
        <v>216</v>
      </c>
      <c r="M133">
        <v>100</v>
      </c>
      <c r="N133">
        <v>3</v>
      </c>
    </row>
    <row r="134" spans="1:14">
      <c r="A134">
        <f>A34+10000</f>
        <v>20113</v>
      </c>
      <c r="B134">
        <f>B34+10000</f>
        <v>20101</v>
      </c>
      <c r="C134">
        <v>4</v>
      </c>
      <c r="D134">
        <v>13</v>
      </c>
      <c r="E134" t="s">
        <v>201</v>
      </c>
      <c r="F134" s="31">
        <v>3</v>
      </c>
      <c r="G134">
        <v>10002</v>
      </c>
      <c r="H134" s="30">
        <v>92040010</v>
      </c>
      <c r="I134" s="34" t="s">
        <v>82</v>
      </c>
      <c r="J134" s="35">
        <v>129600</v>
      </c>
      <c r="K134" s="35" t="s">
        <v>213</v>
      </c>
      <c r="L134" s="35" t="s">
        <v>217</v>
      </c>
      <c r="M134">
        <v>100</v>
      </c>
      <c r="N134">
        <v>3</v>
      </c>
    </row>
    <row r="135" spans="1:14">
      <c r="A135">
        <f>A35+10000</f>
        <v>20114</v>
      </c>
      <c r="B135">
        <f>B35+10000</f>
        <v>20101</v>
      </c>
      <c r="C135">
        <v>4</v>
      </c>
      <c r="D135">
        <v>14</v>
      </c>
      <c r="E135" t="s">
        <v>201</v>
      </c>
      <c r="F135" s="31">
        <v>3</v>
      </c>
      <c r="G135">
        <v>10002</v>
      </c>
      <c r="H135" s="30">
        <v>92040010</v>
      </c>
      <c r="I135" s="34" t="s">
        <v>84</v>
      </c>
      <c r="J135" s="35">
        <v>145800</v>
      </c>
      <c r="K135" s="35" t="s">
        <v>213</v>
      </c>
      <c r="L135" s="35" t="s">
        <v>218</v>
      </c>
      <c r="M135">
        <v>100</v>
      </c>
      <c r="N135">
        <v>3</v>
      </c>
    </row>
    <row r="136" spans="1:14">
      <c r="A136">
        <f>A36+10000</f>
        <v>20115</v>
      </c>
      <c r="B136">
        <f>B36+10000</f>
        <v>20101</v>
      </c>
      <c r="C136">
        <v>4</v>
      </c>
      <c r="D136">
        <v>15</v>
      </c>
      <c r="E136" t="s">
        <v>201</v>
      </c>
      <c r="F136" s="31">
        <v>3</v>
      </c>
      <c r="G136">
        <v>10002</v>
      </c>
      <c r="H136" s="30">
        <v>92040010</v>
      </c>
      <c r="I136" s="34" t="s">
        <v>86</v>
      </c>
      <c r="J136" s="35">
        <v>162000</v>
      </c>
      <c r="K136" s="35" t="s">
        <v>219</v>
      </c>
      <c r="L136" s="35" t="s">
        <v>220</v>
      </c>
      <c r="M136">
        <v>100</v>
      </c>
      <c r="N136">
        <v>3</v>
      </c>
    </row>
    <row r="137" spans="1:14">
      <c r="A137">
        <f>A37+10000</f>
        <v>20116</v>
      </c>
      <c r="B137">
        <f>B37+10000</f>
        <v>20101</v>
      </c>
      <c r="C137">
        <v>4</v>
      </c>
      <c r="D137">
        <v>16</v>
      </c>
      <c r="E137" t="s">
        <v>201</v>
      </c>
      <c r="F137" s="31">
        <v>3</v>
      </c>
      <c r="G137">
        <v>10002</v>
      </c>
      <c r="H137" s="30">
        <v>92040010</v>
      </c>
      <c r="I137" s="34" t="s">
        <v>89</v>
      </c>
      <c r="J137" s="35">
        <v>183600</v>
      </c>
      <c r="K137" s="35" t="s">
        <v>219</v>
      </c>
      <c r="L137" s="35" t="s">
        <v>221</v>
      </c>
      <c r="M137">
        <v>100</v>
      </c>
      <c r="N137">
        <v>3</v>
      </c>
    </row>
    <row r="138" spans="1:14">
      <c r="A138">
        <f>A38+10000</f>
        <v>20117</v>
      </c>
      <c r="B138">
        <f>B38+10000</f>
        <v>20101</v>
      </c>
      <c r="C138">
        <v>4</v>
      </c>
      <c r="D138">
        <v>17</v>
      </c>
      <c r="E138" t="s">
        <v>201</v>
      </c>
      <c r="F138" s="31">
        <v>3</v>
      </c>
      <c r="G138">
        <v>10002</v>
      </c>
      <c r="H138" s="30">
        <v>92040010</v>
      </c>
      <c r="I138" s="34" t="s">
        <v>91</v>
      </c>
      <c r="J138" s="35">
        <v>205200</v>
      </c>
      <c r="K138" s="35" t="s">
        <v>219</v>
      </c>
      <c r="L138" s="35" t="s">
        <v>222</v>
      </c>
      <c r="M138">
        <v>100</v>
      </c>
      <c r="N138">
        <v>3</v>
      </c>
    </row>
    <row r="139" spans="1:14">
      <c r="A139">
        <f>A39+10000</f>
        <v>20118</v>
      </c>
      <c r="B139">
        <f>B39+10000</f>
        <v>20101</v>
      </c>
      <c r="C139">
        <v>4</v>
      </c>
      <c r="D139">
        <v>18</v>
      </c>
      <c r="E139" t="s">
        <v>201</v>
      </c>
      <c r="F139" s="31">
        <v>3</v>
      </c>
      <c r="G139">
        <v>10002</v>
      </c>
      <c r="H139" s="30">
        <v>92040010</v>
      </c>
      <c r="I139" s="34" t="s">
        <v>93</v>
      </c>
      <c r="J139" s="35">
        <v>226800</v>
      </c>
      <c r="K139" s="35" t="s">
        <v>219</v>
      </c>
      <c r="L139" s="35" t="s">
        <v>223</v>
      </c>
      <c r="M139">
        <v>100</v>
      </c>
      <c r="N139">
        <v>3</v>
      </c>
    </row>
    <row r="140" spans="1:14">
      <c r="A140">
        <f>A40+10000</f>
        <v>20119</v>
      </c>
      <c r="B140">
        <f>B40+10000</f>
        <v>20101</v>
      </c>
      <c r="C140">
        <v>4</v>
      </c>
      <c r="D140">
        <v>19</v>
      </c>
      <c r="E140" t="s">
        <v>201</v>
      </c>
      <c r="F140" s="31">
        <v>3</v>
      </c>
      <c r="G140">
        <v>10002</v>
      </c>
      <c r="H140" s="30">
        <v>92040010</v>
      </c>
      <c r="I140" s="34" t="s">
        <v>95</v>
      </c>
      <c r="J140" s="35">
        <v>248400</v>
      </c>
      <c r="K140" s="35" t="s">
        <v>219</v>
      </c>
      <c r="L140" s="35" t="s">
        <v>224</v>
      </c>
      <c r="M140">
        <v>100</v>
      </c>
      <c r="N140">
        <v>3</v>
      </c>
    </row>
    <row r="141" spans="1:14">
      <c r="A141">
        <f>A41+10000</f>
        <v>20120</v>
      </c>
      <c r="B141">
        <f>B41+10000</f>
        <v>20101</v>
      </c>
      <c r="C141">
        <v>4</v>
      </c>
      <c r="D141">
        <v>20</v>
      </c>
      <c r="E141" t="s">
        <v>201</v>
      </c>
      <c r="F141" s="31">
        <v>3</v>
      </c>
      <c r="G141">
        <v>10002</v>
      </c>
      <c r="H141" s="30">
        <v>92040010</v>
      </c>
      <c r="I141" s="34" t="s">
        <v>97</v>
      </c>
      <c r="J141" s="35">
        <v>270000</v>
      </c>
      <c r="K141" s="36" t="s">
        <v>98</v>
      </c>
      <c r="L141" s="35" t="s">
        <v>225</v>
      </c>
      <c r="M141">
        <v>0</v>
      </c>
      <c r="N141">
        <v>3</v>
      </c>
    </row>
    <row r="142" spans="1:14">
      <c r="A142">
        <f>A42+10000</f>
        <v>20201</v>
      </c>
      <c r="B142">
        <f>B42+10000</f>
        <v>20201</v>
      </c>
      <c r="C142">
        <v>4</v>
      </c>
      <c r="D142">
        <v>1</v>
      </c>
      <c r="E142" t="s">
        <v>226</v>
      </c>
      <c r="F142" s="32">
        <v>4</v>
      </c>
      <c r="G142">
        <v>10003</v>
      </c>
      <c r="H142" s="30">
        <v>92020010</v>
      </c>
      <c r="I142" s="34" t="s">
        <v>20</v>
      </c>
      <c r="J142" s="35">
        <v>8100</v>
      </c>
      <c r="K142" s="35" t="s">
        <v>227</v>
      </c>
      <c r="L142" s="35" t="s">
        <v>228</v>
      </c>
      <c r="M142">
        <v>100</v>
      </c>
      <c r="N142">
        <v>5</v>
      </c>
    </row>
    <row r="143" spans="1:14">
      <c r="A143">
        <f>A43+10000</f>
        <v>20202</v>
      </c>
      <c r="B143">
        <f>B43+10000</f>
        <v>20201</v>
      </c>
      <c r="C143">
        <v>4</v>
      </c>
      <c r="D143">
        <v>2</v>
      </c>
      <c r="E143" t="s">
        <v>226</v>
      </c>
      <c r="F143" s="32">
        <v>4</v>
      </c>
      <c r="G143">
        <v>10003</v>
      </c>
      <c r="H143" s="30">
        <v>92020010</v>
      </c>
      <c r="I143" s="34" t="s">
        <v>63</v>
      </c>
      <c r="J143" s="35">
        <v>16200</v>
      </c>
      <c r="K143" s="35" t="s">
        <v>227</v>
      </c>
      <c r="L143" s="35" t="s">
        <v>229</v>
      </c>
      <c r="M143">
        <v>100</v>
      </c>
      <c r="N143">
        <v>5</v>
      </c>
    </row>
    <row r="144" spans="1:14">
      <c r="A144">
        <f>A44+10000</f>
        <v>20203</v>
      </c>
      <c r="B144">
        <f>B44+10000</f>
        <v>20201</v>
      </c>
      <c r="C144">
        <v>4</v>
      </c>
      <c r="D144">
        <v>3</v>
      </c>
      <c r="E144" t="s">
        <v>226</v>
      </c>
      <c r="F144" s="32">
        <v>4</v>
      </c>
      <c r="G144">
        <v>10003</v>
      </c>
      <c r="H144" s="30">
        <v>92020010</v>
      </c>
      <c r="I144" s="34" t="s">
        <v>29</v>
      </c>
      <c r="J144" s="35">
        <v>24300</v>
      </c>
      <c r="K144" s="35" t="s">
        <v>227</v>
      </c>
      <c r="L144" s="35" t="s">
        <v>230</v>
      </c>
      <c r="M144">
        <v>100</v>
      </c>
      <c r="N144">
        <v>5</v>
      </c>
    </row>
    <row r="145" spans="1:14">
      <c r="A145">
        <f>A45+10000</f>
        <v>20204</v>
      </c>
      <c r="B145">
        <f>B45+10000</f>
        <v>20201</v>
      </c>
      <c r="C145">
        <v>4</v>
      </c>
      <c r="D145">
        <v>4</v>
      </c>
      <c r="E145" t="s">
        <v>226</v>
      </c>
      <c r="F145" s="32">
        <v>4</v>
      </c>
      <c r="G145">
        <v>10003</v>
      </c>
      <c r="H145" s="30">
        <v>92020010</v>
      </c>
      <c r="I145" s="34" t="s">
        <v>105</v>
      </c>
      <c r="J145" s="35">
        <v>32400</v>
      </c>
      <c r="K145" s="35" t="s">
        <v>227</v>
      </c>
      <c r="L145" s="35" t="s">
        <v>231</v>
      </c>
      <c r="M145">
        <v>100</v>
      </c>
      <c r="N145">
        <v>5</v>
      </c>
    </row>
    <row r="146" spans="1:14">
      <c r="A146">
        <f>A46+10000</f>
        <v>20205</v>
      </c>
      <c r="B146">
        <f>B46+10000</f>
        <v>20201</v>
      </c>
      <c r="C146">
        <v>4</v>
      </c>
      <c r="D146">
        <v>5</v>
      </c>
      <c r="E146" t="s">
        <v>226</v>
      </c>
      <c r="F146" s="32">
        <v>4</v>
      </c>
      <c r="G146">
        <v>10003</v>
      </c>
      <c r="H146" s="30">
        <v>92020010</v>
      </c>
      <c r="I146" s="34" t="s">
        <v>35</v>
      </c>
      <c r="J146" s="35">
        <v>40500</v>
      </c>
      <c r="K146" s="35" t="s">
        <v>232</v>
      </c>
      <c r="L146" s="35" t="s">
        <v>233</v>
      </c>
      <c r="M146">
        <v>100</v>
      </c>
      <c r="N146">
        <v>5</v>
      </c>
    </row>
    <row r="147" spans="1:14">
      <c r="A147">
        <f>A47+10000</f>
        <v>20206</v>
      </c>
      <c r="B147">
        <f>B47+10000</f>
        <v>20201</v>
      </c>
      <c r="C147">
        <v>4</v>
      </c>
      <c r="D147">
        <v>6</v>
      </c>
      <c r="E147" t="s">
        <v>226</v>
      </c>
      <c r="F147" s="32">
        <v>4</v>
      </c>
      <c r="G147">
        <v>10003</v>
      </c>
      <c r="H147" s="30">
        <v>92020010</v>
      </c>
      <c r="I147" s="34" t="s">
        <v>40</v>
      </c>
      <c r="J147" s="35">
        <v>56700</v>
      </c>
      <c r="K147" s="35" t="s">
        <v>232</v>
      </c>
      <c r="L147" s="35" t="s">
        <v>234</v>
      </c>
      <c r="M147">
        <v>100</v>
      </c>
      <c r="N147">
        <v>5</v>
      </c>
    </row>
    <row r="148" spans="1:14">
      <c r="A148">
        <f>A48+10000</f>
        <v>20207</v>
      </c>
      <c r="B148">
        <f>B48+10000</f>
        <v>20201</v>
      </c>
      <c r="C148">
        <v>4</v>
      </c>
      <c r="D148">
        <v>7</v>
      </c>
      <c r="E148" t="s">
        <v>226</v>
      </c>
      <c r="F148" s="32">
        <v>4</v>
      </c>
      <c r="G148">
        <v>10003</v>
      </c>
      <c r="H148" s="30">
        <v>92020010</v>
      </c>
      <c r="I148" s="34" t="s">
        <v>44</v>
      </c>
      <c r="J148" s="35">
        <v>72900</v>
      </c>
      <c r="K148" s="35" t="s">
        <v>232</v>
      </c>
      <c r="L148" s="35" t="s">
        <v>235</v>
      </c>
      <c r="M148">
        <v>100</v>
      </c>
      <c r="N148">
        <v>5</v>
      </c>
    </row>
    <row r="149" spans="1:14">
      <c r="A149">
        <f>A49+10000</f>
        <v>20208</v>
      </c>
      <c r="B149">
        <f>B49+10000</f>
        <v>20201</v>
      </c>
      <c r="C149">
        <v>4</v>
      </c>
      <c r="D149">
        <v>8</v>
      </c>
      <c r="E149" t="s">
        <v>226</v>
      </c>
      <c r="F149" s="32">
        <v>4</v>
      </c>
      <c r="G149">
        <v>10003</v>
      </c>
      <c r="H149" s="30">
        <v>92020010</v>
      </c>
      <c r="I149" s="34" t="s">
        <v>111</v>
      </c>
      <c r="J149" s="35">
        <v>89100</v>
      </c>
      <c r="K149" s="35" t="s">
        <v>232</v>
      </c>
      <c r="L149" s="35" t="s">
        <v>236</v>
      </c>
      <c r="M149">
        <v>100</v>
      </c>
      <c r="N149">
        <v>5</v>
      </c>
    </row>
    <row r="150" spans="1:14">
      <c r="A150">
        <f>A50+10000</f>
        <v>20209</v>
      </c>
      <c r="B150">
        <f>B50+10000</f>
        <v>20201</v>
      </c>
      <c r="C150">
        <v>4</v>
      </c>
      <c r="D150">
        <v>9</v>
      </c>
      <c r="E150" t="s">
        <v>226</v>
      </c>
      <c r="F150" s="32">
        <v>4</v>
      </c>
      <c r="G150">
        <v>10003</v>
      </c>
      <c r="H150" s="30">
        <v>92020010</v>
      </c>
      <c r="I150" s="34" t="s">
        <v>113</v>
      </c>
      <c r="J150" s="35">
        <v>105300</v>
      </c>
      <c r="K150" s="35" t="s">
        <v>232</v>
      </c>
      <c r="L150" s="35" t="s">
        <v>237</v>
      </c>
      <c r="M150">
        <v>100</v>
      </c>
      <c r="N150">
        <v>5</v>
      </c>
    </row>
    <row r="151" spans="1:14">
      <c r="A151">
        <f>A51+10000</f>
        <v>20210</v>
      </c>
      <c r="B151">
        <f>B51+10000</f>
        <v>20201</v>
      </c>
      <c r="C151">
        <v>4</v>
      </c>
      <c r="D151">
        <v>10</v>
      </c>
      <c r="E151" t="s">
        <v>226</v>
      </c>
      <c r="F151" s="32">
        <v>4</v>
      </c>
      <c r="G151">
        <v>10003</v>
      </c>
      <c r="H151" s="30">
        <v>92020010</v>
      </c>
      <c r="I151" s="34" t="s">
        <v>115</v>
      </c>
      <c r="J151" s="35">
        <v>121500</v>
      </c>
      <c r="K151" s="35" t="s">
        <v>238</v>
      </c>
      <c r="L151" s="35" t="s">
        <v>239</v>
      </c>
      <c r="M151">
        <v>100</v>
      </c>
      <c r="N151">
        <v>5</v>
      </c>
    </row>
    <row r="152" spans="1:14">
      <c r="A152">
        <f>A52+10000</f>
        <v>20211</v>
      </c>
      <c r="B152">
        <f>B52+10000</f>
        <v>20201</v>
      </c>
      <c r="C152">
        <v>4</v>
      </c>
      <c r="D152">
        <v>11</v>
      </c>
      <c r="E152" t="s">
        <v>226</v>
      </c>
      <c r="F152" s="32">
        <v>4</v>
      </c>
      <c r="G152">
        <v>10003</v>
      </c>
      <c r="H152" s="30">
        <v>92020010</v>
      </c>
      <c r="I152" s="34" t="s">
        <v>84</v>
      </c>
      <c r="J152" s="35">
        <v>145800</v>
      </c>
      <c r="K152" s="35" t="s">
        <v>238</v>
      </c>
      <c r="L152" s="35" t="s">
        <v>240</v>
      </c>
      <c r="M152">
        <v>100</v>
      </c>
      <c r="N152">
        <v>5</v>
      </c>
    </row>
    <row r="153" spans="1:14">
      <c r="A153">
        <f>A53+10000</f>
        <v>20212</v>
      </c>
      <c r="B153">
        <f>B53+10000</f>
        <v>20201</v>
      </c>
      <c r="C153">
        <v>4</v>
      </c>
      <c r="D153">
        <v>12</v>
      </c>
      <c r="E153" t="s">
        <v>226</v>
      </c>
      <c r="F153" s="32">
        <v>4</v>
      </c>
      <c r="G153">
        <v>10003</v>
      </c>
      <c r="H153" s="30">
        <v>92020010</v>
      </c>
      <c r="I153" s="34" t="s">
        <v>119</v>
      </c>
      <c r="J153" s="35">
        <v>170100</v>
      </c>
      <c r="K153" s="35" t="s">
        <v>238</v>
      </c>
      <c r="L153" s="35" t="s">
        <v>241</v>
      </c>
      <c r="M153">
        <v>100</v>
      </c>
      <c r="N153">
        <v>5</v>
      </c>
    </row>
    <row r="154" spans="1:14">
      <c r="A154">
        <f>A54+10000</f>
        <v>20213</v>
      </c>
      <c r="B154">
        <f>B54+10000</f>
        <v>20201</v>
      </c>
      <c r="C154">
        <v>4</v>
      </c>
      <c r="D154">
        <v>13</v>
      </c>
      <c r="E154" t="s">
        <v>226</v>
      </c>
      <c r="F154" s="32">
        <v>4</v>
      </c>
      <c r="G154">
        <v>10003</v>
      </c>
      <c r="H154" s="30">
        <v>92020010</v>
      </c>
      <c r="I154" s="34" t="s">
        <v>121</v>
      </c>
      <c r="J154" s="35">
        <v>194400</v>
      </c>
      <c r="K154" s="35" t="s">
        <v>238</v>
      </c>
      <c r="L154" s="35" t="s">
        <v>242</v>
      </c>
      <c r="M154">
        <v>100</v>
      </c>
      <c r="N154">
        <v>5</v>
      </c>
    </row>
    <row r="155" spans="1:14">
      <c r="A155">
        <f>A55+10000</f>
        <v>20214</v>
      </c>
      <c r="B155">
        <f>B55+10000</f>
        <v>20201</v>
      </c>
      <c r="C155">
        <v>4</v>
      </c>
      <c r="D155">
        <v>14</v>
      </c>
      <c r="E155" t="s">
        <v>226</v>
      </c>
      <c r="F155" s="32">
        <v>4</v>
      </c>
      <c r="G155">
        <v>10003</v>
      </c>
      <c r="H155" s="30">
        <v>92020010</v>
      </c>
      <c r="I155" s="34" t="s">
        <v>123</v>
      </c>
      <c r="J155" s="35">
        <v>218700</v>
      </c>
      <c r="K155" s="35" t="s">
        <v>238</v>
      </c>
      <c r="L155" s="35" t="s">
        <v>243</v>
      </c>
      <c r="M155">
        <v>100</v>
      </c>
      <c r="N155">
        <v>5</v>
      </c>
    </row>
    <row r="156" spans="1:14">
      <c r="A156">
        <f>A56+10000</f>
        <v>20215</v>
      </c>
      <c r="B156">
        <f>B56+10000</f>
        <v>20201</v>
      </c>
      <c r="C156">
        <v>4</v>
      </c>
      <c r="D156">
        <v>15</v>
      </c>
      <c r="E156" t="s">
        <v>226</v>
      </c>
      <c r="F156" s="32">
        <v>4</v>
      </c>
      <c r="G156">
        <v>10003</v>
      </c>
      <c r="H156" s="30">
        <v>92020010</v>
      </c>
      <c r="I156" s="34" t="s">
        <v>125</v>
      </c>
      <c r="J156" s="35">
        <v>243000</v>
      </c>
      <c r="K156" s="35" t="s">
        <v>244</v>
      </c>
      <c r="L156" s="35" t="s">
        <v>245</v>
      </c>
      <c r="M156">
        <v>100</v>
      </c>
      <c r="N156">
        <v>5</v>
      </c>
    </row>
    <row r="157" spans="1:14">
      <c r="A157">
        <f>A57+10000</f>
        <v>20216</v>
      </c>
      <c r="B157">
        <f>B57+10000</f>
        <v>20201</v>
      </c>
      <c r="C157">
        <v>4</v>
      </c>
      <c r="D157">
        <v>16</v>
      </c>
      <c r="E157" t="s">
        <v>226</v>
      </c>
      <c r="F157" s="32">
        <v>4</v>
      </c>
      <c r="G157">
        <v>10003</v>
      </c>
      <c r="H157" s="30">
        <v>92020010</v>
      </c>
      <c r="I157" s="34" t="s">
        <v>128</v>
      </c>
      <c r="J157" s="35">
        <v>275400</v>
      </c>
      <c r="K157" s="35" t="s">
        <v>244</v>
      </c>
      <c r="L157" s="35" t="s">
        <v>246</v>
      </c>
      <c r="M157">
        <v>100</v>
      </c>
      <c r="N157">
        <v>5</v>
      </c>
    </row>
    <row r="158" spans="1:14">
      <c r="A158">
        <f>A58+10000</f>
        <v>20217</v>
      </c>
      <c r="B158">
        <f>B58+10000</f>
        <v>20201</v>
      </c>
      <c r="C158">
        <v>4</v>
      </c>
      <c r="D158">
        <v>17</v>
      </c>
      <c r="E158" t="s">
        <v>226</v>
      </c>
      <c r="F158" s="32">
        <v>4</v>
      </c>
      <c r="G158">
        <v>10003</v>
      </c>
      <c r="H158" s="30">
        <v>92020010</v>
      </c>
      <c r="I158" s="34" t="s">
        <v>130</v>
      </c>
      <c r="J158" s="35">
        <v>307800</v>
      </c>
      <c r="K158" s="35" t="s">
        <v>244</v>
      </c>
      <c r="L158" s="35" t="s">
        <v>247</v>
      </c>
      <c r="M158">
        <v>100</v>
      </c>
      <c r="N158">
        <v>5</v>
      </c>
    </row>
    <row r="159" spans="1:14">
      <c r="A159">
        <f>A59+10000</f>
        <v>20218</v>
      </c>
      <c r="B159">
        <f>B59+10000</f>
        <v>20201</v>
      </c>
      <c r="C159">
        <v>4</v>
      </c>
      <c r="D159">
        <v>18</v>
      </c>
      <c r="E159" t="s">
        <v>226</v>
      </c>
      <c r="F159" s="32">
        <v>4</v>
      </c>
      <c r="G159">
        <v>10003</v>
      </c>
      <c r="H159" s="30">
        <v>92020010</v>
      </c>
      <c r="I159" s="34" t="s">
        <v>132</v>
      </c>
      <c r="J159" s="35">
        <v>340200</v>
      </c>
      <c r="K159" s="35" t="s">
        <v>244</v>
      </c>
      <c r="L159" s="35" t="s">
        <v>248</v>
      </c>
      <c r="M159">
        <v>100</v>
      </c>
      <c r="N159">
        <v>5</v>
      </c>
    </row>
    <row r="160" spans="1:14">
      <c r="A160">
        <f>A60+10000</f>
        <v>20219</v>
      </c>
      <c r="B160">
        <f>B60+10000</f>
        <v>20201</v>
      </c>
      <c r="C160">
        <v>4</v>
      </c>
      <c r="D160">
        <v>19</v>
      </c>
      <c r="E160" t="s">
        <v>226</v>
      </c>
      <c r="F160" s="32">
        <v>4</v>
      </c>
      <c r="G160">
        <v>10003</v>
      </c>
      <c r="H160" s="30">
        <v>92020010</v>
      </c>
      <c r="I160" s="34" t="s">
        <v>134</v>
      </c>
      <c r="J160" s="35">
        <v>372600</v>
      </c>
      <c r="K160" s="35" t="s">
        <v>244</v>
      </c>
      <c r="L160" s="35" t="s">
        <v>249</v>
      </c>
      <c r="M160">
        <v>100</v>
      </c>
      <c r="N160">
        <v>5</v>
      </c>
    </row>
    <row r="161" spans="1:14">
      <c r="A161">
        <f>A61+10000</f>
        <v>20220</v>
      </c>
      <c r="B161">
        <f>B61+10000</f>
        <v>20201</v>
      </c>
      <c r="C161">
        <v>4</v>
      </c>
      <c r="D161">
        <v>20</v>
      </c>
      <c r="E161" t="s">
        <v>226</v>
      </c>
      <c r="F161" s="32">
        <v>4</v>
      </c>
      <c r="G161">
        <v>10003</v>
      </c>
      <c r="H161" s="30">
        <v>92020010</v>
      </c>
      <c r="I161" s="34" t="s">
        <v>136</v>
      </c>
      <c r="J161" s="35">
        <v>405000</v>
      </c>
      <c r="K161" s="36" t="s">
        <v>98</v>
      </c>
      <c r="L161" s="35" t="s">
        <v>250</v>
      </c>
      <c r="M161">
        <v>0</v>
      </c>
      <c r="N161">
        <v>5</v>
      </c>
    </row>
    <row r="162" spans="1:14">
      <c r="A162">
        <f>A62+10000</f>
        <v>20301</v>
      </c>
      <c r="B162">
        <f>B62+10000</f>
        <v>20301</v>
      </c>
      <c r="C162">
        <v>4</v>
      </c>
      <c r="D162">
        <v>1</v>
      </c>
      <c r="E162" t="s">
        <v>251</v>
      </c>
      <c r="F162" s="33">
        <v>5</v>
      </c>
      <c r="G162">
        <v>10004</v>
      </c>
      <c r="H162" s="30">
        <v>92010010</v>
      </c>
      <c r="I162" s="34" t="s">
        <v>22</v>
      </c>
      <c r="J162" s="35">
        <v>10800</v>
      </c>
      <c r="K162" s="35" t="s">
        <v>252</v>
      </c>
      <c r="L162" s="35" t="s">
        <v>253</v>
      </c>
      <c r="M162">
        <v>100</v>
      </c>
      <c r="N162">
        <v>7</v>
      </c>
    </row>
    <row r="163" spans="1:14">
      <c r="A163">
        <f>A63+10000</f>
        <v>20302</v>
      </c>
      <c r="B163">
        <f>B63+10000</f>
        <v>20301</v>
      </c>
      <c r="C163">
        <v>4</v>
      </c>
      <c r="D163">
        <v>2</v>
      </c>
      <c r="E163" t="s">
        <v>251</v>
      </c>
      <c r="F163" s="33">
        <v>5</v>
      </c>
      <c r="G163">
        <v>10004</v>
      </c>
      <c r="H163" s="30">
        <v>92010010</v>
      </c>
      <c r="I163" s="34" t="s">
        <v>65</v>
      </c>
      <c r="J163" s="35">
        <v>21600</v>
      </c>
      <c r="K163" s="35" t="s">
        <v>252</v>
      </c>
      <c r="L163" s="35" t="s">
        <v>254</v>
      </c>
      <c r="M163">
        <v>100</v>
      </c>
      <c r="N163">
        <v>7</v>
      </c>
    </row>
    <row r="164" spans="1:14">
      <c r="A164">
        <f>A64+10000</f>
        <v>20303</v>
      </c>
      <c r="B164">
        <f>B64+10000</f>
        <v>20301</v>
      </c>
      <c r="C164">
        <v>4</v>
      </c>
      <c r="D164">
        <v>3</v>
      </c>
      <c r="E164" t="s">
        <v>251</v>
      </c>
      <c r="F164" s="33">
        <v>5</v>
      </c>
      <c r="G164">
        <v>10004</v>
      </c>
      <c r="H164" s="30">
        <v>92010010</v>
      </c>
      <c r="I164" s="34" t="s">
        <v>105</v>
      </c>
      <c r="J164" s="35">
        <v>32400</v>
      </c>
      <c r="K164" s="35" t="s">
        <v>252</v>
      </c>
      <c r="L164" s="35" t="s">
        <v>255</v>
      </c>
      <c r="M164">
        <v>100</v>
      </c>
      <c r="N164">
        <v>7</v>
      </c>
    </row>
    <row r="165" spans="1:14">
      <c r="A165">
        <f>A65+10000</f>
        <v>20304</v>
      </c>
      <c r="B165">
        <f>B65+10000</f>
        <v>20301</v>
      </c>
      <c r="C165">
        <v>4</v>
      </c>
      <c r="D165">
        <v>4</v>
      </c>
      <c r="E165" t="s">
        <v>251</v>
      </c>
      <c r="F165" s="33">
        <v>5</v>
      </c>
      <c r="G165">
        <v>10004</v>
      </c>
      <c r="H165" s="30">
        <v>92010010</v>
      </c>
      <c r="I165" s="34" t="s">
        <v>143</v>
      </c>
      <c r="J165" s="35">
        <v>43200</v>
      </c>
      <c r="K165" s="35" t="s">
        <v>252</v>
      </c>
      <c r="L165" s="35" t="s">
        <v>256</v>
      </c>
      <c r="M165">
        <v>100</v>
      </c>
      <c r="N165">
        <v>7</v>
      </c>
    </row>
    <row r="166" spans="1:14">
      <c r="A166">
        <f>A66+10000</f>
        <v>20305</v>
      </c>
      <c r="B166">
        <f>B66+10000</f>
        <v>20301</v>
      </c>
      <c r="C166">
        <v>4</v>
      </c>
      <c r="D166">
        <v>5</v>
      </c>
      <c r="E166" t="s">
        <v>251</v>
      </c>
      <c r="F166" s="33">
        <v>5</v>
      </c>
      <c r="G166">
        <v>10004</v>
      </c>
      <c r="H166" s="30">
        <v>92010010</v>
      </c>
      <c r="I166" s="34" t="s">
        <v>145</v>
      </c>
      <c r="J166" s="35">
        <v>54000</v>
      </c>
      <c r="K166" s="35" t="s">
        <v>257</v>
      </c>
      <c r="L166" s="35" t="s">
        <v>258</v>
      </c>
      <c r="M166">
        <v>100</v>
      </c>
      <c r="N166">
        <v>7</v>
      </c>
    </row>
    <row r="167" spans="1:14">
      <c r="A167">
        <f>A67+10000</f>
        <v>20306</v>
      </c>
      <c r="B167">
        <f>B67+10000</f>
        <v>20301</v>
      </c>
      <c r="C167">
        <v>4</v>
      </c>
      <c r="D167">
        <v>6</v>
      </c>
      <c r="E167" t="s">
        <v>251</v>
      </c>
      <c r="F167" s="33">
        <v>5</v>
      </c>
      <c r="G167">
        <v>10004</v>
      </c>
      <c r="H167" s="30">
        <v>92010010</v>
      </c>
      <c r="I167" s="34" t="s">
        <v>148</v>
      </c>
      <c r="J167" s="35">
        <v>75600</v>
      </c>
      <c r="K167" s="35" t="s">
        <v>257</v>
      </c>
      <c r="L167" s="35" t="s">
        <v>259</v>
      </c>
      <c r="M167">
        <v>100</v>
      </c>
      <c r="N167">
        <v>7</v>
      </c>
    </row>
    <row r="168" spans="1:14">
      <c r="A168">
        <f>A68+10000</f>
        <v>20307</v>
      </c>
      <c r="B168">
        <f>B68+10000</f>
        <v>20301</v>
      </c>
      <c r="C168">
        <v>4</v>
      </c>
      <c r="D168">
        <v>7</v>
      </c>
      <c r="E168" t="s">
        <v>251</v>
      </c>
      <c r="F168" s="33">
        <v>5</v>
      </c>
      <c r="G168">
        <v>10004</v>
      </c>
      <c r="H168" s="30">
        <v>92010010</v>
      </c>
      <c r="I168" s="34" t="s">
        <v>79</v>
      </c>
      <c r="J168" s="35">
        <v>97200</v>
      </c>
      <c r="K168" s="35" t="s">
        <v>257</v>
      </c>
      <c r="L168" s="35" t="s">
        <v>260</v>
      </c>
      <c r="M168">
        <v>100</v>
      </c>
      <c r="N168">
        <v>7</v>
      </c>
    </row>
    <row r="169" spans="1:14">
      <c r="A169">
        <f>A69+10000</f>
        <v>20308</v>
      </c>
      <c r="B169">
        <f>B69+10000</f>
        <v>20301</v>
      </c>
      <c r="C169">
        <v>4</v>
      </c>
      <c r="D169">
        <v>8</v>
      </c>
      <c r="E169" t="s">
        <v>251</v>
      </c>
      <c r="F169" s="33">
        <v>5</v>
      </c>
      <c r="G169">
        <v>10004</v>
      </c>
      <c r="H169" s="30">
        <v>92010010</v>
      </c>
      <c r="I169" s="34" t="s">
        <v>151</v>
      </c>
      <c r="J169" s="35">
        <v>118800</v>
      </c>
      <c r="K169" s="35" t="s">
        <v>257</v>
      </c>
      <c r="L169" s="35" t="s">
        <v>261</v>
      </c>
      <c r="M169">
        <v>100</v>
      </c>
      <c r="N169">
        <v>7</v>
      </c>
    </row>
    <row r="170" spans="1:14">
      <c r="A170">
        <f>A70+10000</f>
        <v>20309</v>
      </c>
      <c r="B170">
        <f>B70+10000</f>
        <v>20301</v>
      </c>
      <c r="C170">
        <v>4</v>
      </c>
      <c r="D170">
        <v>9</v>
      </c>
      <c r="E170" t="s">
        <v>251</v>
      </c>
      <c r="F170" s="33">
        <v>5</v>
      </c>
      <c r="G170">
        <v>10004</v>
      </c>
      <c r="H170" s="30">
        <v>92010010</v>
      </c>
      <c r="I170" s="34" t="s">
        <v>153</v>
      </c>
      <c r="J170" s="35">
        <v>140400</v>
      </c>
      <c r="K170" s="35" t="s">
        <v>257</v>
      </c>
      <c r="L170" s="35" t="s">
        <v>262</v>
      </c>
      <c r="M170">
        <v>100</v>
      </c>
      <c r="N170">
        <v>7</v>
      </c>
    </row>
    <row r="171" spans="1:14">
      <c r="A171">
        <f>A71+10000</f>
        <v>20310</v>
      </c>
      <c r="B171">
        <f>B71+10000</f>
        <v>20301</v>
      </c>
      <c r="C171">
        <v>4</v>
      </c>
      <c r="D171">
        <v>10</v>
      </c>
      <c r="E171" t="s">
        <v>251</v>
      </c>
      <c r="F171" s="33">
        <v>5</v>
      </c>
      <c r="G171">
        <v>10004</v>
      </c>
      <c r="H171" s="30">
        <v>92010010</v>
      </c>
      <c r="I171" s="34" t="s">
        <v>86</v>
      </c>
      <c r="J171" s="35">
        <v>162000</v>
      </c>
      <c r="K171" s="35" t="s">
        <v>263</v>
      </c>
      <c r="L171" s="35" t="s">
        <v>264</v>
      </c>
      <c r="M171">
        <v>100</v>
      </c>
      <c r="N171">
        <v>7</v>
      </c>
    </row>
    <row r="172" spans="1:14">
      <c r="A172">
        <f>A72+10000</f>
        <v>20311</v>
      </c>
      <c r="B172">
        <f>B72+10000</f>
        <v>20301</v>
      </c>
      <c r="C172">
        <v>4</v>
      </c>
      <c r="D172">
        <v>11</v>
      </c>
      <c r="E172" t="s">
        <v>251</v>
      </c>
      <c r="F172" s="33">
        <v>5</v>
      </c>
      <c r="G172">
        <v>10004</v>
      </c>
      <c r="H172" s="30">
        <v>92010010</v>
      </c>
      <c r="I172" s="34" t="s">
        <v>121</v>
      </c>
      <c r="J172" s="35">
        <v>194400</v>
      </c>
      <c r="K172" s="35" t="s">
        <v>263</v>
      </c>
      <c r="L172" s="35" t="s">
        <v>265</v>
      </c>
      <c r="M172">
        <v>100</v>
      </c>
      <c r="N172">
        <v>7</v>
      </c>
    </row>
    <row r="173" spans="1:14">
      <c r="A173">
        <f>A73+10000</f>
        <v>20312</v>
      </c>
      <c r="B173">
        <f>B73+10000</f>
        <v>20301</v>
      </c>
      <c r="C173">
        <v>4</v>
      </c>
      <c r="D173">
        <v>12</v>
      </c>
      <c r="E173" t="s">
        <v>251</v>
      </c>
      <c r="F173" s="33">
        <v>5</v>
      </c>
      <c r="G173">
        <v>10004</v>
      </c>
      <c r="H173" s="30">
        <v>92010010</v>
      </c>
      <c r="I173" s="34" t="s">
        <v>93</v>
      </c>
      <c r="J173" s="35">
        <v>226800</v>
      </c>
      <c r="K173" s="35" t="s">
        <v>263</v>
      </c>
      <c r="L173" s="35" t="s">
        <v>266</v>
      </c>
      <c r="M173">
        <v>100</v>
      </c>
      <c r="N173">
        <v>7</v>
      </c>
    </row>
    <row r="174" spans="1:14">
      <c r="A174">
        <f>A74+10000</f>
        <v>20313</v>
      </c>
      <c r="B174">
        <f>B74+10000</f>
        <v>20301</v>
      </c>
      <c r="C174">
        <v>4</v>
      </c>
      <c r="D174">
        <v>13</v>
      </c>
      <c r="E174" t="s">
        <v>251</v>
      </c>
      <c r="F174" s="33">
        <v>5</v>
      </c>
      <c r="G174">
        <v>10004</v>
      </c>
      <c r="H174" s="30">
        <v>92010010</v>
      </c>
      <c r="I174" s="34" t="s">
        <v>159</v>
      </c>
      <c r="J174" s="35">
        <v>259200</v>
      </c>
      <c r="K174" s="35" t="s">
        <v>263</v>
      </c>
      <c r="L174" s="35" t="s">
        <v>267</v>
      </c>
      <c r="M174">
        <v>100</v>
      </c>
      <c r="N174">
        <v>7</v>
      </c>
    </row>
    <row r="175" spans="1:14">
      <c r="A175">
        <f>A75+10000</f>
        <v>20314</v>
      </c>
      <c r="B175">
        <f>B75+10000</f>
        <v>20301</v>
      </c>
      <c r="C175">
        <v>4</v>
      </c>
      <c r="D175">
        <v>14</v>
      </c>
      <c r="E175" t="s">
        <v>251</v>
      </c>
      <c r="F175" s="33">
        <v>5</v>
      </c>
      <c r="G175">
        <v>10004</v>
      </c>
      <c r="H175" s="30">
        <v>92010010</v>
      </c>
      <c r="I175" s="34" t="s">
        <v>161</v>
      </c>
      <c r="J175" s="35">
        <v>291600</v>
      </c>
      <c r="K175" s="35" t="s">
        <v>263</v>
      </c>
      <c r="L175" s="35" t="s">
        <v>268</v>
      </c>
      <c r="M175">
        <v>100</v>
      </c>
      <c r="N175">
        <v>7</v>
      </c>
    </row>
    <row r="176" spans="1:14">
      <c r="A176">
        <f>A76+10000</f>
        <v>20315</v>
      </c>
      <c r="B176">
        <f>B76+10000</f>
        <v>20301</v>
      </c>
      <c r="C176">
        <v>4</v>
      </c>
      <c r="D176">
        <v>15</v>
      </c>
      <c r="E176" t="s">
        <v>251</v>
      </c>
      <c r="F176" s="33">
        <v>5</v>
      </c>
      <c r="G176">
        <v>10004</v>
      </c>
      <c r="H176" s="30">
        <v>92010010</v>
      </c>
      <c r="I176" s="34" t="s">
        <v>163</v>
      </c>
      <c r="J176" s="35">
        <v>324000</v>
      </c>
      <c r="K176" s="35" t="s">
        <v>269</v>
      </c>
      <c r="L176" s="35" t="s">
        <v>270</v>
      </c>
      <c r="M176">
        <v>100</v>
      </c>
      <c r="N176">
        <v>7</v>
      </c>
    </row>
    <row r="177" spans="1:14">
      <c r="A177">
        <f>A77+10000</f>
        <v>20316</v>
      </c>
      <c r="B177">
        <f>B77+10000</f>
        <v>20301</v>
      </c>
      <c r="C177">
        <v>4</v>
      </c>
      <c r="D177">
        <v>16</v>
      </c>
      <c r="E177" t="s">
        <v>251</v>
      </c>
      <c r="F177" s="33">
        <v>5</v>
      </c>
      <c r="G177">
        <v>10004</v>
      </c>
      <c r="H177" s="30">
        <v>92010010</v>
      </c>
      <c r="I177" s="34" t="s">
        <v>166</v>
      </c>
      <c r="J177" s="35">
        <v>367200</v>
      </c>
      <c r="K177" s="35" t="s">
        <v>269</v>
      </c>
      <c r="L177" s="35" t="s">
        <v>271</v>
      </c>
      <c r="M177">
        <v>100</v>
      </c>
      <c r="N177">
        <v>7</v>
      </c>
    </row>
    <row r="178" spans="1:14">
      <c r="A178">
        <f>A78+10000</f>
        <v>20317</v>
      </c>
      <c r="B178">
        <f>B78+10000</f>
        <v>20301</v>
      </c>
      <c r="C178">
        <v>4</v>
      </c>
      <c r="D178">
        <v>17</v>
      </c>
      <c r="E178" t="s">
        <v>251</v>
      </c>
      <c r="F178" s="33">
        <v>5</v>
      </c>
      <c r="G178">
        <v>10004</v>
      </c>
      <c r="H178" s="30">
        <v>92010010</v>
      </c>
      <c r="I178" s="34" t="s">
        <v>168</v>
      </c>
      <c r="J178" s="35">
        <v>410400</v>
      </c>
      <c r="K178" s="35" t="s">
        <v>269</v>
      </c>
      <c r="L178" s="35" t="s">
        <v>272</v>
      </c>
      <c r="M178">
        <v>100</v>
      </c>
      <c r="N178">
        <v>7</v>
      </c>
    </row>
    <row r="179" spans="1:14">
      <c r="A179">
        <f>A79+10000</f>
        <v>20318</v>
      </c>
      <c r="B179">
        <f>B79+10000</f>
        <v>20301</v>
      </c>
      <c r="C179">
        <v>4</v>
      </c>
      <c r="D179">
        <v>18</v>
      </c>
      <c r="E179" t="s">
        <v>251</v>
      </c>
      <c r="F179" s="33">
        <v>5</v>
      </c>
      <c r="G179">
        <v>10004</v>
      </c>
      <c r="H179" s="30">
        <v>92010010</v>
      </c>
      <c r="I179" s="34" t="s">
        <v>170</v>
      </c>
      <c r="J179" s="35">
        <v>453600</v>
      </c>
      <c r="K179" s="35" t="s">
        <v>269</v>
      </c>
      <c r="L179" s="35" t="s">
        <v>273</v>
      </c>
      <c r="M179">
        <v>100</v>
      </c>
      <c r="N179">
        <v>7</v>
      </c>
    </row>
    <row r="180" spans="1:14">
      <c r="A180">
        <f>A80+10000</f>
        <v>20319</v>
      </c>
      <c r="B180">
        <f>B80+10000</f>
        <v>20301</v>
      </c>
      <c r="C180">
        <v>4</v>
      </c>
      <c r="D180">
        <v>19</v>
      </c>
      <c r="E180" t="s">
        <v>251</v>
      </c>
      <c r="F180" s="33">
        <v>5</v>
      </c>
      <c r="G180">
        <v>10004</v>
      </c>
      <c r="H180" s="30">
        <v>92010010</v>
      </c>
      <c r="I180" s="34" t="s">
        <v>172</v>
      </c>
      <c r="J180" s="35">
        <v>496800</v>
      </c>
      <c r="K180" s="35" t="s">
        <v>269</v>
      </c>
      <c r="L180" s="35" t="s">
        <v>274</v>
      </c>
      <c r="M180">
        <v>100</v>
      </c>
      <c r="N180">
        <v>7</v>
      </c>
    </row>
    <row r="181" spans="1:14">
      <c r="A181">
        <f>A81+10000</f>
        <v>20320</v>
      </c>
      <c r="B181">
        <f>B81+10000</f>
        <v>20301</v>
      </c>
      <c r="C181">
        <v>4</v>
      </c>
      <c r="D181">
        <v>20</v>
      </c>
      <c r="E181" t="s">
        <v>251</v>
      </c>
      <c r="F181" s="33">
        <v>5</v>
      </c>
      <c r="G181">
        <v>10004</v>
      </c>
      <c r="H181" s="30">
        <v>92010010</v>
      </c>
      <c r="I181" s="36" t="s">
        <v>174</v>
      </c>
      <c r="J181" s="35">
        <v>540000</v>
      </c>
      <c r="K181" s="35" t="s">
        <v>768</v>
      </c>
      <c r="L181" s="35" t="s">
        <v>275</v>
      </c>
      <c r="M181">
        <v>100</v>
      </c>
      <c r="N181">
        <v>7</v>
      </c>
    </row>
    <row r="182" spans="1:14">
      <c r="A182">
        <f t="shared" ref="A182:B182" si="0">A82+10000</f>
        <v>20321</v>
      </c>
      <c r="B182">
        <f t="shared" si="0"/>
        <v>20301</v>
      </c>
      <c r="C182">
        <v>4</v>
      </c>
      <c r="D182">
        <v>21</v>
      </c>
      <c r="E182" t="s">
        <v>251</v>
      </c>
      <c r="F182" s="33">
        <v>5</v>
      </c>
      <c r="G182">
        <v>10004</v>
      </c>
      <c r="H182" s="30">
        <v>92010010</v>
      </c>
      <c r="I182" s="36" t="s">
        <v>748</v>
      </c>
      <c r="J182" s="35">
        <v>600000</v>
      </c>
      <c r="K182" s="35" t="s">
        <v>769</v>
      </c>
      <c r="L182" s="35" t="s">
        <v>788</v>
      </c>
      <c r="M182">
        <v>100</v>
      </c>
      <c r="N182">
        <v>7</v>
      </c>
    </row>
    <row r="183" spans="1:14">
      <c r="A183">
        <f t="shared" ref="A183:B183" si="1">A83+10000</f>
        <v>20322</v>
      </c>
      <c r="B183">
        <f t="shared" si="1"/>
        <v>20301</v>
      </c>
      <c r="C183">
        <v>4</v>
      </c>
      <c r="D183">
        <v>22</v>
      </c>
      <c r="E183" t="s">
        <v>251</v>
      </c>
      <c r="F183" s="33">
        <v>5</v>
      </c>
      <c r="G183">
        <v>10004</v>
      </c>
      <c r="H183" s="30">
        <v>92010010</v>
      </c>
      <c r="I183" s="36" t="s">
        <v>749</v>
      </c>
      <c r="J183" s="35">
        <v>700000</v>
      </c>
      <c r="K183" s="35" t="s">
        <v>770</v>
      </c>
      <c r="L183" s="35" t="s">
        <v>789</v>
      </c>
      <c r="M183">
        <v>100</v>
      </c>
      <c r="N183">
        <v>7</v>
      </c>
    </row>
    <row r="184" spans="1:14">
      <c r="A184">
        <f t="shared" ref="A184:B184" si="2">A84+10000</f>
        <v>20323</v>
      </c>
      <c r="B184">
        <f t="shared" si="2"/>
        <v>20301</v>
      </c>
      <c r="C184">
        <v>4</v>
      </c>
      <c r="D184">
        <v>23</v>
      </c>
      <c r="E184" t="s">
        <v>251</v>
      </c>
      <c r="F184" s="33">
        <v>5</v>
      </c>
      <c r="G184">
        <v>10004</v>
      </c>
      <c r="H184" s="30">
        <v>92010010</v>
      </c>
      <c r="I184" s="36" t="s">
        <v>750</v>
      </c>
      <c r="J184" s="35">
        <v>800000</v>
      </c>
      <c r="K184" s="35" t="s">
        <v>771</v>
      </c>
      <c r="L184" s="35" t="s">
        <v>790</v>
      </c>
      <c r="M184">
        <v>100</v>
      </c>
      <c r="N184">
        <v>7</v>
      </c>
    </row>
    <row r="185" spans="1:14">
      <c r="A185">
        <f t="shared" ref="A185:B185" si="3">A85+10000</f>
        <v>20324</v>
      </c>
      <c r="B185">
        <f t="shared" si="3"/>
        <v>20301</v>
      </c>
      <c r="C185">
        <v>4</v>
      </c>
      <c r="D185">
        <v>24</v>
      </c>
      <c r="E185" t="s">
        <v>251</v>
      </c>
      <c r="F185" s="33">
        <v>5</v>
      </c>
      <c r="G185">
        <v>10004</v>
      </c>
      <c r="H185" s="30">
        <v>92010010</v>
      </c>
      <c r="I185" s="36" t="s">
        <v>751</v>
      </c>
      <c r="J185" s="35">
        <v>900000</v>
      </c>
      <c r="K185" s="35" t="s">
        <v>772</v>
      </c>
      <c r="L185" s="35" t="s">
        <v>791</v>
      </c>
      <c r="M185">
        <v>100</v>
      </c>
      <c r="N185">
        <v>7</v>
      </c>
    </row>
    <row r="186" spans="1:14">
      <c r="A186">
        <f t="shared" ref="A186:B186" si="4">A86+10000</f>
        <v>20325</v>
      </c>
      <c r="B186">
        <f t="shared" si="4"/>
        <v>20301</v>
      </c>
      <c r="C186">
        <v>4</v>
      </c>
      <c r="D186">
        <v>25</v>
      </c>
      <c r="E186" t="s">
        <v>251</v>
      </c>
      <c r="F186" s="33">
        <v>5</v>
      </c>
      <c r="G186">
        <v>10004</v>
      </c>
      <c r="H186" s="30">
        <v>92010010</v>
      </c>
      <c r="I186" s="36" t="s">
        <v>752</v>
      </c>
      <c r="J186" s="35">
        <v>1000000</v>
      </c>
      <c r="K186" s="35" t="s">
        <v>773</v>
      </c>
      <c r="L186" s="35" t="s">
        <v>792</v>
      </c>
      <c r="M186">
        <v>100</v>
      </c>
      <c r="N186">
        <v>7</v>
      </c>
    </row>
    <row r="187" spans="1:14">
      <c r="A187">
        <f t="shared" ref="A187:B187" si="5">A87+10000</f>
        <v>20326</v>
      </c>
      <c r="B187">
        <f t="shared" si="5"/>
        <v>20301</v>
      </c>
      <c r="C187">
        <v>4</v>
      </c>
      <c r="D187">
        <v>26</v>
      </c>
      <c r="E187" t="s">
        <v>251</v>
      </c>
      <c r="F187" s="33">
        <v>5</v>
      </c>
      <c r="G187">
        <v>10004</v>
      </c>
      <c r="H187" s="30">
        <v>92010010</v>
      </c>
      <c r="I187" s="36" t="s">
        <v>753</v>
      </c>
      <c r="J187" s="35">
        <v>1100000</v>
      </c>
      <c r="K187" s="35" t="s">
        <v>774</v>
      </c>
      <c r="L187" s="35" t="s">
        <v>793</v>
      </c>
      <c r="M187">
        <v>100</v>
      </c>
      <c r="N187">
        <v>7</v>
      </c>
    </row>
    <row r="188" spans="1:14">
      <c r="A188">
        <f t="shared" ref="A188:B188" si="6">A88+10000</f>
        <v>20327</v>
      </c>
      <c r="B188">
        <f t="shared" si="6"/>
        <v>20301</v>
      </c>
      <c r="C188">
        <v>4</v>
      </c>
      <c r="D188">
        <v>27</v>
      </c>
      <c r="E188" t="s">
        <v>251</v>
      </c>
      <c r="F188" s="33">
        <v>5</v>
      </c>
      <c r="G188">
        <v>10004</v>
      </c>
      <c r="H188" s="30">
        <v>92010010</v>
      </c>
      <c r="I188" s="36" t="s">
        <v>754</v>
      </c>
      <c r="J188" s="35">
        <v>1200000</v>
      </c>
      <c r="K188" s="35" t="s">
        <v>775</v>
      </c>
      <c r="L188" s="35" t="s">
        <v>794</v>
      </c>
      <c r="M188">
        <v>100</v>
      </c>
      <c r="N188">
        <v>7</v>
      </c>
    </row>
    <row r="189" spans="1:14">
      <c r="A189">
        <f t="shared" ref="A189:B189" si="7">A89+10000</f>
        <v>20328</v>
      </c>
      <c r="B189">
        <f t="shared" si="7"/>
        <v>20301</v>
      </c>
      <c r="C189">
        <v>4</v>
      </c>
      <c r="D189">
        <v>28</v>
      </c>
      <c r="E189" t="s">
        <v>251</v>
      </c>
      <c r="F189" s="33">
        <v>5</v>
      </c>
      <c r="G189">
        <v>10004</v>
      </c>
      <c r="H189" s="30">
        <v>92010010</v>
      </c>
      <c r="I189" s="36" t="s">
        <v>755</v>
      </c>
      <c r="J189" s="35">
        <v>1300000</v>
      </c>
      <c r="K189" s="35" t="s">
        <v>776</v>
      </c>
      <c r="L189" s="35" t="s">
        <v>795</v>
      </c>
      <c r="M189">
        <v>100</v>
      </c>
      <c r="N189">
        <v>7</v>
      </c>
    </row>
    <row r="190" spans="1:14">
      <c r="A190">
        <f t="shared" ref="A190:B190" si="8">A90+10000</f>
        <v>20329</v>
      </c>
      <c r="B190">
        <f t="shared" si="8"/>
        <v>20301</v>
      </c>
      <c r="C190">
        <v>4</v>
      </c>
      <c r="D190">
        <v>29</v>
      </c>
      <c r="E190" t="s">
        <v>251</v>
      </c>
      <c r="F190" s="33">
        <v>5</v>
      </c>
      <c r="G190">
        <v>10004</v>
      </c>
      <c r="H190" s="30">
        <v>92010010</v>
      </c>
      <c r="I190" s="36" t="s">
        <v>756</v>
      </c>
      <c r="J190" s="35">
        <v>1400000</v>
      </c>
      <c r="K190" s="35" t="s">
        <v>777</v>
      </c>
      <c r="L190" s="35" t="s">
        <v>796</v>
      </c>
      <c r="M190">
        <v>100</v>
      </c>
      <c r="N190">
        <v>7</v>
      </c>
    </row>
    <row r="191" spans="1:14">
      <c r="A191">
        <f t="shared" ref="A191:B191" si="9">A91+10000</f>
        <v>20330</v>
      </c>
      <c r="B191">
        <f t="shared" si="9"/>
        <v>20301</v>
      </c>
      <c r="C191">
        <v>4</v>
      </c>
      <c r="D191">
        <v>30</v>
      </c>
      <c r="E191" t="s">
        <v>251</v>
      </c>
      <c r="F191" s="33">
        <v>5</v>
      </c>
      <c r="G191">
        <v>10004</v>
      </c>
      <c r="H191" s="30">
        <v>92010010</v>
      </c>
      <c r="I191" s="36" t="s">
        <v>757</v>
      </c>
      <c r="J191" s="35">
        <v>1500000</v>
      </c>
      <c r="K191" s="35" t="s">
        <v>778</v>
      </c>
      <c r="L191" s="35" t="s">
        <v>797</v>
      </c>
      <c r="M191">
        <v>100</v>
      </c>
      <c r="N191">
        <v>7</v>
      </c>
    </row>
    <row r="192" spans="1:14">
      <c r="A192">
        <f t="shared" ref="A192:B192" si="10">A92+10000</f>
        <v>20331</v>
      </c>
      <c r="B192">
        <f t="shared" si="10"/>
        <v>20301</v>
      </c>
      <c r="C192">
        <v>4</v>
      </c>
      <c r="D192">
        <v>31</v>
      </c>
      <c r="E192" t="s">
        <v>251</v>
      </c>
      <c r="F192" s="33">
        <v>5</v>
      </c>
      <c r="G192">
        <v>10004</v>
      </c>
      <c r="H192" s="30">
        <v>92010010</v>
      </c>
      <c r="I192" s="36" t="s">
        <v>758</v>
      </c>
      <c r="J192" s="35">
        <v>1600000</v>
      </c>
      <c r="K192" s="35" t="s">
        <v>779</v>
      </c>
      <c r="L192" s="35" t="s">
        <v>798</v>
      </c>
      <c r="M192">
        <v>100</v>
      </c>
      <c r="N192">
        <v>7</v>
      </c>
    </row>
    <row r="193" spans="1:14">
      <c r="A193">
        <f t="shared" ref="A193:B193" si="11">A93+10000</f>
        <v>20332</v>
      </c>
      <c r="B193">
        <f t="shared" si="11"/>
        <v>20301</v>
      </c>
      <c r="C193">
        <v>4</v>
      </c>
      <c r="D193">
        <v>32</v>
      </c>
      <c r="E193" t="s">
        <v>251</v>
      </c>
      <c r="F193" s="33">
        <v>5</v>
      </c>
      <c r="G193">
        <v>10004</v>
      </c>
      <c r="H193" s="30">
        <v>92010010</v>
      </c>
      <c r="I193" s="36" t="s">
        <v>759</v>
      </c>
      <c r="J193" s="35">
        <v>1700000</v>
      </c>
      <c r="K193" s="35" t="s">
        <v>780</v>
      </c>
      <c r="L193" s="35" t="s">
        <v>799</v>
      </c>
      <c r="M193">
        <v>100</v>
      </c>
      <c r="N193">
        <v>7</v>
      </c>
    </row>
    <row r="194" spans="1:14">
      <c r="A194">
        <f t="shared" ref="A194:B194" si="12">A94+10000</f>
        <v>20333</v>
      </c>
      <c r="B194">
        <f t="shared" si="12"/>
        <v>20301</v>
      </c>
      <c r="C194">
        <v>4</v>
      </c>
      <c r="D194">
        <v>33</v>
      </c>
      <c r="E194" t="s">
        <v>251</v>
      </c>
      <c r="F194" s="33">
        <v>5</v>
      </c>
      <c r="G194">
        <v>10004</v>
      </c>
      <c r="H194" s="30">
        <v>92010010</v>
      </c>
      <c r="I194" s="36" t="s">
        <v>760</v>
      </c>
      <c r="J194" s="35">
        <v>1800000</v>
      </c>
      <c r="K194" s="35" t="s">
        <v>781</v>
      </c>
      <c r="L194" s="35" t="s">
        <v>800</v>
      </c>
      <c r="M194">
        <v>100</v>
      </c>
      <c r="N194">
        <v>7</v>
      </c>
    </row>
    <row r="195" spans="1:14">
      <c r="A195">
        <f t="shared" ref="A195:B195" si="13">A95+10000</f>
        <v>20334</v>
      </c>
      <c r="B195">
        <f t="shared" si="13"/>
        <v>20301</v>
      </c>
      <c r="C195">
        <v>4</v>
      </c>
      <c r="D195">
        <v>34</v>
      </c>
      <c r="E195" t="s">
        <v>251</v>
      </c>
      <c r="F195" s="33">
        <v>5</v>
      </c>
      <c r="G195">
        <v>10004</v>
      </c>
      <c r="H195" s="30">
        <v>92010010</v>
      </c>
      <c r="I195" s="36" t="s">
        <v>761</v>
      </c>
      <c r="J195" s="35">
        <v>1900000</v>
      </c>
      <c r="K195" s="35" t="s">
        <v>782</v>
      </c>
      <c r="L195" s="35" t="s">
        <v>801</v>
      </c>
      <c r="M195">
        <v>100</v>
      </c>
      <c r="N195">
        <v>7</v>
      </c>
    </row>
    <row r="196" spans="1:14">
      <c r="A196">
        <f t="shared" ref="A196:B196" si="14">A96+10000</f>
        <v>20335</v>
      </c>
      <c r="B196">
        <f t="shared" si="14"/>
        <v>20301</v>
      </c>
      <c r="C196">
        <v>4</v>
      </c>
      <c r="D196">
        <v>35</v>
      </c>
      <c r="E196" t="s">
        <v>251</v>
      </c>
      <c r="F196" s="33">
        <v>5</v>
      </c>
      <c r="G196">
        <v>10004</v>
      </c>
      <c r="H196" s="30">
        <v>92010010</v>
      </c>
      <c r="I196" s="36" t="s">
        <v>762</v>
      </c>
      <c r="J196" s="35">
        <v>2000000</v>
      </c>
      <c r="K196" s="35" t="s">
        <v>783</v>
      </c>
      <c r="L196" s="35" t="s">
        <v>802</v>
      </c>
      <c r="M196">
        <v>100</v>
      </c>
      <c r="N196">
        <v>7</v>
      </c>
    </row>
    <row r="197" spans="1:14">
      <c r="A197">
        <f t="shared" ref="A197:B197" si="15">A97+10000</f>
        <v>20336</v>
      </c>
      <c r="B197">
        <f t="shared" si="15"/>
        <v>20301</v>
      </c>
      <c r="C197">
        <v>4</v>
      </c>
      <c r="D197">
        <v>36</v>
      </c>
      <c r="E197" t="s">
        <v>251</v>
      </c>
      <c r="F197" s="33">
        <v>5</v>
      </c>
      <c r="G197">
        <v>10004</v>
      </c>
      <c r="H197" s="30">
        <v>92010010</v>
      </c>
      <c r="I197" s="36" t="s">
        <v>763</v>
      </c>
      <c r="J197" s="35">
        <v>2100000</v>
      </c>
      <c r="K197" s="35" t="s">
        <v>784</v>
      </c>
      <c r="L197" s="35" t="s">
        <v>803</v>
      </c>
      <c r="M197">
        <v>100</v>
      </c>
      <c r="N197">
        <v>7</v>
      </c>
    </row>
    <row r="198" spans="1:14">
      <c r="A198">
        <f t="shared" ref="A198:B198" si="16">A98+10000</f>
        <v>20337</v>
      </c>
      <c r="B198">
        <f t="shared" si="16"/>
        <v>20301</v>
      </c>
      <c r="C198">
        <v>4</v>
      </c>
      <c r="D198">
        <v>37</v>
      </c>
      <c r="E198" t="s">
        <v>251</v>
      </c>
      <c r="F198" s="33">
        <v>5</v>
      </c>
      <c r="G198">
        <v>10004</v>
      </c>
      <c r="H198" s="30">
        <v>92010010</v>
      </c>
      <c r="I198" s="36" t="s">
        <v>764</v>
      </c>
      <c r="J198" s="35">
        <v>2200000</v>
      </c>
      <c r="K198" s="35" t="s">
        <v>785</v>
      </c>
      <c r="L198" s="35" t="s">
        <v>804</v>
      </c>
      <c r="M198">
        <v>100</v>
      </c>
      <c r="N198">
        <v>7</v>
      </c>
    </row>
    <row r="199" spans="1:14">
      <c r="A199">
        <f t="shared" ref="A199:B199" si="17">A99+10000</f>
        <v>20338</v>
      </c>
      <c r="B199">
        <f t="shared" si="17"/>
        <v>20301</v>
      </c>
      <c r="C199">
        <v>4</v>
      </c>
      <c r="D199">
        <v>38</v>
      </c>
      <c r="E199" t="s">
        <v>251</v>
      </c>
      <c r="F199" s="33">
        <v>5</v>
      </c>
      <c r="G199">
        <v>10004</v>
      </c>
      <c r="H199" s="30">
        <v>92010010</v>
      </c>
      <c r="I199" s="36" t="s">
        <v>765</v>
      </c>
      <c r="J199" s="35">
        <v>2300000</v>
      </c>
      <c r="K199" s="35" t="s">
        <v>786</v>
      </c>
      <c r="L199" s="35" t="s">
        <v>805</v>
      </c>
      <c r="M199">
        <v>100</v>
      </c>
      <c r="N199">
        <v>7</v>
      </c>
    </row>
    <row r="200" spans="1:14">
      <c r="A200">
        <f t="shared" ref="A200:B200" si="18">A100+10000</f>
        <v>20339</v>
      </c>
      <c r="B200">
        <f t="shared" si="18"/>
        <v>20301</v>
      </c>
      <c r="C200">
        <v>4</v>
      </c>
      <c r="D200">
        <v>39</v>
      </c>
      <c r="E200" t="s">
        <v>251</v>
      </c>
      <c r="F200" s="33">
        <v>5</v>
      </c>
      <c r="G200">
        <v>10004</v>
      </c>
      <c r="H200" s="30">
        <v>92010010</v>
      </c>
      <c r="I200" s="36" t="s">
        <v>766</v>
      </c>
      <c r="J200" s="35">
        <v>2400000</v>
      </c>
      <c r="K200" s="35" t="s">
        <v>787</v>
      </c>
      <c r="L200" s="35" t="s">
        <v>806</v>
      </c>
      <c r="M200">
        <v>100</v>
      </c>
      <c r="N200">
        <v>7</v>
      </c>
    </row>
    <row r="201" spans="1:14">
      <c r="A201">
        <f t="shared" ref="A201:B201" si="19">A101+10000</f>
        <v>20340</v>
      </c>
      <c r="B201">
        <f t="shared" si="19"/>
        <v>20301</v>
      </c>
      <c r="C201">
        <v>4</v>
      </c>
      <c r="D201">
        <v>40</v>
      </c>
      <c r="E201" t="s">
        <v>251</v>
      </c>
      <c r="F201" s="33">
        <v>5</v>
      </c>
      <c r="G201">
        <v>10004</v>
      </c>
      <c r="H201" s="30">
        <v>92010010</v>
      </c>
      <c r="I201" s="36" t="s">
        <v>767</v>
      </c>
      <c r="J201" s="35">
        <v>2500000</v>
      </c>
      <c r="K201" s="36" t="s">
        <v>98</v>
      </c>
      <c r="L201" s="35" t="s">
        <v>807</v>
      </c>
      <c r="M201">
        <v>0</v>
      </c>
      <c r="N201">
        <v>7</v>
      </c>
    </row>
    <row r="202" spans="1:14">
      <c r="A202">
        <f>A102+10000</f>
        <v>30001</v>
      </c>
      <c r="B202">
        <f>B102+10000</f>
        <v>30001</v>
      </c>
      <c r="C202">
        <v>2</v>
      </c>
      <c r="D202">
        <v>1</v>
      </c>
      <c r="E202" s="28" t="s">
        <v>276</v>
      </c>
      <c r="F202" s="29">
        <v>2</v>
      </c>
      <c r="G202">
        <v>10001</v>
      </c>
      <c r="H202" s="30">
        <v>92030010</v>
      </c>
      <c r="I202" s="34" t="s">
        <v>15</v>
      </c>
      <c r="J202" s="35">
        <v>1950</v>
      </c>
      <c r="K202" s="1" t="s">
        <v>277</v>
      </c>
      <c r="L202" s="35" t="s">
        <v>278</v>
      </c>
      <c r="M202">
        <v>100</v>
      </c>
      <c r="N202">
        <v>1</v>
      </c>
    </row>
    <row r="203" spans="1:14">
      <c r="A203">
        <f>A103+10000</f>
        <v>30002</v>
      </c>
      <c r="B203">
        <f>B103+10000</f>
        <v>30001</v>
      </c>
      <c r="C203">
        <v>2</v>
      </c>
      <c r="D203">
        <v>2</v>
      </c>
      <c r="E203" s="28" t="s">
        <v>276</v>
      </c>
      <c r="F203" s="29">
        <v>2</v>
      </c>
      <c r="G203">
        <v>10001</v>
      </c>
      <c r="H203" s="30">
        <v>92030010</v>
      </c>
      <c r="I203" s="34" t="s">
        <v>18</v>
      </c>
      <c r="J203" s="35">
        <v>3900</v>
      </c>
      <c r="K203" s="1" t="s">
        <v>277</v>
      </c>
      <c r="L203" s="35" t="s">
        <v>279</v>
      </c>
      <c r="M203">
        <v>100</v>
      </c>
      <c r="N203">
        <v>1</v>
      </c>
    </row>
    <row r="204" spans="1:14">
      <c r="A204">
        <f>A104+10000</f>
        <v>30003</v>
      </c>
      <c r="B204">
        <f>B104+10000</f>
        <v>30001</v>
      </c>
      <c r="C204">
        <v>2</v>
      </c>
      <c r="D204">
        <v>3</v>
      </c>
      <c r="E204" s="28" t="s">
        <v>276</v>
      </c>
      <c r="F204" s="29">
        <v>2</v>
      </c>
      <c r="G204">
        <v>10001</v>
      </c>
      <c r="H204" s="30">
        <v>92030010</v>
      </c>
      <c r="I204" s="34" t="s">
        <v>20</v>
      </c>
      <c r="J204" s="35">
        <v>5850</v>
      </c>
      <c r="K204" s="1" t="s">
        <v>277</v>
      </c>
      <c r="L204" s="35" t="s">
        <v>280</v>
      </c>
      <c r="M204">
        <v>100</v>
      </c>
      <c r="N204">
        <v>1</v>
      </c>
    </row>
    <row r="205" spans="1:14">
      <c r="A205">
        <f>A105+10000</f>
        <v>30004</v>
      </c>
      <c r="B205">
        <f>B105+10000</f>
        <v>30001</v>
      </c>
      <c r="C205">
        <v>2</v>
      </c>
      <c r="D205">
        <v>4</v>
      </c>
      <c r="E205" s="28" t="s">
        <v>276</v>
      </c>
      <c r="F205" s="29">
        <v>2</v>
      </c>
      <c r="G205">
        <v>10001</v>
      </c>
      <c r="H205" s="30">
        <v>92030010</v>
      </c>
      <c r="I205" s="34" t="s">
        <v>22</v>
      </c>
      <c r="J205" s="35">
        <v>7800</v>
      </c>
      <c r="K205" s="1" t="s">
        <v>277</v>
      </c>
      <c r="L205" s="35" t="s">
        <v>281</v>
      </c>
      <c r="M205">
        <v>100</v>
      </c>
      <c r="N205">
        <v>1</v>
      </c>
    </row>
    <row r="206" spans="1:14">
      <c r="A206">
        <f>A106+10000</f>
        <v>30005</v>
      </c>
      <c r="B206">
        <f>B106+10000</f>
        <v>30001</v>
      </c>
      <c r="C206">
        <v>2</v>
      </c>
      <c r="D206">
        <v>5</v>
      </c>
      <c r="E206" s="28" t="s">
        <v>276</v>
      </c>
      <c r="F206" s="29">
        <v>2</v>
      </c>
      <c r="G206">
        <v>10001</v>
      </c>
      <c r="H206" s="30">
        <v>92030010</v>
      </c>
      <c r="I206" s="34" t="s">
        <v>24</v>
      </c>
      <c r="J206" s="35">
        <v>9750</v>
      </c>
      <c r="K206" s="1" t="s">
        <v>282</v>
      </c>
      <c r="L206" s="35" t="s">
        <v>283</v>
      </c>
      <c r="M206">
        <v>100</v>
      </c>
      <c r="N206">
        <v>1</v>
      </c>
    </row>
    <row r="207" spans="1:14">
      <c r="A207">
        <f>A107+10000</f>
        <v>30006</v>
      </c>
      <c r="B207">
        <f>B107+10000</f>
        <v>30001</v>
      </c>
      <c r="C207">
        <v>2</v>
      </c>
      <c r="D207">
        <v>6</v>
      </c>
      <c r="E207" s="28" t="s">
        <v>276</v>
      </c>
      <c r="F207" s="29">
        <v>2</v>
      </c>
      <c r="G207">
        <v>10001</v>
      </c>
      <c r="H207" s="30">
        <v>92030010</v>
      </c>
      <c r="I207" s="34" t="s">
        <v>27</v>
      </c>
      <c r="J207" s="35">
        <v>13650</v>
      </c>
      <c r="K207" s="1" t="s">
        <v>282</v>
      </c>
      <c r="L207" s="35" t="s">
        <v>284</v>
      </c>
      <c r="M207">
        <v>100</v>
      </c>
      <c r="N207">
        <v>1</v>
      </c>
    </row>
    <row r="208" spans="1:14">
      <c r="A208">
        <f>A108+10000</f>
        <v>30007</v>
      </c>
      <c r="B208">
        <f>B108+10000</f>
        <v>30001</v>
      </c>
      <c r="C208">
        <v>2</v>
      </c>
      <c r="D208">
        <v>7</v>
      </c>
      <c r="E208" s="28" t="s">
        <v>276</v>
      </c>
      <c r="F208" s="29">
        <v>2</v>
      </c>
      <c r="G208">
        <v>10001</v>
      </c>
      <c r="H208" s="30">
        <v>92030010</v>
      </c>
      <c r="I208" s="34" t="s">
        <v>29</v>
      </c>
      <c r="J208" s="35">
        <v>17550</v>
      </c>
      <c r="K208" s="1" t="s">
        <v>282</v>
      </c>
      <c r="L208" s="35" t="s">
        <v>285</v>
      </c>
      <c r="M208">
        <v>100</v>
      </c>
      <c r="N208">
        <v>1</v>
      </c>
    </row>
    <row r="209" spans="1:14">
      <c r="A209">
        <f>A109+10000</f>
        <v>30008</v>
      </c>
      <c r="B209">
        <f>B109+10000</f>
        <v>30001</v>
      </c>
      <c r="C209">
        <v>2</v>
      </c>
      <c r="D209">
        <v>8</v>
      </c>
      <c r="E209" s="28" t="s">
        <v>276</v>
      </c>
      <c r="F209" s="29">
        <v>2</v>
      </c>
      <c r="G209">
        <v>10001</v>
      </c>
      <c r="H209" s="30">
        <v>92030010</v>
      </c>
      <c r="I209" s="34" t="s">
        <v>31</v>
      </c>
      <c r="J209" s="35">
        <v>21450</v>
      </c>
      <c r="K209" s="1" t="s">
        <v>282</v>
      </c>
      <c r="L209" s="35" t="s">
        <v>286</v>
      </c>
      <c r="M209">
        <v>100</v>
      </c>
      <c r="N209">
        <v>1</v>
      </c>
    </row>
    <row r="210" spans="1:14">
      <c r="A210">
        <f>A110+10000</f>
        <v>30009</v>
      </c>
      <c r="B210">
        <f>B110+10000</f>
        <v>30001</v>
      </c>
      <c r="C210">
        <v>2</v>
      </c>
      <c r="D210">
        <v>9</v>
      </c>
      <c r="E210" s="28" t="s">
        <v>276</v>
      </c>
      <c r="F210" s="29">
        <v>2</v>
      </c>
      <c r="G210">
        <v>10001</v>
      </c>
      <c r="H210" s="30">
        <v>92030010</v>
      </c>
      <c r="I210" s="34" t="s">
        <v>33</v>
      </c>
      <c r="J210" s="35">
        <v>25350</v>
      </c>
      <c r="K210" s="1" t="s">
        <v>282</v>
      </c>
      <c r="L210" s="35" t="s">
        <v>287</v>
      </c>
      <c r="M210">
        <v>100</v>
      </c>
      <c r="N210">
        <v>1</v>
      </c>
    </row>
    <row r="211" spans="1:14">
      <c r="A211">
        <f>A111+10000</f>
        <v>30010</v>
      </c>
      <c r="B211">
        <f>B111+10000</f>
        <v>30001</v>
      </c>
      <c r="C211">
        <v>2</v>
      </c>
      <c r="D211">
        <v>10</v>
      </c>
      <c r="E211" s="28" t="s">
        <v>276</v>
      </c>
      <c r="F211" s="29">
        <v>2</v>
      </c>
      <c r="G211">
        <v>10001</v>
      </c>
      <c r="H211" s="30">
        <v>92030010</v>
      </c>
      <c r="I211" s="34" t="s">
        <v>35</v>
      </c>
      <c r="J211" s="35">
        <v>29250</v>
      </c>
      <c r="K211" s="1" t="s">
        <v>288</v>
      </c>
      <c r="L211" s="35" t="s">
        <v>289</v>
      </c>
      <c r="M211">
        <v>100</v>
      </c>
      <c r="N211">
        <v>1</v>
      </c>
    </row>
    <row r="212" spans="1:14">
      <c r="A212">
        <f>A112+10000</f>
        <v>30011</v>
      </c>
      <c r="B212">
        <f>B112+10000</f>
        <v>30001</v>
      </c>
      <c r="C212">
        <v>2</v>
      </c>
      <c r="D212">
        <v>11</v>
      </c>
      <c r="E212" s="28" t="s">
        <v>276</v>
      </c>
      <c r="F212" s="29">
        <v>2</v>
      </c>
      <c r="G212">
        <v>10001</v>
      </c>
      <c r="H212" s="30">
        <v>92030010</v>
      </c>
      <c r="I212" s="34" t="s">
        <v>38</v>
      </c>
      <c r="J212" s="35">
        <v>35100</v>
      </c>
      <c r="K212" s="1" t="s">
        <v>288</v>
      </c>
      <c r="L212" s="35" t="s">
        <v>290</v>
      </c>
      <c r="M212">
        <v>100</v>
      </c>
      <c r="N212">
        <v>1</v>
      </c>
    </row>
    <row r="213" spans="1:14">
      <c r="A213">
        <f>A113+10000</f>
        <v>30012</v>
      </c>
      <c r="B213">
        <f>B113+10000</f>
        <v>30001</v>
      </c>
      <c r="C213">
        <v>2</v>
      </c>
      <c r="D213">
        <v>12</v>
      </c>
      <c r="E213" s="28" t="s">
        <v>276</v>
      </c>
      <c r="F213" s="29">
        <v>2</v>
      </c>
      <c r="G213">
        <v>10001</v>
      </c>
      <c r="H213" s="30">
        <v>92030010</v>
      </c>
      <c r="I213" s="34" t="s">
        <v>40</v>
      </c>
      <c r="J213" s="35">
        <v>40950</v>
      </c>
      <c r="K213" s="1" t="s">
        <v>288</v>
      </c>
      <c r="L213" s="35" t="s">
        <v>291</v>
      </c>
      <c r="M213">
        <v>100</v>
      </c>
      <c r="N213">
        <v>1</v>
      </c>
    </row>
    <row r="214" spans="1:14">
      <c r="A214">
        <f>A114+10000</f>
        <v>30013</v>
      </c>
      <c r="B214">
        <f>B114+10000</f>
        <v>30001</v>
      </c>
      <c r="C214">
        <v>2</v>
      </c>
      <c r="D214">
        <v>13</v>
      </c>
      <c r="E214" s="28" t="s">
        <v>276</v>
      </c>
      <c r="F214" s="29">
        <v>2</v>
      </c>
      <c r="G214">
        <v>10001</v>
      </c>
      <c r="H214" s="30">
        <v>92030010</v>
      </c>
      <c r="I214" s="34" t="s">
        <v>42</v>
      </c>
      <c r="J214" s="35">
        <v>46800</v>
      </c>
      <c r="K214" s="1" t="s">
        <v>288</v>
      </c>
      <c r="L214" s="35" t="s">
        <v>292</v>
      </c>
      <c r="M214">
        <v>100</v>
      </c>
      <c r="N214">
        <v>1</v>
      </c>
    </row>
    <row r="215" spans="1:14">
      <c r="A215">
        <f>A115+10000</f>
        <v>30014</v>
      </c>
      <c r="B215">
        <f>B115+10000</f>
        <v>30001</v>
      </c>
      <c r="C215">
        <v>2</v>
      </c>
      <c r="D215">
        <v>14</v>
      </c>
      <c r="E215" s="28" t="s">
        <v>276</v>
      </c>
      <c r="F215" s="29">
        <v>2</v>
      </c>
      <c r="G215">
        <v>10001</v>
      </c>
      <c r="H215" s="30">
        <v>92030010</v>
      </c>
      <c r="I215" s="34" t="s">
        <v>44</v>
      </c>
      <c r="J215" s="35">
        <v>52650</v>
      </c>
      <c r="K215" s="1" t="s">
        <v>288</v>
      </c>
      <c r="L215" s="35" t="s">
        <v>293</v>
      </c>
      <c r="M215">
        <v>100</v>
      </c>
      <c r="N215">
        <v>1</v>
      </c>
    </row>
    <row r="216" spans="1:14">
      <c r="A216">
        <f>A116+10000</f>
        <v>30015</v>
      </c>
      <c r="B216">
        <f>B116+10000</f>
        <v>30001</v>
      </c>
      <c r="C216">
        <v>2</v>
      </c>
      <c r="D216">
        <v>15</v>
      </c>
      <c r="E216" s="28" t="s">
        <v>276</v>
      </c>
      <c r="F216" s="29">
        <v>2</v>
      </c>
      <c r="G216">
        <v>10001</v>
      </c>
      <c r="H216" s="30">
        <v>92030010</v>
      </c>
      <c r="I216" s="34" t="s">
        <v>46</v>
      </c>
      <c r="J216" s="35">
        <v>58500</v>
      </c>
      <c r="K216" s="1" t="s">
        <v>294</v>
      </c>
      <c r="L216" s="35" t="s">
        <v>295</v>
      </c>
      <c r="M216">
        <v>100</v>
      </c>
      <c r="N216">
        <v>1</v>
      </c>
    </row>
    <row r="217" spans="1:14">
      <c r="A217">
        <f>A117+10000</f>
        <v>30016</v>
      </c>
      <c r="B217">
        <f>B117+10000</f>
        <v>30001</v>
      </c>
      <c r="C217">
        <v>2</v>
      </c>
      <c r="D217">
        <v>16</v>
      </c>
      <c r="E217" s="28" t="s">
        <v>276</v>
      </c>
      <c r="F217" s="29">
        <v>2</v>
      </c>
      <c r="G217">
        <v>10001</v>
      </c>
      <c r="H217" s="30">
        <v>92030010</v>
      </c>
      <c r="I217" s="34" t="s">
        <v>49</v>
      </c>
      <c r="J217" s="35">
        <v>66300</v>
      </c>
      <c r="K217" s="1" t="s">
        <v>294</v>
      </c>
      <c r="L217" s="35" t="s">
        <v>296</v>
      </c>
      <c r="M217">
        <v>100</v>
      </c>
      <c r="N217">
        <v>1</v>
      </c>
    </row>
    <row r="218" spans="1:14">
      <c r="A218">
        <f>A118+10000</f>
        <v>30017</v>
      </c>
      <c r="B218">
        <f>B118+10000</f>
        <v>30001</v>
      </c>
      <c r="C218">
        <v>2</v>
      </c>
      <c r="D218">
        <v>17</v>
      </c>
      <c r="E218" s="28" t="s">
        <v>276</v>
      </c>
      <c r="F218" s="29">
        <v>2</v>
      </c>
      <c r="G218">
        <v>10001</v>
      </c>
      <c r="H218" s="30">
        <v>92030010</v>
      </c>
      <c r="I218" s="34" t="s">
        <v>51</v>
      </c>
      <c r="J218" s="35">
        <v>74100</v>
      </c>
      <c r="K218" s="1" t="s">
        <v>294</v>
      </c>
      <c r="L218" s="35" t="s">
        <v>297</v>
      </c>
      <c r="M218">
        <v>100</v>
      </c>
      <c r="N218">
        <v>1</v>
      </c>
    </row>
    <row r="219" spans="1:14">
      <c r="A219">
        <f>A119+10000</f>
        <v>30018</v>
      </c>
      <c r="B219">
        <f>B119+10000</f>
        <v>30001</v>
      </c>
      <c r="C219">
        <v>2</v>
      </c>
      <c r="D219">
        <v>18</v>
      </c>
      <c r="E219" s="28" t="s">
        <v>276</v>
      </c>
      <c r="F219" s="29">
        <v>2</v>
      </c>
      <c r="G219">
        <v>10001</v>
      </c>
      <c r="H219" s="30">
        <v>92030010</v>
      </c>
      <c r="I219" s="34" t="s">
        <v>53</v>
      </c>
      <c r="J219" s="35">
        <v>81900</v>
      </c>
      <c r="K219" s="1" t="s">
        <v>294</v>
      </c>
      <c r="L219" s="35" t="s">
        <v>298</v>
      </c>
      <c r="M219">
        <v>100</v>
      </c>
      <c r="N219">
        <v>1</v>
      </c>
    </row>
    <row r="220" spans="1:14">
      <c r="A220">
        <f>A120+10000</f>
        <v>30019</v>
      </c>
      <c r="B220">
        <f>B120+10000</f>
        <v>30001</v>
      </c>
      <c r="C220">
        <v>2</v>
      </c>
      <c r="D220">
        <v>19</v>
      </c>
      <c r="E220" s="28" t="s">
        <v>276</v>
      </c>
      <c r="F220" s="29">
        <v>2</v>
      </c>
      <c r="G220">
        <v>10001</v>
      </c>
      <c r="H220" s="30">
        <v>92030010</v>
      </c>
      <c r="I220" s="34" t="s">
        <v>55</v>
      </c>
      <c r="J220" s="35">
        <v>89700</v>
      </c>
      <c r="K220" s="1" t="s">
        <v>294</v>
      </c>
      <c r="L220" s="35" t="s">
        <v>299</v>
      </c>
      <c r="M220">
        <v>100</v>
      </c>
      <c r="N220">
        <v>1</v>
      </c>
    </row>
    <row r="221" spans="1:14">
      <c r="A221">
        <f>A121+10000</f>
        <v>30020</v>
      </c>
      <c r="B221">
        <f>B121+10000</f>
        <v>30001</v>
      </c>
      <c r="C221">
        <v>2</v>
      </c>
      <c r="D221">
        <v>20</v>
      </c>
      <c r="E221" s="28" t="s">
        <v>276</v>
      </c>
      <c r="F221" s="29">
        <v>2</v>
      </c>
      <c r="G221">
        <v>10001</v>
      </c>
      <c r="H221" s="30">
        <v>92030010</v>
      </c>
      <c r="I221" s="34" t="s">
        <v>57</v>
      </c>
      <c r="J221" s="35">
        <v>97500</v>
      </c>
      <c r="K221" s="36" t="s">
        <v>98</v>
      </c>
      <c r="L221" s="35" t="s">
        <v>300</v>
      </c>
      <c r="M221">
        <v>0</v>
      </c>
      <c r="N221">
        <v>1</v>
      </c>
    </row>
    <row r="222" spans="1:14">
      <c r="A222">
        <f>A122+10000</f>
        <v>30101</v>
      </c>
      <c r="B222">
        <f>B122+10000</f>
        <v>30101</v>
      </c>
      <c r="C222">
        <v>2</v>
      </c>
      <c r="D222">
        <v>1</v>
      </c>
      <c r="E222" s="28" t="s">
        <v>301</v>
      </c>
      <c r="F222" s="31">
        <v>3</v>
      </c>
      <c r="G222">
        <v>10002</v>
      </c>
      <c r="H222" s="30">
        <v>92040010</v>
      </c>
      <c r="I222" s="34" t="s">
        <v>18</v>
      </c>
      <c r="J222" s="35">
        <v>3900</v>
      </c>
      <c r="K222" s="1" t="s">
        <v>302</v>
      </c>
      <c r="L222" s="35" t="s">
        <v>303</v>
      </c>
      <c r="M222">
        <v>100</v>
      </c>
      <c r="N222">
        <v>3</v>
      </c>
    </row>
    <row r="223" spans="1:14">
      <c r="A223">
        <f>A123+10000</f>
        <v>30102</v>
      </c>
      <c r="B223">
        <f>B123+10000</f>
        <v>30101</v>
      </c>
      <c r="C223">
        <v>2</v>
      </c>
      <c r="D223">
        <v>2</v>
      </c>
      <c r="E223" s="28" t="s">
        <v>301</v>
      </c>
      <c r="F223" s="31">
        <v>3</v>
      </c>
      <c r="G223">
        <v>10002</v>
      </c>
      <c r="H223" s="30">
        <v>92040010</v>
      </c>
      <c r="I223" s="34" t="s">
        <v>22</v>
      </c>
      <c r="J223" s="35">
        <v>7800</v>
      </c>
      <c r="K223" s="1" t="s">
        <v>302</v>
      </c>
      <c r="L223" s="35" t="s">
        <v>304</v>
      </c>
      <c r="M223">
        <v>100</v>
      </c>
      <c r="N223">
        <v>3</v>
      </c>
    </row>
    <row r="224" spans="1:14">
      <c r="A224">
        <f>A124+10000</f>
        <v>30103</v>
      </c>
      <c r="B224">
        <f>B124+10000</f>
        <v>30101</v>
      </c>
      <c r="C224">
        <v>2</v>
      </c>
      <c r="D224">
        <v>3</v>
      </c>
      <c r="E224" s="28" t="s">
        <v>301</v>
      </c>
      <c r="F224" s="31">
        <v>3</v>
      </c>
      <c r="G224">
        <v>10002</v>
      </c>
      <c r="H224" s="30">
        <v>92040010</v>
      </c>
      <c r="I224" s="34" t="s">
        <v>63</v>
      </c>
      <c r="J224" s="35">
        <v>11700</v>
      </c>
      <c r="K224" s="1" t="s">
        <v>302</v>
      </c>
      <c r="L224" s="35" t="s">
        <v>305</v>
      </c>
      <c r="M224">
        <v>100</v>
      </c>
      <c r="N224">
        <v>3</v>
      </c>
    </row>
    <row r="225" spans="1:14">
      <c r="A225">
        <f>A125+10000</f>
        <v>30104</v>
      </c>
      <c r="B225">
        <f>B125+10000</f>
        <v>30101</v>
      </c>
      <c r="C225">
        <v>2</v>
      </c>
      <c r="D225">
        <v>4</v>
      </c>
      <c r="E225" s="28" t="s">
        <v>301</v>
      </c>
      <c r="F225" s="31">
        <v>3</v>
      </c>
      <c r="G225">
        <v>10002</v>
      </c>
      <c r="H225" s="30">
        <v>92040010</v>
      </c>
      <c r="I225" s="34" t="s">
        <v>65</v>
      </c>
      <c r="J225" s="35">
        <v>15600</v>
      </c>
      <c r="K225" s="1" t="s">
        <v>302</v>
      </c>
      <c r="L225" s="35" t="s">
        <v>306</v>
      </c>
      <c r="M225">
        <v>100</v>
      </c>
      <c r="N225">
        <v>3</v>
      </c>
    </row>
    <row r="226" spans="1:14">
      <c r="A226">
        <f>A126+10000</f>
        <v>30105</v>
      </c>
      <c r="B226">
        <f>B126+10000</f>
        <v>30101</v>
      </c>
      <c r="C226">
        <v>2</v>
      </c>
      <c r="D226">
        <v>5</v>
      </c>
      <c r="E226" s="28" t="s">
        <v>301</v>
      </c>
      <c r="F226" s="31">
        <v>3</v>
      </c>
      <c r="G226">
        <v>10002</v>
      </c>
      <c r="H226" s="30">
        <v>92040010</v>
      </c>
      <c r="I226" s="34" t="s">
        <v>67</v>
      </c>
      <c r="J226" s="35">
        <v>19500</v>
      </c>
      <c r="K226" s="1" t="s">
        <v>307</v>
      </c>
      <c r="L226" s="35" t="s">
        <v>308</v>
      </c>
      <c r="M226">
        <v>100</v>
      </c>
      <c r="N226">
        <v>3</v>
      </c>
    </row>
    <row r="227" spans="1:14">
      <c r="A227">
        <f>A127+10000</f>
        <v>30106</v>
      </c>
      <c r="B227">
        <f>B127+10000</f>
        <v>30101</v>
      </c>
      <c r="C227">
        <v>2</v>
      </c>
      <c r="D227">
        <v>6</v>
      </c>
      <c r="E227" s="28" t="s">
        <v>301</v>
      </c>
      <c r="F227" s="31">
        <v>3</v>
      </c>
      <c r="G227">
        <v>10002</v>
      </c>
      <c r="H227" s="30">
        <v>92040010</v>
      </c>
      <c r="I227" s="34" t="s">
        <v>70</v>
      </c>
      <c r="J227" s="35">
        <v>27300</v>
      </c>
      <c r="K227" s="1" t="s">
        <v>307</v>
      </c>
      <c r="L227" s="35" t="s">
        <v>309</v>
      </c>
      <c r="M227">
        <v>100</v>
      </c>
      <c r="N227">
        <v>3</v>
      </c>
    </row>
    <row r="228" spans="1:14">
      <c r="A228">
        <f>A128+10000</f>
        <v>30107</v>
      </c>
      <c r="B228">
        <f>B128+10000</f>
        <v>30101</v>
      </c>
      <c r="C228">
        <v>2</v>
      </c>
      <c r="D228">
        <v>7</v>
      </c>
      <c r="E228" s="28" t="s">
        <v>301</v>
      </c>
      <c r="F228" s="31">
        <v>3</v>
      </c>
      <c r="G228">
        <v>10002</v>
      </c>
      <c r="H228" s="30">
        <v>92040010</v>
      </c>
      <c r="I228" s="34" t="s">
        <v>38</v>
      </c>
      <c r="J228" s="35">
        <v>35100</v>
      </c>
      <c r="K228" s="1" t="s">
        <v>307</v>
      </c>
      <c r="L228" s="35" t="s">
        <v>310</v>
      </c>
      <c r="M228">
        <v>100</v>
      </c>
      <c r="N228">
        <v>3</v>
      </c>
    </row>
    <row r="229" spans="1:14">
      <c r="A229">
        <f>A129+10000</f>
        <v>30108</v>
      </c>
      <c r="B229">
        <f>B129+10000</f>
        <v>30101</v>
      </c>
      <c r="C229">
        <v>2</v>
      </c>
      <c r="D229">
        <v>8</v>
      </c>
      <c r="E229" s="28" t="s">
        <v>301</v>
      </c>
      <c r="F229" s="31">
        <v>3</v>
      </c>
      <c r="G229">
        <v>10002</v>
      </c>
      <c r="H229" s="30">
        <v>92040010</v>
      </c>
      <c r="I229" s="34" t="s">
        <v>73</v>
      </c>
      <c r="J229" s="35">
        <v>42900</v>
      </c>
      <c r="K229" s="1" t="s">
        <v>307</v>
      </c>
      <c r="L229" s="35" t="s">
        <v>311</v>
      </c>
      <c r="M229">
        <v>100</v>
      </c>
      <c r="N229">
        <v>3</v>
      </c>
    </row>
    <row r="230" spans="1:14">
      <c r="A230">
        <f>A130+10000</f>
        <v>30109</v>
      </c>
      <c r="B230">
        <f>B130+10000</f>
        <v>30101</v>
      </c>
      <c r="C230">
        <v>2</v>
      </c>
      <c r="D230">
        <v>9</v>
      </c>
      <c r="E230" s="28" t="s">
        <v>301</v>
      </c>
      <c r="F230" s="31">
        <v>3</v>
      </c>
      <c r="G230">
        <v>10002</v>
      </c>
      <c r="H230" s="30">
        <v>92040010</v>
      </c>
      <c r="I230" s="34" t="s">
        <v>75</v>
      </c>
      <c r="J230" s="35">
        <v>50700</v>
      </c>
      <c r="K230" s="1" t="s">
        <v>307</v>
      </c>
      <c r="L230" s="35" t="s">
        <v>312</v>
      </c>
      <c r="M230">
        <v>100</v>
      </c>
      <c r="N230">
        <v>3</v>
      </c>
    </row>
    <row r="231" spans="1:14">
      <c r="A231">
        <f>A131+10000</f>
        <v>30110</v>
      </c>
      <c r="B231">
        <f>B131+10000</f>
        <v>30101</v>
      </c>
      <c r="C231">
        <v>2</v>
      </c>
      <c r="D231">
        <v>10</v>
      </c>
      <c r="E231" s="28" t="s">
        <v>301</v>
      </c>
      <c r="F231" s="31">
        <v>3</v>
      </c>
      <c r="G231">
        <v>10002</v>
      </c>
      <c r="H231" s="30">
        <v>92040010</v>
      </c>
      <c r="I231" s="34" t="s">
        <v>46</v>
      </c>
      <c r="J231" s="35">
        <v>58500</v>
      </c>
      <c r="K231" s="1" t="s">
        <v>313</v>
      </c>
      <c r="L231" s="35" t="s">
        <v>314</v>
      </c>
      <c r="M231">
        <v>100</v>
      </c>
      <c r="N231">
        <v>3</v>
      </c>
    </row>
    <row r="232" spans="1:14">
      <c r="A232">
        <f>A132+10000</f>
        <v>30111</v>
      </c>
      <c r="B232">
        <f>B132+10000</f>
        <v>30101</v>
      </c>
      <c r="C232">
        <v>2</v>
      </c>
      <c r="D232">
        <v>11</v>
      </c>
      <c r="E232" s="28" t="s">
        <v>301</v>
      </c>
      <c r="F232" s="31">
        <v>3</v>
      </c>
      <c r="G232">
        <v>10002</v>
      </c>
      <c r="H232" s="30">
        <v>92040010</v>
      </c>
      <c r="I232" s="34" t="s">
        <v>79</v>
      </c>
      <c r="J232" s="35">
        <v>70200</v>
      </c>
      <c r="K232" s="1" t="s">
        <v>313</v>
      </c>
      <c r="L232" s="35" t="s">
        <v>315</v>
      </c>
      <c r="M232">
        <v>100</v>
      </c>
      <c r="N232">
        <v>3</v>
      </c>
    </row>
    <row r="233" spans="1:14">
      <c r="A233">
        <f>A133+10000</f>
        <v>30112</v>
      </c>
      <c r="B233">
        <f>B133+10000</f>
        <v>30101</v>
      </c>
      <c r="C233">
        <v>2</v>
      </c>
      <c r="D233">
        <v>12</v>
      </c>
      <c r="E233" s="28" t="s">
        <v>301</v>
      </c>
      <c r="F233" s="31">
        <v>3</v>
      </c>
      <c r="G233">
        <v>10002</v>
      </c>
      <c r="H233" s="30">
        <v>92040010</v>
      </c>
      <c r="I233" s="34" t="s">
        <v>53</v>
      </c>
      <c r="J233" s="35">
        <v>81900</v>
      </c>
      <c r="K233" s="1" t="s">
        <v>313</v>
      </c>
      <c r="L233" s="35" t="s">
        <v>316</v>
      </c>
      <c r="M233">
        <v>100</v>
      </c>
      <c r="N233">
        <v>3</v>
      </c>
    </row>
    <row r="234" spans="1:14">
      <c r="A234">
        <f>A134+10000</f>
        <v>30113</v>
      </c>
      <c r="B234">
        <f>B134+10000</f>
        <v>30101</v>
      </c>
      <c r="C234">
        <v>2</v>
      </c>
      <c r="D234">
        <v>13</v>
      </c>
      <c r="E234" s="28" t="s">
        <v>301</v>
      </c>
      <c r="F234" s="31">
        <v>3</v>
      </c>
      <c r="G234">
        <v>10002</v>
      </c>
      <c r="H234" s="30">
        <v>92040010</v>
      </c>
      <c r="I234" s="34" t="s">
        <v>82</v>
      </c>
      <c r="J234" s="35">
        <v>93600</v>
      </c>
      <c r="K234" s="1" t="s">
        <v>313</v>
      </c>
      <c r="L234" s="35" t="s">
        <v>317</v>
      </c>
      <c r="M234">
        <v>100</v>
      </c>
      <c r="N234">
        <v>3</v>
      </c>
    </row>
    <row r="235" spans="1:14">
      <c r="A235">
        <f>A135+10000</f>
        <v>30114</v>
      </c>
      <c r="B235">
        <f>B135+10000</f>
        <v>30101</v>
      </c>
      <c r="C235">
        <v>2</v>
      </c>
      <c r="D235">
        <v>14</v>
      </c>
      <c r="E235" s="28" t="s">
        <v>301</v>
      </c>
      <c r="F235" s="31">
        <v>3</v>
      </c>
      <c r="G235">
        <v>10002</v>
      </c>
      <c r="H235" s="30">
        <v>92040010</v>
      </c>
      <c r="I235" s="34" t="s">
        <v>84</v>
      </c>
      <c r="J235" s="35">
        <v>105300</v>
      </c>
      <c r="K235" s="1" t="s">
        <v>313</v>
      </c>
      <c r="L235" s="35" t="s">
        <v>318</v>
      </c>
      <c r="M235">
        <v>100</v>
      </c>
      <c r="N235">
        <v>3</v>
      </c>
    </row>
    <row r="236" spans="1:14">
      <c r="A236">
        <f>A136+10000</f>
        <v>30115</v>
      </c>
      <c r="B236">
        <f>B136+10000</f>
        <v>30101</v>
      </c>
      <c r="C236">
        <v>2</v>
      </c>
      <c r="D236">
        <v>15</v>
      </c>
      <c r="E236" s="28" t="s">
        <v>301</v>
      </c>
      <c r="F236" s="31">
        <v>3</v>
      </c>
      <c r="G236">
        <v>10002</v>
      </c>
      <c r="H236" s="30">
        <v>92040010</v>
      </c>
      <c r="I236" s="34" t="s">
        <v>86</v>
      </c>
      <c r="J236" s="35">
        <v>117000</v>
      </c>
      <c r="K236" s="1" t="s">
        <v>319</v>
      </c>
      <c r="L236" s="35" t="s">
        <v>320</v>
      </c>
      <c r="M236">
        <v>100</v>
      </c>
      <c r="N236">
        <v>3</v>
      </c>
    </row>
    <row r="237" spans="1:14">
      <c r="A237">
        <f>A137+10000</f>
        <v>30116</v>
      </c>
      <c r="B237">
        <f>B137+10000</f>
        <v>30101</v>
      </c>
      <c r="C237">
        <v>2</v>
      </c>
      <c r="D237">
        <v>16</v>
      </c>
      <c r="E237" s="28" t="s">
        <v>301</v>
      </c>
      <c r="F237" s="31">
        <v>3</v>
      </c>
      <c r="G237">
        <v>10002</v>
      </c>
      <c r="H237" s="30">
        <v>92040010</v>
      </c>
      <c r="I237" s="34" t="s">
        <v>89</v>
      </c>
      <c r="J237" s="35">
        <v>132600</v>
      </c>
      <c r="K237" s="1" t="s">
        <v>319</v>
      </c>
      <c r="L237" s="35" t="s">
        <v>321</v>
      </c>
      <c r="M237">
        <v>100</v>
      </c>
      <c r="N237">
        <v>3</v>
      </c>
    </row>
    <row r="238" spans="1:14">
      <c r="A238">
        <f>A138+10000</f>
        <v>30117</v>
      </c>
      <c r="B238">
        <f>B138+10000</f>
        <v>30101</v>
      </c>
      <c r="C238">
        <v>2</v>
      </c>
      <c r="D238">
        <v>17</v>
      </c>
      <c r="E238" s="28" t="s">
        <v>301</v>
      </c>
      <c r="F238" s="31">
        <v>3</v>
      </c>
      <c r="G238">
        <v>10002</v>
      </c>
      <c r="H238" s="30">
        <v>92040010</v>
      </c>
      <c r="I238" s="34" t="s">
        <v>91</v>
      </c>
      <c r="J238" s="35">
        <v>148200</v>
      </c>
      <c r="K238" s="1" t="s">
        <v>319</v>
      </c>
      <c r="L238" s="35" t="s">
        <v>322</v>
      </c>
      <c r="M238">
        <v>100</v>
      </c>
      <c r="N238">
        <v>3</v>
      </c>
    </row>
    <row r="239" spans="1:14">
      <c r="A239">
        <f>A139+10000</f>
        <v>30118</v>
      </c>
      <c r="B239">
        <f>B139+10000</f>
        <v>30101</v>
      </c>
      <c r="C239">
        <v>2</v>
      </c>
      <c r="D239">
        <v>18</v>
      </c>
      <c r="E239" s="28" t="s">
        <v>301</v>
      </c>
      <c r="F239" s="31">
        <v>3</v>
      </c>
      <c r="G239">
        <v>10002</v>
      </c>
      <c r="H239" s="30">
        <v>92040010</v>
      </c>
      <c r="I239" s="34" t="s">
        <v>93</v>
      </c>
      <c r="J239" s="35">
        <v>163800</v>
      </c>
      <c r="K239" s="1" t="s">
        <v>319</v>
      </c>
      <c r="L239" s="35" t="s">
        <v>323</v>
      </c>
      <c r="M239">
        <v>100</v>
      </c>
      <c r="N239">
        <v>3</v>
      </c>
    </row>
    <row r="240" spans="1:14">
      <c r="A240">
        <f>A140+10000</f>
        <v>30119</v>
      </c>
      <c r="B240">
        <f>B140+10000</f>
        <v>30101</v>
      </c>
      <c r="C240">
        <v>2</v>
      </c>
      <c r="D240">
        <v>19</v>
      </c>
      <c r="E240" s="28" t="s">
        <v>301</v>
      </c>
      <c r="F240" s="31">
        <v>3</v>
      </c>
      <c r="G240">
        <v>10002</v>
      </c>
      <c r="H240" s="30">
        <v>92040010</v>
      </c>
      <c r="I240" s="34" t="s">
        <v>95</v>
      </c>
      <c r="J240" s="35">
        <v>179400</v>
      </c>
      <c r="K240" s="1" t="s">
        <v>319</v>
      </c>
      <c r="L240" s="35" t="s">
        <v>324</v>
      </c>
      <c r="M240">
        <v>100</v>
      </c>
      <c r="N240">
        <v>3</v>
      </c>
    </row>
    <row r="241" spans="1:14">
      <c r="A241">
        <f>A141+10000</f>
        <v>30120</v>
      </c>
      <c r="B241">
        <f>B141+10000</f>
        <v>30101</v>
      </c>
      <c r="C241">
        <v>2</v>
      </c>
      <c r="D241">
        <v>20</v>
      </c>
      <c r="E241" s="28" t="s">
        <v>301</v>
      </c>
      <c r="F241" s="31">
        <v>3</v>
      </c>
      <c r="G241">
        <v>10002</v>
      </c>
      <c r="H241" s="30">
        <v>92040010</v>
      </c>
      <c r="I241" s="34" t="s">
        <v>97</v>
      </c>
      <c r="J241" s="35">
        <v>195000</v>
      </c>
      <c r="K241" s="36" t="s">
        <v>98</v>
      </c>
      <c r="L241" s="35" t="s">
        <v>325</v>
      </c>
      <c r="M241">
        <v>0</v>
      </c>
      <c r="N241">
        <v>3</v>
      </c>
    </row>
    <row r="242" spans="1:14">
      <c r="A242">
        <f>A142+10000</f>
        <v>30201</v>
      </c>
      <c r="B242">
        <f>B142+10000</f>
        <v>30201</v>
      </c>
      <c r="C242">
        <v>2</v>
      </c>
      <c r="D242">
        <v>1</v>
      </c>
      <c r="E242" s="28" t="s">
        <v>326</v>
      </c>
      <c r="F242" s="32">
        <v>4</v>
      </c>
      <c r="G242">
        <v>10003</v>
      </c>
      <c r="H242" s="30">
        <v>92020010</v>
      </c>
      <c r="I242" s="34" t="s">
        <v>20</v>
      </c>
      <c r="J242" s="35">
        <v>5850</v>
      </c>
      <c r="K242" s="1" t="s">
        <v>327</v>
      </c>
      <c r="L242" s="35" t="s">
        <v>328</v>
      </c>
      <c r="M242">
        <v>100</v>
      </c>
      <c r="N242">
        <v>5</v>
      </c>
    </row>
    <row r="243" spans="1:14">
      <c r="A243">
        <f>A143+10000</f>
        <v>30202</v>
      </c>
      <c r="B243">
        <f>B143+10000</f>
        <v>30201</v>
      </c>
      <c r="C243">
        <v>2</v>
      </c>
      <c r="D243">
        <v>2</v>
      </c>
      <c r="E243" s="28" t="s">
        <v>326</v>
      </c>
      <c r="F243" s="32">
        <v>4</v>
      </c>
      <c r="G243">
        <v>10003</v>
      </c>
      <c r="H243" s="30">
        <v>92020010</v>
      </c>
      <c r="I243" s="34" t="s">
        <v>63</v>
      </c>
      <c r="J243" s="35">
        <v>11700</v>
      </c>
      <c r="K243" s="1" t="s">
        <v>327</v>
      </c>
      <c r="L243" s="35" t="s">
        <v>329</v>
      </c>
      <c r="M243">
        <v>100</v>
      </c>
      <c r="N243">
        <v>5</v>
      </c>
    </row>
    <row r="244" spans="1:14">
      <c r="A244">
        <f>A144+10000</f>
        <v>30203</v>
      </c>
      <c r="B244">
        <f>B144+10000</f>
        <v>30201</v>
      </c>
      <c r="C244">
        <v>2</v>
      </c>
      <c r="D244">
        <v>3</v>
      </c>
      <c r="E244" s="28" t="s">
        <v>326</v>
      </c>
      <c r="F244" s="32">
        <v>4</v>
      </c>
      <c r="G244">
        <v>10003</v>
      </c>
      <c r="H244" s="30">
        <v>92020010</v>
      </c>
      <c r="I244" s="34" t="s">
        <v>29</v>
      </c>
      <c r="J244" s="35">
        <v>17550</v>
      </c>
      <c r="K244" s="1" t="s">
        <v>327</v>
      </c>
      <c r="L244" s="35" t="s">
        <v>330</v>
      </c>
      <c r="M244">
        <v>100</v>
      </c>
      <c r="N244">
        <v>5</v>
      </c>
    </row>
    <row r="245" spans="1:14">
      <c r="A245">
        <f>A145+10000</f>
        <v>30204</v>
      </c>
      <c r="B245">
        <f>B145+10000</f>
        <v>30201</v>
      </c>
      <c r="C245">
        <v>2</v>
      </c>
      <c r="D245">
        <v>4</v>
      </c>
      <c r="E245" s="28" t="s">
        <v>326</v>
      </c>
      <c r="F245" s="32">
        <v>4</v>
      </c>
      <c r="G245">
        <v>10003</v>
      </c>
      <c r="H245" s="30">
        <v>92020010</v>
      </c>
      <c r="I245" s="34" t="s">
        <v>105</v>
      </c>
      <c r="J245" s="35">
        <v>23400</v>
      </c>
      <c r="K245" s="1" t="s">
        <v>327</v>
      </c>
      <c r="L245" s="35" t="s">
        <v>331</v>
      </c>
      <c r="M245">
        <v>100</v>
      </c>
      <c r="N245">
        <v>5</v>
      </c>
    </row>
    <row r="246" spans="1:14">
      <c r="A246">
        <f>A146+10000</f>
        <v>30205</v>
      </c>
      <c r="B246">
        <f>B146+10000</f>
        <v>30201</v>
      </c>
      <c r="C246">
        <v>2</v>
      </c>
      <c r="D246">
        <v>5</v>
      </c>
      <c r="E246" s="28" t="s">
        <v>326</v>
      </c>
      <c r="F246" s="32">
        <v>4</v>
      </c>
      <c r="G246">
        <v>10003</v>
      </c>
      <c r="H246" s="30">
        <v>92020010</v>
      </c>
      <c r="I246" s="34" t="s">
        <v>35</v>
      </c>
      <c r="J246" s="35">
        <v>29250</v>
      </c>
      <c r="K246" s="1" t="s">
        <v>332</v>
      </c>
      <c r="L246" s="35" t="s">
        <v>333</v>
      </c>
      <c r="M246">
        <v>100</v>
      </c>
      <c r="N246">
        <v>5</v>
      </c>
    </row>
    <row r="247" spans="1:14">
      <c r="A247">
        <f>A147+10000</f>
        <v>30206</v>
      </c>
      <c r="B247">
        <f>B147+10000</f>
        <v>30201</v>
      </c>
      <c r="C247">
        <v>2</v>
      </c>
      <c r="D247">
        <v>6</v>
      </c>
      <c r="E247" s="28" t="s">
        <v>326</v>
      </c>
      <c r="F247" s="32">
        <v>4</v>
      </c>
      <c r="G247">
        <v>10003</v>
      </c>
      <c r="H247" s="30">
        <v>92020010</v>
      </c>
      <c r="I247" s="34" t="s">
        <v>40</v>
      </c>
      <c r="J247" s="35">
        <v>40950</v>
      </c>
      <c r="K247" s="1" t="s">
        <v>332</v>
      </c>
      <c r="L247" s="35" t="s">
        <v>334</v>
      </c>
      <c r="M247">
        <v>100</v>
      </c>
      <c r="N247">
        <v>5</v>
      </c>
    </row>
    <row r="248" spans="1:14">
      <c r="A248">
        <f>A148+10000</f>
        <v>30207</v>
      </c>
      <c r="B248">
        <f>B148+10000</f>
        <v>30201</v>
      </c>
      <c r="C248">
        <v>2</v>
      </c>
      <c r="D248">
        <v>7</v>
      </c>
      <c r="E248" s="28" t="s">
        <v>326</v>
      </c>
      <c r="F248" s="32">
        <v>4</v>
      </c>
      <c r="G248">
        <v>10003</v>
      </c>
      <c r="H248" s="30">
        <v>92020010</v>
      </c>
      <c r="I248" s="34" t="s">
        <v>44</v>
      </c>
      <c r="J248" s="35">
        <v>52650</v>
      </c>
      <c r="K248" s="1" t="s">
        <v>332</v>
      </c>
      <c r="L248" s="35" t="s">
        <v>335</v>
      </c>
      <c r="M248">
        <v>100</v>
      </c>
      <c r="N248">
        <v>5</v>
      </c>
    </row>
    <row r="249" spans="1:14">
      <c r="A249">
        <f>A149+10000</f>
        <v>30208</v>
      </c>
      <c r="B249">
        <f>B149+10000</f>
        <v>30201</v>
      </c>
      <c r="C249">
        <v>2</v>
      </c>
      <c r="D249">
        <v>8</v>
      </c>
      <c r="E249" s="28" t="s">
        <v>326</v>
      </c>
      <c r="F249" s="32">
        <v>4</v>
      </c>
      <c r="G249">
        <v>10003</v>
      </c>
      <c r="H249" s="30">
        <v>92020010</v>
      </c>
      <c r="I249" s="34" t="s">
        <v>111</v>
      </c>
      <c r="J249" s="35">
        <v>64350</v>
      </c>
      <c r="K249" s="1" t="s">
        <v>332</v>
      </c>
      <c r="L249" s="35" t="s">
        <v>336</v>
      </c>
      <c r="M249">
        <v>100</v>
      </c>
      <c r="N249">
        <v>5</v>
      </c>
    </row>
    <row r="250" spans="1:14">
      <c r="A250">
        <f>A150+10000</f>
        <v>30209</v>
      </c>
      <c r="B250">
        <f>B150+10000</f>
        <v>30201</v>
      </c>
      <c r="C250">
        <v>2</v>
      </c>
      <c r="D250">
        <v>9</v>
      </c>
      <c r="E250" s="28" t="s">
        <v>326</v>
      </c>
      <c r="F250" s="32">
        <v>4</v>
      </c>
      <c r="G250">
        <v>10003</v>
      </c>
      <c r="H250" s="30">
        <v>92020010</v>
      </c>
      <c r="I250" s="34" t="s">
        <v>113</v>
      </c>
      <c r="J250" s="35">
        <v>76050</v>
      </c>
      <c r="K250" s="1" t="s">
        <v>332</v>
      </c>
      <c r="L250" s="35" t="s">
        <v>337</v>
      </c>
      <c r="M250">
        <v>100</v>
      </c>
      <c r="N250">
        <v>5</v>
      </c>
    </row>
    <row r="251" spans="1:14">
      <c r="A251">
        <f>A151+10000</f>
        <v>30210</v>
      </c>
      <c r="B251">
        <f>B151+10000</f>
        <v>30201</v>
      </c>
      <c r="C251">
        <v>2</v>
      </c>
      <c r="D251">
        <v>10</v>
      </c>
      <c r="E251" s="28" t="s">
        <v>326</v>
      </c>
      <c r="F251" s="32">
        <v>4</v>
      </c>
      <c r="G251">
        <v>10003</v>
      </c>
      <c r="H251" s="30">
        <v>92020010</v>
      </c>
      <c r="I251" s="34" t="s">
        <v>115</v>
      </c>
      <c r="J251" s="35">
        <v>87750</v>
      </c>
      <c r="K251" s="1" t="s">
        <v>338</v>
      </c>
      <c r="L251" s="35" t="s">
        <v>339</v>
      </c>
      <c r="M251">
        <v>100</v>
      </c>
      <c r="N251">
        <v>5</v>
      </c>
    </row>
    <row r="252" spans="1:14">
      <c r="A252">
        <f>A152+10000</f>
        <v>30211</v>
      </c>
      <c r="B252">
        <f>B152+10000</f>
        <v>30201</v>
      </c>
      <c r="C252">
        <v>2</v>
      </c>
      <c r="D252">
        <v>11</v>
      </c>
      <c r="E252" s="28" t="s">
        <v>326</v>
      </c>
      <c r="F252" s="32">
        <v>4</v>
      </c>
      <c r="G252">
        <v>10003</v>
      </c>
      <c r="H252" s="30">
        <v>92020010</v>
      </c>
      <c r="I252" s="34" t="s">
        <v>84</v>
      </c>
      <c r="J252" s="35">
        <v>105300</v>
      </c>
      <c r="K252" s="1" t="s">
        <v>338</v>
      </c>
      <c r="L252" s="35" t="s">
        <v>340</v>
      </c>
      <c r="M252">
        <v>100</v>
      </c>
      <c r="N252">
        <v>5</v>
      </c>
    </row>
    <row r="253" spans="1:14">
      <c r="A253">
        <f>A153+10000</f>
        <v>30212</v>
      </c>
      <c r="B253">
        <f>B153+10000</f>
        <v>30201</v>
      </c>
      <c r="C253">
        <v>2</v>
      </c>
      <c r="D253">
        <v>12</v>
      </c>
      <c r="E253" s="28" t="s">
        <v>326</v>
      </c>
      <c r="F253" s="32">
        <v>4</v>
      </c>
      <c r="G253">
        <v>10003</v>
      </c>
      <c r="H253" s="30">
        <v>92020010</v>
      </c>
      <c r="I253" s="34" t="s">
        <v>119</v>
      </c>
      <c r="J253" s="35">
        <v>122850</v>
      </c>
      <c r="K253" s="1" t="s">
        <v>338</v>
      </c>
      <c r="L253" s="35" t="s">
        <v>341</v>
      </c>
      <c r="M253">
        <v>100</v>
      </c>
      <c r="N253">
        <v>5</v>
      </c>
    </row>
    <row r="254" spans="1:14">
      <c r="A254">
        <f>A154+10000</f>
        <v>30213</v>
      </c>
      <c r="B254">
        <f>B154+10000</f>
        <v>30201</v>
      </c>
      <c r="C254">
        <v>2</v>
      </c>
      <c r="D254">
        <v>13</v>
      </c>
      <c r="E254" s="28" t="s">
        <v>326</v>
      </c>
      <c r="F254" s="32">
        <v>4</v>
      </c>
      <c r="G254">
        <v>10003</v>
      </c>
      <c r="H254" s="30">
        <v>92020010</v>
      </c>
      <c r="I254" s="34" t="s">
        <v>121</v>
      </c>
      <c r="J254" s="35">
        <v>140400</v>
      </c>
      <c r="K254" s="1" t="s">
        <v>338</v>
      </c>
      <c r="L254" s="35" t="s">
        <v>342</v>
      </c>
      <c r="M254">
        <v>100</v>
      </c>
      <c r="N254">
        <v>5</v>
      </c>
    </row>
    <row r="255" spans="1:14">
      <c r="A255">
        <f>A155+10000</f>
        <v>30214</v>
      </c>
      <c r="B255">
        <f>B155+10000</f>
        <v>30201</v>
      </c>
      <c r="C255">
        <v>2</v>
      </c>
      <c r="D255">
        <v>14</v>
      </c>
      <c r="E255" s="28" t="s">
        <v>326</v>
      </c>
      <c r="F255" s="32">
        <v>4</v>
      </c>
      <c r="G255">
        <v>10003</v>
      </c>
      <c r="H255" s="30">
        <v>92020010</v>
      </c>
      <c r="I255" s="34" t="s">
        <v>123</v>
      </c>
      <c r="J255" s="35">
        <v>157950</v>
      </c>
      <c r="K255" s="1" t="s">
        <v>338</v>
      </c>
      <c r="L255" s="35" t="s">
        <v>343</v>
      </c>
      <c r="M255">
        <v>100</v>
      </c>
      <c r="N255">
        <v>5</v>
      </c>
    </row>
    <row r="256" spans="1:14">
      <c r="A256">
        <f>A156+10000</f>
        <v>30215</v>
      </c>
      <c r="B256">
        <f>B156+10000</f>
        <v>30201</v>
      </c>
      <c r="C256">
        <v>2</v>
      </c>
      <c r="D256">
        <v>15</v>
      </c>
      <c r="E256" s="28" t="s">
        <v>326</v>
      </c>
      <c r="F256" s="32">
        <v>4</v>
      </c>
      <c r="G256">
        <v>10003</v>
      </c>
      <c r="H256" s="30">
        <v>92020010</v>
      </c>
      <c r="I256" s="34" t="s">
        <v>125</v>
      </c>
      <c r="J256" s="35">
        <v>175500</v>
      </c>
      <c r="K256" s="1" t="s">
        <v>344</v>
      </c>
      <c r="L256" s="35" t="s">
        <v>345</v>
      </c>
      <c r="M256">
        <v>100</v>
      </c>
      <c r="N256">
        <v>5</v>
      </c>
    </row>
    <row r="257" spans="1:14">
      <c r="A257">
        <f>A157+10000</f>
        <v>30216</v>
      </c>
      <c r="B257">
        <f>B157+10000</f>
        <v>30201</v>
      </c>
      <c r="C257">
        <v>2</v>
      </c>
      <c r="D257">
        <v>16</v>
      </c>
      <c r="E257" s="28" t="s">
        <v>326</v>
      </c>
      <c r="F257" s="32">
        <v>4</v>
      </c>
      <c r="G257">
        <v>10003</v>
      </c>
      <c r="H257" s="30">
        <v>92020010</v>
      </c>
      <c r="I257" s="34" t="s">
        <v>128</v>
      </c>
      <c r="J257" s="35">
        <v>198900</v>
      </c>
      <c r="K257" s="1" t="s">
        <v>344</v>
      </c>
      <c r="L257" s="35" t="s">
        <v>346</v>
      </c>
      <c r="M257">
        <v>100</v>
      </c>
      <c r="N257">
        <v>5</v>
      </c>
    </row>
    <row r="258" spans="1:14">
      <c r="A258">
        <f>A158+10000</f>
        <v>30217</v>
      </c>
      <c r="B258">
        <f>B158+10000</f>
        <v>30201</v>
      </c>
      <c r="C258">
        <v>2</v>
      </c>
      <c r="D258">
        <v>17</v>
      </c>
      <c r="E258" s="28" t="s">
        <v>326</v>
      </c>
      <c r="F258" s="32">
        <v>4</v>
      </c>
      <c r="G258">
        <v>10003</v>
      </c>
      <c r="H258" s="30">
        <v>92020010</v>
      </c>
      <c r="I258" s="34" t="s">
        <v>130</v>
      </c>
      <c r="J258" s="35">
        <v>222300</v>
      </c>
      <c r="K258" s="1" t="s">
        <v>344</v>
      </c>
      <c r="L258" s="35" t="s">
        <v>347</v>
      </c>
      <c r="M258">
        <v>100</v>
      </c>
      <c r="N258">
        <v>5</v>
      </c>
    </row>
    <row r="259" spans="1:14">
      <c r="A259">
        <f>A159+10000</f>
        <v>30218</v>
      </c>
      <c r="B259">
        <f>B159+10000</f>
        <v>30201</v>
      </c>
      <c r="C259">
        <v>2</v>
      </c>
      <c r="D259">
        <v>18</v>
      </c>
      <c r="E259" s="28" t="s">
        <v>326</v>
      </c>
      <c r="F259" s="32">
        <v>4</v>
      </c>
      <c r="G259">
        <v>10003</v>
      </c>
      <c r="H259" s="30">
        <v>92020010</v>
      </c>
      <c r="I259" s="34" t="s">
        <v>132</v>
      </c>
      <c r="J259" s="35">
        <v>245700</v>
      </c>
      <c r="K259" s="1" t="s">
        <v>344</v>
      </c>
      <c r="L259" s="35" t="s">
        <v>348</v>
      </c>
      <c r="M259">
        <v>100</v>
      </c>
      <c r="N259">
        <v>5</v>
      </c>
    </row>
    <row r="260" spans="1:14">
      <c r="A260">
        <f>A160+10000</f>
        <v>30219</v>
      </c>
      <c r="B260">
        <f>B160+10000</f>
        <v>30201</v>
      </c>
      <c r="C260">
        <v>2</v>
      </c>
      <c r="D260">
        <v>19</v>
      </c>
      <c r="E260" s="28" t="s">
        <v>326</v>
      </c>
      <c r="F260" s="32">
        <v>4</v>
      </c>
      <c r="G260">
        <v>10003</v>
      </c>
      <c r="H260" s="30">
        <v>92020010</v>
      </c>
      <c r="I260" s="34" t="s">
        <v>134</v>
      </c>
      <c r="J260" s="35">
        <v>269100</v>
      </c>
      <c r="K260" s="1" t="s">
        <v>344</v>
      </c>
      <c r="L260" s="35" t="s">
        <v>349</v>
      </c>
      <c r="M260">
        <v>100</v>
      </c>
      <c r="N260">
        <v>5</v>
      </c>
    </row>
    <row r="261" spans="1:14">
      <c r="A261">
        <f>A161+10000</f>
        <v>30220</v>
      </c>
      <c r="B261">
        <f>B161+10000</f>
        <v>30201</v>
      </c>
      <c r="C261">
        <v>2</v>
      </c>
      <c r="D261">
        <v>20</v>
      </c>
      <c r="E261" s="28" t="s">
        <v>326</v>
      </c>
      <c r="F261" s="32">
        <v>4</v>
      </c>
      <c r="G261">
        <v>10003</v>
      </c>
      <c r="H261" s="30">
        <v>92020010</v>
      </c>
      <c r="I261" s="34" t="s">
        <v>136</v>
      </c>
      <c r="J261" s="35">
        <v>292500</v>
      </c>
      <c r="K261" s="36" t="s">
        <v>98</v>
      </c>
      <c r="L261" s="35" t="s">
        <v>350</v>
      </c>
      <c r="M261">
        <v>0</v>
      </c>
      <c r="N261">
        <v>5</v>
      </c>
    </row>
    <row r="262" spans="1:14">
      <c r="A262">
        <f>A162+10000</f>
        <v>30301</v>
      </c>
      <c r="B262">
        <f>B162+10000</f>
        <v>30301</v>
      </c>
      <c r="C262">
        <v>2</v>
      </c>
      <c r="D262">
        <v>1</v>
      </c>
      <c r="E262" s="28" t="s">
        <v>351</v>
      </c>
      <c r="F262" s="33">
        <v>5</v>
      </c>
      <c r="G262">
        <v>10004</v>
      </c>
      <c r="H262" s="30">
        <v>92010010</v>
      </c>
      <c r="I262" s="34" t="s">
        <v>22</v>
      </c>
      <c r="J262" s="35">
        <v>7800</v>
      </c>
      <c r="K262" s="1" t="s">
        <v>352</v>
      </c>
      <c r="L262" s="35" t="s">
        <v>353</v>
      </c>
      <c r="M262">
        <v>100</v>
      </c>
      <c r="N262">
        <v>7</v>
      </c>
    </row>
    <row r="263" spans="1:14">
      <c r="A263">
        <f>A163+10000</f>
        <v>30302</v>
      </c>
      <c r="B263">
        <f>B163+10000</f>
        <v>30301</v>
      </c>
      <c r="C263">
        <v>2</v>
      </c>
      <c r="D263">
        <v>2</v>
      </c>
      <c r="E263" s="28" t="s">
        <v>351</v>
      </c>
      <c r="F263" s="33">
        <v>5</v>
      </c>
      <c r="G263">
        <v>10004</v>
      </c>
      <c r="H263" s="30">
        <v>92010010</v>
      </c>
      <c r="I263" s="34" t="s">
        <v>65</v>
      </c>
      <c r="J263" s="35">
        <v>15600</v>
      </c>
      <c r="K263" s="1" t="s">
        <v>352</v>
      </c>
      <c r="L263" s="35" t="s">
        <v>354</v>
      </c>
      <c r="M263">
        <v>100</v>
      </c>
      <c r="N263">
        <v>7</v>
      </c>
    </row>
    <row r="264" spans="1:14">
      <c r="A264">
        <f>A164+10000</f>
        <v>30303</v>
      </c>
      <c r="B264">
        <f>B164+10000</f>
        <v>30301</v>
      </c>
      <c r="C264">
        <v>2</v>
      </c>
      <c r="D264">
        <v>3</v>
      </c>
      <c r="E264" s="28" t="s">
        <v>351</v>
      </c>
      <c r="F264" s="33">
        <v>5</v>
      </c>
      <c r="G264">
        <v>10004</v>
      </c>
      <c r="H264" s="30">
        <v>92010010</v>
      </c>
      <c r="I264" s="34" t="s">
        <v>105</v>
      </c>
      <c r="J264" s="35">
        <v>23400</v>
      </c>
      <c r="K264" s="1" t="s">
        <v>352</v>
      </c>
      <c r="L264" s="35" t="s">
        <v>355</v>
      </c>
      <c r="M264">
        <v>100</v>
      </c>
      <c r="N264">
        <v>7</v>
      </c>
    </row>
    <row r="265" spans="1:14">
      <c r="A265">
        <f>A165+10000</f>
        <v>30304</v>
      </c>
      <c r="B265">
        <f>B165+10000</f>
        <v>30301</v>
      </c>
      <c r="C265">
        <v>2</v>
      </c>
      <c r="D265">
        <v>4</v>
      </c>
      <c r="E265" s="28" t="s">
        <v>351</v>
      </c>
      <c r="F265" s="33">
        <v>5</v>
      </c>
      <c r="G265">
        <v>10004</v>
      </c>
      <c r="H265" s="30">
        <v>92010010</v>
      </c>
      <c r="I265" s="34" t="s">
        <v>143</v>
      </c>
      <c r="J265" s="35">
        <v>31200</v>
      </c>
      <c r="K265" s="1" t="s">
        <v>352</v>
      </c>
      <c r="L265" s="35" t="s">
        <v>356</v>
      </c>
      <c r="M265">
        <v>100</v>
      </c>
      <c r="N265">
        <v>7</v>
      </c>
    </row>
    <row r="266" spans="1:14">
      <c r="A266">
        <f>A166+10000</f>
        <v>30305</v>
      </c>
      <c r="B266">
        <f>B166+10000</f>
        <v>30301</v>
      </c>
      <c r="C266">
        <v>2</v>
      </c>
      <c r="D266">
        <v>5</v>
      </c>
      <c r="E266" s="28" t="s">
        <v>351</v>
      </c>
      <c r="F266" s="33">
        <v>5</v>
      </c>
      <c r="G266">
        <v>10004</v>
      </c>
      <c r="H266" s="30">
        <v>92010010</v>
      </c>
      <c r="I266" s="34" t="s">
        <v>145</v>
      </c>
      <c r="J266" s="35">
        <v>39000</v>
      </c>
      <c r="K266" s="1" t="s">
        <v>357</v>
      </c>
      <c r="L266" s="35" t="s">
        <v>358</v>
      </c>
      <c r="M266">
        <v>100</v>
      </c>
      <c r="N266">
        <v>7</v>
      </c>
    </row>
    <row r="267" spans="1:14">
      <c r="A267">
        <f>A167+10000</f>
        <v>30306</v>
      </c>
      <c r="B267">
        <f>B167+10000</f>
        <v>30301</v>
      </c>
      <c r="C267">
        <v>2</v>
      </c>
      <c r="D267">
        <v>6</v>
      </c>
      <c r="E267" s="28" t="s">
        <v>351</v>
      </c>
      <c r="F267" s="33">
        <v>5</v>
      </c>
      <c r="G267">
        <v>10004</v>
      </c>
      <c r="H267" s="30">
        <v>92010010</v>
      </c>
      <c r="I267" s="34" t="s">
        <v>148</v>
      </c>
      <c r="J267" s="35">
        <v>54600</v>
      </c>
      <c r="K267" s="1" t="s">
        <v>357</v>
      </c>
      <c r="L267" s="35" t="s">
        <v>359</v>
      </c>
      <c r="M267">
        <v>100</v>
      </c>
      <c r="N267">
        <v>7</v>
      </c>
    </row>
    <row r="268" spans="1:14">
      <c r="A268">
        <f>A168+10000</f>
        <v>30307</v>
      </c>
      <c r="B268">
        <f>B168+10000</f>
        <v>30301</v>
      </c>
      <c r="C268">
        <v>2</v>
      </c>
      <c r="D268">
        <v>7</v>
      </c>
      <c r="E268" s="28" t="s">
        <v>351</v>
      </c>
      <c r="F268" s="33">
        <v>5</v>
      </c>
      <c r="G268">
        <v>10004</v>
      </c>
      <c r="H268" s="30">
        <v>92010010</v>
      </c>
      <c r="I268" s="34" t="s">
        <v>79</v>
      </c>
      <c r="J268" s="35">
        <v>70200</v>
      </c>
      <c r="K268" s="1" t="s">
        <v>357</v>
      </c>
      <c r="L268" s="35" t="s">
        <v>360</v>
      </c>
      <c r="M268">
        <v>100</v>
      </c>
      <c r="N268">
        <v>7</v>
      </c>
    </row>
    <row r="269" spans="1:14">
      <c r="A269">
        <f>A169+10000</f>
        <v>30308</v>
      </c>
      <c r="B269">
        <f>B169+10000</f>
        <v>30301</v>
      </c>
      <c r="C269">
        <v>2</v>
      </c>
      <c r="D269">
        <v>8</v>
      </c>
      <c r="E269" s="28" t="s">
        <v>351</v>
      </c>
      <c r="F269" s="33">
        <v>5</v>
      </c>
      <c r="G269">
        <v>10004</v>
      </c>
      <c r="H269" s="30">
        <v>92010010</v>
      </c>
      <c r="I269" s="34" t="s">
        <v>151</v>
      </c>
      <c r="J269" s="35">
        <v>85800</v>
      </c>
      <c r="K269" s="1" t="s">
        <v>357</v>
      </c>
      <c r="L269" s="35" t="s">
        <v>361</v>
      </c>
      <c r="M269">
        <v>100</v>
      </c>
      <c r="N269">
        <v>7</v>
      </c>
    </row>
    <row r="270" spans="1:14">
      <c r="A270">
        <f>A170+10000</f>
        <v>30309</v>
      </c>
      <c r="B270">
        <f>B170+10000</f>
        <v>30301</v>
      </c>
      <c r="C270">
        <v>2</v>
      </c>
      <c r="D270">
        <v>9</v>
      </c>
      <c r="E270" s="28" t="s">
        <v>351</v>
      </c>
      <c r="F270" s="33">
        <v>5</v>
      </c>
      <c r="G270">
        <v>10004</v>
      </c>
      <c r="H270" s="30">
        <v>92010010</v>
      </c>
      <c r="I270" s="34" t="s">
        <v>153</v>
      </c>
      <c r="J270" s="35">
        <v>101400</v>
      </c>
      <c r="K270" s="1" t="s">
        <v>357</v>
      </c>
      <c r="L270" s="35" t="s">
        <v>362</v>
      </c>
      <c r="M270">
        <v>100</v>
      </c>
      <c r="N270">
        <v>7</v>
      </c>
    </row>
    <row r="271" spans="1:14">
      <c r="A271">
        <f>A171+10000</f>
        <v>30310</v>
      </c>
      <c r="B271">
        <f>B171+10000</f>
        <v>30301</v>
      </c>
      <c r="C271">
        <v>2</v>
      </c>
      <c r="D271">
        <v>10</v>
      </c>
      <c r="E271" s="28" t="s">
        <v>351</v>
      </c>
      <c r="F271" s="33">
        <v>5</v>
      </c>
      <c r="G271">
        <v>10004</v>
      </c>
      <c r="H271" s="30">
        <v>92010010</v>
      </c>
      <c r="I271" s="34" t="s">
        <v>86</v>
      </c>
      <c r="J271" s="35">
        <v>117000</v>
      </c>
      <c r="K271" s="1" t="s">
        <v>363</v>
      </c>
      <c r="L271" s="35" t="s">
        <v>364</v>
      </c>
      <c r="M271">
        <v>100</v>
      </c>
      <c r="N271">
        <v>7</v>
      </c>
    </row>
    <row r="272" spans="1:14">
      <c r="A272">
        <f>A172+10000</f>
        <v>30311</v>
      </c>
      <c r="B272">
        <f>B172+10000</f>
        <v>30301</v>
      </c>
      <c r="C272">
        <v>2</v>
      </c>
      <c r="D272">
        <v>11</v>
      </c>
      <c r="E272" s="28" t="s">
        <v>351</v>
      </c>
      <c r="F272" s="33">
        <v>5</v>
      </c>
      <c r="G272">
        <v>10004</v>
      </c>
      <c r="H272" s="30">
        <v>92010010</v>
      </c>
      <c r="I272" s="34" t="s">
        <v>121</v>
      </c>
      <c r="J272" s="35">
        <v>140400</v>
      </c>
      <c r="K272" s="1" t="s">
        <v>363</v>
      </c>
      <c r="L272" s="35" t="s">
        <v>365</v>
      </c>
      <c r="M272">
        <v>100</v>
      </c>
      <c r="N272">
        <v>7</v>
      </c>
    </row>
    <row r="273" spans="1:14">
      <c r="A273">
        <f>A173+10000</f>
        <v>30312</v>
      </c>
      <c r="B273">
        <f>B173+10000</f>
        <v>30301</v>
      </c>
      <c r="C273">
        <v>2</v>
      </c>
      <c r="D273">
        <v>12</v>
      </c>
      <c r="E273" s="28" t="s">
        <v>351</v>
      </c>
      <c r="F273" s="33">
        <v>5</v>
      </c>
      <c r="G273">
        <v>10004</v>
      </c>
      <c r="H273" s="30">
        <v>92010010</v>
      </c>
      <c r="I273" s="34" t="s">
        <v>93</v>
      </c>
      <c r="J273" s="35">
        <v>163800</v>
      </c>
      <c r="K273" s="1" t="s">
        <v>363</v>
      </c>
      <c r="L273" s="35" t="s">
        <v>366</v>
      </c>
      <c r="M273">
        <v>100</v>
      </c>
      <c r="N273">
        <v>7</v>
      </c>
    </row>
    <row r="274" spans="1:14">
      <c r="A274">
        <f>A174+10000</f>
        <v>30313</v>
      </c>
      <c r="B274">
        <f>B174+10000</f>
        <v>30301</v>
      </c>
      <c r="C274">
        <v>2</v>
      </c>
      <c r="D274">
        <v>13</v>
      </c>
      <c r="E274" s="28" t="s">
        <v>351</v>
      </c>
      <c r="F274" s="33">
        <v>5</v>
      </c>
      <c r="G274">
        <v>10004</v>
      </c>
      <c r="H274" s="30">
        <v>92010010</v>
      </c>
      <c r="I274" s="34" t="s">
        <v>159</v>
      </c>
      <c r="J274" s="35">
        <v>187200</v>
      </c>
      <c r="K274" s="1" t="s">
        <v>363</v>
      </c>
      <c r="L274" s="35" t="s">
        <v>367</v>
      </c>
      <c r="M274">
        <v>100</v>
      </c>
      <c r="N274">
        <v>7</v>
      </c>
    </row>
    <row r="275" spans="1:14">
      <c r="A275">
        <f>A175+10000</f>
        <v>30314</v>
      </c>
      <c r="B275">
        <f>B175+10000</f>
        <v>30301</v>
      </c>
      <c r="C275">
        <v>2</v>
      </c>
      <c r="D275">
        <v>14</v>
      </c>
      <c r="E275" s="28" t="s">
        <v>351</v>
      </c>
      <c r="F275" s="33">
        <v>5</v>
      </c>
      <c r="G275">
        <v>10004</v>
      </c>
      <c r="H275" s="30">
        <v>92010010</v>
      </c>
      <c r="I275" s="34" t="s">
        <v>161</v>
      </c>
      <c r="J275" s="35">
        <v>210600</v>
      </c>
      <c r="K275" s="1" t="s">
        <v>363</v>
      </c>
      <c r="L275" s="35" t="s">
        <v>368</v>
      </c>
      <c r="M275">
        <v>100</v>
      </c>
      <c r="N275">
        <v>7</v>
      </c>
    </row>
    <row r="276" spans="1:14">
      <c r="A276">
        <f>A176+10000</f>
        <v>30315</v>
      </c>
      <c r="B276">
        <f>B176+10000</f>
        <v>30301</v>
      </c>
      <c r="C276">
        <v>2</v>
      </c>
      <c r="D276">
        <v>15</v>
      </c>
      <c r="E276" s="28" t="s">
        <v>351</v>
      </c>
      <c r="F276" s="33">
        <v>5</v>
      </c>
      <c r="G276">
        <v>10004</v>
      </c>
      <c r="H276" s="30">
        <v>92010010</v>
      </c>
      <c r="I276" s="34" t="s">
        <v>163</v>
      </c>
      <c r="J276" s="35">
        <v>234000</v>
      </c>
      <c r="K276" s="1" t="s">
        <v>369</v>
      </c>
      <c r="L276" s="35" t="s">
        <v>370</v>
      </c>
      <c r="M276">
        <v>100</v>
      </c>
      <c r="N276">
        <v>7</v>
      </c>
    </row>
    <row r="277" spans="1:14">
      <c r="A277">
        <f>A177+10000</f>
        <v>30316</v>
      </c>
      <c r="B277">
        <f>B177+10000</f>
        <v>30301</v>
      </c>
      <c r="C277">
        <v>2</v>
      </c>
      <c r="D277">
        <v>16</v>
      </c>
      <c r="E277" s="28" t="s">
        <v>351</v>
      </c>
      <c r="F277" s="33">
        <v>5</v>
      </c>
      <c r="G277">
        <v>10004</v>
      </c>
      <c r="H277" s="30">
        <v>92010010</v>
      </c>
      <c r="I277" s="34" t="s">
        <v>166</v>
      </c>
      <c r="J277" s="35">
        <v>265200</v>
      </c>
      <c r="K277" s="1" t="s">
        <v>369</v>
      </c>
      <c r="L277" s="35" t="s">
        <v>371</v>
      </c>
      <c r="M277">
        <v>100</v>
      </c>
      <c r="N277">
        <v>7</v>
      </c>
    </row>
    <row r="278" spans="1:14">
      <c r="A278">
        <f>A178+10000</f>
        <v>30317</v>
      </c>
      <c r="B278">
        <f>B178+10000</f>
        <v>30301</v>
      </c>
      <c r="C278">
        <v>2</v>
      </c>
      <c r="D278">
        <v>17</v>
      </c>
      <c r="E278" s="28" t="s">
        <v>351</v>
      </c>
      <c r="F278" s="33">
        <v>5</v>
      </c>
      <c r="G278">
        <v>10004</v>
      </c>
      <c r="H278" s="30">
        <v>92010010</v>
      </c>
      <c r="I278" s="34" t="s">
        <v>168</v>
      </c>
      <c r="J278" s="35">
        <v>296400</v>
      </c>
      <c r="K278" s="1" t="s">
        <v>369</v>
      </c>
      <c r="L278" s="35" t="s">
        <v>372</v>
      </c>
      <c r="M278">
        <v>100</v>
      </c>
      <c r="N278">
        <v>7</v>
      </c>
    </row>
    <row r="279" spans="1:14">
      <c r="A279">
        <f>A179+10000</f>
        <v>30318</v>
      </c>
      <c r="B279">
        <f>B179+10000</f>
        <v>30301</v>
      </c>
      <c r="C279">
        <v>2</v>
      </c>
      <c r="D279">
        <v>18</v>
      </c>
      <c r="E279" s="28" t="s">
        <v>351</v>
      </c>
      <c r="F279" s="33">
        <v>5</v>
      </c>
      <c r="G279">
        <v>10004</v>
      </c>
      <c r="H279" s="30">
        <v>92010010</v>
      </c>
      <c r="I279" s="34" t="s">
        <v>170</v>
      </c>
      <c r="J279" s="35">
        <v>327600</v>
      </c>
      <c r="K279" s="1" t="s">
        <v>369</v>
      </c>
      <c r="L279" s="35" t="s">
        <v>373</v>
      </c>
      <c r="M279">
        <v>100</v>
      </c>
      <c r="N279">
        <v>7</v>
      </c>
    </row>
    <row r="280" spans="1:14">
      <c r="A280">
        <f>A180+10000</f>
        <v>30319</v>
      </c>
      <c r="B280">
        <f>B180+10000</f>
        <v>30301</v>
      </c>
      <c r="C280">
        <v>2</v>
      </c>
      <c r="D280">
        <v>19</v>
      </c>
      <c r="E280" s="28" t="s">
        <v>351</v>
      </c>
      <c r="F280" s="33">
        <v>5</v>
      </c>
      <c r="G280">
        <v>10004</v>
      </c>
      <c r="H280" s="30">
        <v>92010010</v>
      </c>
      <c r="I280" s="34" t="s">
        <v>172</v>
      </c>
      <c r="J280" s="35">
        <v>358800</v>
      </c>
      <c r="K280" s="1" t="s">
        <v>369</v>
      </c>
      <c r="L280" s="35" t="s">
        <v>374</v>
      </c>
      <c r="M280">
        <v>100</v>
      </c>
      <c r="N280">
        <v>7</v>
      </c>
    </row>
    <row r="281" spans="1:14">
      <c r="A281">
        <f>A181+10000</f>
        <v>30320</v>
      </c>
      <c r="B281">
        <f>B181+10000</f>
        <v>30301</v>
      </c>
      <c r="C281">
        <v>2</v>
      </c>
      <c r="D281">
        <v>20</v>
      </c>
      <c r="E281" s="28" t="s">
        <v>351</v>
      </c>
      <c r="F281" s="33">
        <v>5</v>
      </c>
      <c r="G281">
        <v>10004</v>
      </c>
      <c r="H281" s="30">
        <v>92010010</v>
      </c>
      <c r="I281" s="36" t="s">
        <v>174</v>
      </c>
      <c r="J281" s="35">
        <v>390000</v>
      </c>
      <c r="K281" s="1" t="s">
        <v>868</v>
      </c>
      <c r="L281" s="35" t="s">
        <v>375</v>
      </c>
      <c r="M281">
        <v>100</v>
      </c>
      <c r="N281">
        <v>7</v>
      </c>
    </row>
    <row r="282" spans="1:14">
      <c r="A282">
        <f t="shared" ref="A282:B282" si="20">A182+10000</f>
        <v>30321</v>
      </c>
      <c r="B282">
        <f t="shared" si="20"/>
        <v>30301</v>
      </c>
      <c r="C282">
        <v>2</v>
      </c>
      <c r="D282">
        <v>21</v>
      </c>
      <c r="E282" s="28" t="s">
        <v>351</v>
      </c>
      <c r="F282" s="33">
        <v>5</v>
      </c>
      <c r="G282">
        <v>10004</v>
      </c>
      <c r="H282" s="30">
        <v>92010010</v>
      </c>
      <c r="I282" s="36" t="s">
        <v>748</v>
      </c>
      <c r="J282" s="35">
        <v>450000</v>
      </c>
      <c r="K282" s="1" t="s">
        <v>869</v>
      </c>
      <c r="L282" s="35" t="s">
        <v>808</v>
      </c>
      <c r="M282">
        <v>100</v>
      </c>
      <c r="N282">
        <v>7</v>
      </c>
    </row>
    <row r="283" spans="1:14">
      <c r="A283">
        <f t="shared" ref="A283:B283" si="21">A183+10000</f>
        <v>30322</v>
      </c>
      <c r="B283">
        <f t="shared" si="21"/>
        <v>30301</v>
      </c>
      <c r="C283">
        <v>2</v>
      </c>
      <c r="D283">
        <v>22</v>
      </c>
      <c r="E283" s="28" t="s">
        <v>351</v>
      </c>
      <c r="F283" s="33">
        <v>5</v>
      </c>
      <c r="G283">
        <v>10004</v>
      </c>
      <c r="H283" s="30">
        <v>92010010</v>
      </c>
      <c r="I283" s="36" t="s">
        <v>749</v>
      </c>
      <c r="J283" s="35">
        <v>550000</v>
      </c>
      <c r="K283" s="1" t="s">
        <v>870</v>
      </c>
      <c r="L283" s="35" t="s">
        <v>809</v>
      </c>
      <c r="M283">
        <v>100</v>
      </c>
      <c r="N283">
        <v>7</v>
      </c>
    </row>
    <row r="284" spans="1:14">
      <c r="A284">
        <f t="shared" ref="A284:B284" si="22">A184+10000</f>
        <v>30323</v>
      </c>
      <c r="B284">
        <f t="shared" si="22"/>
        <v>30301</v>
      </c>
      <c r="C284">
        <v>2</v>
      </c>
      <c r="D284">
        <v>23</v>
      </c>
      <c r="E284" s="28" t="s">
        <v>351</v>
      </c>
      <c r="F284" s="33">
        <v>5</v>
      </c>
      <c r="G284">
        <v>10004</v>
      </c>
      <c r="H284" s="30">
        <v>92010010</v>
      </c>
      <c r="I284" s="36" t="s">
        <v>750</v>
      </c>
      <c r="J284" s="35">
        <v>650000</v>
      </c>
      <c r="K284" s="1" t="s">
        <v>871</v>
      </c>
      <c r="L284" s="35" t="s">
        <v>810</v>
      </c>
      <c r="M284">
        <v>100</v>
      </c>
      <c r="N284">
        <v>7</v>
      </c>
    </row>
    <row r="285" spans="1:14">
      <c r="A285">
        <f t="shared" ref="A285:B285" si="23">A185+10000</f>
        <v>30324</v>
      </c>
      <c r="B285">
        <f t="shared" si="23"/>
        <v>30301</v>
      </c>
      <c r="C285">
        <v>2</v>
      </c>
      <c r="D285">
        <v>24</v>
      </c>
      <c r="E285" s="28" t="s">
        <v>351</v>
      </c>
      <c r="F285" s="33">
        <v>5</v>
      </c>
      <c r="G285">
        <v>10004</v>
      </c>
      <c r="H285" s="30">
        <v>92010010</v>
      </c>
      <c r="I285" s="36" t="s">
        <v>751</v>
      </c>
      <c r="J285" s="35">
        <v>750000</v>
      </c>
      <c r="K285" s="1" t="s">
        <v>872</v>
      </c>
      <c r="L285" s="35" t="s">
        <v>811</v>
      </c>
      <c r="M285">
        <v>100</v>
      </c>
      <c r="N285">
        <v>7</v>
      </c>
    </row>
    <row r="286" spans="1:14">
      <c r="A286">
        <f t="shared" ref="A286:B286" si="24">A186+10000</f>
        <v>30325</v>
      </c>
      <c r="B286">
        <f t="shared" si="24"/>
        <v>30301</v>
      </c>
      <c r="C286">
        <v>2</v>
      </c>
      <c r="D286">
        <v>25</v>
      </c>
      <c r="E286" s="28" t="s">
        <v>351</v>
      </c>
      <c r="F286" s="33">
        <v>5</v>
      </c>
      <c r="G286">
        <v>10004</v>
      </c>
      <c r="H286" s="30">
        <v>92010010</v>
      </c>
      <c r="I286" s="36" t="s">
        <v>752</v>
      </c>
      <c r="J286" s="35">
        <v>850000</v>
      </c>
      <c r="K286" s="1" t="s">
        <v>873</v>
      </c>
      <c r="L286" s="35" t="s">
        <v>812</v>
      </c>
      <c r="M286">
        <v>100</v>
      </c>
      <c r="N286">
        <v>7</v>
      </c>
    </row>
    <row r="287" spans="1:14">
      <c r="A287">
        <f t="shared" ref="A287:B287" si="25">A187+10000</f>
        <v>30326</v>
      </c>
      <c r="B287">
        <f t="shared" si="25"/>
        <v>30301</v>
      </c>
      <c r="C287">
        <v>2</v>
      </c>
      <c r="D287">
        <v>26</v>
      </c>
      <c r="E287" s="28" t="s">
        <v>351</v>
      </c>
      <c r="F287" s="33">
        <v>5</v>
      </c>
      <c r="G287">
        <v>10004</v>
      </c>
      <c r="H287" s="30">
        <v>92010010</v>
      </c>
      <c r="I287" s="36" t="s">
        <v>753</v>
      </c>
      <c r="J287" s="35">
        <v>950000</v>
      </c>
      <c r="K287" s="1" t="s">
        <v>874</v>
      </c>
      <c r="L287" s="35" t="s">
        <v>813</v>
      </c>
      <c r="M287">
        <v>100</v>
      </c>
      <c r="N287">
        <v>7</v>
      </c>
    </row>
    <row r="288" spans="1:14">
      <c r="A288">
        <f t="shared" ref="A288:B288" si="26">A188+10000</f>
        <v>30327</v>
      </c>
      <c r="B288">
        <f t="shared" si="26"/>
        <v>30301</v>
      </c>
      <c r="C288">
        <v>2</v>
      </c>
      <c r="D288">
        <v>27</v>
      </c>
      <c r="E288" s="28" t="s">
        <v>351</v>
      </c>
      <c r="F288" s="33">
        <v>5</v>
      </c>
      <c r="G288">
        <v>10004</v>
      </c>
      <c r="H288" s="30">
        <v>92010010</v>
      </c>
      <c r="I288" s="36" t="s">
        <v>754</v>
      </c>
      <c r="J288" s="35">
        <v>1050000</v>
      </c>
      <c r="K288" s="1" t="s">
        <v>875</v>
      </c>
      <c r="L288" s="35" t="s">
        <v>814</v>
      </c>
      <c r="M288">
        <v>100</v>
      </c>
      <c r="N288">
        <v>7</v>
      </c>
    </row>
    <row r="289" spans="1:14">
      <c r="A289">
        <f t="shared" ref="A289:B289" si="27">A189+10000</f>
        <v>30328</v>
      </c>
      <c r="B289">
        <f t="shared" si="27"/>
        <v>30301</v>
      </c>
      <c r="C289">
        <v>2</v>
      </c>
      <c r="D289">
        <v>28</v>
      </c>
      <c r="E289" s="28" t="s">
        <v>351</v>
      </c>
      <c r="F289" s="33">
        <v>5</v>
      </c>
      <c r="G289">
        <v>10004</v>
      </c>
      <c r="H289" s="30">
        <v>92010010</v>
      </c>
      <c r="I289" s="36" t="s">
        <v>755</v>
      </c>
      <c r="J289" s="35">
        <v>1150000</v>
      </c>
      <c r="K289" s="1" t="s">
        <v>876</v>
      </c>
      <c r="L289" s="35" t="s">
        <v>815</v>
      </c>
      <c r="M289">
        <v>100</v>
      </c>
      <c r="N289">
        <v>7</v>
      </c>
    </row>
    <row r="290" spans="1:14">
      <c r="A290">
        <f t="shared" ref="A290:B290" si="28">A190+10000</f>
        <v>30329</v>
      </c>
      <c r="B290">
        <f t="shared" si="28"/>
        <v>30301</v>
      </c>
      <c r="C290">
        <v>2</v>
      </c>
      <c r="D290">
        <v>29</v>
      </c>
      <c r="E290" s="28" t="s">
        <v>351</v>
      </c>
      <c r="F290" s="33">
        <v>5</v>
      </c>
      <c r="G290">
        <v>10004</v>
      </c>
      <c r="H290" s="30">
        <v>92010010</v>
      </c>
      <c r="I290" s="36" t="s">
        <v>756</v>
      </c>
      <c r="J290" s="35">
        <v>1250000</v>
      </c>
      <c r="K290" s="1" t="s">
        <v>877</v>
      </c>
      <c r="L290" s="35" t="s">
        <v>816</v>
      </c>
      <c r="M290">
        <v>100</v>
      </c>
      <c r="N290">
        <v>7</v>
      </c>
    </row>
    <row r="291" spans="1:14">
      <c r="A291">
        <f t="shared" ref="A291:B291" si="29">A191+10000</f>
        <v>30330</v>
      </c>
      <c r="B291">
        <f t="shared" si="29"/>
        <v>30301</v>
      </c>
      <c r="C291">
        <v>2</v>
      </c>
      <c r="D291">
        <v>30</v>
      </c>
      <c r="E291" s="28" t="s">
        <v>351</v>
      </c>
      <c r="F291" s="33">
        <v>5</v>
      </c>
      <c r="G291">
        <v>10004</v>
      </c>
      <c r="H291" s="30">
        <v>92010010</v>
      </c>
      <c r="I291" s="36" t="s">
        <v>757</v>
      </c>
      <c r="J291" s="35">
        <v>1350000</v>
      </c>
      <c r="K291" s="1" t="s">
        <v>878</v>
      </c>
      <c r="L291" s="35" t="s">
        <v>817</v>
      </c>
      <c r="M291">
        <v>100</v>
      </c>
      <c r="N291">
        <v>7</v>
      </c>
    </row>
    <row r="292" spans="1:14">
      <c r="A292">
        <f t="shared" ref="A292:B292" si="30">A192+10000</f>
        <v>30331</v>
      </c>
      <c r="B292">
        <f t="shared" si="30"/>
        <v>30301</v>
      </c>
      <c r="C292">
        <v>2</v>
      </c>
      <c r="D292">
        <v>31</v>
      </c>
      <c r="E292" s="28" t="s">
        <v>351</v>
      </c>
      <c r="F292" s="33">
        <v>5</v>
      </c>
      <c r="G292">
        <v>10004</v>
      </c>
      <c r="H292" s="30">
        <v>92010010</v>
      </c>
      <c r="I292" s="36" t="s">
        <v>758</v>
      </c>
      <c r="J292" s="35">
        <v>1450000</v>
      </c>
      <c r="K292" s="1" t="s">
        <v>879</v>
      </c>
      <c r="L292" s="35" t="s">
        <v>818</v>
      </c>
      <c r="M292">
        <v>100</v>
      </c>
      <c r="N292">
        <v>7</v>
      </c>
    </row>
    <row r="293" spans="1:14">
      <c r="A293">
        <f t="shared" ref="A293:B293" si="31">A193+10000</f>
        <v>30332</v>
      </c>
      <c r="B293">
        <f t="shared" si="31"/>
        <v>30301</v>
      </c>
      <c r="C293">
        <v>2</v>
      </c>
      <c r="D293">
        <v>32</v>
      </c>
      <c r="E293" s="28" t="s">
        <v>351</v>
      </c>
      <c r="F293" s="33">
        <v>5</v>
      </c>
      <c r="G293">
        <v>10004</v>
      </c>
      <c r="H293" s="30">
        <v>92010010</v>
      </c>
      <c r="I293" s="36" t="s">
        <v>759</v>
      </c>
      <c r="J293" s="35">
        <v>1550000</v>
      </c>
      <c r="K293" s="1" t="s">
        <v>880</v>
      </c>
      <c r="L293" s="35" t="s">
        <v>819</v>
      </c>
      <c r="M293">
        <v>100</v>
      </c>
      <c r="N293">
        <v>7</v>
      </c>
    </row>
    <row r="294" spans="1:14">
      <c r="A294">
        <f t="shared" ref="A294:B294" si="32">A194+10000</f>
        <v>30333</v>
      </c>
      <c r="B294">
        <f t="shared" si="32"/>
        <v>30301</v>
      </c>
      <c r="C294">
        <v>2</v>
      </c>
      <c r="D294">
        <v>33</v>
      </c>
      <c r="E294" s="28" t="s">
        <v>351</v>
      </c>
      <c r="F294" s="33">
        <v>5</v>
      </c>
      <c r="G294">
        <v>10004</v>
      </c>
      <c r="H294" s="30">
        <v>92010010</v>
      </c>
      <c r="I294" s="36" t="s">
        <v>760</v>
      </c>
      <c r="J294" s="35">
        <v>1650000</v>
      </c>
      <c r="K294" s="1" t="s">
        <v>881</v>
      </c>
      <c r="L294" s="35" t="s">
        <v>820</v>
      </c>
      <c r="M294">
        <v>100</v>
      </c>
      <c r="N294">
        <v>7</v>
      </c>
    </row>
    <row r="295" spans="1:14">
      <c r="A295">
        <f t="shared" ref="A295:B295" si="33">A195+10000</f>
        <v>30334</v>
      </c>
      <c r="B295">
        <f t="shared" si="33"/>
        <v>30301</v>
      </c>
      <c r="C295">
        <v>2</v>
      </c>
      <c r="D295">
        <v>34</v>
      </c>
      <c r="E295" s="28" t="s">
        <v>351</v>
      </c>
      <c r="F295" s="33">
        <v>5</v>
      </c>
      <c r="G295">
        <v>10004</v>
      </c>
      <c r="H295" s="30">
        <v>92010010</v>
      </c>
      <c r="I295" s="36" t="s">
        <v>761</v>
      </c>
      <c r="J295" s="35">
        <v>1750000</v>
      </c>
      <c r="K295" s="1" t="s">
        <v>882</v>
      </c>
      <c r="L295" s="35" t="s">
        <v>821</v>
      </c>
      <c r="M295">
        <v>100</v>
      </c>
      <c r="N295">
        <v>7</v>
      </c>
    </row>
    <row r="296" spans="1:14">
      <c r="A296">
        <f t="shared" ref="A296:B296" si="34">A196+10000</f>
        <v>30335</v>
      </c>
      <c r="B296">
        <f t="shared" si="34"/>
        <v>30301</v>
      </c>
      <c r="C296">
        <v>2</v>
      </c>
      <c r="D296">
        <v>35</v>
      </c>
      <c r="E296" s="28" t="s">
        <v>351</v>
      </c>
      <c r="F296" s="33">
        <v>5</v>
      </c>
      <c r="G296">
        <v>10004</v>
      </c>
      <c r="H296" s="30">
        <v>92010010</v>
      </c>
      <c r="I296" s="36" t="s">
        <v>762</v>
      </c>
      <c r="J296" s="35">
        <v>1850000</v>
      </c>
      <c r="K296" s="1" t="s">
        <v>883</v>
      </c>
      <c r="L296" s="35" t="s">
        <v>822</v>
      </c>
      <c r="M296">
        <v>100</v>
      </c>
      <c r="N296">
        <v>7</v>
      </c>
    </row>
    <row r="297" spans="1:14">
      <c r="A297">
        <f t="shared" ref="A297:B297" si="35">A197+10000</f>
        <v>30336</v>
      </c>
      <c r="B297">
        <f t="shared" si="35"/>
        <v>30301</v>
      </c>
      <c r="C297">
        <v>2</v>
      </c>
      <c r="D297">
        <v>36</v>
      </c>
      <c r="E297" s="28" t="s">
        <v>351</v>
      </c>
      <c r="F297" s="33">
        <v>5</v>
      </c>
      <c r="G297">
        <v>10004</v>
      </c>
      <c r="H297" s="30">
        <v>92010010</v>
      </c>
      <c r="I297" s="36" t="s">
        <v>763</v>
      </c>
      <c r="J297" s="35">
        <v>1950000</v>
      </c>
      <c r="K297" s="1" t="s">
        <v>884</v>
      </c>
      <c r="L297" s="35" t="s">
        <v>823</v>
      </c>
      <c r="M297">
        <v>100</v>
      </c>
      <c r="N297">
        <v>7</v>
      </c>
    </row>
    <row r="298" spans="1:14">
      <c r="A298">
        <f t="shared" ref="A298:B298" si="36">A198+10000</f>
        <v>30337</v>
      </c>
      <c r="B298">
        <f t="shared" si="36"/>
        <v>30301</v>
      </c>
      <c r="C298">
        <v>2</v>
      </c>
      <c r="D298">
        <v>37</v>
      </c>
      <c r="E298" s="28" t="s">
        <v>351</v>
      </c>
      <c r="F298" s="33">
        <v>5</v>
      </c>
      <c r="G298">
        <v>10004</v>
      </c>
      <c r="H298" s="30">
        <v>92010010</v>
      </c>
      <c r="I298" s="36" t="s">
        <v>764</v>
      </c>
      <c r="J298" s="35">
        <v>2050000</v>
      </c>
      <c r="K298" s="1" t="s">
        <v>885</v>
      </c>
      <c r="L298" s="35" t="s">
        <v>824</v>
      </c>
      <c r="M298">
        <v>100</v>
      </c>
      <c r="N298">
        <v>7</v>
      </c>
    </row>
    <row r="299" spans="1:14">
      <c r="A299">
        <f t="shared" ref="A299:B299" si="37">A199+10000</f>
        <v>30338</v>
      </c>
      <c r="B299">
        <f t="shared" si="37"/>
        <v>30301</v>
      </c>
      <c r="C299">
        <v>2</v>
      </c>
      <c r="D299">
        <v>38</v>
      </c>
      <c r="E299" s="28" t="s">
        <v>351</v>
      </c>
      <c r="F299" s="33">
        <v>5</v>
      </c>
      <c r="G299">
        <v>10004</v>
      </c>
      <c r="H299" s="30">
        <v>92010010</v>
      </c>
      <c r="I299" s="36" t="s">
        <v>765</v>
      </c>
      <c r="J299" s="35">
        <v>2150000</v>
      </c>
      <c r="K299" s="1" t="s">
        <v>886</v>
      </c>
      <c r="L299" s="35" t="s">
        <v>825</v>
      </c>
      <c r="M299">
        <v>100</v>
      </c>
      <c r="N299">
        <v>7</v>
      </c>
    </row>
    <row r="300" spans="1:14">
      <c r="A300">
        <f t="shared" ref="A300:B300" si="38">A200+10000</f>
        <v>30339</v>
      </c>
      <c r="B300">
        <f t="shared" si="38"/>
        <v>30301</v>
      </c>
      <c r="C300">
        <v>2</v>
      </c>
      <c r="D300">
        <v>39</v>
      </c>
      <c r="E300" s="28" t="s">
        <v>351</v>
      </c>
      <c r="F300" s="33">
        <v>5</v>
      </c>
      <c r="G300">
        <v>10004</v>
      </c>
      <c r="H300" s="30">
        <v>92010010</v>
      </c>
      <c r="I300" s="36" t="s">
        <v>766</v>
      </c>
      <c r="J300" s="35">
        <v>2250000</v>
      </c>
      <c r="K300" s="1" t="s">
        <v>887</v>
      </c>
      <c r="L300" s="35" t="s">
        <v>826</v>
      </c>
      <c r="M300">
        <v>100</v>
      </c>
      <c r="N300">
        <v>7</v>
      </c>
    </row>
    <row r="301" spans="1:14">
      <c r="A301">
        <f t="shared" ref="A301:B301" si="39">A201+10000</f>
        <v>30340</v>
      </c>
      <c r="B301">
        <f t="shared" si="39"/>
        <v>30301</v>
      </c>
      <c r="C301">
        <v>2</v>
      </c>
      <c r="D301">
        <v>40</v>
      </c>
      <c r="E301" s="28" t="s">
        <v>351</v>
      </c>
      <c r="F301" s="33">
        <v>5</v>
      </c>
      <c r="G301">
        <v>10004</v>
      </c>
      <c r="H301" s="30">
        <v>92010010</v>
      </c>
      <c r="I301" s="36" t="s">
        <v>767</v>
      </c>
      <c r="J301" s="35">
        <v>2350000</v>
      </c>
      <c r="K301" s="36" t="s">
        <v>98</v>
      </c>
      <c r="L301" s="35" t="s">
        <v>827</v>
      </c>
      <c r="M301">
        <v>0</v>
      </c>
      <c r="N301">
        <v>7</v>
      </c>
    </row>
    <row r="302" spans="1:14">
      <c r="A302">
        <f t="shared" ref="A302:A311" si="40">A202+10000</f>
        <v>40001</v>
      </c>
      <c r="B302">
        <f t="shared" ref="B302:B311" si="41">B202+10000</f>
        <v>40001</v>
      </c>
      <c r="C302">
        <v>1</v>
      </c>
      <c r="D302">
        <v>1</v>
      </c>
      <c r="E302" t="s">
        <v>376</v>
      </c>
      <c r="F302" s="29">
        <v>2</v>
      </c>
      <c r="G302">
        <v>10001</v>
      </c>
      <c r="H302" s="30">
        <v>92030010</v>
      </c>
      <c r="I302" s="34" t="s">
        <v>15</v>
      </c>
      <c r="J302" s="35">
        <v>2250</v>
      </c>
      <c r="K302" s="1" t="s">
        <v>377</v>
      </c>
      <c r="L302" s="35" t="s">
        <v>378</v>
      </c>
      <c r="M302">
        <v>100</v>
      </c>
      <c r="N302">
        <v>1</v>
      </c>
    </row>
    <row r="303" spans="1:14">
      <c r="A303">
        <f t="shared" si="40"/>
        <v>40002</v>
      </c>
      <c r="B303">
        <f t="shared" si="41"/>
        <v>40001</v>
      </c>
      <c r="C303">
        <v>1</v>
      </c>
      <c r="D303">
        <v>2</v>
      </c>
      <c r="E303" t="s">
        <v>376</v>
      </c>
      <c r="F303" s="29">
        <v>2</v>
      </c>
      <c r="G303">
        <v>10001</v>
      </c>
      <c r="H303" s="30">
        <v>92030010</v>
      </c>
      <c r="I303" s="34" t="s">
        <v>18</v>
      </c>
      <c r="J303" s="35">
        <v>4500</v>
      </c>
      <c r="K303" s="1" t="s">
        <v>377</v>
      </c>
      <c r="L303" s="35" t="s">
        <v>379</v>
      </c>
      <c r="M303">
        <v>100</v>
      </c>
      <c r="N303">
        <v>1</v>
      </c>
    </row>
    <row r="304" spans="1:14">
      <c r="A304">
        <f t="shared" si="40"/>
        <v>40003</v>
      </c>
      <c r="B304">
        <f t="shared" si="41"/>
        <v>40001</v>
      </c>
      <c r="C304">
        <v>1</v>
      </c>
      <c r="D304">
        <v>3</v>
      </c>
      <c r="E304" t="s">
        <v>376</v>
      </c>
      <c r="F304" s="29">
        <v>2</v>
      </c>
      <c r="G304">
        <v>10001</v>
      </c>
      <c r="H304" s="30">
        <v>92030010</v>
      </c>
      <c r="I304" s="34" t="s">
        <v>20</v>
      </c>
      <c r="J304" s="35">
        <v>6750</v>
      </c>
      <c r="K304" s="1" t="s">
        <v>377</v>
      </c>
      <c r="L304" s="35" t="s">
        <v>380</v>
      </c>
      <c r="M304">
        <v>100</v>
      </c>
      <c r="N304">
        <v>1</v>
      </c>
    </row>
    <row r="305" spans="1:14">
      <c r="A305">
        <f t="shared" si="40"/>
        <v>40004</v>
      </c>
      <c r="B305">
        <f t="shared" si="41"/>
        <v>40001</v>
      </c>
      <c r="C305">
        <v>1</v>
      </c>
      <c r="D305">
        <v>4</v>
      </c>
      <c r="E305" t="s">
        <v>376</v>
      </c>
      <c r="F305" s="29">
        <v>2</v>
      </c>
      <c r="G305">
        <v>10001</v>
      </c>
      <c r="H305" s="30">
        <v>92030010</v>
      </c>
      <c r="I305" s="34" t="s">
        <v>22</v>
      </c>
      <c r="J305" s="35">
        <v>9000</v>
      </c>
      <c r="K305" s="1" t="s">
        <v>377</v>
      </c>
      <c r="L305" s="35" t="s">
        <v>381</v>
      </c>
      <c r="M305">
        <v>100</v>
      </c>
      <c r="N305">
        <v>1</v>
      </c>
    </row>
    <row r="306" spans="1:14">
      <c r="A306">
        <f t="shared" si="40"/>
        <v>40005</v>
      </c>
      <c r="B306">
        <f t="shared" si="41"/>
        <v>40001</v>
      </c>
      <c r="C306">
        <v>1</v>
      </c>
      <c r="D306">
        <v>5</v>
      </c>
      <c r="E306" t="s">
        <v>376</v>
      </c>
      <c r="F306" s="29">
        <v>2</v>
      </c>
      <c r="G306">
        <v>10001</v>
      </c>
      <c r="H306" s="30">
        <v>92030010</v>
      </c>
      <c r="I306" s="34" t="s">
        <v>24</v>
      </c>
      <c r="J306" s="35">
        <v>11250</v>
      </c>
      <c r="K306" s="1" t="s">
        <v>382</v>
      </c>
      <c r="L306" s="35" t="s">
        <v>383</v>
      </c>
      <c r="M306">
        <v>100</v>
      </c>
      <c r="N306">
        <v>1</v>
      </c>
    </row>
    <row r="307" spans="1:14">
      <c r="A307">
        <f t="shared" si="40"/>
        <v>40006</v>
      </c>
      <c r="B307">
        <f t="shared" si="41"/>
        <v>40001</v>
      </c>
      <c r="C307">
        <v>1</v>
      </c>
      <c r="D307">
        <v>6</v>
      </c>
      <c r="E307" t="s">
        <v>376</v>
      </c>
      <c r="F307" s="29">
        <v>2</v>
      </c>
      <c r="G307">
        <v>10001</v>
      </c>
      <c r="H307" s="30">
        <v>92030010</v>
      </c>
      <c r="I307" s="34" t="s">
        <v>27</v>
      </c>
      <c r="J307" s="35">
        <v>15750</v>
      </c>
      <c r="K307" s="1" t="s">
        <v>382</v>
      </c>
      <c r="L307" s="35" t="s">
        <v>384</v>
      </c>
      <c r="M307">
        <v>100</v>
      </c>
      <c r="N307">
        <v>1</v>
      </c>
    </row>
    <row r="308" spans="1:14">
      <c r="A308">
        <f t="shared" si="40"/>
        <v>40007</v>
      </c>
      <c r="B308">
        <f t="shared" si="41"/>
        <v>40001</v>
      </c>
      <c r="C308">
        <v>1</v>
      </c>
      <c r="D308">
        <v>7</v>
      </c>
      <c r="E308" t="s">
        <v>376</v>
      </c>
      <c r="F308" s="29">
        <v>2</v>
      </c>
      <c r="G308">
        <v>10001</v>
      </c>
      <c r="H308" s="30">
        <v>92030010</v>
      </c>
      <c r="I308" s="34" t="s">
        <v>29</v>
      </c>
      <c r="J308" s="35">
        <v>20250</v>
      </c>
      <c r="K308" s="1" t="s">
        <v>382</v>
      </c>
      <c r="L308" s="35" t="s">
        <v>385</v>
      </c>
      <c r="M308">
        <v>100</v>
      </c>
      <c r="N308">
        <v>1</v>
      </c>
    </row>
    <row r="309" spans="1:14">
      <c r="A309">
        <f t="shared" si="40"/>
        <v>40008</v>
      </c>
      <c r="B309">
        <f t="shared" si="41"/>
        <v>40001</v>
      </c>
      <c r="C309">
        <v>1</v>
      </c>
      <c r="D309">
        <v>8</v>
      </c>
      <c r="E309" t="s">
        <v>376</v>
      </c>
      <c r="F309" s="29">
        <v>2</v>
      </c>
      <c r="G309">
        <v>10001</v>
      </c>
      <c r="H309" s="30">
        <v>92030010</v>
      </c>
      <c r="I309" s="34" t="s">
        <v>31</v>
      </c>
      <c r="J309" s="35">
        <v>24750</v>
      </c>
      <c r="K309" s="1" t="s">
        <v>382</v>
      </c>
      <c r="L309" s="35" t="s">
        <v>386</v>
      </c>
      <c r="M309">
        <v>100</v>
      </c>
      <c r="N309">
        <v>1</v>
      </c>
    </row>
    <row r="310" spans="1:14">
      <c r="A310">
        <f t="shared" si="40"/>
        <v>40009</v>
      </c>
      <c r="B310">
        <f t="shared" si="41"/>
        <v>40001</v>
      </c>
      <c r="C310">
        <v>1</v>
      </c>
      <c r="D310">
        <v>9</v>
      </c>
      <c r="E310" t="s">
        <v>376</v>
      </c>
      <c r="F310" s="29">
        <v>2</v>
      </c>
      <c r="G310">
        <v>10001</v>
      </c>
      <c r="H310" s="30">
        <v>92030010</v>
      </c>
      <c r="I310" s="34" t="s">
        <v>33</v>
      </c>
      <c r="J310" s="35">
        <v>29250</v>
      </c>
      <c r="K310" s="1" t="s">
        <v>382</v>
      </c>
      <c r="L310" s="35" t="s">
        <v>387</v>
      </c>
      <c r="M310">
        <v>100</v>
      </c>
      <c r="N310">
        <v>1</v>
      </c>
    </row>
    <row r="311" spans="1:14">
      <c r="A311">
        <f t="shared" si="40"/>
        <v>40010</v>
      </c>
      <c r="B311">
        <f t="shared" si="41"/>
        <v>40001</v>
      </c>
      <c r="C311">
        <v>1</v>
      </c>
      <c r="D311">
        <v>10</v>
      </c>
      <c r="E311" t="s">
        <v>376</v>
      </c>
      <c r="F311" s="29">
        <v>2</v>
      </c>
      <c r="G311">
        <v>10001</v>
      </c>
      <c r="H311" s="30">
        <v>92030010</v>
      </c>
      <c r="I311" s="34" t="s">
        <v>35</v>
      </c>
      <c r="J311" s="35">
        <v>33750</v>
      </c>
      <c r="K311" s="1" t="s">
        <v>388</v>
      </c>
      <c r="L311" s="35" t="s">
        <v>389</v>
      </c>
      <c r="M311">
        <v>100</v>
      </c>
      <c r="N311">
        <v>1</v>
      </c>
    </row>
    <row r="312" spans="1:14">
      <c r="A312">
        <f t="shared" ref="A312:A331" si="42">A212+10000</f>
        <v>40011</v>
      </c>
      <c r="B312">
        <f t="shared" ref="B312:B331" si="43">B212+10000</f>
        <v>40001</v>
      </c>
      <c r="C312">
        <v>1</v>
      </c>
      <c r="D312">
        <v>11</v>
      </c>
      <c r="E312" t="s">
        <v>376</v>
      </c>
      <c r="F312" s="29">
        <v>2</v>
      </c>
      <c r="G312">
        <v>10001</v>
      </c>
      <c r="H312" s="30">
        <v>92030010</v>
      </c>
      <c r="I312" s="34" t="s">
        <v>38</v>
      </c>
      <c r="J312" s="35">
        <v>40500</v>
      </c>
      <c r="K312" s="1" t="s">
        <v>388</v>
      </c>
      <c r="L312" s="35" t="s">
        <v>390</v>
      </c>
      <c r="M312">
        <v>100</v>
      </c>
      <c r="N312">
        <v>1</v>
      </c>
    </row>
    <row r="313" spans="1:14">
      <c r="A313">
        <f t="shared" si="42"/>
        <v>40012</v>
      </c>
      <c r="B313">
        <f t="shared" si="43"/>
        <v>40001</v>
      </c>
      <c r="C313">
        <v>1</v>
      </c>
      <c r="D313">
        <v>12</v>
      </c>
      <c r="E313" t="s">
        <v>376</v>
      </c>
      <c r="F313" s="29">
        <v>2</v>
      </c>
      <c r="G313">
        <v>10001</v>
      </c>
      <c r="H313" s="30">
        <v>92030010</v>
      </c>
      <c r="I313" s="34" t="s">
        <v>40</v>
      </c>
      <c r="J313" s="35">
        <v>47250</v>
      </c>
      <c r="K313" s="1" t="s">
        <v>388</v>
      </c>
      <c r="L313" s="35" t="s">
        <v>391</v>
      </c>
      <c r="M313">
        <v>100</v>
      </c>
      <c r="N313">
        <v>1</v>
      </c>
    </row>
    <row r="314" spans="1:14">
      <c r="A314">
        <f t="shared" si="42"/>
        <v>40013</v>
      </c>
      <c r="B314">
        <f t="shared" si="43"/>
        <v>40001</v>
      </c>
      <c r="C314">
        <v>1</v>
      </c>
      <c r="D314">
        <v>13</v>
      </c>
      <c r="E314" t="s">
        <v>376</v>
      </c>
      <c r="F314" s="29">
        <v>2</v>
      </c>
      <c r="G314">
        <v>10001</v>
      </c>
      <c r="H314" s="30">
        <v>92030010</v>
      </c>
      <c r="I314" s="34" t="s">
        <v>42</v>
      </c>
      <c r="J314" s="35">
        <v>54000</v>
      </c>
      <c r="K314" s="1" t="s">
        <v>388</v>
      </c>
      <c r="L314" s="35" t="s">
        <v>392</v>
      </c>
      <c r="M314">
        <v>100</v>
      </c>
      <c r="N314">
        <v>1</v>
      </c>
    </row>
    <row r="315" spans="1:14">
      <c r="A315">
        <f t="shared" si="42"/>
        <v>40014</v>
      </c>
      <c r="B315">
        <f t="shared" si="43"/>
        <v>40001</v>
      </c>
      <c r="C315">
        <v>1</v>
      </c>
      <c r="D315">
        <v>14</v>
      </c>
      <c r="E315" t="s">
        <v>376</v>
      </c>
      <c r="F315" s="29">
        <v>2</v>
      </c>
      <c r="G315">
        <v>10001</v>
      </c>
      <c r="H315" s="30">
        <v>92030010</v>
      </c>
      <c r="I315" s="34" t="s">
        <v>44</v>
      </c>
      <c r="J315" s="35">
        <v>60750</v>
      </c>
      <c r="K315" s="1" t="s">
        <v>388</v>
      </c>
      <c r="L315" s="35" t="s">
        <v>393</v>
      </c>
      <c r="M315">
        <v>100</v>
      </c>
      <c r="N315">
        <v>1</v>
      </c>
    </row>
    <row r="316" spans="1:14">
      <c r="A316">
        <f t="shared" si="42"/>
        <v>40015</v>
      </c>
      <c r="B316">
        <f t="shared" si="43"/>
        <v>40001</v>
      </c>
      <c r="C316">
        <v>1</v>
      </c>
      <c r="D316">
        <v>15</v>
      </c>
      <c r="E316" t="s">
        <v>376</v>
      </c>
      <c r="F316" s="29">
        <v>2</v>
      </c>
      <c r="G316">
        <v>10001</v>
      </c>
      <c r="H316" s="30">
        <v>92030010</v>
      </c>
      <c r="I316" s="34" t="s">
        <v>46</v>
      </c>
      <c r="J316" s="35">
        <v>67500</v>
      </c>
      <c r="K316" s="1" t="s">
        <v>394</v>
      </c>
      <c r="L316" s="35" t="s">
        <v>395</v>
      </c>
      <c r="M316">
        <v>100</v>
      </c>
      <c r="N316">
        <v>1</v>
      </c>
    </row>
    <row r="317" spans="1:14">
      <c r="A317">
        <f t="shared" si="42"/>
        <v>40016</v>
      </c>
      <c r="B317">
        <f t="shared" si="43"/>
        <v>40001</v>
      </c>
      <c r="C317">
        <v>1</v>
      </c>
      <c r="D317">
        <v>16</v>
      </c>
      <c r="E317" t="s">
        <v>376</v>
      </c>
      <c r="F317" s="29">
        <v>2</v>
      </c>
      <c r="G317">
        <v>10001</v>
      </c>
      <c r="H317" s="30">
        <v>92030010</v>
      </c>
      <c r="I317" s="34" t="s">
        <v>49</v>
      </c>
      <c r="J317" s="35">
        <v>76500</v>
      </c>
      <c r="K317" s="1" t="s">
        <v>394</v>
      </c>
      <c r="L317" s="35" t="s">
        <v>396</v>
      </c>
      <c r="M317">
        <v>100</v>
      </c>
      <c r="N317">
        <v>1</v>
      </c>
    </row>
    <row r="318" spans="1:14">
      <c r="A318">
        <f t="shared" si="42"/>
        <v>40017</v>
      </c>
      <c r="B318">
        <f t="shared" si="43"/>
        <v>40001</v>
      </c>
      <c r="C318">
        <v>1</v>
      </c>
      <c r="D318">
        <v>17</v>
      </c>
      <c r="E318" t="s">
        <v>376</v>
      </c>
      <c r="F318" s="29">
        <v>2</v>
      </c>
      <c r="G318">
        <v>10001</v>
      </c>
      <c r="H318" s="30">
        <v>92030010</v>
      </c>
      <c r="I318" s="34" t="s">
        <v>51</v>
      </c>
      <c r="J318" s="35">
        <v>85500</v>
      </c>
      <c r="K318" s="1" t="s">
        <v>394</v>
      </c>
      <c r="L318" s="35" t="s">
        <v>397</v>
      </c>
      <c r="M318">
        <v>100</v>
      </c>
      <c r="N318">
        <v>1</v>
      </c>
    </row>
    <row r="319" spans="1:14">
      <c r="A319">
        <f t="shared" si="42"/>
        <v>40018</v>
      </c>
      <c r="B319">
        <f t="shared" si="43"/>
        <v>40001</v>
      </c>
      <c r="C319">
        <v>1</v>
      </c>
      <c r="D319">
        <v>18</v>
      </c>
      <c r="E319" t="s">
        <v>376</v>
      </c>
      <c r="F319" s="29">
        <v>2</v>
      </c>
      <c r="G319">
        <v>10001</v>
      </c>
      <c r="H319" s="30">
        <v>92030010</v>
      </c>
      <c r="I319" s="34" t="s">
        <v>53</v>
      </c>
      <c r="J319" s="35">
        <v>94500</v>
      </c>
      <c r="K319" s="1" t="s">
        <v>394</v>
      </c>
      <c r="L319" s="35" t="s">
        <v>398</v>
      </c>
      <c r="M319">
        <v>100</v>
      </c>
      <c r="N319">
        <v>1</v>
      </c>
    </row>
    <row r="320" spans="1:14">
      <c r="A320">
        <f t="shared" si="42"/>
        <v>40019</v>
      </c>
      <c r="B320">
        <f t="shared" si="43"/>
        <v>40001</v>
      </c>
      <c r="C320">
        <v>1</v>
      </c>
      <c r="D320">
        <v>19</v>
      </c>
      <c r="E320" t="s">
        <v>376</v>
      </c>
      <c r="F320" s="29">
        <v>2</v>
      </c>
      <c r="G320">
        <v>10001</v>
      </c>
      <c r="H320" s="30">
        <v>92030010</v>
      </c>
      <c r="I320" s="34" t="s">
        <v>55</v>
      </c>
      <c r="J320" s="35">
        <v>103500</v>
      </c>
      <c r="K320" s="1" t="s">
        <v>394</v>
      </c>
      <c r="L320" s="35" t="s">
        <v>399</v>
      </c>
      <c r="M320">
        <v>100</v>
      </c>
      <c r="N320">
        <v>1</v>
      </c>
    </row>
    <row r="321" spans="1:14">
      <c r="A321">
        <f t="shared" si="42"/>
        <v>40020</v>
      </c>
      <c r="B321">
        <f t="shared" si="43"/>
        <v>40001</v>
      </c>
      <c r="C321">
        <v>1</v>
      </c>
      <c r="D321">
        <v>20</v>
      </c>
      <c r="E321" t="s">
        <v>376</v>
      </c>
      <c r="F321" s="29">
        <v>2</v>
      </c>
      <c r="G321">
        <v>10001</v>
      </c>
      <c r="H321" s="30">
        <v>92030010</v>
      </c>
      <c r="I321" s="34" t="s">
        <v>57</v>
      </c>
      <c r="J321" s="35">
        <v>112500</v>
      </c>
      <c r="K321" s="36" t="s">
        <v>98</v>
      </c>
      <c r="L321" s="35" t="s">
        <v>400</v>
      </c>
      <c r="M321">
        <v>0</v>
      </c>
      <c r="N321">
        <v>1</v>
      </c>
    </row>
    <row r="322" spans="1:14">
      <c r="A322">
        <f t="shared" si="42"/>
        <v>40101</v>
      </c>
      <c r="B322">
        <f t="shared" si="43"/>
        <v>40101</v>
      </c>
      <c r="C322">
        <v>1</v>
      </c>
      <c r="D322">
        <v>1</v>
      </c>
      <c r="E322" t="s">
        <v>401</v>
      </c>
      <c r="F322" s="31">
        <v>3</v>
      </c>
      <c r="G322">
        <v>10002</v>
      </c>
      <c r="H322" s="30">
        <v>92040010</v>
      </c>
      <c r="I322" s="34" t="s">
        <v>18</v>
      </c>
      <c r="J322" s="35">
        <v>4500</v>
      </c>
      <c r="K322" s="1" t="s">
        <v>402</v>
      </c>
      <c r="L322" s="35" t="s">
        <v>403</v>
      </c>
      <c r="M322">
        <v>100</v>
      </c>
      <c r="N322">
        <v>3</v>
      </c>
    </row>
    <row r="323" spans="1:14">
      <c r="A323">
        <f t="shared" si="42"/>
        <v>40102</v>
      </c>
      <c r="B323">
        <f t="shared" si="43"/>
        <v>40101</v>
      </c>
      <c r="C323">
        <v>1</v>
      </c>
      <c r="D323">
        <v>2</v>
      </c>
      <c r="E323" t="s">
        <v>401</v>
      </c>
      <c r="F323" s="31">
        <v>3</v>
      </c>
      <c r="G323">
        <v>10002</v>
      </c>
      <c r="H323" s="30">
        <v>92040010</v>
      </c>
      <c r="I323" s="34" t="s">
        <v>22</v>
      </c>
      <c r="J323" s="35">
        <v>9000</v>
      </c>
      <c r="K323" s="1" t="s">
        <v>402</v>
      </c>
      <c r="L323" s="35" t="s">
        <v>404</v>
      </c>
      <c r="M323">
        <v>100</v>
      </c>
      <c r="N323">
        <v>3</v>
      </c>
    </row>
    <row r="324" spans="1:14">
      <c r="A324">
        <f t="shared" si="42"/>
        <v>40103</v>
      </c>
      <c r="B324">
        <f t="shared" si="43"/>
        <v>40101</v>
      </c>
      <c r="C324">
        <v>1</v>
      </c>
      <c r="D324">
        <v>3</v>
      </c>
      <c r="E324" t="s">
        <v>401</v>
      </c>
      <c r="F324" s="31">
        <v>3</v>
      </c>
      <c r="G324">
        <v>10002</v>
      </c>
      <c r="H324" s="30">
        <v>92040010</v>
      </c>
      <c r="I324" s="34" t="s">
        <v>63</v>
      </c>
      <c r="J324" s="35">
        <v>13500</v>
      </c>
      <c r="K324" s="1" t="s">
        <v>402</v>
      </c>
      <c r="L324" s="35" t="s">
        <v>405</v>
      </c>
      <c r="M324">
        <v>100</v>
      </c>
      <c r="N324">
        <v>3</v>
      </c>
    </row>
    <row r="325" spans="1:14">
      <c r="A325">
        <f t="shared" si="42"/>
        <v>40104</v>
      </c>
      <c r="B325">
        <f t="shared" si="43"/>
        <v>40101</v>
      </c>
      <c r="C325">
        <v>1</v>
      </c>
      <c r="D325">
        <v>4</v>
      </c>
      <c r="E325" t="s">
        <v>401</v>
      </c>
      <c r="F325" s="31">
        <v>3</v>
      </c>
      <c r="G325">
        <v>10002</v>
      </c>
      <c r="H325" s="30">
        <v>92040010</v>
      </c>
      <c r="I325" s="34" t="s">
        <v>65</v>
      </c>
      <c r="J325" s="35">
        <v>18000</v>
      </c>
      <c r="K325" s="1" t="s">
        <v>402</v>
      </c>
      <c r="L325" s="35" t="s">
        <v>406</v>
      </c>
      <c r="M325">
        <v>100</v>
      </c>
      <c r="N325">
        <v>3</v>
      </c>
    </row>
    <row r="326" spans="1:14">
      <c r="A326">
        <f t="shared" si="42"/>
        <v>40105</v>
      </c>
      <c r="B326">
        <f t="shared" si="43"/>
        <v>40101</v>
      </c>
      <c r="C326">
        <v>1</v>
      </c>
      <c r="D326">
        <v>5</v>
      </c>
      <c r="E326" t="s">
        <v>401</v>
      </c>
      <c r="F326" s="31">
        <v>3</v>
      </c>
      <c r="G326">
        <v>10002</v>
      </c>
      <c r="H326" s="30">
        <v>92040010</v>
      </c>
      <c r="I326" s="34" t="s">
        <v>67</v>
      </c>
      <c r="J326" s="35">
        <v>22500</v>
      </c>
      <c r="K326" s="1" t="s">
        <v>407</v>
      </c>
      <c r="L326" s="35" t="s">
        <v>408</v>
      </c>
      <c r="M326">
        <v>100</v>
      </c>
      <c r="N326">
        <v>3</v>
      </c>
    </row>
    <row r="327" spans="1:14">
      <c r="A327">
        <f t="shared" si="42"/>
        <v>40106</v>
      </c>
      <c r="B327">
        <f t="shared" si="43"/>
        <v>40101</v>
      </c>
      <c r="C327">
        <v>1</v>
      </c>
      <c r="D327">
        <v>6</v>
      </c>
      <c r="E327" t="s">
        <v>401</v>
      </c>
      <c r="F327" s="31">
        <v>3</v>
      </c>
      <c r="G327">
        <v>10002</v>
      </c>
      <c r="H327" s="30">
        <v>92040010</v>
      </c>
      <c r="I327" s="34" t="s">
        <v>70</v>
      </c>
      <c r="J327" s="35">
        <v>31500</v>
      </c>
      <c r="K327" s="1" t="s">
        <v>407</v>
      </c>
      <c r="L327" s="35" t="s">
        <v>409</v>
      </c>
      <c r="M327">
        <v>100</v>
      </c>
      <c r="N327">
        <v>3</v>
      </c>
    </row>
    <row r="328" spans="1:14">
      <c r="A328">
        <f t="shared" si="42"/>
        <v>40107</v>
      </c>
      <c r="B328">
        <f t="shared" si="43"/>
        <v>40101</v>
      </c>
      <c r="C328">
        <v>1</v>
      </c>
      <c r="D328">
        <v>7</v>
      </c>
      <c r="E328" t="s">
        <v>401</v>
      </c>
      <c r="F328" s="31">
        <v>3</v>
      </c>
      <c r="G328">
        <v>10002</v>
      </c>
      <c r="H328" s="30">
        <v>92040010</v>
      </c>
      <c r="I328" s="34" t="s">
        <v>38</v>
      </c>
      <c r="J328" s="35">
        <v>40500</v>
      </c>
      <c r="K328" s="1" t="s">
        <v>407</v>
      </c>
      <c r="L328" s="35" t="s">
        <v>410</v>
      </c>
      <c r="M328">
        <v>100</v>
      </c>
      <c r="N328">
        <v>3</v>
      </c>
    </row>
    <row r="329" spans="1:14">
      <c r="A329">
        <f t="shared" si="42"/>
        <v>40108</v>
      </c>
      <c r="B329">
        <f t="shared" si="43"/>
        <v>40101</v>
      </c>
      <c r="C329">
        <v>1</v>
      </c>
      <c r="D329">
        <v>8</v>
      </c>
      <c r="E329" t="s">
        <v>401</v>
      </c>
      <c r="F329" s="31">
        <v>3</v>
      </c>
      <c r="G329">
        <v>10002</v>
      </c>
      <c r="H329" s="30">
        <v>92040010</v>
      </c>
      <c r="I329" s="34" t="s">
        <v>73</v>
      </c>
      <c r="J329" s="35">
        <v>49500</v>
      </c>
      <c r="K329" s="1" t="s">
        <v>407</v>
      </c>
      <c r="L329" s="35" t="s">
        <v>411</v>
      </c>
      <c r="M329">
        <v>100</v>
      </c>
      <c r="N329">
        <v>3</v>
      </c>
    </row>
    <row r="330" spans="1:14">
      <c r="A330">
        <f t="shared" si="42"/>
        <v>40109</v>
      </c>
      <c r="B330">
        <f t="shared" si="43"/>
        <v>40101</v>
      </c>
      <c r="C330">
        <v>1</v>
      </c>
      <c r="D330">
        <v>9</v>
      </c>
      <c r="E330" t="s">
        <v>401</v>
      </c>
      <c r="F330" s="31">
        <v>3</v>
      </c>
      <c r="G330">
        <v>10002</v>
      </c>
      <c r="H330" s="30">
        <v>92040010</v>
      </c>
      <c r="I330" s="34" t="s">
        <v>75</v>
      </c>
      <c r="J330" s="35">
        <v>58500</v>
      </c>
      <c r="K330" s="1" t="s">
        <v>407</v>
      </c>
      <c r="L330" s="35" t="s">
        <v>412</v>
      </c>
      <c r="M330">
        <v>100</v>
      </c>
      <c r="N330">
        <v>3</v>
      </c>
    </row>
    <row r="331" spans="1:14">
      <c r="A331">
        <f t="shared" si="42"/>
        <v>40110</v>
      </c>
      <c r="B331">
        <f t="shared" si="43"/>
        <v>40101</v>
      </c>
      <c r="C331">
        <v>1</v>
      </c>
      <c r="D331">
        <v>10</v>
      </c>
      <c r="E331" t="s">
        <v>401</v>
      </c>
      <c r="F331" s="31">
        <v>3</v>
      </c>
      <c r="G331">
        <v>10002</v>
      </c>
      <c r="H331" s="30">
        <v>92040010</v>
      </c>
      <c r="I331" s="34" t="s">
        <v>46</v>
      </c>
      <c r="J331" s="35">
        <v>67500</v>
      </c>
      <c r="K331" s="1" t="s">
        <v>413</v>
      </c>
      <c r="L331" s="35" t="s">
        <v>414</v>
      </c>
      <c r="M331">
        <v>100</v>
      </c>
      <c r="N331">
        <v>3</v>
      </c>
    </row>
    <row r="332" spans="1:14">
      <c r="A332">
        <f t="shared" ref="A332:A351" si="44">A232+10000</f>
        <v>40111</v>
      </c>
      <c r="B332">
        <f t="shared" ref="B332:B351" si="45">B232+10000</f>
        <v>40101</v>
      </c>
      <c r="C332">
        <v>1</v>
      </c>
      <c r="D332">
        <v>11</v>
      </c>
      <c r="E332" t="s">
        <v>401</v>
      </c>
      <c r="F332" s="31">
        <v>3</v>
      </c>
      <c r="G332">
        <v>10002</v>
      </c>
      <c r="H332" s="30">
        <v>92040010</v>
      </c>
      <c r="I332" s="34" t="s">
        <v>79</v>
      </c>
      <c r="J332" s="35">
        <v>81000</v>
      </c>
      <c r="K332" s="1" t="s">
        <v>413</v>
      </c>
      <c r="L332" s="35" t="s">
        <v>415</v>
      </c>
      <c r="M332">
        <v>100</v>
      </c>
      <c r="N332">
        <v>3</v>
      </c>
    </row>
    <row r="333" spans="1:14">
      <c r="A333">
        <f t="shared" si="44"/>
        <v>40112</v>
      </c>
      <c r="B333">
        <f t="shared" si="45"/>
        <v>40101</v>
      </c>
      <c r="C333">
        <v>1</v>
      </c>
      <c r="D333">
        <v>12</v>
      </c>
      <c r="E333" t="s">
        <v>401</v>
      </c>
      <c r="F333" s="31">
        <v>3</v>
      </c>
      <c r="G333">
        <v>10002</v>
      </c>
      <c r="H333" s="30">
        <v>92040010</v>
      </c>
      <c r="I333" s="34" t="s">
        <v>53</v>
      </c>
      <c r="J333" s="35">
        <v>94500</v>
      </c>
      <c r="K333" s="1" t="s">
        <v>413</v>
      </c>
      <c r="L333" s="35" t="s">
        <v>416</v>
      </c>
      <c r="M333">
        <v>100</v>
      </c>
      <c r="N333">
        <v>3</v>
      </c>
    </row>
    <row r="334" spans="1:14">
      <c r="A334">
        <f t="shared" si="44"/>
        <v>40113</v>
      </c>
      <c r="B334">
        <f t="shared" si="45"/>
        <v>40101</v>
      </c>
      <c r="C334">
        <v>1</v>
      </c>
      <c r="D334">
        <v>13</v>
      </c>
      <c r="E334" t="s">
        <v>401</v>
      </c>
      <c r="F334" s="31">
        <v>3</v>
      </c>
      <c r="G334">
        <v>10002</v>
      </c>
      <c r="H334" s="30">
        <v>92040010</v>
      </c>
      <c r="I334" s="34" t="s">
        <v>82</v>
      </c>
      <c r="J334" s="35">
        <v>108000</v>
      </c>
      <c r="K334" s="1" t="s">
        <v>413</v>
      </c>
      <c r="L334" s="35" t="s">
        <v>417</v>
      </c>
      <c r="M334">
        <v>100</v>
      </c>
      <c r="N334">
        <v>3</v>
      </c>
    </row>
    <row r="335" spans="1:14">
      <c r="A335">
        <f t="shared" si="44"/>
        <v>40114</v>
      </c>
      <c r="B335">
        <f t="shared" si="45"/>
        <v>40101</v>
      </c>
      <c r="C335">
        <v>1</v>
      </c>
      <c r="D335">
        <v>14</v>
      </c>
      <c r="E335" t="s">
        <v>401</v>
      </c>
      <c r="F335" s="31">
        <v>3</v>
      </c>
      <c r="G335">
        <v>10002</v>
      </c>
      <c r="H335" s="30">
        <v>92040010</v>
      </c>
      <c r="I335" s="34" t="s">
        <v>84</v>
      </c>
      <c r="J335" s="35">
        <v>121500</v>
      </c>
      <c r="K335" s="1" t="s">
        <v>413</v>
      </c>
      <c r="L335" s="35" t="s">
        <v>418</v>
      </c>
      <c r="M335">
        <v>100</v>
      </c>
      <c r="N335">
        <v>3</v>
      </c>
    </row>
    <row r="336" spans="1:14">
      <c r="A336">
        <f t="shared" si="44"/>
        <v>40115</v>
      </c>
      <c r="B336">
        <f t="shared" si="45"/>
        <v>40101</v>
      </c>
      <c r="C336">
        <v>1</v>
      </c>
      <c r="D336">
        <v>15</v>
      </c>
      <c r="E336" t="s">
        <v>401</v>
      </c>
      <c r="F336" s="31">
        <v>3</v>
      </c>
      <c r="G336">
        <v>10002</v>
      </c>
      <c r="H336" s="30">
        <v>92040010</v>
      </c>
      <c r="I336" s="34" t="s">
        <v>86</v>
      </c>
      <c r="J336" s="35">
        <v>135000</v>
      </c>
      <c r="K336" s="1" t="s">
        <v>419</v>
      </c>
      <c r="L336" s="35" t="s">
        <v>420</v>
      </c>
      <c r="M336">
        <v>100</v>
      </c>
      <c r="N336">
        <v>3</v>
      </c>
    </row>
    <row r="337" spans="1:14">
      <c r="A337">
        <f t="shared" si="44"/>
        <v>40116</v>
      </c>
      <c r="B337">
        <f t="shared" si="45"/>
        <v>40101</v>
      </c>
      <c r="C337">
        <v>1</v>
      </c>
      <c r="D337">
        <v>16</v>
      </c>
      <c r="E337" t="s">
        <v>401</v>
      </c>
      <c r="F337" s="31">
        <v>3</v>
      </c>
      <c r="G337">
        <v>10002</v>
      </c>
      <c r="H337" s="30">
        <v>92040010</v>
      </c>
      <c r="I337" s="34" t="s">
        <v>89</v>
      </c>
      <c r="J337" s="35">
        <v>153000</v>
      </c>
      <c r="K337" s="1" t="s">
        <v>419</v>
      </c>
      <c r="L337" s="35" t="s">
        <v>421</v>
      </c>
      <c r="M337">
        <v>100</v>
      </c>
      <c r="N337">
        <v>3</v>
      </c>
    </row>
    <row r="338" spans="1:14">
      <c r="A338">
        <f t="shared" si="44"/>
        <v>40117</v>
      </c>
      <c r="B338">
        <f t="shared" si="45"/>
        <v>40101</v>
      </c>
      <c r="C338">
        <v>1</v>
      </c>
      <c r="D338">
        <v>17</v>
      </c>
      <c r="E338" t="s">
        <v>401</v>
      </c>
      <c r="F338" s="31">
        <v>3</v>
      </c>
      <c r="G338">
        <v>10002</v>
      </c>
      <c r="H338" s="30">
        <v>92040010</v>
      </c>
      <c r="I338" s="34" t="s">
        <v>91</v>
      </c>
      <c r="J338" s="35">
        <v>171000</v>
      </c>
      <c r="K338" s="1" t="s">
        <v>419</v>
      </c>
      <c r="L338" s="35" t="s">
        <v>422</v>
      </c>
      <c r="M338">
        <v>100</v>
      </c>
      <c r="N338">
        <v>3</v>
      </c>
    </row>
    <row r="339" spans="1:14">
      <c r="A339">
        <f t="shared" si="44"/>
        <v>40118</v>
      </c>
      <c r="B339">
        <f t="shared" si="45"/>
        <v>40101</v>
      </c>
      <c r="C339">
        <v>1</v>
      </c>
      <c r="D339">
        <v>18</v>
      </c>
      <c r="E339" t="s">
        <v>401</v>
      </c>
      <c r="F339" s="31">
        <v>3</v>
      </c>
      <c r="G339">
        <v>10002</v>
      </c>
      <c r="H339" s="30">
        <v>92040010</v>
      </c>
      <c r="I339" s="34" t="s">
        <v>93</v>
      </c>
      <c r="J339" s="35">
        <v>189000</v>
      </c>
      <c r="K339" s="1" t="s">
        <v>419</v>
      </c>
      <c r="L339" s="35" t="s">
        <v>423</v>
      </c>
      <c r="M339">
        <v>100</v>
      </c>
      <c r="N339">
        <v>3</v>
      </c>
    </row>
    <row r="340" spans="1:14">
      <c r="A340">
        <f t="shared" si="44"/>
        <v>40119</v>
      </c>
      <c r="B340">
        <f t="shared" si="45"/>
        <v>40101</v>
      </c>
      <c r="C340">
        <v>1</v>
      </c>
      <c r="D340">
        <v>19</v>
      </c>
      <c r="E340" t="s">
        <v>401</v>
      </c>
      <c r="F340" s="31">
        <v>3</v>
      </c>
      <c r="G340">
        <v>10002</v>
      </c>
      <c r="H340" s="30">
        <v>92040010</v>
      </c>
      <c r="I340" s="34" t="s">
        <v>95</v>
      </c>
      <c r="J340" s="35">
        <v>207000</v>
      </c>
      <c r="K340" s="1" t="s">
        <v>419</v>
      </c>
      <c r="L340" s="35" t="s">
        <v>424</v>
      </c>
      <c r="M340">
        <v>100</v>
      </c>
      <c r="N340">
        <v>3</v>
      </c>
    </row>
    <row r="341" spans="1:14">
      <c r="A341">
        <f t="shared" si="44"/>
        <v>40120</v>
      </c>
      <c r="B341">
        <f t="shared" si="45"/>
        <v>40101</v>
      </c>
      <c r="C341">
        <v>1</v>
      </c>
      <c r="D341">
        <v>20</v>
      </c>
      <c r="E341" t="s">
        <v>401</v>
      </c>
      <c r="F341" s="31">
        <v>3</v>
      </c>
      <c r="G341">
        <v>10002</v>
      </c>
      <c r="H341" s="30">
        <v>92040010</v>
      </c>
      <c r="I341" s="34" t="s">
        <v>97</v>
      </c>
      <c r="J341" s="35">
        <v>225000</v>
      </c>
      <c r="K341" s="36" t="s">
        <v>98</v>
      </c>
      <c r="L341" s="35" t="s">
        <v>425</v>
      </c>
      <c r="M341">
        <v>0</v>
      </c>
      <c r="N341">
        <v>3</v>
      </c>
    </row>
    <row r="342" spans="1:14">
      <c r="A342">
        <f t="shared" si="44"/>
        <v>40201</v>
      </c>
      <c r="B342">
        <f t="shared" si="45"/>
        <v>40201</v>
      </c>
      <c r="C342">
        <v>1</v>
      </c>
      <c r="D342">
        <v>1</v>
      </c>
      <c r="E342" t="s">
        <v>426</v>
      </c>
      <c r="F342" s="32">
        <v>4</v>
      </c>
      <c r="G342">
        <v>10003</v>
      </c>
      <c r="H342" s="30">
        <v>92020010</v>
      </c>
      <c r="I342" s="34" t="s">
        <v>20</v>
      </c>
      <c r="J342" s="35">
        <v>6750</v>
      </c>
      <c r="K342" s="1" t="s">
        <v>427</v>
      </c>
      <c r="L342" s="35" t="s">
        <v>428</v>
      </c>
      <c r="M342">
        <v>100</v>
      </c>
      <c r="N342">
        <v>5</v>
      </c>
    </row>
    <row r="343" spans="1:14">
      <c r="A343">
        <f t="shared" si="44"/>
        <v>40202</v>
      </c>
      <c r="B343">
        <f t="shared" si="45"/>
        <v>40201</v>
      </c>
      <c r="C343">
        <v>1</v>
      </c>
      <c r="D343">
        <v>2</v>
      </c>
      <c r="E343" t="s">
        <v>426</v>
      </c>
      <c r="F343" s="32">
        <v>4</v>
      </c>
      <c r="G343">
        <v>10003</v>
      </c>
      <c r="H343" s="30">
        <v>92020010</v>
      </c>
      <c r="I343" s="34" t="s">
        <v>63</v>
      </c>
      <c r="J343" s="35">
        <v>13500</v>
      </c>
      <c r="K343" s="1" t="s">
        <v>427</v>
      </c>
      <c r="L343" s="35" t="s">
        <v>429</v>
      </c>
      <c r="M343">
        <v>100</v>
      </c>
      <c r="N343">
        <v>5</v>
      </c>
    </row>
    <row r="344" spans="1:14">
      <c r="A344">
        <f t="shared" si="44"/>
        <v>40203</v>
      </c>
      <c r="B344">
        <f t="shared" si="45"/>
        <v>40201</v>
      </c>
      <c r="C344">
        <v>1</v>
      </c>
      <c r="D344">
        <v>3</v>
      </c>
      <c r="E344" t="s">
        <v>426</v>
      </c>
      <c r="F344" s="32">
        <v>4</v>
      </c>
      <c r="G344">
        <v>10003</v>
      </c>
      <c r="H344" s="30">
        <v>92020010</v>
      </c>
      <c r="I344" s="34" t="s">
        <v>29</v>
      </c>
      <c r="J344" s="35">
        <v>20250</v>
      </c>
      <c r="K344" s="1" t="s">
        <v>427</v>
      </c>
      <c r="L344" s="35" t="s">
        <v>430</v>
      </c>
      <c r="M344">
        <v>100</v>
      </c>
      <c r="N344">
        <v>5</v>
      </c>
    </row>
    <row r="345" spans="1:14">
      <c r="A345">
        <f t="shared" si="44"/>
        <v>40204</v>
      </c>
      <c r="B345">
        <f t="shared" si="45"/>
        <v>40201</v>
      </c>
      <c r="C345">
        <v>1</v>
      </c>
      <c r="D345">
        <v>4</v>
      </c>
      <c r="E345" t="s">
        <v>426</v>
      </c>
      <c r="F345" s="32">
        <v>4</v>
      </c>
      <c r="G345">
        <v>10003</v>
      </c>
      <c r="H345" s="30">
        <v>92020010</v>
      </c>
      <c r="I345" s="34" t="s">
        <v>105</v>
      </c>
      <c r="J345" s="35">
        <v>27000</v>
      </c>
      <c r="K345" s="1" t="s">
        <v>427</v>
      </c>
      <c r="L345" s="35" t="s">
        <v>431</v>
      </c>
      <c r="M345">
        <v>100</v>
      </c>
      <c r="N345">
        <v>5</v>
      </c>
    </row>
    <row r="346" spans="1:14">
      <c r="A346">
        <f t="shared" si="44"/>
        <v>40205</v>
      </c>
      <c r="B346">
        <f t="shared" si="45"/>
        <v>40201</v>
      </c>
      <c r="C346">
        <v>1</v>
      </c>
      <c r="D346">
        <v>5</v>
      </c>
      <c r="E346" t="s">
        <v>426</v>
      </c>
      <c r="F346" s="32">
        <v>4</v>
      </c>
      <c r="G346">
        <v>10003</v>
      </c>
      <c r="H346" s="30">
        <v>92020010</v>
      </c>
      <c r="I346" s="34" t="s">
        <v>35</v>
      </c>
      <c r="J346" s="35">
        <v>33750</v>
      </c>
      <c r="K346" s="1" t="s">
        <v>432</v>
      </c>
      <c r="L346" s="35" t="s">
        <v>433</v>
      </c>
      <c r="M346">
        <v>100</v>
      </c>
      <c r="N346">
        <v>5</v>
      </c>
    </row>
    <row r="347" spans="1:14">
      <c r="A347">
        <f t="shared" si="44"/>
        <v>40206</v>
      </c>
      <c r="B347">
        <f t="shared" si="45"/>
        <v>40201</v>
      </c>
      <c r="C347">
        <v>1</v>
      </c>
      <c r="D347">
        <v>6</v>
      </c>
      <c r="E347" t="s">
        <v>426</v>
      </c>
      <c r="F347" s="32">
        <v>4</v>
      </c>
      <c r="G347">
        <v>10003</v>
      </c>
      <c r="H347" s="30">
        <v>92020010</v>
      </c>
      <c r="I347" s="34" t="s">
        <v>40</v>
      </c>
      <c r="J347" s="35">
        <v>47250</v>
      </c>
      <c r="K347" s="1" t="s">
        <v>432</v>
      </c>
      <c r="L347" s="35" t="s">
        <v>434</v>
      </c>
      <c r="M347">
        <v>100</v>
      </c>
      <c r="N347">
        <v>5</v>
      </c>
    </row>
    <row r="348" spans="1:14">
      <c r="A348">
        <f t="shared" si="44"/>
        <v>40207</v>
      </c>
      <c r="B348">
        <f t="shared" si="45"/>
        <v>40201</v>
      </c>
      <c r="C348">
        <v>1</v>
      </c>
      <c r="D348">
        <v>7</v>
      </c>
      <c r="E348" t="s">
        <v>426</v>
      </c>
      <c r="F348" s="32">
        <v>4</v>
      </c>
      <c r="G348">
        <v>10003</v>
      </c>
      <c r="H348" s="30">
        <v>92020010</v>
      </c>
      <c r="I348" s="34" t="s">
        <v>44</v>
      </c>
      <c r="J348" s="35">
        <v>60750</v>
      </c>
      <c r="K348" s="1" t="s">
        <v>432</v>
      </c>
      <c r="L348" s="35" t="s">
        <v>435</v>
      </c>
      <c r="M348">
        <v>100</v>
      </c>
      <c r="N348">
        <v>5</v>
      </c>
    </row>
    <row r="349" spans="1:14">
      <c r="A349">
        <f t="shared" si="44"/>
        <v>40208</v>
      </c>
      <c r="B349">
        <f t="shared" si="45"/>
        <v>40201</v>
      </c>
      <c r="C349">
        <v>1</v>
      </c>
      <c r="D349">
        <v>8</v>
      </c>
      <c r="E349" t="s">
        <v>426</v>
      </c>
      <c r="F349" s="32">
        <v>4</v>
      </c>
      <c r="G349">
        <v>10003</v>
      </c>
      <c r="H349" s="30">
        <v>92020010</v>
      </c>
      <c r="I349" s="34" t="s">
        <v>111</v>
      </c>
      <c r="J349" s="35">
        <v>74250</v>
      </c>
      <c r="K349" s="1" t="s">
        <v>432</v>
      </c>
      <c r="L349" s="35" t="s">
        <v>436</v>
      </c>
      <c r="M349">
        <v>100</v>
      </c>
      <c r="N349">
        <v>5</v>
      </c>
    </row>
    <row r="350" spans="1:14">
      <c r="A350">
        <f t="shared" si="44"/>
        <v>40209</v>
      </c>
      <c r="B350">
        <f t="shared" si="45"/>
        <v>40201</v>
      </c>
      <c r="C350">
        <v>1</v>
      </c>
      <c r="D350">
        <v>9</v>
      </c>
      <c r="E350" t="s">
        <v>426</v>
      </c>
      <c r="F350" s="32">
        <v>4</v>
      </c>
      <c r="G350">
        <v>10003</v>
      </c>
      <c r="H350" s="30">
        <v>92020010</v>
      </c>
      <c r="I350" s="34" t="s">
        <v>113</v>
      </c>
      <c r="J350" s="35">
        <v>87750</v>
      </c>
      <c r="K350" s="1" t="s">
        <v>432</v>
      </c>
      <c r="L350" s="35" t="s">
        <v>437</v>
      </c>
      <c r="M350">
        <v>100</v>
      </c>
      <c r="N350">
        <v>5</v>
      </c>
    </row>
    <row r="351" spans="1:14">
      <c r="A351">
        <f t="shared" si="44"/>
        <v>40210</v>
      </c>
      <c r="B351">
        <f t="shared" si="45"/>
        <v>40201</v>
      </c>
      <c r="C351">
        <v>1</v>
      </c>
      <c r="D351">
        <v>10</v>
      </c>
      <c r="E351" t="s">
        <v>426</v>
      </c>
      <c r="F351" s="32">
        <v>4</v>
      </c>
      <c r="G351">
        <v>10003</v>
      </c>
      <c r="H351" s="30">
        <v>92020010</v>
      </c>
      <c r="I351" s="34" t="s">
        <v>115</v>
      </c>
      <c r="J351" s="35">
        <v>101250</v>
      </c>
      <c r="K351" s="1" t="s">
        <v>438</v>
      </c>
      <c r="L351" s="35" t="s">
        <v>439</v>
      </c>
      <c r="M351">
        <v>100</v>
      </c>
      <c r="N351">
        <v>5</v>
      </c>
    </row>
    <row r="352" spans="1:14">
      <c r="A352">
        <f t="shared" ref="A352:A371" si="46">A252+10000</f>
        <v>40211</v>
      </c>
      <c r="B352">
        <f t="shared" ref="B352:B371" si="47">B252+10000</f>
        <v>40201</v>
      </c>
      <c r="C352">
        <v>1</v>
      </c>
      <c r="D352">
        <v>11</v>
      </c>
      <c r="E352" t="s">
        <v>426</v>
      </c>
      <c r="F352" s="32">
        <v>4</v>
      </c>
      <c r="G352">
        <v>10003</v>
      </c>
      <c r="H352" s="30">
        <v>92020010</v>
      </c>
      <c r="I352" s="34" t="s">
        <v>84</v>
      </c>
      <c r="J352" s="35">
        <v>121500</v>
      </c>
      <c r="K352" s="1" t="s">
        <v>438</v>
      </c>
      <c r="L352" s="35" t="s">
        <v>440</v>
      </c>
      <c r="M352">
        <v>100</v>
      </c>
      <c r="N352">
        <v>5</v>
      </c>
    </row>
    <row r="353" spans="1:14">
      <c r="A353">
        <f t="shared" si="46"/>
        <v>40212</v>
      </c>
      <c r="B353">
        <f t="shared" si="47"/>
        <v>40201</v>
      </c>
      <c r="C353">
        <v>1</v>
      </c>
      <c r="D353">
        <v>12</v>
      </c>
      <c r="E353" t="s">
        <v>426</v>
      </c>
      <c r="F353" s="32">
        <v>4</v>
      </c>
      <c r="G353">
        <v>10003</v>
      </c>
      <c r="H353" s="30">
        <v>92020010</v>
      </c>
      <c r="I353" s="34" t="s">
        <v>119</v>
      </c>
      <c r="J353" s="35">
        <v>141750</v>
      </c>
      <c r="K353" s="1" t="s">
        <v>438</v>
      </c>
      <c r="L353" s="35" t="s">
        <v>441</v>
      </c>
      <c r="M353">
        <v>100</v>
      </c>
      <c r="N353">
        <v>5</v>
      </c>
    </row>
    <row r="354" spans="1:14">
      <c r="A354">
        <f t="shared" si="46"/>
        <v>40213</v>
      </c>
      <c r="B354">
        <f t="shared" si="47"/>
        <v>40201</v>
      </c>
      <c r="C354">
        <v>1</v>
      </c>
      <c r="D354">
        <v>13</v>
      </c>
      <c r="E354" t="s">
        <v>426</v>
      </c>
      <c r="F354" s="32">
        <v>4</v>
      </c>
      <c r="G354">
        <v>10003</v>
      </c>
      <c r="H354" s="30">
        <v>92020010</v>
      </c>
      <c r="I354" s="34" t="s">
        <v>121</v>
      </c>
      <c r="J354" s="35">
        <v>162000</v>
      </c>
      <c r="K354" s="1" t="s">
        <v>438</v>
      </c>
      <c r="L354" s="35" t="s">
        <v>442</v>
      </c>
      <c r="M354">
        <v>100</v>
      </c>
      <c r="N354">
        <v>5</v>
      </c>
    </row>
    <row r="355" spans="1:14">
      <c r="A355">
        <f t="shared" si="46"/>
        <v>40214</v>
      </c>
      <c r="B355">
        <f t="shared" si="47"/>
        <v>40201</v>
      </c>
      <c r="C355">
        <v>1</v>
      </c>
      <c r="D355">
        <v>14</v>
      </c>
      <c r="E355" t="s">
        <v>426</v>
      </c>
      <c r="F355" s="32">
        <v>4</v>
      </c>
      <c r="G355">
        <v>10003</v>
      </c>
      <c r="H355" s="30">
        <v>92020010</v>
      </c>
      <c r="I355" s="34" t="s">
        <v>123</v>
      </c>
      <c r="J355" s="35">
        <v>182250</v>
      </c>
      <c r="K355" s="1" t="s">
        <v>438</v>
      </c>
      <c r="L355" s="35" t="s">
        <v>443</v>
      </c>
      <c r="M355">
        <v>100</v>
      </c>
      <c r="N355">
        <v>5</v>
      </c>
    </row>
    <row r="356" spans="1:14">
      <c r="A356">
        <f t="shared" si="46"/>
        <v>40215</v>
      </c>
      <c r="B356">
        <f t="shared" si="47"/>
        <v>40201</v>
      </c>
      <c r="C356">
        <v>1</v>
      </c>
      <c r="D356">
        <v>15</v>
      </c>
      <c r="E356" t="s">
        <v>426</v>
      </c>
      <c r="F356" s="32">
        <v>4</v>
      </c>
      <c r="G356">
        <v>10003</v>
      </c>
      <c r="H356" s="30">
        <v>92020010</v>
      </c>
      <c r="I356" s="34" t="s">
        <v>125</v>
      </c>
      <c r="J356" s="35">
        <v>202500</v>
      </c>
      <c r="K356" s="1" t="s">
        <v>444</v>
      </c>
      <c r="L356" s="35" t="s">
        <v>445</v>
      </c>
      <c r="M356">
        <v>100</v>
      </c>
      <c r="N356">
        <v>5</v>
      </c>
    </row>
    <row r="357" spans="1:14">
      <c r="A357">
        <f t="shared" si="46"/>
        <v>40216</v>
      </c>
      <c r="B357">
        <f t="shared" si="47"/>
        <v>40201</v>
      </c>
      <c r="C357">
        <v>1</v>
      </c>
      <c r="D357">
        <v>16</v>
      </c>
      <c r="E357" t="s">
        <v>426</v>
      </c>
      <c r="F357" s="32">
        <v>4</v>
      </c>
      <c r="G357">
        <v>10003</v>
      </c>
      <c r="H357" s="30">
        <v>92020010</v>
      </c>
      <c r="I357" s="34" t="s">
        <v>128</v>
      </c>
      <c r="J357" s="35">
        <v>229500</v>
      </c>
      <c r="K357" s="1" t="s">
        <v>444</v>
      </c>
      <c r="L357" s="35" t="s">
        <v>446</v>
      </c>
      <c r="M357">
        <v>100</v>
      </c>
      <c r="N357">
        <v>5</v>
      </c>
    </row>
    <row r="358" spans="1:14">
      <c r="A358">
        <f t="shared" si="46"/>
        <v>40217</v>
      </c>
      <c r="B358">
        <f t="shared" si="47"/>
        <v>40201</v>
      </c>
      <c r="C358">
        <v>1</v>
      </c>
      <c r="D358">
        <v>17</v>
      </c>
      <c r="E358" t="s">
        <v>426</v>
      </c>
      <c r="F358" s="32">
        <v>4</v>
      </c>
      <c r="G358">
        <v>10003</v>
      </c>
      <c r="H358" s="30">
        <v>92020010</v>
      </c>
      <c r="I358" s="34" t="s">
        <v>130</v>
      </c>
      <c r="J358" s="35">
        <v>256500</v>
      </c>
      <c r="K358" s="1" t="s">
        <v>444</v>
      </c>
      <c r="L358" s="35" t="s">
        <v>447</v>
      </c>
      <c r="M358">
        <v>100</v>
      </c>
      <c r="N358">
        <v>5</v>
      </c>
    </row>
    <row r="359" spans="1:14">
      <c r="A359">
        <f t="shared" si="46"/>
        <v>40218</v>
      </c>
      <c r="B359">
        <f t="shared" si="47"/>
        <v>40201</v>
      </c>
      <c r="C359">
        <v>1</v>
      </c>
      <c r="D359">
        <v>18</v>
      </c>
      <c r="E359" t="s">
        <v>426</v>
      </c>
      <c r="F359" s="32">
        <v>4</v>
      </c>
      <c r="G359">
        <v>10003</v>
      </c>
      <c r="H359" s="30">
        <v>92020010</v>
      </c>
      <c r="I359" s="34" t="s">
        <v>132</v>
      </c>
      <c r="J359" s="35">
        <v>283500</v>
      </c>
      <c r="K359" s="1" t="s">
        <v>444</v>
      </c>
      <c r="L359" s="35" t="s">
        <v>448</v>
      </c>
      <c r="M359">
        <v>100</v>
      </c>
      <c r="N359">
        <v>5</v>
      </c>
    </row>
    <row r="360" spans="1:14">
      <c r="A360">
        <f t="shared" si="46"/>
        <v>40219</v>
      </c>
      <c r="B360">
        <f t="shared" si="47"/>
        <v>40201</v>
      </c>
      <c r="C360">
        <v>1</v>
      </c>
      <c r="D360">
        <v>19</v>
      </c>
      <c r="E360" t="s">
        <v>426</v>
      </c>
      <c r="F360" s="32">
        <v>4</v>
      </c>
      <c r="G360">
        <v>10003</v>
      </c>
      <c r="H360" s="30">
        <v>92020010</v>
      </c>
      <c r="I360" s="34" t="s">
        <v>134</v>
      </c>
      <c r="J360" s="35">
        <v>310500</v>
      </c>
      <c r="K360" s="1" t="s">
        <v>444</v>
      </c>
      <c r="L360" s="35" t="s">
        <v>449</v>
      </c>
      <c r="M360">
        <v>100</v>
      </c>
      <c r="N360">
        <v>5</v>
      </c>
    </row>
    <row r="361" spans="1:14">
      <c r="A361">
        <f t="shared" si="46"/>
        <v>40220</v>
      </c>
      <c r="B361">
        <f t="shared" si="47"/>
        <v>40201</v>
      </c>
      <c r="C361">
        <v>1</v>
      </c>
      <c r="D361">
        <v>20</v>
      </c>
      <c r="E361" t="s">
        <v>426</v>
      </c>
      <c r="F361" s="32">
        <v>4</v>
      </c>
      <c r="G361">
        <v>10003</v>
      </c>
      <c r="H361" s="30">
        <v>92020010</v>
      </c>
      <c r="I361" s="34" t="s">
        <v>136</v>
      </c>
      <c r="J361" s="35">
        <v>337500</v>
      </c>
      <c r="K361" s="36" t="s">
        <v>98</v>
      </c>
      <c r="L361" s="35" t="s">
        <v>450</v>
      </c>
      <c r="M361">
        <v>0</v>
      </c>
      <c r="N361">
        <v>5</v>
      </c>
    </row>
    <row r="362" spans="1:14">
      <c r="A362">
        <f t="shared" si="46"/>
        <v>40301</v>
      </c>
      <c r="B362">
        <f t="shared" si="47"/>
        <v>40301</v>
      </c>
      <c r="C362">
        <v>1</v>
      </c>
      <c r="D362">
        <v>1</v>
      </c>
      <c r="E362" t="s">
        <v>451</v>
      </c>
      <c r="F362" s="33">
        <v>5</v>
      </c>
      <c r="G362">
        <v>10004</v>
      </c>
      <c r="H362" s="30">
        <v>92010010</v>
      </c>
      <c r="I362" s="34" t="s">
        <v>22</v>
      </c>
      <c r="J362" s="35">
        <v>9000</v>
      </c>
      <c r="K362" s="1" t="s">
        <v>452</v>
      </c>
      <c r="L362" s="35" t="s">
        <v>453</v>
      </c>
      <c r="M362">
        <v>100</v>
      </c>
      <c r="N362">
        <v>7</v>
      </c>
    </row>
    <row r="363" spans="1:14">
      <c r="A363">
        <f t="shared" si="46"/>
        <v>40302</v>
      </c>
      <c r="B363">
        <f t="shared" si="47"/>
        <v>40301</v>
      </c>
      <c r="C363">
        <v>1</v>
      </c>
      <c r="D363">
        <v>2</v>
      </c>
      <c r="E363" t="s">
        <v>451</v>
      </c>
      <c r="F363" s="33">
        <v>5</v>
      </c>
      <c r="G363">
        <v>10004</v>
      </c>
      <c r="H363" s="30">
        <v>92010010</v>
      </c>
      <c r="I363" s="34" t="s">
        <v>65</v>
      </c>
      <c r="J363" s="35">
        <v>18000</v>
      </c>
      <c r="K363" s="1" t="s">
        <v>452</v>
      </c>
      <c r="L363" s="35" t="s">
        <v>454</v>
      </c>
      <c r="M363">
        <v>100</v>
      </c>
      <c r="N363">
        <v>7</v>
      </c>
    </row>
    <row r="364" spans="1:14">
      <c r="A364">
        <f t="shared" si="46"/>
        <v>40303</v>
      </c>
      <c r="B364">
        <f t="shared" si="47"/>
        <v>40301</v>
      </c>
      <c r="C364">
        <v>1</v>
      </c>
      <c r="D364">
        <v>3</v>
      </c>
      <c r="E364" t="s">
        <v>451</v>
      </c>
      <c r="F364" s="33">
        <v>5</v>
      </c>
      <c r="G364">
        <v>10004</v>
      </c>
      <c r="H364" s="30">
        <v>92010010</v>
      </c>
      <c r="I364" s="34" t="s">
        <v>105</v>
      </c>
      <c r="J364" s="35">
        <v>27000</v>
      </c>
      <c r="K364" s="1" t="s">
        <v>452</v>
      </c>
      <c r="L364" s="35" t="s">
        <v>455</v>
      </c>
      <c r="M364">
        <v>100</v>
      </c>
      <c r="N364">
        <v>7</v>
      </c>
    </row>
    <row r="365" spans="1:14">
      <c r="A365">
        <f t="shared" si="46"/>
        <v>40304</v>
      </c>
      <c r="B365">
        <f t="shared" si="47"/>
        <v>40301</v>
      </c>
      <c r="C365">
        <v>1</v>
      </c>
      <c r="D365">
        <v>4</v>
      </c>
      <c r="E365" t="s">
        <v>451</v>
      </c>
      <c r="F365" s="33">
        <v>5</v>
      </c>
      <c r="G365">
        <v>10004</v>
      </c>
      <c r="H365" s="30">
        <v>92010010</v>
      </c>
      <c r="I365" s="34" t="s">
        <v>143</v>
      </c>
      <c r="J365" s="35">
        <v>36000</v>
      </c>
      <c r="K365" s="1" t="s">
        <v>452</v>
      </c>
      <c r="L365" s="35" t="s">
        <v>456</v>
      </c>
      <c r="M365">
        <v>100</v>
      </c>
      <c r="N365">
        <v>7</v>
      </c>
    </row>
    <row r="366" spans="1:14">
      <c r="A366">
        <f t="shared" si="46"/>
        <v>40305</v>
      </c>
      <c r="B366">
        <f t="shared" si="47"/>
        <v>40301</v>
      </c>
      <c r="C366">
        <v>1</v>
      </c>
      <c r="D366">
        <v>5</v>
      </c>
      <c r="E366" t="s">
        <v>451</v>
      </c>
      <c r="F366" s="33">
        <v>5</v>
      </c>
      <c r="G366">
        <v>10004</v>
      </c>
      <c r="H366" s="30">
        <v>92010010</v>
      </c>
      <c r="I366" s="34" t="s">
        <v>145</v>
      </c>
      <c r="J366" s="35">
        <v>45000</v>
      </c>
      <c r="K366" s="1" t="s">
        <v>457</v>
      </c>
      <c r="L366" s="35" t="s">
        <v>458</v>
      </c>
      <c r="M366">
        <v>100</v>
      </c>
      <c r="N366">
        <v>7</v>
      </c>
    </row>
    <row r="367" spans="1:14">
      <c r="A367">
        <f t="shared" si="46"/>
        <v>40306</v>
      </c>
      <c r="B367">
        <f t="shared" si="47"/>
        <v>40301</v>
      </c>
      <c r="C367">
        <v>1</v>
      </c>
      <c r="D367">
        <v>6</v>
      </c>
      <c r="E367" t="s">
        <v>451</v>
      </c>
      <c r="F367" s="33">
        <v>5</v>
      </c>
      <c r="G367">
        <v>10004</v>
      </c>
      <c r="H367" s="30">
        <v>92010010</v>
      </c>
      <c r="I367" s="34" t="s">
        <v>148</v>
      </c>
      <c r="J367" s="35">
        <v>63000</v>
      </c>
      <c r="K367" s="1" t="s">
        <v>457</v>
      </c>
      <c r="L367" s="35" t="s">
        <v>459</v>
      </c>
      <c r="M367">
        <v>100</v>
      </c>
      <c r="N367">
        <v>7</v>
      </c>
    </row>
    <row r="368" spans="1:14">
      <c r="A368">
        <f t="shared" si="46"/>
        <v>40307</v>
      </c>
      <c r="B368">
        <f t="shared" si="47"/>
        <v>40301</v>
      </c>
      <c r="C368">
        <v>1</v>
      </c>
      <c r="D368">
        <v>7</v>
      </c>
      <c r="E368" t="s">
        <v>451</v>
      </c>
      <c r="F368" s="33">
        <v>5</v>
      </c>
      <c r="G368">
        <v>10004</v>
      </c>
      <c r="H368" s="30">
        <v>92010010</v>
      </c>
      <c r="I368" s="34" t="s">
        <v>79</v>
      </c>
      <c r="J368" s="35">
        <v>81000</v>
      </c>
      <c r="K368" s="1" t="s">
        <v>457</v>
      </c>
      <c r="L368" s="35" t="s">
        <v>460</v>
      </c>
      <c r="M368">
        <v>100</v>
      </c>
      <c r="N368">
        <v>7</v>
      </c>
    </row>
    <row r="369" spans="1:14">
      <c r="A369">
        <f t="shared" si="46"/>
        <v>40308</v>
      </c>
      <c r="B369">
        <f t="shared" si="47"/>
        <v>40301</v>
      </c>
      <c r="C369">
        <v>1</v>
      </c>
      <c r="D369">
        <v>8</v>
      </c>
      <c r="E369" t="s">
        <v>451</v>
      </c>
      <c r="F369" s="33">
        <v>5</v>
      </c>
      <c r="G369">
        <v>10004</v>
      </c>
      <c r="H369" s="30">
        <v>92010010</v>
      </c>
      <c r="I369" s="34" t="s">
        <v>151</v>
      </c>
      <c r="J369" s="35">
        <v>99000</v>
      </c>
      <c r="K369" s="1" t="s">
        <v>457</v>
      </c>
      <c r="L369" s="35" t="s">
        <v>461</v>
      </c>
      <c r="M369">
        <v>100</v>
      </c>
      <c r="N369">
        <v>7</v>
      </c>
    </row>
    <row r="370" spans="1:14">
      <c r="A370">
        <f t="shared" si="46"/>
        <v>40309</v>
      </c>
      <c r="B370">
        <f t="shared" si="47"/>
        <v>40301</v>
      </c>
      <c r="C370">
        <v>1</v>
      </c>
      <c r="D370">
        <v>9</v>
      </c>
      <c r="E370" t="s">
        <v>451</v>
      </c>
      <c r="F370" s="33">
        <v>5</v>
      </c>
      <c r="G370">
        <v>10004</v>
      </c>
      <c r="H370" s="30">
        <v>92010010</v>
      </c>
      <c r="I370" s="34" t="s">
        <v>153</v>
      </c>
      <c r="J370" s="35">
        <v>117000</v>
      </c>
      <c r="K370" s="1" t="s">
        <v>457</v>
      </c>
      <c r="L370" s="35" t="s">
        <v>462</v>
      </c>
      <c r="M370">
        <v>100</v>
      </c>
      <c r="N370">
        <v>7</v>
      </c>
    </row>
    <row r="371" spans="1:14">
      <c r="A371">
        <f t="shared" si="46"/>
        <v>40310</v>
      </c>
      <c r="B371">
        <f t="shared" si="47"/>
        <v>40301</v>
      </c>
      <c r="C371">
        <v>1</v>
      </c>
      <c r="D371">
        <v>10</v>
      </c>
      <c r="E371" t="s">
        <v>451</v>
      </c>
      <c r="F371" s="33">
        <v>5</v>
      </c>
      <c r="G371">
        <v>10004</v>
      </c>
      <c r="H371" s="30">
        <v>92010010</v>
      </c>
      <c r="I371" s="34" t="s">
        <v>86</v>
      </c>
      <c r="J371" s="35">
        <v>135000</v>
      </c>
      <c r="K371" s="1" t="s">
        <v>463</v>
      </c>
      <c r="L371" s="35" t="s">
        <v>464</v>
      </c>
      <c r="M371">
        <v>100</v>
      </c>
      <c r="N371">
        <v>7</v>
      </c>
    </row>
    <row r="372" spans="1:14">
      <c r="A372">
        <f t="shared" ref="A372:A401" si="48">A272+10000</f>
        <v>40311</v>
      </c>
      <c r="B372">
        <f t="shared" ref="B372:B401" si="49">B272+10000</f>
        <v>40301</v>
      </c>
      <c r="C372">
        <v>1</v>
      </c>
      <c r="D372">
        <v>11</v>
      </c>
      <c r="E372" t="s">
        <v>451</v>
      </c>
      <c r="F372" s="33">
        <v>5</v>
      </c>
      <c r="G372">
        <v>10004</v>
      </c>
      <c r="H372" s="30">
        <v>92010010</v>
      </c>
      <c r="I372" s="34" t="s">
        <v>121</v>
      </c>
      <c r="J372" s="35">
        <v>162000</v>
      </c>
      <c r="K372" s="1" t="s">
        <v>463</v>
      </c>
      <c r="L372" s="35" t="s">
        <v>465</v>
      </c>
      <c r="M372">
        <v>100</v>
      </c>
      <c r="N372">
        <v>7</v>
      </c>
    </row>
    <row r="373" spans="1:14">
      <c r="A373">
        <f t="shared" si="48"/>
        <v>40312</v>
      </c>
      <c r="B373">
        <f t="shared" si="49"/>
        <v>40301</v>
      </c>
      <c r="C373">
        <v>1</v>
      </c>
      <c r="D373">
        <v>12</v>
      </c>
      <c r="E373" t="s">
        <v>451</v>
      </c>
      <c r="F373" s="33">
        <v>5</v>
      </c>
      <c r="G373">
        <v>10004</v>
      </c>
      <c r="H373" s="30">
        <v>92010010</v>
      </c>
      <c r="I373" s="34" t="s">
        <v>93</v>
      </c>
      <c r="J373" s="35">
        <v>189000</v>
      </c>
      <c r="K373" s="1" t="s">
        <v>463</v>
      </c>
      <c r="L373" s="35" t="s">
        <v>466</v>
      </c>
      <c r="M373">
        <v>100</v>
      </c>
      <c r="N373">
        <v>7</v>
      </c>
    </row>
    <row r="374" spans="1:14">
      <c r="A374">
        <f t="shared" si="48"/>
        <v>40313</v>
      </c>
      <c r="B374">
        <f t="shared" si="49"/>
        <v>40301</v>
      </c>
      <c r="C374">
        <v>1</v>
      </c>
      <c r="D374">
        <v>13</v>
      </c>
      <c r="E374" t="s">
        <v>451</v>
      </c>
      <c r="F374" s="33">
        <v>5</v>
      </c>
      <c r="G374">
        <v>10004</v>
      </c>
      <c r="H374" s="30">
        <v>92010010</v>
      </c>
      <c r="I374" s="34" t="s">
        <v>159</v>
      </c>
      <c r="J374" s="35">
        <v>216000</v>
      </c>
      <c r="K374" s="1" t="s">
        <v>463</v>
      </c>
      <c r="L374" s="35" t="s">
        <v>467</v>
      </c>
      <c r="M374">
        <v>100</v>
      </c>
      <c r="N374">
        <v>7</v>
      </c>
    </row>
    <row r="375" spans="1:14">
      <c r="A375">
        <f t="shared" si="48"/>
        <v>40314</v>
      </c>
      <c r="B375">
        <f t="shared" si="49"/>
        <v>40301</v>
      </c>
      <c r="C375">
        <v>1</v>
      </c>
      <c r="D375">
        <v>14</v>
      </c>
      <c r="E375" t="s">
        <v>451</v>
      </c>
      <c r="F375" s="33">
        <v>5</v>
      </c>
      <c r="G375">
        <v>10004</v>
      </c>
      <c r="H375" s="30">
        <v>92010010</v>
      </c>
      <c r="I375" s="34" t="s">
        <v>161</v>
      </c>
      <c r="J375" s="35">
        <v>243000</v>
      </c>
      <c r="K375" s="1" t="s">
        <v>463</v>
      </c>
      <c r="L375" s="35" t="s">
        <v>468</v>
      </c>
      <c r="M375">
        <v>100</v>
      </c>
      <c r="N375">
        <v>7</v>
      </c>
    </row>
    <row r="376" spans="1:14">
      <c r="A376">
        <f t="shared" si="48"/>
        <v>40315</v>
      </c>
      <c r="B376">
        <f t="shared" si="49"/>
        <v>40301</v>
      </c>
      <c r="C376">
        <v>1</v>
      </c>
      <c r="D376">
        <v>15</v>
      </c>
      <c r="E376" t="s">
        <v>451</v>
      </c>
      <c r="F376" s="33">
        <v>5</v>
      </c>
      <c r="G376">
        <v>10004</v>
      </c>
      <c r="H376" s="30">
        <v>92010010</v>
      </c>
      <c r="I376" s="34" t="s">
        <v>163</v>
      </c>
      <c r="J376" s="35">
        <v>270000</v>
      </c>
      <c r="K376" s="1" t="s">
        <v>469</v>
      </c>
      <c r="L376" s="35" t="s">
        <v>470</v>
      </c>
      <c r="M376">
        <v>100</v>
      </c>
      <c r="N376">
        <v>7</v>
      </c>
    </row>
    <row r="377" spans="1:14">
      <c r="A377">
        <f t="shared" si="48"/>
        <v>40316</v>
      </c>
      <c r="B377">
        <f t="shared" si="49"/>
        <v>40301</v>
      </c>
      <c r="C377">
        <v>1</v>
      </c>
      <c r="D377">
        <v>16</v>
      </c>
      <c r="E377" t="s">
        <v>451</v>
      </c>
      <c r="F377" s="33">
        <v>5</v>
      </c>
      <c r="G377">
        <v>10004</v>
      </c>
      <c r="H377" s="30">
        <v>92010010</v>
      </c>
      <c r="I377" s="34" t="s">
        <v>166</v>
      </c>
      <c r="J377" s="35">
        <v>306000</v>
      </c>
      <c r="K377" s="1" t="s">
        <v>469</v>
      </c>
      <c r="L377" s="35" t="s">
        <v>471</v>
      </c>
      <c r="M377">
        <v>100</v>
      </c>
      <c r="N377">
        <v>7</v>
      </c>
    </row>
    <row r="378" spans="1:14">
      <c r="A378">
        <f t="shared" si="48"/>
        <v>40317</v>
      </c>
      <c r="B378">
        <f t="shared" si="49"/>
        <v>40301</v>
      </c>
      <c r="C378">
        <v>1</v>
      </c>
      <c r="D378">
        <v>17</v>
      </c>
      <c r="E378" t="s">
        <v>451</v>
      </c>
      <c r="F378" s="33">
        <v>5</v>
      </c>
      <c r="G378">
        <v>10004</v>
      </c>
      <c r="H378" s="30">
        <v>92010010</v>
      </c>
      <c r="I378" s="34" t="s">
        <v>168</v>
      </c>
      <c r="J378" s="35">
        <v>342000</v>
      </c>
      <c r="K378" s="1" t="s">
        <v>469</v>
      </c>
      <c r="L378" s="35" t="s">
        <v>472</v>
      </c>
      <c r="M378">
        <v>100</v>
      </c>
      <c r="N378">
        <v>7</v>
      </c>
    </row>
    <row r="379" spans="1:14">
      <c r="A379">
        <f t="shared" si="48"/>
        <v>40318</v>
      </c>
      <c r="B379">
        <f t="shared" si="49"/>
        <v>40301</v>
      </c>
      <c r="C379">
        <v>1</v>
      </c>
      <c r="D379">
        <v>18</v>
      </c>
      <c r="E379" t="s">
        <v>451</v>
      </c>
      <c r="F379" s="33">
        <v>5</v>
      </c>
      <c r="G379">
        <v>10004</v>
      </c>
      <c r="H379" s="30">
        <v>92010010</v>
      </c>
      <c r="I379" s="34" t="s">
        <v>170</v>
      </c>
      <c r="J379" s="35">
        <v>378000</v>
      </c>
      <c r="K379" s="1" t="s">
        <v>469</v>
      </c>
      <c r="L379" s="35" t="s">
        <v>473</v>
      </c>
      <c r="M379">
        <v>100</v>
      </c>
      <c r="N379">
        <v>7</v>
      </c>
    </row>
    <row r="380" spans="1:14">
      <c r="A380">
        <f t="shared" si="48"/>
        <v>40319</v>
      </c>
      <c r="B380">
        <f t="shared" si="49"/>
        <v>40301</v>
      </c>
      <c r="C380">
        <v>1</v>
      </c>
      <c r="D380">
        <v>19</v>
      </c>
      <c r="E380" t="s">
        <v>451</v>
      </c>
      <c r="F380" s="33">
        <v>5</v>
      </c>
      <c r="G380">
        <v>10004</v>
      </c>
      <c r="H380" s="30">
        <v>92010010</v>
      </c>
      <c r="I380" s="34" t="s">
        <v>172</v>
      </c>
      <c r="J380" s="35">
        <v>414000</v>
      </c>
      <c r="K380" s="1" t="s">
        <v>469</v>
      </c>
      <c r="L380" s="35" t="s">
        <v>474</v>
      </c>
      <c r="M380">
        <v>100</v>
      </c>
      <c r="N380">
        <v>7</v>
      </c>
    </row>
    <row r="381" spans="1:14">
      <c r="A381">
        <f t="shared" si="48"/>
        <v>40320</v>
      </c>
      <c r="B381">
        <f t="shared" si="49"/>
        <v>40301</v>
      </c>
      <c r="C381">
        <v>1</v>
      </c>
      <c r="D381">
        <v>20</v>
      </c>
      <c r="E381" t="s">
        <v>451</v>
      </c>
      <c r="F381" s="33">
        <v>5</v>
      </c>
      <c r="G381">
        <v>10004</v>
      </c>
      <c r="H381" s="30">
        <v>92010010</v>
      </c>
      <c r="I381" s="36" t="s">
        <v>174</v>
      </c>
      <c r="J381" s="35">
        <v>450000</v>
      </c>
      <c r="K381" s="1" t="s">
        <v>848</v>
      </c>
      <c r="L381" s="35" t="s">
        <v>475</v>
      </c>
      <c r="M381">
        <v>100</v>
      </c>
      <c r="N381">
        <v>7</v>
      </c>
    </row>
    <row r="382" spans="1:14">
      <c r="A382">
        <f t="shared" si="48"/>
        <v>40321</v>
      </c>
      <c r="B382">
        <f t="shared" si="49"/>
        <v>40301</v>
      </c>
      <c r="C382">
        <v>1</v>
      </c>
      <c r="D382">
        <v>21</v>
      </c>
      <c r="E382" t="s">
        <v>451</v>
      </c>
      <c r="F382" s="33">
        <v>5</v>
      </c>
      <c r="G382">
        <v>10004</v>
      </c>
      <c r="H382" s="30">
        <v>92010010</v>
      </c>
      <c r="I382" s="36" t="s">
        <v>748</v>
      </c>
      <c r="J382" s="35">
        <v>500000</v>
      </c>
      <c r="K382" s="1" t="s">
        <v>849</v>
      </c>
      <c r="L382" s="35" t="s">
        <v>828</v>
      </c>
      <c r="M382">
        <v>100</v>
      </c>
      <c r="N382">
        <v>7</v>
      </c>
    </row>
    <row r="383" spans="1:14">
      <c r="A383">
        <f t="shared" si="48"/>
        <v>40322</v>
      </c>
      <c r="B383">
        <f t="shared" si="49"/>
        <v>40301</v>
      </c>
      <c r="C383">
        <v>1</v>
      </c>
      <c r="D383">
        <v>22</v>
      </c>
      <c r="E383" t="s">
        <v>451</v>
      </c>
      <c r="F383" s="33">
        <v>5</v>
      </c>
      <c r="G383">
        <v>10004</v>
      </c>
      <c r="H383" s="30">
        <v>92010010</v>
      </c>
      <c r="I383" s="36" t="s">
        <v>749</v>
      </c>
      <c r="J383" s="35">
        <v>600000</v>
      </c>
      <c r="K383" s="1" t="s">
        <v>850</v>
      </c>
      <c r="L383" s="35" t="s">
        <v>829</v>
      </c>
      <c r="M383">
        <v>100</v>
      </c>
      <c r="N383">
        <v>7</v>
      </c>
    </row>
    <row r="384" spans="1:14">
      <c r="A384">
        <f t="shared" si="48"/>
        <v>40323</v>
      </c>
      <c r="B384">
        <f t="shared" si="49"/>
        <v>40301</v>
      </c>
      <c r="C384">
        <v>1</v>
      </c>
      <c r="D384">
        <v>23</v>
      </c>
      <c r="E384" t="s">
        <v>451</v>
      </c>
      <c r="F384" s="33">
        <v>5</v>
      </c>
      <c r="G384">
        <v>10004</v>
      </c>
      <c r="H384" s="30">
        <v>92010010</v>
      </c>
      <c r="I384" s="36" t="s">
        <v>750</v>
      </c>
      <c r="J384" s="35">
        <v>700000</v>
      </c>
      <c r="K384" s="1" t="s">
        <v>851</v>
      </c>
      <c r="L384" s="35" t="s">
        <v>830</v>
      </c>
      <c r="M384">
        <v>100</v>
      </c>
      <c r="N384">
        <v>7</v>
      </c>
    </row>
    <row r="385" spans="1:14">
      <c r="A385">
        <f t="shared" si="48"/>
        <v>40324</v>
      </c>
      <c r="B385">
        <f t="shared" si="49"/>
        <v>40301</v>
      </c>
      <c r="C385">
        <v>1</v>
      </c>
      <c r="D385">
        <v>24</v>
      </c>
      <c r="E385" t="s">
        <v>451</v>
      </c>
      <c r="F385" s="33">
        <v>5</v>
      </c>
      <c r="G385">
        <v>10004</v>
      </c>
      <c r="H385" s="30">
        <v>92010010</v>
      </c>
      <c r="I385" s="36" t="s">
        <v>751</v>
      </c>
      <c r="J385" s="35">
        <v>800000</v>
      </c>
      <c r="K385" s="1" t="s">
        <v>852</v>
      </c>
      <c r="L385" s="35" t="s">
        <v>831</v>
      </c>
      <c r="M385">
        <v>100</v>
      </c>
      <c r="N385">
        <v>7</v>
      </c>
    </row>
    <row r="386" spans="1:14">
      <c r="A386">
        <f t="shared" si="48"/>
        <v>40325</v>
      </c>
      <c r="B386">
        <f t="shared" si="49"/>
        <v>40301</v>
      </c>
      <c r="C386">
        <v>1</v>
      </c>
      <c r="D386">
        <v>25</v>
      </c>
      <c r="E386" t="s">
        <v>451</v>
      </c>
      <c r="F386" s="33">
        <v>5</v>
      </c>
      <c r="G386">
        <v>10004</v>
      </c>
      <c r="H386" s="30">
        <v>92010010</v>
      </c>
      <c r="I386" s="36" t="s">
        <v>752</v>
      </c>
      <c r="J386" s="35">
        <v>900000</v>
      </c>
      <c r="K386" s="1" t="s">
        <v>853</v>
      </c>
      <c r="L386" s="35" t="s">
        <v>832</v>
      </c>
      <c r="M386">
        <v>100</v>
      </c>
      <c r="N386">
        <v>7</v>
      </c>
    </row>
    <row r="387" spans="1:14">
      <c r="A387">
        <f t="shared" si="48"/>
        <v>40326</v>
      </c>
      <c r="B387">
        <f t="shared" si="49"/>
        <v>40301</v>
      </c>
      <c r="C387">
        <v>1</v>
      </c>
      <c r="D387">
        <v>26</v>
      </c>
      <c r="E387" t="s">
        <v>451</v>
      </c>
      <c r="F387" s="33">
        <v>5</v>
      </c>
      <c r="G387">
        <v>10004</v>
      </c>
      <c r="H387" s="30">
        <v>92010010</v>
      </c>
      <c r="I387" s="36" t="s">
        <v>753</v>
      </c>
      <c r="J387" s="35">
        <v>1000000</v>
      </c>
      <c r="K387" s="1" t="s">
        <v>854</v>
      </c>
      <c r="L387" s="35" t="s">
        <v>833</v>
      </c>
      <c r="M387">
        <v>100</v>
      </c>
      <c r="N387">
        <v>7</v>
      </c>
    </row>
    <row r="388" spans="1:14">
      <c r="A388">
        <f t="shared" si="48"/>
        <v>40327</v>
      </c>
      <c r="B388">
        <f t="shared" si="49"/>
        <v>40301</v>
      </c>
      <c r="C388">
        <v>1</v>
      </c>
      <c r="D388">
        <v>27</v>
      </c>
      <c r="E388" t="s">
        <v>451</v>
      </c>
      <c r="F388" s="33">
        <v>5</v>
      </c>
      <c r="G388">
        <v>10004</v>
      </c>
      <c r="H388" s="30">
        <v>92010010</v>
      </c>
      <c r="I388" s="36" t="s">
        <v>754</v>
      </c>
      <c r="J388" s="35">
        <v>1100000</v>
      </c>
      <c r="K388" s="1" t="s">
        <v>855</v>
      </c>
      <c r="L388" s="35" t="s">
        <v>834</v>
      </c>
      <c r="M388">
        <v>100</v>
      </c>
      <c r="N388">
        <v>7</v>
      </c>
    </row>
    <row r="389" spans="1:14">
      <c r="A389">
        <f t="shared" si="48"/>
        <v>40328</v>
      </c>
      <c r="B389">
        <f t="shared" si="49"/>
        <v>40301</v>
      </c>
      <c r="C389">
        <v>1</v>
      </c>
      <c r="D389">
        <v>28</v>
      </c>
      <c r="E389" t="s">
        <v>451</v>
      </c>
      <c r="F389" s="33">
        <v>5</v>
      </c>
      <c r="G389">
        <v>10004</v>
      </c>
      <c r="H389" s="30">
        <v>92010010</v>
      </c>
      <c r="I389" s="36" t="s">
        <v>755</v>
      </c>
      <c r="J389" s="35">
        <v>1200000</v>
      </c>
      <c r="K389" s="1" t="s">
        <v>856</v>
      </c>
      <c r="L389" s="35" t="s">
        <v>835</v>
      </c>
      <c r="M389">
        <v>100</v>
      </c>
      <c r="N389">
        <v>7</v>
      </c>
    </row>
    <row r="390" spans="1:14">
      <c r="A390">
        <f t="shared" si="48"/>
        <v>40329</v>
      </c>
      <c r="B390">
        <f t="shared" si="49"/>
        <v>40301</v>
      </c>
      <c r="C390">
        <v>1</v>
      </c>
      <c r="D390">
        <v>29</v>
      </c>
      <c r="E390" t="s">
        <v>451</v>
      </c>
      <c r="F390" s="33">
        <v>5</v>
      </c>
      <c r="G390">
        <v>10004</v>
      </c>
      <c r="H390" s="30">
        <v>92010010</v>
      </c>
      <c r="I390" s="36" t="s">
        <v>756</v>
      </c>
      <c r="J390" s="35">
        <v>1300000</v>
      </c>
      <c r="K390" s="1" t="s">
        <v>857</v>
      </c>
      <c r="L390" s="35" t="s">
        <v>836</v>
      </c>
      <c r="M390">
        <v>100</v>
      </c>
      <c r="N390">
        <v>7</v>
      </c>
    </row>
    <row r="391" spans="1:14">
      <c r="A391">
        <f t="shared" si="48"/>
        <v>40330</v>
      </c>
      <c r="B391">
        <f t="shared" si="49"/>
        <v>40301</v>
      </c>
      <c r="C391">
        <v>1</v>
      </c>
      <c r="D391">
        <v>30</v>
      </c>
      <c r="E391" t="s">
        <v>451</v>
      </c>
      <c r="F391" s="33">
        <v>5</v>
      </c>
      <c r="G391">
        <v>10004</v>
      </c>
      <c r="H391" s="30">
        <v>92010010</v>
      </c>
      <c r="I391" s="36" t="s">
        <v>757</v>
      </c>
      <c r="J391" s="35">
        <v>1400000</v>
      </c>
      <c r="K391" s="1" t="s">
        <v>858</v>
      </c>
      <c r="L391" s="35" t="s">
        <v>837</v>
      </c>
      <c r="M391">
        <v>100</v>
      </c>
      <c r="N391">
        <v>7</v>
      </c>
    </row>
    <row r="392" spans="1:14">
      <c r="A392">
        <f t="shared" si="48"/>
        <v>40331</v>
      </c>
      <c r="B392">
        <f t="shared" si="49"/>
        <v>40301</v>
      </c>
      <c r="C392">
        <v>1</v>
      </c>
      <c r="D392">
        <v>31</v>
      </c>
      <c r="E392" t="s">
        <v>451</v>
      </c>
      <c r="F392" s="33">
        <v>5</v>
      </c>
      <c r="G392">
        <v>10004</v>
      </c>
      <c r="H392" s="30">
        <v>92010010</v>
      </c>
      <c r="I392" s="36" t="s">
        <v>758</v>
      </c>
      <c r="J392" s="35">
        <v>1500000</v>
      </c>
      <c r="K392" s="1" t="s">
        <v>859</v>
      </c>
      <c r="L392" s="35" t="s">
        <v>838</v>
      </c>
      <c r="M392">
        <v>100</v>
      </c>
      <c r="N392">
        <v>7</v>
      </c>
    </row>
    <row r="393" spans="1:14">
      <c r="A393">
        <f t="shared" si="48"/>
        <v>40332</v>
      </c>
      <c r="B393">
        <f t="shared" si="49"/>
        <v>40301</v>
      </c>
      <c r="C393">
        <v>1</v>
      </c>
      <c r="D393">
        <v>32</v>
      </c>
      <c r="E393" t="s">
        <v>451</v>
      </c>
      <c r="F393" s="33">
        <v>5</v>
      </c>
      <c r="G393">
        <v>10004</v>
      </c>
      <c r="H393" s="30">
        <v>92010010</v>
      </c>
      <c r="I393" s="36" t="s">
        <v>759</v>
      </c>
      <c r="J393" s="35">
        <v>1600000</v>
      </c>
      <c r="K393" s="1" t="s">
        <v>860</v>
      </c>
      <c r="L393" s="35" t="s">
        <v>839</v>
      </c>
      <c r="M393">
        <v>100</v>
      </c>
      <c r="N393">
        <v>7</v>
      </c>
    </row>
    <row r="394" spans="1:14">
      <c r="A394">
        <f t="shared" si="48"/>
        <v>40333</v>
      </c>
      <c r="B394">
        <f t="shared" si="49"/>
        <v>40301</v>
      </c>
      <c r="C394">
        <v>1</v>
      </c>
      <c r="D394">
        <v>33</v>
      </c>
      <c r="E394" t="s">
        <v>451</v>
      </c>
      <c r="F394" s="33">
        <v>5</v>
      </c>
      <c r="G394">
        <v>10004</v>
      </c>
      <c r="H394" s="30">
        <v>92010010</v>
      </c>
      <c r="I394" s="36" t="s">
        <v>760</v>
      </c>
      <c r="J394" s="35">
        <v>1700000</v>
      </c>
      <c r="K394" s="1" t="s">
        <v>861</v>
      </c>
      <c r="L394" s="35" t="s">
        <v>840</v>
      </c>
      <c r="M394">
        <v>100</v>
      </c>
      <c r="N394">
        <v>7</v>
      </c>
    </row>
    <row r="395" spans="1:14">
      <c r="A395">
        <f t="shared" si="48"/>
        <v>40334</v>
      </c>
      <c r="B395">
        <f t="shared" si="49"/>
        <v>40301</v>
      </c>
      <c r="C395">
        <v>1</v>
      </c>
      <c r="D395">
        <v>34</v>
      </c>
      <c r="E395" t="s">
        <v>451</v>
      </c>
      <c r="F395" s="33">
        <v>5</v>
      </c>
      <c r="G395">
        <v>10004</v>
      </c>
      <c r="H395" s="30">
        <v>92010010</v>
      </c>
      <c r="I395" s="36" t="s">
        <v>761</v>
      </c>
      <c r="J395" s="35">
        <v>1800000</v>
      </c>
      <c r="K395" s="1" t="s">
        <v>862</v>
      </c>
      <c r="L395" s="35" t="s">
        <v>841</v>
      </c>
      <c r="M395">
        <v>100</v>
      </c>
      <c r="N395">
        <v>7</v>
      </c>
    </row>
    <row r="396" spans="1:14">
      <c r="A396">
        <f t="shared" si="48"/>
        <v>40335</v>
      </c>
      <c r="B396">
        <f t="shared" si="49"/>
        <v>40301</v>
      </c>
      <c r="C396">
        <v>1</v>
      </c>
      <c r="D396">
        <v>35</v>
      </c>
      <c r="E396" t="s">
        <v>451</v>
      </c>
      <c r="F396" s="33">
        <v>5</v>
      </c>
      <c r="G396">
        <v>10004</v>
      </c>
      <c r="H396" s="30">
        <v>92010010</v>
      </c>
      <c r="I396" s="36" t="s">
        <v>762</v>
      </c>
      <c r="J396" s="35">
        <v>1900000</v>
      </c>
      <c r="K396" s="1" t="s">
        <v>863</v>
      </c>
      <c r="L396" s="35" t="s">
        <v>842</v>
      </c>
      <c r="M396">
        <v>100</v>
      </c>
      <c r="N396">
        <v>7</v>
      </c>
    </row>
    <row r="397" spans="1:14">
      <c r="A397">
        <f t="shared" si="48"/>
        <v>40336</v>
      </c>
      <c r="B397">
        <f t="shared" si="49"/>
        <v>40301</v>
      </c>
      <c r="C397">
        <v>1</v>
      </c>
      <c r="D397">
        <v>36</v>
      </c>
      <c r="E397" t="s">
        <v>451</v>
      </c>
      <c r="F397" s="33">
        <v>5</v>
      </c>
      <c r="G397">
        <v>10004</v>
      </c>
      <c r="H397" s="30">
        <v>92010010</v>
      </c>
      <c r="I397" s="36" t="s">
        <v>763</v>
      </c>
      <c r="J397" s="35">
        <v>2000000</v>
      </c>
      <c r="K397" s="1" t="s">
        <v>864</v>
      </c>
      <c r="L397" s="35" t="s">
        <v>843</v>
      </c>
      <c r="M397">
        <v>100</v>
      </c>
      <c r="N397">
        <v>7</v>
      </c>
    </row>
    <row r="398" spans="1:14">
      <c r="A398">
        <f t="shared" si="48"/>
        <v>40337</v>
      </c>
      <c r="B398">
        <f t="shared" si="49"/>
        <v>40301</v>
      </c>
      <c r="C398">
        <v>1</v>
      </c>
      <c r="D398">
        <v>37</v>
      </c>
      <c r="E398" t="s">
        <v>451</v>
      </c>
      <c r="F398" s="33">
        <v>5</v>
      </c>
      <c r="G398">
        <v>10004</v>
      </c>
      <c r="H398" s="30">
        <v>92010010</v>
      </c>
      <c r="I398" s="36" t="s">
        <v>764</v>
      </c>
      <c r="J398" s="35">
        <v>2100000</v>
      </c>
      <c r="K398" s="1" t="s">
        <v>865</v>
      </c>
      <c r="L398" s="35" t="s">
        <v>844</v>
      </c>
      <c r="M398">
        <v>100</v>
      </c>
      <c r="N398">
        <v>7</v>
      </c>
    </row>
    <row r="399" spans="1:14">
      <c r="A399">
        <f t="shared" si="48"/>
        <v>40338</v>
      </c>
      <c r="B399">
        <f t="shared" si="49"/>
        <v>40301</v>
      </c>
      <c r="C399">
        <v>1</v>
      </c>
      <c r="D399">
        <v>38</v>
      </c>
      <c r="E399" t="s">
        <v>451</v>
      </c>
      <c r="F399" s="33">
        <v>5</v>
      </c>
      <c r="G399">
        <v>10004</v>
      </c>
      <c r="H399" s="30">
        <v>92010010</v>
      </c>
      <c r="I399" s="36" t="s">
        <v>765</v>
      </c>
      <c r="J399" s="35">
        <v>2200000</v>
      </c>
      <c r="K399" s="1" t="s">
        <v>866</v>
      </c>
      <c r="L399" s="35" t="s">
        <v>845</v>
      </c>
      <c r="M399">
        <v>100</v>
      </c>
      <c r="N399">
        <v>7</v>
      </c>
    </row>
    <row r="400" spans="1:14">
      <c r="A400">
        <f t="shared" si="48"/>
        <v>40339</v>
      </c>
      <c r="B400">
        <f t="shared" si="49"/>
        <v>40301</v>
      </c>
      <c r="C400">
        <v>1</v>
      </c>
      <c r="D400">
        <v>39</v>
      </c>
      <c r="E400" t="s">
        <v>451</v>
      </c>
      <c r="F400" s="33">
        <v>5</v>
      </c>
      <c r="G400">
        <v>10004</v>
      </c>
      <c r="H400" s="30">
        <v>92010010</v>
      </c>
      <c r="I400" s="36" t="s">
        <v>766</v>
      </c>
      <c r="J400" s="35">
        <v>2300000</v>
      </c>
      <c r="K400" s="1" t="s">
        <v>867</v>
      </c>
      <c r="L400" s="35" t="s">
        <v>846</v>
      </c>
      <c r="M400">
        <v>100</v>
      </c>
      <c r="N400">
        <v>7</v>
      </c>
    </row>
    <row r="401" spans="1:14">
      <c r="A401">
        <f t="shared" si="48"/>
        <v>40340</v>
      </c>
      <c r="B401">
        <f t="shared" si="49"/>
        <v>40301</v>
      </c>
      <c r="C401">
        <v>1</v>
      </c>
      <c r="D401">
        <v>40</v>
      </c>
      <c r="E401" t="s">
        <v>451</v>
      </c>
      <c r="F401" s="33">
        <v>5</v>
      </c>
      <c r="G401">
        <v>10004</v>
      </c>
      <c r="H401" s="30">
        <v>92010010</v>
      </c>
      <c r="I401" s="36" t="s">
        <v>767</v>
      </c>
      <c r="J401" s="35">
        <v>2400000</v>
      </c>
      <c r="K401" s="36" t="s">
        <v>98</v>
      </c>
      <c r="L401" s="35" t="s">
        <v>847</v>
      </c>
      <c r="M401">
        <v>0</v>
      </c>
      <c r="N401">
        <v>7</v>
      </c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2" sqref="D2:E17"/>
    </sheetView>
  </sheetViews>
  <sheetFormatPr defaultColWidth="9" defaultRowHeight="15"/>
  <cols>
    <col min="2" max="2" width="31.140625" customWidth="1"/>
    <col min="3" max="3" width="18.28515625" customWidth="1"/>
    <col min="4" max="4" width="21.28515625" customWidth="1"/>
  </cols>
  <sheetData>
    <row r="1" spans="1:5">
      <c r="A1" t="s">
        <v>0</v>
      </c>
      <c r="B1" t="s">
        <v>476</v>
      </c>
      <c r="C1" t="s">
        <v>477</v>
      </c>
      <c r="D1" t="s">
        <v>478</v>
      </c>
      <c r="E1" t="s">
        <v>479</v>
      </c>
    </row>
    <row r="2" spans="1:5">
      <c r="A2">
        <v>10001</v>
      </c>
      <c r="B2" s="16" t="s">
        <v>480</v>
      </c>
      <c r="C2" s="16" t="s">
        <v>481</v>
      </c>
      <c r="D2">
        <v>1000</v>
      </c>
      <c r="E2">
        <v>1000</v>
      </c>
    </row>
    <row r="3" spans="1:5">
      <c r="A3">
        <v>10101</v>
      </c>
      <c r="B3" s="16" t="s">
        <v>482</v>
      </c>
      <c r="C3" t="s">
        <v>483</v>
      </c>
      <c r="D3">
        <v>1000</v>
      </c>
      <c r="E3">
        <v>1000</v>
      </c>
    </row>
    <row r="4" spans="1:5">
      <c r="A4">
        <v>10201</v>
      </c>
      <c r="B4" s="16" t="s">
        <v>484</v>
      </c>
      <c r="C4" t="s">
        <v>485</v>
      </c>
      <c r="D4">
        <v>1000</v>
      </c>
      <c r="E4">
        <v>1000</v>
      </c>
    </row>
    <row r="5" spans="1:5">
      <c r="A5">
        <v>10301</v>
      </c>
      <c r="B5" s="16" t="s">
        <v>486</v>
      </c>
      <c r="C5" t="s">
        <v>487</v>
      </c>
      <c r="D5">
        <v>1000</v>
      </c>
      <c r="E5">
        <v>1000</v>
      </c>
    </row>
    <row r="6" spans="1:5">
      <c r="A6">
        <v>20001</v>
      </c>
      <c r="B6" s="16" t="s">
        <v>480</v>
      </c>
      <c r="C6" s="25" t="s">
        <v>488</v>
      </c>
      <c r="D6">
        <v>1000</v>
      </c>
      <c r="E6">
        <v>1000</v>
      </c>
    </row>
    <row r="7" spans="1:5">
      <c r="A7">
        <v>20101</v>
      </c>
      <c r="B7" s="16" t="s">
        <v>482</v>
      </c>
      <c r="C7" s="26" t="s">
        <v>489</v>
      </c>
      <c r="D7">
        <v>1000</v>
      </c>
      <c r="E7">
        <v>1000</v>
      </c>
    </row>
    <row r="8" spans="1:5">
      <c r="A8">
        <v>20201</v>
      </c>
      <c r="B8" s="16" t="s">
        <v>484</v>
      </c>
      <c r="C8" s="26" t="s">
        <v>490</v>
      </c>
      <c r="D8">
        <v>1000</v>
      </c>
      <c r="E8">
        <v>1000</v>
      </c>
    </row>
    <row r="9" spans="1:5">
      <c r="A9">
        <v>20301</v>
      </c>
      <c r="B9" s="16" t="s">
        <v>486</v>
      </c>
      <c r="C9" s="26" t="s">
        <v>491</v>
      </c>
      <c r="D9">
        <v>1000</v>
      </c>
      <c r="E9">
        <v>1000</v>
      </c>
    </row>
    <row r="10" spans="1:5">
      <c r="A10">
        <v>30001</v>
      </c>
      <c r="B10" s="16" t="s">
        <v>492</v>
      </c>
      <c r="C10" t="s">
        <v>493</v>
      </c>
      <c r="D10">
        <v>1000</v>
      </c>
      <c r="E10">
        <v>1000</v>
      </c>
    </row>
    <row r="11" spans="1:5">
      <c r="A11">
        <v>30101</v>
      </c>
      <c r="B11" s="16" t="s">
        <v>482</v>
      </c>
      <c r="C11" t="s">
        <v>494</v>
      </c>
      <c r="D11">
        <v>1000</v>
      </c>
      <c r="E11">
        <v>1000</v>
      </c>
    </row>
    <row r="12" spans="1:5">
      <c r="A12">
        <v>30201</v>
      </c>
      <c r="B12" s="16" t="s">
        <v>484</v>
      </c>
      <c r="C12" t="s">
        <v>495</v>
      </c>
      <c r="D12">
        <v>1000</v>
      </c>
      <c r="E12">
        <v>1000</v>
      </c>
    </row>
    <row r="13" spans="1:5">
      <c r="A13">
        <v>30301</v>
      </c>
      <c r="B13" s="16" t="s">
        <v>486</v>
      </c>
      <c r="C13" t="s">
        <v>496</v>
      </c>
      <c r="D13">
        <v>1000</v>
      </c>
      <c r="E13">
        <v>1000</v>
      </c>
    </row>
    <row r="14" spans="1:5">
      <c r="A14">
        <v>40001</v>
      </c>
      <c r="B14" s="16" t="s">
        <v>492</v>
      </c>
      <c r="C14" t="s">
        <v>497</v>
      </c>
      <c r="D14">
        <v>1000</v>
      </c>
      <c r="E14">
        <v>1000</v>
      </c>
    </row>
    <row r="15" spans="1:5">
      <c r="A15">
        <v>40101</v>
      </c>
      <c r="B15" s="16" t="s">
        <v>482</v>
      </c>
      <c r="C15" t="s">
        <v>498</v>
      </c>
      <c r="D15">
        <v>1000</v>
      </c>
      <c r="E15">
        <v>1000</v>
      </c>
    </row>
    <row r="16" spans="1:5">
      <c r="A16">
        <v>40201</v>
      </c>
      <c r="B16" s="16" t="s">
        <v>484</v>
      </c>
      <c r="C16" t="s">
        <v>499</v>
      </c>
      <c r="D16">
        <v>1000</v>
      </c>
      <c r="E16">
        <v>1000</v>
      </c>
    </row>
    <row r="17" spans="1:5">
      <c r="A17">
        <v>40301</v>
      </c>
      <c r="B17" s="16" t="s">
        <v>486</v>
      </c>
      <c r="C17" t="s">
        <v>500</v>
      </c>
      <c r="D17">
        <v>1000</v>
      </c>
      <c r="E17">
        <v>1000</v>
      </c>
    </row>
  </sheetData>
  <sortState xmlns:xlrd2="http://schemas.microsoft.com/office/spreadsheetml/2017/richdata2" ref="A2:E17">
    <sortCondition ref="A2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7"/>
  <sheetViews>
    <sheetView topLeftCell="A136" workbookViewId="0">
      <selection activeCell="C33" sqref="C33"/>
    </sheetView>
  </sheetViews>
  <sheetFormatPr defaultColWidth="9" defaultRowHeight="15"/>
  <cols>
    <col min="2" max="2" width="11" customWidth="1"/>
    <col min="4" max="4" width="12.85546875" customWidth="1"/>
    <col min="5" max="5" width="35.5703125" customWidth="1"/>
    <col min="6" max="6" width="9.42578125"/>
    <col min="7" max="7" width="12.85546875" customWidth="1"/>
    <col min="8" max="9" width="19.140625" customWidth="1"/>
    <col min="10" max="10" width="14.42578125" customWidth="1"/>
    <col min="11" max="11" width="68.7109375" customWidth="1"/>
    <col min="12" max="12" width="145.7109375" customWidth="1"/>
  </cols>
  <sheetData>
    <row r="1" spans="1:12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</row>
    <row r="2" spans="1:12">
      <c r="A2">
        <v>10001</v>
      </c>
      <c r="B2">
        <v>10001</v>
      </c>
      <c r="C2">
        <v>0</v>
      </c>
      <c r="D2">
        <v>1</v>
      </c>
      <c r="E2" s="16" t="s">
        <v>513</v>
      </c>
      <c r="F2" s="17">
        <v>92010010</v>
      </c>
      <c r="G2" s="8">
        <v>0</v>
      </c>
      <c r="H2">
        <v>0</v>
      </c>
      <c r="I2">
        <v>5</v>
      </c>
      <c r="J2">
        <v>10000</v>
      </c>
      <c r="L2" s="22" t="s">
        <v>514</v>
      </c>
    </row>
    <row r="3" spans="1:12">
      <c r="A3">
        <v>10002</v>
      </c>
      <c r="B3">
        <v>10001</v>
      </c>
      <c r="C3">
        <v>1</v>
      </c>
      <c r="D3">
        <v>1</v>
      </c>
      <c r="E3" s="16" t="s">
        <v>515</v>
      </c>
      <c r="F3" s="17">
        <v>92010010</v>
      </c>
      <c r="G3" s="18">
        <v>7500</v>
      </c>
      <c r="H3">
        <v>0</v>
      </c>
      <c r="I3">
        <v>5</v>
      </c>
      <c r="J3">
        <v>10000</v>
      </c>
      <c r="L3" t="s">
        <v>514</v>
      </c>
    </row>
    <row r="4" spans="1:12">
      <c r="A4">
        <v>10003</v>
      </c>
      <c r="B4">
        <v>10001</v>
      </c>
      <c r="C4">
        <v>2</v>
      </c>
      <c r="D4">
        <v>1</v>
      </c>
      <c r="E4" s="16" t="s">
        <v>516</v>
      </c>
      <c r="F4" s="17">
        <v>92010010</v>
      </c>
      <c r="G4" s="18">
        <v>15000</v>
      </c>
      <c r="H4">
        <v>0</v>
      </c>
      <c r="I4">
        <v>5</v>
      </c>
      <c r="J4">
        <v>10000</v>
      </c>
      <c r="L4" t="s">
        <v>514</v>
      </c>
    </row>
    <row r="5" spans="1:12">
      <c r="A5">
        <v>10004</v>
      </c>
      <c r="B5">
        <v>10001</v>
      </c>
      <c r="C5">
        <v>3</v>
      </c>
      <c r="D5">
        <v>1</v>
      </c>
      <c r="E5" s="16" t="s">
        <v>517</v>
      </c>
      <c r="F5" s="17">
        <v>92010010</v>
      </c>
      <c r="G5" s="18">
        <v>22500</v>
      </c>
      <c r="H5">
        <v>0</v>
      </c>
      <c r="I5">
        <v>5</v>
      </c>
      <c r="J5">
        <v>10000</v>
      </c>
      <c r="L5" t="s">
        <v>514</v>
      </c>
    </row>
    <row r="6" spans="1:12">
      <c r="A6">
        <v>10005</v>
      </c>
      <c r="B6">
        <v>10001</v>
      </c>
      <c r="C6">
        <v>4</v>
      </c>
      <c r="D6">
        <v>1</v>
      </c>
      <c r="E6" s="16" t="s">
        <v>518</v>
      </c>
      <c r="F6" s="17">
        <v>92010010</v>
      </c>
      <c r="G6" s="18">
        <v>30000</v>
      </c>
      <c r="H6">
        <v>0</v>
      </c>
      <c r="I6">
        <v>5</v>
      </c>
      <c r="J6">
        <v>10000</v>
      </c>
      <c r="L6" t="s">
        <v>514</v>
      </c>
    </row>
    <row r="7" spans="1:12">
      <c r="A7">
        <v>10006</v>
      </c>
      <c r="B7">
        <v>10001</v>
      </c>
      <c r="C7">
        <v>5</v>
      </c>
      <c r="D7">
        <v>1</v>
      </c>
      <c r="E7" s="16" t="s">
        <v>519</v>
      </c>
      <c r="F7" s="17">
        <v>92010010</v>
      </c>
      <c r="G7" s="18">
        <v>37500</v>
      </c>
      <c r="H7">
        <v>0</v>
      </c>
      <c r="I7">
        <v>5</v>
      </c>
      <c r="J7">
        <v>10000</v>
      </c>
      <c r="L7" t="s">
        <v>514</v>
      </c>
    </row>
    <row r="8" spans="1:12">
      <c r="A8">
        <v>10007</v>
      </c>
      <c r="B8">
        <v>10001</v>
      </c>
      <c r="C8">
        <v>6</v>
      </c>
      <c r="D8">
        <v>2</v>
      </c>
      <c r="E8" s="16" t="s">
        <v>520</v>
      </c>
      <c r="F8" s="17">
        <v>92010010</v>
      </c>
      <c r="G8" s="18">
        <v>45000</v>
      </c>
      <c r="H8">
        <v>0</v>
      </c>
      <c r="I8">
        <v>5</v>
      </c>
      <c r="J8">
        <v>10000</v>
      </c>
      <c r="L8" t="s">
        <v>514</v>
      </c>
    </row>
    <row r="9" spans="1:12">
      <c r="A9">
        <v>10008</v>
      </c>
      <c r="B9">
        <v>10001</v>
      </c>
      <c r="C9">
        <v>7</v>
      </c>
      <c r="D9">
        <v>2</v>
      </c>
      <c r="E9" s="16" t="s">
        <v>521</v>
      </c>
      <c r="F9" s="17">
        <v>92010010</v>
      </c>
      <c r="G9" s="18">
        <v>52500</v>
      </c>
      <c r="H9">
        <v>0</v>
      </c>
      <c r="I9">
        <v>5</v>
      </c>
      <c r="J9">
        <v>10000</v>
      </c>
      <c r="L9" t="s">
        <v>514</v>
      </c>
    </row>
    <row r="10" spans="1:12">
      <c r="A10">
        <v>10009</v>
      </c>
      <c r="B10">
        <v>10001</v>
      </c>
      <c r="C10">
        <v>8</v>
      </c>
      <c r="D10">
        <v>2</v>
      </c>
      <c r="E10" s="16" t="s">
        <v>522</v>
      </c>
      <c r="F10" s="17">
        <v>92010010</v>
      </c>
      <c r="G10" s="18">
        <v>60000</v>
      </c>
      <c r="H10">
        <v>0</v>
      </c>
      <c r="I10">
        <v>5</v>
      </c>
      <c r="J10">
        <v>10000</v>
      </c>
      <c r="L10" t="s">
        <v>514</v>
      </c>
    </row>
    <row r="11" spans="1:12">
      <c r="A11">
        <v>10010</v>
      </c>
      <c r="B11">
        <v>10001</v>
      </c>
      <c r="C11">
        <v>9</v>
      </c>
      <c r="D11">
        <v>2</v>
      </c>
      <c r="E11" s="16" t="s">
        <v>523</v>
      </c>
      <c r="F11" s="17">
        <v>92010010</v>
      </c>
      <c r="G11" s="18">
        <v>67500</v>
      </c>
      <c r="H11">
        <v>0</v>
      </c>
      <c r="I11">
        <v>5</v>
      </c>
      <c r="J11">
        <v>10000</v>
      </c>
      <c r="L11" t="s">
        <v>514</v>
      </c>
    </row>
    <row r="12" spans="1:12">
      <c r="A12">
        <v>10011</v>
      </c>
      <c r="B12">
        <v>10001</v>
      </c>
      <c r="C12" s="3">
        <v>10</v>
      </c>
      <c r="D12">
        <v>2</v>
      </c>
      <c r="E12" s="16" t="s">
        <v>98</v>
      </c>
      <c r="F12" s="17">
        <v>92010011</v>
      </c>
      <c r="G12" s="18">
        <v>75000</v>
      </c>
      <c r="H12" s="3">
        <v>800</v>
      </c>
      <c r="I12">
        <v>5</v>
      </c>
      <c r="J12" s="3">
        <v>10000</v>
      </c>
      <c r="K12" t="s">
        <v>524</v>
      </c>
      <c r="L12" t="s">
        <v>525</v>
      </c>
    </row>
    <row r="13" spans="1:12">
      <c r="A13">
        <v>10101</v>
      </c>
      <c r="B13">
        <v>10101</v>
      </c>
      <c r="C13" s="3">
        <v>0</v>
      </c>
      <c r="D13">
        <v>1</v>
      </c>
      <c r="E13" s="16" t="s">
        <v>513</v>
      </c>
      <c r="F13" s="19">
        <v>92010020</v>
      </c>
      <c r="G13" s="8">
        <v>0</v>
      </c>
      <c r="H13">
        <v>0</v>
      </c>
      <c r="I13">
        <v>5</v>
      </c>
      <c r="J13">
        <v>10000</v>
      </c>
      <c r="L13" t="s">
        <v>525</v>
      </c>
    </row>
    <row r="14" spans="1:12">
      <c r="A14">
        <v>10102</v>
      </c>
      <c r="B14">
        <v>10101</v>
      </c>
      <c r="C14">
        <v>1</v>
      </c>
      <c r="D14">
        <v>1</v>
      </c>
      <c r="E14" s="16" t="s">
        <v>515</v>
      </c>
      <c r="F14" s="19">
        <v>92010020</v>
      </c>
      <c r="G14" s="18">
        <v>9750</v>
      </c>
      <c r="H14">
        <v>0</v>
      </c>
      <c r="I14">
        <v>5</v>
      </c>
      <c r="J14">
        <v>10000</v>
      </c>
      <c r="L14" t="s">
        <v>525</v>
      </c>
    </row>
    <row r="15" spans="1:12">
      <c r="A15">
        <v>10103</v>
      </c>
      <c r="B15">
        <v>10101</v>
      </c>
      <c r="C15">
        <v>2</v>
      </c>
      <c r="D15">
        <v>1</v>
      </c>
      <c r="E15" s="16" t="s">
        <v>516</v>
      </c>
      <c r="F15" s="19">
        <v>92010020</v>
      </c>
      <c r="G15" s="18">
        <v>19500</v>
      </c>
      <c r="H15">
        <v>0</v>
      </c>
      <c r="I15">
        <v>5</v>
      </c>
      <c r="J15">
        <v>10000</v>
      </c>
      <c r="L15" t="s">
        <v>525</v>
      </c>
    </row>
    <row r="16" spans="1:12">
      <c r="A16">
        <v>10104</v>
      </c>
      <c r="B16">
        <v>10101</v>
      </c>
      <c r="C16">
        <v>3</v>
      </c>
      <c r="D16">
        <v>1</v>
      </c>
      <c r="E16" s="16" t="s">
        <v>517</v>
      </c>
      <c r="F16" s="19">
        <v>92010020</v>
      </c>
      <c r="G16" s="18">
        <v>29250</v>
      </c>
      <c r="H16">
        <v>0</v>
      </c>
      <c r="I16">
        <v>5</v>
      </c>
      <c r="J16">
        <v>10000</v>
      </c>
      <c r="L16" t="s">
        <v>525</v>
      </c>
    </row>
    <row r="17" spans="1:12">
      <c r="A17">
        <v>10105</v>
      </c>
      <c r="B17">
        <v>10101</v>
      </c>
      <c r="C17">
        <v>4</v>
      </c>
      <c r="D17">
        <v>1</v>
      </c>
      <c r="E17" s="16" t="s">
        <v>518</v>
      </c>
      <c r="F17" s="19">
        <v>92010020</v>
      </c>
      <c r="G17" s="18">
        <v>39000</v>
      </c>
      <c r="H17">
        <v>0</v>
      </c>
      <c r="I17">
        <v>5</v>
      </c>
      <c r="J17">
        <v>10000</v>
      </c>
      <c r="L17" t="s">
        <v>525</v>
      </c>
    </row>
    <row r="18" spans="1:12">
      <c r="A18">
        <v>10106</v>
      </c>
      <c r="B18">
        <v>10101</v>
      </c>
      <c r="C18">
        <v>5</v>
      </c>
      <c r="D18">
        <v>1</v>
      </c>
      <c r="E18" s="16" t="s">
        <v>519</v>
      </c>
      <c r="F18" s="19">
        <v>92010020</v>
      </c>
      <c r="G18" s="18">
        <v>48750</v>
      </c>
      <c r="H18">
        <v>0</v>
      </c>
      <c r="I18">
        <v>5</v>
      </c>
      <c r="J18">
        <v>10000</v>
      </c>
      <c r="L18" t="s">
        <v>525</v>
      </c>
    </row>
    <row r="19" spans="1:12">
      <c r="A19">
        <v>10107</v>
      </c>
      <c r="B19">
        <v>10101</v>
      </c>
      <c r="C19">
        <v>6</v>
      </c>
      <c r="D19">
        <v>2</v>
      </c>
      <c r="E19" s="16" t="s">
        <v>520</v>
      </c>
      <c r="F19" s="19">
        <v>92010020</v>
      </c>
      <c r="G19" s="18">
        <v>58500</v>
      </c>
      <c r="H19">
        <v>0</v>
      </c>
      <c r="I19">
        <v>5</v>
      </c>
      <c r="J19">
        <v>10000</v>
      </c>
      <c r="L19" t="s">
        <v>525</v>
      </c>
    </row>
    <row r="20" spans="1:12">
      <c r="A20">
        <v>10108</v>
      </c>
      <c r="B20">
        <v>10101</v>
      </c>
      <c r="C20">
        <v>7</v>
      </c>
      <c r="D20">
        <v>2</v>
      </c>
      <c r="E20" s="16" t="s">
        <v>521</v>
      </c>
      <c r="F20" s="19">
        <v>92010020</v>
      </c>
      <c r="G20" s="18">
        <v>68250</v>
      </c>
      <c r="H20">
        <v>0</v>
      </c>
      <c r="I20">
        <v>5</v>
      </c>
      <c r="J20">
        <v>10000</v>
      </c>
      <c r="L20" t="s">
        <v>525</v>
      </c>
    </row>
    <row r="21" spans="1:12">
      <c r="A21">
        <v>10109</v>
      </c>
      <c r="B21">
        <v>10101</v>
      </c>
      <c r="C21">
        <v>8</v>
      </c>
      <c r="D21">
        <v>2</v>
      </c>
      <c r="E21" s="16" t="s">
        <v>522</v>
      </c>
      <c r="F21" s="19">
        <v>92010020</v>
      </c>
      <c r="G21" s="18">
        <v>78000</v>
      </c>
      <c r="H21">
        <v>0</v>
      </c>
      <c r="I21">
        <v>5</v>
      </c>
      <c r="J21">
        <v>10000</v>
      </c>
      <c r="L21" t="s">
        <v>525</v>
      </c>
    </row>
    <row r="22" spans="1:12">
      <c r="A22">
        <v>10110</v>
      </c>
      <c r="B22">
        <v>10101</v>
      </c>
      <c r="C22">
        <v>9</v>
      </c>
      <c r="D22">
        <v>2</v>
      </c>
      <c r="E22" s="16" t="s">
        <v>523</v>
      </c>
      <c r="F22" s="19">
        <v>92010020</v>
      </c>
      <c r="G22" s="18">
        <v>87750</v>
      </c>
      <c r="H22">
        <v>0</v>
      </c>
      <c r="I22">
        <v>5</v>
      </c>
      <c r="J22">
        <v>10000</v>
      </c>
      <c r="L22" t="s">
        <v>525</v>
      </c>
    </row>
    <row r="23" spans="1:12">
      <c r="A23">
        <v>10111</v>
      </c>
      <c r="B23">
        <v>10101</v>
      </c>
      <c r="C23">
        <v>10</v>
      </c>
      <c r="D23">
        <v>2</v>
      </c>
      <c r="E23" s="16" t="s">
        <v>526</v>
      </c>
      <c r="F23" s="19">
        <v>92010021</v>
      </c>
      <c r="G23" s="18">
        <v>97500</v>
      </c>
      <c r="H23">
        <v>800</v>
      </c>
      <c r="I23">
        <v>5</v>
      </c>
      <c r="J23">
        <v>10000</v>
      </c>
      <c r="K23" t="s">
        <v>527</v>
      </c>
      <c r="L23" t="s">
        <v>528</v>
      </c>
    </row>
    <row r="24" spans="1:12">
      <c r="A24">
        <v>10112</v>
      </c>
      <c r="B24">
        <v>10101</v>
      </c>
      <c r="C24">
        <v>11</v>
      </c>
      <c r="D24">
        <v>3</v>
      </c>
      <c r="E24" s="16" t="s">
        <v>529</v>
      </c>
      <c r="F24" s="19">
        <v>92010021</v>
      </c>
      <c r="G24" s="18">
        <v>107250</v>
      </c>
      <c r="H24">
        <v>800</v>
      </c>
      <c r="I24">
        <v>5</v>
      </c>
      <c r="J24">
        <v>10000</v>
      </c>
      <c r="L24" t="s">
        <v>528</v>
      </c>
    </row>
    <row r="25" spans="1:12">
      <c r="A25">
        <v>10113</v>
      </c>
      <c r="B25">
        <v>10101</v>
      </c>
      <c r="C25">
        <v>12</v>
      </c>
      <c r="D25">
        <v>3</v>
      </c>
      <c r="E25" s="16" t="s">
        <v>530</v>
      </c>
      <c r="F25" s="19">
        <v>92010021</v>
      </c>
      <c r="G25" s="18">
        <v>117000</v>
      </c>
      <c r="H25">
        <v>800</v>
      </c>
      <c r="I25">
        <v>5</v>
      </c>
      <c r="J25">
        <v>10000</v>
      </c>
      <c r="L25" t="s">
        <v>528</v>
      </c>
    </row>
    <row r="26" spans="1:12">
      <c r="A26">
        <v>10114</v>
      </c>
      <c r="B26">
        <v>10101</v>
      </c>
      <c r="C26">
        <v>13</v>
      </c>
      <c r="D26">
        <v>3</v>
      </c>
      <c r="E26" s="16" t="s">
        <v>531</v>
      </c>
      <c r="F26" s="19">
        <v>92010021</v>
      </c>
      <c r="G26" s="18">
        <v>126750</v>
      </c>
      <c r="H26">
        <v>800</v>
      </c>
      <c r="I26">
        <v>5</v>
      </c>
      <c r="J26">
        <v>10000</v>
      </c>
      <c r="L26" t="s">
        <v>528</v>
      </c>
    </row>
    <row r="27" spans="1:12">
      <c r="A27">
        <v>10115</v>
      </c>
      <c r="B27">
        <v>10101</v>
      </c>
      <c r="C27">
        <v>14</v>
      </c>
      <c r="D27">
        <v>3</v>
      </c>
      <c r="E27" s="16" t="s">
        <v>532</v>
      </c>
      <c r="F27" s="19">
        <v>92010021</v>
      </c>
      <c r="G27" s="18">
        <v>136500</v>
      </c>
      <c r="H27">
        <v>800</v>
      </c>
      <c r="I27">
        <v>5</v>
      </c>
      <c r="J27">
        <v>10000</v>
      </c>
      <c r="L27" t="s">
        <v>528</v>
      </c>
    </row>
    <row r="28" spans="1:12">
      <c r="A28">
        <v>10116</v>
      </c>
      <c r="B28">
        <v>10101</v>
      </c>
      <c r="C28">
        <v>15</v>
      </c>
      <c r="D28">
        <v>1</v>
      </c>
      <c r="E28" s="16" t="s">
        <v>533</v>
      </c>
      <c r="F28" s="19">
        <v>92010021</v>
      </c>
      <c r="G28" s="18">
        <v>146250</v>
      </c>
      <c r="H28">
        <v>800</v>
      </c>
      <c r="I28">
        <v>5</v>
      </c>
      <c r="J28">
        <v>10000</v>
      </c>
      <c r="L28" t="s">
        <v>528</v>
      </c>
    </row>
    <row r="29" spans="1:12">
      <c r="A29">
        <v>10117</v>
      </c>
      <c r="B29">
        <v>10101</v>
      </c>
      <c r="C29">
        <v>16</v>
      </c>
      <c r="D29">
        <v>1</v>
      </c>
      <c r="E29" s="16" t="s">
        <v>534</v>
      </c>
      <c r="F29" s="19">
        <v>92010021</v>
      </c>
      <c r="G29" s="18">
        <v>156000</v>
      </c>
      <c r="H29">
        <v>800</v>
      </c>
      <c r="I29">
        <v>5</v>
      </c>
      <c r="J29">
        <v>10000</v>
      </c>
      <c r="L29" t="s">
        <v>528</v>
      </c>
    </row>
    <row r="30" spans="1:12">
      <c r="A30">
        <v>10118</v>
      </c>
      <c r="B30">
        <v>10101</v>
      </c>
      <c r="C30">
        <v>17</v>
      </c>
      <c r="D30">
        <v>1</v>
      </c>
      <c r="E30" s="16" t="s">
        <v>535</v>
      </c>
      <c r="F30" s="19">
        <v>92010021</v>
      </c>
      <c r="G30" s="18">
        <v>165750</v>
      </c>
      <c r="H30">
        <v>800</v>
      </c>
      <c r="I30">
        <v>5</v>
      </c>
      <c r="J30">
        <v>10000</v>
      </c>
      <c r="L30" t="s">
        <v>528</v>
      </c>
    </row>
    <row r="31" spans="1:12">
      <c r="A31">
        <v>10119</v>
      </c>
      <c r="B31">
        <v>10101</v>
      </c>
      <c r="C31">
        <v>18</v>
      </c>
      <c r="D31">
        <v>1</v>
      </c>
      <c r="E31" s="16" t="s">
        <v>536</v>
      </c>
      <c r="F31" s="19">
        <v>92010021</v>
      </c>
      <c r="G31" s="18">
        <v>175500</v>
      </c>
      <c r="H31">
        <v>800</v>
      </c>
      <c r="I31">
        <v>5</v>
      </c>
      <c r="J31">
        <v>10000</v>
      </c>
      <c r="L31" t="s">
        <v>528</v>
      </c>
    </row>
    <row r="32" spans="1:12">
      <c r="A32">
        <v>10120</v>
      </c>
      <c r="B32">
        <v>10101</v>
      </c>
      <c r="C32">
        <v>19</v>
      </c>
      <c r="D32">
        <v>1</v>
      </c>
      <c r="E32" s="16" t="s">
        <v>537</v>
      </c>
      <c r="F32" s="19">
        <v>92010021</v>
      </c>
      <c r="G32" s="18">
        <v>185250</v>
      </c>
      <c r="H32">
        <v>800</v>
      </c>
      <c r="I32">
        <v>5</v>
      </c>
      <c r="J32">
        <v>10000</v>
      </c>
      <c r="L32" t="s">
        <v>528</v>
      </c>
    </row>
    <row r="33" spans="1:12">
      <c r="A33">
        <v>10121</v>
      </c>
      <c r="B33">
        <v>10101</v>
      </c>
      <c r="C33">
        <v>20</v>
      </c>
      <c r="D33">
        <v>1</v>
      </c>
      <c r="E33" s="16" t="s">
        <v>98</v>
      </c>
      <c r="F33" s="19">
        <v>92010022</v>
      </c>
      <c r="G33" s="18">
        <v>195000</v>
      </c>
      <c r="H33">
        <v>1600</v>
      </c>
      <c r="I33">
        <v>5</v>
      </c>
      <c r="J33">
        <v>10000</v>
      </c>
      <c r="K33" t="s">
        <v>538</v>
      </c>
      <c r="L33" t="s">
        <v>539</v>
      </c>
    </row>
    <row r="34" spans="1:12">
      <c r="A34">
        <v>10201</v>
      </c>
      <c r="B34">
        <v>10201</v>
      </c>
      <c r="C34" s="3">
        <v>0</v>
      </c>
      <c r="D34">
        <v>1</v>
      </c>
      <c r="E34" s="16" t="s">
        <v>513</v>
      </c>
      <c r="F34" s="20">
        <v>92010030</v>
      </c>
      <c r="G34" s="8">
        <v>0</v>
      </c>
      <c r="H34">
        <v>0</v>
      </c>
      <c r="I34">
        <v>5</v>
      </c>
      <c r="J34">
        <v>10000</v>
      </c>
      <c r="L34" t="s">
        <v>539</v>
      </c>
    </row>
    <row r="35" spans="1:12">
      <c r="A35">
        <v>10202</v>
      </c>
      <c r="B35">
        <v>10201</v>
      </c>
      <c r="C35">
        <v>1</v>
      </c>
      <c r="D35">
        <v>1</v>
      </c>
      <c r="E35" s="16" t="s">
        <v>515</v>
      </c>
      <c r="F35" s="20">
        <v>92010030</v>
      </c>
      <c r="G35" s="18">
        <v>12000</v>
      </c>
      <c r="H35">
        <v>0</v>
      </c>
      <c r="I35">
        <v>5</v>
      </c>
      <c r="J35">
        <v>10000</v>
      </c>
      <c r="L35" t="s">
        <v>539</v>
      </c>
    </row>
    <row r="36" spans="1:12">
      <c r="A36">
        <v>10203</v>
      </c>
      <c r="B36">
        <v>10201</v>
      </c>
      <c r="C36">
        <v>2</v>
      </c>
      <c r="D36">
        <v>1</v>
      </c>
      <c r="E36" s="16" t="s">
        <v>516</v>
      </c>
      <c r="F36" s="20">
        <v>92010030</v>
      </c>
      <c r="G36" s="18">
        <v>24000</v>
      </c>
      <c r="H36">
        <v>0</v>
      </c>
      <c r="I36">
        <v>5</v>
      </c>
      <c r="J36">
        <v>10000</v>
      </c>
      <c r="L36" t="s">
        <v>539</v>
      </c>
    </row>
    <row r="37" spans="1:12">
      <c r="A37">
        <v>10204</v>
      </c>
      <c r="B37">
        <v>10201</v>
      </c>
      <c r="C37">
        <v>3</v>
      </c>
      <c r="D37">
        <v>1</v>
      </c>
      <c r="E37" s="16" t="s">
        <v>517</v>
      </c>
      <c r="F37" s="20">
        <v>92010030</v>
      </c>
      <c r="G37" s="18">
        <v>36000</v>
      </c>
      <c r="H37">
        <v>0</v>
      </c>
      <c r="I37">
        <v>5</v>
      </c>
      <c r="J37">
        <v>10000</v>
      </c>
      <c r="L37" t="s">
        <v>539</v>
      </c>
    </row>
    <row r="38" spans="1:12">
      <c r="A38">
        <v>10205</v>
      </c>
      <c r="B38">
        <v>10201</v>
      </c>
      <c r="C38">
        <v>4</v>
      </c>
      <c r="D38">
        <v>1</v>
      </c>
      <c r="E38" s="16" t="s">
        <v>518</v>
      </c>
      <c r="F38" s="20">
        <v>92010030</v>
      </c>
      <c r="G38" s="18">
        <v>48000</v>
      </c>
      <c r="H38">
        <v>0</v>
      </c>
      <c r="I38">
        <v>5</v>
      </c>
      <c r="J38">
        <v>10000</v>
      </c>
      <c r="L38" t="s">
        <v>539</v>
      </c>
    </row>
    <row r="39" spans="1:12">
      <c r="A39">
        <v>10206</v>
      </c>
      <c r="B39">
        <v>10201</v>
      </c>
      <c r="C39">
        <v>5</v>
      </c>
      <c r="D39">
        <v>1</v>
      </c>
      <c r="E39" s="16" t="s">
        <v>519</v>
      </c>
      <c r="F39" s="20">
        <v>92010030</v>
      </c>
      <c r="G39" s="18">
        <v>60000</v>
      </c>
      <c r="H39">
        <v>0</v>
      </c>
      <c r="I39">
        <v>5</v>
      </c>
      <c r="J39">
        <v>10000</v>
      </c>
      <c r="L39" t="s">
        <v>539</v>
      </c>
    </row>
    <row r="40" spans="1:12">
      <c r="A40">
        <v>10207</v>
      </c>
      <c r="B40">
        <v>10201</v>
      </c>
      <c r="C40">
        <v>6</v>
      </c>
      <c r="D40">
        <v>1</v>
      </c>
      <c r="E40" s="16" t="s">
        <v>520</v>
      </c>
      <c r="F40" s="20">
        <v>92010030</v>
      </c>
      <c r="G40" s="18">
        <v>72000</v>
      </c>
      <c r="H40">
        <v>0</v>
      </c>
      <c r="I40">
        <v>5</v>
      </c>
      <c r="J40">
        <v>10000</v>
      </c>
      <c r="L40" t="s">
        <v>539</v>
      </c>
    </row>
    <row r="41" spans="1:12">
      <c r="A41">
        <v>10208</v>
      </c>
      <c r="B41">
        <v>10201</v>
      </c>
      <c r="C41">
        <v>7</v>
      </c>
      <c r="D41">
        <v>1</v>
      </c>
      <c r="E41" s="16" t="s">
        <v>521</v>
      </c>
      <c r="F41" s="20">
        <v>92010030</v>
      </c>
      <c r="G41" s="18">
        <v>84000</v>
      </c>
      <c r="H41">
        <v>0</v>
      </c>
      <c r="I41">
        <v>5</v>
      </c>
      <c r="J41">
        <v>10000</v>
      </c>
      <c r="L41" t="s">
        <v>539</v>
      </c>
    </row>
    <row r="42" spans="1:12">
      <c r="A42">
        <v>10209</v>
      </c>
      <c r="B42">
        <v>10201</v>
      </c>
      <c r="C42">
        <v>8</v>
      </c>
      <c r="D42">
        <v>1</v>
      </c>
      <c r="E42" s="16" t="s">
        <v>522</v>
      </c>
      <c r="F42" s="20">
        <v>92010030</v>
      </c>
      <c r="G42" s="18">
        <v>96000</v>
      </c>
      <c r="H42">
        <v>0</v>
      </c>
      <c r="I42">
        <v>5</v>
      </c>
      <c r="J42">
        <v>10000</v>
      </c>
      <c r="L42" t="s">
        <v>539</v>
      </c>
    </row>
    <row r="43" spans="1:12">
      <c r="A43">
        <v>10210</v>
      </c>
      <c r="B43">
        <v>10201</v>
      </c>
      <c r="C43">
        <v>9</v>
      </c>
      <c r="D43">
        <v>1</v>
      </c>
      <c r="E43" s="16" t="s">
        <v>523</v>
      </c>
      <c r="F43" s="20">
        <v>92010030</v>
      </c>
      <c r="G43" s="18">
        <v>108000</v>
      </c>
      <c r="H43">
        <v>0</v>
      </c>
      <c r="I43">
        <v>5</v>
      </c>
      <c r="J43">
        <v>10000</v>
      </c>
      <c r="L43" t="s">
        <v>539</v>
      </c>
    </row>
    <row r="44" spans="1:12">
      <c r="A44">
        <v>10211</v>
      </c>
      <c r="B44">
        <v>10201</v>
      </c>
      <c r="C44">
        <v>10</v>
      </c>
      <c r="D44">
        <v>1</v>
      </c>
      <c r="E44" s="16" t="s">
        <v>526</v>
      </c>
      <c r="F44" s="21">
        <v>92010031</v>
      </c>
      <c r="G44" s="18">
        <v>120000</v>
      </c>
      <c r="H44">
        <v>800</v>
      </c>
      <c r="I44">
        <v>5</v>
      </c>
      <c r="J44">
        <v>10000</v>
      </c>
      <c r="K44" t="s">
        <v>540</v>
      </c>
      <c r="L44" t="s">
        <v>541</v>
      </c>
    </row>
    <row r="45" spans="1:12">
      <c r="A45">
        <v>10212</v>
      </c>
      <c r="B45">
        <v>10201</v>
      </c>
      <c r="C45">
        <v>11</v>
      </c>
      <c r="D45">
        <v>1</v>
      </c>
      <c r="E45" s="16" t="s">
        <v>529</v>
      </c>
      <c r="F45" s="21">
        <v>92010031</v>
      </c>
      <c r="G45" s="18">
        <v>132000</v>
      </c>
      <c r="H45">
        <v>800</v>
      </c>
      <c r="I45">
        <v>5</v>
      </c>
      <c r="J45">
        <v>10000</v>
      </c>
      <c r="L45" t="s">
        <v>541</v>
      </c>
    </row>
    <row r="46" spans="1:12">
      <c r="A46">
        <v>10213</v>
      </c>
      <c r="B46">
        <v>10201</v>
      </c>
      <c r="C46">
        <v>12</v>
      </c>
      <c r="D46">
        <v>1</v>
      </c>
      <c r="E46" s="16" t="s">
        <v>530</v>
      </c>
      <c r="F46" s="21">
        <v>92010031</v>
      </c>
      <c r="G46" s="18">
        <v>144000</v>
      </c>
      <c r="H46">
        <v>800</v>
      </c>
      <c r="I46">
        <v>5</v>
      </c>
      <c r="J46">
        <v>10000</v>
      </c>
      <c r="L46" t="s">
        <v>541</v>
      </c>
    </row>
    <row r="47" spans="1:12">
      <c r="A47">
        <v>10214</v>
      </c>
      <c r="B47">
        <v>10201</v>
      </c>
      <c r="C47">
        <v>13</v>
      </c>
      <c r="D47">
        <v>1</v>
      </c>
      <c r="E47" s="16" t="s">
        <v>531</v>
      </c>
      <c r="F47" s="21">
        <v>92010031</v>
      </c>
      <c r="G47" s="18">
        <v>156000</v>
      </c>
      <c r="H47">
        <v>800</v>
      </c>
      <c r="I47">
        <v>5</v>
      </c>
      <c r="J47">
        <v>10000</v>
      </c>
      <c r="L47" t="s">
        <v>541</v>
      </c>
    </row>
    <row r="48" spans="1:12">
      <c r="A48">
        <v>10215</v>
      </c>
      <c r="B48">
        <v>10201</v>
      </c>
      <c r="C48">
        <v>14</v>
      </c>
      <c r="D48">
        <v>1</v>
      </c>
      <c r="E48" s="16" t="s">
        <v>532</v>
      </c>
      <c r="F48" s="21">
        <v>92010031</v>
      </c>
      <c r="G48" s="18">
        <v>168000</v>
      </c>
      <c r="H48">
        <v>800</v>
      </c>
      <c r="I48">
        <v>5</v>
      </c>
      <c r="J48">
        <v>10000</v>
      </c>
      <c r="L48" t="s">
        <v>541</v>
      </c>
    </row>
    <row r="49" spans="1:12">
      <c r="A49">
        <v>10216</v>
      </c>
      <c r="B49">
        <v>10201</v>
      </c>
      <c r="C49">
        <v>15</v>
      </c>
      <c r="D49">
        <v>1</v>
      </c>
      <c r="E49" s="16" t="s">
        <v>533</v>
      </c>
      <c r="F49" s="21">
        <v>92010031</v>
      </c>
      <c r="G49" s="18">
        <v>180000</v>
      </c>
      <c r="H49">
        <v>800</v>
      </c>
      <c r="I49">
        <v>5</v>
      </c>
      <c r="J49">
        <v>10000</v>
      </c>
      <c r="L49" t="s">
        <v>541</v>
      </c>
    </row>
    <row r="50" spans="1:12">
      <c r="A50">
        <v>10217</v>
      </c>
      <c r="B50">
        <v>10201</v>
      </c>
      <c r="C50">
        <v>16</v>
      </c>
      <c r="D50">
        <v>1</v>
      </c>
      <c r="E50" s="16" t="s">
        <v>534</v>
      </c>
      <c r="F50" s="21">
        <v>92010031</v>
      </c>
      <c r="G50" s="18">
        <v>192000</v>
      </c>
      <c r="H50">
        <v>800</v>
      </c>
      <c r="I50">
        <v>5</v>
      </c>
      <c r="J50">
        <v>10000</v>
      </c>
      <c r="L50" t="s">
        <v>541</v>
      </c>
    </row>
    <row r="51" spans="1:12">
      <c r="A51">
        <v>10218</v>
      </c>
      <c r="B51">
        <v>10201</v>
      </c>
      <c r="C51">
        <v>17</v>
      </c>
      <c r="D51">
        <v>1</v>
      </c>
      <c r="E51" s="16" t="s">
        <v>535</v>
      </c>
      <c r="F51" s="21">
        <v>92010031</v>
      </c>
      <c r="G51" s="18">
        <v>204000</v>
      </c>
      <c r="H51">
        <v>800</v>
      </c>
      <c r="I51">
        <v>5</v>
      </c>
      <c r="J51">
        <v>10000</v>
      </c>
      <c r="L51" t="s">
        <v>541</v>
      </c>
    </row>
    <row r="52" spans="1:12">
      <c r="A52">
        <v>10219</v>
      </c>
      <c r="B52">
        <v>10201</v>
      </c>
      <c r="C52">
        <v>18</v>
      </c>
      <c r="D52">
        <v>1</v>
      </c>
      <c r="E52" s="16" t="s">
        <v>536</v>
      </c>
      <c r="F52" s="21">
        <v>92010031</v>
      </c>
      <c r="G52" s="18">
        <v>216000</v>
      </c>
      <c r="H52">
        <v>800</v>
      </c>
      <c r="I52">
        <v>5</v>
      </c>
      <c r="J52">
        <v>10000</v>
      </c>
      <c r="L52" t="s">
        <v>541</v>
      </c>
    </row>
    <row r="53" spans="1:12">
      <c r="A53">
        <v>10220</v>
      </c>
      <c r="B53">
        <v>10201</v>
      </c>
      <c r="C53">
        <v>19</v>
      </c>
      <c r="D53">
        <v>1</v>
      </c>
      <c r="E53" s="16" t="s">
        <v>537</v>
      </c>
      <c r="F53" s="21">
        <v>92010031</v>
      </c>
      <c r="G53" s="18">
        <v>228000</v>
      </c>
      <c r="H53">
        <v>800</v>
      </c>
      <c r="I53">
        <v>5</v>
      </c>
      <c r="J53">
        <v>10000</v>
      </c>
      <c r="L53" t="s">
        <v>541</v>
      </c>
    </row>
    <row r="54" spans="1:12">
      <c r="A54">
        <v>10221</v>
      </c>
      <c r="B54">
        <v>10201</v>
      </c>
      <c r="C54">
        <v>20</v>
      </c>
      <c r="D54">
        <v>1</v>
      </c>
      <c r="E54" s="16" t="s">
        <v>542</v>
      </c>
      <c r="F54" s="21">
        <v>92010032</v>
      </c>
      <c r="G54" s="18">
        <v>240000</v>
      </c>
      <c r="H54">
        <v>1600</v>
      </c>
      <c r="I54">
        <v>5</v>
      </c>
      <c r="J54">
        <v>10000</v>
      </c>
      <c r="K54" t="s">
        <v>543</v>
      </c>
      <c r="L54" t="s">
        <v>544</v>
      </c>
    </row>
    <row r="55" spans="1:12">
      <c r="A55">
        <v>10222</v>
      </c>
      <c r="B55">
        <v>10201</v>
      </c>
      <c r="C55">
        <v>21</v>
      </c>
      <c r="D55">
        <v>1</v>
      </c>
      <c r="E55" s="16" t="s">
        <v>545</v>
      </c>
      <c r="F55" s="21">
        <v>92010032</v>
      </c>
      <c r="G55" s="18">
        <v>252000</v>
      </c>
      <c r="H55">
        <v>1600</v>
      </c>
      <c r="I55">
        <v>5</v>
      </c>
      <c r="J55">
        <v>10000</v>
      </c>
      <c r="L55" t="s">
        <v>544</v>
      </c>
    </row>
    <row r="56" spans="1:12">
      <c r="A56">
        <v>10223</v>
      </c>
      <c r="B56">
        <v>10201</v>
      </c>
      <c r="C56">
        <v>22</v>
      </c>
      <c r="D56">
        <v>1</v>
      </c>
      <c r="E56" s="16" t="s">
        <v>546</v>
      </c>
      <c r="F56" s="21">
        <v>92010032</v>
      </c>
      <c r="G56" s="18">
        <v>264000</v>
      </c>
      <c r="H56">
        <v>1600</v>
      </c>
      <c r="I56">
        <v>5</v>
      </c>
      <c r="J56">
        <v>10000</v>
      </c>
      <c r="L56" t="s">
        <v>544</v>
      </c>
    </row>
    <row r="57" spans="1:12">
      <c r="A57">
        <v>10224</v>
      </c>
      <c r="B57">
        <v>10201</v>
      </c>
      <c r="C57">
        <v>23</v>
      </c>
      <c r="D57">
        <v>1</v>
      </c>
      <c r="E57" s="16" t="s">
        <v>547</v>
      </c>
      <c r="F57" s="21">
        <v>92010032</v>
      </c>
      <c r="G57" s="18">
        <v>276000</v>
      </c>
      <c r="H57">
        <v>1600</v>
      </c>
      <c r="I57">
        <v>5</v>
      </c>
      <c r="J57">
        <v>10000</v>
      </c>
      <c r="L57" t="s">
        <v>544</v>
      </c>
    </row>
    <row r="58" spans="1:12">
      <c r="A58">
        <v>10225</v>
      </c>
      <c r="B58">
        <v>10201</v>
      </c>
      <c r="C58">
        <v>24</v>
      </c>
      <c r="D58">
        <v>1</v>
      </c>
      <c r="E58" s="16" t="s">
        <v>548</v>
      </c>
      <c r="F58" s="21">
        <v>92010032</v>
      </c>
      <c r="G58" s="18">
        <v>288000</v>
      </c>
      <c r="H58">
        <v>1600</v>
      </c>
      <c r="I58">
        <v>5</v>
      </c>
      <c r="J58">
        <v>10000</v>
      </c>
      <c r="L58" t="s">
        <v>544</v>
      </c>
    </row>
    <row r="59" spans="1:12">
      <c r="A59">
        <v>10226</v>
      </c>
      <c r="B59">
        <v>10201</v>
      </c>
      <c r="C59">
        <v>25</v>
      </c>
      <c r="D59">
        <v>1</v>
      </c>
      <c r="E59" s="16" t="s">
        <v>549</v>
      </c>
      <c r="F59" s="21">
        <v>92010032</v>
      </c>
      <c r="G59" s="18">
        <v>300000</v>
      </c>
      <c r="H59">
        <v>1600</v>
      </c>
      <c r="I59">
        <v>5</v>
      </c>
      <c r="J59">
        <v>10000</v>
      </c>
      <c r="L59" t="s">
        <v>544</v>
      </c>
    </row>
    <row r="60" spans="1:12">
      <c r="A60">
        <v>10227</v>
      </c>
      <c r="B60">
        <v>10201</v>
      </c>
      <c r="C60">
        <v>26</v>
      </c>
      <c r="D60">
        <v>1</v>
      </c>
      <c r="E60" s="16" t="s">
        <v>550</v>
      </c>
      <c r="F60" s="21">
        <v>92010032</v>
      </c>
      <c r="G60" s="18">
        <v>312000</v>
      </c>
      <c r="H60">
        <v>1600</v>
      </c>
      <c r="I60">
        <v>5</v>
      </c>
      <c r="J60">
        <v>10000</v>
      </c>
      <c r="L60" t="s">
        <v>544</v>
      </c>
    </row>
    <row r="61" spans="1:12">
      <c r="A61">
        <v>10228</v>
      </c>
      <c r="B61">
        <v>10201</v>
      </c>
      <c r="C61">
        <v>27</v>
      </c>
      <c r="D61">
        <v>1</v>
      </c>
      <c r="E61" s="16" t="s">
        <v>551</v>
      </c>
      <c r="F61" s="21">
        <v>92010032</v>
      </c>
      <c r="G61" s="18">
        <v>324000</v>
      </c>
      <c r="H61">
        <v>1600</v>
      </c>
      <c r="I61">
        <v>5</v>
      </c>
      <c r="J61">
        <v>10000</v>
      </c>
      <c r="L61" t="s">
        <v>544</v>
      </c>
    </row>
    <row r="62" spans="1:12">
      <c r="A62">
        <v>10229</v>
      </c>
      <c r="B62">
        <v>10201</v>
      </c>
      <c r="C62">
        <v>28</v>
      </c>
      <c r="D62">
        <v>1</v>
      </c>
      <c r="E62" s="16" t="s">
        <v>552</v>
      </c>
      <c r="F62" s="21">
        <v>92010032</v>
      </c>
      <c r="G62" s="18">
        <v>336000</v>
      </c>
      <c r="H62">
        <v>1600</v>
      </c>
      <c r="I62">
        <v>5</v>
      </c>
      <c r="J62">
        <v>10000</v>
      </c>
      <c r="L62" t="s">
        <v>544</v>
      </c>
    </row>
    <row r="63" spans="1:12">
      <c r="A63">
        <v>10230</v>
      </c>
      <c r="B63">
        <v>10201</v>
      </c>
      <c r="C63">
        <v>29</v>
      </c>
      <c r="D63">
        <v>1</v>
      </c>
      <c r="E63" s="16" t="s">
        <v>553</v>
      </c>
      <c r="F63" s="21">
        <v>92010032</v>
      </c>
      <c r="G63" s="18">
        <v>348000</v>
      </c>
      <c r="H63">
        <v>1600</v>
      </c>
      <c r="I63">
        <v>5</v>
      </c>
      <c r="J63">
        <v>10000</v>
      </c>
      <c r="L63" t="s">
        <v>544</v>
      </c>
    </row>
    <row r="64" spans="1:12">
      <c r="A64">
        <v>10231</v>
      </c>
      <c r="B64">
        <v>10201</v>
      </c>
      <c r="C64">
        <v>30</v>
      </c>
      <c r="D64">
        <v>1</v>
      </c>
      <c r="E64" s="16" t="s">
        <v>98</v>
      </c>
      <c r="F64" s="21">
        <v>92010033</v>
      </c>
      <c r="G64" s="18">
        <v>360000</v>
      </c>
      <c r="H64">
        <v>2400</v>
      </c>
      <c r="I64">
        <v>5</v>
      </c>
      <c r="J64">
        <v>10000</v>
      </c>
      <c r="K64" t="s">
        <v>554</v>
      </c>
      <c r="L64" t="s">
        <v>555</v>
      </c>
    </row>
    <row r="65" spans="1:12">
      <c r="A65">
        <v>10301</v>
      </c>
      <c r="B65">
        <v>10301</v>
      </c>
      <c r="C65" s="3">
        <v>0</v>
      </c>
      <c r="D65">
        <v>1</v>
      </c>
      <c r="E65" s="16" t="s">
        <v>513</v>
      </c>
      <c r="F65" s="23">
        <v>92010040</v>
      </c>
      <c r="G65">
        <v>0</v>
      </c>
      <c r="H65">
        <v>0</v>
      </c>
      <c r="I65">
        <v>5</v>
      </c>
      <c r="J65">
        <v>10000</v>
      </c>
      <c r="L65" t="s">
        <v>555</v>
      </c>
    </row>
    <row r="66" spans="1:12">
      <c r="A66">
        <v>10302</v>
      </c>
      <c r="B66">
        <v>10301</v>
      </c>
      <c r="C66">
        <v>1</v>
      </c>
      <c r="D66">
        <v>1</v>
      </c>
      <c r="E66" s="16" t="s">
        <v>515</v>
      </c>
      <c r="F66" s="23">
        <v>92010040</v>
      </c>
      <c r="G66" s="18">
        <v>18000</v>
      </c>
      <c r="H66">
        <v>0</v>
      </c>
      <c r="I66">
        <v>5</v>
      </c>
      <c r="J66">
        <v>10000</v>
      </c>
      <c r="L66" t="s">
        <v>555</v>
      </c>
    </row>
    <row r="67" spans="1:12">
      <c r="A67">
        <v>10303</v>
      </c>
      <c r="B67">
        <v>10301</v>
      </c>
      <c r="C67">
        <v>2</v>
      </c>
      <c r="D67">
        <v>1</v>
      </c>
      <c r="E67" s="16" t="s">
        <v>516</v>
      </c>
      <c r="F67" s="23">
        <v>92010040</v>
      </c>
      <c r="G67" s="18">
        <v>36000</v>
      </c>
      <c r="H67">
        <v>0</v>
      </c>
      <c r="I67">
        <v>5</v>
      </c>
      <c r="J67">
        <v>10000</v>
      </c>
      <c r="L67" t="s">
        <v>555</v>
      </c>
    </row>
    <row r="68" spans="1:12">
      <c r="A68">
        <v>10304</v>
      </c>
      <c r="B68">
        <v>10301</v>
      </c>
      <c r="C68">
        <v>3</v>
      </c>
      <c r="D68">
        <v>1</v>
      </c>
      <c r="E68" s="16" t="s">
        <v>517</v>
      </c>
      <c r="F68" s="23">
        <v>92010040</v>
      </c>
      <c r="G68" s="18">
        <v>54000</v>
      </c>
      <c r="H68">
        <v>0</v>
      </c>
      <c r="I68">
        <v>5</v>
      </c>
      <c r="J68">
        <v>10000</v>
      </c>
      <c r="L68" t="s">
        <v>555</v>
      </c>
    </row>
    <row r="69" spans="1:12">
      <c r="A69">
        <v>10305</v>
      </c>
      <c r="B69">
        <v>10301</v>
      </c>
      <c r="C69">
        <v>4</v>
      </c>
      <c r="D69">
        <v>1</v>
      </c>
      <c r="E69" s="16" t="s">
        <v>518</v>
      </c>
      <c r="F69" s="23">
        <v>92010040</v>
      </c>
      <c r="G69" s="18">
        <v>72000</v>
      </c>
      <c r="H69">
        <v>0</v>
      </c>
      <c r="I69">
        <v>5</v>
      </c>
      <c r="J69">
        <v>10000</v>
      </c>
      <c r="L69" t="s">
        <v>555</v>
      </c>
    </row>
    <row r="70" spans="1:12">
      <c r="A70">
        <v>10306</v>
      </c>
      <c r="B70">
        <v>10301</v>
      </c>
      <c r="C70">
        <v>5</v>
      </c>
      <c r="D70">
        <v>1</v>
      </c>
      <c r="E70" s="16" t="s">
        <v>519</v>
      </c>
      <c r="F70" s="23">
        <v>92010040</v>
      </c>
      <c r="G70" s="18">
        <v>90000</v>
      </c>
      <c r="H70">
        <v>0</v>
      </c>
      <c r="I70">
        <v>5</v>
      </c>
      <c r="J70">
        <v>10000</v>
      </c>
      <c r="L70" t="s">
        <v>555</v>
      </c>
    </row>
    <row r="71" spans="1:12">
      <c r="A71">
        <v>10307</v>
      </c>
      <c r="B71">
        <v>10301</v>
      </c>
      <c r="C71">
        <v>6</v>
      </c>
      <c r="D71">
        <v>1</v>
      </c>
      <c r="E71" s="16" t="s">
        <v>520</v>
      </c>
      <c r="F71" s="23">
        <v>92010040</v>
      </c>
      <c r="G71" s="18">
        <v>108000</v>
      </c>
      <c r="H71">
        <v>0</v>
      </c>
      <c r="I71">
        <v>5</v>
      </c>
      <c r="J71">
        <v>10000</v>
      </c>
      <c r="L71" t="s">
        <v>555</v>
      </c>
    </row>
    <row r="72" spans="1:12">
      <c r="A72">
        <v>10308</v>
      </c>
      <c r="B72">
        <v>10301</v>
      </c>
      <c r="C72">
        <v>7</v>
      </c>
      <c r="D72">
        <v>1</v>
      </c>
      <c r="E72" s="16" t="s">
        <v>521</v>
      </c>
      <c r="F72" s="23">
        <v>92010040</v>
      </c>
      <c r="G72" s="18">
        <v>126000</v>
      </c>
      <c r="H72">
        <v>0</v>
      </c>
      <c r="I72">
        <v>5</v>
      </c>
      <c r="J72">
        <v>10000</v>
      </c>
      <c r="L72" t="s">
        <v>555</v>
      </c>
    </row>
    <row r="73" spans="1:12">
      <c r="A73">
        <v>10309</v>
      </c>
      <c r="B73">
        <v>10301</v>
      </c>
      <c r="C73">
        <v>8</v>
      </c>
      <c r="D73">
        <v>1</v>
      </c>
      <c r="E73" s="16" t="s">
        <v>522</v>
      </c>
      <c r="F73" s="23">
        <v>92010040</v>
      </c>
      <c r="G73" s="18">
        <v>144000</v>
      </c>
      <c r="H73">
        <v>0</v>
      </c>
      <c r="I73">
        <v>5</v>
      </c>
      <c r="J73">
        <v>10000</v>
      </c>
      <c r="L73" t="s">
        <v>555</v>
      </c>
    </row>
    <row r="74" spans="1:12">
      <c r="A74">
        <v>10310</v>
      </c>
      <c r="B74">
        <v>10301</v>
      </c>
      <c r="C74">
        <v>9</v>
      </c>
      <c r="D74">
        <v>1</v>
      </c>
      <c r="E74" s="16" t="s">
        <v>523</v>
      </c>
      <c r="F74" s="23">
        <v>92010040</v>
      </c>
      <c r="G74" s="18">
        <v>162000</v>
      </c>
      <c r="H74">
        <v>0</v>
      </c>
      <c r="I74">
        <v>5</v>
      </c>
      <c r="J74">
        <v>10000</v>
      </c>
      <c r="L74" t="s">
        <v>555</v>
      </c>
    </row>
    <row r="75" spans="1:12">
      <c r="A75">
        <v>10311</v>
      </c>
      <c r="B75">
        <v>10301</v>
      </c>
      <c r="C75">
        <v>10</v>
      </c>
      <c r="D75">
        <v>1</v>
      </c>
      <c r="E75" s="16" t="s">
        <v>526</v>
      </c>
      <c r="F75" s="23">
        <v>92010042</v>
      </c>
      <c r="G75" s="18">
        <v>180000</v>
      </c>
      <c r="H75">
        <v>1600</v>
      </c>
      <c r="I75">
        <v>5</v>
      </c>
      <c r="J75">
        <v>10000</v>
      </c>
      <c r="K75" t="s">
        <v>556</v>
      </c>
      <c r="L75" t="s">
        <v>557</v>
      </c>
    </row>
    <row r="76" spans="1:12">
      <c r="A76">
        <v>10312</v>
      </c>
      <c r="B76">
        <v>10301</v>
      </c>
      <c r="C76">
        <v>11</v>
      </c>
      <c r="D76">
        <v>1</v>
      </c>
      <c r="E76" s="16" t="s">
        <v>529</v>
      </c>
      <c r="F76" s="23">
        <v>92010042</v>
      </c>
      <c r="G76" s="18">
        <v>198000</v>
      </c>
      <c r="H76">
        <v>1600</v>
      </c>
      <c r="I76">
        <v>5</v>
      </c>
      <c r="J76">
        <v>10000</v>
      </c>
      <c r="L76" t="s">
        <v>557</v>
      </c>
    </row>
    <row r="77" spans="1:12">
      <c r="A77">
        <v>10313</v>
      </c>
      <c r="B77">
        <v>10301</v>
      </c>
      <c r="C77">
        <v>12</v>
      </c>
      <c r="D77">
        <v>1</v>
      </c>
      <c r="E77" s="16" t="s">
        <v>530</v>
      </c>
      <c r="F77" s="23">
        <v>92010042</v>
      </c>
      <c r="G77" s="18">
        <v>216000</v>
      </c>
      <c r="H77">
        <v>1600</v>
      </c>
      <c r="I77">
        <v>5</v>
      </c>
      <c r="J77">
        <v>10000</v>
      </c>
      <c r="L77" t="s">
        <v>557</v>
      </c>
    </row>
    <row r="78" spans="1:12">
      <c r="A78">
        <v>10314</v>
      </c>
      <c r="B78">
        <v>10301</v>
      </c>
      <c r="C78">
        <v>13</v>
      </c>
      <c r="D78">
        <v>1</v>
      </c>
      <c r="E78" s="16" t="s">
        <v>531</v>
      </c>
      <c r="F78" s="23">
        <v>92010042</v>
      </c>
      <c r="G78" s="18">
        <v>234000</v>
      </c>
      <c r="H78">
        <v>1600</v>
      </c>
      <c r="I78">
        <v>5</v>
      </c>
      <c r="J78">
        <v>10000</v>
      </c>
      <c r="L78" t="s">
        <v>557</v>
      </c>
    </row>
    <row r="79" spans="1:12">
      <c r="A79">
        <v>10315</v>
      </c>
      <c r="B79">
        <v>10301</v>
      </c>
      <c r="C79">
        <v>14</v>
      </c>
      <c r="D79">
        <v>1</v>
      </c>
      <c r="E79" s="16" t="s">
        <v>532</v>
      </c>
      <c r="F79" s="23">
        <v>92010042</v>
      </c>
      <c r="G79" s="18">
        <v>252000</v>
      </c>
      <c r="H79">
        <v>1600</v>
      </c>
      <c r="I79">
        <v>5</v>
      </c>
      <c r="J79">
        <v>10000</v>
      </c>
      <c r="L79" t="s">
        <v>557</v>
      </c>
    </row>
    <row r="80" spans="1:12">
      <c r="A80">
        <v>10316</v>
      </c>
      <c r="B80">
        <v>10301</v>
      </c>
      <c r="C80">
        <v>15</v>
      </c>
      <c r="D80">
        <v>1</v>
      </c>
      <c r="E80" s="16" t="s">
        <v>533</v>
      </c>
      <c r="F80" s="23">
        <v>92010042</v>
      </c>
      <c r="G80" s="18">
        <v>270000</v>
      </c>
      <c r="H80">
        <v>1600</v>
      </c>
      <c r="I80">
        <v>5</v>
      </c>
      <c r="J80">
        <v>10000</v>
      </c>
      <c r="L80" t="s">
        <v>557</v>
      </c>
    </row>
    <row r="81" spans="1:12">
      <c r="A81">
        <v>10317</v>
      </c>
      <c r="B81">
        <v>10301</v>
      </c>
      <c r="C81">
        <v>16</v>
      </c>
      <c r="D81">
        <v>1</v>
      </c>
      <c r="E81" s="16" t="s">
        <v>534</v>
      </c>
      <c r="F81" s="23">
        <v>92010042</v>
      </c>
      <c r="G81" s="18">
        <v>288000</v>
      </c>
      <c r="H81">
        <v>1600</v>
      </c>
      <c r="I81">
        <v>5</v>
      </c>
      <c r="J81">
        <v>10000</v>
      </c>
      <c r="L81" t="s">
        <v>557</v>
      </c>
    </row>
    <row r="82" spans="1:12">
      <c r="A82">
        <v>10318</v>
      </c>
      <c r="B82">
        <v>10301</v>
      </c>
      <c r="C82">
        <v>17</v>
      </c>
      <c r="D82">
        <v>1</v>
      </c>
      <c r="E82" s="16" t="s">
        <v>535</v>
      </c>
      <c r="F82" s="23">
        <v>92010042</v>
      </c>
      <c r="G82" s="18">
        <v>306000</v>
      </c>
      <c r="H82">
        <v>1600</v>
      </c>
      <c r="I82">
        <v>5</v>
      </c>
      <c r="J82">
        <v>10000</v>
      </c>
      <c r="L82" t="s">
        <v>557</v>
      </c>
    </row>
    <row r="83" spans="1:12">
      <c r="A83">
        <v>10319</v>
      </c>
      <c r="B83">
        <v>10301</v>
      </c>
      <c r="C83">
        <v>18</v>
      </c>
      <c r="D83">
        <v>1</v>
      </c>
      <c r="E83" s="16" t="s">
        <v>536</v>
      </c>
      <c r="F83" s="23">
        <v>92010042</v>
      </c>
      <c r="G83" s="18">
        <v>324000</v>
      </c>
      <c r="H83">
        <v>1600</v>
      </c>
      <c r="I83">
        <v>5</v>
      </c>
      <c r="J83">
        <v>10000</v>
      </c>
      <c r="L83" t="s">
        <v>557</v>
      </c>
    </row>
    <row r="84" spans="1:12">
      <c r="A84">
        <v>10320</v>
      </c>
      <c r="B84">
        <v>10301</v>
      </c>
      <c r="C84">
        <v>19</v>
      </c>
      <c r="D84">
        <v>1</v>
      </c>
      <c r="E84" s="16" t="s">
        <v>537</v>
      </c>
      <c r="F84" s="23">
        <v>92010042</v>
      </c>
      <c r="G84" s="18">
        <v>342000</v>
      </c>
      <c r="H84">
        <v>1600</v>
      </c>
      <c r="I84">
        <v>5</v>
      </c>
      <c r="J84">
        <v>10000</v>
      </c>
      <c r="L84" t="s">
        <v>557</v>
      </c>
    </row>
    <row r="85" spans="1:12">
      <c r="A85">
        <v>10321</v>
      </c>
      <c r="B85">
        <v>10301</v>
      </c>
      <c r="C85">
        <v>20</v>
      </c>
      <c r="D85">
        <v>1</v>
      </c>
      <c r="E85" s="16" t="s">
        <v>542</v>
      </c>
      <c r="F85" s="23">
        <v>92010043</v>
      </c>
      <c r="G85" s="18">
        <v>360000</v>
      </c>
      <c r="H85">
        <v>2400</v>
      </c>
      <c r="I85">
        <v>5</v>
      </c>
      <c r="J85">
        <v>10000</v>
      </c>
      <c r="K85" t="s">
        <v>558</v>
      </c>
      <c r="L85" t="s">
        <v>559</v>
      </c>
    </row>
    <row r="86" spans="1:12">
      <c r="A86">
        <v>10322</v>
      </c>
      <c r="B86">
        <v>10301</v>
      </c>
      <c r="C86">
        <v>21</v>
      </c>
      <c r="D86">
        <v>1</v>
      </c>
      <c r="E86" s="16" t="s">
        <v>545</v>
      </c>
      <c r="F86" s="23">
        <v>92010042</v>
      </c>
      <c r="G86" s="18">
        <v>378000</v>
      </c>
      <c r="H86">
        <v>2400</v>
      </c>
      <c r="I86">
        <v>5</v>
      </c>
      <c r="J86">
        <v>10000</v>
      </c>
      <c r="L86" t="s">
        <v>559</v>
      </c>
    </row>
    <row r="87" spans="1:12">
      <c r="A87">
        <v>10323</v>
      </c>
      <c r="B87">
        <v>10301</v>
      </c>
      <c r="C87">
        <v>22</v>
      </c>
      <c r="D87">
        <v>1</v>
      </c>
      <c r="E87" s="16" t="s">
        <v>546</v>
      </c>
      <c r="F87" s="23">
        <v>92010042</v>
      </c>
      <c r="G87" s="18">
        <v>396000</v>
      </c>
      <c r="H87">
        <v>2400</v>
      </c>
      <c r="I87">
        <v>5</v>
      </c>
      <c r="J87">
        <v>10000</v>
      </c>
      <c r="L87" t="s">
        <v>559</v>
      </c>
    </row>
    <row r="88" spans="1:12">
      <c r="A88">
        <v>10324</v>
      </c>
      <c r="B88">
        <v>10301</v>
      </c>
      <c r="C88">
        <v>23</v>
      </c>
      <c r="D88">
        <v>1</v>
      </c>
      <c r="E88" s="16" t="s">
        <v>547</v>
      </c>
      <c r="F88" s="23">
        <v>92010042</v>
      </c>
      <c r="G88" s="18">
        <v>414000</v>
      </c>
      <c r="H88">
        <v>2400</v>
      </c>
      <c r="I88">
        <v>5</v>
      </c>
      <c r="J88">
        <v>10000</v>
      </c>
      <c r="L88" t="s">
        <v>559</v>
      </c>
    </row>
    <row r="89" spans="1:12">
      <c r="A89">
        <v>10325</v>
      </c>
      <c r="B89">
        <v>10301</v>
      </c>
      <c r="C89">
        <v>24</v>
      </c>
      <c r="D89">
        <v>1</v>
      </c>
      <c r="E89" s="16" t="s">
        <v>548</v>
      </c>
      <c r="F89" s="23">
        <v>92010042</v>
      </c>
      <c r="G89" s="18">
        <v>432000</v>
      </c>
      <c r="H89">
        <v>2400</v>
      </c>
      <c r="I89">
        <v>5</v>
      </c>
      <c r="J89">
        <v>10000</v>
      </c>
      <c r="L89" t="s">
        <v>559</v>
      </c>
    </row>
    <row r="90" spans="1:12">
      <c r="A90">
        <v>10326</v>
      </c>
      <c r="B90">
        <v>10301</v>
      </c>
      <c r="C90">
        <v>25</v>
      </c>
      <c r="D90">
        <v>1</v>
      </c>
      <c r="E90" s="16" t="s">
        <v>549</v>
      </c>
      <c r="F90" s="23">
        <v>92010042</v>
      </c>
      <c r="G90" s="18">
        <v>450000</v>
      </c>
      <c r="H90">
        <v>2400</v>
      </c>
      <c r="I90">
        <v>5</v>
      </c>
      <c r="J90">
        <v>10000</v>
      </c>
      <c r="L90" t="s">
        <v>559</v>
      </c>
    </row>
    <row r="91" spans="1:12">
      <c r="A91">
        <v>10327</v>
      </c>
      <c r="B91">
        <v>10301</v>
      </c>
      <c r="C91">
        <v>26</v>
      </c>
      <c r="D91">
        <v>1</v>
      </c>
      <c r="E91" s="16" t="s">
        <v>550</v>
      </c>
      <c r="F91" s="23">
        <v>92010042</v>
      </c>
      <c r="G91" s="18">
        <v>468000</v>
      </c>
      <c r="H91">
        <v>2400</v>
      </c>
      <c r="I91">
        <v>5</v>
      </c>
      <c r="J91">
        <v>10000</v>
      </c>
      <c r="L91" t="s">
        <v>559</v>
      </c>
    </row>
    <row r="92" spans="1:12">
      <c r="A92">
        <v>10328</v>
      </c>
      <c r="B92">
        <v>10301</v>
      </c>
      <c r="C92">
        <v>27</v>
      </c>
      <c r="D92">
        <v>1</v>
      </c>
      <c r="E92" s="16" t="s">
        <v>551</v>
      </c>
      <c r="F92" s="23">
        <v>92010042</v>
      </c>
      <c r="G92" s="18">
        <v>486000</v>
      </c>
      <c r="H92">
        <v>2400</v>
      </c>
      <c r="I92">
        <v>5</v>
      </c>
      <c r="J92">
        <v>10000</v>
      </c>
      <c r="L92" t="s">
        <v>559</v>
      </c>
    </row>
    <row r="93" spans="1:12">
      <c r="A93">
        <v>10329</v>
      </c>
      <c r="B93">
        <v>10301</v>
      </c>
      <c r="C93">
        <v>28</v>
      </c>
      <c r="D93">
        <v>1</v>
      </c>
      <c r="E93" s="16" t="s">
        <v>552</v>
      </c>
      <c r="F93" s="23">
        <v>92010042</v>
      </c>
      <c r="G93" s="18">
        <v>504000</v>
      </c>
      <c r="H93">
        <v>2400</v>
      </c>
      <c r="I93">
        <v>5</v>
      </c>
      <c r="J93">
        <v>10000</v>
      </c>
      <c r="L93" t="s">
        <v>559</v>
      </c>
    </row>
    <row r="94" spans="1:12">
      <c r="A94">
        <v>10330</v>
      </c>
      <c r="B94">
        <v>10301</v>
      </c>
      <c r="C94">
        <v>29</v>
      </c>
      <c r="D94">
        <v>1</v>
      </c>
      <c r="E94" s="16" t="s">
        <v>553</v>
      </c>
      <c r="F94" s="23">
        <v>92010042</v>
      </c>
      <c r="G94" s="18">
        <v>522000</v>
      </c>
      <c r="H94">
        <v>2400</v>
      </c>
      <c r="I94">
        <v>5</v>
      </c>
      <c r="J94">
        <v>10000</v>
      </c>
      <c r="L94" t="s">
        <v>559</v>
      </c>
    </row>
    <row r="95" spans="1:12">
      <c r="A95">
        <v>10331</v>
      </c>
      <c r="B95">
        <v>10301</v>
      </c>
      <c r="C95">
        <v>30</v>
      </c>
      <c r="D95">
        <v>1</v>
      </c>
      <c r="E95" s="16" t="s">
        <v>98</v>
      </c>
      <c r="F95" s="23">
        <v>92010043</v>
      </c>
      <c r="G95" s="18">
        <v>540000</v>
      </c>
      <c r="H95">
        <v>3600</v>
      </c>
      <c r="I95">
        <v>5</v>
      </c>
      <c r="J95">
        <v>10000</v>
      </c>
      <c r="K95" t="s">
        <v>560</v>
      </c>
      <c r="L95" t="s">
        <v>561</v>
      </c>
    </row>
    <row r="96" spans="1:12">
      <c r="A96">
        <v>20001</v>
      </c>
      <c r="B96">
        <v>20001</v>
      </c>
      <c r="C96">
        <v>0</v>
      </c>
      <c r="D96">
        <v>1</v>
      </c>
      <c r="E96" s="16" t="s">
        <v>513</v>
      </c>
      <c r="F96" s="20">
        <v>92020010</v>
      </c>
      <c r="G96" s="8">
        <v>0</v>
      </c>
      <c r="H96">
        <v>0</v>
      </c>
      <c r="I96">
        <v>1</v>
      </c>
      <c r="J96">
        <v>10000</v>
      </c>
      <c r="L96" t="s">
        <v>562</v>
      </c>
    </row>
    <row r="97" spans="1:12">
      <c r="A97">
        <v>20002</v>
      </c>
      <c r="B97">
        <v>20001</v>
      </c>
      <c r="C97">
        <v>1</v>
      </c>
      <c r="D97">
        <v>1</v>
      </c>
      <c r="E97" s="16" t="s">
        <v>515</v>
      </c>
      <c r="F97" s="20">
        <v>92020010</v>
      </c>
      <c r="G97" s="24">
        <v>13500</v>
      </c>
      <c r="H97">
        <v>0</v>
      </c>
      <c r="I97">
        <v>1</v>
      </c>
      <c r="J97">
        <v>10000</v>
      </c>
      <c r="L97" t="s">
        <v>563</v>
      </c>
    </row>
    <row r="98" spans="1:12">
      <c r="A98">
        <v>20003</v>
      </c>
      <c r="B98">
        <v>20001</v>
      </c>
      <c r="C98">
        <v>2</v>
      </c>
      <c r="D98">
        <v>1</v>
      </c>
      <c r="E98" s="16" t="s">
        <v>516</v>
      </c>
      <c r="F98" s="20">
        <v>92020010</v>
      </c>
      <c r="G98" s="24">
        <v>27000</v>
      </c>
      <c r="H98">
        <v>0</v>
      </c>
      <c r="I98">
        <v>1</v>
      </c>
      <c r="J98">
        <v>10000</v>
      </c>
      <c r="L98" t="s">
        <v>563</v>
      </c>
    </row>
    <row r="99" spans="1:12">
      <c r="A99">
        <v>20004</v>
      </c>
      <c r="B99">
        <v>20001</v>
      </c>
      <c r="C99">
        <v>3</v>
      </c>
      <c r="D99">
        <v>1</v>
      </c>
      <c r="E99" s="16" t="s">
        <v>517</v>
      </c>
      <c r="F99" s="20">
        <v>92020010</v>
      </c>
      <c r="G99" s="24">
        <v>40500</v>
      </c>
      <c r="H99">
        <v>0</v>
      </c>
      <c r="I99">
        <v>1</v>
      </c>
      <c r="J99">
        <v>10000</v>
      </c>
      <c r="L99" t="s">
        <v>563</v>
      </c>
    </row>
    <row r="100" spans="1:12">
      <c r="A100">
        <v>20005</v>
      </c>
      <c r="B100">
        <v>20001</v>
      </c>
      <c r="C100">
        <v>4</v>
      </c>
      <c r="D100">
        <v>1</v>
      </c>
      <c r="E100" s="16" t="s">
        <v>518</v>
      </c>
      <c r="F100" s="20">
        <v>92020010</v>
      </c>
      <c r="G100" s="24">
        <v>54000</v>
      </c>
      <c r="H100">
        <v>0</v>
      </c>
      <c r="I100">
        <v>1</v>
      </c>
      <c r="J100">
        <v>10000</v>
      </c>
      <c r="L100" t="s">
        <v>563</v>
      </c>
    </row>
    <row r="101" spans="1:12">
      <c r="A101">
        <v>20006</v>
      </c>
      <c r="B101">
        <v>20001</v>
      </c>
      <c r="C101">
        <v>5</v>
      </c>
      <c r="D101">
        <v>1</v>
      </c>
      <c r="E101" s="16" t="s">
        <v>519</v>
      </c>
      <c r="F101" s="20">
        <v>92020010</v>
      </c>
      <c r="G101" s="24">
        <v>67500</v>
      </c>
      <c r="H101">
        <v>0</v>
      </c>
      <c r="I101">
        <v>1</v>
      </c>
      <c r="J101">
        <v>10000</v>
      </c>
      <c r="L101" t="s">
        <v>563</v>
      </c>
    </row>
    <row r="102" spans="1:12">
      <c r="A102">
        <v>20007</v>
      </c>
      <c r="B102">
        <v>20001</v>
      </c>
      <c r="C102">
        <v>6</v>
      </c>
      <c r="D102">
        <v>1</v>
      </c>
      <c r="E102" s="16" t="s">
        <v>520</v>
      </c>
      <c r="F102" s="20">
        <v>92020010</v>
      </c>
      <c r="G102" s="24">
        <v>81000</v>
      </c>
      <c r="H102">
        <v>0</v>
      </c>
      <c r="I102">
        <v>1</v>
      </c>
      <c r="J102">
        <v>10000</v>
      </c>
      <c r="L102" t="s">
        <v>563</v>
      </c>
    </row>
    <row r="103" spans="1:12">
      <c r="A103">
        <v>20008</v>
      </c>
      <c r="B103">
        <v>20001</v>
      </c>
      <c r="C103">
        <v>7</v>
      </c>
      <c r="D103">
        <v>1</v>
      </c>
      <c r="E103" s="16" t="s">
        <v>521</v>
      </c>
      <c r="F103" s="20">
        <v>92020010</v>
      </c>
      <c r="G103" s="24">
        <v>94500</v>
      </c>
      <c r="H103">
        <v>0</v>
      </c>
      <c r="I103">
        <v>1</v>
      </c>
      <c r="J103">
        <v>10000</v>
      </c>
      <c r="L103" t="s">
        <v>563</v>
      </c>
    </row>
    <row r="104" spans="1:12">
      <c r="A104">
        <v>20009</v>
      </c>
      <c r="B104">
        <v>20001</v>
      </c>
      <c r="C104">
        <v>8</v>
      </c>
      <c r="D104">
        <v>1</v>
      </c>
      <c r="E104" s="16" t="s">
        <v>522</v>
      </c>
      <c r="F104" s="20">
        <v>92020010</v>
      </c>
      <c r="G104" s="24">
        <v>108000</v>
      </c>
      <c r="H104">
        <v>0</v>
      </c>
      <c r="I104">
        <v>1</v>
      </c>
      <c r="J104">
        <v>10000</v>
      </c>
      <c r="L104" t="s">
        <v>563</v>
      </c>
    </row>
    <row r="105" spans="1:12">
      <c r="A105">
        <v>20010</v>
      </c>
      <c r="B105">
        <v>20001</v>
      </c>
      <c r="C105">
        <v>9</v>
      </c>
      <c r="D105">
        <v>1</v>
      </c>
      <c r="E105" s="16" t="s">
        <v>523</v>
      </c>
      <c r="F105" s="20">
        <v>92020010</v>
      </c>
      <c r="G105" s="24">
        <v>121500</v>
      </c>
      <c r="H105">
        <v>0</v>
      </c>
      <c r="I105">
        <v>1</v>
      </c>
      <c r="J105">
        <v>10000</v>
      </c>
      <c r="L105" t="s">
        <v>563</v>
      </c>
    </row>
    <row r="106" spans="1:12">
      <c r="A106">
        <v>20011</v>
      </c>
      <c r="B106">
        <v>20001</v>
      </c>
      <c r="C106" s="3">
        <v>10</v>
      </c>
      <c r="D106">
        <v>1</v>
      </c>
      <c r="E106" s="16" t="s">
        <v>98</v>
      </c>
      <c r="F106" s="20">
        <v>92020011</v>
      </c>
      <c r="G106" s="24">
        <v>135000</v>
      </c>
      <c r="H106" s="3">
        <v>800</v>
      </c>
      <c r="I106">
        <v>1</v>
      </c>
      <c r="J106" s="3">
        <v>10000</v>
      </c>
      <c r="K106" t="s">
        <v>564</v>
      </c>
      <c r="L106" t="s">
        <v>565</v>
      </c>
    </row>
    <row r="107" spans="1:12">
      <c r="A107">
        <v>20101</v>
      </c>
      <c r="B107">
        <v>20101</v>
      </c>
      <c r="C107" s="3">
        <v>0</v>
      </c>
      <c r="D107">
        <v>1</v>
      </c>
      <c r="E107" s="16" t="s">
        <v>513</v>
      </c>
      <c r="F107" s="20">
        <v>92020020</v>
      </c>
      <c r="G107" s="8">
        <v>0</v>
      </c>
      <c r="H107">
        <v>0</v>
      </c>
      <c r="I107">
        <v>1</v>
      </c>
      <c r="J107">
        <v>10000</v>
      </c>
      <c r="L107" t="s">
        <v>565</v>
      </c>
    </row>
    <row r="108" spans="1:12">
      <c r="A108">
        <v>20102</v>
      </c>
      <c r="B108">
        <v>20101</v>
      </c>
      <c r="C108">
        <v>1</v>
      </c>
      <c r="D108">
        <v>1</v>
      </c>
      <c r="E108" s="16" t="s">
        <v>515</v>
      </c>
      <c r="F108" s="20">
        <v>92020020</v>
      </c>
      <c r="G108" s="24">
        <v>17550</v>
      </c>
      <c r="H108">
        <v>0</v>
      </c>
      <c r="I108">
        <v>1</v>
      </c>
      <c r="J108">
        <v>10000</v>
      </c>
      <c r="L108" t="s">
        <v>565</v>
      </c>
    </row>
    <row r="109" spans="1:12">
      <c r="A109">
        <v>20103</v>
      </c>
      <c r="B109">
        <v>20101</v>
      </c>
      <c r="C109">
        <v>2</v>
      </c>
      <c r="D109">
        <v>1</v>
      </c>
      <c r="E109" s="16" t="s">
        <v>516</v>
      </c>
      <c r="F109" s="20">
        <v>92020020</v>
      </c>
      <c r="G109" s="24">
        <v>35100</v>
      </c>
      <c r="H109">
        <v>0</v>
      </c>
      <c r="I109">
        <v>1</v>
      </c>
      <c r="J109">
        <v>10000</v>
      </c>
      <c r="L109" t="s">
        <v>565</v>
      </c>
    </row>
    <row r="110" spans="1:12">
      <c r="A110">
        <v>20104</v>
      </c>
      <c r="B110">
        <v>20101</v>
      </c>
      <c r="C110">
        <v>3</v>
      </c>
      <c r="D110">
        <v>1</v>
      </c>
      <c r="E110" s="16" t="s">
        <v>517</v>
      </c>
      <c r="F110" s="20">
        <v>92020020</v>
      </c>
      <c r="G110" s="24">
        <v>52650</v>
      </c>
      <c r="H110">
        <v>0</v>
      </c>
      <c r="I110">
        <v>1</v>
      </c>
      <c r="J110">
        <v>10000</v>
      </c>
      <c r="L110" t="s">
        <v>565</v>
      </c>
    </row>
    <row r="111" spans="1:12">
      <c r="A111">
        <v>20105</v>
      </c>
      <c r="B111">
        <v>20101</v>
      </c>
      <c r="C111">
        <v>4</v>
      </c>
      <c r="D111">
        <v>1</v>
      </c>
      <c r="E111" s="16" t="s">
        <v>518</v>
      </c>
      <c r="F111" s="20">
        <v>92020020</v>
      </c>
      <c r="G111" s="24">
        <v>70200</v>
      </c>
      <c r="H111">
        <v>0</v>
      </c>
      <c r="I111">
        <v>1</v>
      </c>
      <c r="J111">
        <v>10000</v>
      </c>
      <c r="L111" t="s">
        <v>565</v>
      </c>
    </row>
    <row r="112" spans="1:12">
      <c r="A112">
        <v>20106</v>
      </c>
      <c r="B112">
        <v>20101</v>
      </c>
      <c r="C112">
        <v>5</v>
      </c>
      <c r="D112">
        <v>1</v>
      </c>
      <c r="E112" s="16" t="s">
        <v>519</v>
      </c>
      <c r="F112" s="20">
        <v>92020020</v>
      </c>
      <c r="G112" s="24">
        <v>87750</v>
      </c>
      <c r="H112">
        <v>0</v>
      </c>
      <c r="I112">
        <v>1</v>
      </c>
      <c r="J112">
        <v>10000</v>
      </c>
      <c r="L112" t="s">
        <v>565</v>
      </c>
    </row>
    <row r="113" spans="1:12">
      <c r="A113">
        <v>20107</v>
      </c>
      <c r="B113">
        <v>20101</v>
      </c>
      <c r="C113">
        <v>6</v>
      </c>
      <c r="D113">
        <v>1</v>
      </c>
      <c r="E113" s="16" t="s">
        <v>520</v>
      </c>
      <c r="F113" s="20">
        <v>92020020</v>
      </c>
      <c r="G113" s="24">
        <v>105300</v>
      </c>
      <c r="H113">
        <v>0</v>
      </c>
      <c r="I113">
        <v>1</v>
      </c>
      <c r="J113">
        <v>10000</v>
      </c>
      <c r="L113" t="s">
        <v>565</v>
      </c>
    </row>
    <row r="114" spans="1:12">
      <c r="A114">
        <v>20108</v>
      </c>
      <c r="B114">
        <v>20101</v>
      </c>
      <c r="C114">
        <v>7</v>
      </c>
      <c r="D114">
        <v>1</v>
      </c>
      <c r="E114" s="16" t="s">
        <v>521</v>
      </c>
      <c r="F114" s="20">
        <v>92020020</v>
      </c>
      <c r="G114" s="24">
        <v>122850</v>
      </c>
      <c r="H114">
        <v>0</v>
      </c>
      <c r="I114">
        <v>1</v>
      </c>
      <c r="J114">
        <v>10000</v>
      </c>
      <c r="L114" t="s">
        <v>565</v>
      </c>
    </row>
    <row r="115" spans="1:12">
      <c r="A115">
        <v>20109</v>
      </c>
      <c r="B115">
        <v>20101</v>
      </c>
      <c r="C115">
        <v>8</v>
      </c>
      <c r="D115">
        <v>1</v>
      </c>
      <c r="E115" s="16" t="s">
        <v>522</v>
      </c>
      <c r="F115" s="20">
        <v>92020020</v>
      </c>
      <c r="G115" s="24">
        <v>140400</v>
      </c>
      <c r="H115">
        <v>0</v>
      </c>
      <c r="I115">
        <v>1</v>
      </c>
      <c r="J115">
        <v>10000</v>
      </c>
      <c r="L115" t="s">
        <v>565</v>
      </c>
    </row>
    <row r="116" spans="1:12">
      <c r="A116">
        <v>20110</v>
      </c>
      <c r="B116">
        <v>20101</v>
      </c>
      <c r="C116">
        <v>9</v>
      </c>
      <c r="D116">
        <v>1</v>
      </c>
      <c r="E116" s="16" t="s">
        <v>523</v>
      </c>
      <c r="F116" s="20">
        <v>92020020</v>
      </c>
      <c r="G116" s="24">
        <v>157950</v>
      </c>
      <c r="H116">
        <v>0</v>
      </c>
      <c r="I116">
        <v>1</v>
      </c>
      <c r="J116">
        <v>10000</v>
      </c>
      <c r="L116" t="s">
        <v>565</v>
      </c>
    </row>
    <row r="117" spans="1:12">
      <c r="A117">
        <v>20111</v>
      </c>
      <c r="B117">
        <v>20101</v>
      </c>
      <c r="C117">
        <v>10</v>
      </c>
      <c r="D117">
        <v>1</v>
      </c>
      <c r="E117" s="16" t="s">
        <v>526</v>
      </c>
      <c r="F117" s="20">
        <v>92020021</v>
      </c>
      <c r="G117" s="24">
        <v>175500</v>
      </c>
      <c r="H117">
        <v>800</v>
      </c>
      <c r="I117">
        <v>1</v>
      </c>
      <c r="J117">
        <v>10000</v>
      </c>
      <c r="K117" t="s">
        <v>566</v>
      </c>
      <c r="L117" t="s">
        <v>567</v>
      </c>
    </row>
    <row r="118" spans="1:12">
      <c r="A118">
        <v>20112</v>
      </c>
      <c r="B118">
        <v>20101</v>
      </c>
      <c r="C118">
        <v>11</v>
      </c>
      <c r="D118">
        <v>1</v>
      </c>
      <c r="E118" s="16" t="s">
        <v>529</v>
      </c>
      <c r="F118" s="20">
        <v>92020021</v>
      </c>
      <c r="G118" s="24">
        <v>193050</v>
      </c>
      <c r="H118">
        <v>800</v>
      </c>
      <c r="I118">
        <v>1</v>
      </c>
      <c r="J118">
        <v>10000</v>
      </c>
      <c r="L118" t="s">
        <v>567</v>
      </c>
    </row>
    <row r="119" spans="1:12">
      <c r="A119">
        <v>20113</v>
      </c>
      <c r="B119">
        <v>20101</v>
      </c>
      <c r="C119">
        <v>12</v>
      </c>
      <c r="D119">
        <v>1</v>
      </c>
      <c r="E119" s="16" t="s">
        <v>530</v>
      </c>
      <c r="F119" s="20">
        <v>92020021</v>
      </c>
      <c r="G119" s="24">
        <v>210600</v>
      </c>
      <c r="H119">
        <v>800</v>
      </c>
      <c r="I119">
        <v>1</v>
      </c>
      <c r="J119">
        <v>10000</v>
      </c>
      <c r="L119" t="s">
        <v>567</v>
      </c>
    </row>
    <row r="120" spans="1:12">
      <c r="A120">
        <v>20114</v>
      </c>
      <c r="B120">
        <v>20101</v>
      </c>
      <c r="C120">
        <v>13</v>
      </c>
      <c r="D120">
        <v>1</v>
      </c>
      <c r="E120" s="16" t="s">
        <v>531</v>
      </c>
      <c r="F120" s="20">
        <v>92020021</v>
      </c>
      <c r="G120" s="24">
        <v>228150</v>
      </c>
      <c r="H120">
        <v>800</v>
      </c>
      <c r="I120">
        <v>1</v>
      </c>
      <c r="J120">
        <v>10000</v>
      </c>
      <c r="L120" t="s">
        <v>567</v>
      </c>
    </row>
    <row r="121" spans="1:12">
      <c r="A121">
        <v>20115</v>
      </c>
      <c r="B121">
        <v>20101</v>
      </c>
      <c r="C121">
        <v>14</v>
      </c>
      <c r="D121">
        <v>1</v>
      </c>
      <c r="E121" s="16" t="s">
        <v>532</v>
      </c>
      <c r="F121" s="20">
        <v>92020021</v>
      </c>
      <c r="G121" s="24">
        <v>245700</v>
      </c>
      <c r="H121">
        <v>800</v>
      </c>
      <c r="I121">
        <v>1</v>
      </c>
      <c r="J121">
        <v>10000</v>
      </c>
      <c r="L121" t="s">
        <v>567</v>
      </c>
    </row>
    <row r="122" spans="1:12">
      <c r="A122">
        <v>20116</v>
      </c>
      <c r="B122">
        <v>20101</v>
      </c>
      <c r="C122">
        <v>15</v>
      </c>
      <c r="D122">
        <v>1</v>
      </c>
      <c r="E122" s="16" t="s">
        <v>533</v>
      </c>
      <c r="F122" s="20">
        <v>92020021</v>
      </c>
      <c r="G122" s="24">
        <v>263250</v>
      </c>
      <c r="H122">
        <v>800</v>
      </c>
      <c r="I122">
        <v>1</v>
      </c>
      <c r="J122">
        <v>10000</v>
      </c>
      <c r="L122" t="s">
        <v>567</v>
      </c>
    </row>
    <row r="123" spans="1:12">
      <c r="A123">
        <v>20117</v>
      </c>
      <c r="B123">
        <v>20101</v>
      </c>
      <c r="C123">
        <v>16</v>
      </c>
      <c r="D123">
        <v>1</v>
      </c>
      <c r="E123" s="16" t="s">
        <v>534</v>
      </c>
      <c r="F123" s="20">
        <v>92020021</v>
      </c>
      <c r="G123" s="24">
        <v>280800</v>
      </c>
      <c r="H123">
        <v>800</v>
      </c>
      <c r="I123">
        <v>1</v>
      </c>
      <c r="J123">
        <v>10000</v>
      </c>
      <c r="L123" t="s">
        <v>567</v>
      </c>
    </row>
    <row r="124" spans="1:12">
      <c r="A124">
        <v>20118</v>
      </c>
      <c r="B124">
        <v>20101</v>
      </c>
      <c r="C124">
        <v>17</v>
      </c>
      <c r="D124">
        <v>1</v>
      </c>
      <c r="E124" s="16" t="s">
        <v>535</v>
      </c>
      <c r="F124" s="20">
        <v>92020021</v>
      </c>
      <c r="G124" s="24">
        <v>298350</v>
      </c>
      <c r="H124">
        <v>800</v>
      </c>
      <c r="I124">
        <v>1</v>
      </c>
      <c r="J124">
        <v>10000</v>
      </c>
      <c r="L124" t="s">
        <v>567</v>
      </c>
    </row>
    <row r="125" spans="1:12">
      <c r="A125">
        <v>20119</v>
      </c>
      <c r="B125">
        <v>20101</v>
      </c>
      <c r="C125">
        <v>18</v>
      </c>
      <c r="D125">
        <v>1</v>
      </c>
      <c r="E125" s="16" t="s">
        <v>536</v>
      </c>
      <c r="F125" s="20">
        <v>92020021</v>
      </c>
      <c r="G125" s="24">
        <v>315900</v>
      </c>
      <c r="H125">
        <v>800</v>
      </c>
      <c r="I125">
        <v>1</v>
      </c>
      <c r="J125">
        <v>10000</v>
      </c>
      <c r="L125" t="s">
        <v>567</v>
      </c>
    </row>
    <row r="126" spans="1:12">
      <c r="A126">
        <v>20120</v>
      </c>
      <c r="B126">
        <v>20101</v>
      </c>
      <c r="C126">
        <v>19</v>
      </c>
      <c r="D126">
        <v>1</v>
      </c>
      <c r="E126" s="16" t="s">
        <v>537</v>
      </c>
      <c r="F126" s="20">
        <v>92020021</v>
      </c>
      <c r="G126" s="24">
        <v>333450</v>
      </c>
      <c r="H126">
        <v>800</v>
      </c>
      <c r="I126">
        <v>1</v>
      </c>
      <c r="J126">
        <v>10000</v>
      </c>
      <c r="L126" t="s">
        <v>567</v>
      </c>
    </row>
    <row r="127" spans="1:12">
      <c r="A127">
        <v>20121</v>
      </c>
      <c r="B127">
        <v>20101</v>
      </c>
      <c r="C127">
        <v>20</v>
      </c>
      <c r="D127">
        <v>1</v>
      </c>
      <c r="E127" s="16" t="s">
        <v>98</v>
      </c>
      <c r="F127" s="20">
        <v>92020022</v>
      </c>
      <c r="G127" s="24">
        <v>351000</v>
      </c>
      <c r="H127">
        <v>1600</v>
      </c>
      <c r="I127">
        <v>1</v>
      </c>
      <c r="J127">
        <v>10000</v>
      </c>
      <c r="K127" t="s">
        <v>568</v>
      </c>
      <c r="L127" t="s">
        <v>569</v>
      </c>
    </row>
    <row r="128" spans="1:12">
      <c r="A128">
        <v>20201</v>
      </c>
      <c r="B128">
        <v>20201</v>
      </c>
      <c r="C128" s="3">
        <v>0</v>
      </c>
      <c r="D128">
        <v>1</v>
      </c>
      <c r="E128" s="16" t="s">
        <v>513</v>
      </c>
      <c r="F128" s="20">
        <v>92020030</v>
      </c>
      <c r="G128" s="8">
        <v>0</v>
      </c>
      <c r="H128">
        <v>0</v>
      </c>
      <c r="I128">
        <v>1</v>
      </c>
      <c r="J128">
        <v>10000</v>
      </c>
      <c r="L128" t="s">
        <v>569</v>
      </c>
    </row>
    <row r="129" spans="1:12">
      <c r="A129">
        <v>20202</v>
      </c>
      <c r="B129">
        <v>20201</v>
      </c>
      <c r="C129">
        <v>1</v>
      </c>
      <c r="D129">
        <v>1</v>
      </c>
      <c r="E129" s="16" t="s">
        <v>515</v>
      </c>
      <c r="F129" s="20">
        <v>92020030</v>
      </c>
      <c r="G129" s="24">
        <v>21600</v>
      </c>
      <c r="H129">
        <v>0</v>
      </c>
      <c r="I129">
        <v>1</v>
      </c>
      <c r="J129">
        <v>10000</v>
      </c>
      <c r="L129" t="s">
        <v>569</v>
      </c>
    </row>
    <row r="130" spans="1:12">
      <c r="A130">
        <v>20203</v>
      </c>
      <c r="B130">
        <v>20201</v>
      </c>
      <c r="C130">
        <v>2</v>
      </c>
      <c r="D130">
        <v>1</v>
      </c>
      <c r="E130" s="16" t="s">
        <v>516</v>
      </c>
      <c r="F130" s="20">
        <v>92020030</v>
      </c>
      <c r="G130" s="24">
        <v>43200</v>
      </c>
      <c r="H130">
        <v>0</v>
      </c>
      <c r="I130">
        <v>1</v>
      </c>
      <c r="J130">
        <v>10000</v>
      </c>
      <c r="L130" t="s">
        <v>569</v>
      </c>
    </row>
    <row r="131" spans="1:12">
      <c r="A131">
        <v>20204</v>
      </c>
      <c r="B131">
        <v>20201</v>
      </c>
      <c r="C131">
        <v>3</v>
      </c>
      <c r="D131">
        <v>1</v>
      </c>
      <c r="E131" s="16" t="s">
        <v>517</v>
      </c>
      <c r="F131" s="20">
        <v>92020030</v>
      </c>
      <c r="G131" s="24">
        <v>64800</v>
      </c>
      <c r="H131">
        <v>0</v>
      </c>
      <c r="I131">
        <v>1</v>
      </c>
      <c r="J131">
        <v>10000</v>
      </c>
      <c r="L131" t="s">
        <v>569</v>
      </c>
    </row>
    <row r="132" spans="1:12">
      <c r="A132">
        <v>20205</v>
      </c>
      <c r="B132">
        <v>20201</v>
      </c>
      <c r="C132">
        <v>4</v>
      </c>
      <c r="D132">
        <v>1</v>
      </c>
      <c r="E132" s="16" t="s">
        <v>518</v>
      </c>
      <c r="F132" s="20">
        <v>92020030</v>
      </c>
      <c r="G132" s="24">
        <v>86400</v>
      </c>
      <c r="H132">
        <v>0</v>
      </c>
      <c r="I132">
        <v>1</v>
      </c>
      <c r="J132">
        <v>10000</v>
      </c>
      <c r="L132" t="s">
        <v>569</v>
      </c>
    </row>
    <row r="133" spans="1:12">
      <c r="A133">
        <v>20206</v>
      </c>
      <c r="B133">
        <v>20201</v>
      </c>
      <c r="C133">
        <v>5</v>
      </c>
      <c r="D133">
        <v>1</v>
      </c>
      <c r="E133" s="16" t="s">
        <v>519</v>
      </c>
      <c r="F133" s="20">
        <v>92020030</v>
      </c>
      <c r="G133" s="24">
        <v>108000</v>
      </c>
      <c r="H133">
        <v>0</v>
      </c>
      <c r="I133">
        <v>1</v>
      </c>
      <c r="J133">
        <v>10000</v>
      </c>
      <c r="L133" t="s">
        <v>569</v>
      </c>
    </row>
    <row r="134" spans="1:12">
      <c r="A134">
        <v>20207</v>
      </c>
      <c r="B134">
        <v>20201</v>
      </c>
      <c r="C134">
        <v>6</v>
      </c>
      <c r="D134">
        <v>1</v>
      </c>
      <c r="E134" s="16" t="s">
        <v>520</v>
      </c>
      <c r="F134" s="20">
        <v>92020030</v>
      </c>
      <c r="G134" s="24">
        <v>129600</v>
      </c>
      <c r="H134">
        <v>0</v>
      </c>
      <c r="I134">
        <v>1</v>
      </c>
      <c r="J134">
        <v>10000</v>
      </c>
      <c r="L134" t="s">
        <v>569</v>
      </c>
    </row>
    <row r="135" spans="1:12">
      <c r="A135">
        <v>20208</v>
      </c>
      <c r="B135">
        <v>20201</v>
      </c>
      <c r="C135">
        <v>7</v>
      </c>
      <c r="D135">
        <v>1</v>
      </c>
      <c r="E135" s="16" t="s">
        <v>521</v>
      </c>
      <c r="F135" s="20">
        <v>92020030</v>
      </c>
      <c r="G135" s="24">
        <v>151200</v>
      </c>
      <c r="H135">
        <v>0</v>
      </c>
      <c r="I135">
        <v>1</v>
      </c>
      <c r="J135">
        <v>10000</v>
      </c>
      <c r="L135" t="s">
        <v>569</v>
      </c>
    </row>
    <row r="136" spans="1:12">
      <c r="A136">
        <v>20209</v>
      </c>
      <c r="B136">
        <v>20201</v>
      </c>
      <c r="C136">
        <v>8</v>
      </c>
      <c r="D136">
        <v>1</v>
      </c>
      <c r="E136" s="16" t="s">
        <v>522</v>
      </c>
      <c r="F136" s="20">
        <v>92020030</v>
      </c>
      <c r="G136" s="24">
        <v>172800</v>
      </c>
      <c r="H136">
        <v>0</v>
      </c>
      <c r="I136">
        <v>1</v>
      </c>
      <c r="J136">
        <v>10000</v>
      </c>
      <c r="L136" t="s">
        <v>569</v>
      </c>
    </row>
    <row r="137" spans="1:12">
      <c r="A137">
        <v>20210</v>
      </c>
      <c r="B137">
        <v>20201</v>
      </c>
      <c r="C137">
        <v>9</v>
      </c>
      <c r="D137">
        <v>1</v>
      </c>
      <c r="E137" s="16" t="s">
        <v>523</v>
      </c>
      <c r="F137" s="20">
        <v>92020030</v>
      </c>
      <c r="G137" s="24">
        <v>194400</v>
      </c>
      <c r="H137">
        <v>0</v>
      </c>
      <c r="I137">
        <v>1</v>
      </c>
      <c r="J137">
        <v>10000</v>
      </c>
      <c r="L137" t="s">
        <v>569</v>
      </c>
    </row>
    <row r="138" spans="1:12">
      <c r="A138">
        <v>20211</v>
      </c>
      <c r="B138">
        <v>20201</v>
      </c>
      <c r="C138">
        <v>10</v>
      </c>
      <c r="D138">
        <v>1</v>
      </c>
      <c r="E138" s="16" t="s">
        <v>526</v>
      </c>
      <c r="F138" s="20">
        <v>92020031</v>
      </c>
      <c r="G138" s="24">
        <v>216000</v>
      </c>
      <c r="H138">
        <v>800</v>
      </c>
      <c r="I138">
        <v>1</v>
      </c>
      <c r="J138">
        <v>10000</v>
      </c>
      <c r="K138" t="s">
        <v>570</v>
      </c>
      <c r="L138" t="s">
        <v>571</v>
      </c>
    </row>
    <row r="139" spans="1:12">
      <c r="A139">
        <v>20212</v>
      </c>
      <c r="B139">
        <v>20201</v>
      </c>
      <c r="C139">
        <v>11</v>
      </c>
      <c r="D139">
        <v>1</v>
      </c>
      <c r="E139" s="16" t="s">
        <v>529</v>
      </c>
      <c r="F139" s="20">
        <v>92020031</v>
      </c>
      <c r="G139" s="24">
        <v>237600</v>
      </c>
      <c r="H139">
        <v>800</v>
      </c>
      <c r="I139">
        <v>1</v>
      </c>
      <c r="J139">
        <v>10000</v>
      </c>
      <c r="L139" t="s">
        <v>571</v>
      </c>
    </row>
    <row r="140" spans="1:12">
      <c r="A140">
        <v>20213</v>
      </c>
      <c r="B140">
        <v>20201</v>
      </c>
      <c r="C140">
        <v>12</v>
      </c>
      <c r="D140">
        <v>1</v>
      </c>
      <c r="E140" s="16" t="s">
        <v>530</v>
      </c>
      <c r="F140" s="20">
        <v>92020031</v>
      </c>
      <c r="G140" s="24">
        <v>259200</v>
      </c>
      <c r="H140">
        <v>800</v>
      </c>
      <c r="I140">
        <v>1</v>
      </c>
      <c r="J140">
        <v>10000</v>
      </c>
      <c r="L140" t="s">
        <v>571</v>
      </c>
    </row>
    <row r="141" spans="1:12">
      <c r="A141">
        <v>20214</v>
      </c>
      <c r="B141">
        <v>20201</v>
      </c>
      <c r="C141">
        <v>13</v>
      </c>
      <c r="D141">
        <v>1</v>
      </c>
      <c r="E141" s="16" t="s">
        <v>531</v>
      </c>
      <c r="F141" s="20">
        <v>92020031</v>
      </c>
      <c r="G141" s="24">
        <v>280800</v>
      </c>
      <c r="H141">
        <v>800</v>
      </c>
      <c r="I141">
        <v>1</v>
      </c>
      <c r="J141">
        <v>10000</v>
      </c>
      <c r="L141" t="s">
        <v>571</v>
      </c>
    </row>
    <row r="142" spans="1:12">
      <c r="A142">
        <v>20215</v>
      </c>
      <c r="B142">
        <v>20201</v>
      </c>
      <c r="C142">
        <v>14</v>
      </c>
      <c r="D142">
        <v>1</v>
      </c>
      <c r="E142" s="16" t="s">
        <v>532</v>
      </c>
      <c r="F142" s="20">
        <v>92020031</v>
      </c>
      <c r="G142" s="24">
        <v>302400</v>
      </c>
      <c r="H142">
        <v>800</v>
      </c>
      <c r="I142">
        <v>1</v>
      </c>
      <c r="J142">
        <v>10000</v>
      </c>
      <c r="L142" t="s">
        <v>571</v>
      </c>
    </row>
    <row r="143" spans="1:12">
      <c r="A143">
        <v>20216</v>
      </c>
      <c r="B143">
        <v>20201</v>
      </c>
      <c r="C143">
        <v>15</v>
      </c>
      <c r="D143">
        <v>1</v>
      </c>
      <c r="E143" s="16" t="s">
        <v>533</v>
      </c>
      <c r="F143" s="20">
        <v>92020031</v>
      </c>
      <c r="G143" s="24">
        <v>324000</v>
      </c>
      <c r="H143">
        <v>800</v>
      </c>
      <c r="I143">
        <v>1</v>
      </c>
      <c r="J143">
        <v>10000</v>
      </c>
      <c r="L143" t="s">
        <v>571</v>
      </c>
    </row>
    <row r="144" spans="1:12">
      <c r="A144">
        <v>20217</v>
      </c>
      <c r="B144">
        <v>20201</v>
      </c>
      <c r="C144">
        <v>16</v>
      </c>
      <c r="D144">
        <v>1</v>
      </c>
      <c r="E144" s="16" t="s">
        <v>534</v>
      </c>
      <c r="F144" s="20">
        <v>92020031</v>
      </c>
      <c r="G144" s="24">
        <v>345600</v>
      </c>
      <c r="H144">
        <v>800</v>
      </c>
      <c r="I144">
        <v>1</v>
      </c>
      <c r="J144">
        <v>10000</v>
      </c>
      <c r="L144" t="s">
        <v>571</v>
      </c>
    </row>
    <row r="145" spans="1:12">
      <c r="A145">
        <v>20218</v>
      </c>
      <c r="B145">
        <v>20201</v>
      </c>
      <c r="C145">
        <v>17</v>
      </c>
      <c r="D145">
        <v>1</v>
      </c>
      <c r="E145" s="16" t="s">
        <v>535</v>
      </c>
      <c r="F145" s="20">
        <v>92020031</v>
      </c>
      <c r="G145" s="24">
        <v>367200</v>
      </c>
      <c r="H145">
        <v>800</v>
      </c>
      <c r="I145">
        <v>1</v>
      </c>
      <c r="J145">
        <v>10000</v>
      </c>
      <c r="L145" t="s">
        <v>571</v>
      </c>
    </row>
    <row r="146" spans="1:12">
      <c r="A146">
        <v>20219</v>
      </c>
      <c r="B146">
        <v>20201</v>
      </c>
      <c r="C146">
        <v>18</v>
      </c>
      <c r="D146">
        <v>1</v>
      </c>
      <c r="E146" s="16" t="s">
        <v>536</v>
      </c>
      <c r="F146" s="20">
        <v>92020031</v>
      </c>
      <c r="G146" s="24">
        <v>388800</v>
      </c>
      <c r="H146">
        <v>800</v>
      </c>
      <c r="I146">
        <v>1</v>
      </c>
      <c r="J146">
        <v>10000</v>
      </c>
      <c r="L146" t="s">
        <v>571</v>
      </c>
    </row>
    <row r="147" spans="1:12">
      <c r="A147">
        <v>20220</v>
      </c>
      <c r="B147">
        <v>20201</v>
      </c>
      <c r="C147">
        <v>19</v>
      </c>
      <c r="D147">
        <v>1</v>
      </c>
      <c r="E147" s="16" t="s">
        <v>537</v>
      </c>
      <c r="F147" s="20">
        <v>92020031</v>
      </c>
      <c r="G147" s="24">
        <v>410400</v>
      </c>
      <c r="H147">
        <v>800</v>
      </c>
      <c r="I147">
        <v>1</v>
      </c>
      <c r="J147">
        <v>10000</v>
      </c>
      <c r="L147" t="s">
        <v>571</v>
      </c>
    </row>
    <row r="148" spans="1:12">
      <c r="A148">
        <v>20221</v>
      </c>
      <c r="B148">
        <v>20201</v>
      </c>
      <c r="C148">
        <v>20</v>
      </c>
      <c r="D148">
        <v>1</v>
      </c>
      <c r="E148" s="16" t="s">
        <v>542</v>
      </c>
      <c r="F148" s="20">
        <v>92020032</v>
      </c>
      <c r="G148" s="24">
        <v>432000</v>
      </c>
      <c r="H148">
        <v>1600</v>
      </c>
      <c r="I148">
        <v>1</v>
      </c>
      <c r="J148">
        <v>10000</v>
      </c>
      <c r="K148" t="s">
        <v>572</v>
      </c>
      <c r="L148" t="s">
        <v>573</v>
      </c>
    </row>
    <row r="149" spans="1:12">
      <c r="A149">
        <v>20222</v>
      </c>
      <c r="B149">
        <v>20201</v>
      </c>
      <c r="C149">
        <v>21</v>
      </c>
      <c r="D149">
        <v>1</v>
      </c>
      <c r="E149" s="16" t="s">
        <v>545</v>
      </c>
      <c r="F149" s="20">
        <v>92020032</v>
      </c>
      <c r="G149" s="24">
        <v>453600</v>
      </c>
      <c r="H149">
        <v>1600</v>
      </c>
      <c r="I149">
        <v>1</v>
      </c>
      <c r="J149">
        <v>10000</v>
      </c>
      <c r="L149" t="s">
        <v>573</v>
      </c>
    </row>
    <row r="150" spans="1:12">
      <c r="A150">
        <v>20223</v>
      </c>
      <c r="B150">
        <v>20201</v>
      </c>
      <c r="C150">
        <v>22</v>
      </c>
      <c r="D150">
        <v>1</v>
      </c>
      <c r="E150" s="16" t="s">
        <v>546</v>
      </c>
      <c r="F150" s="20">
        <v>92020032</v>
      </c>
      <c r="G150" s="24">
        <v>475200</v>
      </c>
      <c r="H150">
        <v>1600</v>
      </c>
      <c r="I150">
        <v>1</v>
      </c>
      <c r="J150">
        <v>10000</v>
      </c>
      <c r="L150" t="s">
        <v>573</v>
      </c>
    </row>
    <row r="151" spans="1:12">
      <c r="A151">
        <v>20224</v>
      </c>
      <c r="B151">
        <v>20201</v>
      </c>
      <c r="C151">
        <v>23</v>
      </c>
      <c r="D151">
        <v>1</v>
      </c>
      <c r="E151" s="16" t="s">
        <v>547</v>
      </c>
      <c r="F151" s="20">
        <v>92020032</v>
      </c>
      <c r="G151" s="24">
        <v>496800</v>
      </c>
      <c r="H151">
        <v>1600</v>
      </c>
      <c r="I151">
        <v>1</v>
      </c>
      <c r="J151">
        <v>10000</v>
      </c>
      <c r="L151" t="s">
        <v>573</v>
      </c>
    </row>
    <row r="152" spans="1:12">
      <c r="A152">
        <v>20225</v>
      </c>
      <c r="B152">
        <v>20201</v>
      </c>
      <c r="C152">
        <v>24</v>
      </c>
      <c r="D152">
        <v>1</v>
      </c>
      <c r="E152" s="16" t="s">
        <v>548</v>
      </c>
      <c r="F152" s="20">
        <v>92020032</v>
      </c>
      <c r="G152" s="24">
        <v>518400</v>
      </c>
      <c r="H152">
        <v>1600</v>
      </c>
      <c r="I152">
        <v>1</v>
      </c>
      <c r="J152">
        <v>10000</v>
      </c>
      <c r="L152" t="s">
        <v>573</v>
      </c>
    </row>
    <row r="153" spans="1:12">
      <c r="A153">
        <v>20226</v>
      </c>
      <c r="B153">
        <v>20201</v>
      </c>
      <c r="C153">
        <v>25</v>
      </c>
      <c r="D153">
        <v>1</v>
      </c>
      <c r="E153" s="16" t="s">
        <v>549</v>
      </c>
      <c r="F153" s="20">
        <v>92020032</v>
      </c>
      <c r="G153" s="24">
        <v>540000</v>
      </c>
      <c r="H153">
        <v>1600</v>
      </c>
      <c r="I153">
        <v>1</v>
      </c>
      <c r="J153">
        <v>10000</v>
      </c>
      <c r="L153" t="s">
        <v>573</v>
      </c>
    </row>
    <row r="154" spans="1:12">
      <c r="A154">
        <v>20227</v>
      </c>
      <c r="B154">
        <v>20201</v>
      </c>
      <c r="C154">
        <v>26</v>
      </c>
      <c r="D154">
        <v>1</v>
      </c>
      <c r="E154" s="16" t="s">
        <v>550</v>
      </c>
      <c r="F154" s="20">
        <v>92020032</v>
      </c>
      <c r="G154" s="24">
        <v>561600</v>
      </c>
      <c r="H154">
        <v>1600</v>
      </c>
      <c r="I154">
        <v>1</v>
      </c>
      <c r="J154">
        <v>10000</v>
      </c>
      <c r="L154" t="s">
        <v>573</v>
      </c>
    </row>
    <row r="155" spans="1:12">
      <c r="A155">
        <v>20228</v>
      </c>
      <c r="B155">
        <v>20201</v>
      </c>
      <c r="C155">
        <v>27</v>
      </c>
      <c r="D155">
        <v>1</v>
      </c>
      <c r="E155" s="16" t="s">
        <v>551</v>
      </c>
      <c r="F155" s="20">
        <v>92020032</v>
      </c>
      <c r="G155" s="24">
        <v>583200</v>
      </c>
      <c r="H155">
        <v>1600</v>
      </c>
      <c r="I155">
        <v>1</v>
      </c>
      <c r="J155">
        <v>10000</v>
      </c>
      <c r="L155" t="s">
        <v>573</v>
      </c>
    </row>
    <row r="156" spans="1:12">
      <c r="A156">
        <v>20229</v>
      </c>
      <c r="B156">
        <v>20201</v>
      </c>
      <c r="C156">
        <v>28</v>
      </c>
      <c r="D156">
        <v>1</v>
      </c>
      <c r="E156" s="16" t="s">
        <v>552</v>
      </c>
      <c r="F156" s="20">
        <v>92020032</v>
      </c>
      <c r="G156" s="24">
        <v>604800</v>
      </c>
      <c r="H156">
        <v>1600</v>
      </c>
      <c r="I156">
        <v>1</v>
      </c>
      <c r="J156">
        <v>10000</v>
      </c>
      <c r="L156" t="s">
        <v>573</v>
      </c>
    </row>
    <row r="157" spans="1:12">
      <c r="A157">
        <v>20230</v>
      </c>
      <c r="B157">
        <v>20201</v>
      </c>
      <c r="C157">
        <v>29</v>
      </c>
      <c r="D157">
        <v>1</v>
      </c>
      <c r="E157" s="16" t="s">
        <v>553</v>
      </c>
      <c r="F157" s="20">
        <v>92020032</v>
      </c>
      <c r="G157" s="24">
        <v>626400</v>
      </c>
      <c r="H157">
        <v>1600</v>
      </c>
      <c r="I157">
        <v>1</v>
      </c>
      <c r="J157">
        <v>10000</v>
      </c>
      <c r="L157" t="s">
        <v>573</v>
      </c>
    </row>
    <row r="158" spans="1:12">
      <c r="A158">
        <v>20231</v>
      </c>
      <c r="B158">
        <v>20201</v>
      </c>
      <c r="C158">
        <v>30</v>
      </c>
      <c r="D158">
        <v>1</v>
      </c>
      <c r="E158" s="16" t="s">
        <v>98</v>
      </c>
      <c r="F158" s="20">
        <v>92020033</v>
      </c>
      <c r="G158" s="24">
        <v>648000</v>
      </c>
      <c r="H158">
        <v>2400</v>
      </c>
      <c r="I158">
        <v>1</v>
      </c>
      <c r="J158">
        <v>10000</v>
      </c>
      <c r="K158" t="s">
        <v>574</v>
      </c>
      <c r="L158" t="s">
        <v>575</v>
      </c>
    </row>
    <row r="159" spans="1:12">
      <c r="A159">
        <v>20301</v>
      </c>
      <c r="B159">
        <v>20301</v>
      </c>
      <c r="C159" s="3">
        <v>0</v>
      </c>
      <c r="D159">
        <v>1</v>
      </c>
      <c r="E159" s="16" t="s">
        <v>513</v>
      </c>
      <c r="F159" s="20">
        <v>92020040</v>
      </c>
      <c r="G159">
        <v>0</v>
      </c>
      <c r="H159">
        <v>0</v>
      </c>
      <c r="I159">
        <v>1</v>
      </c>
      <c r="J159">
        <v>10000</v>
      </c>
      <c r="L159" t="s">
        <v>575</v>
      </c>
    </row>
    <row r="160" spans="1:12">
      <c r="A160">
        <v>20302</v>
      </c>
      <c r="B160">
        <v>20301</v>
      </c>
      <c r="C160">
        <v>1</v>
      </c>
      <c r="D160">
        <v>1</v>
      </c>
      <c r="E160" s="16" t="s">
        <v>515</v>
      </c>
      <c r="F160" s="20">
        <v>92020040</v>
      </c>
      <c r="G160" s="24">
        <v>32400</v>
      </c>
      <c r="H160">
        <v>0</v>
      </c>
      <c r="I160">
        <v>1</v>
      </c>
      <c r="J160">
        <v>10000</v>
      </c>
      <c r="L160" t="s">
        <v>575</v>
      </c>
    </row>
    <row r="161" spans="1:12">
      <c r="A161">
        <v>20303</v>
      </c>
      <c r="B161">
        <v>20301</v>
      </c>
      <c r="C161">
        <v>2</v>
      </c>
      <c r="D161">
        <v>1</v>
      </c>
      <c r="E161" s="16" t="s">
        <v>516</v>
      </c>
      <c r="F161" s="20">
        <v>92020040</v>
      </c>
      <c r="G161" s="24">
        <v>64800</v>
      </c>
      <c r="H161">
        <v>0</v>
      </c>
      <c r="I161">
        <v>1</v>
      </c>
      <c r="J161">
        <v>10000</v>
      </c>
      <c r="L161" t="s">
        <v>575</v>
      </c>
    </row>
    <row r="162" spans="1:12">
      <c r="A162">
        <v>20304</v>
      </c>
      <c r="B162">
        <v>20301</v>
      </c>
      <c r="C162">
        <v>3</v>
      </c>
      <c r="D162">
        <v>1</v>
      </c>
      <c r="E162" s="16" t="s">
        <v>517</v>
      </c>
      <c r="F162" s="20">
        <v>92020040</v>
      </c>
      <c r="G162" s="24">
        <v>97200</v>
      </c>
      <c r="H162">
        <v>0</v>
      </c>
      <c r="I162">
        <v>1</v>
      </c>
      <c r="J162">
        <v>10000</v>
      </c>
      <c r="L162" t="s">
        <v>575</v>
      </c>
    </row>
    <row r="163" spans="1:12">
      <c r="A163">
        <v>20305</v>
      </c>
      <c r="B163">
        <v>20301</v>
      </c>
      <c r="C163">
        <v>4</v>
      </c>
      <c r="D163">
        <v>1</v>
      </c>
      <c r="E163" s="16" t="s">
        <v>518</v>
      </c>
      <c r="F163" s="20">
        <v>92020040</v>
      </c>
      <c r="G163" s="24">
        <v>129600</v>
      </c>
      <c r="H163">
        <v>0</v>
      </c>
      <c r="I163">
        <v>1</v>
      </c>
      <c r="J163">
        <v>10000</v>
      </c>
      <c r="L163" t="s">
        <v>575</v>
      </c>
    </row>
    <row r="164" spans="1:12">
      <c r="A164">
        <v>20306</v>
      </c>
      <c r="B164">
        <v>20301</v>
      </c>
      <c r="C164">
        <v>5</v>
      </c>
      <c r="D164">
        <v>1</v>
      </c>
      <c r="E164" s="16" t="s">
        <v>519</v>
      </c>
      <c r="F164" s="20">
        <v>92020040</v>
      </c>
      <c r="G164" s="24">
        <v>162000</v>
      </c>
      <c r="H164">
        <v>0</v>
      </c>
      <c r="I164">
        <v>1</v>
      </c>
      <c r="J164">
        <v>10000</v>
      </c>
      <c r="L164" t="s">
        <v>575</v>
      </c>
    </row>
    <row r="165" spans="1:12">
      <c r="A165">
        <v>20307</v>
      </c>
      <c r="B165">
        <v>20301</v>
      </c>
      <c r="C165">
        <v>6</v>
      </c>
      <c r="D165">
        <v>1</v>
      </c>
      <c r="E165" s="16" t="s">
        <v>520</v>
      </c>
      <c r="F165" s="20">
        <v>92020040</v>
      </c>
      <c r="G165" s="24">
        <v>194400</v>
      </c>
      <c r="H165">
        <v>0</v>
      </c>
      <c r="I165">
        <v>1</v>
      </c>
      <c r="J165">
        <v>10000</v>
      </c>
      <c r="L165" t="s">
        <v>575</v>
      </c>
    </row>
    <row r="166" spans="1:12">
      <c r="A166">
        <v>20308</v>
      </c>
      <c r="B166">
        <v>20301</v>
      </c>
      <c r="C166">
        <v>7</v>
      </c>
      <c r="D166">
        <v>1</v>
      </c>
      <c r="E166" s="16" t="s">
        <v>521</v>
      </c>
      <c r="F166" s="20">
        <v>92020040</v>
      </c>
      <c r="G166" s="24">
        <v>226800</v>
      </c>
      <c r="H166">
        <v>0</v>
      </c>
      <c r="I166">
        <v>1</v>
      </c>
      <c r="J166">
        <v>10000</v>
      </c>
      <c r="L166" t="s">
        <v>575</v>
      </c>
    </row>
    <row r="167" spans="1:12">
      <c r="A167">
        <v>20309</v>
      </c>
      <c r="B167">
        <v>20301</v>
      </c>
      <c r="C167">
        <v>8</v>
      </c>
      <c r="D167">
        <v>1</v>
      </c>
      <c r="E167" s="16" t="s">
        <v>522</v>
      </c>
      <c r="F167" s="20">
        <v>92020040</v>
      </c>
      <c r="G167" s="24">
        <v>259200</v>
      </c>
      <c r="H167">
        <v>0</v>
      </c>
      <c r="I167">
        <v>1</v>
      </c>
      <c r="J167">
        <v>10000</v>
      </c>
      <c r="L167" t="s">
        <v>575</v>
      </c>
    </row>
    <row r="168" spans="1:12">
      <c r="A168">
        <v>20310</v>
      </c>
      <c r="B168">
        <v>20301</v>
      </c>
      <c r="C168">
        <v>9</v>
      </c>
      <c r="D168">
        <v>1</v>
      </c>
      <c r="E168" s="16" t="s">
        <v>523</v>
      </c>
      <c r="F168" s="20">
        <v>92020040</v>
      </c>
      <c r="G168" s="24">
        <v>291600</v>
      </c>
      <c r="H168">
        <v>0</v>
      </c>
      <c r="I168">
        <v>1</v>
      </c>
      <c r="J168">
        <v>10000</v>
      </c>
      <c r="L168" t="s">
        <v>575</v>
      </c>
    </row>
    <row r="169" spans="1:12">
      <c r="A169">
        <v>20311</v>
      </c>
      <c r="B169">
        <v>20301</v>
      </c>
      <c r="C169">
        <v>10</v>
      </c>
      <c r="D169">
        <v>1</v>
      </c>
      <c r="E169" s="16" t="s">
        <v>526</v>
      </c>
      <c r="F169" s="20">
        <v>92020041</v>
      </c>
      <c r="G169" s="24">
        <v>324000</v>
      </c>
      <c r="H169">
        <v>1600</v>
      </c>
      <c r="I169">
        <v>1</v>
      </c>
      <c r="J169">
        <v>10000</v>
      </c>
      <c r="K169" t="s">
        <v>576</v>
      </c>
      <c r="L169" t="s">
        <v>577</v>
      </c>
    </row>
    <row r="170" spans="1:12">
      <c r="A170">
        <v>20312</v>
      </c>
      <c r="B170">
        <v>20301</v>
      </c>
      <c r="C170">
        <v>11</v>
      </c>
      <c r="D170">
        <v>1</v>
      </c>
      <c r="E170" s="16" t="s">
        <v>529</v>
      </c>
      <c r="F170" s="20">
        <v>92020041</v>
      </c>
      <c r="G170" s="24">
        <v>356400</v>
      </c>
      <c r="H170">
        <v>1600</v>
      </c>
      <c r="I170">
        <v>1</v>
      </c>
      <c r="J170">
        <v>10000</v>
      </c>
      <c r="L170" t="s">
        <v>577</v>
      </c>
    </row>
    <row r="171" spans="1:12">
      <c r="A171">
        <v>20313</v>
      </c>
      <c r="B171">
        <v>20301</v>
      </c>
      <c r="C171">
        <v>12</v>
      </c>
      <c r="D171">
        <v>1</v>
      </c>
      <c r="E171" s="16" t="s">
        <v>530</v>
      </c>
      <c r="F171" s="20">
        <v>92020041</v>
      </c>
      <c r="G171" s="24">
        <v>388800</v>
      </c>
      <c r="H171">
        <v>1600</v>
      </c>
      <c r="I171">
        <v>1</v>
      </c>
      <c r="J171">
        <v>10000</v>
      </c>
      <c r="L171" t="s">
        <v>577</v>
      </c>
    </row>
    <row r="172" spans="1:12">
      <c r="A172">
        <v>20314</v>
      </c>
      <c r="B172">
        <v>20301</v>
      </c>
      <c r="C172">
        <v>13</v>
      </c>
      <c r="D172">
        <v>1</v>
      </c>
      <c r="E172" s="16" t="s">
        <v>531</v>
      </c>
      <c r="F172" s="20">
        <v>92020041</v>
      </c>
      <c r="G172" s="24">
        <v>421200</v>
      </c>
      <c r="H172">
        <v>1600</v>
      </c>
      <c r="I172">
        <v>1</v>
      </c>
      <c r="J172">
        <v>10000</v>
      </c>
      <c r="L172" t="s">
        <v>577</v>
      </c>
    </row>
    <row r="173" spans="1:12">
      <c r="A173">
        <v>20315</v>
      </c>
      <c r="B173">
        <v>20301</v>
      </c>
      <c r="C173">
        <v>14</v>
      </c>
      <c r="D173">
        <v>1</v>
      </c>
      <c r="E173" s="16" t="s">
        <v>532</v>
      </c>
      <c r="F173" s="20">
        <v>92020041</v>
      </c>
      <c r="G173" s="24">
        <v>453600</v>
      </c>
      <c r="H173">
        <v>1600</v>
      </c>
      <c r="I173">
        <v>1</v>
      </c>
      <c r="J173">
        <v>10000</v>
      </c>
      <c r="L173" t="s">
        <v>577</v>
      </c>
    </row>
    <row r="174" spans="1:12">
      <c r="A174">
        <v>20316</v>
      </c>
      <c r="B174">
        <v>20301</v>
      </c>
      <c r="C174">
        <v>15</v>
      </c>
      <c r="D174">
        <v>1</v>
      </c>
      <c r="E174" s="16" t="s">
        <v>533</v>
      </c>
      <c r="F174" s="20">
        <v>92020041</v>
      </c>
      <c r="G174" s="24">
        <v>486000</v>
      </c>
      <c r="H174">
        <v>1600</v>
      </c>
      <c r="I174">
        <v>1</v>
      </c>
      <c r="J174">
        <v>10000</v>
      </c>
      <c r="L174" t="s">
        <v>577</v>
      </c>
    </row>
    <row r="175" spans="1:12">
      <c r="A175">
        <v>20317</v>
      </c>
      <c r="B175">
        <v>20301</v>
      </c>
      <c r="C175">
        <v>16</v>
      </c>
      <c r="D175">
        <v>1</v>
      </c>
      <c r="E175" s="16" t="s">
        <v>534</v>
      </c>
      <c r="F175" s="20">
        <v>92020041</v>
      </c>
      <c r="G175" s="24">
        <v>518400</v>
      </c>
      <c r="H175">
        <v>1600</v>
      </c>
      <c r="I175">
        <v>1</v>
      </c>
      <c r="J175">
        <v>10000</v>
      </c>
      <c r="L175" t="s">
        <v>577</v>
      </c>
    </row>
    <row r="176" spans="1:12">
      <c r="A176">
        <v>20318</v>
      </c>
      <c r="B176">
        <v>20301</v>
      </c>
      <c r="C176">
        <v>17</v>
      </c>
      <c r="D176">
        <v>1</v>
      </c>
      <c r="E176" s="16" t="s">
        <v>535</v>
      </c>
      <c r="F176" s="20">
        <v>92020041</v>
      </c>
      <c r="G176" s="24">
        <v>550800</v>
      </c>
      <c r="H176">
        <v>1600</v>
      </c>
      <c r="I176">
        <v>1</v>
      </c>
      <c r="J176">
        <v>10000</v>
      </c>
      <c r="L176" t="s">
        <v>577</v>
      </c>
    </row>
    <row r="177" spans="1:12">
      <c r="A177">
        <v>20319</v>
      </c>
      <c r="B177">
        <v>20301</v>
      </c>
      <c r="C177">
        <v>18</v>
      </c>
      <c r="D177">
        <v>1</v>
      </c>
      <c r="E177" s="16" t="s">
        <v>536</v>
      </c>
      <c r="F177" s="20">
        <v>92020041</v>
      </c>
      <c r="G177" s="24">
        <v>583200</v>
      </c>
      <c r="H177">
        <v>1600</v>
      </c>
      <c r="I177">
        <v>1</v>
      </c>
      <c r="J177">
        <v>10000</v>
      </c>
      <c r="L177" t="s">
        <v>577</v>
      </c>
    </row>
    <row r="178" spans="1:12">
      <c r="A178">
        <v>20320</v>
      </c>
      <c r="B178">
        <v>20301</v>
      </c>
      <c r="C178">
        <v>19</v>
      </c>
      <c r="D178">
        <v>1</v>
      </c>
      <c r="E178" s="16" t="s">
        <v>537</v>
      </c>
      <c r="F178" s="20">
        <v>92020041</v>
      </c>
      <c r="G178" s="24">
        <v>615600</v>
      </c>
      <c r="H178">
        <v>1600</v>
      </c>
      <c r="I178">
        <v>1</v>
      </c>
      <c r="J178">
        <v>10000</v>
      </c>
      <c r="L178" t="s">
        <v>577</v>
      </c>
    </row>
    <row r="179" spans="1:12">
      <c r="A179">
        <v>20321</v>
      </c>
      <c r="B179">
        <v>20301</v>
      </c>
      <c r="C179">
        <v>20</v>
      </c>
      <c r="D179">
        <v>1</v>
      </c>
      <c r="E179" s="16" t="s">
        <v>542</v>
      </c>
      <c r="F179" s="20">
        <v>92020042</v>
      </c>
      <c r="G179" s="24">
        <v>648000</v>
      </c>
      <c r="H179">
        <v>2400</v>
      </c>
      <c r="I179">
        <v>1</v>
      </c>
      <c r="J179">
        <v>10000</v>
      </c>
      <c r="K179" t="s">
        <v>578</v>
      </c>
      <c r="L179" t="s">
        <v>579</v>
      </c>
    </row>
    <row r="180" spans="1:12">
      <c r="A180">
        <v>20322</v>
      </c>
      <c r="B180">
        <v>20301</v>
      </c>
      <c r="C180">
        <v>21</v>
      </c>
      <c r="D180">
        <v>1</v>
      </c>
      <c r="E180" s="16" t="s">
        <v>545</v>
      </c>
      <c r="F180" s="20">
        <v>92020042</v>
      </c>
      <c r="G180" s="24">
        <v>680400</v>
      </c>
      <c r="H180">
        <v>2400</v>
      </c>
      <c r="I180">
        <v>1</v>
      </c>
      <c r="J180">
        <v>10000</v>
      </c>
      <c r="L180" t="s">
        <v>579</v>
      </c>
    </row>
    <row r="181" spans="1:12">
      <c r="A181">
        <v>20323</v>
      </c>
      <c r="B181">
        <v>20301</v>
      </c>
      <c r="C181">
        <v>22</v>
      </c>
      <c r="D181">
        <v>1</v>
      </c>
      <c r="E181" s="16" t="s">
        <v>546</v>
      </c>
      <c r="F181" s="20">
        <v>92020042</v>
      </c>
      <c r="G181" s="24">
        <v>712800</v>
      </c>
      <c r="H181">
        <v>2400</v>
      </c>
      <c r="I181">
        <v>1</v>
      </c>
      <c r="J181">
        <v>10000</v>
      </c>
      <c r="L181" t="s">
        <v>579</v>
      </c>
    </row>
    <row r="182" spans="1:12">
      <c r="A182">
        <v>20324</v>
      </c>
      <c r="B182">
        <v>20301</v>
      </c>
      <c r="C182">
        <v>23</v>
      </c>
      <c r="D182">
        <v>1</v>
      </c>
      <c r="E182" s="16" t="s">
        <v>547</v>
      </c>
      <c r="F182" s="20">
        <v>92020042</v>
      </c>
      <c r="G182" s="24">
        <v>745200</v>
      </c>
      <c r="H182">
        <v>2400</v>
      </c>
      <c r="I182">
        <v>1</v>
      </c>
      <c r="J182">
        <v>10000</v>
      </c>
      <c r="L182" t="s">
        <v>579</v>
      </c>
    </row>
    <row r="183" spans="1:12">
      <c r="A183">
        <v>20325</v>
      </c>
      <c r="B183">
        <v>20301</v>
      </c>
      <c r="C183">
        <v>24</v>
      </c>
      <c r="D183">
        <v>1</v>
      </c>
      <c r="E183" s="16" t="s">
        <v>548</v>
      </c>
      <c r="F183" s="20">
        <v>92020042</v>
      </c>
      <c r="G183" s="24">
        <v>777600</v>
      </c>
      <c r="H183">
        <v>2400</v>
      </c>
      <c r="I183">
        <v>1</v>
      </c>
      <c r="J183">
        <v>10000</v>
      </c>
      <c r="L183" t="s">
        <v>579</v>
      </c>
    </row>
    <row r="184" spans="1:12">
      <c r="A184">
        <v>20326</v>
      </c>
      <c r="B184">
        <v>20301</v>
      </c>
      <c r="C184">
        <v>25</v>
      </c>
      <c r="D184">
        <v>1</v>
      </c>
      <c r="E184" s="16" t="s">
        <v>549</v>
      </c>
      <c r="F184" s="20">
        <v>92020042</v>
      </c>
      <c r="G184" s="24">
        <v>810000</v>
      </c>
      <c r="H184">
        <v>2400</v>
      </c>
      <c r="I184">
        <v>1</v>
      </c>
      <c r="J184">
        <v>10000</v>
      </c>
      <c r="L184" t="s">
        <v>579</v>
      </c>
    </row>
    <row r="185" spans="1:12">
      <c r="A185">
        <v>20327</v>
      </c>
      <c r="B185">
        <v>20301</v>
      </c>
      <c r="C185">
        <v>26</v>
      </c>
      <c r="D185">
        <v>1</v>
      </c>
      <c r="E185" s="16" t="s">
        <v>550</v>
      </c>
      <c r="F185" s="20">
        <v>92020042</v>
      </c>
      <c r="G185" s="24">
        <v>842400</v>
      </c>
      <c r="H185">
        <v>2400</v>
      </c>
      <c r="I185">
        <v>1</v>
      </c>
      <c r="J185">
        <v>10000</v>
      </c>
      <c r="L185" t="s">
        <v>579</v>
      </c>
    </row>
    <row r="186" spans="1:12">
      <c r="A186">
        <v>20328</v>
      </c>
      <c r="B186">
        <v>20301</v>
      </c>
      <c r="C186">
        <v>27</v>
      </c>
      <c r="D186">
        <v>1</v>
      </c>
      <c r="E186" s="16" t="s">
        <v>551</v>
      </c>
      <c r="F186" s="20">
        <v>92020042</v>
      </c>
      <c r="G186" s="24">
        <v>874800</v>
      </c>
      <c r="H186">
        <v>2400</v>
      </c>
      <c r="I186">
        <v>1</v>
      </c>
      <c r="J186">
        <v>10000</v>
      </c>
      <c r="L186" t="s">
        <v>579</v>
      </c>
    </row>
    <row r="187" spans="1:12">
      <c r="A187">
        <v>20329</v>
      </c>
      <c r="B187">
        <v>20301</v>
      </c>
      <c r="C187">
        <v>28</v>
      </c>
      <c r="D187">
        <v>1</v>
      </c>
      <c r="E187" s="16" t="s">
        <v>552</v>
      </c>
      <c r="F187" s="20">
        <v>92020042</v>
      </c>
      <c r="G187" s="24">
        <v>907200</v>
      </c>
      <c r="H187">
        <v>2400</v>
      </c>
      <c r="I187">
        <v>1</v>
      </c>
      <c r="J187">
        <v>10000</v>
      </c>
      <c r="L187" t="s">
        <v>579</v>
      </c>
    </row>
    <row r="188" spans="1:12">
      <c r="A188">
        <v>20330</v>
      </c>
      <c r="B188">
        <v>20301</v>
      </c>
      <c r="C188">
        <v>29</v>
      </c>
      <c r="D188">
        <v>1</v>
      </c>
      <c r="E188" s="16" t="s">
        <v>553</v>
      </c>
      <c r="F188" s="20">
        <v>92020042</v>
      </c>
      <c r="G188" s="24">
        <v>939600</v>
      </c>
      <c r="H188">
        <v>2400</v>
      </c>
      <c r="I188">
        <v>1</v>
      </c>
      <c r="J188">
        <v>10000</v>
      </c>
      <c r="L188" t="s">
        <v>579</v>
      </c>
    </row>
    <row r="189" spans="1:12">
      <c r="A189">
        <v>20331</v>
      </c>
      <c r="B189">
        <v>20301</v>
      </c>
      <c r="C189">
        <v>30</v>
      </c>
      <c r="D189">
        <v>1</v>
      </c>
      <c r="E189" s="16" t="s">
        <v>98</v>
      </c>
      <c r="F189" s="20">
        <v>92020043</v>
      </c>
      <c r="G189" s="24">
        <v>972000</v>
      </c>
      <c r="H189">
        <v>3600</v>
      </c>
      <c r="I189">
        <v>1</v>
      </c>
      <c r="J189">
        <v>10000</v>
      </c>
      <c r="K189" t="s">
        <v>580</v>
      </c>
      <c r="L189" t="s">
        <v>581</v>
      </c>
    </row>
    <row r="190" spans="1:12">
      <c r="A190">
        <v>30001</v>
      </c>
      <c r="B190">
        <v>30001</v>
      </c>
      <c r="C190">
        <v>0</v>
      </c>
      <c r="D190">
        <v>1</v>
      </c>
      <c r="E190" s="16" t="s">
        <v>513</v>
      </c>
      <c r="F190" s="20">
        <v>92030010</v>
      </c>
      <c r="G190" s="8">
        <v>0</v>
      </c>
      <c r="H190">
        <v>0</v>
      </c>
      <c r="I190">
        <v>3</v>
      </c>
      <c r="J190">
        <v>10000</v>
      </c>
      <c r="L190" t="s">
        <v>582</v>
      </c>
    </row>
    <row r="191" spans="1:12">
      <c r="A191">
        <v>30002</v>
      </c>
      <c r="B191">
        <v>30001</v>
      </c>
      <c r="C191">
        <v>1</v>
      </c>
      <c r="D191">
        <v>1</v>
      </c>
      <c r="E191" s="16" t="s">
        <v>515</v>
      </c>
      <c r="F191" s="20">
        <v>92030010</v>
      </c>
      <c r="G191" s="18">
        <v>9750</v>
      </c>
      <c r="H191">
        <v>0</v>
      </c>
      <c r="I191">
        <v>3</v>
      </c>
      <c r="J191">
        <v>10000</v>
      </c>
      <c r="L191" t="s">
        <v>582</v>
      </c>
    </row>
    <row r="192" spans="1:12">
      <c r="A192">
        <v>30003</v>
      </c>
      <c r="B192">
        <v>30001</v>
      </c>
      <c r="C192">
        <v>2</v>
      </c>
      <c r="D192">
        <v>1</v>
      </c>
      <c r="E192" s="16" t="s">
        <v>516</v>
      </c>
      <c r="F192" s="20">
        <v>92030010</v>
      </c>
      <c r="G192" s="18">
        <v>19500</v>
      </c>
      <c r="H192">
        <v>0</v>
      </c>
      <c r="I192">
        <v>3</v>
      </c>
      <c r="J192">
        <v>10000</v>
      </c>
      <c r="L192" t="s">
        <v>582</v>
      </c>
    </row>
    <row r="193" spans="1:12">
      <c r="A193">
        <v>30004</v>
      </c>
      <c r="B193">
        <v>30001</v>
      </c>
      <c r="C193">
        <v>3</v>
      </c>
      <c r="D193">
        <v>1</v>
      </c>
      <c r="E193" s="16" t="s">
        <v>517</v>
      </c>
      <c r="F193" s="20">
        <v>92030010</v>
      </c>
      <c r="G193" s="18">
        <v>29250</v>
      </c>
      <c r="H193">
        <v>0</v>
      </c>
      <c r="I193">
        <v>3</v>
      </c>
      <c r="J193">
        <v>10000</v>
      </c>
      <c r="L193" t="s">
        <v>582</v>
      </c>
    </row>
    <row r="194" spans="1:12">
      <c r="A194">
        <v>30005</v>
      </c>
      <c r="B194">
        <v>30001</v>
      </c>
      <c r="C194">
        <v>4</v>
      </c>
      <c r="D194">
        <v>1</v>
      </c>
      <c r="E194" s="16" t="s">
        <v>518</v>
      </c>
      <c r="F194" s="20">
        <v>92030010</v>
      </c>
      <c r="G194" s="18">
        <v>39000</v>
      </c>
      <c r="H194">
        <v>0</v>
      </c>
      <c r="I194">
        <v>3</v>
      </c>
      <c r="J194">
        <v>10000</v>
      </c>
      <c r="L194" t="s">
        <v>582</v>
      </c>
    </row>
    <row r="195" spans="1:12">
      <c r="A195">
        <v>30006</v>
      </c>
      <c r="B195">
        <v>30001</v>
      </c>
      <c r="C195">
        <v>5</v>
      </c>
      <c r="D195">
        <v>1</v>
      </c>
      <c r="E195" s="16" t="s">
        <v>519</v>
      </c>
      <c r="F195" s="20">
        <v>92030010</v>
      </c>
      <c r="G195" s="18">
        <v>48750</v>
      </c>
      <c r="H195">
        <v>0</v>
      </c>
      <c r="I195">
        <v>3</v>
      </c>
      <c r="J195">
        <v>10000</v>
      </c>
      <c r="L195" t="s">
        <v>582</v>
      </c>
    </row>
    <row r="196" spans="1:12">
      <c r="A196">
        <v>30007</v>
      </c>
      <c r="B196">
        <v>30001</v>
      </c>
      <c r="C196">
        <v>6</v>
      </c>
      <c r="D196">
        <v>1</v>
      </c>
      <c r="E196" s="16" t="s">
        <v>520</v>
      </c>
      <c r="F196" s="20">
        <v>92030010</v>
      </c>
      <c r="G196" s="18">
        <v>58500</v>
      </c>
      <c r="H196">
        <v>0</v>
      </c>
      <c r="I196">
        <v>3</v>
      </c>
      <c r="J196">
        <v>10000</v>
      </c>
      <c r="L196" t="s">
        <v>582</v>
      </c>
    </row>
    <row r="197" spans="1:12">
      <c r="A197">
        <v>30008</v>
      </c>
      <c r="B197">
        <v>30001</v>
      </c>
      <c r="C197">
        <v>7</v>
      </c>
      <c r="D197">
        <v>1</v>
      </c>
      <c r="E197" s="16" t="s">
        <v>521</v>
      </c>
      <c r="F197" s="20">
        <v>92030010</v>
      </c>
      <c r="G197" s="18">
        <v>68250</v>
      </c>
      <c r="H197">
        <v>0</v>
      </c>
      <c r="I197">
        <v>3</v>
      </c>
      <c r="J197">
        <v>10000</v>
      </c>
      <c r="L197" t="s">
        <v>582</v>
      </c>
    </row>
    <row r="198" spans="1:12">
      <c r="A198">
        <v>30009</v>
      </c>
      <c r="B198">
        <v>30001</v>
      </c>
      <c r="C198">
        <v>8</v>
      </c>
      <c r="D198">
        <v>1</v>
      </c>
      <c r="E198" s="16" t="s">
        <v>522</v>
      </c>
      <c r="F198" s="20">
        <v>92030010</v>
      </c>
      <c r="G198" s="18">
        <v>78000</v>
      </c>
      <c r="H198">
        <v>0</v>
      </c>
      <c r="I198">
        <v>3</v>
      </c>
      <c r="J198">
        <v>10000</v>
      </c>
      <c r="L198" t="s">
        <v>582</v>
      </c>
    </row>
    <row r="199" spans="1:12">
      <c r="A199">
        <v>30010</v>
      </c>
      <c r="B199">
        <v>30001</v>
      </c>
      <c r="C199">
        <v>9</v>
      </c>
      <c r="D199">
        <v>1</v>
      </c>
      <c r="E199" s="16" t="s">
        <v>523</v>
      </c>
      <c r="F199" s="20">
        <v>92030010</v>
      </c>
      <c r="G199" s="18">
        <v>87750</v>
      </c>
      <c r="H199">
        <v>0</v>
      </c>
      <c r="I199">
        <v>3</v>
      </c>
      <c r="J199">
        <v>10000</v>
      </c>
      <c r="L199" t="s">
        <v>582</v>
      </c>
    </row>
    <row r="200" spans="1:12">
      <c r="A200">
        <v>30011</v>
      </c>
      <c r="B200">
        <v>30001</v>
      </c>
      <c r="C200" s="3">
        <v>10</v>
      </c>
      <c r="D200">
        <v>1</v>
      </c>
      <c r="E200" s="16" t="s">
        <v>98</v>
      </c>
      <c r="F200" s="20">
        <v>92030012</v>
      </c>
      <c r="G200" s="18">
        <v>97500</v>
      </c>
      <c r="H200" s="3">
        <v>800</v>
      </c>
      <c r="I200">
        <v>3</v>
      </c>
      <c r="J200" s="3">
        <v>10000</v>
      </c>
      <c r="K200" t="s">
        <v>583</v>
      </c>
      <c r="L200" t="s">
        <v>584</v>
      </c>
    </row>
    <row r="201" spans="1:12">
      <c r="A201">
        <v>30101</v>
      </c>
      <c r="B201">
        <v>30101</v>
      </c>
      <c r="C201" s="3">
        <v>0</v>
      </c>
      <c r="D201">
        <v>1</v>
      </c>
      <c r="E201" s="16" t="s">
        <v>513</v>
      </c>
      <c r="F201" s="20">
        <v>92030020</v>
      </c>
      <c r="G201" s="8">
        <v>0</v>
      </c>
      <c r="H201">
        <v>0</v>
      </c>
      <c r="I201">
        <v>3</v>
      </c>
      <c r="J201">
        <v>10000</v>
      </c>
      <c r="L201" t="s">
        <v>584</v>
      </c>
    </row>
    <row r="202" spans="1:12">
      <c r="A202">
        <v>30102</v>
      </c>
      <c r="B202">
        <v>30101</v>
      </c>
      <c r="C202">
        <v>1</v>
      </c>
      <c r="D202">
        <v>1</v>
      </c>
      <c r="E202" s="16" t="s">
        <v>515</v>
      </c>
      <c r="F202" s="20">
        <v>92030020</v>
      </c>
      <c r="G202" s="18">
        <v>12675</v>
      </c>
      <c r="H202">
        <v>0</v>
      </c>
      <c r="I202">
        <v>3</v>
      </c>
      <c r="J202">
        <v>10000</v>
      </c>
      <c r="L202" t="s">
        <v>584</v>
      </c>
    </row>
    <row r="203" spans="1:12">
      <c r="A203">
        <v>30103</v>
      </c>
      <c r="B203">
        <v>30101</v>
      </c>
      <c r="C203">
        <v>2</v>
      </c>
      <c r="D203">
        <v>1</v>
      </c>
      <c r="E203" s="16" t="s">
        <v>516</v>
      </c>
      <c r="F203" s="20">
        <v>92030020</v>
      </c>
      <c r="G203" s="18">
        <v>25350</v>
      </c>
      <c r="H203">
        <v>0</v>
      </c>
      <c r="I203">
        <v>3</v>
      </c>
      <c r="J203">
        <v>10000</v>
      </c>
      <c r="L203" t="s">
        <v>584</v>
      </c>
    </row>
    <row r="204" spans="1:12">
      <c r="A204">
        <v>30104</v>
      </c>
      <c r="B204">
        <v>30101</v>
      </c>
      <c r="C204">
        <v>3</v>
      </c>
      <c r="D204">
        <v>1</v>
      </c>
      <c r="E204" s="16" t="s">
        <v>517</v>
      </c>
      <c r="F204" s="20">
        <v>92030020</v>
      </c>
      <c r="G204" s="18">
        <v>38025</v>
      </c>
      <c r="H204">
        <v>0</v>
      </c>
      <c r="I204">
        <v>3</v>
      </c>
      <c r="J204">
        <v>10000</v>
      </c>
      <c r="L204" t="s">
        <v>584</v>
      </c>
    </row>
    <row r="205" spans="1:12">
      <c r="A205">
        <v>30105</v>
      </c>
      <c r="B205">
        <v>30101</v>
      </c>
      <c r="C205">
        <v>4</v>
      </c>
      <c r="D205">
        <v>1</v>
      </c>
      <c r="E205" s="16" t="s">
        <v>518</v>
      </c>
      <c r="F205" s="20">
        <v>92030020</v>
      </c>
      <c r="G205" s="18">
        <v>50700</v>
      </c>
      <c r="H205">
        <v>0</v>
      </c>
      <c r="I205">
        <v>3</v>
      </c>
      <c r="J205">
        <v>10000</v>
      </c>
      <c r="L205" t="s">
        <v>584</v>
      </c>
    </row>
    <row r="206" spans="1:12">
      <c r="A206">
        <v>30106</v>
      </c>
      <c r="B206">
        <v>30101</v>
      </c>
      <c r="C206">
        <v>5</v>
      </c>
      <c r="D206">
        <v>1</v>
      </c>
      <c r="E206" s="16" t="s">
        <v>519</v>
      </c>
      <c r="F206" s="20">
        <v>92030020</v>
      </c>
      <c r="G206" s="18">
        <v>63375</v>
      </c>
      <c r="H206">
        <v>0</v>
      </c>
      <c r="I206">
        <v>3</v>
      </c>
      <c r="J206">
        <v>10000</v>
      </c>
      <c r="L206" t="s">
        <v>584</v>
      </c>
    </row>
    <row r="207" spans="1:12">
      <c r="A207">
        <v>30107</v>
      </c>
      <c r="B207">
        <v>30101</v>
      </c>
      <c r="C207">
        <v>6</v>
      </c>
      <c r="D207">
        <v>1</v>
      </c>
      <c r="E207" s="16" t="s">
        <v>520</v>
      </c>
      <c r="F207" s="20">
        <v>92030020</v>
      </c>
      <c r="G207" s="18">
        <v>76050</v>
      </c>
      <c r="H207">
        <v>0</v>
      </c>
      <c r="I207">
        <v>3</v>
      </c>
      <c r="J207">
        <v>10000</v>
      </c>
      <c r="L207" t="s">
        <v>584</v>
      </c>
    </row>
    <row r="208" spans="1:12">
      <c r="A208">
        <v>30108</v>
      </c>
      <c r="B208">
        <v>30101</v>
      </c>
      <c r="C208">
        <v>7</v>
      </c>
      <c r="D208">
        <v>1</v>
      </c>
      <c r="E208" s="16" t="s">
        <v>521</v>
      </c>
      <c r="F208" s="20">
        <v>92030020</v>
      </c>
      <c r="G208" s="18">
        <v>88725</v>
      </c>
      <c r="H208">
        <v>0</v>
      </c>
      <c r="I208">
        <v>3</v>
      </c>
      <c r="J208">
        <v>10000</v>
      </c>
      <c r="L208" t="s">
        <v>584</v>
      </c>
    </row>
    <row r="209" spans="1:12">
      <c r="A209">
        <v>30109</v>
      </c>
      <c r="B209">
        <v>30101</v>
      </c>
      <c r="C209">
        <v>8</v>
      </c>
      <c r="D209">
        <v>1</v>
      </c>
      <c r="E209" s="16" t="s">
        <v>522</v>
      </c>
      <c r="F209" s="20">
        <v>92030020</v>
      </c>
      <c r="G209" s="18">
        <v>101400</v>
      </c>
      <c r="H209">
        <v>0</v>
      </c>
      <c r="I209">
        <v>3</v>
      </c>
      <c r="J209">
        <v>10000</v>
      </c>
      <c r="L209" t="s">
        <v>584</v>
      </c>
    </row>
    <row r="210" spans="1:12">
      <c r="A210">
        <v>30110</v>
      </c>
      <c r="B210">
        <v>30101</v>
      </c>
      <c r="C210">
        <v>9</v>
      </c>
      <c r="D210">
        <v>1</v>
      </c>
      <c r="E210" s="16" t="s">
        <v>523</v>
      </c>
      <c r="F210" s="20">
        <v>92030020</v>
      </c>
      <c r="G210" s="18">
        <v>114075</v>
      </c>
      <c r="H210">
        <v>0</v>
      </c>
      <c r="I210">
        <v>3</v>
      </c>
      <c r="J210">
        <v>10000</v>
      </c>
      <c r="L210" t="s">
        <v>584</v>
      </c>
    </row>
    <row r="211" spans="1:12">
      <c r="A211">
        <v>30111</v>
      </c>
      <c r="B211">
        <v>30101</v>
      </c>
      <c r="C211">
        <v>10</v>
      </c>
      <c r="D211">
        <v>1</v>
      </c>
      <c r="E211" s="16" t="s">
        <v>526</v>
      </c>
      <c r="F211" s="20">
        <v>92030022</v>
      </c>
      <c r="G211" s="18">
        <v>126750</v>
      </c>
      <c r="H211">
        <v>800</v>
      </c>
      <c r="I211">
        <v>3</v>
      </c>
      <c r="J211">
        <v>10000</v>
      </c>
      <c r="K211" t="s">
        <v>585</v>
      </c>
      <c r="L211" t="s">
        <v>586</v>
      </c>
    </row>
    <row r="212" spans="1:12">
      <c r="A212">
        <v>30112</v>
      </c>
      <c r="B212">
        <v>30101</v>
      </c>
      <c r="C212">
        <v>11</v>
      </c>
      <c r="D212">
        <v>1</v>
      </c>
      <c r="E212" s="16" t="s">
        <v>529</v>
      </c>
      <c r="F212" s="20">
        <v>92030022</v>
      </c>
      <c r="G212" s="18">
        <v>139425</v>
      </c>
      <c r="H212">
        <v>800</v>
      </c>
      <c r="I212">
        <v>3</v>
      </c>
      <c r="J212">
        <v>10000</v>
      </c>
      <c r="L212" t="s">
        <v>586</v>
      </c>
    </row>
    <row r="213" spans="1:12">
      <c r="A213">
        <v>30113</v>
      </c>
      <c r="B213">
        <v>30101</v>
      </c>
      <c r="C213">
        <v>12</v>
      </c>
      <c r="D213">
        <v>1</v>
      </c>
      <c r="E213" s="16" t="s">
        <v>530</v>
      </c>
      <c r="F213" s="20">
        <v>92030022</v>
      </c>
      <c r="G213" s="18">
        <v>152100</v>
      </c>
      <c r="H213">
        <v>800</v>
      </c>
      <c r="I213">
        <v>3</v>
      </c>
      <c r="J213">
        <v>10000</v>
      </c>
      <c r="L213" t="s">
        <v>586</v>
      </c>
    </row>
    <row r="214" spans="1:12">
      <c r="A214">
        <v>30114</v>
      </c>
      <c r="B214">
        <v>30101</v>
      </c>
      <c r="C214">
        <v>13</v>
      </c>
      <c r="D214">
        <v>1</v>
      </c>
      <c r="E214" s="16" t="s">
        <v>531</v>
      </c>
      <c r="F214" s="20">
        <v>92030022</v>
      </c>
      <c r="G214" s="18">
        <v>164775</v>
      </c>
      <c r="H214">
        <v>800</v>
      </c>
      <c r="I214">
        <v>3</v>
      </c>
      <c r="J214">
        <v>10000</v>
      </c>
      <c r="L214" t="s">
        <v>586</v>
      </c>
    </row>
    <row r="215" spans="1:12">
      <c r="A215">
        <v>30115</v>
      </c>
      <c r="B215">
        <v>30101</v>
      </c>
      <c r="C215">
        <v>14</v>
      </c>
      <c r="D215">
        <v>1</v>
      </c>
      <c r="E215" s="16" t="s">
        <v>532</v>
      </c>
      <c r="F215" s="20">
        <v>92030022</v>
      </c>
      <c r="G215" s="18">
        <v>177450</v>
      </c>
      <c r="H215">
        <v>800</v>
      </c>
      <c r="I215">
        <v>3</v>
      </c>
      <c r="J215">
        <v>10000</v>
      </c>
      <c r="L215" t="s">
        <v>586</v>
      </c>
    </row>
    <row r="216" spans="1:12">
      <c r="A216">
        <v>30116</v>
      </c>
      <c r="B216">
        <v>30101</v>
      </c>
      <c r="C216">
        <v>15</v>
      </c>
      <c r="D216">
        <v>1</v>
      </c>
      <c r="E216" s="16" t="s">
        <v>533</v>
      </c>
      <c r="F216" s="20">
        <v>92030022</v>
      </c>
      <c r="G216" s="18">
        <v>190125</v>
      </c>
      <c r="H216">
        <v>800</v>
      </c>
      <c r="I216">
        <v>3</v>
      </c>
      <c r="J216">
        <v>10000</v>
      </c>
      <c r="L216" t="s">
        <v>586</v>
      </c>
    </row>
    <row r="217" spans="1:12">
      <c r="A217">
        <v>30117</v>
      </c>
      <c r="B217">
        <v>30101</v>
      </c>
      <c r="C217">
        <v>16</v>
      </c>
      <c r="D217">
        <v>1</v>
      </c>
      <c r="E217" s="16" t="s">
        <v>534</v>
      </c>
      <c r="F217" s="20">
        <v>92030022</v>
      </c>
      <c r="G217" s="18">
        <v>202800</v>
      </c>
      <c r="H217">
        <v>800</v>
      </c>
      <c r="I217">
        <v>3</v>
      </c>
      <c r="J217">
        <v>10000</v>
      </c>
      <c r="L217" t="s">
        <v>586</v>
      </c>
    </row>
    <row r="218" spans="1:12">
      <c r="A218">
        <v>30118</v>
      </c>
      <c r="B218">
        <v>30101</v>
      </c>
      <c r="C218">
        <v>17</v>
      </c>
      <c r="D218">
        <v>1</v>
      </c>
      <c r="E218" s="16" t="s">
        <v>535</v>
      </c>
      <c r="F218" s="20">
        <v>92030022</v>
      </c>
      <c r="G218" s="18">
        <v>215475</v>
      </c>
      <c r="H218">
        <v>800</v>
      </c>
      <c r="I218">
        <v>3</v>
      </c>
      <c r="J218">
        <v>10000</v>
      </c>
      <c r="L218" t="s">
        <v>586</v>
      </c>
    </row>
    <row r="219" spans="1:12">
      <c r="A219">
        <v>30119</v>
      </c>
      <c r="B219">
        <v>30101</v>
      </c>
      <c r="C219">
        <v>18</v>
      </c>
      <c r="D219">
        <v>1</v>
      </c>
      <c r="E219" s="16" t="s">
        <v>536</v>
      </c>
      <c r="F219" s="20">
        <v>92030022</v>
      </c>
      <c r="G219" s="18">
        <v>228150</v>
      </c>
      <c r="H219">
        <v>800</v>
      </c>
      <c r="I219">
        <v>3</v>
      </c>
      <c r="J219">
        <v>10000</v>
      </c>
      <c r="L219" t="s">
        <v>586</v>
      </c>
    </row>
    <row r="220" spans="1:12">
      <c r="A220">
        <v>30120</v>
      </c>
      <c r="B220">
        <v>30101</v>
      </c>
      <c r="C220">
        <v>19</v>
      </c>
      <c r="D220">
        <v>1</v>
      </c>
      <c r="E220" s="16" t="s">
        <v>537</v>
      </c>
      <c r="F220" s="20">
        <v>92030022</v>
      </c>
      <c r="G220" s="18">
        <v>240825</v>
      </c>
      <c r="H220">
        <v>800</v>
      </c>
      <c r="I220">
        <v>3</v>
      </c>
      <c r="J220">
        <v>10000</v>
      </c>
      <c r="L220" t="s">
        <v>586</v>
      </c>
    </row>
    <row r="221" spans="1:12">
      <c r="A221">
        <v>30121</v>
      </c>
      <c r="B221">
        <v>30101</v>
      </c>
      <c r="C221">
        <v>20</v>
      </c>
      <c r="D221">
        <v>1</v>
      </c>
      <c r="E221" s="16" t="s">
        <v>98</v>
      </c>
      <c r="F221" s="20">
        <v>92030024</v>
      </c>
      <c r="G221" s="18">
        <v>253500</v>
      </c>
      <c r="H221">
        <v>1600</v>
      </c>
      <c r="I221">
        <v>3</v>
      </c>
      <c r="J221">
        <v>10000</v>
      </c>
      <c r="K221" t="s">
        <v>587</v>
      </c>
      <c r="L221" t="s">
        <v>588</v>
      </c>
    </row>
    <row r="222" spans="1:12">
      <c r="A222">
        <v>30201</v>
      </c>
      <c r="B222">
        <v>30201</v>
      </c>
      <c r="C222" s="3">
        <v>0</v>
      </c>
      <c r="D222">
        <v>1</v>
      </c>
      <c r="E222" s="16" t="s">
        <v>513</v>
      </c>
      <c r="F222" s="20">
        <v>92030030</v>
      </c>
      <c r="G222" s="8">
        <v>0</v>
      </c>
      <c r="H222">
        <v>0</v>
      </c>
      <c r="I222">
        <v>3</v>
      </c>
      <c r="J222">
        <v>10000</v>
      </c>
      <c r="L222" t="s">
        <v>588</v>
      </c>
    </row>
    <row r="223" spans="1:12">
      <c r="A223">
        <v>30202</v>
      </c>
      <c r="B223">
        <v>30201</v>
      </c>
      <c r="C223">
        <v>1</v>
      </c>
      <c r="D223">
        <v>1</v>
      </c>
      <c r="E223" s="16" t="s">
        <v>515</v>
      </c>
      <c r="F223" s="20">
        <v>92030030</v>
      </c>
      <c r="G223" s="18">
        <v>15600</v>
      </c>
      <c r="H223">
        <v>0</v>
      </c>
      <c r="I223">
        <v>3</v>
      </c>
      <c r="J223">
        <v>10000</v>
      </c>
      <c r="L223" t="s">
        <v>588</v>
      </c>
    </row>
    <row r="224" spans="1:12">
      <c r="A224">
        <v>30203</v>
      </c>
      <c r="B224">
        <v>30201</v>
      </c>
      <c r="C224">
        <v>2</v>
      </c>
      <c r="D224">
        <v>1</v>
      </c>
      <c r="E224" s="16" t="s">
        <v>516</v>
      </c>
      <c r="F224" s="20">
        <v>92030030</v>
      </c>
      <c r="G224" s="18">
        <v>31200</v>
      </c>
      <c r="H224">
        <v>0</v>
      </c>
      <c r="I224">
        <v>3</v>
      </c>
      <c r="J224">
        <v>10000</v>
      </c>
      <c r="L224" t="s">
        <v>588</v>
      </c>
    </row>
    <row r="225" spans="1:12">
      <c r="A225">
        <v>30204</v>
      </c>
      <c r="B225">
        <v>30201</v>
      </c>
      <c r="C225">
        <v>3</v>
      </c>
      <c r="D225">
        <v>1</v>
      </c>
      <c r="E225" s="16" t="s">
        <v>517</v>
      </c>
      <c r="F225" s="20">
        <v>92030030</v>
      </c>
      <c r="G225" s="18">
        <v>46800</v>
      </c>
      <c r="H225">
        <v>0</v>
      </c>
      <c r="I225">
        <v>3</v>
      </c>
      <c r="J225">
        <v>10000</v>
      </c>
      <c r="L225" t="s">
        <v>588</v>
      </c>
    </row>
    <row r="226" spans="1:12">
      <c r="A226">
        <v>30205</v>
      </c>
      <c r="B226">
        <v>30201</v>
      </c>
      <c r="C226">
        <v>4</v>
      </c>
      <c r="D226">
        <v>1</v>
      </c>
      <c r="E226" s="16" t="s">
        <v>518</v>
      </c>
      <c r="F226" s="20">
        <v>92030030</v>
      </c>
      <c r="G226" s="18">
        <v>62400</v>
      </c>
      <c r="H226">
        <v>0</v>
      </c>
      <c r="I226">
        <v>3</v>
      </c>
      <c r="J226">
        <v>10000</v>
      </c>
      <c r="L226" t="s">
        <v>588</v>
      </c>
    </row>
    <row r="227" spans="1:12">
      <c r="A227">
        <v>30206</v>
      </c>
      <c r="B227">
        <v>30201</v>
      </c>
      <c r="C227">
        <v>5</v>
      </c>
      <c r="D227">
        <v>1</v>
      </c>
      <c r="E227" s="16" t="s">
        <v>519</v>
      </c>
      <c r="F227" s="20">
        <v>92030030</v>
      </c>
      <c r="G227" s="18">
        <v>78000</v>
      </c>
      <c r="H227">
        <v>0</v>
      </c>
      <c r="I227">
        <v>3</v>
      </c>
      <c r="J227">
        <v>10000</v>
      </c>
      <c r="L227" t="s">
        <v>588</v>
      </c>
    </row>
    <row r="228" spans="1:12">
      <c r="A228">
        <v>30207</v>
      </c>
      <c r="B228">
        <v>30201</v>
      </c>
      <c r="C228">
        <v>6</v>
      </c>
      <c r="D228">
        <v>1</v>
      </c>
      <c r="E228" s="16" t="s">
        <v>520</v>
      </c>
      <c r="F228" s="20">
        <v>92030030</v>
      </c>
      <c r="G228" s="18">
        <v>93600</v>
      </c>
      <c r="H228">
        <v>0</v>
      </c>
      <c r="I228">
        <v>3</v>
      </c>
      <c r="J228">
        <v>10000</v>
      </c>
      <c r="L228" t="s">
        <v>588</v>
      </c>
    </row>
    <row r="229" spans="1:12">
      <c r="A229">
        <v>30208</v>
      </c>
      <c r="B229">
        <v>30201</v>
      </c>
      <c r="C229">
        <v>7</v>
      </c>
      <c r="D229">
        <v>1</v>
      </c>
      <c r="E229" s="16" t="s">
        <v>521</v>
      </c>
      <c r="F229" s="20">
        <v>92030030</v>
      </c>
      <c r="G229" s="18">
        <v>109200</v>
      </c>
      <c r="H229">
        <v>0</v>
      </c>
      <c r="I229">
        <v>3</v>
      </c>
      <c r="J229">
        <v>10000</v>
      </c>
      <c r="L229" t="s">
        <v>588</v>
      </c>
    </row>
    <row r="230" spans="1:12">
      <c r="A230">
        <v>30209</v>
      </c>
      <c r="B230">
        <v>30201</v>
      </c>
      <c r="C230">
        <v>8</v>
      </c>
      <c r="D230">
        <v>1</v>
      </c>
      <c r="E230" s="16" t="s">
        <v>522</v>
      </c>
      <c r="F230" s="20">
        <v>92030030</v>
      </c>
      <c r="G230" s="18">
        <v>124800</v>
      </c>
      <c r="H230">
        <v>0</v>
      </c>
      <c r="I230">
        <v>3</v>
      </c>
      <c r="J230">
        <v>10000</v>
      </c>
      <c r="L230" t="s">
        <v>588</v>
      </c>
    </row>
    <row r="231" spans="1:12">
      <c r="A231">
        <v>30210</v>
      </c>
      <c r="B231">
        <v>30201</v>
      </c>
      <c r="C231">
        <v>9</v>
      </c>
      <c r="D231">
        <v>1</v>
      </c>
      <c r="E231" s="16" t="s">
        <v>523</v>
      </c>
      <c r="F231" s="20">
        <v>92030030</v>
      </c>
      <c r="G231" s="18">
        <v>140400</v>
      </c>
      <c r="H231">
        <v>0</v>
      </c>
      <c r="I231">
        <v>3</v>
      </c>
      <c r="J231">
        <v>10000</v>
      </c>
      <c r="L231" t="s">
        <v>588</v>
      </c>
    </row>
    <row r="232" spans="1:12">
      <c r="A232">
        <v>30211</v>
      </c>
      <c r="B232">
        <v>30201</v>
      </c>
      <c r="C232">
        <v>10</v>
      </c>
      <c r="D232">
        <v>1</v>
      </c>
      <c r="E232" s="16" t="s">
        <v>526</v>
      </c>
      <c r="F232" s="20">
        <v>92030032</v>
      </c>
      <c r="G232" s="18">
        <v>156000</v>
      </c>
      <c r="H232">
        <v>800</v>
      </c>
      <c r="I232">
        <v>3</v>
      </c>
      <c r="J232">
        <v>10000</v>
      </c>
      <c r="K232" t="s">
        <v>589</v>
      </c>
      <c r="L232" t="s">
        <v>590</v>
      </c>
    </row>
    <row r="233" spans="1:12">
      <c r="A233">
        <v>30212</v>
      </c>
      <c r="B233">
        <v>30201</v>
      </c>
      <c r="C233">
        <v>11</v>
      </c>
      <c r="D233">
        <v>1</v>
      </c>
      <c r="E233" s="16" t="s">
        <v>529</v>
      </c>
      <c r="F233" s="20">
        <v>92030032</v>
      </c>
      <c r="G233" s="18">
        <v>171600</v>
      </c>
      <c r="H233">
        <v>800</v>
      </c>
      <c r="I233">
        <v>3</v>
      </c>
      <c r="J233">
        <v>10000</v>
      </c>
      <c r="L233" t="s">
        <v>590</v>
      </c>
    </row>
    <row r="234" spans="1:12">
      <c r="A234">
        <v>30213</v>
      </c>
      <c r="B234">
        <v>30201</v>
      </c>
      <c r="C234">
        <v>12</v>
      </c>
      <c r="D234">
        <v>1</v>
      </c>
      <c r="E234" s="16" t="s">
        <v>530</v>
      </c>
      <c r="F234" s="20">
        <v>92030032</v>
      </c>
      <c r="G234" s="18">
        <v>187200</v>
      </c>
      <c r="H234">
        <v>800</v>
      </c>
      <c r="I234">
        <v>3</v>
      </c>
      <c r="J234">
        <v>10000</v>
      </c>
      <c r="L234" t="s">
        <v>590</v>
      </c>
    </row>
    <row r="235" spans="1:12">
      <c r="A235">
        <v>30214</v>
      </c>
      <c r="B235">
        <v>30201</v>
      </c>
      <c r="C235">
        <v>13</v>
      </c>
      <c r="D235">
        <v>1</v>
      </c>
      <c r="E235" s="16" t="s">
        <v>531</v>
      </c>
      <c r="F235" s="20">
        <v>92030032</v>
      </c>
      <c r="G235" s="18">
        <v>202800</v>
      </c>
      <c r="H235">
        <v>800</v>
      </c>
      <c r="I235">
        <v>3</v>
      </c>
      <c r="J235">
        <v>10000</v>
      </c>
      <c r="L235" t="s">
        <v>590</v>
      </c>
    </row>
    <row r="236" spans="1:12">
      <c r="A236">
        <v>30215</v>
      </c>
      <c r="B236">
        <v>30201</v>
      </c>
      <c r="C236">
        <v>14</v>
      </c>
      <c r="D236">
        <v>1</v>
      </c>
      <c r="E236" s="16" t="s">
        <v>532</v>
      </c>
      <c r="F236" s="20">
        <v>92030032</v>
      </c>
      <c r="G236" s="18">
        <v>218400</v>
      </c>
      <c r="H236">
        <v>800</v>
      </c>
      <c r="I236">
        <v>3</v>
      </c>
      <c r="J236">
        <v>10000</v>
      </c>
      <c r="L236" t="s">
        <v>590</v>
      </c>
    </row>
    <row r="237" spans="1:12">
      <c r="A237">
        <v>30216</v>
      </c>
      <c r="B237">
        <v>30201</v>
      </c>
      <c r="C237">
        <v>15</v>
      </c>
      <c r="D237">
        <v>1</v>
      </c>
      <c r="E237" s="16" t="s">
        <v>533</v>
      </c>
      <c r="F237" s="20">
        <v>92030032</v>
      </c>
      <c r="G237" s="18">
        <v>234000</v>
      </c>
      <c r="H237">
        <v>800</v>
      </c>
      <c r="I237">
        <v>3</v>
      </c>
      <c r="J237">
        <v>10000</v>
      </c>
      <c r="L237" t="s">
        <v>590</v>
      </c>
    </row>
    <row r="238" spans="1:12">
      <c r="A238">
        <v>30217</v>
      </c>
      <c r="B238">
        <v>30201</v>
      </c>
      <c r="C238">
        <v>16</v>
      </c>
      <c r="D238">
        <v>1</v>
      </c>
      <c r="E238" s="16" t="s">
        <v>534</v>
      </c>
      <c r="F238" s="20">
        <v>92030032</v>
      </c>
      <c r="G238" s="18">
        <v>249600</v>
      </c>
      <c r="H238">
        <v>800</v>
      </c>
      <c r="I238">
        <v>3</v>
      </c>
      <c r="J238">
        <v>10000</v>
      </c>
      <c r="L238" t="s">
        <v>590</v>
      </c>
    </row>
    <row r="239" spans="1:12">
      <c r="A239">
        <v>30218</v>
      </c>
      <c r="B239">
        <v>30201</v>
      </c>
      <c r="C239">
        <v>17</v>
      </c>
      <c r="D239">
        <v>1</v>
      </c>
      <c r="E239" s="16" t="s">
        <v>535</v>
      </c>
      <c r="F239" s="20">
        <v>92030032</v>
      </c>
      <c r="G239" s="18">
        <v>265200</v>
      </c>
      <c r="H239">
        <v>800</v>
      </c>
      <c r="I239">
        <v>3</v>
      </c>
      <c r="J239">
        <v>10000</v>
      </c>
      <c r="L239" t="s">
        <v>590</v>
      </c>
    </row>
    <row r="240" spans="1:12">
      <c r="A240">
        <v>30219</v>
      </c>
      <c r="B240">
        <v>30201</v>
      </c>
      <c r="C240">
        <v>18</v>
      </c>
      <c r="D240">
        <v>1</v>
      </c>
      <c r="E240" s="16" t="s">
        <v>536</v>
      </c>
      <c r="F240" s="20">
        <v>92030032</v>
      </c>
      <c r="G240" s="18">
        <v>280800</v>
      </c>
      <c r="H240">
        <v>800</v>
      </c>
      <c r="I240">
        <v>3</v>
      </c>
      <c r="J240">
        <v>10000</v>
      </c>
      <c r="L240" t="s">
        <v>590</v>
      </c>
    </row>
    <row r="241" spans="1:12">
      <c r="A241">
        <v>30220</v>
      </c>
      <c r="B241">
        <v>30201</v>
      </c>
      <c r="C241">
        <v>19</v>
      </c>
      <c r="D241">
        <v>1</v>
      </c>
      <c r="E241" s="16" t="s">
        <v>537</v>
      </c>
      <c r="F241" s="20">
        <v>92030032</v>
      </c>
      <c r="G241" s="18">
        <v>296400</v>
      </c>
      <c r="H241">
        <v>800</v>
      </c>
      <c r="I241">
        <v>3</v>
      </c>
      <c r="J241">
        <v>10000</v>
      </c>
      <c r="L241" t="s">
        <v>590</v>
      </c>
    </row>
    <row r="242" spans="1:12">
      <c r="A242">
        <v>30221</v>
      </c>
      <c r="B242">
        <v>30201</v>
      </c>
      <c r="C242">
        <v>20</v>
      </c>
      <c r="D242">
        <v>1</v>
      </c>
      <c r="E242" s="16" t="s">
        <v>542</v>
      </c>
      <c r="F242" s="20">
        <v>92030034</v>
      </c>
      <c r="G242" s="18">
        <v>312000</v>
      </c>
      <c r="H242">
        <v>1600</v>
      </c>
      <c r="I242">
        <v>3</v>
      </c>
      <c r="J242">
        <v>10000</v>
      </c>
      <c r="K242" t="s">
        <v>591</v>
      </c>
      <c r="L242" t="s">
        <v>592</v>
      </c>
    </row>
    <row r="243" spans="1:12">
      <c r="A243">
        <v>30222</v>
      </c>
      <c r="B243">
        <v>30201</v>
      </c>
      <c r="C243">
        <v>21</v>
      </c>
      <c r="D243">
        <v>1</v>
      </c>
      <c r="E243" s="16" t="s">
        <v>545</v>
      </c>
      <c r="F243" s="20">
        <v>92030034</v>
      </c>
      <c r="G243" s="18">
        <v>327600</v>
      </c>
      <c r="H243">
        <v>1600</v>
      </c>
      <c r="I243">
        <v>3</v>
      </c>
      <c r="J243">
        <v>10000</v>
      </c>
      <c r="L243" t="s">
        <v>592</v>
      </c>
    </row>
    <row r="244" spans="1:12">
      <c r="A244">
        <v>30223</v>
      </c>
      <c r="B244">
        <v>30201</v>
      </c>
      <c r="C244">
        <v>22</v>
      </c>
      <c r="D244">
        <v>1</v>
      </c>
      <c r="E244" s="16" t="s">
        <v>546</v>
      </c>
      <c r="F244" s="20">
        <v>92030034</v>
      </c>
      <c r="G244" s="18">
        <v>343200</v>
      </c>
      <c r="H244">
        <v>1600</v>
      </c>
      <c r="I244">
        <v>3</v>
      </c>
      <c r="J244">
        <v>10000</v>
      </c>
      <c r="L244" t="s">
        <v>592</v>
      </c>
    </row>
    <row r="245" spans="1:12">
      <c r="A245">
        <v>30224</v>
      </c>
      <c r="B245">
        <v>30201</v>
      </c>
      <c r="C245">
        <v>23</v>
      </c>
      <c r="D245">
        <v>1</v>
      </c>
      <c r="E245" s="16" t="s">
        <v>547</v>
      </c>
      <c r="F245" s="20">
        <v>92030034</v>
      </c>
      <c r="G245" s="18">
        <v>358800</v>
      </c>
      <c r="H245">
        <v>1600</v>
      </c>
      <c r="I245">
        <v>3</v>
      </c>
      <c r="J245">
        <v>10000</v>
      </c>
      <c r="L245" t="s">
        <v>592</v>
      </c>
    </row>
    <row r="246" spans="1:12">
      <c r="A246">
        <v>30225</v>
      </c>
      <c r="B246">
        <v>30201</v>
      </c>
      <c r="C246">
        <v>24</v>
      </c>
      <c r="D246">
        <v>1</v>
      </c>
      <c r="E246" s="16" t="s">
        <v>548</v>
      </c>
      <c r="F246" s="20">
        <v>92030034</v>
      </c>
      <c r="G246" s="18">
        <v>374400</v>
      </c>
      <c r="H246">
        <v>1600</v>
      </c>
      <c r="I246">
        <v>3</v>
      </c>
      <c r="J246">
        <v>10000</v>
      </c>
      <c r="L246" t="s">
        <v>592</v>
      </c>
    </row>
    <row r="247" spans="1:12">
      <c r="A247">
        <v>30226</v>
      </c>
      <c r="B247">
        <v>30201</v>
      </c>
      <c r="C247">
        <v>25</v>
      </c>
      <c r="D247">
        <v>1</v>
      </c>
      <c r="E247" s="16" t="s">
        <v>549</v>
      </c>
      <c r="F247" s="20">
        <v>92030034</v>
      </c>
      <c r="G247" s="18">
        <v>390000</v>
      </c>
      <c r="H247">
        <v>1600</v>
      </c>
      <c r="I247">
        <v>3</v>
      </c>
      <c r="J247">
        <v>10000</v>
      </c>
      <c r="L247" t="s">
        <v>592</v>
      </c>
    </row>
    <row r="248" spans="1:12">
      <c r="A248">
        <v>30227</v>
      </c>
      <c r="B248">
        <v>30201</v>
      </c>
      <c r="C248">
        <v>26</v>
      </c>
      <c r="D248">
        <v>1</v>
      </c>
      <c r="E248" s="16" t="s">
        <v>550</v>
      </c>
      <c r="F248" s="20">
        <v>92030034</v>
      </c>
      <c r="G248" s="18">
        <v>405600</v>
      </c>
      <c r="H248">
        <v>1600</v>
      </c>
      <c r="I248">
        <v>3</v>
      </c>
      <c r="J248">
        <v>10000</v>
      </c>
      <c r="L248" t="s">
        <v>592</v>
      </c>
    </row>
    <row r="249" spans="1:12">
      <c r="A249">
        <v>30228</v>
      </c>
      <c r="B249">
        <v>30201</v>
      </c>
      <c r="C249">
        <v>27</v>
      </c>
      <c r="D249">
        <v>1</v>
      </c>
      <c r="E249" s="16" t="s">
        <v>551</v>
      </c>
      <c r="F249" s="20">
        <v>92030034</v>
      </c>
      <c r="G249" s="18">
        <v>421200</v>
      </c>
      <c r="H249">
        <v>1600</v>
      </c>
      <c r="I249">
        <v>3</v>
      </c>
      <c r="J249">
        <v>10000</v>
      </c>
      <c r="L249" t="s">
        <v>592</v>
      </c>
    </row>
    <row r="250" spans="1:12">
      <c r="A250">
        <v>30229</v>
      </c>
      <c r="B250">
        <v>30201</v>
      </c>
      <c r="C250">
        <v>28</v>
      </c>
      <c r="D250">
        <v>1</v>
      </c>
      <c r="E250" s="16" t="s">
        <v>552</v>
      </c>
      <c r="F250" s="20">
        <v>92030034</v>
      </c>
      <c r="G250" s="18">
        <v>436800</v>
      </c>
      <c r="H250">
        <v>1600</v>
      </c>
      <c r="I250">
        <v>3</v>
      </c>
      <c r="J250">
        <v>10000</v>
      </c>
      <c r="L250" t="s">
        <v>592</v>
      </c>
    </row>
    <row r="251" spans="1:12">
      <c r="A251">
        <v>30230</v>
      </c>
      <c r="B251">
        <v>30201</v>
      </c>
      <c r="C251">
        <v>29</v>
      </c>
      <c r="D251">
        <v>1</v>
      </c>
      <c r="E251" s="16" t="s">
        <v>553</v>
      </c>
      <c r="F251" s="20">
        <v>92030034</v>
      </c>
      <c r="G251" s="18">
        <v>452400</v>
      </c>
      <c r="H251">
        <v>1600</v>
      </c>
      <c r="I251">
        <v>3</v>
      </c>
      <c r="J251">
        <v>10000</v>
      </c>
      <c r="L251" t="s">
        <v>592</v>
      </c>
    </row>
    <row r="252" spans="1:12">
      <c r="A252">
        <v>30231</v>
      </c>
      <c r="B252">
        <v>30201</v>
      </c>
      <c r="C252">
        <v>30</v>
      </c>
      <c r="D252">
        <v>1</v>
      </c>
      <c r="E252" s="16" t="s">
        <v>98</v>
      </c>
      <c r="F252" s="20">
        <v>92030036</v>
      </c>
      <c r="G252" s="18">
        <v>468000</v>
      </c>
      <c r="H252">
        <v>2400</v>
      </c>
      <c r="I252">
        <v>3</v>
      </c>
      <c r="J252">
        <v>10000</v>
      </c>
      <c r="K252" t="s">
        <v>593</v>
      </c>
      <c r="L252" t="s">
        <v>594</v>
      </c>
    </row>
    <row r="253" spans="1:12">
      <c r="A253">
        <v>30301</v>
      </c>
      <c r="B253">
        <v>30301</v>
      </c>
      <c r="C253" s="3">
        <v>0</v>
      </c>
      <c r="D253">
        <v>1</v>
      </c>
      <c r="E253" s="16" t="s">
        <v>513</v>
      </c>
      <c r="F253" s="20">
        <v>92030040</v>
      </c>
      <c r="G253">
        <v>0</v>
      </c>
      <c r="H253">
        <v>0</v>
      </c>
      <c r="I253">
        <v>3</v>
      </c>
      <c r="J253">
        <v>10000</v>
      </c>
      <c r="L253" t="s">
        <v>594</v>
      </c>
    </row>
    <row r="254" spans="1:12">
      <c r="A254">
        <v>30302</v>
      </c>
      <c r="B254">
        <v>30301</v>
      </c>
      <c r="C254">
        <v>1</v>
      </c>
      <c r="D254">
        <v>1</v>
      </c>
      <c r="E254" s="16" t="s">
        <v>515</v>
      </c>
      <c r="F254" s="20">
        <v>92030040</v>
      </c>
      <c r="G254" s="18">
        <v>23400</v>
      </c>
      <c r="H254">
        <v>0</v>
      </c>
      <c r="I254">
        <v>3</v>
      </c>
      <c r="J254">
        <v>10000</v>
      </c>
      <c r="L254" t="s">
        <v>594</v>
      </c>
    </row>
    <row r="255" spans="1:12">
      <c r="A255">
        <v>30303</v>
      </c>
      <c r="B255">
        <v>30301</v>
      </c>
      <c r="C255">
        <v>2</v>
      </c>
      <c r="D255">
        <v>1</v>
      </c>
      <c r="E255" s="16" t="s">
        <v>516</v>
      </c>
      <c r="F255" s="20">
        <v>92030040</v>
      </c>
      <c r="G255" s="18">
        <v>46800</v>
      </c>
      <c r="H255">
        <v>0</v>
      </c>
      <c r="I255">
        <v>3</v>
      </c>
      <c r="J255">
        <v>10000</v>
      </c>
      <c r="L255" t="s">
        <v>594</v>
      </c>
    </row>
    <row r="256" spans="1:12">
      <c r="A256">
        <v>30304</v>
      </c>
      <c r="B256">
        <v>30301</v>
      </c>
      <c r="C256">
        <v>3</v>
      </c>
      <c r="D256">
        <v>1</v>
      </c>
      <c r="E256" s="16" t="s">
        <v>517</v>
      </c>
      <c r="F256" s="20">
        <v>92030040</v>
      </c>
      <c r="G256" s="18">
        <v>70200</v>
      </c>
      <c r="H256">
        <v>0</v>
      </c>
      <c r="I256">
        <v>3</v>
      </c>
      <c r="J256">
        <v>10000</v>
      </c>
      <c r="L256" t="s">
        <v>594</v>
      </c>
    </row>
    <row r="257" spans="1:12">
      <c r="A257">
        <v>30305</v>
      </c>
      <c r="B257">
        <v>30301</v>
      </c>
      <c r="C257">
        <v>4</v>
      </c>
      <c r="D257">
        <v>1</v>
      </c>
      <c r="E257" s="16" t="s">
        <v>518</v>
      </c>
      <c r="F257" s="20">
        <v>92030040</v>
      </c>
      <c r="G257" s="18">
        <v>93600</v>
      </c>
      <c r="H257">
        <v>0</v>
      </c>
      <c r="I257">
        <v>3</v>
      </c>
      <c r="J257">
        <v>10000</v>
      </c>
      <c r="L257" t="s">
        <v>594</v>
      </c>
    </row>
    <row r="258" spans="1:12">
      <c r="A258">
        <v>30306</v>
      </c>
      <c r="B258">
        <v>30301</v>
      </c>
      <c r="C258">
        <v>5</v>
      </c>
      <c r="D258">
        <v>1</v>
      </c>
      <c r="E258" s="16" t="s">
        <v>519</v>
      </c>
      <c r="F258" s="20">
        <v>92030040</v>
      </c>
      <c r="G258" s="18">
        <v>117000</v>
      </c>
      <c r="H258">
        <v>0</v>
      </c>
      <c r="I258">
        <v>3</v>
      </c>
      <c r="J258">
        <v>10000</v>
      </c>
      <c r="L258" t="s">
        <v>594</v>
      </c>
    </row>
    <row r="259" spans="1:12">
      <c r="A259">
        <v>30307</v>
      </c>
      <c r="B259">
        <v>30301</v>
      </c>
      <c r="C259">
        <v>6</v>
      </c>
      <c r="D259">
        <v>1</v>
      </c>
      <c r="E259" s="16" t="s">
        <v>520</v>
      </c>
      <c r="F259" s="20">
        <v>92030040</v>
      </c>
      <c r="G259" s="18">
        <v>140400</v>
      </c>
      <c r="H259">
        <v>0</v>
      </c>
      <c r="I259">
        <v>3</v>
      </c>
      <c r="J259">
        <v>10000</v>
      </c>
      <c r="L259" t="s">
        <v>594</v>
      </c>
    </row>
    <row r="260" spans="1:12">
      <c r="A260">
        <v>30308</v>
      </c>
      <c r="B260">
        <v>30301</v>
      </c>
      <c r="C260">
        <v>7</v>
      </c>
      <c r="D260">
        <v>1</v>
      </c>
      <c r="E260" s="16" t="s">
        <v>521</v>
      </c>
      <c r="F260" s="20">
        <v>92030040</v>
      </c>
      <c r="G260" s="18">
        <v>163800</v>
      </c>
      <c r="H260">
        <v>0</v>
      </c>
      <c r="I260">
        <v>3</v>
      </c>
      <c r="J260">
        <v>10000</v>
      </c>
      <c r="L260" t="s">
        <v>594</v>
      </c>
    </row>
    <row r="261" spans="1:12">
      <c r="A261">
        <v>30309</v>
      </c>
      <c r="B261">
        <v>30301</v>
      </c>
      <c r="C261">
        <v>8</v>
      </c>
      <c r="D261">
        <v>1</v>
      </c>
      <c r="E261" s="16" t="s">
        <v>522</v>
      </c>
      <c r="F261" s="20">
        <v>92030040</v>
      </c>
      <c r="G261" s="18">
        <v>187200</v>
      </c>
      <c r="H261">
        <v>0</v>
      </c>
      <c r="I261">
        <v>3</v>
      </c>
      <c r="J261">
        <v>10000</v>
      </c>
      <c r="L261" t="s">
        <v>594</v>
      </c>
    </row>
    <row r="262" spans="1:12">
      <c r="A262">
        <v>30310</v>
      </c>
      <c r="B262">
        <v>30301</v>
      </c>
      <c r="C262">
        <v>9</v>
      </c>
      <c r="D262">
        <v>1</v>
      </c>
      <c r="E262" s="16" t="s">
        <v>523</v>
      </c>
      <c r="F262" s="20">
        <v>92030040</v>
      </c>
      <c r="G262" s="18">
        <v>210600</v>
      </c>
      <c r="H262">
        <v>0</v>
      </c>
      <c r="I262">
        <v>3</v>
      </c>
      <c r="J262">
        <v>10000</v>
      </c>
      <c r="L262" t="s">
        <v>594</v>
      </c>
    </row>
    <row r="263" spans="1:12">
      <c r="A263">
        <v>30311</v>
      </c>
      <c r="B263">
        <v>30301</v>
      </c>
      <c r="C263">
        <v>10</v>
      </c>
      <c r="D263">
        <v>1</v>
      </c>
      <c r="E263" s="16" t="s">
        <v>526</v>
      </c>
      <c r="F263" s="20">
        <v>92030042</v>
      </c>
      <c r="G263" s="18">
        <v>234000</v>
      </c>
      <c r="H263">
        <v>1600</v>
      </c>
      <c r="I263">
        <v>3</v>
      </c>
      <c r="J263">
        <v>10000</v>
      </c>
      <c r="K263" t="s">
        <v>595</v>
      </c>
      <c r="L263" t="s">
        <v>596</v>
      </c>
    </row>
    <row r="264" spans="1:12">
      <c r="A264">
        <v>30312</v>
      </c>
      <c r="B264">
        <v>30301</v>
      </c>
      <c r="C264">
        <v>11</v>
      </c>
      <c r="D264">
        <v>1</v>
      </c>
      <c r="E264" s="16" t="s">
        <v>529</v>
      </c>
      <c r="F264" s="20">
        <v>92030042</v>
      </c>
      <c r="G264" s="18">
        <v>257400</v>
      </c>
      <c r="H264">
        <v>1600</v>
      </c>
      <c r="I264">
        <v>3</v>
      </c>
      <c r="J264">
        <v>10000</v>
      </c>
      <c r="L264" t="s">
        <v>596</v>
      </c>
    </row>
    <row r="265" spans="1:12">
      <c r="A265">
        <v>30313</v>
      </c>
      <c r="B265">
        <v>30301</v>
      </c>
      <c r="C265">
        <v>12</v>
      </c>
      <c r="D265">
        <v>1</v>
      </c>
      <c r="E265" s="16" t="s">
        <v>530</v>
      </c>
      <c r="F265" s="20">
        <v>92030042</v>
      </c>
      <c r="G265" s="18">
        <v>280800</v>
      </c>
      <c r="H265">
        <v>1600</v>
      </c>
      <c r="I265">
        <v>3</v>
      </c>
      <c r="J265">
        <v>10000</v>
      </c>
      <c r="L265" t="s">
        <v>596</v>
      </c>
    </row>
    <row r="266" spans="1:12">
      <c r="A266">
        <v>30314</v>
      </c>
      <c r="B266">
        <v>30301</v>
      </c>
      <c r="C266">
        <v>13</v>
      </c>
      <c r="D266">
        <v>1</v>
      </c>
      <c r="E266" s="16" t="s">
        <v>531</v>
      </c>
      <c r="F266" s="20">
        <v>92030042</v>
      </c>
      <c r="G266" s="18">
        <v>304200</v>
      </c>
      <c r="H266">
        <v>1600</v>
      </c>
      <c r="I266">
        <v>3</v>
      </c>
      <c r="J266">
        <v>10000</v>
      </c>
      <c r="L266" t="s">
        <v>596</v>
      </c>
    </row>
    <row r="267" spans="1:12">
      <c r="A267">
        <v>30315</v>
      </c>
      <c r="B267">
        <v>30301</v>
      </c>
      <c r="C267">
        <v>14</v>
      </c>
      <c r="D267">
        <v>1</v>
      </c>
      <c r="E267" s="16" t="s">
        <v>532</v>
      </c>
      <c r="F267" s="20">
        <v>92030042</v>
      </c>
      <c r="G267" s="18">
        <v>327600</v>
      </c>
      <c r="H267">
        <v>1600</v>
      </c>
      <c r="I267">
        <v>3</v>
      </c>
      <c r="J267">
        <v>10000</v>
      </c>
      <c r="L267" t="s">
        <v>596</v>
      </c>
    </row>
    <row r="268" spans="1:12">
      <c r="A268">
        <v>30316</v>
      </c>
      <c r="B268">
        <v>30301</v>
      </c>
      <c r="C268">
        <v>15</v>
      </c>
      <c r="D268">
        <v>1</v>
      </c>
      <c r="E268" s="16" t="s">
        <v>533</v>
      </c>
      <c r="F268" s="20">
        <v>92030042</v>
      </c>
      <c r="G268" s="18">
        <v>351000</v>
      </c>
      <c r="H268">
        <v>1600</v>
      </c>
      <c r="I268">
        <v>3</v>
      </c>
      <c r="J268">
        <v>10000</v>
      </c>
      <c r="L268" t="s">
        <v>596</v>
      </c>
    </row>
    <row r="269" spans="1:12">
      <c r="A269">
        <v>30317</v>
      </c>
      <c r="B269">
        <v>30301</v>
      </c>
      <c r="C269">
        <v>16</v>
      </c>
      <c r="D269">
        <v>1</v>
      </c>
      <c r="E269" s="16" t="s">
        <v>534</v>
      </c>
      <c r="F269" s="20">
        <v>92030042</v>
      </c>
      <c r="G269" s="18">
        <v>374400</v>
      </c>
      <c r="H269">
        <v>1600</v>
      </c>
      <c r="I269">
        <v>3</v>
      </c>
      <c r="J269">
        <v>10000</v>
      </c>
      <c r="L269" t="s">
        <v>596</v>
      </c>
    </row>
    <row r="270" spans="1:12">
      <c r="A270">
        <v>30318</v>
      </c>
      <c r="B270">
        <v>30301</v>
      </c>
      <c r="C270">
        <v>17</v>
      </c>
      <c r="D270">
        <v>1</v>
      </c>
      <c r="E270" s="16" t="s">
        <v>535</v>
      </c>
      <c r="F270" s="20">
        <v>92030042</v>
      </c>
      <c r="G270" s="18">
        <v>397800</v>
      </c>
      <c r="H270">
        <v>1600</v>
      </c>
      <c r="I270">
        <v>3</v>
      </c>
      <c r="J270">
        <v>10000</v>
      </c>
      <c r="L270" t="s">
        <v>596</v>
      </c>
    </row>
    <row r="271" spans="1:12">
      <c r="A271">
        <v>30319</v>
      </c>
      <c r="B271">
        <v>30301</v>
      </c>
      <c r="C271">
        <v>18</v>
      </c>
      <c r="D271">
        <v>1</v>
      </c>
      <c r="E271" s="16" t="s">
        <v>536</v>
      </c>
      <c r="F271" s="20">
        <v>92030042</v>
      </c>
      <c r="G271" s="18">
        <v>421200</v>
      </c>
      <c r="H271">
        <v>1600</v>
      </c>
      <c r="I271">
        <v>3</v>
      </c>
      <c r="J271">
        <v>10000</v>
      </c>
      <c r="L271" t="s">
        <v>596</v>
      </c>
    </row>
    <row r="272" spans="1:12">
      <c r="A272">
        <v>30320</v>
      </c>
      <c r="B272">
        <v>30301</v>
      </c>
      <c r="C272">
        <v>19</v>
      </c>
      <c r="D272">
        <v>1</v>
      </c>
      <c r="E272" s="16" t="s">
        <v>537</v>
      </c>
      <c r="F272" s="20">
        <v>92030042</v>
      </c>
      <c r="G272" s="18">
        <v>444600</v>
      </c>
      <c r="H272">
        <v>1600</v>
      </c>
      <c r="I272">
        <v>3</v>
      </c>
      <c r="J272">
        <v>10000</v>
      </c>
      <c r="L272" t="s">
        <v>596</v>
      </c>
    </row>
    <row r="273" spans="1:12">
      <c r="A273">
        <v>30321</v>
      </c>
      <c r="B273">
        <v>30301</v>
      </c>
      <c r="C273">
        <v>20</v>
      </c>
      <c r="D273">
        <v>1</v>
      </c>
      <c r="E273" s="16" t="s">
        <v>542</v>
      </c>
      <c r="F273" s="20">
        <v>92030044</v>
      </c>
      <c r="G273" s="18">
        <v>468000</v>
      </c>
      <c r="H273">
        <v>2400</v>
      </c>
      <c r="I273">
        <v>3</v>
      </c>
      <c r="J273">
        <v>10000</v>
      </c>
      <c r="K273" t="s">
        <v>597</v>
      </c>
      <c r="L273" t="s">
        <v>598</v>
      </c>
    </row>
    <row r="274" spans="1:12">
      <c r="A274">
        <v>30322</v>
      </c>
      <c r="B274">
        <v>30301</v>
      </c>
      <c r="C274">
        <v>21</v>
      </c>
      <c r="D274">
        <v>1</v>
      </c>
      <c r="E274" s="16" t="s">
        <v>545</v>
      </c>
      <c r="F274" s="20">
        <v>92030044</v>
      </c>
      <c r="G274" s="18">
        <v>491400</v>
      </c>
      <c r="H274">
        <v>2400</v>
      </c>
      <c r="I274">
        <v>3</v>
      </c>
      <c r="J274">
        <v>10000</v>
      </c>
      <c r="L274" t="s">
        <v>598</v>
      </c>
    </row>
    <row r="275" spans="1:12">
      <c r="A275">
        <v>30323</v>
      </c>
      <c r="B275">
        <v>30301</v>
      </c>
      <c r="C275">
        <v>22</v>
      </c>
      <c r="D275">
        <v>1</v>
      </c>
      <c r="E275" s="16" t="s">
        <v>546</v>
      </c>
      <c r="F275" s="20">
        <v>92030044</v>
      </c>
      <c r="G275" s="18">
        <v>514800</v>
      </c>
      <c r="H275">
        <v>2400</v>
      </c>
      <c r="I275">
        <v>3</v>
      </c>
      <c r="J275">
        <v>10000</v>
      </c>
      <c r="L275" t="s">
        <v>598</v>
      </c>
    </row>
    <row r="276" spans="1:12">
      <c r="A276">
        <v>30324</v>
      </c>
      <c r="B276">
        <v>30301</v>
      </c>
      <c r="C276">
        <v>23</v>
      </c>
      <c r="D276">
        <v>1</v>
      </c>
      <c r="E276" s="16" t="s">
        <v>547</v>
      </c>
      <c r="F276" s="20">
        <v>92030044</v>
      </c>
      <c r="G276" s="18">
        <v>538200</v>
      </c>
      <c r="H276">
        <v>2400</v>
      </c>
      <c r="I276">
        <v>3</v>
      </c>
      <c r="J276">
        <v>10000</v>
      </c>
      <c r="L276" t="s">
        <v>598</v>
      </c>
    </row>
    <row r="277" spans="1:12">
      <c r="A277">
        <v>30325</v>
      </c>
      <c r="B277">
        <v>30301</v>
      </c>
      <c r="C277">
        <v>24</v>
      </c>
      <c r="D277">
        <v>1</v>
      </c>
      <c r="E277" s="16" t="s">
        <v>548</v>
      </c>
      <c r="F277" s="20">
        <v>92030044</v>
      </c>
      <c r="G277" s="18">
        <v>561600</v>
      </c>
      <c r="H277">
        <v>2400</v>
      </c>
      <c r="I277">
        <v>3</v>
      </c>
      <c r="J277">
        <v>10000</v>
      </c>
      <c r="L277" t="s">
        <v>598</v>
      </c>
    </row>
    <row r="278" spans="1:12">
      <c r="A278">
        <v>30326</v>
      </c>
      <c r="B278">
        <v>30301</v>
      </c>
      <c r="C278">
        <v>25</v>
      </c>
      <c r="D278">
        <v>1</v>
      </c>
      <c r="E278" s="16" t="s">
        <v>549</v>
      </c>
      <c r="F278" s="20">
        <v>92030044</v>
      </c>
      <c r="G278" s="18">
        <v>585000</v>
      </c>
      <c r="H278">
        <v>2400</v>
      </c>
      <c r="I278">
        <v>3</v>
      </c>
      <c r="J278">
        <v>10000</v>
      </c>
      <c r="L278" t="s">
        <v>598</v>
      </c>
    </row>
    <row r="279" spans="1:12">
      <c r="A279">
        <v>30327</v>
      </c>
      <c r="B279">
        <v>30301</v>
      </c>
      <c r="C279">
        <v>26</v>
      </c>
      <c r="D279">
        <v>1</v>
      </c>
      <c r="E279" s="16" t="s">
        <v>550</v>
      </c>
      <c r="F279" s="20">
        <v>92030044</v>
      </c>
      <c r="G279" s="18">
        <v>608400</v>
      </c>
      <c r="H279">
        <v>2400</v>
      </c>
      <c r="I279">
        <v>3</v>
      </c>
      <c r="J279">
        <v>10000</v>
      </c>
      <c r="L279" t="s">
        <v>598</v>
      </c>
    </row>
    <row r="280" spans="1:12">
      <c r="A280">
        <v>30328</v>
      </c>
      <c r="B280">
        <v>30301</v>
      </c>
      <c r="C280">
        <v>27</v>
      </c>
      <c r="D280">
        <v>1</v>
      </c>
      <c r="E280" s="16" t="s">
        <v>551</v>
      </c>
      <c r="F280" s="20">
        <v>92030044</v>
      </c>
      <c r="G280" s="18">
        <v>631800</v>
      </c>
      <c r="H280">
        <v>2400</v>
      </c>
      <c r="I280">
        <v>3</v>
      </c>
      <c r="J280">
        <v>10000</v>
      </c>
      <c r="L280" t="s">
        <v>598</v>
      </c>
    </row>
    <row r="281" spans="1:12">
      <c r="A281">
        <v>30329</v>
      </c>
      <c r="B281">
        <v>30301</v>
      </c>
      <c r="C281">
        <v>28</v>
      </c>
      <c r="D281">
        <v>1</v>
      </c>
      <c r="E281" s="16" t="s">
        <v>552</v>
      </c>
      <c r="F281" s="20">
        <v>92030044</v>
      </c>
      <c r="G281" s="18">
        <v>655200</v>
      </c>
      <c r="H281">
        <v>2400</v>
      </c>
      <c r="I281">
        <v>3</v>
      </c>
      <c r="J281">
        <v>10000</v>
      </c>
      <c r="L281" t="s">
        <v>598</v>
      </c>
    </row>
    <row r="282" spans="1:12">
      <c r="A282">
        <v>30330</v>
      </c>
      <c r="B282">
        <v>30301</v>
      </c>
      <c r="C282">
        <v>29</v>
      </c>
      <c r="D282">
        <v>1</v>
      </c>
      <c r="E282" s="16" t="s">
        <v>553</v>
      </c>
      <c r="F282" s="20">
        <v>92030044</v>
      </c>
      <c r="G282" s="18">
        <v>678600</v>
      </c>
      <c r="H282">
        <v>2400</v>
      </c>
      <c r="I282">
        <v>3</v>
      </c>
      <c r="J282">
        <v>10000</v>
      </c>
      <c r="L282" t="s">
        <v>598</v>
      </c>
    </row>
    <row r="283" spans="1:12">
      <c r="A283">
        <v>30331</v>
      </c>
      <c r="B283">
        <v>30301</v>
      </c>
      <c r="C283">
        <v>30</v>
      </c>
      <c r="D283">
        <v>1</v>
      </c>
      <c r="E283" s="16" t="s">
        <v>98</v>
      </c>
      <c r="F283" s="20">
        <v>92030046</v>
      </c>
      <c r="G283" s="18">
        <v>702000</v>
      </c>
      <c r="H283">
        <v>3600</v>
      </c>
      <c r="I283">
        <v>3</v>
      </c>
      <c r="J283">
        <v>10000</v>
      </c>
      <c r="K283" t="s">
        <v>599</v>
      </c>
      <c r="L283" t="s">
        <v>600</v>
      </c>
    </row>
    <row r="284" spans="1:12">
      <c r="A284">
        <v>40001</v>
      </c>
      <c r="B284">
        <v>40001</v>
      </c>
      <c r="C284">
        <v>0</v>
      </c>
      <c r="D284">
        <v>1</v>
      </c>
      <c r="E284" s="16" t="s">
        <v>513</v>
      </c>
      <c r="F284" s="20">
        <v>92040010</v>
      </c>
      <c r="G284" s="8">
        <v>0</v>
      </c>
      <c r="H284">
        <v>0</v>
      </c>
      <c r="I284">
        <v>2</v>
      </c>
      <c r="J284">
        <v>10000</v>
      </c>
      <c r="L284" t="s">
        <v>601</v>
      </c>
    </row>
    <row r="285" spans="1:12">
      <c r="A285">
        <v>40002</v>
      </c>
      <c r="B285">
        <v>40001</v>
      </c>
      <c r="C285">
        <v>1</v>
      </c>
      <c r="D285">
        <v>1</v>
      </c>
      <c r="E285" s="16" t="s">
        <v>515</v>
      </c>
      <c r="F285" s="20">
        <v>92040010</v>
      </c>
      <c r="G285" s="24">
        <v>11250</v>
      </c>
      <c r="H285">
        <v>0</v>
      </c>
      <c r="I285">
        <v>2</v>
      </c>
      <c r="J285">
        <v>10000</v>
      </c>
      <c r="L285" t="s">
        <v>601</v>
      </c>
    </row>
    <row r="286" spans="1:12">
      <c r="A286">
        <v>40003</v>
      </c>
      <c r="B286">
        <v>40001</v>
      </c>
      <c r="C286">
        <v>2</v>
      </c>
      <c r="D286">
        <v>1</v>
      </c>
      <c r="E286" s="16" t="s">
        <v>516</v>
      </c>
      <c r="F286" s="20">
        <v>92040010</v>
      </c>
      <c r="G286" s="24">
        <v>22500</v>
      </c>
      <c r="H286">
        <v>0</v>
      </c>
      <c r="I286">
        <v>2</v>
      </c>
      <c r="J286">
        <v>10000</v>
      </c>
      <c r="L286" t="s">
        <v>601</v>
      </c>
    </row>
    <row r="287" spans="1:12">
      <c r="A287">
        <v>40004</v>
      </c>
      <c r="B287">
        <v>40001</v>
      </c>
      <c r="C287">
        <v>3</v>
      </c>
      <c r="D287">
        <v>1</v>
      </c>
      <c r="E287" s="16" t="s">
        <v>517</v>
      </c>
      <c r="F287" s="20">
        <v>92040010</v>
      </c>
      <c r="G287" s="24">
        <v>33750</v>
      </c>
      <c r="H287">
        <v>0</v>
      </c>
      <c r="I287">
        <v>2</v>
      </c>
      <c r="J287">
        <v>10000</v>
      </c>
      <c r="L287" t="s">
        <v>601</v>
      </c>
    </row>
    <row r="288" spans="1:12">
      <c r="A288">
        <v>40005</v>
      </c>
      <c r="B288">
        <v>40001</v>
      </c>
      <c r="C288">
        <v>4</v>
      </c>
      <c r="D288">
        <v>1</v>
      </c>
      <c r="E288" s="16" t="s">
        <v>518</v>
      </c>
      <c r="F288" s="20">
        <v>92040010</v>
      </c>
      <c r="G288" s="24">
        <v>45000</v>
      </c>
      <c r="H288">
        <v>0</v>
      </c>
      <c r="I288">
        <v>2</v>
      </c>
      <c r="J288">
        <v>10000</v>
      </c>
      <c r="L288" t="s">
        <v>601</v>
      </c>
    </row>
    <row r="289" spans="1:12">
      <c r="A289">
        <v>40006</v>
      </c>
      <c r="B289">
        <v>40001</v>
      </c>
      <c r="C289">
        <v>5</v>
      </c>
      <c r="D289">
        <v>1</v>
      </c>
      <c r="E289" s="16" t="s">
        <v>519</v>
      </c>
      <c r="F289" s="20">
        <v>92040010</v>
      </c>
      <c r="G289" s="24">
        <v>56250</v>
      </c>
      <c r="H289">
        <v>0</v>
      </c>
      <c r="I289">
        <v>2</v>
      </c>
      <c r="J289">
        <v>10000</v>
      </c>
      <c r="L289" t="s">
        <v>601</v>
      </c>
    </row>
    <row r="290" spans="1:12">
      <c r="A290">
        <v>40007</v>
      </c>
      <c r="B290">
        <v>40001</v>
      </c>
      <c r="C290">
        <v>6</v>
      </c>
      <c r="D290">
        <v>1</v>
      </c>
      <c r="E290" s="16" t="s">
        <v>520</v>
      </c>
      <c r="F290" s="20">
        <v>92040010</v>
      </c>
      <c r="G290" s="24">
        <v>67500</v>
      </c>
      <c r="H290">
        <v>0</v>
      </c>
      <c r="I290">
        <v>2</v>
      </c>
      <c r="J290">
        <v>10000</v>
      </c>
      <c r="L290" t="s">
        <v>601</v>
      </c>
    </row>
    <row r="291" spans="1:12">
      <c r="A291">
        <v>40008</v>
      </c>
      <c r="B291">
        <v>40001</v>
      </c>
      <c r="C291">
        <v>7</v>
      </c>
      <c r="D291">
        <v>1</v>
      </c>
      <c r="E291" s="16" t="s">
        <v>521</v>
      </c>
      <c r="F291" s="20">
        <v>92040010</v>
      </c>
      <c r="G291" s="24">
        <v>78750</v>
      </c>
      <c r="H291">
        <v>0</v>
      </c>
      <c r="I291">
        <v>2</v>
      </c>
      <c r="J291">
        <v>10000</v>
      </c>
      <c r="L291" t="s">
        <v>601</v>
      </c>
    </row>
    <row r="292" spans="1:12">
      <c r="A292">
        <v>40009</v>
      </c>
      <c r="B292">
        <v>40001</v>
      </c>
      <c r="C292">
        <v>8</v>
      </c>
      <c r="D292">
        <v>1</v>
      </c>
      <c r="E292" s="16" t="s">
        <v>522</v>
      </c>
      <c r="F292" s="20">
        <v>92040010</v>
      </c>
      <c r="G292" s="24">
        <v>90000</v>
      </c>
      <c r="H292">
        <v>0</v>
      </c>
      <c r="I292">
        <v>2</v>
      </c>
      <c r="J292">
        <v>10000</v>
      </c>
      <c r="L292" t="s">
        <v>601</v>
      </c>
    </row>
    <row r="293" spans="1:12">
      <c r="A293">
        <v>40010</v>
      </c>
      <c r="B293">
        <v>40001</v>
      </c>
      <c r="C293">
        <v>9</v>
      </c>
      <c r="D293">
        <v>1</v>
      </c>
      <c r="E293" s="16" t="s">
        <v>523</v>
      </c>
      <c r="F293" s="20">
        <v>92040010</v>
      </c>
      <c r="G293" s="24">
        <v>101250</v>
      </c>
      <c r="H293">
        <v>0</v>
      </c>
      <c r="I293">
        <v>2</v>
      </c>
      <c r="J293">
        <v>10000</v>
      </c>
      <c r="L293" t="s">
        <v>601</v>
      </c>
    </row>
    <row r="294" spans="1:12">
      <c r="A294">
        <v>40011</v>
      </c>
      <c r="B294">
        <v>40001</v>
      </c>
      <c r="C294" s="3">
        <v>10</v>
      </c>
      <c r="D294">
        <v>1</v>
      </c>
      <c r="E294" s="16" t="s">
        <v>98</v>
      </c>
      <c r="F294" s="20">
        <v>92040011</v>
      </c>
      <c r="G294" s="24">
        <v>112500</v>
      </c>
      <c r="H294" s="3">
        <v>800</v>
      </c>
      <c r="I294">
        <v>2</v>
      </c>
      <c r="J294" s="3">
        <v>10000</v>
      </c>
      <c r="K294" t="s">
        <v>602</v>
      </c>
      <c r="L294" t="s">
        <v>603</v>
      </c>
    </row>
    <row r="295" spans="1:12">
      <c r="A295">
        <v>40101</v>
      </c>
      <c r="B295">
        <v>40101</v>
      </c>
      <c r="C295" s="3">
        <v>0</v>
      </c>
      <c r="D295">
        <v>1</v>
      </c>
      <c r="E295" s="16" t="s">
        <v>513</v>
      </c>
      <c r="F295" s="20">
        <v>92040020</v>
      </c>
      <c r="G295" s="8">
        <v>0</v>
      </c>
      <c r="H295">
        <v>0</v>
      </c>
      <c r="I295">
        <v>2</v>
      </c>
      <c r="J295">
        <v>10000</v>
      </c>
      <c r="L295" t="s">
        <v>603</v>
      </c>
    </row>
    <row r="296" spans="1:12">
      <c r="A296">
        <v>40102</v>
      </c>
      <c r="B296">
        <v>40101</v>
      </c>
      <c r="C296">
        <v>1</v>
      </c>
      <c r="D296">
        <v>1</v>
      </c>
      <c r="E296" s="16" t="s">
        <v>515</v>
      </c>
      <c r="F296" s="20">
        <v>92040020</v>
      </c>
      <c r="G296" s="24">
        <v>14625</v>
      </c>
      <c r="H296">
        <v>0</v>
      </c>
      <c r="I296">
        <v>2</v>
      </c>
      <c r="J296">
        <v>10000</v>
      </c>
      <c r="L296" t="s">
        <v>603</v>
      </c>
    </row>
    <row r="297" spans="1:12">
      <c r="A297">
        <v>40103</v>
      </c>
      <c r="B297">
        <v>40101</v>
      </c>
      <c r="C297">
        <v>2</v>
      </c>
      <c r="D297">
        <v>1</v>
      </c>
      <c r="E297" s="16" t="s">
        <v>516</v>
      </c>
      <c r="F297" s="20">
        <v>92040020</v>
      </c>
      <c r="G297" s="24">
        <v>29250</v>
      </c>
      <c r="H297">
        <v>0</v>
      </c>
      <c r="I297">
        <v>2</v>
      </c>
      <c r="J297">
        <v>10000</v>
      </c>
      <c r="L297" t="s">
        <v>603</v>
      </c>
    </row>
    <row r="298" spans="1:12">
      <c r="A298">
        <v>40104</v>
      </c>
      <c r="B298">
        <v>40101</v>
      </c>
      <c r="C298">
        <v>3</v>
      </c>
      <c r="D298">
        <v>1</v>
      </c>
      <c r="E298" s="16" t="s">
        <v>517</v>
      </c>
      <c r="F298" s="20">
        <v>92040020</v>
      </c>
      <c r="G298" s="24">
        <v>43875</v>
      </c>
      <c r="H298">
        <v>0</v>
      </c>
      <c r="I298">
        <v>2</v>
      </c>
      <c r="J298">
        <v>10000</v>
      </c>
      <c r="L298" t="s">
        <v>603</v>
      </c>
    </row>
    <row r="299" spans="1:12">
      <c r="A299">
        <v>40105</v>
      </c>
      <c r="B299">
        <v>40101</v>
      </c>
      <c r="C299">
        <v>4</v>
      </c>
      <c r="D299">
        <v>1</v>
      </c>
      <c r="E299" s="16" t="s">
        <v>518</v>
      </c>
      <c r="F299" s="20">
        <v>92040020</v>
      </c>
      <c r="G299" s="24">
        <v>58500</v>
      </c>
      <c r="H299">
        <v>0</v>
      </c>
      <c r="I299">
        <v>2</v>
      </c>
      <c r="J299">
        <v>10000</v>
      </c>
      <c r="L299" t="s">
        <v>603</v>
      </c>
    </row>
    <row r="300" spans="1:12">
      <c r="A300">
        <v>40106</v>
      </c>
      <c r="B300">
        <v>40101</v>
      </c>
      <c r="C300">
        <v>5</v>
      </c>
      <c r="D300">
        <v>1</v>
      </c>
      <c r="E300" s="16" t="s">
        <v>519</v>
      </c>
      <c r="F300" s="20">
        <v>92040020</v>
      </c>
      <c r="G300" s="24">
        <v>73125</v>
      </c>
      <c r="H300">
        <v>0</v>
      </c>
      <c r="I300">
        <v>2</v>
      </c>
      <c r="J300">
        <v>10000</v>
      </c>
      <c r="L300" t="s">
        <v>603</v>
      </c>
    </row>
    <row r="301" spans="1:12">
      <c r="A301">
        <v>40107</v>
      </c>
      <c r="B301">
        <v>40101</v>
      </c>
      <c r="C301">
        <v>6</v>
      </c>
      <c r="D301">
        <v>1</v>
      </c>
      <c r="E301" s="16" t="s">
        <v>520</v>
      </c>
      <c r="F301" s="20">
        <v>92040020</v>
      </c>
      <c r="G301" s="24">
        <v>87750</v>
      </c>
      <c r="H301">
        <v>0</v>
      </c>
      <c r="I301">
        <v>2</v>
      </c>
      <c r="J301">
        <v>10000</v>
      </c>
      <c r="L301" t="s">
        <v>603</v>
      </c>
    </row>
    <row r="302" spans="1:12">
      <c r="A302">
        <v>40108</v>
      </c>
      <c r="B302">
        <v>40101</v>
      </c>
      <c r="C302">
        <v>7</v>
      </c>
      <c r="D302">
        <v>1</v>
      </c>
      <c r="E302" s="16" t="s">
        <v>521</v>
      </c>
      <c r="F302" s="20">
        <v>92040020</v>
      </c>
      <c r="G302" s="24">
        <v>102375</v>
      </c>
      <c r="H302">
        <v>0</v>
      </c>
      <c r="I302">
        <v>2</v>
      </c>
      <c r="J302">
        <v>10000</v>
      </c>
      <c r="L302" t="s">
        <v>603</v>
      </c>
    </row>
    <row r="303" spans="1:12">
      <c r="A303">
        <v>40109</v>
      </c>
      <c r="B303">
        <v>40101</v>
      </c>
      <c r="C303">
        <v>8</v>
      </c>
      <c r="D303">
        <v>1</v>
      </c>
      <c r="E303" s="16" t="s">
        <v>522</v>
      </c>
      <c r="F303" s="20">
        <v>92040020</v>
      </c>
      <c r="G303" s="24">
        <v>117000</v>
      </c>
      <c r="H303">
        <v>0</v>
      </c>
      <c r="I303">
        <v>2</v>
      </c>
      <c r="J303">
        <v>10000</v>
      </c>
      <c r="L303" t="s">
        <v>603</v>
      </c>
    </row>
    <row r="304" spans="1:12">
      <c r="A304">
        <v>40110</v>
      </c>
      <c r="B304">
        <v>40101</v>
      </c>
      <c r="C304">
        <v>9</v>
      </c>
      <c r="D304">
        <v>1</v>
      </c>
      <c r="E304" s="16" t="s">
        <v>523</v>
      </c>
      <c r="F304" s="20">
        <v>92040020</v>
      </c>
      <c r="G304" s="24">
        <v>131625</v>
      </c>
      <c r="H304">
        <v>0</v>
      </c>
      <c r="I304">
        <v>2</v>
      </c>
      <c r="J304">
        <v>10000</v>
      </c>
      <c r="L304" t="s">
        <v>603</v>
      </c>
    </row>
    <row r="305" spans="1:12">
      <c r="A305">
        <v>40111</v>
      </c>
      <c r="B305">
        <v>40101</v>
      </c>
      <c r="C305">
        <v>10</v>
      </c>
      <c r="D305">
        <v>1</v>
      </c>
      <c r="E305" s="16" t="s">
        <v>526</v>
      </c>
      <c r="F305" s="20">
        <v>92040021</v>
      </c>
      <c r="G305" s="24">
        <v>146250</v>
      </c>
      <c r="H305">
        <v>800</v>
      </c>
      <c r="I305">
        <v>2</v>
      </c>
      <c r="J305">
        <v>10000</v>
      </c>
      <c r="K305" t="s">
        <v>604</v>
      </c>
      <c r="L305" t="s">
        <v>605</v>
      </c>
    </row>
    <row r="306" spans="1:12">
      <c r="A306">
        <v>40112</v>
      </c>
      <c r="B306">
        <v>40101</v>
      </c>
      <c r="C306">
        <v>11</v>
      </c>
      <c r="D306">
        <v>1</v>
      </c>
      <c r="E306" s="16" t="s">
        <v>529</v>
      </c>
      <c r="F306" s="20">
        <v>92040021</v>
      </c>
      <c r="G306" s="24">
        <v>160875</v>
      </c>
      <c r="H306">
        <v>800</v>
      </c>
      <c r="I306">
        <v>2</v>
      </c>
      <c r="J306">
        <v>10000</v>
      </c>
      <c r="L306" t="s">
        <v>605</v>
      </c>
    </row>
    <row r="307" spans="1:12">
      <c r="A307">
        <v>40113</v>
      </c>
      <c r="B307">
        <v>40101</v>
      </c>
      <c r="C307">
        <v>12</v>
      </c>
      <c r="D307">
        <v>1</v>
      </c>
      <c r="E307" s="16" t="s">
        <v>530</v>
      </c>
      <c r="F307" s="20">
        <v>92040021</v>
      </c>
      <c r="G307" s="24">
        <v>175500</v>
      </c>
      <c r="H307">
        <v>800</v>
      </c>
      <c r="I307">
        <v>2</v>
      </c>
      <c r="J307">
        <v>10000</v>
      </c>
      <c r="L307" t="s">
        <v>605</v>
      </c>
    </row>
    <row r="308" spans="1:12">
      <c r="A308">
        <v>40114</v>
      </c>
      <c r="B308">
        <v>40101</v>
      </c>
      <c r="C308">
        <v>13</v>
      </c>
      <c r="D308">
        <v>1</v>
      </c>
      <c r="E308" s="16" t="s">
        <v>531</v>
      </c>
      <c r="F308" s="20">
        <v>92040021</v>
      </c>
      <c r="G308" s="24">
        <v>190125</v>
      </c>
      <c r="H308">
        <v>800</v>
      </c>
      <c r="I308">
        <v>2</v>
      </c>
      <c r="J308">
        <v>10000</v>
      </c>
      <c r="L308" t="s">
        <v>605</v>
      </c>
    </row>
    <row r="309" spans="1:12">
      <c r="A309">
        <v>40115</v>
      </c>
      <c r="B309">
        <v>40101</v>
      </c>
      <c r="C309">
        <v>14</v>
      </c>
      <c r="D309">
        <v>1</v>
      </c>
      <c r="E309" s="16" t="s">
        <v>532</v>
      </c>
      <c r="F309" s="20">
        <v>92040021</v>
      </c>
      <c r="G309" s="24">
        <v>204750</v>
      </c>
      <c r="H309">
        <v>800</v>
      </c>
      <c r="I309">
        <v>2</v>
      </c>
      <c r="J309">
        <v>10000</v>
      </c>
      <c r="L309" t="s">
        <v>605</v>
      </c>
    </row>
    <row r="310" spans="1:12">
      <c r="A310">
        <v>40116</v>
      </c>
      <c r="B310">
        <v>40101</v>
      </c>
      <c r="C310">
        <v>15</v>
      </c>
      <c r="D310">
        <v>1</v>
      </c>
      <c r="E310" s="16" t="s">
        <v>533</v>
      </c>
      <c r="F310" s="20">
        <v>92040021</v>
      </c>
      <c r="G310" s="24">
        <v>219375</v>
      </c>
      <c r="H310">
        <v>800</v>
      </c>
      <c r="I310">
        <v>2</v>
      </c>
      <c r="J310">
        <v>10000</v>
      </c>
      <c r="L310" t="s">
        <v>605</v>
      </c>
    </row>
    <row r="311" spans="1:12">
      <c r="A311">
        <v>40117</v>
      </c>
      <c r="B311">
        <v>40101</v>
      </c>
      <c r="C311">
        <v>16</v>
      </c>
      <c r="D311">
        <v>1</v>
      </c>
      <c r="E311" s="16" t="s">
        <v>534</v>
      </c>
      <c r="F311" s="20">
        <v>92040021</v>
      </c>
      <c r="G311" s="24">
        <v>234000</v>
      </c>
      <c r="H311">
        <v>800</v>
      </c>
      <c r="I311">
        <v>2</v>
      </c>
      <c r="J311">
        <v>10000</v>
      </c>
      <c r="L311" t="s">
        <v>605</v>
      </c>
    </row>
    <row r="312" spans="1:12">
      <c r="A312">
        <v>40118</v>
      </c>
      <c r="B312">
        <v>40101</v>
      </c>
      <c r="C312">
        <v>17</v>
      </c>
      <c r="D312">
        <v>1</v>
      </c>
      <c r="E312" s="16" t="s">
        <v>535</v>
      </c>
      <c r="F312" s="20">
        <v>92040021</v>
      </c>
      <c r="G312" s="24">
        <v>248625</v>
      </c>
      <c r="H312">
        <v>800</v>
      </c>
      <c r="I312">
        <v>2</v>
      </c>
      <c r="J312">
        <v>10000</v>
      </c>
      <c r="L312" t="s">
        <v>605</v>
      </c>
    </row>
    <row r="313" spans="1:12">
      <c r="A313">
        <v>40119</v>
      </c>
      <c r="B313">
        <v>40101</v>
      </c>
      <c r="C313">
        <v>18</v>
      </c>
      <c r="D313">
        <v>1</v>
      </c>
      <c r="E313" s="16" t="s">
        <v>536</v>
      </c>
      <c r="F313" s="20">
        <v>92040021</v>
      </c>
      <c r="G313" s="24">
        <v>263250</v>
      </c>
      <c r="H313">
        <v>800</v>
      </c>
      <c r="I313">
        <v>2</v>
      </c>
      <c r="J313">
        <v>10000</v>
      </c>
      <c r="L313" t="s">
        <v>605</v>
      </c>
    </row>
    <row r="314" spans="1:12">
      <c r="A314">
        <v>40120</v>
      </c>
      <c r="B314">
        <v>40101</v>
      </c>
      <c r="C314">
        <v>19</v>
      </c>
      <c r="D314">
        <v>1</v>
      </c>
      <c r="E314" s="16" t="s">
        <v>537</v>
      </c>
      <c r="F314" s="20">
        <v>92040021</v>
      </c>
      <c r="G314" s="24">
        <v>277875</v>
      </c>
      <c r="H314">
        <v>800</v>
      </c>
      <c r="I314">
        <v>2</v>
      </c>
      <c r="J314">
        <v>10000</v>
      </c>
      <c r="L314" t="s">
        <v>605</v>
      </c>
    </row>
    <row r="315" spans="1:12">
      <c r="A315">
        <v>40121</v>
      </c>
      <c r="B315">
        <v>40101</v>
      </c>
      <c r="C315">
        <v>20</v>
      </c>
      <c r="D315">
        <v>1</v>
      </c>
      <c r="E315" s="16" t="s">
        <v>98</v>
      </c>
      <c r="F315" s="20">
        <v>92040022</v>
      </c>
      <c r="G315" s="24">
        <v>292500</v>
      </c>
      <c r="H315">
        <v>1600</v>
      </c>
      <c r="I315">
        <v>2</v>
      </c>
      <c r="J315">
        <v>10000</v>
      </c>
      <c r="K315" t="s">
        <v>606</v>
      </c>
      <c r="L315" t="s">
        <v>607</v>
      </c>
    </row>
    <row r="316" spans="1:12">
      <c r="A316">
        <v>40201</v>
      </c>
      <c r="B316">
        <v>40201</v>
      </c>
      <c r="C316" s="3">
        <v>0</v>
      </c>
      <c r="D316">
        <v>1</v>
      </c>
      <c r="E316" s="16" t="s">
        <v>513</v>
      </c>
      <c r="F316" s="20">
        <v>92040030</v>
      </c>
      <c r="G316" s="8">
        <v>0</v>
      </c>
      <c r="H316">
        <v>0</v>
      </c>
      <c r="I316">
        <v>2</v>
      </c>
      <c r="J316">
        <v>10000</v>
      </c>
      <c r="L316" t="s">
        <v>607</v>
      </c>
    </row>
    <row r="317" spans="1:12">
      <c r="A317">
        <v>40202</v>
      </c>
      <c r="B317">
        <v>40201</v>
      </c>
      <c r="C317">
        <v>1</v>
      </c>
      <c r="D317">
        <v>1</v>
      </c>
      <c r="E317" s="16" t="s">
        <v>515</v>
      </c>
      <c r="F317" s="20">
        <v>92040030</v>
      </c>
      <c r="G317" s="24">
        <v>18000</v>
      </c>
      <c r="H317">
        <v>0</v>
      </c>
      <c r="I317">
        <v>2</v>
      </c>
      <c r="J317">
        <v>10000</v>
      </c>
      <c r="L317" t="s">
        <v>607</v>
      </c>
    </row>
    <row r="318" spans="1:12">
      <c r="A318">
        <v>40203</v>
      </c>
      <c r="B318">
        <v>40201</v>
      </c>
      <c r="C318">
        <v>2</v>
      </c>
      <c r="D318">
        <v>1</v>
      </c>
      <c r="E318" s="16" t="s">
        <v>516</v>
      </c>
      <c r="F318" s="20">
        <v>92040030</v>
      </c>
      <c r="G318" s="24">
        <v>36000</v>
      </c>
      <c r="H318">
        <v>0</v>
      </c>
      <c r="I318">
        <v>2</v>
      </c>
      <c r="J318">
        <v>10000</v>
      </c>
      <c r="L318" t="s">
        <v>607</v>
      </c>
    </row>
    <row r="319" spans="1:12">
      <c r="A319">
        <v>40204</v>
      </c>
      <c r="B319">
        <v>40201</v>
      </c>
      <c r="C319">
        <v>3</v>
      </c>
      <c r="D319">
        <v>1</v>
      </c>
      <c r="E319" s="16" t="s">
        <v>517</v>
      </c>
      <c r="F319" s="20">
        <v>92040030</v>
      </c>
      <c r="G319" s="24">
        <v>54000</v>
      </c>
      <c r="H319">
        <v>0</v>
      </c>
      <c r="I319">
        <v>2</v>
      </c>
      <c r="J319">
        <v>10000</v>
      </c>
      <c r="L319" t="s">
        <v>607</v>
      </c>
    </row>
    <row r="320" spans="1:12">
      <c r="A320">
        <v>40205</v>
      </c>
      <c r="B320">
        <v>40201</v>
      </c>
      <c r="C320">
        <v>4</v>
      </c>
      <c r="D320">
        <v>1</v>
      </c>
      <c r="E320" s="16" t="s">
        <v>518</v>
      </c>
      <c r="F320" s="20">
        <v>92040030</v>
      </c>
      <c r="G320" s="24">
        <v>72000</v>
      </c>
      <c r="H320">
        <v>0</v>
      </c>
      <c r="I320">
        <v>2</v>
      </c>
      <c r="J320">
        <v>10000</v>
      </c>
      <c r="L320" t="s">
        <v>607</v>
      </c>
    </row>
    <row r="321" spans="1:12">
      <c r="A321">
        <v>40206</v>
      </c>
      <c r="B321">
        <v>40201</v>
      </c>
      <c r="C321">
        <v>5</v>
      </c>
      <c r="D321">
        <v>1</v>
      </c>
      <c r="E321" s="16" t="s">
        <v>519</v>
      </c>
      <c r="F321" s="20">
        <v>92040030</v>
      </c>
      <c r="G321" s="24">
        <v>90000</v>
      </c>
      <c r="H321">
        <v>0</v>
      </c>
      <c r="I321">
        <v>2</v>
      </c>
      <c r="J321">
        <v>10000</v>
      </c>
      <c r="L321" t="s">
        <v>607</v>
      </c>
    </row>
    <row r="322" spans="1:12">
      <c r="A322">
        <v>40207</v>
      </c>
      <c r="B322">
        <v>40201</v>
      </c>
      <c r="C322">
        <v>6</v>
      </c>
      <c r="D322">
        <v>1</v>
      </c>
      <c r="E322" s="16" t="s">
        <v>520</v>
      </c>
      <c r="F322" s="20">
        <v>92040030</v>
      </c>
      <c r="G322" s="24">
        <v>108000</v>
      </c>
      <c r="H322">
        <v>0</v>
      </c>
      <c r="I322">
        <v>2</v>
      </c>
      <c r="J322">
        <v>10000</v>
      </c>
      <c r="L322" t="s">
        <v>607</v>
      </c>
    </row>
    <row r="323" spans="1:12">
      <c r="A323">
        <v>40208</v>
      </c>
      <c r="B323">
        <v>40201</v>
      </c>
      <c r="C323">
        <v>7</v>
      </c>
      <c r="D323">
        <v>1</v>
      </c>
      <c r="E323" s="16" t="s">
        <v>521</v>
      </c>
      <c r="F323" s="20">
        <v>92040030</v>
      </c>
      <c r="G323" s="24">
        <v>126000</v>
      </c>
      <c r="H323">
        <v>0</v>
      </c>
      <c r="I323">
        <v>2</v>
      </c>
      <c r="J323">
        <v>10000</v>
      </c>
      <c r="L323" t="s">
        <v>607</v>
      </c>
    </row>
    <row r="324" spans="1:12">
      <c r="A324">
        <v>40209</v>
      </c>
      <c r="B324">
        <v>40201</v>
      </c>
      <c r="C324">
        <v>8</v>
      </c>
      <c r="D324">
        <v>1</v>
      </c>
      <c r="E324" s="16" t="s">
        <v>522</v>
      </c>
      <c r="F324" s="20">
        <v>92040030</v>
      </c>
      <c r="G324" s="24">
        <v>144000</v>
      </c>
      <c r="H324">
        <v>0</v>
      </c>
      <c r="I324">
        <v>2</v>
      </c>
      <c r="J324">
        <v>10000</v>
      </c>
      <c r="L324" t="s">
        <v>607</v>
      </c>
    </row>
    <row r="325" spans="1:12">
      <c r="A325">
        <v>40210</v>
      </c>
      <c r="B325">
        <v>40201</v>
      </c>
      <c r="C325">
        <v>9</v>
      </c>
      <c r="D325">
        <v>1</v>
      </c>
      <c r="E325" s="16" t="s">
        <v>523</v>
      </c>
      <c r="F325" s="20">
        <v>92040030</v>
      </c>
      <c r="G325" s="24">
        <v>162000</v>
      </c>
      <c r="H325">
        <v>0</v>
      </c>
      <c r="I325">
        <v>2</v>
      </c>
      <c r="J325">
        <v>10000</v>
      </c>
      <c r="L325" t="s">
        <v>607</v>
      </c>
    </row>
    <row r="326" spans="1:12">
      <c r="A326">
        <v>40211</v>
      </c>
      <c r="B326">
        <v>40201</v>
      </c>
      <c r="C326">
        <v>10</v>
      </c>
      <c r="D326">
        <v>1</v>
      </c>
      <c r="E326" s="16" t="s">
        <v>526</v>
      </c>
      <c r="F326" s="20">
        <v>92040031</v>
      </c>
      <c r="G326" s="24">
        <v>180000</v>
      </c>
      <c r="H326">
        <v>800</v>
      </c>
      <c r="I326">
        <v>2</v>
      </c>
      <c r="J326">
        <v>10000</v>
      </c>
      <c r="K326" t="s">
        <v>608</v>
      </c>
      <c r="L326" t="s">
        <v>609</v>
      </c>
    </row>
    <row r="327" spans="1:12">
      <c r="A327">
        <v>40212</v>
      </c>
      <c r="B327">
        <v>40201</v>
      </c>
      <c r="C327">
        <v>11</v>
      </c>
      <c r="D327">
        <v>1</v>
      </c>
      <c r="E327" s="16" t="s">
        <v>529</v>
      </c>
      <c r="F327" s="20">
        <v>92040031</v>
      </c>
      <c r="G327" s="24">
        <v>198000</v>
      </c>
      <c r="H327">
        <v>800</v>
      </c>
      <c r="I327">
        <v>2</v>
      </c>
      <c r="J327">
        <v>10000</v>
      </c>
      <c r="L327" t="s">
        <v>609</v>
      </c>
    </row>
    <row r="328" spans="1:12">
      <c r="A328">
        <v>40213</v>
      </c>
      <c r="B328">
        <v>40201</v>
      </c>
      <c r="C328">
        <v>12</v>
      </c>
      <c r="D328">
        <v>1</v>
      </c>
      <c r="E328" s="16" t="s">
        <v>530</v>
      </c>
      <c r="F328" s="20">
        <v>92040031</v>
      </c>
      <c r="G328" s="24">
        <v>216000</v>
      </c>
      <c r="H328">
        <v>800</v>
      </c>
      <c r="I328">
        <v>2</v>
      </c>
      <c r="J328">
        <v>10000</v>
      </c>
      <c r="L328" t="s">
        <v>609</v>
      </c>
    </row>
    <row r="329" spans="1:12">
      <c r="A329">
        <v>40214</v>
      </c>
      <c r="B329">
        <v>40201</v>
      </c>
      <c r="C329">
        <v>13</v>
      </c>
      <c r="D329">
        <v>1</v>
      </c>
      <c r="E329" s="16" t="s">
        <v>531</v>
      </c>
      <c r="F329" s="20">
        <v>92040031</v>
      </c>
      <c r="G329" s="24">
        <v>234000</v>
      </c>
      <c r="H329">
        <v>800</v>
      </c>
      <c r="I329">
        <v>2</v>
      </c>
      <c r="J329">
        <v>10000</v>
      </c>
      <c r="L329" t="s">
        <v>609</v>
      </c>
    </row>
    <row r="330" spans="1:12">
      <c r="A330">
        <v>40215</v>
      </c>
      <c r="B330">
        <v>40201</v>
      </c>
      <c r="C330">
        <v>14</v>
      </c>
      <c r="D330">
        <v>1</v>
      </c>
      <c r="E330" s="16" t="s">
        <v>532</v>
      </c>
      <c r="F330" s="20">
        <v>92040031</v>
      </c>
      <c r="G330" s="24">
        <v>252000</v>
      </c>
      <c r="H330">
        <v>800</v>
      </c>
      <c r="I330">
        <v>2</v>
      </c>
      <c r="J330">
        <v>10000</v>
      </c>
      <c r="L330" t="s">
        <v>609</v>
      </c>
    </row>
    <row r="331" spans="1:12">
      <c r="A331">
        <v>40216</v>
      </c>
      <c r="B331">
        <v>40201</v>
      </c>
      <c r="C331">
        <v>15</v>
      </c>
      <c r="D331">
        <v>1</v>
      </c>
      <c r="E331" s="16" t="s">
        <v>533</v>
      </c>
      <c r="F331" s="20">
        <v>92040031</v>
      </c>
      <c r="G331" s="24">
        <v>270000</v>
      </c>
      <c r="H331">
        <v>800</v>
      </c>
      <c r="I331">
        <v>2</v>
      </c>
      <c r="J331">
        <v>10000</v>
      </c>
      <c r="L331" t="s">
        <v>609</v>
      </c>
    </row>
    <row r="332" spans="1:12">
      <c r="A332">
        <v>40217</v>
      </c>
      <c r="B332">
        <v>40201</v>
      </c>
      <c r="C332">
        <v>16</v>
      </c>
      <c r="D332">
        <v>1</v>
      </c>
      <c r="E332" s="16" t="s">
        <v>534</v>
      </c>
      <c r="F332" s="20">
        <v>92040031</v>
      </c>
      <c r="G332" s="24">
        <v>288000</v>
      </c>
      <c r="H332">
        <v>800</v>
      </c>
      <c r="I332">
        <v>2</v>
      </c>
      <c r="J332">
        <v>10000</v>
      </c>
      <c r="L332" t="s">
        <v>609</v>
      </c>
    </row>
    <row r="333" spans="1:12">
      <c r="A333">
        <v>40218</v>
      </c>
      <c r="B333">
        <v>40201</v>
      </c>
      <c r="C333">
        <v>17</v>
      </c>
      <c r="D333">
        <v>1</v>
      </c>
      <c r="E333" s="16" t="s">
        <v>535</v>
      </c>
      <c r="F333" s="20">
        <v>92040031</v>
      </c>
      <c r="G333" s="24">
        <v>306000</v>
      </c>
      <c r="H333">
        <v>800</v>
      </c>
      <c r="I333">
        <v>2</v>
      </c>
      <c r="J333">
        <v>10000</v>
      </c>
      <c r="L333" t="s">
        <v>609</v>
      </c>
    </row>
    <row r="334" spans="1:12">
      <c r="A334">
        <v>40219</v>
      </c>
      <c r="B334">
        <v>40201</v>
      </c>
      <c r="C334">
        <v>18</v>
      </c>
      <c r="D334">
        <v>1</v>
      </c>
      <c r="E334" s="16" t="s">
        <v>536</v>
      </c>
      <c r="F334" s="20">
        <v>92040031</v>
      </c>
      <c r="G334" s="24">
        <v>324000</v>
      </c>
      <c r="H334">
        <v>800</v>
      </c>
      <c r="I334">
        <v>2</v>
      </c>
      <c r="J334">
        <v>10000</v>
      </c>
      <c r="L334" t="s">
        <v>609</v>
      </c>
    </row>
    <row r="335" spans="1:12">
      <c r="A335">
        <v>40220</v>
      </c>
      <c r="B335">
        <v>40201</v>
      </c>
      <c r="C335">
        <v>19</v>
      </c>
      <c r="D335">
        <v>1</v>
      </c>
      <c r="E335" s="16" t="s">
        <v>537</v>
      </c>
      <c r="F335" s="20">
        <v>92040031</v>
      </c>
      <c r="G335" s="24">
        <v>342000</v>
      </c>
      <c r="H335">
        <v>800</v>
      </c>
      <c r="I335">
        <v>2</v>
      </c>
      <c r="J335">
        <v>10000</v>
      </c>
      <c r="L335" t="s">
        <v>609</v>
      </c>
    </row>
    <row r="336" spans="1:12">
      <c r="A336">
        <v>40221</v>
      </c>
      <c r="B336">
        <v>40201</v>
      </c>
      <c r="C336">
        <v>20</v>
      </c>
      <c r="D336">
        <v>1</v>
      </c>
      <c r="E336" s="16" t="s">
        <v>542</v>
      </c>
      <c r="F336" s="20">
        <v>92040032</v>
      </c>
      <c r="G336" s="24">
        <v>360000</v>
      </c>
      <c r="H336">
        <v>1600</v>
      </c>
      <c r="I336">
        <v>2</v>
      </c>
      <c r="J336">
        <v>10000</v>
      </c>
      <c r="K336" t="s">
        <v>610</v>
      </c>
      <c r="L336" t="s">
        <v>611</v>
      </c>
    </row>
    <row r="337" spans="1:12">
      <c r="A337">
        <v>40222</v>
      </c>
      <c r="B337">
        <v>40201</v>
      </c>
      <c r="C337">
        <v>21</v>
      </c>
      <c r="D337">
        <v>1</v>
      </c>
      <c r="E337" s="16" t="s">
        <v>545</v>
      </c>
      <c r="F337" s="20">
        <v>92040032</v>
      </c>
      <c r="G337" s="24">
        <v>378000</v>
      </c>
      <c r="H337">
        <v>1600</v>
      </c>
      <c r="I337">
        <v>2</v>
      </c>
      <c r="J337">
        <v>10000</v>
      </c>
      <c r="L337" t="s">
        <v>611</v>
      </c>
    </row>
    <row r="338" spans="1:12">
      <c r="A338">
        <v>40223</v>
      </c>
      <c r="B338">
        <v>40201</v>
      </c>
      <c r="C338">
        <v>22</v>
      </c>
      <c r="D338">
        <v>1</v>
      </c>
      <c r="E338" s="16" t="s">
        <v>546</v>
      </c>
      <c r="F338" s="20">
        <v>92040032</v>
      </c>
      <c r="G338" s="24">
        <v>396000</v>
      </c>
      <c r="H338">
        <v>1600</v>
      </c>
      <c r="I338">
        <v>2</v>
      </c>
      <c r="J338">
        <v>10000</v>
      </c>
      <c r="L338" t="s">
        <v>611</v>
      </c>
    </row>
    <row r="339" spans="1:12">
      <c r="A339">
        <v>40224</v>
      </c>
      <c r="B339">
        <v>40201</v>
      </c>
      <c r="C339">
        <v>23</v>
      </c>
      <c r="D339">
        <v>1</v>
      </c>
      <c r="E339" s="16" t="s">
        <v>547</v>
      </c>
      <c r="F339" s="20">
        <v>92040032</v>
      </c>
      <c r="G339" s="24">
        <v>414000</v>
      </c>
      <c r="H339">
        <v>1600</v>
      </c>
      <c r="I339">
        <v>2</v>
      </c>
      <c r="J339">
        <v>10000</v>
      </c>
      <c r="L339" t="s">
        <v>611</v>
      </c>
    </row>
    <row r="340" spans="1:12">
      <c r="A340">
        <v>40225</v>
      </c>
      <c r="B340">
        <v>40201</v>
      </c>
      <c r="C340">
        <v>24</v>
      </c>
      <c r="D340">
        <v>1</v>
      </c>
      <c r="E340" s="16" t="s">
        <v>548</v>
      </c>
      <c r="F340" s="20">
        <v>92040032</v>
      </c>
      <c r="G340" s="24">
        <v>432000</v>
      </c>
      <c r="H340">
        <v>1600</v>
      </c>
      <c r="I340">
        <v>2</v>
      </c>
      <c r="J340">
        <v>10000</v>
      </c>
      <c r="L340" t="s">
        <v>611</v>
      </c>
    </row>
    <row r="341" spans="1:12">
      <c r="A341">
        <v>40226</v>
      </c>
      <c r="B341">
        <v>40201</v>
      </c>
      <c r="C341">
        <v>25</v>
      </c>
      <c r="D341">
        <v>1</v>
      </c>
      <c r="E341" s="16" t="s">
        <v>549</v>
      </c>
      <c r="F341" s="20">
        <v>92040032</v>
      </c>
      <c r="G341" s="24">
        <v>450000</v>
      </c>
      <c r="H341">
        <v>1600</v>
      </c>
      <c r="I341">
        <v>2</v>
      </c>
      <c r="J341">
        <v>10000</v>
      </c>
      <c r="L341" t="s">
        <v>611</v>
      </c>
    </row>
    <row r="342" spans="1:12">
      <c r="A342">
        <v>40227</v>
      </c>
      <c r="B342">
        <v>40201</v>
      </c>
      <c r="C342">
        <v>26</v>
      </c>
      <c r="D342">
        <v>1</v>
      </c>
      <c r="E342" s="16" t="s">
        <v>550</v>
      </c>
      <c r="F342" s="20">
        <v>92040032</v>
      </c>
      <c r="G342" s="24">
        <v>468000</v>
      </c>
      <c r="H342">
        <v>1600</v>
      </c>
      <c r="I342">
        <v>2</v>
      </c>
      <c r="J342">
        <v>10000</v>
      </c>
      <c r="L342" t="s">
        <v>611</v>
      </c>
    </row>
    <row r="343" spans="1:12">
      <c r="A343">
        <v>40228</v>
      </c>
      <c r="B343">
        <v>40201</v>
      </c>
      <c r="C343">
        <v>27</v>
      </c>
      <c r="D343">
        <v>1</v>
      </c>
      <c r="E343" s="16" t="s">
        <v>551</v>
      </c>
      <c r="F343" s="20">
        <v>92040032</v>
      </c>
      <c r="G343" s="24">
        <v>486000</v>
      </c>
      <c r="H343">
        <v>1600</v>
      </c>
      <c r="I343">
        <v>2</v>
      </c>
      <c r="J343">
        <v>10000</v>
      </c>
      <c r="L343" t="s">
        <v>611</v>
      </c>
    </row>
    <row r="344" spans="1:12">
      <c r="A344">
        <v>40229</v>
      </c>
      <c r="B344">
        <v>40201</v>
      </c>
      <c r="C344">
        <v>28</v>
      </c>
      <c r="D344">
        <v>1</v>
      </c>
      <c r="E344" s="16" t="s">
        <v>552</v>
      </c>
      <c r="F344" s="20">
        <v>92040032</v>
      </c>
      <c r="G344" s="24">
        <v>504000</v>
      </c>
      <c r="H344">
        <v>1600</v>
      </c>
      <c r="I344">
        <v>2</v>
      </c>
      <c r="J344">
        <v>10000</v>
      </c>
      <c r="L344" t="s">
        <v>611</v>
      </c>
    </row>
    <row r="345" spans="1:12">
      <c r="A345">
        <v>40230</v>
      </c>
      <c r="B345">
        <v>40201</v>
      </c>
      <c r="C345">
        <v>29</v>
      </c>
      <c r="D345">
        <v>1</v>
      </c>
      <c r="E345" s="16" t="s">
        <v>553</v>
      </c>
      <c r="F345" s="20">
        <v>92040032</v>
      </c>
      <c r="G345" s="24">
        <v>522000</v>
      </c>
      <c r="H345">
        <v>1600</v>
      </c>
      <c r="I345">
        <v>2</v>
      </c>
      <c r="J345">
        <v>10000</v>
      </c>
      <c r="L345" t="s">
        <v>611</v>
      </c>
    </row>
    <row r="346" spans="1:12">
      <c r="A346">
        <v>40231</v>
      </c>
      <c r="B346">
        <v>40201</v>
      </c>
      <c r="C346">
        <v>30</v>
      </c>
      <c r="D346">
        <v>1</v>
      </c>
      <c r="E346" s="16" t="s">
        <v>98</v>
      </c>
      <c r="F346" s="20">
        <v>92040033</v>
      </c>
      <c r="G346" s="24">
        <v>540000</v>
      </c>
      <c r="H346">
        <v>2400</v>
      </c>
      <c r="I346">
        <v>2</v>
      </c>
      <c r="J346">
        <v>10000</v>
      </c>
      <c r="K346" t="s">
        <v>612</v>
      </c>
      <c r="L346" t="s">
        <v>613</v>
      </c>
    </row>
    <row r="347" spans="1:12">
      <c r="A347">
        <v>40301</v>
      </c>
      <c r="B347">
        <v>40301</v>
      </c>
      <c r="C347" s="3">
        <v>0</v>
      </c>
      <c r="D347">
        <v>1</v>
      </c>
      <c r="E347" s="16" t="s">
        <v>513</v>
      </c>
      <c r="F347" s="20">
        <v>92040040</v>
      </c>
      <c r="G347">
        <v>0</v>
      </c>
      <c r="H347">
        <v>0</v>
      </c>
      <c r="I347">
        <v>2</v>
      </c>
      <c r="J347">
        <v>10000</v>
      </c>
      <c r="L347" t="s">
        <v>613</v>
      </c>
    </row>
    <row r="348" spans="1:12">
      <c r="A348">
        <v>40302</v>
      </c>
      <c r="B348">
        <v>40301</v>
      </c>
      <c r="C348">
        <v>1</v>
      </c>
      <c r="D348">
        <v>1</v>
      </c>
      <c r="E348" s="16" t="s">
        <v>515</v>
      </c>
      <c r="F348" s="20">
        <v>92040040</v>
      </c>
      <c r="G348" s="24">
        <v>27000</v>
      </c>
      <c r="H348">
        <v>0</v>
      </c>
      <c r="I348">
        <v>2</v>
      </c>
      <c r="J348">
        <v>10000</v>
      </c>
      <c r="L348" t="s">
        <v>613</v>
      </c>
    </row>
    <row r="349" spans="1:12">
      <c r="A349">
        <v>40303</v>
      </c>
      <c r="B349">
        <v>40301</v>
      </c>
      <c r="C349">
        <v>2</v>
      </c>
      <c r="D349">
        <v>1</v>
      </c>
      <c r="E349" s="16" t="s">
        <v>516</v>
      </c>
      <c r="F349" s="20">
        <v>92040040</v>
      </c>
      <c r="G349" s="24">
        <v>54000</v>
      </c>
      <c r="H349">
        <v>0</v>
      </c>
      <c r="I349">
        <v>2</v>
      </c>
      <c r="J349">
        <v>10000</v>
      </c>
      <c r="L349" t="s">
        <v>613</v>
      </c>
    </row>
    <row r="350" spans="1:12">
      <c r="A350">
        <v>40304</v>
      </c>
      <c r="B350">
        <v>40301</v>
      </c>
      <c r="C350">
        <v>3</v>
      </c>
      <c r="D350">
        <v>1</v>
      </c>
      <c r="E350" s="16" t="s">
        <v>517</v>
      </c>
      <c r="F350" s="20">
        <v>92040040</v>
      </c>
      <c r="G350" s="24">
        <v>81000</v>
      </c>
      <c r="H350">
        <v>0</v>
      </c>
      <c r="I350">
        <v>2</v>
      </c>
      <c r="J350">
        <v>10000</v>
      </c>
      <c r="L350" t="s">
        <v>613</v>
      </c>
    </row>
    <row r="351" spans="1:12">
      <c r="A351">
        <v>40305</v>
      </c>
      <c r="B351">
        <v>40301</v>
      </c>
      <c r="C351">
        <v>4</v>
      </c>
      <c r="D351">
        <v>1</v>
      </c>
      <c r="E351" s="16" t="s">
        <v>518</v>
      </c>
      <c r="F351" s="20">
        <v>92040040</v>
      </c>
      <c r="G351" s="24">
        <v>108000</v>
      </c>
      <c r="H351">
        <v>0</v>
      </c>
      <c r="I351">
        <v>2</v>
      </c>
      <c r="J351">
        <v>10000</v>
      </c>
      <c r="L351" t="s">
        <v>613</v>
      </c>
    </row>
    <row r="352" spans="1:12">
      <c r="A352">
        <v>40306</v>
      </c>
      <c r="B352">
        <v>40301</v>
      </c>
      <c r="C352">
        <v>5</v>
      </c>
      <c r="D352">
        <v>1</v>
      </c>
      <c r="E352" s="16" t="s">
        <v>519</v>
      </c>
      <c r="F352" s="20">
        <v>92040040</v>
      </c>
      <c r="G352" s="24">
        <v>135000</v>
      </c>
      <c r="H352">
        <v>0</v>
      </c>
      <c r="I352">
        <v>2</v>
      </c>
      <c r="J352">
        <v>10000</v>
      </c>
      <c r="L352" t="s">
        <v>613</v>
      </c>
    </row>
    <row r="353" spans="1:12">
      <c r="A353">
        <v>40307</v>
      </c>
      <c r="B353">
        <v>40301</v>
      </c>
      <c r="C353">
        <v>6</v>
      </c>
      <c r="D353">
        <v>1</v>
      </c>
      <c r="E353" s="16" t="s">
        <v>520</v>
      </c>
      <c r="F353" s="20">
        <v>92040040</v>
      </c>
      <c r="G353" s="24">
        <v>162000</v>
      </c>
      <c r="H353">
        <v>0</v>
      </c>
      <c r="I353">
        <v>2</v>
      </c>
      <c r="J353">
        <v>10000</v>
      </c>
      <c r="L353" t="s">
        <v>613</v>
      </c>
    </row>
    <row r="354" spans="1:12">
      <c r="A354">
        <v>40308</v>
      </c>
      <c r="B354">
        <v>40301</v>
      </c>
      <c r="C354">
        <v>7</v>
      </c>
      <c r="D354">
        <v>1</v>
      </c>
      <c r="E354" s="16" t="s">
        <v>521</v>
      </c>
      <c r="F354" s="20">
        <v>92040040</v>
      </c>
      <c r="G354" s="24">
        <v>189000</v>
      </c>
      <c r="H354">
        <v>0</v>
      </c>
      <c r="I354">
        <v>2</v>
      </c>
      <c r="J354">
        <v>10000</v>
      </c>
      <c r="L354" t="s">
        <v>613</v>
      </c>
    </row>
    <row r="355" spans="1:12">
      <c r="A355">
        <v>40309</v>
      </c>
      <c r="B355">
        <v>40301</v>
      </c>
      <c r="C355">
        <v>8</v>
      </c>
      <c r="D355">
        <v>1</v>
      </c>
      <c r="E355" s="16" t="s">
        <v>522</v>
      </c>
      <c r="F355" s="20">
        <v>92040040</v>
      </c>
      <c r="G355" s="24">
        <v>216000</v>
      </c>
      <c r="H355">
        <v>0</v>
      </c>
      <c r="I355">
        <v>2</v>
      </c>
      <c r="J355">
        <v>10000</v>
      </c>
      <c r="L355" t="s">
        <v>613</v>
      </c>
    </row>
    <row r="356" spans="1:12">
      <c r="A356">
        <v>40310</v>
      </c>
      <c r="B356">
        <v>40301</v>
      </c>
      <c r="C356">
        <v>9</v>
      </c>
      <c r="D356">
        <v>1</v>
      </c>
      <c r="E356" s="16" t="s">
        <v>523</v>
      </c>
      <c r="F356" s="20">
        <v>92040040</v>
      </c>
      <c r="G356" s="24">
        <v>243000</v>
      </c>
      <c r="H356">
        <v>0</v>
      </c>
      <c r="I356">
        <v>2</v>
      </c>
      <c r="J356">
        <v>10000</v>
      </c>
      <c r="L356" t="s">
        <v>613</v>
      </c>
    </row>
    <row r="357" spans="1:12">
      <c r="A357">
        <v>40311</v>
      </c>
      <c r="B357">
        <v>40301</v>
      </c>
      <c r="C357">
        <v>10</v>
      </c>
      <c r="D357">
        <v>1</v>
      </c>
      <c r="E357" s="16" t="s">
        <v>526</v>
      </c>
      <c r="F357" s="20">
        <v>92040041</v>
      </c>
      <c r="G357" s="24">
        <v>270000</v>
      </c>
      <c r="H357">
        <v>1600</v>
      </c>
      <c r="I357">
        <v>2</v>
      </c>
      <c r="J357">
        <v>10000</v>
      </c>
      <c r="K357" t="s">
        <v>614</v>
      </c>
      <c r="L357" t="s">
        <v>615</v>
      </c>
    </row>
    <row r="358" spans="1:12">
      <c r="A358">
        <v>40312</v>
      </c>
      <c r="B358">
        <v>40301</v>
      </c>
      <c r="C358">
        <v>11</v>
      </c>
      <c r="D358">
        <v>1</v>
      </c>
      <c r="E358" s="16" t="s">
        <v>529</v>
      </c>
      <c r="F358" s="20">
        <v>92040041</v>
      </c>
      <c r="G358" s="24">
        <v>297000</v>
      </c>
      <c r="H358">
        <v>1600</v>
      </c>
      <c r="I358">
        <v>2</v>
      </c>
      <c r="J358">
        <v>10000</v>
      </c>
      <c r="L358" t="s">
        <v>615</v>
      </c>
    </row>
    <row r="359" spans="1:12">
      <c r="A359">
        <v>40313</v>
      </c>
      <c r="B359">
        <v>40301</v>
      </c>
      <c r="C359">
        <v>12</v>
      </c>
      <c r="D359">
        <v>1</v>
      </c>
      <c r="E359" s="16" t="s">
        <v>530</v>
      </c>
      <c r="F359" s="20">
        <v>92040041</v>
      </c>
      <c r="G359" s="24">
        <v>324000</v>
      </c>
      <c r="H359">
        <v>1600</v>
      </c>
      <c r="I359">
        <v>2</v>
      </c>
      <c r="J359">
        <v>10000</v>
      </c>
      <c r="L359" t="s">
        <v>615</v>
      </c>
    </row>
    <row r="360" spans="1:12">
      <c r="A360">
        <v>40314</v>
      </c>
      <c r="B360">
        <v>40301</v>
      </c>
      <c r="C360">
        <v>13</v>
      </c>
      <c r="D360">
        <v>1</v>
      </c>
      <c r="E360" s="16" t="s">
        <v>531</v>
      </c>
      <c r="F360" s="20">
        <v>92040041</v>
      </c>
      <c r="G360" s="24">
        <v>351000</v>
      </c>
      <c r="H360">
        <v>1600</v>
      </c>
      <c r="I360">
        <v>2</v>
      </c>
      <c r="J360">
        <v>10000</v>
      </c>
      <c r="L360" t="s">
        <v>615</v>
      </c>
    </row>
    <row r="361" spans="1:12">
      <c r="A361">
        <v>40315</v>
      </c>
      <c r="B361">
        <v>40301</v>
      </c>
      <c r="C361">
        <v>14</v>
      </c>
      <c r="D361">
        <v>1</v>
      </c>
      <c r="E361" s="16" t="s">
        <v>532</v>
      </c>
      <c r="F361" s="20">
        <v>92040041</v>
      </c>
      <c r="G361" s="24">
        <v>378000</v>
      </c>
      <c r="H361">
        <v>1600</v>
      </c>
      <c r="I361">
        <v>2</v>
      </c>
      <c r="J361">
        <v>10000</v>
      </c>
      <c r="L361" t="s">
        <v>615</v>
      </c>
    </row>
    <row r="362" spans="1:12">
      <c r="A362">
        <v>40316</v>
      </c>
      <c r="B362">
        <v>40301</v>
      </c>
      <c r="C362">
        <v>15</v>
      </c>
      <c r="D362">
        <v>1</v>
      </c>
      <c r="E362" s="16" t="s">
        <v>533</v>
      </c>
      <c r="F362" s="20">
        <v>92040041</v>
      </c>
      <c r="G362" s="24">
        <v>405000</v>
      </c>
      <c r="H362">
        <v>1600</v>
      </c>
      <c r="I362">
        <v>2</v>
      </c>
      <c r="J362">
        <v>10000</v>
      </c>
      <c r="L362" t="s">
        <v>615</v>
      </c>
    </row>
    <row r="363" spans="1:12">
      <c r="A363">
        <v>40317</v>
      </c>
      <c r="B363">
        <v>40301</v>
      </c>
      <c r="C363">
        <v>16</v>
      </c>
      <c r="D363">
        <v>1</v>
      </c>
      <c r="E363" s="16" t="s">
        <v>534</v>
      </c>
      <c r="F363" s="20">
        <v>92040041</v>
      </c>
      <c r="G363" s="24">
        <v>432000</v>
      </c>
      <c r="H363">
        <v>1600</v>
      </c>
      <c r="I363">
        <v>2</v>
      </c>
      <c r="J363">
        <v>10000</v>
      </c>
      <c r="L363" t="s">
        <v>615</v>
      </c>
    </row>
    <row r="364" spans="1:12">
      <c r="A364">
        <v>40318</v>
      </c>
      <c r="B364">
        <v>40301</v>
      </c>
      <c r="C364">
        <v>17</v>
      </c>
      <c r="D364">
        <v>1</v>
      </c>
      <c r="E364" s="16" t="s">
        <v>535</v>
      </c>
      <c r="F364" s="20">
        <v>92040041</v>
      </c>
      <c r="G364" s="24">
        <v>459000</v>
      </c>
      <c r="H364">
        <v>1600</v>
      </c>
      <c r="I364">
        <v>2</v>
      </c>
      <c r="J364">
        <v>10000</v>
      </c>
      <c r="L364" t="s">
        <v>615</v>
      </c>
    </row>
    <row r="365" spans="1:12">
      <c r="A365">
        <v>40319</v>
      </c>
      <c r="B365">
        <v>40301</v>
      </c>
      <c r="C365">
        <v>18</v>
      </c>
      <c r="D365">
        <v>1</v>
      </c>
      <c r="E365" s="16" t="s">
        <v>536</v>
      </c>
      <c r="F365" s="20">
        <v>92040041</v>
      </c>
      <c r="G365" s="24">
        <v>486000</v>
      </c>
      <c r="H365">
        <v>1600</v>
      </c>
      <c r="I365">
        <v>2</v>
      </c>
      <c r="J365">
        <v>10000</v>
      </c>
      <c r="L365" t="s">
        <v>615</v>
      </c>
    </row>
    <row r="366" spans="1:12">
      <c r="A366">
        <v>40320</v>
      </c>
      <c r="B366">
        <v>40301</v>
      </c>
      <c r="C366">
        <v>19</v>
      </c>
      <c r="D366">
        <v>1</v>
      </c>
      <c r="E366" s="16" t="s">
        <v>537</v>
      </c>
      <c r="F366" s="20">
        <v>92040041</v>
      </c>
      <c r="G366" s="24">
        <v>513000</v>
      </c>
      <c r="H366">
        <v>1600</v>
      </c>
      <c r="I366">
        <v>2</v>
      </c>
      <c r="J366">
        <v>10000</v>
      </c>
      <c r="L366" t="s">
        <v>615</v>
      </c>
    </row>
    <row r="367" spans="1:12">
      <c r="A367">
        <v>40321</v>
      </c>
      <c r="B367">
        <v>40301</v>
      </c>
      <c r="C367">
        <v>20</v>
      </c>
      <c r="D367">
        <v>1</v>
      </c>
      <c r="E367" s="16" t="s">
        <v>542</v>
      </c>
      <c r="F367" s="20">
        <v>92040042</v>
      </c>
      <c r="G367" s="24">
        <v>540000</v>
      </c>
      <c r="H367">
        <v>2400</v>
      </c>
      <c r="I367">
        <v>2</v>
      </c>
      <c r="J367">
        <v>10000</v>
      </c>
      <c r="K367" t="s">
        <v>616</v>
      </c>
      <c r="L367" t="s">
        <v>617</v>
      </c>
    </row>
    <row r="368" spans="1:12">
      <c r="A368">
        <v>40322</v>
      </c>
      <c r="B368">
        <v>40301</v>
      </c>
      <c r="C368">
        <v>21</v>
      </c>
      <c r="D368">
        <v>1</v>
      </c>
      <c r="E368" s="16" t="s">
        <v>545</v>
      </c>
      <c r="F368" s="20">
        <v>92040042</v>
      </c>
      <c r="G368" s="24">
        <v>567000</v>
      </c>
      <c r="H368">
        <v>2400</v>
      </c>
      <c r="I368">
        <v>2</v>
      </c>
      <c r="J368">
        <v>10000</v>
      </c>
      <c r="L368" t="s">
        <v>617</v>
      </c>
    </row>
    <row r="369" spans="1:12">
      <c r="A369">
        <v>40323</v>
      </c>
      <c r="B369">
        <v>40301</v>
      </c>
      <c r="C369">
        <v>22</v>
      </c>
      <c r="D369">
        <v>1</v>
      </c>
      <c r="E369" s="16" t="s">
        <v>546</v>
      </c>
      <c r="F369" s="20">
        <v>92040042</v>
      </c>
      <c r="G369" s="24">
        <v>594000</v>
      </c>
      <c r="H369">
        <v>2400</v>
      </c>
      <c r="I369">
        <v>2</v>
      </c>
      <c r="J369">
        <v>10000</v>
      </c>
      <c r="L369" t="s">
        <v>617</v>
      </c>
    </row>
    <row r="370" spans="1:12">
      <c r="A370">
        <v>40324</v>
      </c>
      <c r="B370">
        <v>40301</v>
      </c>
      <c r="C370">
        <v>23</v>
      </c>
      <c r="D370">
        <v>1</v>
      </c>
      <c r="E370" s="16" t="s">
        <v>547</v>
      </c>
      <c r="F370" s="20">
        <v>92040042</v>
      </c>
      <c r="G370" s="24">
        <v>621000</v>
      </c>
      <c r="H370">
        <v>2400</v>
      </c>
      <c r="I370">
        <v>2</v>
      </c>
      <c r="J370">
        <v>10000</v>
      </c>
      <c r="L370" t="s">
        <v>617</v>
      </c>
    </row>
    <row r="371" spans="1:12">
      <c r="A371">
        <v>40325</v>
      </c>
      <c r="B371">
        <v>40301</v>
      </c>
      <c r="C371">
        <v>24</v>
      </c>
      <c r="D371">
        <v>1</v>
      </c>
      <c r="E371" s="16" t="s">
        <v>548</v>
      </c>
      <c r="F371" s="20">
        <v>92040042</v>
      </c>
      <c r="G371" s="24">
        <v>648000</v>
      </c>
      <c r="H371">
        <v>2400</v>
      </c>
      <c r="I371">
        <v>2</v>
      </c>
      <c r="J371">
        <v>10000</v>
      </c>
      <c r="L371" t="s">
        <v>617</v>
      </c>
    </row>
    <row r="372" spans="1:12">
      <c r="A372">
        <v>40326</v>
      </c>
      <c r="B372">
        <v>40301</v>
      </c>
      <c r="C372">
        <v>25</v>
      </c>
      <c r="D372">
        <v>1</v>
      </c>
      <c r="E372" s="16" t="s">
        <v>549</v>
      </c>
      <c r="F372" s="20">
        <v>92040042</v>
      </c>
      <c r="G372" s="24">
        <v>675000</v>
      </c>
      <c r="H372">
        <v>2400</v>
      </c>
      <c r="I372">
        <v>2</v>
      </c>
      <c r="J372">
        <v>10000</v>
      </c>
      <c r="L372" t="s">
        <v>617</v>
      </c>
    </row>
    <row r="373" spans="1:12">
      <c r="A373">
        <v>40327</v>
      </c>
      <c r="B373">
        <v>40301</v>
      </c>
      <c r="C373">
        <v>26</v>
      </c>
      <c r="D373">
        <v>1</v>
      </c>
      <c r="E373" s="16" t="s">
        <v>550</v>
      </c>
      <c r="F373" s="20">
        <v>92040042</v>
      </c>
      <c r="G373" s="24">
        <v>702000</v>
      </c>
      <c r="H373">
        <v>2400</v>
      </c>
      <c r="I373">
        <v>2</v>
      </c>
      <c r="J373">
        <v>10000</v>
      </c>
      <c r="L373" t="s">
        <v>617</v>
      </c>
    </row>
    <row r="374" spans="1:12">
      <c r="A374">
        <v>40328</v>
      </c>
      <c r="B374">
        <v>40301</v>
      </c>
      <c r="C374">
        <v>27</v>
      </c>
      <c r="D374">
        <v>1</v>
      </c>
      <c r="E374" s="16" t="s">
        <v>551</v>
      </c>
      <c r="F374" s="20">
        <v>92040042</v>
      </c>
      <c r="G374" s="24">
        <v>729000</v>
      </c>
      <c r="H374">
        <v>2400</v>
      </c>
      <c r="I374">
        <v>2</v>
      </c>
      <c r="J374">
        <v>10000</v>
      </c>
      <c r="L374" t="s">
        <v>617</v>
      </c>
    </row>
    <row r="375" spans="1:12">
      <c r="A375">
        <v>40329</v>
      </c>
      <c r="B375">
        <v>40301</v>
      </c>
      <c r="C375">
        <v>28</v>
      </c>
      <c r="D375">
        <v>1</v>
      </c>
      <c r="E375" s="16" t="s">
        <v>552</v>
      </c>
      <c r="F375" s="20">
        <v>92040042</v>
      </c>
      <c r="G375" s="24">
        <v>756000</v>
      </c>
      <c r="H375">
        <v>2400</v>
      </c>
      <c r="I375">
        <v>2</v>
      </c>
      <c r="J375">
        <v>10000</v>
      </c>
      <c r="L375" t="s">
        <v>617</v>
      </c>
    </row>
    <row r="376" spans="1:12">
      <c r="A376">
        <v>40330</v>
      </c>
      <c r="B376">
        <v>40301</v>
      </c>
      <c r="C376">
        <v>29</v>
      </c>
      <c r="D376">
        <v>1</v>
      </c>
      <c r="E376" s="16" t="s">
        <v>553</v>
      </c>
      <c r="F376" s="20">
        <v>92040042</v>
      </c>
      <c r="G376" s="24">
        <v>783000</v>
      </c>
      <c r="H376">
        <v>2400</v>
      </c>
      <c r="I376">
        <v>2</v>
      </c>
      <c r="J376">
        <v>10000</v>
      </c>
      <c r="L376" t="s">
        <v>617</v>
      </c>
    </row>
    <row r="377" spans="1:12">
      <c r="A377">
        <v>40331</v>
      </c>
      <c r="B377">
        <v>40301</v>
      </c>
      <c r="C377">
        <v>30</v>
      </c>
      <c r="D377">
        <v>1</v>
      </c>
      <c r="E377" s="16" t="s">
        <v>98</v>
      </c>
      <c r="F377" s="20">
        <v>92040043</v>
      </c>
      <c r="G377" s="24">
        <v>810000</v>
      </c>
      <c r="H377">
        <v>3600</v>
      </c>
      <c r="I377">
        <v>2</v>
      </c>
      <c r="J377">
        <v>10000</v>
      </c>
      <c r="K377" t="s">
        <v>618</v>
      </c>
      <c r="L377" t="s">
        <v>619</v>
      </c>
    </row>
  </sheetData>
  <conditionalFormatting sqref="F2:F11">
    <cfRule type="duplicateValues" dxfId="41" priority="18"/>
  </conditionalFormatting>
  <conditionalFormatting sqref="F12">
    <cfRule type="duplicateValues" dxfId="40" priority="17"/>
  </conditionalFormatting>
  <conditionalFormatting sqref="F13:F22">
    <cfRule type="duplicateValues" dxfId="39" priority="16"/>
  </conditionalFormatting>
  <conditionalFormatting sqref="F23">
    <cfRule type="duplicateValues" dxfId="38" priority="15"/>
  </conditionalFormatting>
  <conditionalFormatting sqref="F24:F32">
    <cfRule type="duplicateValues" dxfId="37" priority="14"/>
  </conditionalFormatting>
  <conditionalFormatting sqref="F33">
    <cfRule type="duplicateValues" dxfId="36" priority="13"/>
  </conditionalFormatting>
  <conditionalFormatting sqref="F34:F43">
    <cfRule type="duplicateValues" dxfId="35" priority="20"/>
  </conditionalFormatting>
  <conditionalFormatting sqref="F44">
    <cfRule type="duplicateValues" dxfId="34" priority="12"/>
  </conditionalFormatting>
  <conditionalFormatting sqref="F45:F53">
    <cfRule type="duplicateValues" dxfId="33" priority="11"/>
  </conditionalFormatting>
  <conditionalFormatting sqref="F54">
    <cfRule type="duplicateValues" dxfId="32" priority="10"/>
  </conditionalFormatting>
  <conditionalFormatting sqref="F55:F63">
    <cfRule type="duplicateValues" dxfId="31" priority="9"/>
  </conditionalFormatting>
  <conditionalFormatting sqref="F64">
    <cfRule type="duplicateValues" dxfId="30" priority="8"/>
  </conditionalFormatting>
  <conditionalFormatting sqref="F65">
    <cfRule type="duplicateValues" dxfId="29" priority="7"/>
  </conditionalFormatting>
  <conditionalFormatting sqref="F66:F74">
    <cfRule type="duplicateValues" dxfId="28" priority="6"/>
  </conditionalFormatting>
  <conditionalFormatting sqref="F75">
    <cfRule type="duplicateValues" dxfId="27" priority="3"/>
  </conditionalFormatting>
  <conditionalFormatting sqref="F76:F84">
    <cfRule type="duplicateValues" dxfId="26" priority="2"/>
  </conditionalFormatting>
  <conditionalFormatting sqref="F85">
    <cfRule type="duplicateValues" dxfId="25" priority="1"/>
  </conditionalFormatting>
  <conditionalFormatting sqref="F86:F94">
    <cfRule type="duplicateValues" dxfId="24" priority="5"/>
  </conditionalFormatting>
  <conditionalFormatting sqref="F95">
    <cfRule type="duplicateValues" dxfId="23" priority="4"/>
  </conditionalFormatting>
  <conditionalFormatting sqref="F96:F377">
    <cfRule type="duplicateValues" dxfId="22" priority="19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E23" sqref="E23"/>
    </sheetView>
  </sheetViews>
  <sheetFormatPr defaultColWidth="9" defaultRowHeight="15"/>
  <cols>
    <col min="3" max="3" width="17.140625" customWidth="1"/>
  </cols>
  <sheetData>
    <row r="1" spans="1:3">
      <c r="A1" t="s">
        <v>620</v>
      </c>
      <c r="B1" t="s">
        <v>621</v>
      </c>
      <c r="C1" t="s">
        <v>508</v>
      </c>
    </row>
    <row r="2" spans="1:3">
      <c r="A2">
        <v>1</v>
      </c>
      <c r="B2">
        <v>0</v>
      </c>
      <c r="C2">
        <v>0</v>
      </c>
    </row>
    <row r="3" spans="1:3">
      <c r="A3">
        <v>2</v>
      </c>
      <c r="B3">
        <v>100</v>
      </c>
      <c r="C3">
        <v>0</v>
      </c>
    </row>
    <row r="4" spans="1:3">
      <c r="A4">
        <v>3</v>
      </c>
      <c r="B4">
        <v>300</v>
      </c>
      <c r="C4">
        <v>0</v>
      </c>
    </row>
    <row r="5" spans="1:3">
      <c r="A5">
        <v>4</v>
      </c>
      <c r="B5">
        <v>600</v>
      </c>
      <c r="C5">
        <v>0</v>
      </c>
    </row>
    <row r="6" spans="1:3">
      <c r="A6">
        <v>5</v>
      </c>
      <c r="B6">
        <v>1000</v>
      </c>
      <c r="C6">
        <v>0</v>
      </c>
    </row>
    <row r="7" spans="1:3">
      <c r="A7">
        <v>6</v>
      </c>
      <c r="B7">
        <v>1500</v>
      </c>
      <c r="C7">
        <v>0</v>
      </c>
    </row>
    <row r="8" spans="1:3">
      <c r="A8">
        <v>7</v>
      </c>
      <c r="B8">
        <v>2500</v>
      </c>
      <c r="C8">
        <v>0</v>
      </c>
    </row>
    <row r="9" spans="1:3">
      <c r="A9">
        <v>8</v>
      </c>
      <c r="B9">
        <v>4500</v>
      </c>
      <c r="C9">
        <v>0</v>
      </c>
    </row>
    <row r="10" spans="1:3">
      <c r="A10">
        <v>9</v>
      </c>
      <c r="B10">
        <v>7500</v>
      </c>
      <c r="C10">
        <v>0</v>
      </c>
    </row>
    <row r="11" spans="1:3">
      <c r="A11">
        <v>10</v>
      </c>
      <c r="B11">
        <v>12500</v>
      </c>
      <c r="C11">
        <v>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sqref="A1:G8"/>
    </sheetView>
  </sheetViews>
  <sheetFormatPr defaultColWidth="9" defaultRowHeight="15"/>
  <cols>
    <col min="5" max="5" width="12.85546875" customWidth="1"/>
    <col min="6" max="6" width="65" customWidth="1"/>
    <col min="7" max="7" width="21.28515625" customWidth="1"/>
  </cols>
  <sheetData>
    <row r="1" spans="1:7">
      <c r="A1" t="s">
        <v>622</v>
      </c>
      <c r="B1" t="s">
        <v>623</v>
      </c>
      <c r="C1" t="s">
        <v>6</v>
      </c>
      <c r="D1" t="s">
        <v>621</v>
      </c>
      <c r="E1" t="s">
        <v>624</v>
      </c>
      <c r="F1" t="s">
        <v>625</v>
      </c>
      <c r="G1" t="s">
        <v>626</v>
      </c>
    </row>
    <row r="2" spans="1:7" ht="30">
      <c r="A2">
        <v>1</v>
      </c>
      <c r="B2" s="14" t="s">
        <v>627</v>
      </c>
      <c r="C2">
        <v>1001</v>
      </c>
      <c r="D2">
        <v>0</v>
      </c>
      <c r="E2">
        <v>2</v>
      </c>
      <c r="F2" s="15" t="s">
        <v>628</v>
      </c>
      <c r="G2" s="14" t="s">
        <v>629</v>
      </c>
    </row>
    <row r="3" spans="1:7" ht="45">
      <c r="A3">
        <v>2</v>
      </c>
      <c r="B3" s="14" t="s">
        <v>630</v>
      </c>
      <c r="C3">
        <v>1001</v>
      </c>
      <c r="D3">
        <v>100</v>
      </c>
      <c r="E3">
        <v>3</v>
      </c>
      <c r="F3" s="15" t="s">
        <v>631</v>
      </c>
      <c r="G3" s="14" t="s">
        <v>632</v>
      </c>
    </row>
    <row r="4" spans="1:7" ht="45">
      <c r="A4">
        <v>3</v>
      </c>
      <c r="B4" s="14" t="s">
        <v>633</v>
      </c>
      <c r="C4">
        <v>1002</v>
      </c>
      <c r="D4">
        <v>300</v>
      </c>
      <c r="E4">
        <v>3</v>
      </c>
      <c r="F4" s="15" t="s">
        <v>631</v>
      </c>
      <c r="G4" s="14" t="s">
        <v>634</v>
      </c>
    </row>
    <row r="5" spans="1:7" ht="45">
      <c r="A5">
        <v>4</v>
      </c>
      <c r="B5" s="14" t="s">
        <v>635</v>
      </c>
      <c r="C5">
        <v>1002</v>
      </c>
      <c r="D5">
        <v>500</v>
      </c>
      <c r="E5">
        <v>4</v>
      </c>
      <c r="F5" s="15" t="s">
        <v>636</v>
      </c>
      <c r="G5" s="14" t="s">
        <v>637</v>
      </c>
    </row>
    <row r="6" spans="1:7" ht="30">
      <c r="A6">
        <v>5</v>
      </c>
      <c r="B6" s="14" t="s">
        <v>638</v>
      </c>
      <c r="C6">
        <v>1003</v>
      </c>
      <c r="D6">
        <v>700</v>
      </c>
      <c r="E6">
        <v>4</v>
      </c>
      <c r="F6" s="15" t="s">
        <v>636</v>
      </c>
      <c r="G6" s="14" t="s">
        <v>639</v>
      </c>
    </row>
    <row r="7" spans="1:7" ht="30">
      <c r="A7">
        <v>6</v>
      </c>
      <c r="B7" s="14" t="s">
        <v>640</v>
      </c>
      <c r="C7">
        <v>1003</v>
      </c>
      <c r="D7">
        <v>1000</v>
      </c>
      <c r="E7">
        <v>5</v>
      </c>
      <c r="F7" s="15" t="s">
        <v>641</v>
      </c>
      <c r="G7" s="14" t="s">
        <v>642</v>
      </c>
    </row>
    <row r="8" spans="1:7">
      <c r="A8">
        <v>7</v>
      </c>
      <c r="B8" s="14" t="s">
        <v>643</v>
      </c>
      <c r="C8">
        <v>1004</v>
      </c>
      <c r="D8">
        <v>1800</v>
      </c>
      <c r="E8">
        <v>5</v>
      </c>
      <c r="F8" s="15" t="s">
        <v>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>
      <selection activeCell="B2" sqref="B2:B14"/>
    </sheetView>
  </sheetViews>
  <sheetFormatPr defaultColWidth="9" defaultRowHeight="16.5"/>
  <cols>
    <col min="1" max="1" width="21.140625" style="10" customWidth="1"/>
    <col min="2" max="2" width="17.28515625" style="10" customWidth="1"/>
    <col min="3" max="3" width="12.5703125" customWidth="1"/>
    <col min="4" max="4" width="29.140625" style="7" customWidth="1"/>
    <col min="5" max="5" width="13.7109375" customWidth="1"/>
  </cols>
  <sheetData>
    <row r="1" spans="1:5">
      <c r="A1" s="10" t="s">
        <v>644</v>
      </c>
      <c r="B1" s="10" t="s">
        <v>645</v>
      </c>
      <c r="C1" t="s">
        <v>646</v>
      </c>
      <c r="D1" s="11" t="s">
        <v>647</v>
      </c>
      <c r="E1" t="s">
        <v>11</v>
      </c>
    </row>
    <row r="2" spans="1:5">
      <c r="A2" s="5">
        <v>590001</v>
      </c>
      <c r="B2" s="12" t="s">
        <v>648</v>
      </c>
      <c r="C2" t="s">
        <v>649</v>
      </c>
      <c r="D2" s="13" t="s">
        <v>650</v>
      </c>
    </row>
    <row r="3" spans="1:5" ht="40.5">
      <c r="A3" s="5">
        <v>200109</v>
      </c>
      <c r="B3" s="12" t="s">
        <v>651</v>
      </c>
      <c r="C3" t="s">
        <v>652</v>
      </c>
      <c r="D3" s="7" t="s">
        <v>653</v>
      </c>
    </row>
    <row r="4" spans="1:5" ht="40.5">
      <c r="A4" s="5">
        <v>200113</v>
      </c>
      <c r="B4" s="12" t="s">
        <v>654</v>
      </c>
      <c r="C4" t="s">
        <v>655</v>
      </c>
      <c r="D4" s="7" t="s">
        <v>656</v>
      </c>
    </row>
    <row r="5" spans="1:5" ht="40.5">
      <c r="A5" s="5">
        <v>200117</v>
      </c>
      <c r="B5" s="12" t="s">
        <v>657</v>
      </c>
      <c r="C5" t="s">
        <v>658</v>
      </c>
      <c r="D5" s="7" t="s">
        <v>659</v>
      </c>
      <c r="E5" t="s">
        <v>660</v>
      </c>
    </row>
    <row r="6" spans="1:5" ht="40.5">
      <c r="A6" s="5">
        <v>200110</v>
      </c>
      <c r="B6" s="12" t="s">
        <v>661</v>
      </c>
      <c r="C6" t="s">
        <v>662</v>
      </c>
      <c r="D6" s="7" t="s">
        <v>653</v>
      </c>
    </row>
    <row r="7" spans="1:5" ht="40.5">
      <c r="A7" s="5">
        <v>200114</v>
      </c>
      <c r="B7" s="12" t="s">
        <v>663</v>
      </c>
      <c r="C7" t="s">
        <v>664</v>
      </c>
      <c r="D7" s="7" t="s">
        <v>656</v>
      </c>
    </row>
    <row r="8" spans="1:5" ht="40.5">
      <c r="A8" s="5">
        <v>200118</v>
      </c>
      <c r="B8" s="12" t="s">
        <v>665</v>
      </c>
      <c r="C8" t="s">
        <v>666</v>
      </c>
      <c r="D8" s="7" t="s">
        <v>659</v>
      </c>
      <c r="E8" t="s">
        <v>660</v>
      </c>
    </row>
    <row r="9" spans="1:5" ht="27">
      <c r="A9" s="5">
        <v>200111</v>
      </c>
      <c r="B9" s="12" t="s">
        <v>667</v>
      </c>
      <c r="C9" t="s">
        <v>668</v>
      </c>
      <c r="D9" s="7" t="s">
        <v>653</v>
      </c>
    </row>
    <row r="10" spans="1:5" ht="27">
      <c r="A10" s="5">
        <v>200115</v>
      </c>
      <c r="B10" s="12" t="s">
        <v>669</v>
      </c>
      <c r="C10" t="s">
        <v>670</v>
      </c>
      <c r="D10" s="7" t="s">
        <v>656</v>
      </c>
    </row>
    <row r="11" spans="1:5" ht="40.5">
      <c r="A11" s="5">
        <v>200119</v>
      </c>
      <c r="B11" s="12" t="s">
        <v>671</v>
      </c>
      <c r="C11" t="s">
        <v>672</v>
      </c>
      <c r="D11" s="7" t="s">
        <v>659</v>
      </c>
      <c r="E11" t="s">
        <v>660</v>
      </c>
    </row>
    <row r="12" spans="1:5" ht="40.5">
      <c r="A12" s="5">
        <v>200112</v>
      </c>
      <c r="B12" s="12" t="s">
        <v>673</v>
      </c>
      <c r="C12" t="s">
        <v>674</v>
      </c>
      <c r="D12" s="7" t="s">
        <v>653</v>
      </c>
    </row>
    <row r="13" spans="1:5" ht="40.5">
      <c r="A13" s="5">
        <v>200116</v>
      </c>
      <c r="B13" s="12" t="s">
        <v>675</v>
      </c>
      <c r="C13" t="s">
        <v>676</v>
      </c>
      <c r="D13" s="7" t="s">
        <v>656</v>
      </c>
    </row>
    <row r="14" spans="1:5" ht="40.5">
      <c r="A14" s="5">
        <v>200120</v>
      </c>
      <c r="B14" s="12" t="s">
        <v>677</v>
      </c>
      <c r="C14" t="s">
        <v>678</v>
      </c>
      <c r="D14" s="7" t="s">
        <v>659</v>
      </c>
      <c r="E14" t="s">
        <v>660</v>
      </c>
    </row>
  </sheetData>
  <conditionalFormatting sqref="A2:A14">
    <cfRule type="duplicateValues" dxfId="21" priority="5"/>
    <cfRule type="duplicateValues" dxfId="20" priority="6"/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  <cfRule type="duplicateValues" priority="13"/>
  </conditionalFormatting>
  <conditionalFormatting sqref="B2:B14">
    <cfRule type="duplicateValues" dxfId="13" priority="1"/>
    <cfRule type="duplicateValues" dxfId="12" priority="2"/>
    <cfRule type="duplicateValues" dxfId="11" priority="3"/>
    <cfRule type="duplicateValues" priority="4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U377"/>
  <sheetViews>
    <sheetView workbookViewId="0">
      <selection activeCell="C37" sqref="C37"/>
    </sheetView>
  </sheetViews>
  <sheetFormatPr defaultColWidth="9" defaultRowHeight="15"/>
  <cols>
    <col min="21" max="21" width="12.85546875" customWidth="1"/>
  </cols>
  <sheetData>
    <row r="1" spans="3:21">
      <c r="U1" t="s">
        <v>507</v>
      </c>
    </row>
    <row r="2" spans="3:21">
      <c r="U2" s="8">
        <v>0</v>
      </c>
    </row>
    <row r="3" spans="3:21">
      <c r="C3" t="s">
        <v>679</v>
      </c>
      <c r="D3" t="s">
        <v>680</v>
      </c>
      <c r="E3" t="s">
        <v>681</v>
      </c>
      <c r="U3" s="9">
        <v>5000</v>
      </c>
    </row>
    <row r="4" spans="3:21">
      <c r="D4" t="s">
        <v>682</v>
      </c>
      <c r="E4">
        <v>15000</v>
      </c>
      <c r="U4" s="9">
        <v>10000</v>
      </c>
    </row>
    <row r="5" spans="3:21">
      <c r="U5" s="9">
        <v>15000</v>
      </c>
    </row>
    <row r="6" spans="3:21">
      <c r="D6" t="s">
        <v>683</v>
      </c>
      <c r="E6" t="s">
        <v>684</v>
      </c>
      <c r="F6" t="s">
        <v>685</v>
      </c>
      <c r="U6" s="9">
        <v>20000</v>
      </c>
    </row>
    <row r="7" spans="3:21">
      <c r="E7" t="s">
        <v>686</v>
      </c>
      <c r="F7" t="s">
        <v>687</v>
      </c>
      <c r="U7" s="9">
        <v>25000</v>
      </c>
    </row>
    <row r="8" spans="3:21">
      <c r="U8" s="9">
        <v>30000</v>
      </c>
    </row>
    <row r="9" spans="3:21">
      <c r="U9" s="9">
        <v>35000</v>
      </c>
    </row>
    <row r="10" spans="3:21">
      <c r="U10" s="9">
        <v>40000</v>
      </c>
    </row>
    <row r="11" spans="3:21">
      <c r="D11" t="s">
        <v>688</v>
      </c>
      <c r="E11">
        <v>100</v>
      </c>
      <c r="F11">
        <v>120</v>
      </c>
      <c r="G11">
        <v>140</v>
      </c>
      <c r="H11">
        <v>160</v>
      </c>
      <c r="I11" s="3">
        <v>180</v>
      </c>
      <c r="K11">
        <v>4</v>
      </c>
      <c r="U11" s="9">
        <v>45000</v>
      </c>
    </row>
    <row r="12" spans="3:21">
      <c r="D12">
        <v>2</v>
      </c>
      <c r="E12">
        <v>150</v>
      </c>
      <c r="F12" s="3">
        <v>180</v>
      </c>
      <c r="G12">
        <v>210</v>
      </c>
      <c r="H12">
        <v>240</v>
      </c>
      <c r="I12">
        <v>270</v>
      </c>
      <c r="K12" t="s">
        <v>689</v>
      </c>
      <c r="M12" t="s">
        <v>690</v>
      </c>
      <c r="N12" s="8" t="s">
        <v>691</v>
      </c>
      <c r="U12" s="9">
        <v>50000</v>
      </c>
    </row>
    <row r="13" spans="3:21">
      <c r="E13">
        <f>I12/1.2</f>
        <v>225</v>
      </c>
      <c r="F13">
        <f>$E13*1.2</f>
        <v>270</v>
      </c>
      <c r="G13">
        <f>$E13*1.4</f>
        <v>315</v>
      </c>
      <c r="H13">
        <f>$E13*1.6</f>
        <v>360</v>
      </c>
      <c r="I13">
        <f>$E13*1.8</f>
        <v>405</v>
      </c>
      <c r="U13" s="8">
        <v>0</v>
      </c>
    </row>
    <row r="14" spans="3:21">
      <c r="U14" s="9">
        <v>6500</v>
      </c>
    </row>
    <row r="15" spans="3:21">
      <c r="U15" s="9">
        <v>13000</v>
      </c>
    </row>
    <row r="16" spans="3:21">
      <c r="U16" s="9">
        <v>19500</v>
      </c>
    </row>
    <row r="17" spans="3:21">
      <c r="C17" t="s">
        <v>692</v>
      </c>
      <c r="D17" t="s">
        <v>693</v>
      </c>
      <c r="E17" s="4">
        <v>0.2</v>
      </c>
      <c r="U17" s="9">
        <v>26000</v>
      </c>
    </row>
    <row r="18" spans="3:21">
      <c r="N18" t="s">
        <v>694</v>
      </c>
      <c r="O18">
        <v>1</v>
      </c>
      <c r="U18" s="9">
        <v>32500</v>
      </c>
    </row>
    <row r="19" spans="3:21">
      <c r="N19" t="s">
        <v>686</v>
      </c>
      <c r="O19">
        <v>1.8</v>
      </c>
      <c r="U19" s="9">
        <v>39000</v>
      </c>
    </row>
    <row r="20" spans="3:21">
      <c r="N20" t="s">
        <v>695</v>
      </c>
      <c r="O20">
        <v>1.3</v>
      </c>
      <c r="U20" s="9">
        <v>45500</v>
      </c>
    </row>
    <row r="21" spans="3:21">
      <c r="C21" t="s">
        <v>696</v>
      </c>
      <c r="E21" t="s">
        <v>697</v>
      </c>
      <c r="N21" t="s">
        <v>698</v>
      </c>
      <c r="O21">
        <v>1.5</v>
      </c>
      <c r="U21" s="9">
        <v>52000</v>
      </c>
    </row>
    <row r="22" spans="3:21">
      <c r="D22" t="s">
        <v>699</v>
      </c>
      <c r="E22" t="s">
        <v>700</v>
      </c>
      <c r="U22" s="9">
        <v>58500</v>
      </c>
    </row>
    <row r="23" spans="3:21">
      <c r="U23" s="9">
        <v>65000</v>
      </c>
    </row>
    <row r="24" spans="3:21">
      <c r="U24" s="9">
        <v>71500</v>
      </c>
    </row>
    <row r="25" spans="3:21">
      <c r="U25" s="9">
        <v>78000</v>
      </c>
    </row>
    <row r="26" spans="3:21">
      <c r="U26" s="9">
        <v>84500</v>
      </c>
    </row>
    <row r="27" spans="3:21" ht="16.5">
      <c r="C27" s="5">
        <v>200106</v>
      </c>
      <c r="D27" s="6" t="s">
        <v>701</v>
      </c>
      <c r="F27" s="7"/>
      <c r="U27" s="9">
        <v>91000</v>
      </c>
    </row>
    <row r="28" spans="3:21" ht="16.5">
      <c r="C28" s="5">
        <v>200110</v>
      </c>
      <c r="D28" s="6" t="s">
        <v>702</v>
      </c>
      <c r="E28" t="str">
        <f t="shared" ref="E28:E30" si="0">3&amp;":"&amp;C27&amp;":"&amp;3</f>
        <v>3:200106:3</v>
      </c>
      <c r="F28" s="7" t="s">
        <v>653</v>
      </c>
      <c r="U28" s="9">
        <v>97500</v>
      </c>
    </row>
    <row r="29" spans="3:21" ht="16.5">
      <c r="C29" s="5">
        <v>200114</v>
      </c>
      <c r="D29" s="6" t="s">
        <v>703</v>
      </c>
      <c r="E29" t="str">
        <f t="shared" si="0"/>
        <v>3:200110:3</v>
      </c>
      <c r="F29" s="7" t="s">
        <v>656</v>
      </c>
      <c r="U29" s="9">
        <v>104000</v>
      </c>
    </row>
    <row r="30" spans="3:21" ht="16.5">
      <c r="C30" s="5">
        <v>200118</v>
      </c>
      <c r="D30" s="6" t="s">
        <v>704</v>
      </c>
      <c r="E30" t="str">
        <f t="shared" si="0"/>
        <v>3:200114:3</v>
      </c>
      <c r="F30" s="7" t="s">
        <v>659</v>
      </c>
      <c r="G30" t="s">
        <v>660</v>
      </c>
      <c r="U30" s="9">
        <v>110500</v>
      </c>
    </row>
    <row r="31" spans="3:21">
      <c r="U31" s="9">
        <v>117000</v>
      </c>
    </row>
    <row r="32" spans="3:21">
      <c r="U32" s="9">
        <v>123500</v>
      </c>
    </row>
    <row r="33" spans="21:21">
      <c r="U33" s="9">
        <v>130000</v>
      </c>
    </row>
    <row r="34" spans="21:21">
      <c r="U34" s="8">
        <v>0</v>
      </c>
    </row>
    <row r="35" spans="21:21">
      <c r="U35" s="9">
        <v>8000</v>
      </c>
    </row>
    <row r="36" spans="21:21">
      <c r="U36" s="9">
        <v>16000</v>
      </c>
    </row>
    <row r="37" spans="21:21">
      <c r="U37" s="9">
        <v>24000</v>
      </c>
    </row>
    <row r="38" spans="21:21">
      <c r="U38" s="9">
        <v>32000</v>
      </c>
    </row>
    <row r="39" spans="21:21">
      <c r="U39" s="9">
        <v>40000</v>
      </c>
    </row>
    <row r="40" spans="21:21">
      <c r="U40" s="9">
        <v>48000</v>
      </c>
    </row>
    <row r="41" spans="21:21">
      <c r="U41" s="9">
        <v>56000</v>
      </c>
    </row>
    <row r="42" spans="21:21">
      <c r="U42" s="9">
        <v>64000</v>
      </c>
    </row>
    <row r="43" spans="21:21">
      <c r="U43" s="9">
        <v>72000</v>
      </c>
    </row>
    <row r="44" spans="21:21">
      <c r="U44" s="9">
        <v>80000</v>
      </c>
    </row>
    <row r="45" spans="21:21">
      <c r="U45" s="9">
        <v>88000</v>
      </c>
    </row>
    <row r="46" spans="21:21">
      <c r="U46" s="9">
        <v>96000</v>
      </c>
    </row>
    <row r="47" spans="21:21">
      <c r="U47" s="9">
        <v>104000</v>
      </c>
    </row>
    <row r="48" spans="21:21">
      <c r="U48" s="9">
        <v>112000</v>
      </c>
    </row>
    <row r="49" spans="21:21">
      <c r="U49" s="9">
        <v>120000</v>
      </c>
    </row>
    <row r="50" spans="21:21">
      <c r="U50" s="9">
        <v>128000</v>
      </c>
    </row>
    <row r="51" spans="21:21">
      <c r="U51" s="9">
        <v>136000</v>
      </c>
    </row>
    <row r="52" spans="21:21">
      <c r="U52" s="9">
        <v>144000</v>
      </c>
    </row>
    <row r="53" spans="21:21">
      <c r="U53" s="9">
        <v>152000</v>
      </c>
    </row>
    <row r="54" spans="21:21">
      <c r="U54" s="9">
        <v>160000</v>
      </c>
    </row>
    <row r="55" spans="21:21">
      <c r="U55" s="9">
        <v>168000</v>
      </c>
    </row>
    <row r="56" spans="21:21">
      <c r="U56" s="9">
        <v>176000</v>
      </c>
    </row>
    <row r="57" spans="21:21">
      <c r="U57" s="9">
        <v>184000</v>
      </c>
    </row>
    <row r="58" spans="21:21">
      <c r="U58" s="9">
        <v>192000</v>
      </c>
    </row>
    <row r="59" spans="21:21">
      <c r="U59" s="9">
        <v>200000</v>
      </c>
    </row>
    <row r="60" spans="21:21">
      <c r="U60" s="9">
        <v>208000</v>
      </c>
    </row>
    <row r="61" spans="21:21">
      <c r="U61" s="9">
        <v>216000</v>
      </c>
    </row>
    <row r="62" spans="21:21">
      <c r="U62" s="9">
        <v>224000</v>
      </c>
    </row>
    <row r="63" spans="21:21">
      <c r="U63" s="9">
        <v>232000</v>
      </c>
    </row>
    <row r="64" spans="21:21">
      <c r="U64" s="9">
        <v>240000</v>
      </c>
    </row>
    <row r="65" spans="21:21">
      <c r="U65">
        <f>U2*1.8</f>
        <v>0</v>
      </c>
    </row>
    <row r="66" spans="21:21">
      <c r="U66" s="9">
        <v>12000</v>
      </c>
    </row>
    <row r="67" spans="21:21">
      <c r="U67" s="9">
        <v>24000</v>
      </c>
    </row>
    <row r="68" spans="21:21">
      <c r="U68" s="9">
        <v>36000</v>
      </c>
    </row>
    <row r="69" spans="21:21">
      <c r="U69" s="9">
        <v>48000</v>
      </c>
    </row>
    <row r="70" spans="21:21">
      <c r="U70" s="9">
        <v>60000</v>
      </c>
    </row>
    <row r="71" spans="21:21">
      <c r="U71" s="9">
        <v>72000</v>
      </c>
    </row>
    <row r="72" spans="21:21">
      <c r="U72" s="9">
        <v>84000</v>
      </c>
    </row>
    <row r="73" spans="21:21">
      <c r="U73" s="9">
        <v>96000</v>
      </c>
    </row>
    <row r="74" spans="21:21">
      <c r="U74" s="9">
        <v>108000</v>
      </c>
    </row>
    <row r="75" spans="21:21">
      <c r="U75" s="9">
        <v>120000</v>
      </c>
    </row>
    <row r="76" spans="21:21">
      <c r="U76" s="9">
        <v>132000</v>
      </c>
    </row>
    <row r="77" spans="21:21">
      <c r="U77" s="9">
        <v>144000</v>
      </c>
    </row>
    <row r="78" spans="21:21">
      <c r="U78" s="9">
        <v>156000</v>
      </c>
    </row>
    <row r="79" spans="21:21">
      <c r="U79" s="9">
        <v>168000</v>
      </c>
    </row>
    <row r="80" spans="21:21">
      <c r="U80" s="9">
        <v>180000</v>
      </c>
    </row>
    <row r="81" spans="21:21">
      <c r="U81" s="9">
        <v>192000</v>
      </c>
    </row>
    <row r="82" spans="21:21">
      <c r="U82" s="9">
        <v>204000</v>
      </c>
    </row>
    <row r="83" spans="21:21">
      <c r="U83" s="9">
        <v>216000</v>
      </c>
    </row>
    <row r="84" spans="21:21">
      <c r="U84" s="9">
        <v>228000</v>
      </c>
    </row>
    <row r="85" spans="21:21">
      <c r="U85" s="9">
        <v>240000</v>
      </c>
    </row>
    <row r="86" spans="21:21">
      <c r="U86" s="9">
        <v>252000</v>
      </c>
    </row>
    <row r="87" spans="21:21">
      <c r="U87" s="9">
        <v>264000</v>
      </c>
    </row>
    <row r="88" spans="21:21">
      <c r="U88" s="9">
        <v>276000</v>
      </c>
    </row>
    <row r="89" spans="21:21">
      <c r="U89" s="9">
        <v>288000</v>
      </c>
    </row>
    <row r="90" spans="21:21">
      <c r="U90" s="9">
        <v>300000</v>
      </c>
    </row>
    <row r="91" spans="21:21">
      <c r="U91" s="9">
        <v>312000</v>
      </c>
    </row>
    <row r="92" spans="21:21">
      <c r="U92" s="9">
        <v>324000</v>
      </c>
    </row>
    <row r="93" spans="21:21">
      <c r="U93" s="9">
        <v>336000</v>
      </c>
    </row>
    <row r="94" spans="21:21">
      <c r="U94" s="9">
        <v>348000</v>
      </c>
    </row>
    <row r="95" spans="21:21">
      <c r="U95" s="9">
        <v>360000</v>
      </c>
    </row>
    <row r="96" spans="21:21">
      <c r="U96" s="8">
        <f>U2*1.8</f>
        <v>0</v>
      </c>
    </row>
    <row r="97" spans="21:21">
      <c r="U97" s="8">
        <f t="shared" ref="U97:U160" si="1">U3*1.8</f>
        <v>9000</v>
      </c>
    </row>
    <row r="98" spans="21:21">
      <c r="U98" s="8">
        <f t="shared" si="1"/>
        <v>18000</v>
      </c>
    </row>
    <row r="99" spans="21:21">
      <c r="U99" s="8">
        <f t="shared" si="1"/>
        <v>27000</v>
      </c>
    </row>
    <row r="100" spans="21:21">
      <c r="U100" s="8">
        <f t="shared" si="1"/>
        <v>36000</v>
      </c>
    </row>
    <row r="101" spans="21:21">
      <c r="U101" s="8">
        <f t="shared" si="1"/>
        <v>45000</v>
      </c>
    </row>
    <row r="102" spans="21:21">
      <c r="U102" s="8">
        <f t="shared" si="1"/>
        <v>54000</v>
      </c>
    </row>
    <row r="103" spans="21:21">
      <c r="U103" s="8">
        <f t="shared" si="1"/>
        <v>63000</v>
      </c>
    </row>
    <row r="104" spans="21:21">
      <c r="U104" s="8">
        <f t="shared" si="1"/>
        <v>72000</v>
      </c>
    </row>
    <row r="105" spans="21:21">
      <c r="U105" s="8">
        <f t="shared" si="1"/>
        <v>81000</v>
      </c>
    </row>
    <row r="106" spans="21:21">
      <c r="U106" s="8">
        <f t="shared" si="1"/>
        <v>90000</v>
      </c>
    </row>
    <row r="107" spans="21:21">
      <c r="U107" s="8">
        <f t="shared" si="1"/>
        <v>0</v>
      </c>
    </row>
    <row r="108" spans="21:21">
      <c r="U108" s="8">
        <f t="shared" si="1"/>
        <v>11700</v>
      </c>
    </row>
    <row r="109" spans="21:21">
      <c r="U109" s="8">
        <f t="shared" si="1"/>
        <v>23400</v>
      </c>
    </row>
    <row r="110" spans="21:21">
      <c r="U110" s="8">
        <f t="shared" si="1"/>
        <v>35100</v>
      </c>
    </row>
    <row r="111" spans="21:21">
      <c r="U111" s="8">
        <f t="shared" si="1"/>
        <v>46800</v>
      </c>
    </row>
    <row r="112" spans="21:21">
      <c r="U112" s="8">
        <f t="shared" si="1"/>
        <v>58500</v>
      </c>
    </row>
    <row r="113" spans="21:21">
      <c r="U113" s="8">
        <f t="shared" si="1"/>
        <v>70200</v>
      </c>
    </row>
    <row r="114" spans="21:21">
      <c r="U114" s="8">
        <f t="shared" si="1"/>
        <v>81900</v>
      </c>
    </row>
    <row r="115" spans="21:21">
      <c r="U115" s="8">
        <f t="shared" si="1"/>
        <v>93600</v>
      </c>
    </row>
    <row r="116" spans="21:21">
      <c r="U116" s="8">
        <f t="shared" si="1"/>
        <v>105300</v>
      </c>
    </row>
    <row r="117" spans="21:21">
      <c r="U117" s="8">
        <f t="shared" si="1"/>
        <v>117000</v>
      </c>
    </row>
    <row r="118" spans="21:21">
      <c r="U118" s="8">
        <f t="shared" si="1"/>
        <v>128700</v>
      </c>
    </row>
    <row r="119" spans="21:21">
      <c r="U119" s="8">
        <f t="shared" si="1"/>
        <v>140400</v>
      </c>
    </row>
    <row r="120" spans="21:21">
      <c r="U120" s="8">
        <f t="shared" si="1"/>
        <v>152100</v>
      </c>
    </row>
    <row r="121" spans="21:21">
      <c r="U121" s="8">
        <f t="shared" si="1"/>
        <v>163800</v>
      </c>
    </row>
    <row r="122" spans="21:21">
      <c r="U122" s="8">
        <f t="shared" si="1"/>
        <v>175500</v>
      </c>
    </row>
    <row r="123" spans="21:21">
      <c r="U123" s="8">
        <f t="shared" si="1"/>
        <v>187200</v>
      </c>
    </row>
    <row r="124" spans="21:21">
      <c r="U124" s="8">
        <f t="shared" si="1"/>
        <v>198900</v>
      </c>
    </row>
    <row r="125" spans="21:21">
      <c r="U125" s="8">
        <f t="shared" si="1"/>
        <v>210600</v>
      </c>
    </row>
    <row r="126" spans="21:21">
      <c r="U126" s="8">
        <f t="shared" si="1"/>
        <v>222300</v>
      </c>
    </row>
    <row r="127" spans="21:21">
      <c r="U127" s="8">
        <f t="shared" si="1"/>
        <v>234000</v>
      </c>
    </row>
    <row r="128" spans="21:21">
      <c r="U128" s="8">
        <f t="shared" si="1"/>
        <v>0</v>
      </c>
    </row>
    <row r="129" spans="21:21">
      <c r="U129" s="8">
        <f t="shared" si="1"/>
        <v>14400</v>
      </c>
    </row>
    <row r="130" spans="21:21">
      <c r="U130" s="8">
        <f t="shared" si="1"/>
        <v>28800</v>
      </c>
    </row>
    <row r="131" spans="21:21">
      <c r="U131" s="8">
        <f t="shared" si="1"/>
        <v>43200</v>
      </c>
    </row>
    <row r="132" spans="21:21">
      <c r="U132" s="8">
        <f t="shared" si="1"/>
        <v>57600</v>
      </c>
    </row>
    <row r="133" spans="21:21">
      <c r="U133" s="8">
        <f t="shared" si="1"/>
        <v>72000</v>
      </c>
    </row>
    <row r="134" spans="21:21">
      <c r="U134" s="8">
        <f t="shared" si="1"/>
        <v>86400</v>
      </c>
    </row>
    <row r="135" spans="21:21">
      <c r="U135" s="8">
        <f t="shared" si="1"/>
        <v>100800</v>
      </c>
    </row>
    <row r="136" spans="21:21">
      <c r="U136" s="8">
        <f t="shared" si="1"/>
        <v>115200</v>
      </c>
    </row>
    <row r="137" spans="21:21">
      <c r="U137" s="8">
        <f t="shared" si="1"/>
        <v>129600</v>
      </c>
    </row>
    <row r="138" spans="21:21">
      <c r="U138" s="8">
        <f t="shared" si="1"/>
        <v>144000</v>
      </c>
    </row>
    <row r="139" spans="21:21">
      <c r="U139" s="8">
        <f t="shared" si="1"/>
        <v>158400</v>
      </c>
    </row>
    <row r="140" spans="21:21">
      <c r="U140" s="8">
        <f t="shared" si="1"/>
        <v>172800</v>
      </c>
    </row>
    <row r="141" spans="21:21">
      <c r="U141" s="8">
        <f t="shared" si="1"/>
        <v>187200</v>
      </c>
    </row>
    <row r="142" spans="21:21">
      <c r="U142" s="8">
        <f t="shared" si="1"/>
        <v>201600</v>
      </c>
    </row>
    <row r="143" spans="21:21">
      <c r="U143" s="8">
        <f t="shared" si="1"/>
        <v>216000</v>
      </c>
    </row>
    <row r="144" spans="21:21">
      <c r="U144" s="8">
        <f t="shared" si="1"/>
        <v>230400</v>
      </c>
    </row>
    <row r="145" spans="21:21">
      <c r="U145" s="8">
        <f t="shared" si="1"/>
        <v>244800</v>
      </c>
    </row>
    <row r="146" spans="21:21">
      <c r="U146" s="8">
        <f t="shared" si="1"/>
        <v>259200</v>
      </c>
    </row>
    <row r="147" spans="21:21">
      <c r="U147" s="8">
        <f t="shared" si="1"/>
        <v>273600</v>
      </c>
    </row>
    <row r="148" spans="21:21">
      <c r="U148" s="8">
        <f t="shared" si="1"/>
        <v>288000</v>
      </c>
    </row>
    <row r="149" spans="21:21">
      <c r="U149" s="8">
        <f t="shared" si="1"/>
        <v>302400</v>
      </c>
    </row>
    <row r="150" spans="21:21">
      <c r="U150" s="8">
        <f t="shared" si="1"/>
        <v>316800</v>
      </c>
    </row>
    <row r="151" spans="21:21">
      <c r="U151" s="8">
        <f t="shared" si="1"/>
        <v>331200</v>
      </c>
    </row>
    <row r="152" spans="21:21">
      <c r="U152" s="8">
        <f t="shared" si="1"/>
        <v>345600</v>
      </c>
    </row>
    <row r="153" spans="21:21">
      <c r="U153" s="8">
        <f t="shared" si="1"/>
        <v>360000</v>
      </c>
    </row>
    <row r="154" spans="21:21">
      <c r="U154" s="8">
        <f t="shared" si="1"/>
        <v>374400</v>
      </c>
    </row>
    <row r="155" spans="21:21">
      <c r="U155" s="8">
        <f t="shared" si="1"/>
        <v>388800</v>
      </c>
    </row>
    <row r="156" spans="21:21">
      <c r="U156" s="8">
        <f t="shared" si="1"/>
        <v>403200</v>
      </c>
    </row>
    <row r="157" spans="21:21">
      <c r="U157" s="8">
        <f t="shared" si="1"/>
        <v>417600</v>
      </c>
    </row>
    <row r="158" spans="21:21">
      <c r="U158" s="8">
        <f t="shared" si="1"/>
        <v>432000</v>
      </c>
    </row>
    <row r="159" spans="21:21">
      <c r="U159" s="8">
        <f t="shared" si="1"/>
        <v>0</v>
      </c>
    </row>
    <row r="160" spans="21:21">
      <c r="U160" s="8">
        <f t="shared" si="1"/>
        <v>21600</v>
      </c>
    </row>
    <row r="161" spans="21:21">
      <c r="U161" s="8">
        <f t="shared" ref="U161:U189" si="2">U67*1.8</f>
        <v>43200</v>
      </c>
    </row>
    <row r="162" spans="21:21">
      <c r="U162" s="8">
        <f t="shared" si="2"/>
        <v>64800</v>
      </c>
    </row>
    <row r="163" spans="21:21">
      <c r="U163" s="8">
        <f t="shared" si="2"/>
        <v>86400</v>
      </c>
    </row>
    <row r="164" spans="21:21">
      <c r="U164" s="8">
        <f t="shared" si="2"/>
        <v>108000</v>
      </c>
    </row>
    <row r="165" spans="21:21">
      <c r="U165" s="8">
        <f t="shared" si="2"/>
        <v>129600</v>
      </c>
    </row>
    <row r="166" spans="21:21">
      <c r="U166" s="8">
        <f t="shared" si="2"/>
        <v>151200</v>
      </c>
    </row>
    <row r="167" spans="21:21">
      <c r="U167" s="8">
        <f t="shared" si="2"/>
        <v>172800</v>
      </c>
    </row>
    <row r="168" spans="21:21">
      <c r="U168" s="8">
        <f t="shared" si="2"/>
        <v>194400</v>
      </c>
    </row>
    <row r="169" spans="21:21">
      <c r="U169" s="8">
        <f t="shared" si="2"/>
        <v>216000</v>
      </c>
    </row>
    <row r="170" spans="21:21">
      <c r="U170" s="8">
        <f t="shared" si="2"/>
        <v>237600</v>
      </c>
    </row>
    <row r="171" spans="21:21">
      <c r="U171" s="8">
        <f t="shared" si="2"/>
        <v>259200</v>
      </c>
    </row>
    <row r="172" spans="21:21">
      <c r="U172" s="8">
        <f t="shared" si="2"/>
        <v>280800</v>
      </c>
    </row>
    <row r="173" spans="21:21">
      <c r="U173" s="8">
        <f t="shared" si="2"/>
        <v>302400</v>
      </c>
    </row>
    <row r="174" spans="21:21">
      <c r="U174" s="8">
        <f t="shared" si="2"/>
        <v>324000</v>
      </c>
    </row>
    <row r="175" spans="21:21">
      <c r="U175" s="8">
        <f t="shared" si="2"/>
        <v>345600</v>
      </c>
    </row>
    <row r="176" spans="21:21">
      <c r="U176" s="8">
        <f t="shared" si="2"/>
        <v>367200</v>
      </c>
    </row>
    <row r="177" spans="21:21">
      <c r="U177" s="8">
        <f t="shared" si="2"/>
        <v>388800</v>
      </c>
    </row>
    <row r="178" spans="21:21">
      <c r="U178" s="8">
        <f t="shared" si="2"/>
        <v>410400</v>
      </c>
    </row>
    <row r="179" spans="21:21">
      <c r="U179" s="8">
        <f t="shared" si="2"/>
        <v>432000</v>
      </c>
    </row>
    <row r="180" spans="21:21">
      <c r="U180" s="8">
        <f t="shared" si="2"/>
        <v>453600</v>
      </c>
    </row>
    <row r="181" spans="21:21">
      <c r="U181" s="8">
        <f t="shared" si="2"/>
        <v>475200</v>
      </c>
    </row>
    <row r="182" spans="21:21">
      <c r="U182" s="8">
        <f t="shared" si="2"/>
        <v>496800</v>
      </c>
    </row>
    <row r="183" spans="21:21">
      <c r="U183" s="8">
        <f t="shared" si="2"/>
        <v>518400</v>
      </c>
    </row>
    <row r="184" spans="21:21">
      <c r="U184" s="8">
        <f t="shared" si="2"/>
        <v>540000</v>
      </c>
    </row>
    <row r="185" spans="21:21">
      <c r="U185" s="8">
        <f t="shared" si="2"/>
        <v>561600</v>
      </c>
    </row>
    <row r="186" spans="21:21">
      <c r="U186" s="8">
        <f t="shared" si="2"/>
        <v>583200</v>
      </c>
    </row>
    <row r="187" spans="21:21">
      <c r="U187" s="8">
        <f t="shared" si="2"/>
        <v>604800</v>
      </c>
    </row>
    <row r="188" spans="21:21">
      <c r="U188" s="8">
        <f t="shared" si="2"/>
        <v>626400</v>
      </c>
    </row>
    <row r="189" spans="21:21">
      <c r="U189" s="8">
        <f t="shared" si="2"/>
        <v>648000</v>
      </c>
    </row>
    <row r="190" spans="21:21">
      <c r="U190" s="8">
        <f>U2*1.3</f>
        <v>0</v>
      </c>
    </row>
    <row r="191" spans="21:21">
      <c r="U191" s="8">
        <f t="shared" ref="U191:U254" si="3">U3*1.3</f>
        <v>6500</v>
      </c>
    </row>
    <row r="192" spans="21:21">
      <c r="U192" s="8">
        <f t="shared" si="3"/>
        <v>13000</v>
      </c>
    </row>
    <row r="193" spans="21:21">
      <c r="U193" s="8">
        <f t="shared" si="3"/>
        <v>19500</v>
      </c>
    </row>
    <row r="194" spans="21:21">
      <c r="U194" s="8">
        <f t="shared" si="3"/>
        <v>26000</v>
      </c>
    </row>
    <row r="195" spans="21:21">
      <c r="U195" s="8">
        <f t="shared" si="3"/>
        <v>32500</v>
      </c>
    </row>
    <row r="196" spans="21:21">
      <c r="U196" s="8">
        <f t="shared" si="3"/>
        <v>39000</v>
      </c>
    </row>
    <row r="197" spans="21:21">
      <c r="U197" s="8">
        <f t="shared" si="3"/>
        <v>45500</v>
      </c>
    </row>
    <row r="198" spans="21:21">
      <c r="U198" s="8">
        <f t="shared" si="3"/>
        <v>52000</v>
      </c>
    </row>
    <row r="199" spans="21:21">
      <c r="U199" s="8">
        <f t="shared" si="3"/>
        <v>58500</v>
      </c>
    </row>
    <row r="200" spans="21:21">
      <c r="U200" s="8">
        <f t="shared" si="3"/>
        <v>65000</v>
      </c>
    </row>
    <row r="201" spans="21:21">
      <c r="U201" s="8">
        <f t="shared" si="3"/>
        <v>0</v>
      </c>
    </row>
    <row r="202" spans="21:21">
      <c r="U202" s="8">
        <f t="shared" si="3"/>
        <v>8450</v>
      </c>
    </row>
    <row r="203" spans="21:21">
      <c r="U203" s="8">
        <f t="shared" si="3"/>
        <v>16900</v>
      </c>
    </row>
    <row r="204" spans="21:21">
      <c r="U204" s="8">
        <f t="shared" si="3"/>
        <v>25350</v>
      </c>
    </row>
    <row r="205" spans="21:21">
      <c r="U205" s="8">
        <f t="shared" si="3"/>
        <v>33800</v>
      </c>
    </row>
    <row r="206" spans="21:21">
      <c r="U206" s="8">
        <f t="shared" si="3"/>
        <v>42250</v>
      </c>
    </row>
    <row r="207" spans="21:21">
      <c r="U207" s="8">
        <f t="shared" si="3"/>
        <v>50700</v>
      </c>
    </row>
    <row r="208" spans="21:21">
      <c r="U208" s="8">
        <f t="shared" si="3"/>
        <v>59150</v>
      </c>
    </row>
    <row r="209" spans="21:21">
      <c r="U209" s="8">
        <f t="shared" si="3"/>
        <v>67600</v>
      </c>
    </row>
    <row r="210" spans="21:21">
      <c r="U210" s="8">
        <f t="shared" si="3"/>
        <v>76050</v>
      </c>
    </row>
    <row r="211" spans="21:21">
      <c r="U211" s="8">
        <f t="shared" si="3"/>
        <v>84500</v>
      </c>
    </row>
    <row r="212" spans="21:21">
      <c r="U212" s="8">
        <f t="shared" si="3"/>
        <v>92950</v>
      </c>
    </row>
    <row r="213" spans="21:21">
      <c r="U213" s="8">
        <f t="shared" si="3"/>
        <v>101400</v>
      </c>
    </row>
    <row r="214" spans="21:21">
      <c r="U214" s="8">
        <f t="shared" si="3"/>
        <v>109850</v>
      </c>
    </row>
    <row r="215" spans="21:21">
      <c r="U215" s="8">
        <f t="shared" si="3"/>
        <v>118300</v>
      </c>
    </row>
    <row r="216" spans="21:21">
      <c r="U216" s="8">
        <f t="shared" si="3"/>
        <v>126750</v>
      </c>
    </row>
    <row r="217" spans="21:21">
      <c r="U217" s="8">
        <f t="shared" si="3"/>
        <v>135200</v>
      </c>
    </row>
    <row r="218" spans="21:21">
      <c r="U218" s="8">
        <f t="shared" si="3"/>
        <v>143650</v>
      </c>
    </row>
    <row r="219" spans="21:21">
      <c r="U219" s="8">
        <f t="shared" si="3"/>
        <v>152100</v>
      </c>
    </row>
    <row r="220" spans="21:21">
      <c r="U220" s="8">
        <f t="shared" si="3"/>
        <v>160550</v>
      </c>
    </row>
    <row r="221" spans="21:21">
      <c r="U221" s="8">
        <f t="shared" si="3"/>
        <v>169000</v>
      </c>
    </row>
    <row r="222" spans="21:21">
      <c r="U222" s="8">
        <f t="shared" si="3"/>
        <v>0</v>
      </c>
    </row>
    <row r="223" spans="21:21">
      <c r="U223" s="8">
        <f t="shared" si="3"/>
        <v>10400</v>
      </c>
    </row>
    <row r="224" spans="21:21">
      <c r="U224" s="8">
        <f t="shared" si="3"/>
        <v>20800</v>
      </c>
    </row>
    <row r="225" spans="21:21">
      <c r="U225" s="8">
        <f t="shared" si="3"/>
        <v>31200</v>
      </c>
    </row>
    <row r="226" spans="21:21">
      <c r="U226" s="8">
        <f t="shared" si="3"/>
        <v>41600</v>
      </c>
    </row>
    <row r="227" spans="21:21">
      <c r="U227" s="8">
        <f t="shared" si="3"/>
        <v>52000</v>
      </c>
    </row>
    <row r="228" spans="21:21">
      <c r="U228" s="8">
        <f t="shared" si="3"/>
        <v>62400</v>
      </c>
    </row>
    <row r="229" spans="21:21">
      <c r="U229" s="8">
        <f t="shared" si="3"/>
        <v>72800</v>
      </c>
    </row>
    <row r="230" spans="21:21">
      <c r="U230" s="8">
        <f t="shared" si="3"/>
        <v>83200</v>
      </c>
    </row>
    <row r="231" spans="21:21">
      <c r="U231" s="8">
        <f t="shared" si="3"/>
        <v>93600</v>
      </c>
    </row>
    <row r="232" spans="21:21">
      <c r="U232" s="8">
        <f t="shared" si="3"/>
        <v>104000</v>
      </c>
    </row>
    <row r="233" spans="21:21">
      <c r="U233" s="8">
        <f t="shared" si="3"/>
        <v>114400</v>
      </c>
    </row>
    <row r="234" spans="21:21">
      <c r="U234" s="8">
        <f t="shared" si="3"/>
        <v>124800</v>
      </c>
    </row>
    <row r="235" spans="21:21">
      <c r="U235" s="8">
        <f t="shared" si="3"/>
        <v>135200</v>
      </c>
    </row>
    <row r="236" spans="21:21">
      <c r="U236" s="8">
        <f t="shared" si="3"/>
        <v>145600</v>
      </c>
    </row>
    <row r="237" spans="21:21">
      <c r="U237" s="8">
        <f t="shared" si="3"/>
        <v>156000</v>
      </c>
    </row>
    <row r="238" spans="21:21">
      <c r="U238" s="8">
        <f t="shared" si="3"/>
        <v>166400</v>
      </c>
    </row>
    <row r="239" spans="21:21">
      <c r="U239" s="8">
        <f t="shared" si="3"/>
        <v>176800</v>
      </c>
    </row>
    <row r="240" spans="21:21">
      <c r="U240" s="8">
        <f t="shared" si="3"/>
        <v>187200</v>
      </c>
    </row>
    <row r="241" spans="21:21">
      <c r="U241" s="8">
        <f t="shared" si="3"/>
        <v>197600</v>
      </c>
    </row>
    <row r="242" spans="21:21">
      <c r="U242" s="8">
        <f t="shared" si="3"/>
        <v>208000</v>
      </c>
    </row>
    <row r="243" spans="21:21">
      <c r="U243" s="8">
        <f t="shared" si="3"/>
        <v>218400</v>
      </c>
    </row>
    <row r="244" spans="21:21">
      <c r="U244" s="8">
        <f t="shared" si="3"/>
        <v>228800</v>
      </c>
    </row>
    <row r="245" spans="21:21">
      <c r="U245" s="8">
        <f t="shared" si="3"/>
        <v>239200</v>
      </c>
    </row>
    <row r="246" spans="21:21">
      <c r="U246" s="8">
        <f t="shared" si="3"/>
        <v>249600</v>
      </c>
    </row>
    <row r="247" spans="21:21">
      <c r="U247" s="8">
        <f t="shared" si="3"/>
        <v>260000</v>
      </c>
    </row>
    <row r="248" spans="21:21">
      <c r="U248" s="8">
        <f t="shared" si="3"/>
        <v>270400</v>
      </c>
    </row>
    <row r="249" spans="21:21">
      <c r="U249" s="8">
        <f t="shared" si="3"/>
        <v>280800</v>
      </c>
    </row>
    <row r="250" spans="21:21">
      <c r="U250" s="8">
        <f t="shared" si="3"/>
        <v>291200</v>
      </c>
    </row>
    <row r="251" spans="21:21">
      <c r="U251" s="8">
        <f t="shared" si="3"/>
        <v>301600</v>
      </c>
    </row>
    <row r="252" spans="21:21">
      <c r="U252" s="8">
        <f t="shared" si="3"/>
        <v>312000</v>
      </c>
    </row>
    <row r="253" spans="21:21">
      <c r="U253" s="8">
        <f t="shared" si="3"/>
        <v>0</v>
      </c>
    </row>
    <row r="254" spans="21:21">
      <c r="U254" s="8">
        <f t="shared" si="3"/>
        <v>15600</v>
      </c>
    </row>
    <row r="255" spans="21:21">
      <c r="U255" s="8">
        <f t="shared" ref="U255:U283" si="4">U67*1.3</f>
        <v>31200</v>
      </c>
    </row>
    <row r="256" spans="21:21">
      <c r="U256" s="8">
        <f t="shared" si="4"/>
        <v>46800</v>
      </c>
    </row>
    <row r="257" spans="21:21">
      <c r="U257" s="8">
        <f t="shared" si="4"/>
        <v>62400</v>
      </c>
    </row>
    <row r="258" spans="21:21">
      <c r="U258" s="8">
        <f t="shared" si="4"/>
        <v>78000</v>
      </c>
    </row>
    <row r="259" spans="21:21">
      <c r="U259" s="8">
        <f t="shared" si="4"/>
        <v>93600</v>
      </c>
    </row>
    <row r="260" spans="21:21">
      <c r="U260" s="8">
        <f t="shared" si="4"/>
        <v>109200</v>
      </c>
    </row>
    <row r="261" spans="21:21">
      <c r="U261" s="8">
        <f t="shared" si="4"/>
        <v>124800</v>
      </c>
    </row>
    <row r="262" spans="21:21">
      <c r="U262" s="8">
        <f t="shared" si="4"/>
        <v>140400</v>
      </c>
    </row>
    <row r="263" spans="21:21">
      <c r="U263" s="8">
        <f t="shared" si="4"/>
        <v>156000</v>
      </c>
    </row>
    <row r="264" spans="21:21">
      <c r="U264" s="8">
        <f t="shared" si="4"/>
        <v>171600</v>
      </c>
    </row>
    <row r="265" spans="21:21">
      <c r="U265" s="8">
        <f t="shared" si="4"/>
        <v>187200</v>
      </c>
    </row>
    <row r="266" spans="21:21">
      <c r="U266" s="8">
        <f t="shared" si="4"/>
        <v>202800</v>
      </c>
    </row>
    <row r="267" spans="21:21">
      <c r="U267" s="8">
        <f t="shared" si="4"/>
        <v>218400</v>
      </c>
    </row>
    <row r="268" spans="21:21">
      <c r="U268" s="8">
        <f t="shared" si="4"/>
        <v>234000</v>
      </c>
    </row>
    <row r="269" spans="21:21">
      <c r="U269" s="8">
        <f t="shared" si="4"/>
        <v>249600</v>
      </c>
    </row>
    <row r="270" spans="21:21">
      <c r="U270" s="8">
        <f t="shared" si="4"/>
        <v>265200</v>
      </c>
    </row>
    <row r="271" spans="21:21">
      <c r="U271" s="8">
        <f t="shared" si="4"/>
        <v>280800</v>
      </c>
    </row>
    <row r="272" spans="21:21">
      <c r="U272" s="8">
        <f t="shared" si="4"/>
        <v>296400</v>
      </c>
    </row>
    <row r="273" spans="21:21">
      <c r="U273" s="8">
        <f t="shared" si="4"/>
        <v>312000</v>
      </c>
    </row>
    <row r="274" spans="21:21">
      <c r="U274" s="8">
        <f t="shared" si="4"/>
        <v>327600</v>
      </c>
    </row>
    <row r="275" spans="21:21">
      <c r="U275" s="8">
        <f t="shared" si="4"/>
        <v>343200</v>
      </c>
    </row>
    <row r="276" spans="21:21">
      <c r="U276" s="8">
        <f t="shared" si="4"/>
        <v>358800</v>
      </c>
    </row>
    <row r="277" spans="21:21">
      <c r="U277" s="8">
        <f t="shared" si="4"/>
        <v>374400</v>
      </c>
    </row>
    <row r="278" spans="21:21">
      <c r="U278" s="8">
        <f t="shared" si="4"/>
        <v>390000</v>
      </c>
    </row>
    <row r="279" spans="21:21">
      <c r="U279" s="8">
        <f t="shared" si="4"/>
        <v>405600</v>
      </c>
    </row>
    <row r="280" spans="21:21">
      <c r="U280" s="8">
        <f t="shared" si="4"/>
        <v>421200</v>
      </c>
    </row>
    <row r="281" spans="21:21">
      <c r="U281" s="8">
        <f t="shared" si="4"/>
        <v>436800</v>
      </c>
    </row>
    <row r="282" spans="21:21">
      <c r="U282" s="8">
        <f t="shared" si="4"/>
        <v>452400</v>
      </c>
    </row>
    <row r="283" spans="21:21">
      <c r="U283" s="8">
        <f t="shared" si="4"/>
        <v>468000</v>
      </c>
    </row>
    <row r="284" spans="21:21">
      <c r="U284" s="8">
        <f>U2*1.5</f>
        <v>0</v>
      </c>
    </row>
    <row r="285" spans="21:21">
      <c r="U285" s="8">
        <f t="shared" ref="U285:U348" si="5">U3*1.5</f>
        <v>7500</v>
      </c>
    </row>
    <row r="286" spans="21:21">
      <c r="U286" s="8">
        <f t="shared" si="5"/>
        <v>15000</v>
      </c>
    </row>
    <row r="287" spans="21:21">
      <c r="U287" s="8">
        <f t="shared" si="5"/>
        <v>22500</v>
      </c>
    </row>
    <row r="288" spans="21:21">
      <c r="U288" s="8">
        <f t="shared" si="5"/>
        <v>30000</v>
      </c>
    </row>
    <row r="289" spans="21:21">
      <c r="U289" s="8">
        <f t="shared" si="5"/>
        <v>37500</v>
      </c>
    </row>
    <row r="290" spans="21:21">
      <c r="U290" s="8">
        <f t="shared" si="5"/>
        <v>45000</v>
      </c>
    </row>
    <row r="291" spans="21:21">
      <c r="U291" s="8">
        <f t="shared" si="5"/>
        <v>52500</v>
      </c>
    </row>
    <row r="292" spans="21:21">
      <c r="U292" s="8">
        <f t="shared" si="5"/>
        <v>60000</v>
      </c>
    </row>
    <row r="293" spans="21:21">
      <c r="U293" s="8">
        <f t="shared" si="5"/>
        <v>67500</v>
      </c>
    </row>
    <row r="294" spans="21:21">
      <c r="U294" s="8">
        <f t="shared" si="5"/>
        <v>75000</v>
      </c>
    </row>
    <row r="295" spans="21:21">
      <c r="U295" s="8">
        <f t="shared" si="5"/>
        <v>0</v>
      </c>
    </row>
    <row r="296" spans="21:21">
      <c r="U296" s="8">
        <f t="shared" si="5"/>
        <v>9750</v>
      </c>
    </row>
    <row r="297" spans="21:21">
      <c r="U297" s="8">
        <f t="shared" si="5"/>
        <v>19500</v>
      </c>
    </row>
    <row r="298" spans="21:21">
      <c r="U298" s="8">
        <f t="shared" si="5"/>
        <v>29250</v>
      </c>
    </row>
    <row r="299" spans="21:21">
      <c r="U299" s="8">
        <f t="shared" si="5"/>
        <v>39000</v>
      </c>
    </row>
    <row r="300" spans="21:21">
      <c r="U300" s="8">
        <f t="shared" si="5"/>
        <v>48750</v>
      </c>
    </row>
    <row r="301" spans="21:21">
      <c r="U301" s="8">
        <f t="shared" si="5"/>
        <v>58500</v>
      </c>
    </row>
    <row r="302" spans="21:21">
      <c r="U302" s="8">
        <f t="shared" si="5"/>
        <v>68250</v>
      </c>
    </row>
    <row r="303" spans="21:21">
      <c r="U303" s="8">
        <f t="shared" si="5"/>
        <v>78000</v>
      </c>
    </row>
    <row r="304" spans="21:21">
      <c r="U304" s="8">
        <f t="shared" si="5"/>
        <v>87750</v>
      </c>
    </row>
    <row r="305" spans="21:21">
      <c r="U305" s="8">
        <f t="shared" si="5"/>
        <v>97500</v>
      </c>
    </row>
    <row r="306" spans="21:21">
      <c r="U306" s="8">
        <f t="shared" si="5"/>
        <v>107250</v>
      </c>
    </row>
    <row r="307" spans="21:21">
      <c r="U307" s="8">
        <f t="shared" si="5"/>
        <v>117000</v>
      </c>
    </row>
    <row r="308" spans="21:21">
      <c r="U308" s="8">
        <f t="shared" si="5"/>
        <v>126750</v>
      </c>
    </row>
    <row r="309" spans="21:21">
      <c r="U309" s="8">
        <f t="shared" si="5"/>
        <v>136500</v>
      </c>
    </row>
    <row r="310" spans="21:21">
      <c r="U310" s="8">
        <f t="shared" si="5"/>
        <v>146250</v>
      </c>
    </row>
    <row r="311" spans="21:21">
      <c r="U311" s="8">
        <f t="shared" si="5"/>
        <v>156000</v>
      </c>
    </row>
    <row r="312" spans="21:21">
      <c r="U312" s="8">
        <f t="shared" si="5"/>
        <v>165750</v>
      </c>
    </row>
    <row r="313" spans="21:21">
      <c r="U313" s="8">
        <f t="shared" si="5"/>
        <v>175500</v>
      </c>
    </row>
    <row r="314" spans="21:21">
      <c r="U314" s="8">
        <f t="shared" si="5"/>
        <v>185250</v>
      </c>
    </row>
    <row r="315" spans="21:21">
      <c r="U315" s="8">
        <f t="shared" si="5"/>
        <v>195000</v>
      </c>
    </row>
    <row r="316" spans="21:21">
      <c r="U316" s="8">
        <f t="shared" si="5"/>
        <v>0</v>
      </c>
    </row>
    <row r="317" spans="21:21">
      <c r="U317" s="8">
        <f t="shared" si="5"/>
        <v>12000</v>
      </c>
    </row>
    <row r="318" spans="21:21">
      <c r="U318" s="8">
        <f t="shared" si="5"/>
        <v>24000</v>
      </c>
    </row>
    <row r="319" spans="21:21">
      <c r="U319" s="8">
        <f t="shared" si="5"/>
        <v>36000</v>
      </c>
    </row>
    <row r="320" spans="21:21">
      <c r="U320" s="8">
        <f t="shared" si="5"/>
        <v>48000</v>
      </c>
    </row>
    <row r="321" spans="21:21">
      <c r="U321" s="8">
        <f t="shared" si="5"/>
        <v>60000</v>
      </c>
    </row>
    <row r="322" spans="21:21">
      <c r="U322" s="8">
        <f t="shared" si="5"/>
        <v>72000</v>
      </c>
    </row>
    <row r="323" spans="21:21">
      <c r="U323" s="8">
        <f t="shared" si="5"/>
        <v>84000</v>
      </c>
    </row>
    <row r="324" spans="21:21">
      <c r="U324" s="8">
        <f t="shared" si="5"/>
        <v>96000</v>
      </c>
    </row>
    <row r="325" spans="21:21">
      <c r="U325" s="8">
        <f t="shared" si="5"/>
        <v>108000</v>
      </c>
    </row>
    <row r="326" spans="21:21">
      <c r="U326" s="8">
        <f t="shared" si="5"/>
        <v>120000</v>
      </c>
    </row>
    <row r="327" spans="21:21">
      <c r="U327" s="8">
        <f t="shared" si="5"/>
        <v>132000</v>
      </c>
    </row>
    <row r="328" spans="21:21">
      <c r="U328" s="8">
        <f t="shared" si="5"/>
        <v>144000</v>
      </c>
    </row>
    <row r="329" spans="21:21">
      <c r="U329" s="8">
        <f t="shared" si="5"/>
        <v>156000</v>
      </c>
    </row>
    <row r="330" spans="21:21">
      <c r="U330" s="8">
        <f t="shared" si="5"/>
        <v>168000</v>
      </c>
    </row>
    <row r="331" spans="21:21">
      <c r="U331" s="8">
        <f t="shared" si="5"/>
        <v>180000</v>
      </c>
    </row>
    <row r="332" spans="21:21">
      <c r="U332" s="8">
        <f t="shared" si="5"/>
        <v>192000</v>
      </c>
    </row>
    <row r="333" spans="21:21">
      <c r="U333" s="8">
        <f t="shared" si="5"/>
        <v>204000</v>
      </c>
    </row>
    <row r="334" spans="21:21">
      <c r="U334" s="8">
        <f t="shared" si="5"/>
        <v>216000</v>
      </c>
    </row>
    <row r="335" spans="21:21">
      <c r="U335" s="8">
        <f t="shared" si="5"/>
        <v>228000</v>
      </c>
    </row>
    <row r="336" spans="21:21">
      <c r="U336" s="8">
        <f t="shared" si="5"/>
        <v>240000</v>
      </c>
    </row>
    <row r="337" spans="21:21">
      <c r="U337" s="8">
        <f t="shared" si="5"/>
        <v>252000</v>
      </c>
    </row>
    <row r="338" spans="21:21">
      <c r="U338" s="8">
        <f t="shared" si="5"/>
        <v>264000</v>
      </c>
    </row>
    <row r="339" spans="21:21">
      <c r="U339" s="8">
        <f t="shared" si="5"/>
        <v>276000</v>
      </c>
    </row>
    <row r="340" spans="21:21">
      <c r="U340" s="8">
        <f t="shared" si="5"/>
        <v>288000</v>
      </c>
    </row>
    <row r="341" spans="21:21">
      <c r="U341" s="8">
        <f t="shared" si="5"/>
        <v>300000</v>
      </c>
    </row>
    <row r="342" spans="21:21">
      <c r="U342" s="8">
        <f t="shared" si="5"/>
        <v>312000</v>
      </c>
    </row>
    <row r="343" spans="21:21">
      <c r="U343" s="8">
        <f t="shared" si="5"/>
        <v>324000</v>
      </c>
    </row>
    <row r="344" spans="21:21">
      <c r="U344" s="8">
        <f t="shared" si="5"/>
        <v>336000</v>
      </c>
    </row>
    <row r="345" spans="21:21">
      <c r="U345" s="8">
        <f t="shared" si="5"/>
        <v>348000</v>
      </c>
    </row>
    <row r="346" spans="21:21">
      <c r="U346" s="8">
        <f t="shared" si="5"/>
        <v>360000</v>
      </c>
    </row>
    <row r="347" spans="21:21">
      <c r="U347" s="8">
        <f t="shared" si="5"/>
        <v>0</v>
      </c>
    </row>
    <row r="348" spans="21:21">
      <c r="U348" s="8">
        <f t="shared" si="5"/>
        <v>18000</v>
      </c>
    </row>
    <row r="349" spans="21:21">
      <c r="U349" s="8">
        <f t="shared" ref="U349:U377" si="6">U67*1.5</f>
        <v>36000</v>
      </c>
    </row>
    <row r="350" spans="21:21">
      <c r="U350" s="8">
        <f t="shared" si="6"/>
        <v>54000</v>
      </c>
    </row>
    <row r="351" spans="21:21">
      <c r="U351" s="8">
        <f t="shared" si="6"/>
        <v>72000</v>
      </c>
    </row>
    <row r="352" spans="21:21">
      <c r="U352" s="8">
        <f t="shared" si="6"/>
        <v>90000</v>
      </c>
    </row>
    <row r="353" spans="21:21">
      <c r="U353" s="8">
        <f t="shared" si="6"/>
        <v>108000</v>
      </c>
    </row>
    <row r="354" spans="21:21">
      <c r="U354" s="8">
        <f t="shared" si="6"/>
        <v>126000</v>
      </c>
    </row>
    <row r="355" spans="21:21">
      <c r="U355" s="8">
        <f t="shared" si="6"/>
        <v>144000</v>
      </c>
    </row>
    <row r="356" spans="21:21">
      <c r="U356" s="8">
        <f t="shared" si="6"/>
        <v>162000</v>
      </c>
    </row>
    <row r="357" spans="21:21">
      <c r="U357" s="8">
        <f t="shared" si="6"/>
        <v>180000</v>
      </c>
    </row>
    <row r="358" spans="21:21">
      <c r="U358" s="8">
        <f t="shared" si="6"/>
        <v>198000</v>
      </c>
    </row>
    <row r="359" spans="21:21">
      <c r="U359" s="8">
        <f t="shared" si="6"/>
        <v>216000</v>
      </c>
    </row>
    <row r="360" spans="21:21">
      <c r="U360" s="8">
        <f t="shared" si="6"/>
        <v>234000</v>
      </c>
    </row>
    <row r="361" spans="21:21">
      <c r="U361" s="8">
        <f t="shared" si="6"/>
        <v>252000</v>
      </c>
    </row>
    <row r="362" spans="21:21">
      <c r="U362" s="8">
        <f t="shared" si="6"/>
        <v>270000</v>
      </c>
    </row>
    <row r="363" spans="21:21">
      <c r="U363" s="8">
        <f t="shared" si="6"/>
        <v>288000</v>
      </c>
    </row>
    <row r="364" spans="21:21">
      <c r="U364" s="8">
        <f t="shared" si="6"/>
        <v>306000</v>
      </c>
    </row>
    <row r="365" spans="21:21">
      <c r="U365" s="8">
        <f t="shared" si="6"/>
        <v>324000</v>
      </c>
    </row>
    <row r="366" spans="21:21">
      <c r="U366" s="8">
        <f t="shared" si="6"/>
        <v>342000</v>
      </c>
    </row>
    <row r="367" spans="21:21">
      <c r="U367" s="8">
        <f t="shared" si="6"/>
        <v>360000</v>
      </c>
    </row>
    <row r="368" spans="21:21">
      <c r="U368" s="8">
        <f t="shared" si="6"/>
        <v>378000</v>
      </c>
    </row>
    <row r="369" spans="21:21">
      <c r="U369" s="8">
        <f t="shared" si="6"/>
        <v>396000</v>
      </c>
    </row>
    <row r="370" spans="21:21">
      <c r="U370" s="8">
        <f t="shared" si="6"/>
        <v>414000</v>
      </c>
    </row>
    <row r="371" spans="21:21">
      <c r="U371" s="8">
        <f t="shared" si="6"/>
        <v>432000</v>
      </c>
    </row>
    <row r="372" spans="21:21">
      <c r="U372" s="8">
        <f t="shared" si="6"/>
        <v>450000</v>
      </c>
    </row>
    <row r="373" spans="21:21">
      <c r="U373" s="8">
        <f t="shared" si="6"/>
        <v>468000</v>
      </c>
    </row>
    <row r="374" spans="21:21">
      <c r="U374" s="8">
        <f t="shared" si="6"/>
        <v>486000</v>
      </c>
    </row>
    <row r="375" spans="21:21">
      <c r="U375" s="8">
        <f t="shared" si="6"/>
        <v>504000</v>
      </c>
    </row>
    <row r="376" spans="21:21">
      <c r="U376" s="8">
        <f t="shared" si="6"/>
        <v>522000</v>
      </c>
    </row>
    <row r="377" spans="21:21">
      <c r="U377" s="8">
        <f t="shared" si="6"/>
        <v>540000</v>
      </c>
    </row>
  </sheetData>
  <conditionalFormatting sqref="C27:C30"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  <cfRule type="duplicateValues" dxfId="3" priority="12"/>
    <cfRule type="duplicateValues" priority="13"/>
  </conditionalFormatting>
  <conditionalFormatting sqref="D27:D30">
    <cfRule type="duplicateValues" dxfId="2" priority="1"/>
    <cfRule type="duplicateValues" dxfId="1" priority="2"/>
    <cfRule type="duplicateValues" dxfId="0" priority="3"/>
    <cfRule type="duplicateValues" priority="4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workbookViewId="0">
      <selection activeCell="H25" sqref="H25"/>
    </sheetView>
  </sheetViews>
  <sheetFormatPr defaultColWidth="9" defaultRowHeight="15"/>
  <cols>
    <col min="8" max="8" width="16.140625" customWidth="1"/>
    <col min="9" max="11" width="20.5703125" customWidth="1"/>
  </cols>
  <sheetData>
    <row r="1" spans="1:11">
      <c r="A1">
        <v>1</v>
      </c>
      <c r="B1">
        <v>1</v>
      </c>
      <c r="C1">
        <v>10000</v>
      </c>
      <c r="D1">
        <v>20000</v>
      </c>
      <c r="E1">
        <v>30000</v>
      </c>
      <c r="F1">
        <v>40000</v>
      </c>
      <c r="G1">
        <v>300</v>
      </c>
      <c r="H1" t="str">
        <f>CONCATENATE("1:",C1,"#28:",$G1/4)</f>
        <v>1:10000#28:75</v>
      </c>
      <c r="I1" t="str">
        <f>CONCATENATE("1:",D1,"#28:",$G1/2)</f>
        <v>1:20000#28:150</v>
      </c>
      <c r="J1" t="str">
        <f>CONCATENATE("1:",E1,"#28:",$G1/4*3)</f>
        <v>1:30000#28:225</v>
      </c>
      <c r="K1" t="str">
        <f t="shared" ref="K1:K16" si="0">CONCATENATE("1:",F1,"#28:",$G1)</f>
        <v>1:40000#28:300</v>
      </c>
    </row>
    <row r="2" spans="1:11">
      <c r="A2">
        <v>1</v>
      </c>
      <c r="B2">
        <v>2</v>
      </c>
      <c r="C2">
        <f>SUM($A$1:$A1)*C$1+C$1</f>
        <v>20000</v>
      </c>
      <c r="D2">
        <f>SUM($A$1:$A1)*D$1+D$1</f>
        <v>40000</v>
      </c>
      <c r="E2">
        <f>SUM($A$1:$A1)*E$1+E$1</f>
        <v>60000</v>
      </c>
      <c r="F2">
        <f>SUM($A$1:$A1)*F$1+F$1</f>
        <v>80000</v>
      </c>
      <c r="G2">
        <f>SUM($A$1:$A1)*G$1+G$1</f>
        <v>600</v>
      </c>
      <c r="H2" t="str">
        <f t="shared" ref="H2:H20" si="1">CONCATENATE("1:",C2,"#28:",$G2/4)</f>
        <v>1:20000#28:150</v>
      </c>
      <c r="I2" t="str">
        <f t="shared" ref="I2:I20" si="2">CONCATENATE("1:",D2,"#28:",$G2/2)</f>
        <v>1:40000#28:300</v>
      </c>
      <c r="J2" t="str">
        <f t="shared" ref="J2:J20" si="3">CONCATENATE("1:",E2,"#28:",$G2/4*3)</f>
        <v>1:60000#28:450</v>
      </c>
      <c r="K2" t="str">
        <f t="shared" si="0"/>
        <v>1:80000#28:600</v>
      </c>
    </row>
    <row r="3" spans="1:11">
      <c r="A3">
        <v>1</v>
      </c>
      <c r="B3">
        <v>3</v>
      </c>
      <c r="C3">
        <f>SUM($A$1:$A2)*C$1+C$1</f>
        <v>30000</v>
      </c>
      <c r="D3">
        <f>SUM($A$1:$A2)*D$1+D$1</f>
        <v>60000</v>
      </c>
      <c r="E3">
        <f>SUM($A$1:$A2)*E$1+E$1</f>
        <v>90000</v>
      </c>
      <c r="F3">
        <f>SUM($A$1:$A2)*F$1+F$1</f>
        <v>120000</v>
      </c>
      <c r="G3">
        <f>SUM($A$1:$A2)*G$1+G$1</f>
        <v>900</v>
      </c>
      <c r="H3" t="str">
        <f t="shared" si="1"/>
        <v>1:30000#28:225</v>
      </c>
      <c r="I3" t="str">
        <f t="shared" si="2"/>
        <v>1:60000#28:450</v>
      </c>
      <c r="J3" t="str">
        <f t="shared" si="3"/>
        <v>1:90000#28:675</v>
      </c>
      <c r="K3" t="str">
        <f t="shared" si="0"/>
        <v>1:120000#28:900</v>
      </c>
    </row>
    <row r="4" spans="1:11">
      <c r="A4">
        <v>1</v>
      </c>
      <c r="B4">
        <v>4</v>
      </c>
      <c r="C4">
        <f>SUM($A$1:$A3)*C$1+C$1</f>
        <v>40000</v>
      </c>
      <c r="D4">
        <f>SUM($A$1:$A3)*D$1+D$1</f>
        <v>80000</v>
      </c>
      <c r="E4">
        <f>SUM($A$1:$A3)*E$1+E$1</f>
        <v>120000</v>
      </c>
      <c r="F4">
        <f>SUM($A$1:$A3)*F$1+F$1</f>
        <v>160000</v>
      </c>
      <c r="G4">
        <f>SUM($A$1:$A3)*G$1+G$1</f>
        <v>1200</v>
      </c>
      <c r="H4" t="str">
        <f t="shared" si="1"/>
        <v>1:40000#28:300</v>
      </c>
      <c r="I4" t="str">
        <f t="shared" si="2"/>
        <v>1:80000#28:600</v>
      </c>
      <c r="J4" t="str">
        <f t="shared" si="3"/>
        <v>1:120000#28:900</v>
      </c>
      <c r="K4" t="str">
        <f t="shared" si="0"/>
        <v>1:160000#28:1200</v>
      </c>
    </row>
    <row r="5" spans="1:11">
      <c r="A5">
        <v>2</v>
      </c>
      <c r="B5">
        <v>5</v>
      </c>
      <c r="C5">
        <f>SUM($A$1:$A4)*C$1+C$1</f>
        <v>50000</v>
      </c>
      <c r="D5">
        <f>SUM($A$1:$A4)*D$1+D$1</f>
        <v>100000</v>
      </c>
      <c r="E5">
        <f>SUM($A$1:$A4)*E$1+E$1</f>
        <v>150000</v>
      </c>
      <c r="F5">
        <f>SUM($A$1:$A4)*F$1+F$1</f>
        <v>200000</v>
      </c>
      <c r="G5">
        <f>SUM($A$1:$A4)*G$1+G$1</f>
        <v>1500</v>
      </c>
      <c r="H5" t="str">
        <f t="shared" si="1"/>
        <v>1:50000#28:375</v>
      </c>
      <c r="I5" t="str">
        <f t="shared" si="2"/>
        <v>1:100000#28:750</v>
      </c>
      <c r="J5" t="str">
        <f t="shared" si="3"/>
        <v>1:150000#28:1125</v>
      </c>
      <c r="K5" t="str">
        <f t="shared" si="0"/>
        <v>1:200000#28:1500</v>
      </c>
    </row>
    <row r="6" spans="1:11">
      <c r="A6">
        <v>2</v>
      </c>
      <c r="B6">
        <v>6</v>
      </c>
      <c r="C6">
        <f>SUM($A$1:$A5)*C$1+C$1</f>
        <v>70000</v>
      </c>
      <c r="D6">
        <f>SUM($A$1:$A5)*D$1+D$1</f>
        <v>140000</v>
      </c>
      <c r="E6">
        <f>SUM($A$1:$A5)*E$1+E$1</f>
        <v>210000</v>
      </c>
      <c r="F6">
        <f>SUM($A$1:$A5)*F$1+F$1</f>
        <v>280000</v>
      </c>
      <c r="G6">
        <f>SUM($A$1:$A5)*G$1+G$1</f>
        <v>2100</v>
      </c>
      <c r="H6" t="str">
        <f t="shared" si="1"/>
        <v>1:70000#28:525</v>
      </c>
      <c r="I6" t="str">
        <f t="shared" si="2"/>
        <v>1:140000#28:1050</v>
      </c>
      <c r="J6" t="str">
        <f t="shared" si="3"/>
        <v>1:210000#28:1575</v>
      </c>
      <c r="K6" t="str">
        <f t="shared" si="0"/>
        <v>1:280000#28:2100</v>
      </c>
    </row>
    <row r="7" spans="1:11">
      <c r="A7">
        <v>2</v>
      </c>
      <c r="B7">
        <v>7</v>
      </c>
      <c r="C7">
        <f>SUM($A$1:$A6)*C$1+C$1</f>
        <v>90000</v>
      </c>
      <c r="D7">
        <f>SUM($A$1:$A6)*D$1+D$1</f>
        <v>180000</v>
      </c>
      <c r="E7">
        <f>SUM($A$1:$A6)*E$1+E$1</f>
        <v>270000</v>
      </c>
      <c r="F7">
        <f>SUM($A$1:$A6)*F$1+F$1</f>
        <v>360000</v>
      </c>
      <c r="G7">
        <f>SUM($A$1:$A6)*G$1+G$1</f>
        <v>2700</v>
      </c>
      <c r="H7" t="str">
        <f t="shared" si="1"/>
        <v>1:90000#28:675</v>
      </c>
      <c r="I7" t="str">
        <f t="shared" si="2"/>
        <v>1:180000#28:1350</v>
      </c>
      <c r="J7" t="str">
        <f t="shared" si="3"/>
        <v>1:270000#28:2025</v>
      </c>
      <c r="K7" t="str">
        <f t="shared" si="0"/>
        <v>1:360000#28:2700</v>
      </c>
    </row>
    <row r="8" spans="1:11">
      <c r="A8">
        <v>2</v>
      </c>
      <c r="B8">
        <v>8</v>
      </c>
      <c r="C8">
        <f>SUM($A$1:$A7)*C$1+C$1</f>
        <v>110000</v>
      </c>
      <c r="D8">
        <f>SUM($A$1:$A7)*D$1+D$1</f>
        <v>220000</v>
      </c>
      <c r="E8">
        <f>SUM($A$1:$A7)*E$1+E$1</f>
        <v>330000</v>
      </c>
      <c r="F8">
        <f>SUM($A$1:$A7)*F$1+F$1</f>
        <v>440000</v>
      </c>
      <c r="G8">
        <f>SUM($A$1:$A7)*G$1+G$1</f>
        <v>3300</v>
      </c>
      <c r="H8" t="str">
        <f t="shared" si="1"/>
        <v>1:110000#28:825</v>
      </c>
      <c r="I8" t="str">
        <f t="shared" si="2"/>
        <v>1:220000#28:1650</v>
      </c>
      <c r="J8" t="str">
        <f t="shared" si="3"/>
        <v>1:330000#28:2475</v>
      </c>
      <c r="K8" t="str">
        <f t="shared" si="0"/>
        <v>1:440000#28:3300</v>
      </c>
    </row>
    <row r="9" spans="1:11">
      <c r="A9">
        <v>2</v>
      </c>
      <c r="B9">
        <v>9</v>
      </c>
      <c r="C9">
        <f>SUM($A$1:$A8)*C$1+C$1</f>
        <v>130000</v>
      </c>
      <c r="D9">
        <f>SUM($A$1:$A8)*D$1+D$1</f>
        <v>260000</v>
      </c>
      <c r="E9">
        <f>SUM($A$1:$A8)*E$1+E$1</f>
        <v>390000</v>
      </c>
      <c r="F9">
        <f>SUM($A$1:$A8)*F$1+F$1</f>
        <v>520000</v>
      </c>
      <c r="G9">
        <f>SUM($A$1:$A8)*G$1+G$1</f>
        <v>3900</v>
      </c>
      <c r="H9" t="str">
        <f t="shared" si="1"/>
        <v>1:130000#28:975</v>
      </c>
      <c r="I9" t="str">
        <f t="shared" si="2"/>
        <v>1:260000#28:1950</v>
      </c>
      <c r="J9" t="str">
        <f t="shared" si="3"/>
        <v>1:390000#28:2925</v>
      </c>
      <c r="K9" t="str">
        <f t="shared" si="0"/>
        <v>1:520000#28:3900</v>
      </c>
    </row>
    <row r="10" spans="1:11">
      <c r="A10">
        <f>A5+1</f>
        <v>3</v>
      </c>
      <c r="B10">
        <v>10</v>
      </c>
      <c r="C10">
        <f>SUM($A$1:$A9)*C$1+C$1</f>
        <v>150000</v>
      </c>
      <c r="D10">
        <f>SUM($A$1:$A9)*D$1+D$1</f>
        <v>300000</v>
      </c>
      <c r="E10">
        <f>SUM($A$1:$A9)*E$1+E$1</f>
        <v>450000</v>
      </c>
      <c r="F10">
        <f>SUM($A$1:$A9)*F$1+F$1</f>
        <v>600000</v>
      </c>
      <c r="G10">
        <f>SUM($A$1:$A9)*G$1+G$1</f>
        <v>4500</v>
      </c>
      <c r="H10" t="str">
        <f t="shared" si="1"/>
        <v>1:150000#28:1125</v>
      </c>
      <c r="I10" t="str">
        <f t="shared" si="2"/>
        <v>1:300000#28:2250</v>
      </c>
      <c r="J10" t="str">
        <f t="shared" si="3"/>
        <v>1:450000#28:3375</v>
      </c>
      <c r="K10" t="str">
        <f t="shared" si="0"/>
        <v>1:600000#28:4500</v>
      </c>
    </row>
    <row r="11" spans="1:11">
      <c r="A11">
        <f t="shared" ref="A11:A19" si="4">A6+1</f>
        <v>3</v>
      </c>
      <c r="B11">
        <v>11</v>
      </c>
      <c r="C11">
        <f>SUM($A$1:$A10)*C$1+C$1</f>
        <v>180000</v>
      </c>
      <c r="D11">
        <f>SUM($A$1:$A10)*D$1+D$1</f>
        <v>360000</v>
      </c>
      <c r="E11">
        <f>SUM($A$1:$A10)*E$1+E$1</f>
        <v>540000</v>
      </c>
      <c r="F11">
        <f>SUM($A$1:$A10)*F$1+F$1</f>
        <v>720000</v>
      </c>
      <c r="G11">
        <f>SUM($A$1:$A10)*G$1+G$1</f>
        <v>5400</v>
      </c>
      <c r="H11" t="str">
        <f t="shared" si="1"/>
        <v>1:180000#28:1350</v>
      </c>
      <c r="I11" t="str">
        <f t="shared" si="2"/>
        <v>1:360000#28:2700</v>
      </c>
      <c r="J11" t="str">
        <f t="shared" si="3"/>
        <v>1:540000#28:4050</v>
      </c>
      <c r="K11" t="str">
        <f t="shared" si="0"/>
        <v>1:720000#28:5400</v>
      </c>
    </row>
    <row r="12" spans="1:11">
      <c r="A12">
        <f t="shared" si="4"/>
        <v>3</v>
      </c>
      <c r="B12">
        <v>12</v>
      </c>
      <c r="C12">
        <f>SUM($A$1:$A11)*C$1+C$1</f>
        <v>210000</v>
      </c>
      <c r="D12">
        <f>SUM($A$1:$A11)*D$1+D$1</f>
        <v>420000</v>
      </c>
      <c r="E12">
        <f>SUM($A$1:$A11)*E$1+E$1</f>
        <v>630000</v>
      </c>
      <c r="F12">
        <f>SUM($A$1:$A11)*F$1+F$1</f>
        <v>840000</v>
      </c>
      <c r="G12">
        <f>SUM($A$1:$A11)*G$1+G$1</f>
        <v>6300</v>
      </c>
      <c r="H12" t="str">
        <f t="shared" si="1"/>
        <v>1:210000#28:1575</v>
      </c>
      <c r="I12" t="str">
        <f t="shared" si="2"/>
        <v>1:420000#28:3150</v>
      </c>
      <c r="J12" t="str">
        <f t="shared" si="3"/>
        <v>1:630000#28:4725</v>
      </c>
      <c r="K12" t="str">
        <f t="shared" si="0"/>
        <v>1:840000#28:6300</v>
      </c>
    </row>
    <row r="13" spans="1:11">
      <c r="A13">
        <f t="shared" si="4"/>
        <v>3</v>
      </c>
      <c r="B13">
        <v>13</v>
      </c>
      <c r="C13">
        <f>SUM($A$1:$A12)*C$1+C$1</f>
        <v>240000</v>
      </c>
      <c r="D13">
        <f>SUM($A$1:$A12)*D$1+D$1</f>
        <v>480000</v>
      </c>
      <c r="E13">
        <f>SUM($A$1:$A12)*E$1+E$1</f>
        <v>720000</v>
      </c>
      <c r="F13">
        <f>SUM($A$1:$A12)*F$1+F$1</f>
        <v>960000</v>
      </c>
      <c r="G13">
        <f>SUM($A$1:$A12)*G$1+G$1</f>
        <v>7200</v>
      </c>
      <c r="H13" t="str">
        <f t="shared" si="1"/>
        <v>1:240000#28:1800</v>
      </c>
      <c r="I13" t="str">
        <f t="shared" si="2"/>
        <v>1:480000#28:3600</v>
      </c>
      <c r="J13" t="str">
        <f t="shared" si="3"/>
        <v>1:720000#28:5400</v>
      </c>
      <c r="K13" t="str">
        <f t="shared" si="0"/>
        <v>1:960000#28:7200</v>
      </c>
    </row>
    <row r="14" spans="1:11">
      <c r="A14">
        <f t="shared" si="4"/>
        <v>3</v>
      </c>
      <c r="B14">
        <v>14</v>
      </c>
      <c r="C14">
        <f>SUM($A$1:$A13)*C$1+C$1</f>
        <v>270000</v>
      </c>
      <c r="D14">
        <f>SUM($A$1:$A13)*D$1+D$1</f>
        <v>540000</v>
      </c>
      <c r="E14">
        <f>SUM($A$1:$A13)*E$1+E$1</f>
        <v>810000</v>
      </c>
      <c r="F14">
        <f>SUM($A$1:$A13)*F$1+F$1</f>
        <v>1080000</v>
      </c>
      <c r="G14">
        <f>SUM($A$1:$A13)*G$1+G$1</f>
        <v>8100</v>
      </c>
      <c r="H14" t="str">
        <f t="shared" si="1"/>
        <v>1:270000#28:2025</v>
      </c>
      <c r="I14" t="str">
        <f t="shared" si="2"/>
        <v>1:540000#28:4050</v>
      </c>
      <c r="J14" t="str">
        <f t="shared" si="3"/>
        <v>1:810000#28:6075</v>
      </c>
      <c r="K14" t="str">
        <f t="shared" si="0"/>
        <v>1:1080000#28:8100</v>
      </c>
    </row>
    <row r="15" spans="1:11">
      <c r="A15">
        <f t="shared" si="4"/>
        <v>4</v>
      </c>
      <c r="B15">
        <v>15</v>
      </c>
      <c r="C15">
        <f>SUM($A$1:$A14)*C$1+C$1</f>
        <v>300000</v>
      </c>
      <c r="D15">
        <f>SUM($A$1:$A14)*D$1+D$1</f>
        <v>600000</v>
      </c>
      <c r="E15">
        <f>SUM($A$1:$A14)*E$1+E$1</f>
        <v>900000</v>
      </c>
      <c r="F15">
        <f>SUM($A$1:$A14)*F$1+F$1</f>
        <v>1200000</v>
      </c>
      <c r="G15">
        <f>SUM($A$1:$A14)*G$1+G$1</f>
        <v>9000</v>
      </c>
      <c r="H15" t="str">
        <f t="shared" si="1"/>
        <v>1:300000#28:2250</v>
      </c>
      <c r="I15" t="str">
        <f t="shared" si="2"/>
        <v>1:600000#28:4500</v>
      </c>
      <c r="J15" t="str">
        <f t="shared" si="3"/>
        <v>1:900000#28:6750</v>
      </c>
      <c r="K15" t="str">
        <f t="shared" si="0"/>
        <v>1:1200000#28:9000</v>
      </c>
    </row>
    <row r="16" spans="1:11">
      <c r="A16">
        <f t="shared" si="4"/>
        <v>4</v>
      </c>
      <c r="B16">
        <v>16</v>
      </c>
      <c r="C16">
        <f>SUM($A$1:$A15)*C$1+C$1</f>
        <v>340000</v>
      </c>
      <c r="D16">
        <f>SUM($A$1:$A15)*D$1+D$1</f>
        <v>680000</v>
      </c>
      <c r="E16">
        <f>SUM($A$1:$A15)*E$1+E$1</f>
        <v>1020000</v>
      </c>
      <c r="F16">
        <f>SUM($A$1:$A15)*F$1+F$1</f>
        <v>1360000</v>
      </c>
      <c r="G16">
        <f>SUM($A$1:$A15)*G$1+G$1</f>
        <v>10200</v>
      </c>
      <c r="H16" t="str">
        <f t="shared" si="1"/>
        <v>1:340000#28:2550</v>
      </c>
      <c r="I16" t="str">
        <f t="shared" si="2"/>
        <v>1:680000#28:5100</v>
      </c>
      <c r="J16" t="str">
        <f t="shared" si="3"/>
        <v>1:1020000#28:7650</v>
      </c>
      <c r="K16" t="str">
        <f t="shared" si="0"/>
        <v>1:1360000#28:10200</v>
      </c>
    </row>
    <row r="17" spans="1:11">
      <c r="A17">
        <f t="shared" si="4"/>
        <v>4</v>
      </c>
      <c r="B17">
        <v>17</v>
      </c>
      <c r="C17">
        <f>SUM($A$1:$A16)*C$1+C$1</f>
        <v>380000</v>
      </c>
      <c r="D17">
        <f>SUM($A$1:$A16)*D$1+D$1</f>
        <v>760000</v>
      </c>
      <c r="E17">
        <f>SUM($A$1:$A16)*E$1+E$1</f>
        <v>1140000</v>
      </c>
      <c r="F17">
        <f>SUM($A$1:$A16)*F$1+F$1</f>
        <v>1520000</v>
      </c>
      <c r="G17">
        <f>SUM($A$1:$A16)*G$1+G$1</f>
        <v>11400</v>
      </c>
      <c r="H17" t="str">
        <f t="shared" si="1"/>
        <v>1:380000#28:2850</v>
      </c>
      <c r="I17" t="str">
        <f t="shared" si="2"/>
        <v>1:760000#28:5700</v>
      </c>
      <c r="J17" t="str">
        <f t="shared" si="3"/>
        <v>1:1140000#28:8550</v>
      </c>
      <c r="K17" t="str">
        <f t="shared" ref="K17:K20" si="5">CONCATENATE("1:",F17,"#28:",$G17)</f>
        <v>1:1520000#28:11400</v>
      </c>
    </row>
    <row r="18" spans="1:11">
      <c r="A18">
        <f t="shared" si="4"/>
        <v>4</v>
      </c>
      <c r="B18">
        <v>18</v>
      </c>
      <c r="C18">
        <f>SUM($A$1:$A17)*C$1+C$1</f>
        <v>420000</v>
      </c>
      <c r="D18">
        <f>SUM($A$1:$A17)*D$1+D$1</f>
        <v>840000</v>
      </c>
      <c r="E18">
        <f>SUM($A$1:$A17)*E$1+E$1</f>
        <v>1260000</v>
      </c>
      <c r="F18">
        <f>SUM($A$1:$A17)*F$1+F$1</f>
        <v>1680000</v>
      </c>
      <c r="G18">
        <f>SUM($A$1:$A17)*G$1+G$1</f>
        <v>12600</v>
      </c>
      <c r="H18" t="str">
        <f t="shared" si="1"/>
        <v>1:420000#28:3150</v>
      </c>
      <c r="I18" t="str">
        <f t="shared" si="2"/>
        <v>1:840000#28:6300</v>
      </c>
      <c r="J18" t="str">
        <f t="shared" si="3"/>
        <v>1:1260000#28:9450</v>
      </c>
      <c r="K18" t="str">
        <f t="shared" si="5"/>
        <v>1:1680000#28:12600</v>
      </c>
    </row>
    <row r="19" spans="1:11">
      <c r="A19">
        <f t="shared" si="4"/>
        <v>4</v>
      </c>
      <c r="B19">
        <v>19</v>
      </c>
      <c r="C19">
        <f>SUM($A$1:$A18)*C$1+C$1</f>
        <v>460000</v>
      </c>
      <c r="D19">
        <f>SUM($A$1:$A18)*D$1+D$1</f>
        <v>920000</v>
      </c>
      <c r="E19">
        <f>SUM($A$1:$A18)*E$1+E$1</f>
        <v>1380000</v>
      </c>
      <c r="F19">
        <f>SUM($A$1:$A18)*F$1+F$1</f>
        <v>1840000</v>
      </c>
      <c r="G19">
        <f>SUM($A$1:$A18)*G$1+G$1</f>
        <v>13800</v>
      </c>
      <c r="H19" t="str">
        <f t="shared" si="1"/>
        <v>1:460000#28:3450</v>
      </c>
      <c r="I19" t="str">
        <f t="shared" si="2"/>
        <v>1:920000#28:6900</v>
      </c>
      <c r="J19" t="str">
        <f t="shared" si="3"/>
        <v>1:1380000#28:10350</v>
      </c>
      <c r="K19" t="str">
        <f t="shared" si="5"/>
        <v>1:1840000#28:13800</v>
      </c>
    </row>
    <row r="20" spans="1:11">
      <c r="B20">
        <v>20</v>
      </c>
      <c r="C20">
        <f>SUM($A$1:$A19)*C$1+C$1</f>
        <v>500000</v>
      </c>
      <c r="D20">
        <f>SUM($A$1:$A19)*D$1+D$1</f>
        <v>1000000</v>
      </c>
      <c r="E20">
        <f>SUM($A$1:$A19)*E$1+E$1</f>
        <v>1500000</v>
      </c>
      <c r="F20">
        <f>SUM($A$1:$A19)*F$1+F$1</f>
        <v>2000000</v>
      </c>
      <c r="G20">
        <f>SUM($A$1:$A19)*G$1+G$1</f>
        <v>15000</v>
      </c>
      <c r="H20" t="str">
        <f t="shared" si="1"/>
        <v>1:500000#28:3750</v>
      </c>
      <c r="I20" t="str">
        <f t="shared" si="2"/>
        <v>1:1000000#28:7500</v>
      </c>
      <c r="J20" t="str">
        <f t="shared" si="3"/>
        <v>1:1500000#28:11250</v>
      </c>
      <c r="K20" t="str">
        <f t="shared" si="5"/>
        <v>1:2000000#28:15000</v>
      </c>
    </row>
    <row r="23" spans="1:11">
      <c r="B23">
        <v>1</v>
      </c>
    </row>
    <row r="24" spans="1:11">
      <c r="B24">
        <v>1</v>
      </c>
    </row>
    <row r="25" spans="1:11">
      <c r="B25">
        <v>1</v>
      </c>
    </row>
    <row r="26" spans="1:11">
      <c r="B26">
        <v>1</v>
      </c>
    </row>
    <row r="27" spans="1:11">
      <c r="B27">
        <v>2</v>
      </c>
    </row>
    <row r="28" spans="1:11">
      <c r="B28">
        <v>2</v>
      </c>
    </row>
    <row r="29" spans="1:11">
      <c r="B29">
        <v>2</v>
      </c>
    </row>
    <row r="30" spans="1:11">
      <c r="B30">
        <v>2</v>
      </c>
    </row>
    <row r="31" spans="1:11">
      <c r="B31">
        <v>2</v>
      </c>
    </row>
    <row r="32" spans="1:11">
      <c r="B32">
        <f>B27+1</f>
        <v>3</v>
      </c>
    </row>
    <row r="33" spans="2:2">
      <c r="B33">
        <f t="shared" ref="B33:B41" si="6">B28+1</f>
        <v>3</v>
      </c>
    </row>
    <row r="34" spans="2:2">
      <c r="B34">
        <f t="shared" si="6"/>
        <v>3</v>
      </c>
    </row>
    <row r="35" spans="2:2">
      <c r="B35">
        <f t="shared" si="6"/>
        <v>3</v>
      </c>
    </row>
    <row r="36" spans="2:2">
      <c r="B36">
        <f t="shared" si="6"/>
        <v>3</v>
      </c>
    </row>
    <row r="37" spans="2:2">
      <c r="B37">
        <f t="shared" si="6"/>
        <v>4</v>
      </c>
    </row>
    <row r="38" spans="2:2">
      <c r="B38">
        <f t="shared" si="6"/>
        <v>4</v>
      </c>
    </row>
    <row r="39" spans="2:2">
      <c r="B39">
        <f t="shared" si="6"/>
        <v>4</v>
      </c>
    </row>
    <row r="40" spans="2:2">
      <c r="B40">
        <f t="shared" si="6"/>
        <v>4</v>
      </c>
    </row>
    <row r="41" spans="2:2">
      <c r="B41">
        <f t="shared" si="6"/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0"/>
  <sheetViews>
    <sheetView topLeftCell="A58" workbookViewId="0">
      <selection activeCell="W2" sqref="W2:W31"/>
    </sheetView>
  </sheetViews>
  <sheetFormatPr defaultColWidth="9" defaultRowHeight="15"/>
  <cols>
    <col min="1" max="1" width="15" customWidth="1"/>
  </cols>
  <sheetData>
    <row r="1" spans="1:23">
      <c r="A1">
        <v>1</v>
      </c>
      <c r="B1">
        <v>1</v>
      </c>
      <c r="C1">
        <v>1000</v>
      </c>
      <c r="D1">
        <f>C1*2</f>
        <v>2000</v>
      </c>
      <c r="E1">
        <f>C1*3</f>
        <v>3000</v>
      </c>
      <c r="F1">
        <f>C1*4</f>
        <v>4000</v>
      </c>
      <c r="H1">
        <f>C1</f>
        <v>1000</v>
      </c>
      <c r="J1" s="3"/>
      <c r="K1" s="3"/>
      <c r="L1" s="3"/>
      <c r="M1" s="3"/>
    </row>
    <row r="2" spans="1:23">
      <c r="A2">
        <v>1</v>
      </c>
      <c r="B2">
        <v>2</v>
      </c>
      <c r="C2">
        <f>SUM($A$1:$A1)*C$1+C$1</f>
        <v>2000</v>
      </c>
      <c r="D2">
        <f>SUM($A$1:$A1)*D$1+D$1</f>
        <v>4000</v>
      </c>
      <c r="E2">
        <f>SUM($A$1:$A1)*E$1+E$1</f>
        <v>6000</v>
      </c>
      <c r="F2">
        <f>SUM($A$1:$A1)*F$1+F$1</f>
        <v>8000</v>
      </c>
      <c r="H2">
        <f t="shared" ref="H2:H20" si="0">C2</f>
        <v>2000</v>
      </c>
      <c r="J2" s="3">
        <v>50000</v>
      </c>
      <c r="K2" s="3">
        <v>120000</v>
      </c>
      <c r="L2" s="3"/>
      <c r="M2" s="3">
        <v>35000</v>
      </c>
      <c r="O2" s="3">
        <v>1</v>
      </c>
      <c r="P2">
        <f>J4/10</f>
        <v>5000</v>
      </c>
      <c r="Q2">
        <f>K5/20</f>
        <v>6500</v>
      </c>
      <c r="R2">
        <f>L5/30</f>
        <v>8000</v>
      </c>
      <c r="S2">
        <v>12000</v>
      </c>
      <c r="T2">
        <f>SUM(P$2:P2)</f>
        <v>5000</v>
      </c>
      <c r="U2">
        <f>SUM(Q$2:Q2)</f>
        <v>6500</v>
      </c>
      <c r="V2">
        <f>SUM(R$2:R2)</f>
        <v>8000</v>
      </c>
      <c r="W2">
        <f>SUM(S$2:S2)</f>
        <v>12000</v>
      </c>
    </row>
    <row r="3" spans="1:23">
      <c r="A3">
        <v>1</v>
      </c>
      <c r="B3">
        <v>3</v>
      </c>
      <c r="C3">
        <f>SUM($A$1:$A2)*C$1+C$1</f>
        <v>3000</v>
      </c>
      <c r="D3">
        <f>SUM($A$1:$A2)*D$1+D$1</f>
        <v>6000</v>
      </c>
      <c r="E3">
        <f>SUM($A$1:$A2)*E$1+E$1</f>
        <v>9000</v>
      </c>
      <c r="F3">
        <f>SUM($A$1:$A2)*F$1+F$1</f>
        <v>12000</v>
      </c>
      <c r="H3">
        <f t="shared" si="0"/>
        <v>3000</v>
      </c>
      <c r="O3">
        <v>2</v>
      </c>
      <c r="P3">
        <v>5000</v>
      </c>
      <c r="Q3">
        <v>6500</v>
      </c>
      <c r="R3">
        <v>8000</v>
      </c>
      <c r="S3">
        <v>12000</v>
      </c>
      <c r="T3">
        <f>SUM(P$2:P3)</f>
        <v>10000</v>
      </c>
      <c r="U3">
        <f>SUM(Q$2:Q3)</f>
        <v>13000</v>
      </c>
      <c r="V3">
        <f>SUM(R$2:R3)</f>
        <v>16000</v>
      </c>
      <c r="W3">
        <f>SUM(S$2:S3)</f>
        <v>24000</v>
      </c>
    </row>
    <row r="4" spans="1:23">
      <c r="A4">
        <v>1</v>
      </c>
      <c r="B4">
        <v>4</v>
      </c>
      <c r="C4">
        <f>SUM($A$1:$A3)*C$1+C$1</f>
        <v>4000</v>
      </c>
      <c r="D4">
        <f>SUM($A$1:$A3)*D$1+D$1</f>
        <v>8000</v>
      </c>
      <c r="E4">
        <f>SUM($A$1:$A3)*E$1+E$1</f>
        <v>12000</v>
      </c>
      <c r="F4">
        <f>SUM($A$1:$A3)*F$1+F$1</f>
        <v>16000</v>
      </c>
      <c r="H4">
        <f t="shared" si="0"/>
        <v>4000</v>
      </c>
      <c r="J4">
        <v>50000</v>
      </c>
      <c r="K4">
        <v>100000</v>
      </c>
      <c r="L4">
        <v>150000</v>
      </c>
      <c r="M4">
        <v>200000</v>
      </c>
      <c r="O4" s="3">
        <v>3</v>
      </c>
      <c r="P4">
        <v>5000</v>
      </c>
      <c r="Q4">
        <v>6500</v>
      </c>
      <c r="R4">
        <v>8000</v>
      </c>
      <c r="S4">
        <v>12000</v>
      </c>
      <c r="T4">
        <f>SUM(P$2:P4)</f>
        <v>15000</v>
      </c>
      <c r="U4">
        <f>SUM(Q$2:Q4)</f>
        <v>19500</v>
      </c>
      <c r="V4">
        <f>SUM(R$2:R4)</f>
        <v>24000</v>
      </c>
      <c r="W4">
        <f>SUM(S$2:S4)</f>
        <v>36000</v>
      </c>
    </row>
    <row r="5" spans="1:23">
      <c r="A5">
        <v>2</v>
      </c>
      <c r="B5">
        <v>5</v>
      </c>
      <c r="C5">
        <f>SUM($A$1:$A4)*C$1+C$1</f>
        <v>5000</v>
      </c>
      <c r="D5">
        <f>SUM($A$1:$A4)*D$1+D$1</f>
        <v>10000</v>
      </c>
      <c r="E5">
        <f>SUM($A$1:$A4)*E$1+E$1</f>
        <v>15000</v>
      </c>
      <c r="F5">
        <f>SUM($A$1:$A4)*F$1+F$1</f>
        <v>20000</v>
      </c>
      <c r="H5">
        <f t="shared" si="0"/>
        <v>5000</v>
      </c>
      <c r="J5">
        <f>J4*1</f>
        <v>50000</v>
      </c>
      <c r="K5">
        <f>K4*1.3</f>
        <v>130000</v>
      </c>
      <c r="L5">
        <f>L4*1.6</f>
        <v>240000</v>
      </c>
      <c r="O5">
        <v>4</v>
      </c>
      <c r="P5">
        <v>5000</v>
      </c>
      <c r="Q5">
        <v>6500</v>
      </c>
      <c r="R5">
        <v>8000</v>
      </c>
      <c r="S5">
        <v>12000</v>
      </c>
      <c r="T5">
        <f>SUM(P$2:P5)</f>
        <v>20000</v>
      </c>
      <c r="U5">
        <f>SUM(Q$2:Q5)</f>
        <v>26000</v>
      </c>
      <c r="V5">
        <f>SUM(R$2:R5)</f>
        <v>32000</v>
      </c>
      <c r="W5">
        <f>SUM(S$2:S5)</f>
        <v>48000</v>
      </c>
    </row>
    <row r="6" spans="1:23">
      <c r="A6">
        <v>2</v>
      </c>
      <c r="B6">
        <v>6</v>
      </c>
      <c r="C6">
        <f>SUM($A$1:$A5)*C$1+C$1</f>
        <v>7000</v>
      </c>
      <c r="D6">
        <f>SUM($A$1:$A5)*D$1+D$1</f>
        <v>14000</v>
      </c>
      <c r="E6">
        <f>SUM($A$1:$A5)*E$1+E$1</f>
        <v>21000</v>
      </c>
      <c r="F6">
        <f>SUM($A$1:$A5)*F$1+F$1</f>
        <v>28000</v>
      </c>
      <c r="H6">
        <f t="shared" si="0"/>
        <v>7000</v>
      </c>
      <c r="O6" s="3">
        <v>5</v>
      </c>
      <c r="P6">
        <v>5000</v>
      </c>
      <c r="Q6">
        <v>6500</v>
      </c>
      <c r="R6">
        <v>8000</v>
      </c>
      <c r="S6">
        <v>12000</v>
      </c>
      <c r="T6">
        <f>SUM(P$2:P6)</f>
        <v>25000</v>
      </c>
      <c r="U6">
        <f>SUM(Q$2:Q6)</f>
        <v>32500</v>
      </c>
      <c r="V6">
        <f>SUM(R$2:R6)</f>
        <v>40000</v>
      </c>
      <c r="W6">
        <f>SUM(S$2:S6)</f>
        <v>60000</v>
      </c>
    </row>
    <row r="7" spans="1:23">
      <c r="A7">
        <v>2</v>
      </c>
      <c r="B7">
        <v>7</v>
      </c>
      <c r="C7">
        <f>SUM($A$1:$A6)*C$1+C$1</f>
        <v>9000</v>
      </c>
      <c r="D7">
        <f>SUM($A$1:$A6)*D$1+D$1</f>
        <v>18000</v>
      </c>
      <c r="E7">
        <f>SUM($A$1:$A6)*E$1+E$1</f>
        <v>27000</v>
      </c>
      <c r="F7">
        <f>SUM($A$1:$A6)*F$1+F$1</f>
        <v>36000</v>
      </c>
      <c r="H7">
        <f t="shared" si="0"/>
        <v>9000</v>
      </c>
      <c r="O7">
        <v>6</v>
      </c>
      <c r="P7">
        <v>5000</v>
      </c>
      <c r="Q7">
        <v>6500</v>
      </c>
      <c r="R7">
        <v>8000</v>
      </c>
      <c r="S7">
        <v>12000</v>
      </c>
      <c r="T7">
        <f>SUM(P$2:P7)</f>
        <v>30000</v>
      </c>
      <c r="U7">
        <f>SUM(Q$2:Q7)</f>
        <v>39000</v>
      </c>
      <c r="V7">
        <f>SUM(R$2:R7)</f>
        <v>48000</v>
      </c>
      <c r="W7">
        <f>SUM(S$2:S7)</f>
        <v>72000</v>
      </c>
    </row>
    <row r="8" spans="1:23">
      <c r="A8">
        <v>2</v>
      </c>
      <c r="B8">
        <v>8</v>
      </c>
      <c r="C8">
        <f>SUM($A$1:$A7)*C$1+C$1</f>
        <v>11000</v>
      </c>
      <c r="D8">
        <f>SUM($A$1:$A7)*D$1+D$1</f>
        <v>22000</v>
      </c>
      <c r="E8">
        <f>SUM($A$1:$A7)*E$1+E$1</f>
        <v>33000</v>
      </c>
      <c r="F8">
        <f>SUM($A$1:$A7)*F$1+F$1</f>
        <v>44000</v>
      </c>
      <c r="H8">
        <f t="shared" si="0"/>
        <v>11000</v>
      </c>
      <c r="O8" s="3">
        <v>7</v>
      </c>
      <c r="P8">
        <v>5000</v>
      </c>
      <c r="Q8">
        <v>6500</v>
      </c>
      <c r="R8">
        <v>8000</v>
      </c>
      <c r="S8">
        <v>12000</v>
      </c>
      <c r="T8">
        <f>SUM(P$2:P8)</f>
        <v>35000</v>
      </c>
      <c r="U8">
        <f>SUM(Q$2:Q8)</f>
        <v>45500</v>
      </c>
      <c r="V8">
        <f>SUM(R$2:R8)</f>
        <v>56000</v>
      </c>
      <c r="W8">
        <f>SUM(S$2:S8)</f>
        <v>84000</v>
      </c>
    </row>
    <row r="9" spans="1:23">
      <c r="A9">
        <v>2</v>
      </c>
      <c r="B9">
        <v>9</v>
      </c>
      <c r="C9">
        <f>SUM($A$1:$A8)*C$1+C$1</f>
        <v>13000</v>
      </c>
      <c r="D9">
        <f>SUM($A$1:$A8)*D$1+D$1</f>
        <v>26000</v>
      </c>
      <c r="E9">
        <f>SUM($A$1:$A8)*E$1+E$1</f>
        <v>39000</v>
      </c>
      <c r="F9">
        <f>SUM($A$1:$A8)*F$1+F$1</f>
        <v>52000</v>
      </c>
      <c r="H9">
        <f t="shared" si="0"/>
        <v>13000</v>
      </c>
      <c r="O9">
        <v>8</v>
      </c>
      <c r="P9">
        <v>5000</v>
      </c>
      <c r="Q9">
        <v>6500</v>
      </c>
      <c r="R9">
        <v>8000</v>
      </c>
      <c r="S9">
        <v>12000</v>
      </c>
      <c r="T9">
        <f>SUM(P$2:P9)</f>
        <v>40000</v>
      </c>
      <c r="U9">
        <f>SUM(Q$2:Q9)</f>
        <v>52000</v>
      </c>
      <c r="V9">
        <f>SUM(R$2:R9)</f>
        <v>64000</v>
      </c>
      <c r="W9">
        <f>SUM(S$2:S9)</f>
        <v>96000</v>
      </c>
    </row>
    <row r="10" spans="1:23">
      <c r="A10">
        <f>A5+1</f>
        <v>3</v>
      </c>
      <c r="B10">
        <v>10</v>
      </c>
      <c r="C10">
        <f>SUM($A$1:$A9)*C$1+C$1</f>
        <v>15000</v>
      </c>
      <c r="D10">
        <f>SUM($A$1:$A9)*D$1+D$1</f>
        <v>30000</v>
      </c>
      <c r="E10">
        <f>SUM($A$1:$A9)*E$1+E$1</f>
        <v>45000</v>
      </c>
      <c r="F10">
        <f>SUM($A$1:$A9)*F$1+F$1</f>
        <v>60000</v>
      </c>
      <c r="H10">
        <f t="shared" si="0"/>
        <v>15000</v>
      </c>
      <c r="O10" s="3">
        <v>9</v>
      </c>
      <c r="P10">
        <v>5000</v>
      </c>
      <c r="Q10">
        <v>6500</v>
      </c>
      <c r="R10">
        <v>8000</v>
      </c>
      <c r="S10">
        <v>12000</v>
      </c>
      <c r="T10">
        <f>SUM(P$2:P10)</f>
        <v>45000</v>
      </c>
      <c r="U10">
        <f>SUM(Q$2:Q10)</f>
        <v>58500</v>
      </c>
      <c r="V10">
        <f>SUM(R$2:R10)</f>
        <v>72000</v>
      </c>
      <c r="W10">
        <f>SUM(S$2:S10)</f>
        <v>108000</v>
      </c>
    </row>
    <row r="11" spans="1:23">
      <c r="A11">
        <f t="shared" ref="A11:A19" si="1">A6+1</f>
        <v>3</v>
      </c>
      <c r="B11">
        <v>11</v>
      </c>
      <c r="C11">
        <f>SUM($A$1:$A10)*C$1+C$1</f>
        <v>18000</v>
      </c>
      <c r="D11">
        <f>SUM($A$1:$A10)*D$1+D$1</f>
        <v>36000</v>
      </c>
      <c r="E11">
        <f>SUM($A$1:$A10)*E$1+E$1</f>
        <v>54000</v>
      </c>
      <c r="F11">
        <f>SUM($A$1:$A10)*F$1+F$1</f>
        <v>72000</v>
      </c>
      <c r="H11">
        <f t="shared" si="0"/>
        <v>18000</v>
      </c>
      <c r="O11">
        <v>10</v>
      </c>
      <c r="P11">
        <v>5000</v>
      </c>
      <c r="Q11">
        <v>6500</v>
      </c>
      <c r="R11">
        <v>8000</v>
      </c>
      <c r="S11">
        <v>12000</v>
      </c>
      <c r="T11">
        <f>SUM(P$2:P11)</f>
        <v>50000</v>
      </c>
      <c r="U11">
        <f>SUM(Q$2:Q11)</f>
        <v>65000</v>
      </c>
      <c r="V11">
        <f>SUM(R$2:R11)</f>
        <v>80000</v>
      </c>
      <c r="W11">
        <f>SUM(S$2:S11)</f>
        <v>120000</v>
      </c>
    </row>
    <row r="12" spans="1:23">
      <c r="A12">
        <f t="shared" si="1"/>
        <v>3</v>
      </c>
      <c r="B12">
        <v>12</v>
      </c>
      <c r="C12">
        <f>SUM($A$1:$A11)*C$1+C$1</f>
        <v>21000</v>
      </c>
      <c r="D12">
        <f>SUM($A$1:$A11)*D$1+D$1</f>
        <v>42000</v>
      </c>
      <c r="E12">
        <f>SUM($A$1:$A11)*E$1+E$1</f>
        <v>63000</v>
      </c>
      <c r="F12">
        <f>SUM($A$1:$A11)*F$1+F$1</f>
        <v>84000</v>
      </c>
      <c r="H12">
        <f t="shared" si="0"/>
        <v>21000</v>
      </c>
      <c r="O12" s="3">
        <v>11</v>
      </c>
      <c r="Q12">
        <v>6500</v>
      </c>
      <c r="R12">
        <v>8000</v>
      </c>
      <c r="S12">
        <v>12000</v>
      </c>
      <c r="U12">
        <f>SUM(Q$2:Q12)</f>
        <v>71500</v>
      </c>
      <c r="V12">
        <f>SUM(R$2:R12)</f>
        <v>88000</v>
      </c>
      <c r="W12">
        <f>SUM(S$2:S12)</f>
        <v>132000</v>
      </c>
    </row>
    <row r="13" spans="1:23">
      <c r="A13">
        <f t="shared" si="1"/>
        <v>3</v>
      </c>
      <c r="B13">
        <v>13</v>
      </c>
      <c r="C13">
        <f>SUM($A$1:$A12)*C$1+C$1</f>
        <v>24000</v>
      </c>
      <c r="D13">
        <f>SUM($A$1:$A12)*D$1+D$1</f>
        <v>48000</v>
      </c>
      <c r="E13">
        <f>SUM($A$1:$A12)*E$1+E$1</f>
        <v>72000</v>
      </c>
      <c r="F13">
        <f>SUM($A$1:$A12)*F$1+F$1</f>
        <v>96000</v>
      </c>
      <c r="H13">
        <f t="shared" si="0"/>
        <v>24000</v>
      </c>
      <c r="O13">
        <v>12</v>
      </c>
      <c r="Q13">
        <v>6500</v>
      </c>
      <c r="R13">
        <v>8000</v>
      </c>
      <c r="S13">
        <v>12000</v>
      </c>
      <c r="U13">
        <f>SUM(Q$2:Q13)</f>
        <v>78000</v>
      </c>
      <c r="V13">
        <f>SUM(R$2:R13)</f>
        <v>96000</v>
      </c>
      <c r="W13">
        <f>SUM(S$2:S13)</f>
        <v>144000</v>
      </c>
    </row>
    <row r="14" spans="1:23">
      <c r="A14">
        <f t="shared" si="1"/>
        <v>3</v>
      </c>
      <c r="B14">
        <v>14</v>
      </c>
      <c r="C14">
        <f>SUM($A$1:$A13)*C$1+C$1</f>
        <v>27000</v>
      </c>
      <c r="D14">
        <f>SUM($A$1:$A13)*D$1+D$1</f>
        <v>54000</v>
      </c>
      <c r="E14">
        <f>SUM($A$1:$A13)*E$1+E$1</f>
        <v>81000</v>
      </c>
      <c r="F14">
        <f>SUM($A$1:$A13)*F$1+F$1</f>
        <v>108000</v>
      </c>
      <c r="H14">
        <f t="shared" si="0"/>
        <v>27000</v>
      </c>
      <c r="O14" s="3">
        <v>13</v>
      </c>
      <c r="Q14">
        <v>6500</v>
      </c>
      <c r="R14">
        <v>8000</v>
      </c>
      <c r="S14">
        <v>12000</v>
      </c>
      <c r="U14">
        <f>SUM(Q$2:Q14)</f>
        <v>84500</v>
      </c>
      <c r="V14">
        <f>SUM(R$2:R14)</f>
        <v>104000</v>
      </c>
      <c r="W14">
        <f>SUM(S$2:S14)</f>
        <v>156000</v>
      </c>
    </row>
    <row r="15" spans="1:23">
      <c r="A15">
        <f t="shared" si="1"/>
        <v>4</v>
      </c>
      <c r="B15">
        <v>15</v>
      </c>
      <c r="C15">
        <f>SUM($A$1:$A14)*C$1+C$1</f>
        <v>30000</v>
      </c>
      <c r="D15">
        <f>SUM($A$1:$A14)*D$1+D$1</f>
        <v>60000</v>
      </c>
      <c r="E15">
        <f>SUM($A$1:$A14)*E$1+E$1</f>
        <v>90000</v>
      </c>
      <c r="F15">
        <f>SUM($A$1:$A14)*F$1+F$1</f>
        <v>120000</v>
      </c>
      <c r="H15">
        <f t="shared" si="0"/>
        <v>30000</v>
      </c>
      <c r="O15">
        <v>14</v>
      </c>
      <c r="Q15">
        <v>6500</v>
      </c>
      <c r="R15">
        <v>8000</v>
      </c>
      <c r="S15">
        <v>12000</v>
      </c>
      <c r="U15">
        <f>SUM(Q$2:Q15)</f>
        <v>91000</v>
      </c>
      <c r="V15">
        <f>SUM(R$2:R15)</f>
        <v>112000</v>
      </c>
      <c r="W15">
        <f>SUM(S$2:S15)</f>
        <v>168000</v>
      </c>
    </row>
    <row r="16" spans="1:23">
      <c r="A16">
        <f t="shared" si="1"/>
        <v>4</v>
      </c>
      <c r="B16">
        <v>16</v>
      </c>
      <c r="C16">
        <f>SUM($A$1:$A15)*C$1+C$1</f>
        <v>34000</v>
      </c>
      <c r="D16">
        <f>SUM($A$1:$A15)*D$1+D$1</f>
        <v>68000</v>
      </c>
      <c r="E16">
        <f>SUM($A$1:$A15)*E$1+E$1</f>
        <v>102000</v>
      </c>
      <c r="F16">
        <f>SUM($A$1:$A15)*F$1+F$1</f>
        <v>136000</v>
      </c>
      <c r="H16">
        <f t="shared" si="0"/>
        <v>34000</v>
      </c>
      <c r="O16" s="3">
        <v>15</v>
      </c>
      <c r="Q16">
        <v>6500</v>
      </c>
      <c r="R16">
        <v>8000</v>
      </c>
      <c r="S16">
        <v>12000</v>
      </c>
      <c r="U16">
        <f>SUM(Q$2:Q16)</f>
        <v>97500</v>
      </c>
      <c r="V16">
        <f>SUM(R$2:R16)</f>
        <v>120000</v>
      </c>
      <c r="W16">
        <f>SUM(S$2:S16)</f>
        <v>180000</v>
      </c>
    </row>
    <row r="17" spans="1:23">
      <c r="A17">
        <f t="shared" si="1"/>
        <v>4</v>
      </c>
      <c r="B17">
        <v>17</v>
      </c>
      <c r="C17">
        <f>SUM($A$1:$A16)*C$1+C$1</f>
        <v>38000</v>
      </c>
      <c r="D17">
        <f>SUM($A$1:$A16)*D$1+D$1</f>
        <v>76000</v>
      </c>
      <c r="E17">
        <f>SUM($A$1:$A16)*E$1+E$1</f>
        <v>114000</v>
      </c>
      <c r="F17">
        <f>SUM($A$1:$A16)*F$1+F$1</f>
        <v>152000</v>
      </c>
      <c r="H17">
        <f t="shared" si="0"/>
        <v>38000</v>
      </c>
      <c r="O17">
        <v>16</v>
      </c>
      <c r="Q17">
        <v>6500</v>
      </c>
      <c r="R17">
        <v>8000</v>
      </c>
      <c r="S17">
        <v>12000</v>
      </c>
      <c r="U17">
        <f>SUM(Q$2:Q17)</f>
        <v>104000</v>
      </c>
      <c r="V17">
        <f>SUM(R$2:R17)</f>
        <v>128000</v>
      </c>
      <c r="W17">
        <f>SUM(S$2:S17)</f>
        <v>192000</v>
      </c>
    </row>
    <row r="18" spans="1:23">
      <c r="A18">
        <f t="shared" si="1"/>
        <v>4</v>
      </c>
      <c r="B18">
        <v>18</v>
      </c>
      <c r="C18">
        <f>SUM($A$1:$A17)*C$1+C$1</f>
        <v>42000</v>
      </c>
      <c r="D18">
        <f>SUM($A$1:$A17)*D$1+D$1</f>
        <v>84000</v>
      </c>
      <c r="E18">
        <f>SUM($A$1:$A17)*E$1+E$1</f>
        <v>126000</v>
      </c>
      <c r="F18">
        <f>SUM($A$1:$A17)*F$1+F$1</f>
        <v>168000</v>
      </c>
      <c r="H18">
        <f t="shared" si="0"/>
        <v>42000</v>
      </c>
      <c r="O18" s="3">
        <v>17</v>
      </c>
      <c r="Q18">
        <v>6500</v>
      </c>
      <c r="R18">
        <v>8000</v>
      </c>
      <c r="S18">
        <v>12000</v>
      </c>
      <c r="U18">
        <f>SUM(Q$2:Q18)</f>
        <v>110500</v>
      </c>
      <c r="V18">
        <f>SUM(R$2:R18)</f>
        <v>136000</v>
      </c>
      <c r="W18">
        <f>SUM(S$2:S18)</f>
        <v>204000</v>
      </c>
    </row>
    <row r="19" spans="1:23">
      <c r="A19">
        <f t="shared" si="1"/>
        <v>4</v>
      </c>
      <c r="B19">
        <v>19</v>
      </c>
      <c r="C19">
        <f>SUM($A$1:$A18)*C$1+C$1</f>
        <v>46000</v>
      </c>
      <c r="D19">
        <f>SUM($A$1:$A18)*D$1+D$1</f>
        <v>92000</v>
      </c>
      <c r="E19">
        <f>SUM($A$1:$A18)*E$1+E$1</f>
        <v>138000</v>
      </c>
      <c r="F19">
        <f>SUM($A$1:$A18)*F$1+F$1</f>
        <v>184000</v>
      </c>
      <c r="H19">
        <f t="shared" si="0"/>
        <v>46000</v>
      </c>
      <c r="O19">
        <v>18</v>
      </c>
      <c r="Q19">
        <v>6500</v>
      </c>
      <c r="R19">
        <v>8000</v>
      </c>
      <c r="S19">
        <v>12000</v>
      </c>
      <c r="U19">
        <f>SUM(Q$2:Q19)</f>
        <v>117000</v>
      </c>
      <c r="V19">
        <f>SUM(R$2:R19)</f>
        <v>144000</v>
      </c>
      <c r="W19">
        <f>SUM(S$2:S19)</f>
        <v>216000</v>
      </c>
    </row>
    <row r="20" spans="1:23">
      <c r="B20">
        <v>20</v>
      </c>
      <c r="C20">
        <f>SUM($A$1:$A19)*C$1+C$1</f>
        <v>50000</v>
      </c>
      <c r="D20">
        <f>SUM($A$1:$A19)*D$1+D$1</f>
        <v>100000</v>
      </c>
      <c r="E20">
        <f>SUM($A$1:$A19)*E$1+E$1</f>
        <v>150000</v>
      </c>
      <c r="F20">
        <f>SUM($A$1:$A19)*F$1+F$1</f>
        <v>200000</v>
      </c>
      <c r="H20">
        <f t="shared" si="0"/>
        <v>50000</v>
      </c>
      <c r="O20" s="3">
        <v>19</v>
      </c>
      <c r="Q20">
        <v>6500</v>
      </c>
      <c r="R20">
        <v>8000</v>
      </c>
      <c r="S20">
        <v>12000</v>
      </c>
      <c r="U20">
        <f>SUM(Q$2:Q20)</f>
        <v>123500</v>
      </c>
      <c r="V20">
        <f>SUM(R$2:R20)</f>
        <v>152000</v>
      </c>
      <c r="W20">
        <f>SUM(S$2:S20)</f>
        <v>228000</v>
      </c>
    </row>
    <row r="21" spans="1:23">
      <c r="H21">
        <f>D1</f>
        <v>2000</v>
      </c>
      <c r="O21">
        <v>20</v>
      </c>
      <c r="Q21">
        <v>6500</v>
      </c>
      <c r="R21">
        <v>8000</v>
      </c>
      <c r="S21">
        <v>12000</v>
      </c>
      <c r="U21">
        <f>SUM(Q$2:Q21)</f>
        <v>130000</v>
      </c>
      <c r="V21">
        <f>SUM(R$2:R21)</f>
        <v>160000</v>
      </c>
      <c r="W21">
        <f>SUM(S$2:S21)</f>
        <v>240000</v>
      </c>
    </row>
    <row r="22" spans="1:23">
      <c r="D22">
        <f>D1*1.3</f>
        <v>2600</v>
      </c>
      <c r="E22">
        <f>E1*1.6</f>
        <v>4800</v>
      </c>
      <c r="H22">
        <f t="shared" ref="H22:H40" si="2">D2</f>
        <v>4000</v>
      </c>
      <c r="O22" s="3">
        <v>21</v>
      </c>
      <c r="R22">
        <v>8000</v>
      </c>
      <c r="S22">
        <v>12000</v>
      </c>
      <c r="V22">
        <f>SUM(R$2:R22)</f>
        <v>168000</v>
      </c>
      <c r="W22">
        <f>SUM(S$2:S22)</f>
        <v>252000</v>
      </c>
    </row>
    <row r="23" spans="1:23">
      <c r="D23">
        <f t="shared" ref="D23:D42" si="3">D2*1.3</f>
        <v>5200</v>
      </c>
      <c r="E23">
        <f t="shared" ref="E23:E47" si="4">E2*1.6</f>
        <v>9600</v>
      </c>
      <c r="H23">
        <f t="shared" si="2"/>
        <v>6000</v>
      </c>
      <c r="O23">
        <v>22</v>
      </c>
      <c r="R23">
        <v>8000</v>
      </c>
      <c r="S23">
        <v>12000</v>
      </c>
      <c r="V23">
        <f>SUM(R$2:R23)</f>
        <v>176000</v>
      </c>
      <c r="W23">
        <f>SUM(S$2:S23)</f>
        <v>264000</v>
      </c>
    </row>
    <row r="24" spans="1:23">
      <c r="D24">
        <f t="shared" si="3"/>
        <v>7800</v>
      </c>
      <c r="E24">
        <f t="shared" si="4"/>
        <v>14400</v>
      </c>
      <c r="H24">
        <f t="shared" si="2"/>
        <v>8000</v>
      </c>
      <c r="O24" s="3">
        <v>23</v>
      </c>
      <c r="R24">
        <v>8000</v>
      </c>
      <c r="S24">
        <v>12000</v>
      </c>
      <c r="V24">
        <f>SUM(R$2:R24)</f>
        <v>184000</v>
      </c>
      <c r="W24">
        <f>SUM(S$2:S24)</f>
        <v>276000</v>
      </c>
    </row>
    <row r="25" spans="1:23">
      <c r="D25">
        <f t="shared" si="3"/>
        <v>10400</v>
      </c>
      <c r="E25">
        <f t="shared" si="4"/>
        <v>19200</v>
      </c>
      <c r="H25">
        <f t="shared" si="2"/>
        <v>10000</v>
      </c>
      <c r="O25">
        <v>24</v>
      </c>
      <c r="R25">
        <v>8000</v>
      </c>
      <c r="S25">
        <v>12000</v>
      </c>
      <c r="V25">
        <f>SUM(R$2:R25)</f>
        <v>192000</v>
      </c>
      <c r="W25">
        <f>SUM(S$2:S25)</f>
        <v>288000</v>
      </c>
    </row>
    <row r="26" spans="1:23">
      <c r="D26">
        <f t="shared" si="3"/>
        <v>13000</v>
      </c>
      <c r="E26">
        <f t="shared" si="4"/>
        <v>24000</v>
      </c>
      <c r="H26">
        <f t="shared" si="2"/>
        <v>14000</v>
      </c>
      <c r="O26" s="3">
        <v>25</v>
      </c>
      <c r="R26">
        <v>8000</v>
      </c>
      <c r="S26">
        <v>12000</v>
      </c>
      <c r="V26">
        <f>SUM(R$2:R26)</f>
        <v>200000</v>
      </c>
      <c r="W26">
        <f>SUM(S$2:S26)</f>
        <v>300000</v>
      </c>
    </row>
    <row r="27" spans="1:23">
      <c r="D27">
        <f t="shared" si="3"/>
        <v>18200</v>
      </c>
      <c r="E27">
        <f t="shared" si="4"/>
        <v>33600</v>
      </c>
      <c r="H27">
        <f t="shared" si="2"/>
        <v>18000</v>
      </c>
      <c r="O27">
        <v>26</v>
      </c>
      <c r="R27">
        <v>8000</v>
      </c>
      <c r="S27">
        <v>12000</v>
      </c>
      <c r="V27">
        <f>SUM(R$2:R27)</f>
        <v>208000</v>
      </c>
      <c r="W27">
        <f>SUM(S$2:S27)</f>
        <v>312000</v>
      </c>
    </row>
    <row r="28" spans="1:23">
      <c r="D28">
        <f t="shared" si="3"/>
        <v>23400</v>
      </c>
      <c r="E28">
        <f t="shared" si="4"/>
        <v>43200</v>
      </c>
      <c r="H28">
        <f t="shared" si="2"/>
        <v>22000</v>
      </c>
      <c r="O28" s="3">
        <v>27</v>
      </c>
      <c r="R28">
        <v>8000</v>
      </c>
      <c r="S28">
        <v>12000</v>
      </c>
      <c r="V28">
        <f>SUM(R$2:R28)</f>
        <v>216000</v>
      </c>
      <c r="W28">
        <f>SUM(S$2:S28)</f>
        <v>324000</v>
      </c>
    </row>
    <row r="29" spans="1:23">
      <c r="D29">
        <f t="shared" si="3"/>
        <v>28600</v>
      </c>
      <c r="E29">
        <f t="shared" si="4"/>
        <v>52800</v>
      </c>
      <c r="H29">
        <f t="shared" si="2"/>
        <v>26000</v>
      </c>
      <c r="O29">
        <v>28</v>
      </c>
      <c r="R29">
        <v>8000</v>
      </c>
      <c r="S29">
        <v>12000</v>
      </c>
      <c r="V29">
        <f>SUM(R$2:R29)</f>
        <v>224000</v>
      </c>
      <c r="W29">
        <f>SUM(S$2:S29)</f>
        <v>336000</v>
      </c>
    </row>
    <row r="30" spans="1:23">
      <c r="D30">
        <f t="shared" si="3"/>
        <v>33800</v>
      </c>
      <c r="E30">
        <f t="shared" si="4"/>
        <v>62400</v>
      </c>
      <c r="H30">
        <f t="shared" si="2"/>
        <v>30000</v>
      </c>
      <c r="O30" s="3">
        <v>29</v>
      </c>
      <c r="R30">
        <v>8000</v>
      </c>
      <c r="S30">
        <v>12000</v>
      </c>
      <c r="V30">
        <f>SUM(R$2:R30)</f>
        <v>232000</v>
      </c>
      <c r="W30">
        <f>SUM(S$2:S30)</f>
        <v>348000</v>
      </c>
    </row>
    <row r="31" spans="1:23">
      <c r="D31">
        <f t="shared" si="3"/>
        <v>39000</v>
      </c>
      <c r="E31">
        <f t="shared" si="4"/>
        <v>72000</v>
      </c>
      <c r="H31">
        <f t="shared" si="2"/>
        <v>36000</v>
      </c>
      <c r="O31">
        <v>30</v>
      </c>
      <c r="R31">
        <v>8000</v>
      </c>
      <c r="S31">
        <v>12000</v>
      </c>
      <c r="V31">
        <f>SUM(R$2:R31)</f>
        <v>240000</v>
      </c>
      <c r="W31">
        <f>SUM(S$2:S31)</f>
        <v>360000</v>
      </c>
    </row>
    <row r="32" spans="1:23">
      <c r="D32">
        <f t="shared" si="3"/>
        <v>46800</v>
      </c>
      <c r="E32">
        <f t="shared" si="4"/>
        <v>86400</v>
      </c>
      <c r="H32">
        <f t="shared" si="2"/>
        <v>42000</v>
      </c>
    </row>
    <row r="33" spans="4:8">
      <c r="D33">
        <f t="shared" si="3"/>
        <v>54600</v>
      </c>
      <c r="E33">
        <f t="shared" si="4"/>
        <v>100800</v>
      </c>
      <c r="H33">
        <f t="shared" si="2"/>
        <v>48000</v>
      </c>
    </row>
    <row r="34" spans="4:8">
      <c r="D34">
        <f t="shared" si="3"/>
        <v>62400</v>
      </c>
      <c r="E34">
        <f t="shared" si="4"/>
        <v>115200</v>
      </c>
      <c r="H34">
        <f t="shared" si="2"/>
        <v>54000</v>
      </c>
    </row>
    <row r="35" spans="4:8">
      <c r="D35">
        <f t="shared" si="3"/>
        <v>70200</v>
      </c>
      <c r="E35">
        <f t="shared" si="4"/>
        <v>129600</v>
      </c>
      <c r="H35">
        <f t="shared" si="2"/>
        <v>60000</v>
      </c>
    </row>
    <row r="36" spans="4:8">
      <c r="D36">
        <f t="shared" si="3"/>
        <v>78000</v>
      </c>
      <c r="E36">
        <f t="shared" si="4"/>
        <v>144000</v>
      </c>
      <c r="H36">
        <f t="shared" si="2"/>
        <v>68000</v>
      </c>
    </row>
    <row r="37" spans="4:8">
      <c r="D37">
        <f t="shared" si="3"/>
        <v>88400</v>
      </c>
      <c r="E37">
        <f t="shared" si="4"/>
        <v>163200</v>
      </c>
      <c r="H37">
        <f t="shared" si="2"/>
        <v>76000</v>
      </c>
    </row>
    <row r="38" spans="4:8">
      <c r="D38">
        <f t="shared" si="3"/>
        <v>98800</v>
      </c>
      <c r="E38">
        <f t="shared" si="4"/>
        <v>182400</v>
      </c>
      <c r="H38">
        <f t="shared" si="2"/>
        <v>84000</v>
      </c>
    </row>
    <row r="39" spans="4:8">
      <c r="D39">
        <f t="shared" si="3"/>
        <v>109200</v>
      </c>
      <c r="E39">
        <f t="shared" si="4"/>
        <v>201600</v>
      </c>
      <c r="H39">
        <f t="shared" si="2"/>
        <v>92000</v>
      </c>
    </row>
    <row r="40" spans="4:8">
      <c r="D40">
        <f t="shared" si="3"/>
        <v>119600</v>
      </c>
      <c r="E40">
        <f t="shared" si="4"/>
        <v>220800</v>
      </c>
      <c r="H40">
        <f t="shared" si="2"/>
        <v>100000</v>
      </c>
    </row>
    <row r="41" spans="4:8">
      <c r="D41">
        <f t="shared" si="3"/>
        <v>130000</v>
      </c>
      <c r="E41">
        <f t="shared" si="4"/>
        <v>240000</v>
      </c>
      <c r="H41">
        <f>E1</f>
        <v>3000</v>
      </c>
    </row>
    <row r="42" spans="4:8">
      <c r="D42">
        <f t="shared" si="3"/>
        <v>0</v>
      </c>
      <c r="E42">
        <f t="shared" si="4"/>
        <v>0</v>
      </c>
      <c r="H42">
        <f t="shared" ref="H42:H60" si="5">E2</f>
        <v>6000</v>
      </c>
    </row>
    <row r="43" spans="4:8">
      <c r="E43">
        <f t="shared" si="4"/>
        <v>7680</v>
      </c>
      <c r="H43">
        <f t="shared" si="5"/>
        <v>9000</v>
      </c>
    </row>
    <row r="44" spans="4:8">
      <c r="E44">
        <f t="shared" si="4"/>
        <v>15360</v>
      </c>
      <c r="H44">
        <f t="shared" si="5"/>
        <v>12000</v>
      </c>
    </row>
    <row r="45" spans="4:8">
      <c r="E45">
        <f t="shared" si="4"/>
        <v>23040</v>
      </c>
      <c r="H45">
        <f t="shared" si="5"/>
        <v>15000</v>
      </c>
    </row>
    <row r="46" spans="4:8">
      <c r="E46">
        <f t="shared" si="4"/>
        <v>30720</v>
      </c>
      <c r="H46">
        <f t="shared" si="5"/>
        <v>21000</v>
      </c>
    </row>
    <row r="47" spans="4:8">
      <c r="E47">
        <f t="shared" si="4"/>
        <v>38400</v>
      </c>
      <c r="H47">
        <f t="shared" si="5"/>
        <v>27000</v>
      </c>
    </row>
    <row r="48" spans="4:8">
      <c r="H48">
        <f t="shared" si="5"/>
        <v>33000</v>
      </c>
    </row>
    <row r="49" spans="8:8">
      <c r="H49">
        <f t="shared" si="5"/>
        <v>39000</v>
      </c>
    </row>
    <row r="50" spans="8:8">
      <c r="H50">
        <f t="shared" si="5"/>
        <v>45000</v>
      </c>
    </row>
    <row r="51" spans="8:8">
      <c r="H51">
        <f t="shared" si="5"/>
        <v>54000</v>
      </c>
    </row>
    <row r="52" spans="8:8">
      <c r="H52">
        <f t="shared" si="5"/>
        <v>63000</v>
      </c>
    </row>
    <row r="53" spans="8:8">
      <c r="H53">
        <f t="shared" si="5"/>
        <v>72000</v>
      </c>
    </row>
    <row r="54" spans="8:8">
      <c r="H54">
        <f t="shared" si="5"/>
        <v>81000</v>
      </c>
    </row>
    <row r="55" spans="8:8">
      <c r="H55">
        <f t="shared" si="5"/>
        <v>90000</v>
      </c>
    </row>
    <row r="56" spans="8:8">
      <c r="H56">
        <f t="shared" si="5"/>
        <v>102000</v>
      </c>
    </row>
    <row r="57" spans="8:8">
      <c r="H57">
        <f t="shared" si="5"/>
        <v>114000</v>
      </c>
    </row>
    <row r="58" spans="8:8">
      <c r="H58">
        <f t="shared" si="5"/>
        <v>126000</v>
      </c>
    </row>
    <row r="59" spans="8:8">
      <c r="H59">
        <f t="shared" si="5"/>
        <v>138000</v>
      </c>
    </row>
    <row r="60" spans="8:8">
      <c r="H60">
        <f t="shared" si="5"/>
        <v>150000</v>
      </c>
    </row>
    <row r="61" spans="8:8">
      <c r="H61">
        <f>F1</f>
        <v>4000</v>
      </c>
    </row>
    <row r="62" spans="8:8">
      <c r="H62">
        <f t="shared" ref="H62:H80" si="6">F2</f>
        <v>8000</v>
      </c>
    </row>
    <row r="63" spans="8:8">
      <c r="H63">
        <f t="shared" si="6"/>
        <v>12000</v>
      </c>
    </row>
    <row r="64" spans="8:8">
      <c r="H64">
        <f t="shared" si="6"/>
        <v>16000</v>
      </c>
    </row>
    <row r="65" spans="8:8">
      <c r="H65">
        <f t="shared" si="6"/>
        <v>20000</v>
      </c>
    </row>
    <row r="66" spans="8:8">
      <c r="H66">
        <f t="shared" si="6"/>
        <v>28000</v>
      </c>
    </row>
    <row r="67" spans="8:8">
      <c r="H67">
        <f t="shared" si="6"/>
        <v>36000</v>
      </c>
    </row>
    <row r="68" spans="8:8">
      <c r="H68">
        <f t="shared" si="6"/>
        <v>44000</v>
      </c>
    </row>
    <row r="69" spans="8:8">
      <c r="H69">
        <f t="shared" si="6"/>
        <v>52000</v>
      </c>
    </row>
    <row r="70" spans="8:8">
      <c r="H70">
        <f t="shared" si="6"/>
        <v>60000</v>
      </c>
    </row>
    <row r="71" spans="8:8">
      <c r="H71">
        <f t="shared" si="6"/>
        <v>72000</v>
      </c>
    </row>
    <row r="72" spans="8:8">
      <c r="H72">
        <f t="shared" si="6"/>
        <v>84000</v>
      </c>
    </row>
    <row r="73" spans="8:8">
      <c r="H73">
        <f t="shared" si="6"/>
        <v>96000</v>
      </c>
    </row>
    <row r="74" spans="8:8">
      <c r="H74">
        <f t="shared" si="6"/>
        <v>108000</v>
      </c>
    </row>
    <row r="75" spans="8:8">
      <c r="H75">
        <f t="shared" si="6"/>
        <v>120000</v>
      </c>
    </row>
    <row r="76" spans="8:8">
      <c r="H76">
        <f t="shared" si="6"/>
        <v>136000</v>
      </c>
    </row>
    <row r="77" spans="8:8">
      <c r="H77">
        <f t="shared" si="6"/>
        <v>152000</v>
      </c>
    </row>
    <row r="78" spans="8:8">
      <c r="H78">
        <f t="shared" si="6"/>
        <v>168000</v>
      </c>
    </row>
    <row r="79" spans="8:8">
      <c r="H79">
        <f t="shared" si="6"/>
        <v>184000</v>
      </c>
    </row>
    <row r="80" spans="8:8">
      <c r="H80">
        <f t="shared" si="6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377"/>
  <sheetViews>
    <sheetView topLeftCell="A22" workbookViewId="0">
      <selection activeCell="B1" sqref="B1"/>
    </sheetView>
  </sheetViews>
  <sheetFormatPr defaultColWidth="9" defaultRowHeight="15"/>
  <cols>
    <col min="2" max="2" width="27.28515625" customWidth="1"/>
  </cols>
  <sheetData>
    <row r="1" spans="2:2">
      <c r="B1" s="1" t="s">
        <v>705</v>
      </c>
    </row>
    <row r="2" spans="2:2">
      <c r="B2" t="s">
        <v>706</v>
      </c>
    </row>
    <row r="3" spans="2:2">
      <c r="B3" t="s">
        <v>706</v>
      </c>
    </row>
    <row r="4" spans="2:2">
      <c r="B4" t="s">
        <v>706</v>
      </c>
    </row>
    <row r="5" spans="2:2">
      <c r="B5" t="s">
        <v>706</v>
      </c>
    </row>
    <row r="6" spans="2:2">
      <c r="B6" t="s">
        <v>706</v>
      </c>
    </row>
    <row r="7" spans="2:2">
      <c r="B7" t="s">
        <v>706</v>
      </c>
    </row>
    <row r="8" spans="2:2">
      <c r="B8" t="s">
        <v>706</v>
      </c>
    </row>
    <row r="9" spans="2:2">
      <c r="B9" t="s">
        <v>706</v>
      </c>
    </row>
    <row r="10" spans="2:2">
      <c r="B10" t="s">
        <v>706</v>
      </c>
    </row>
    <row r="11" spans="2:2">
      <c r="B11" t="s">
        <v>706</v>
      </c>
    </row>
    <row r="12" spans="2:2">
      <c r="B12" t="s">
        <v>706</v>
      </c>
    </row>
    <row r="13" spans="2:2">
      <c r="B13" t="s">
        <v>707</v>
      </c>
    </row>
    <row r="14" spans="2:2">
      <c r="B14" t="s">
        <v>707</v>
      </c>
    </row>
    <row r="15" spans="2:2">
      <c r="B15" t="s">
        <v>707</v>
      </c>
    </row>
    <row r="16" spans="2:2">
      <c r="B16" t="s">
        <v>707</v>
      </c>
    </row>
    <row r="17" spans="2:2">
      <c r="B17" t="s">
        <v>707</v>
      </c>
    </row>
    <row r="18" spans="2:2">
      <c r="B18" t="s">
        <v>707</v>
      </c>
    </row>
    <row r="19" spans="2:2">
      <c r="B19" t="s">
        <v>707</v>
      </c>
    </row>
    <row r="20" spans="2:2">
      <c r="B20" t="s">
        <v>707</v>
      </c>
    </row>
    <row r="21" spans="2:2">
      <c r="B21" t="s">
        <v>707</v>
      </c>
    </row>
    <row r="22" spans="2:2">
      <c r="B22" t="s">
        <v>707</v>
      </c>
    </row>
    <row r="23" spans="2:2">
      <c r="B23" t="s">
        <v>707</v>
      </c>
    </row>
    <row r="24" spans="2:2">
      <c r="B24" t="s">
        <v>707</v>
      </c>
    </row>
    <row r="25" spans="2:2">
      <c r="B25" t="s">
        <v>707</v>
      </c>
    </row>
    <row r="26" spans="2:2">
      <c r="B26" t="s">
        <v>707</v>
      </c>
    </row>
    <row r="27" spans="2:2">
      <c r="B27" t="s">
        <v>707</v>
      </c>
    </row>
    <row r="28" spans="2:2">
      <c r="B28" t="s">
        <v>707</v>
      </c>
    </row>
    <row r="29" spans="2:2">
      <c r="B29" t="s">
        <v>707</v>
      </c>
    </row>
    <row r="30" spans="2:2">
      <c r="B30" t="s">
        <v>707</v>
      </c>
    </row>
    <row r="31" spans="2:2">
      <c r="B31" t="s">
        <v>707</v>
      </c>
    </row>
    <row r="32" spans="2:2">
      <c r="B32" t="s">
        <v>707</v>
      </c>
    </row>
    <row r="33" spans="2:2">
      <c r="B33" t="s">
        <v>707</v>
      </c>
    </row>
    <row r="34" spans="2:2">
      <c r="B34" s="2" t="s">
        <v>706</v>
      </c>
    </row>
    <row r="35" spans="2:2">
      <c r="B35" s="2" t="s">
        <v>706</v>
      </c>
    </row>
    <row r="36" spans="2:2">
      <c r="B36" s="2" t="s">
        <v>706</v>
      </c>
    </row>
    <row r="37" spans="2:2">
      <c r="B37" s="2" t="s">
        <v>706</v>
      </c>
    </row>
    <row r="38" spans="2:2">
      <c r="B38" s="2" t="s">
        <v>706</v>
      </c>
    </row>
    <row r="39" spans="2:2">
      <c r="B39" s="2" t="s">
        <v>706</v>
      </c>
    </row>
    <row r="40" spans="2:2">
      <c r="B40" s="2" t="s">
        <v>706</v>
      </c>
    </row>
    <row r="41" spans="2:2">
      <c r="B41" s="2" t="s">
        <v>706</v>
      </c>
    </row>
    <row r="42" spans="2:2">
      <c r="B42" s="2" t="s">
        <v>706</v>
      </c>
    </row>
    <row r="43" spans="2:2">
      <c r="B43" s="2" t="s">
        <v>706</v>
      </c>
    </row>
    <row r="44" spans="2:2">
      <c r="B44" s="2" t="s">
        <v>706</v>
      </c>
    </row>
    <row r="45" spans="2:2">
      <c r="B45" s="2" t="s">
        <v>706</v>
      </c>
    </row>
    <row r="46" spans="2:2">
      <c r="B46" s="2" t="s">
        <v>706</v>
      </c>
    </row>
    <row r="47" spans="2:2">
      <c r="B47" s="2" t="s">
        <v>706</v>
      </c>
    </row>
    <row r="48" spans="2:2">
      <c r="B48" s="2" t="s">
        <v>706</v>
      </c>
    </row>
    <row r="49" spans="2:2">
      <c r="B49" s="2" t="s">
        <v>706</v>
      </c>
    </row>
    <row r="50" spans="2:2">
      <c r="B50" s="2" t="s">
        <v>706</v>
      </c>
    </row>
    <row r="51" spans="2:2">
      <c r="B51" s="2" t="s">
        <v>706</v>
      </c>
    </row>
    <row r="52" spans="2:2">
      <c r="B52" s="2" t="s">
        <v>706</v>
      </c>
    </row>
    <row r="53" spans="2:2">
      <c r="B53" s="2" t="s">
        <v>706</v>
      </c>
    </row>
    <row r="54" spans="2:2">
      <c r="B54" s="2" t="s">
        <v>706</v>
      </c>
    </row>
    <row r="55" spans="2:2">
      <c r="B55" s="2" t="s">
        <v>706</v>
      </c>
    </row>
    <row r="56" spans="2:2">
      <c r="B56" s="2" t="s">
        <v>706</v>
      </c>
    </row>
    <row r="57" spans="2:2">
      <c r="B57" s="2" t="s">
        <v>706</v>
      </c>
    </row>
    <row r="58" spans="2:2">
      <c r="B58" s="2" t="s">
        <v>706</v>
      </c>
    </row>
    <row r="59" spans="2:2">
      <c r="B59" s="2" t="s">
        <v>706</v>
      </c>
    </row>
    <row r="60" spans="2:2">
      <c r="B60" s="2" t="s">
        <v>706</v>
      </c>
    </row>
    <row r="61" spans="2:2">
      <c r="B61" s="2" t="s">
        <v>706</v>
      </c>
    </row>
    <row r="62" spans="2:2">
      <c r="B62" s="2" t="s">
        <v>706</v>
      </c>
    </row>
    <row r="63" spans="2:2">
      <c r="B63" s="2" t="s">
        <v>706</v>
      </c>
    </row>
    <row r="64" spans="2:2">
      <c r="B64" s="2" t="s">
        <v>706</v>
      </c>
    </row>
    <row r="65" spans="2:2">
      <c r="B65" s="2" t="s">
        <v>706</v>
      </c>
    </row>
    <row r="66" spans="2:2">
      <c r="B66" s="2" t="s">
        <v>706</v>
      </c>
    </row>
    <row r="67" spans="2:2">
      <c r="B67" s="2" t="s">
        <v>706</v>
      </c>
    </row>
    <row r="68" spans="2:2">
      <c r="B68" s="2" t="s">
        <v>706</v>
      </c>
    </row>
    <row r="69" spans="2:2">
      <c r="B69" s="2" t="s">
        <v>706</v>
      </c>
    </row>
    <row r="70" spans="2:2">
      <c r="B70" s="2" t="s">
        <v>706</v>
      </c>
    </row>
    <row r="71" spans="2:2">
      <c r="B71" s="2" t="s">
        <v>706</v>
      </c>
    </row>
    <row r="72" spans="2:2">
      <c r="B72" s="2" t="s">
        <v>706</v>
      </c>
    </row>
    <row r="73" spans="2:2">
      <c r="B73" s="2" t="s">
        <v>706</v>
      </c>
    </row>
    <row r="74" spans="2:2">
      <c r="B74" s="2" t="s">
        <v>706</v>
      </c>
    </row>
    <row r="75" spans="2:2">
      <c r="B75" s="2" t="s">
        <v>706</v>
      </c>
    </row>
    <row r="76" spans="2:2">
      <c r="B76" s="2" t="s">
        <v>706</v>
      </c>
    </row>
    <row r="77" spans="2:2">
      <c r="B77" s="2" t="s">
        <v>706</v>
      </c>
    </row>
    <row r="78" spans="2:2">
      <c r="B78" s="2" t="s">
        <v>706</v>
      </c>
    </row>
    <row r="79" spans="2:2">
      <c r="B79" s="2" t="s">
        <v>706</v>
      </c>
    </row>
    <row r="80" spans="2:2">
      <c r="B80" s="2" t="s">
        <v>706</v>
      </c>
    </row>
    <row r="81" spans="2:2">
      <c r="B81" s="2" t="s">
        <v>706</v>
      </c>
    </row>
    <row r="82" spans="2:2">
      <c r="B82" s="2" t="s">
        <v>706</v>
      </c>
    </row>
    <row r="83" spans="2:2">
      <c r="B83" s="2" t="s">
        <v>706</v>
      </c>
    </row>
    <row r="84" spans="2:2">
      <c r="B84" s="2" t="s">
        <v>706</v>
      </c>
    </row>
    <row r="85" spans="2:2">
      <c r="B85" s="2" t="s">
        <v>706</v>
      </c>
    </row>
    <row r="86" spans="2:2">
      <c r="B86" s="2" t="s">
        <v>706</v>
      </c>
    </row>
    <row r="87" spans="2:2">
      <c r="B87" s="2" t="s">
        <v>706</v>
      </c>
    </row>
    <row r="88" spans="2:2">
      <c r="B88" s="2" t="s">
        <v>706</v>
      </c>
    </row>
    <row r="89" spans="2:2">
      <c r="B89" s="2" t="s">
        <v>706</v>
      </c>
    </row>
    <row r="90" spans="2:2">
      <c r="B90" s="2" t="s">
        <v>706</v>
      </c>
    </row>
    <row r="91" spans="2:2">
      <c r="B91" s="2" t="s">
        <v>706</v>
      </c>
    </row>
    <row r="92" spans="2:2">
      <c r="B92" s="2" t="s">
        <v>706</v>
      </c>
    </row>
    <row r="93" spans="2:2">
      <c r="B93" s="2" t="s">
        <v>706</v>
      </c>
    </row>
    <row r="94" spans="2:2">
      <c r="B94" s="2" t="s">
        <v>706</v>
      </c>
    </row>
    <row r="95" spans="2:2">
      <c r="B95" s="2" t="s">
        <v>706</v>
      </c>
    </row>
    <row r="96" spans="2:2">
      <c r="B96" t="s">
        <v>706</v>
      </c>
    </row>
    <row r="97" spans="2:2">
      <c r="B97" t="s">
        <v>706</v>
      </c>
    </row>
    <row r="98" spans="2:2">
      <c r="B98" t="s">
        <v>706</v>
      </c>
    </row>
    <row r="99" spans="2:2">
      <c r="B99" t="s">
        <v>706</v>
      </c>
    </row>
    <row r="100" spans="2:2">
      <c r="B100" t="s">
        <v>706</v>
      </c>
    </row>
    <row r="101" spans="2:2">
      <c r="B101" t="s">
        <v>706</v>
      </c>
    </row>
    <row r="102" spans="2:2">
      <c r="B102" t="s">
        <v>706</v>
      </c>
    </row>
    <row r="103" spans="2:2">
      <c r="B103" t="s">
        <v>706</v>
      </c>
    </row>
    <row r="104" spans="2:2">
      <c r="B104" t="s">
        <v>706</v>
      </c>
    </row>
    <row r="105" spans="2:2">
      <c r="B105" t="s">
        <v>706</v>
      </c>
    </row>
    <row r="106" spans="2:2">
      <c r="B106" t="s">
        <v>706</v>
      </c>
    </row>
    <row r="107" spans="2:2">
      <c r="B107" t="s">
        <v>707</v>
      </c>
    </row>
    <row r="108" spans="2:2">
      <c r="B108" t="s">
        <v>707</v>
      </c>
    </row>
    <row r="109" spans="2:2">
      <c r="B109" t="s">
        <v>707</v>
      </c>
    </row>
    <row r="110" spans="2:2">
      <c r="B110" t="s">
        <v>707</v>
      </c>
    </row>
    <row r="111" spans="2:2">
      <c r="B111" t="s">
        <v>707</v>
      </c>
    </row>
    <row r="112" spans="2:2">
      <c r="B112" t="s">
        <v>707</v>
      </c>
    </row>
    <row r="113" spans="2:2">
      <c r="B113" t="s">
        <v>707</v>
      </c>
    </row>
    <row r="114" spans="2:2">
      <c r="B114" t="s">
        <v>707</v>
      </c>
    </row>
    <row r="115" spans="2:2">
      <c r="B115" t="s">
        <v>707</v>
      </c>
    </row>
    <row r="116" spans="2:2">
      <c r="B116" t="s">
        <v>707</v>
      </c>
    </row>
    <row r="117" spans="2:2">
      <c r="B117" t="s">
        <v>707</v>
      </c>
    </row>
    <row r="118" spans="2:2">
      <c r="B118" t="s">
        <v>707</v>
      </c>
    </row>
    <row r="119" spans="2:2">
      <c r="B119" t="s">
        <v>707</v>
      </c>
    </row>
    <row r="120" spans="2:2">
      <c r="B120" t="s">
        <v>707</v>
      </c>
    </row>
    <row r="121" spans="2:2">
      <c r="B121" t="s">
        <v>707</v>
      </c>
    </row>
    <row r="122" spans="2:2">
      <c r="B122" t="s">
        <v>707</v>
      </c>
    </row>
    <row r="123" spans="2:2">
      <c r="B123" t="s">
        <v>707</v>
      </c>
    </row>
    <row r="124" spans="2:2">
      <c r="B124" t="s">
        <v>707</v>
      </c>
    </row>
    <row r="125" spans="2:2">
      <c r="B125" t="s">
        <v>707</v>
      </c>
    </row>
    <row r="126" spans="2:2">
      <c r="B126" t="s">
        <v>707</v>
      </c>
    </row>
    <row r="127" spans="2:2">
      <c r="B127" t="s">
        <v>707</v>
      </c>
    </row>
    <row r="128" spans="2:2">
      <c r="B128" s="2" t="s">
        <v>706</v>
      </c>
    </row>
    <row r="129" spans="2:2">
      <c r="B129" s="2" t="s">
        <v>706</v>
      </c>
    </row>
    <row r="130" spans="2:2">
      <c r="B130" s="2" t="s">
        <v>706</v>
      </c>
    </row>
    <row r="131" spans="2:2">
      <c r="B131" s="2" t="s">
        <v>706</v>
      </c>
    </row>
    <row r="132" spans="2:2">
      <c r="B132" s="2" t="s">
        <v>706</v>
      </c>
    </row>
    <row r="133" spans="2:2">
      <c r="B133" s="2" t="s">
        <v>706</v>
      </c>
    </row>
    <row r="134" spans="2:2">
      <c r="B134" s="2" t="s">
        <v>706</v>
      </c>
    </row>
    <row r="135" spans="2:2">
      <c r="B135" s="2" t="s">
        <v>706</v>
      </c>
    </row>
    <row r="136" spans="2:2">
      <c r="B136" s="2" t="s">
        <v>706</v>
      </c>
    </row>
    <row r="137" spans="2:2">
      <c r="B137" s="2" t="s">
        <v>706</v>
      </c>
    </row>
    <row r="138" spans="2:2">
      <c r="B138" s="2" t="s">
        <v>706</v>
      </c>
    </row>
    <row r="139" spans="2:2">
      <c r="B139" s="2" t="s">
        <v>706</v>
      </c>
    </row>
    <row r="140" spans="2:2">
      <c r="B140" s="2" t="s">
        <v>706</v>
      </c>
    </row>
    <row r="141" spans="2:2">
      <c r="B141" s="2" t="s">
        <v>706</v>
      </c>
    </row>
    <row r="142" spans="2:2">
      <c r="B142" s="2" t="s">
        <v>706</v>
      </c>
    </row>
    <row r="143" spans="2:2">
      <c r="B143" s="2" t="s">
        <v>706</v>
      </c>
    </row>
    <row r="144" spans="2:2">
      <c r="B144" s="2" t="s">
        <v>706</v>
      </c>
    </row>
    <row r="145" spans="2:2">
      <c r="B145" s="2" t="s">
        <v>706</v>
      </c>
    </row>
    <row r="146" spans="2:2">
      <c r="B146" s="2" t="s">
        <v>706</v>
      </c>
    </row>
    <row r="147" spans="2:2">
      <c r="B147" s="2" t="s">
        <v>706</v>
      </c>
    </row>
    <row r="148" spans="2:2">
      <c r="B148" s="2" t="s">
        <v>706</v>
      </c>
    </row>
    <row r="149" spans="2:2">
      <c r="B149" s="2" t="s">
        <v>706</v>
      </c>
    </row>
    <row r="150" spans="2:2">
      <c r="B150" s="2" t="s">
        <v>706</v>
      </c>
    </row>
    <row r="151" spans="2:2">
      <c r="B151" s="2" t="s">
        <v>706</v>
      </c>
    </row>
    <row r="152" spans="2:2">
      <c r="B152" s="2" t="s">
        <v>706</v>
      </c>
    </row>
    <row r="153" spans="2:2">
      <c r="B153" s="2" t="s">
        <v>706</v>
      </c>
    </row>
    <row r="154" spans="2:2">
      <c r="B154" s="2" t="s">
        <v>706</v>
      </c>
    </row>
    <row r="155" spans="2:2">
      <c r="B155" s="2" t="s">
        <v>706</v>
      </c>
    </row>
    <row r="156" spans="2:2">
      <c r="B156" s="2" t="s">
        <v>706</v>
      </c>
    </row>
    <row r="157" spans="2:2">
      <c r="B157" s="2" t="s">
        <v>706</v>
      </c>
    </row>
    <row r="158" spans="2:2">
      <c r="B158" s="2" t="s">
        <v>706</v>
      </c>
    </row>
    <row r="159" spans="2:2">
      <c r="B159" s="2" t="s">
        <v>706</v>
      </c>
    </row>
    <row r="160" spans="2:2">
      <c r="B160" s="2" t="s">
        <v>706</v>
      </c>
    </row>
    <row r="161" spans="2:2">
      <c r="B161" s="2" t="s">
        <v>706</v>
      </c>
    </row>
    <row r="162" spans="2:2">
      <c r="B162" s="2" t="s">
        <v>706</v>
      </c>
    </row>
    <row r="163" spans="2:2">
      <c r="B163" s="2" t="s">
        <v>706</v>
      </c>
    </row>
    <row r="164" spans="2:2">
      <c r="B164" s="2" t="s">
        <v>706</v>
      </c>
    </row>
    <row r="165" spans="2:2">
      <c r="B165" s="2" t="s">
        <v>706</v>
      </c>
    </row>
    <row r="166" spans="2:2">
      <c r="B166" s="2" t="s">
        <v>706</v>
      </c>
    </row>
    <row r="167" spans="2:2">
      <c r="B167" s="2" t="s">
        <v>706</v>
      </c>
    </row>
    <row r="168" spans="2:2">
      <c r="B168" s="2" t="s">
        <v>706</v>
      </c>
    </row>
    <row r="169" spans="2:2">
      <c r="B169" s="2" t="s">
        <v>706</v>
      </c>
    </row>
    <row r="170" spans="2:2">
      <c r="B170" s="2" t="s">
        <v>706</v>
      </c>
    </row>
    <row r="171" spans="2:2">
      <c r="B171" s="2" t="s">
        <v>706</v>
      </c>
    </row>
    <row r="172" spans="2:2">
      <c r="B172" s="2" t="s">
        <v>706</v>
      </c>
    </row>
    <row r="173" spans="2:2">
      <c r="B173" s="2" t="s">
        <v>706</v>
      </c>
    </row>
    <row r="174" spans="2:2">
      <c r="B174" s="2" t="s">
        <v>706</v>
      </c>
    </row>
    <row r="175" spans="2:2">
      <c r="B175" s="2" t="s">
        <v>706</v>
      </c>
    </row>
    <row r="176" spans="2:2">
      <c r="B176" s="2" t="s">
        <v>706</v>
      </c>
    </row>
    <row r="177" spans="2:2">
      <c r="B177" s="2" t="s">
        <v>706</v>
      </c>
    </row>
    <row r="178" spans="2:2">
      <c r="B178" s="2" t="s">
        <v>706</v>
      </c>
    </row>
    <row r="179" spans="2:2">
      <c r="B179" s="2" t="s">
        <v>706</v>
      </c>
    </row>
    <row r="180" spans="2:2">
      <c r="B180" s="2" t="s">
        <v>706</v>
      </c>
    </row>
    <row r="181" spans="2:2">
      <c r="B181" s="2" t="s">
        <v>706</v>
      </c>
    </row>
    <row r="182" spans="2:2">
      <c r="B182" s="2" t="s">
        <v>706</v>
      </c>
    </row>
    <row r="183" spans="2:2">
      <c r="B183" s="2" t="s">
        <v>706</v>
      </c>
    </row>
    <row r="184" spans="2:2">
      <c r="B184" s="2" t="s">
        <v>706</v>
      </c>
    </row>
    <row r="185" spans="2:2">
      <c r="B185" s="2" t="s">
        <v>706</v>
      </c>
    </row>
    <row r="186" spans="2:2">
      <c r="B186" s="2" t="s">
        <v>706</v>
      </c>
    </row>
    <row r="187" spans="2:2">
      <c r="B187" s="2" t="s">
        <v>706</v>
      </c>
    </row>
    <row r="188" spans="2:2">
      <c r="B188" s="2" t="s">
        <v>706</v>
      </c>
    </row>
    <row r="189" spans="2:2">
      <c r="B189" s="2" t="s">
        <v>706</v>
      </c>
    </row>
    <row r="190" spans="2:2">
      <c r="B190" t="s">
        <v>706</v>
      </c>
    </row>
    <row r="191" spans="2:2">
      <c r="B191" t="s">
        <v>706</v>
      </c>
    </row>
    <row r="192" spans="2:2">
      <c r="B192" t="s">
        <v>706</v>
      </c>
    </row>
    <row r="193" spans="2:2">
      <c r="B193" t="s">
        <v>706</v>
      </c>
    </row>
    <row r="194" spans="2:2">
      <c r="B194" t="s">
        <v>706</v>
      </c>
    </row>
    <row r="195" spans="2:2">
      <c r="B195" t="s">
        <v>706</v>
      </c>
    </row>
    <row r="196" spans="2:2">
      <c r="B196" t="s">
        <v>706</v>
      </c>
    </row>
    <row r="197" spans="2:2">
      <c r="B197" t="s">
        <v>706</v>
      </c>
    </row>
    <row r="198" spans="2:2">
      <c r="B198" t="s">
        <v>706</v>
      </c>
    </row>
    <row r="199" spans="2:2">
      <c r="B199" t="s">
        <v>706</v>
      </c>
    </row>
    <row r="200" spans="2:2">
      <c r="B200" t="s">
        <v>706</v>
      </c>
    </row>
    <row r="201" spans="2:2">
      <c r="B201" t="s">
        <v>707</v>
      </c>
    </row>
    <row r="202" spans="2:2">
      <c r="B202" t="s">
        <v>707</v>
      </c>
    </row>
    <row r="203" spans="2:2">
      <c r="B203" t="s">
        <v>707</v>
      </c>
    </row>
    <row r="204" spans="2:2">
      <c r="B204" t="s">
        <v>707</v>
      </c>
    </row>
    <row r="205" spans="2:2">
      <c r="B205" t="s">
        <v>707</v>
      </c>
    </row>
    <row r="206" spans="2:2">
      <c r="B206" t="s">
        <v>707</v>
      </c>
    </row>
    <row r="207" spans="2:2">
      <c r="B207" t="s">
        <v>707</v>
      </c>
    </row>
    <row r="208" spans="2:2">
      <c r="B208" t="s">
        <v>707</v>
      </c>
    </row>
    <row r="209" spans="2:2">
      <c r="B209" t="s">
        <v>707</v>
      </c>
    </row>
    <row r="210" spans="2:2">
      <c r="B210" t="s">
        <v>707</v>
      </c>
    </row>
    <row r="211" spans="2:2">
      <c r="B211" t="s">
        <v>707</v>
      </c>
    </row>
    <row r="212" spans="2:2">
      <c r="B212" t="s">
        <v>707</v>
      </c>
    </row>
    <row r="213" spans="2:2">
      <c r="B213" t="s">
        <v>707</v>
      </c>
    </row>
    <row r="214" spans="2:2">
      <c r="B214" t="s">
        <v>707</v>
      </c>
    </row>
    <row r="215" spans="2:2">
      <c r="B215" t="s">
        <v>707</v>
      </c>
    </row>
    <row r="216" spans="2:2">
      <c r="B216" t="s">
        <v>707</v>
      </c>
    </row>
    <row r="217" spans="2:2">
      <c r="B217" t="s">
        <v>707</v>
      </c>
    </row>
    <row r="218" spans="2:2">
      <c r="B218" t="s">
        <v>707</v>
      </c>
    </row>
    <row r="219" spans="2:2">
      <c r="B219" t="s">
        <v>707</v>
      </c>
    </row>
    <row r="220" spans="2:2">
      <c r="B220" t="s">
        <v>707</v>
      </c>
    </row>
    <row r="221" spans="2:2">
      <c r="B221" t="s">
        <v>707</v>
      </c>
    </row>
    <row r="222" spans="2:2">
      <c r="B222" s="2" t="s">
        <v>706</v>
      </c>
    </row>
    <row r="223" spans="2:2">
      <c r="B223" s="2" t="s">
        <v>706</v>
      </c>
    </row>
    <row r="224" spans="2:2">
      <c r="B224" s="2" t="s">
        <v>706</v>
      </c>
    </row>
    <row r="225" spans="2:2">
      <c r="B225" s="2" t="s">
        <v>706</v>
      </c>
    </row>
    <row r="226" spans="2:2">
      <c r="B226" s="2" t="s">
        <v>706</v>
      </c>
    </row>
    <row r="227" spans="2:2">
      <c r="B227" s="2" t="s">
        <v>706</v>
      </c>
    </row>
    <row r="228" spans="2:2">
      <c r="B228" s="2" t="s">
        <v>706</v>
      </c>
    </row>
    <row r="229" spans="2:2">
      <c r="B229" s="2" t="s">
        <v>706</v>
      </c>
    </row>
    <row r="230" spans="2:2">
      <c r="B230" s="2" t="s">
        <v>706</v>
      </c>
    </row>
    <row r="231" spans="2:2">
      <c r="B231" s="2" t="s">
        <v>706</v>
      </c>
    </row>
    <row r="232" spans="2:2">
      <c r="B232" s="2" t="s">
        <v>706</v>
      </c>
    </row>
    <row r="233" spans="2:2">
      <c r="B233" s="2" t="s">
        <v>706</v>
      </c>
    </row>
    <row r="234" spans="2:2">
      <c r="B234" s="2" t="s">
        <v>706</v>
      </c>
    </row>
    <row r="235" spans="2:2">
      <c r="B235" s="2" t="s">
        <v>706</v>
      </c>
    </row>
    <row r="236" spans="2:2">
      <c r="B236" s="2" t="s">
        <v>706</v>
      </c>
    </row>
    <row r="237" spans="2:2">
      <c r="B237" s="2" t="s">
        <v>706</v>
      </c>
    </row>
    <row r="238" spans="2:2">
      <c r="B238" s="2" t="s">
        <v>706</v>
      </c>
    </row>
    <row r="239" spans="2:2">
      <c r="B239" s="2" t="s">
        <v>706</v>
      </c>
    </row>
    <row r="240" spans="2:2">
      <c r="B240" s="2" t="s">
        <v>706</v>
      </c>
    </row>
    <row r="241" spans="2:2">
      <c r="B241" s="2" t="s">
        <v>706</v>
      </c>
    </row>
    <row r="242" spans="2:2">
      <c r="B242" s="2" t="s">
        <v>706</v>
      </c>
    </row>
    <row r="243" spans="2:2">
      <c r="B243" s="2" t="s">
        <v>706</v>
      </c>
    </row>
    <row r="244" spans="2:2">
      <c r="B244" s="2" t="s">
        <v>706</v>
      </c>
    </row>
    <row r="245" spans="2:2">
      <c r="B245" s="2" t="s">
        <v>706</v>
      </c>
    </row>
    <row r="246" spans="2:2">
      <c r="B246" s="2" t="s">
        <v>706</v>
      </c>
    </row>
    <row r="247" spans="2:2">
      <c r="B247" s="2" t="s">
        <v>706</v>
      </c>
    </row>
    <row r="248" spans="2:2">
      <c r="B248" s="2" t="s">
        <v>706</v>
      </c>
    </row>
    <row r="249" spans="2:2">
      <c r="B249" s="2" t="s">
        <v>706</v>
      </c>
    </row>
    <row r="250" spans="2:2">
      <c r="B250" s="2" t="s">
        <v>706</v>
      </c>
    </row>
    <row r="251" spans="2:2">
      <c r="B251" s="2" t="s">
        <v>706</v>
      </c>
    </row>
    <row r="252" spans="2:2">
      <c r="B252" s="2" t="s">
        <v>706</v>
      </c>
    </row>
    <row r="253" spans="2:2">
      <c r="B253" s="2" t="s">
        <v>706</v>
      </c>
    </row>
    <row r="254" spans="2:2">
      <c r="B254" s="2" t="s">
        <v>706</v>
      </c>
    </row>
    <row r="255" spans="2:2">
      <c r="B255" s="2" t="s">
        <v>706</v>
      </c>
    </row>
    <row r="256" spans="2:2">
      <c r="B256" s="2" t="s">
        <v>706</v>
      </c>
    </row>
    <row r="257" spans="2:2">
      <c r="B257" s="2" t="s">
        <v>706</v>
      </c>
    </row>
    <row r="258" spans="2:2">
      <c r="B258" s="2" t="s">
        <v>706</v>
      </c>
    </row>
    <row r="259" spans="2:2">
      <c r="B259" s="2" t="s">
        <v>706</v>
      </c>
    </row>
    <row r="260" spans="2:2">
      <c r="B260" s="2" t="s">
        <v>706</v>
      </c>
    </row>
    <row r="261" spans="2:2">
      <c r="B261" s="2" t="s">
        <v>706</v>
      </c>
    </row>
    <row r="262" spans="2:2">
      <c r="B262" s="2" t="s">
        <v>706</v>
      </c>
    </row>
    <row r="263" spans="2:2">
      <c r="B263" s="2" t="s">
        <v>706</v>
      </c>
    </row>
    <row r="264" spans="2:2">
      <c r="B264" s="2" t="s">
        <v>706</v>
      </c>
    </row>
    <row r="265" spans="2:2">
      <c r="B265" s="2" t="s">
        <v>706</v>
      </c>
    </row>
    <row r="266" spans="2:2">
      <c r="B266" s="2" t="s">
        <v>706</v>
      </c>
    </row>
    <row r="267" spans="2:2">
      <c r="B267" s="2" t="s">
        <v>706</v>
      </c>
    </row>
    <row r="268" spans="2:2">
      <c r="B268" s="2" t="s">
        <v>706</v>
      </c>
    </row>
    <row r="269" spans="2:2">
      <c r="B269" s="2" t="s">
        <v>706</v>
      </c>
    </row>
    <row r="270" spans="2:2">
      <c r="B270" s="2" t="s">
        <v>706</v>
      </c>
    </row>
    <row r="271" spans="2:2">
      <c r="B271" s="2" t="s">
        <v>706</v>
      </c>
    </row>
    <row r="272" spans="2:2">
      <c r="B272" s="2" t="s">
        <v>706</v>
      </c>
    </row>
    <row r="273" spans="2:2">
      <c r="B273" s="2" t="s">
        <v>706</v>
      </c>
    </row>
    <row r="274" spans="2:2">
      <c r="B274" s="2" t="s">
        <v>706</v>
      </c>
    </row>
    <row r="275" spans="2:2">
      <c r="B275" s="2" t="s">
        <v>706</v>
      </c>
    </row>
    <row r="276" spans="2:2">
      <c r="B276" s="2" t="s">
        <v>706</v>
      </c>
    </row>
    <row r="277" spans="2:2">
      <c r="B277" s="2" t="s">
        <v>706</v>
      </c>
    </row>
    <row r="278" spans="2:2">
      <c r="B278" s="2" t="s">
        <v>706</v>
      </c>
    </row>
    <row r="279" spans="2:2">
      <c r="B279" s="2" t="s">
        <v>706</v>
      </c>
    </row>
    <row r="280" spans="2:2">
      <c r="B280" s="2" t="s">
        <v>706</v>
      </c>
    </row>
    <row r="281" spans="2:2">
      <c r="B281" s="2" t="s">
        <v>706</v>
      </c>
    </row>
    <row r="282" spans="2:2">
      <c r="B282" s="2" t="s">
        <v>706</v>
      </c>
    </row>
    <row r="283" spans="2:2">
      <c r="B283" s="2" t="s">
        <v>706</v>
      </c>
    </row>
    <row r="284" spans="2:2">
      <c r="B284" t="s">
        <v>706</v>
      </c>
    </row>
    <row r="285" spans="2:2">
      <c r="B285" t="s">
        <v>706</v>
      </c>
    </row>
    <row r="286" spans="2:2">
      <c r="B286" t="s">
        <v>706</v>
      </c>
    </row>
    <row r="287" spans="2:2">
      <c r="B287" t="s">
        <v>706</v>
      </c>
    </row>
    <row r="288" spans="2:2">
      <c r="B288" t="s">
        <v>706</v>
      </c>
    </row>
    <row r="289" spans="2:2">
      <c r="B289" t="s">
        <v>706</v>
      </c>
    </row>
    <row r="290" spans="2:2">
      <c r="B290" t="s">
        <v>706</v>
      </c>
    </row>
    <row r="291" spans="2:2">
      <c r="B291" t="s">
        <v>706</v>
      </c>
    </row>
    <row r="292" spans="2:2">
      <c r="B292" t="s">
        <v>706</v>
      </c>
    </row>
    <row r="293" spans="2:2">
      <c r="B293" t="s">
        <v>706</v>
      </c>
    </row>
    <row r="294" spans="2:2">
      <c r="B294" t="s">
        <v>706</v>
      </c>
    </row>
    <row r="295" spans="2:2">
      <c r="B295" t="s">
        <v>707</v>
      </c>
    </row>
    <row r="296" spans="2:2">
      <c r="B296" t="s">
        <v>707</v>
      </c>
    </row>
    <row r="297" spans="2:2">
      <c r="B297" t="s">
        <v>707</v>
      </c>
    </row>
    <row r="298" spans="2:2">
      <c r="B298" t="s">
        <v>707</v>
      </c>
    </row>
    <row r="299" spans="2:2">
      <c r="B299" t="s">
        <v>707</v>
      </c>
    </row>
    <row r="300" spans="2:2">
      <c r="B300" t="s">
        <v>707</v>
      </c>
    </row>
    <row r="301" spans="2:2">
      <c r="B301" t="s">
        <v>707</v>
      </c>
    </row>
    <row r="302" spans="2:2">
      <c r="B302" t="s">
        <v>707</v>
      </c>
    </row>
    <row r="303" spans="2:2">
      <c r="B303" t="s">
        <v>707</v>
      </c>
    </row>
    <row r="304" spans="2:2">
      <c r="B304" t="s">
        <v>707</v>
      </c>
    </row>
    <row r="305" spans="2:2">
      <c r="B305" t="s">
        <v>707</v>
      </c>
    </row>
    <row r="306" spans="2:2">
      <c r="B306" t="s">
        <v>707</v>
      </c>
    </row>
    <row r="307" spans="2:2">
      <c r="B307" t="s">
        <v>707</v>
      </c>
    </row>
    <row r="308" spans="2:2">
      <c r="B308" t="s">
        <v>707</v>
      </c>
    </row>
    <row r="309" spans="2:2">
      <c r="B309" t="s">
        <v>707</v>
      </c>
    </row>
    <row r="310" spans="2:2">
      <c r="B310" t="s">
        <v>707</v>
      </c>
    </row>
    <row r="311" spans="2:2">
      <c r="B311" t="s">
        <v>707</v>
      </c>
    </row>
    <row r="312" spans="2:2">
      <c r="B312" t="s">
        <v>707</v>
      </c>
    </row>
    <row r="313" spans="2:2">
      <c r="B313" t="s">
        <v>707</v>
      </c>
    </row>
    <row r="314" spans="2:2">
      <c r="B314" t="s">
        <v>707</v>
      </c>
    </row>
    <row r="315" spans="2:2">
      <c r="B315" t="s">
        <v>707</v>
      </c>
    </row>
    <row r="316" spans="2:2">
      <c r="B316" s="2" t="s">
        <v>706</v>
      </c>
    </row>
    <row r="317" spans="2:2">
      <c r="B317" s="2" t="s">
        <v>706</v>
      </c>
    </row>
    <row r="318" spans="2:2">
      <c r="B318" s="2" t="s">
        <v>706</v>
      </c>
    </row>
    <row r="319" spans="2:2">
      <c r="B319" s="2" t="s">
        <v>706</v>
      </c>
    </row>
    <row r="320" spans="2:2">
      <c r="B320" s="2" t="s">
        <v>706</v>
      </c>
    </row>
    <row r="321" spans="2:2">
      <c r="B321" s="2" t="s">
        <v>706</v>
      </c>
    </row>
    <row r="322" spans="2:2">
      <c r="B322" s="2" t="s">
        <v>706</v>
      </c>
    </row>
    <row r="323" spans="2:2">
      <c r="B323" s="2" t="s">
        <v>706</v>
      </c>
    </row>
    <row r="324" spans="2:2">
      <c r="B324" s="2" t="s">
        <v>706</v>
      </c>
    </row>
    <row r="325" spans="2:2">
      <c r="B325" s="2" t="s">
        <v>706</v>
      </c>
    </row>
    <row r="326" spans="2:2">
      <c r="B326" s="2" t="s">
        <v>706</v>
      </c>
    </row>
    <row r="327" spans="2:2">
      <c r="B327" s="2" t="s">
        <v>706</v>
      </c>
    </row>
    <row r="328" spans="2:2">
      <c r="B328" s="2" t="s">
        <v>706</v>
      </c>
    </row>
    <row r="329" spans="2:2">
      <c r="B329" s="2" t="s">
        <v>706</v>
      </c>
    </row>
    <row r="330" spans="2:2">
      <c r="B330" s="2" t="s">
        <v>706</v>
      </c>
    </row>
    <row r="331" spans="2:2">
      <c r="B331" s="2" t="s">
        <v>706</v>
      </c>
    </row>
    <row r="332" spans="2:2">
      <c r="B332" s="2" t="s">
        <v>706</v>
      </c>
    </row>
    <row r="333" spans="2:2">
      <c r="B333" s="2" t="s">
        <v>706</v>
      </c>
    </row>
    <row r="334" spans="2:2">
      <c r="B334" s="2" t="s">
        <v>706</v>
      </c>
    </row>
    <row r="335" spans="2:2">
      <c r="B335" s="2" t="s">
        <v>706</v>
      </c>
    </row>
    <row r="336" spans="2:2">
      <c r="B336" s="2" t="s">
        <v>706</v>
      </c>
    </row>
    <row r="337" spans="2:2">
      <c r="B337" s="2" t="s">
        <v>706</v>
      </c>
    </row>
    <row r="338" spans="2:2">
      <c r="B338" s="2" t="s">
        <v>706</v>
      </c>
    </row>
    <row r="339" spans="2:2">
      <c r="B339" s="2" t="s">
        <v>706</v>
      </c>
    </row>
    <row r="340" spans="2:2">
      <c r="B340" s="2" t="s">
        <v>706</v>
      </c>
    </row>
    <row r="341" spans="2:2">
      <c r="B341" s="2" t="s">
        <v>706</v>
      </c>
    </row>
    <row r="342" spans="2:2">
      <c r="B342" s="2" t="s">
        <v>706</v>
      </c>
    </row>
    <row r="343" spans="2:2">
      <c r="B343" s="2" t="s">
        <v>706</v>
      </c>
    </row>
    <row r="344" spans="2:2">
      <c r="B344" s="2" t="s">
        <v>706</v>
      </c>
    </row>
    <row r="345" spans="2:2">
      <c r="B345" s="2" t="s">
        <v>706</v>
      </c>
    </row>
    <row r="346" spans="2:2">
      <c r="B346" s="2" t="s">
        <v>706</v>
      </c>
    </row>
    <row r="347" spans="2:2">
      <c r="B347" s="2" t="s">
        <v>706</v>
      </c>
    </row>
    <row r="348" spans="2:2">
      <c r="B348" s="2" t="s">
        <v>706</v>
      </c>
    </row>
    <row r="349" spans="2:2">
      <c r="B349" s="2" t="s">
        <v>706</v>
      </c>
    </row>
    <row r="350" spans="2:2">
      <c r="B350" s="2" t="s">
        <v>706</v>
      </c>
    </row>
    <row r="351" spans="2:2">
      <c r="B351" s="2" t="s">
        <v>706</v>
      </c>
    </row>
    <row r="352" spans="2:2">
      <c r="B352" s="2" t="s">
        <v>706</v>
      </c>
    </row>
    <row r="353" spans="2:2">
      <c r="B353" s="2" t="s">
        <v>706</v>
      </c>
    </row>
    <row r="354" spans="2:2">
      <c r="B354" s="2" t="s">
        <v>706</v>
      </c>
    </row>
    <row r="355" spans="2:2">
      <c r="B355" s="2" t="s">
        <v>706</v>
      </c>
    </row>
    <row r="356" spans="2:2">
      <c r="B356" s="2" t="s">
        <v>706</v>
      </c>
    </row>
    <row r="357" spans="2:2">
      <c r="B357" s="2" t="s">
        <v>706</v>
      </c>
    </row>
    <row r="358" spans="2:2">
      <c r="B358" s="2" t="s">
        <v>706</v>
      </c>
    </row>
    <row r="359" spans="2:2">
      <c r="B359" s="2" t="s">
        <v>706</v>
      </c>
    </row>
    <row r="360" spans="2:2">
      <c r="B360" s="2" t="s">
        <v>706</v>
      </c>
    </row>
    <row r="361" spans="2:2">
      <c r="B361" s="2" t="s">
        <v>706</v>
      </c>
    </row>
    <row r="362" spans="2:2">
      <c r="B362" s="2" t="s">
        <v>706</v>
      </c>
    </row>
    <row r="363" spans="2:2">
      <c r="B363" s="2" t="s">
        <v>706</v>
      </c>
    </row>
    <row r="364" spans="2:2">
      <c r="B364" s="2" t="s">
        <v>706</v>
      </c>
    </row>
    <row r="365" spans="2:2">
      <c r="B365" s="2" t="s">
        <v>706</v>
      </c>
    </row>
    <row r="366" spans="2:2">
      <c r="B366" s="2" t="s">
        <v>706</v>
      </c>
    </row>
    <row r="367" spans="2:2">
      <c r="B367" s="2" t="s">
        <v>706</v>
      </c>
    </row>
    <row r="368" spans="2:2">
      <c r="B368" s="2" t="s">
        <v>706</v>
      </c>
    </row>
    <row r="369" spans="2:2">
      <c r="B369" s="2" t="s">
        <v>706</v>
      </c>
    </row>
    <row r="370" spans="2:2">
      <c r="B370" s="2" t="s">
        <v>706</v>
      </c>
    </row>
    <row r="371" spans="2:2">
      <c r="B371" s="2" t="s">
        <v>706</v>
      </c>
    </row>
    <row r="372" spans="2:2">
      <c r="B372" s="2" t="s">
        <v>706</v>
      </c>
    </row>
    <row r="373" spans="2:2">
      <c r="B373" s="2" t="s">
        <v>706</v>
      </c>
    </row>
    <row r="374" spans="2:2">
      <c r="B374" s="2" t="s">
        <v>706</v>
      </c>
    </row>
    <row r="375" spans="2:2">
      <c r="B375" s="2" t="s">
        <v>706</v>
      </c>
    </row>
    <row r="376" spans="2:2">
      <c r="B376" s="2" t="s">
        <v>706</v>
      </c>
    </row>
    <row r="377" spans="2:2">
      <c r="B377" s="2" t="s">
        <v>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神龙基础</vt:lpstr>
      <vt:lpstr>神龙召唤</vt:lpstr>
      <vt:lpstr>神龙强化</vt:lpstr>
      <vt:lpstr>神龙图鉴</vt:lpstr>
      <vt:lpstr>御灵等级</vt:lpstr>
      <vt:lpstr>龙蛋合成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2021-07-16T07:58:00Z</dcterms:created>
  <dcterms:modified xsi:type="dcterms:W3CDTF">2024-01-23T07:29:22Z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5C5E0807740047D2BB0EF4648F311D3B</vt:lpwstr>
  </property>
  <property fmtid="{D5CDD505-2E9C-101B-9397-08002B2CF9AE}" pid="3" name="KSOProductBuildVer">
    <vt:lpwstr>1033-12.2.0.13266</vt:lpwstr>
  </property>
</Properties>
</file>