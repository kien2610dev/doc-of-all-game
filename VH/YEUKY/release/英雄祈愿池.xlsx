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Huy - Yêu Ký\release\"/>
    </mc:Choice>
  </mc:AlternateContent>
  <xr:revisionPtr revIDLastSave="0" documentId="13_ncr:1_{2C44345D-EF07-4B01-87CA-D23080D34187}" xr6:coauthVersionLast="47" xr6:coauthVersionMax="47" xr10:uidLastSave="{00000000-0000-0000-0000-000000000000}"/>
  <bookViews>
    <workbookView xWindow="34485" yWindow="2475" windowWidth="22545" windowHeight="12990" xr2:uid="{00000000-000D-0000-FFFF-FFFF00000000}"/>
  </bookViews>
  <sheets>
    <sheet name="英雄祈愿基础" sheetId="1" r:id="rId1"/>
    <sheet name="英雄祈愿召唤方式" sheetId="2" r:id="rId2"/>
    <sheet name="英雄祈愿心仪英雄" sheetId="3" r:id="rId3"/>
    <sheet name="英雄祈愿召唤奖励" sheetId="4" r:id="rId4"/>
    <sheet name="Sheet1" sheetId="5" r:id="rId5"/>
  </sheets>
  <calcPr calcId="191029"/>
</workbook>
</file>

<file path=xl/calcChain.xml><?xml version="1.0" encoding="utf-8"?>
<calcChain xmlns="http://schemas.openxmlformats.org/spreadsheetml/2006/main">
  <c r="H66" i="5" l="1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J22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J1" i="5"/>
  <c r="M5" i="5" s="1"/>
  <c r="H1" i="5"/>
  <c r="N4" i="5" l="1"/>
</calcChain>
</file>

<file path=xl/sharedStrings.xml><?xml version="1.0" encoding="utf-8"?>
<sst xmlns="http://schemas.openxmlformats.org/spreadsheetml/2006/main" count="332" uniqueCount="221">
  <si>
    <t>活动ID</t>
  </si>
  <si>
    <t>活动名称</t>
  </si>
  <si>
    <t>开服天数下限</t>
  </si>
  <si>
    <t>开始时间</t>
  </si>
  <si>
    <t>结束时间</t>
  </si>
  <si>
    <t>必出指定阵营英雄次数</t>
  </si>
  <si>
    <t>召唤道具</t>
  </si>
  <si>
    <t>正常星组</t>
  </si>
  <si>
    <t>保底星组</t>
  </si>
  <si>
    <t>防脸白星组</t>
  </si>
  <si>
    <t>召唤次数奖励分组</t>
  </si>
  <si>
    <t>Anh hùng cầu nguyện ao</t>
  </si>
  <si>
    <t>1:120#2:120#3:120#4:150#5:150</t>
  </si>
  <si>
    <t>ID</t>
  </si>
  <si>
    <t>备注</t>
  </si>
  <si>
    <t>召唤次数</t>
  </si>
  <si>
    <t>道具消耗数量</t>
  </si>
  <si>
    <t>启用保底</t>
  </si>
  <si>
    <t>进入保底星组的三星数量</t>
  </si>
  <si>
    <t>启用防脸白</t>
  </si>
  <si>
    <t>进入防脸白星组的五星数量</t>
  </si>
  <si>
    <t>Quất 1</t>
  </si>
  <si>
    <t>Quất 10</t>
  </si>
  <si>
    <t>英雄ID</t>
  </si>
  <si>
    <t>增加权重</t>
  </si>
  <si>
    <t>Lý Tĩnh</t>
  </si>
  <si>
    <t>Đặng Thiền Ngọc</t>
  </si>
  <si>
    <t>Hằng Nga</t>
  </si>
  <si>
    <t>Hậu Nghệ</t>
  </si>
  <si>
    <t>Cơ Phát</t>
  </si>
  <si>
    <t>Na Tra</t>
  </si>
  <si>
    <t>Khương Tử Nha</t>
  </si>
  <si>
    <t>Lôi Chấn Tử</t>
  </si>
  <si>
    <t>Hoa Mộc Lan</t>
  </si>
  <si>
    <t>Thiên Bồng Nguyên Soái</t>
  </si>
  <si>
    <t>Quyển Liêm Đại Tướng</t>
  </si>
  <si>
    <t>Nam Cực Tiên Tử</t>
  </si>
  <si>
    <t>Lộc Duyên Thượng Tiên</t>
  </si>
  <si>
    <t>Đấu Chiến Thắng Phật</t>
  </si>
  <si>
    <t>Thông Thiên Giáo Chủ</t>
  </si>
  <si>
    <t>Nguyên Thủy Thiên Tôn</t>
  </si>
  <si>
    <t>Vân Trung Tử</t>
  </si>
  <si>
    <t>Bạch Long</t>
  </si>
  <si>
    <t>Huyền Trang</t>
  </si>
  <si>
    <t>Hồng Hài Nhi</t>
  </si>
  <si>
    <t>Thạch Cơ</t>
  </si>
  <si>
    <t>Hỗn Thiên Đại Thánh</t>
  </si>
  <si>
    <t>Ngưu Ma Vương</t>
  </si>
  <si>
    <t>Giơ Cao Thương</t>
  </si>
  <si>
    <t>Kim Ô</t>
  </si>
  <si>
    <t>Ngao Bính</t>
  </si>
  <si>
    <t>Bạch Cốt Phu Nhân</t>
  </si>
  <si>
    <t>Ðát Kỷ</t>
  </si>
  <si>
    <t>Khổng Tuyên</t>
  </si>
  <si>
    <t>Man Châu</t>
  </si>
  <si>
    <t>Bàn Cổ</t>
  </si>
  <si>
    <t>Thần Nông</t>
  </si>
  <si>
    <t>Nữ Oa</t>
  </si>
  <si>
    <t>Côn</t>
  </si>
  <si>
    <t>Ngọc Đế</t>
  </si>
  <si>
    <t>Cộng Công</t>
  </si>
  <si>
    <t>Chúc Dung</t>
  </si>
  <si>
    <t>Cửu Thiên Huyền Nữ</t>
  </si>
  <si>
    <t>Dương Tiễn</t>
  </si>
  <si>
    <t>Mẹ Tổ</t>
  </si>
  <si>
    <t>Tam Thánh Mẫu</t>
  </si>
  <si>
    <t>Xi Vưu</t>
  </si>
  <si>
    <t>Mạnh Bà</t>
  </si>
  <si>
    <t>Hình Thiên</t>
  </si>
  <si>
    <t>Ma · Ngộ Không</t>
  </si>
  <si>
    <t>Hoàng Tuyền</t>
  </si>
  <si>
    <t>Diêm Quân</t>
  </si>
  <si>
    <t>Đông Hoàng Thái Nhất</t>
  </si>
  <si>
    <t>Chúc Long</t>
  </si>
  <si>
    <t>Dạ Mị</t>
  </si>
  <si>
    <t>Linh Môi Ma Nữ</t>
  </si>
  <si>
    <t>Minh Hà</t>
  </si>
  <si>
    <t>Vô Thiên</t>
  </si>
  <si>
    <t>Tây Vương Mẫu</t>
  </si>
  <si>
    <t>Phách Rồng</t>
  </si>
  <si>
    <t>Tu La</t>
  </si>
  <si>
    <t>Thổ Địa</t>
  </si>
  <si>
    <t>奖励</t>
  </si>
  <si>
    <t>分组</t>
  </si>
  <si>
    <t>4:606002:50</t>
  </si>
  <si>
    <t>4:606002:100</t>
  </si>
  <si>
    <t>3:1000010:1</t>
  </si>
  <si>
    <t>3:500022:1</t>
  </si>
  <si>
    <t>玉兔</t>
  </si>
  <si>
    <t>李靖</t>
  </si>
  <si>
    <t>笛仙</t>
  </si>
  <si>
    <r>
      <rPr>
        <sz val="11"/>
        <color theme="1"/>
        <rFont val="Arial"/>
        <charset val="134"/>
        <scheme val="minor"/>
      </rPr>
      <t>x</t>
    </r>
    <r>
      <rPr>
        <sz val="11"/>
        <color theme="1"/>
        <rFont val="Arial"/>
        <charset val="134"/>
        <scheme val="minor"/>
      </rPr>
      <t>/50670*100=1.3</t>
    </r>
  </si>
  <si>
    <t>邓婵玉</t>
  </si>
  <si>
    <t>殿前禁卫</t>
  </si>
  <si>
    <t>嫦娥</t>
  </si>
  <si>
    <t>黑风</t>
  </si>
  <si>
    <t>后羿</t>
  </si>
  <si>
    <t>木吒</t>
  </si>
  <si>
    <t>姬发</t>
  </si>
  <si>
    <t>鲛姬</t>
  </si>
  <si>
    <t>哪吒</t>
  </si>
  <si>
    <t>精卫</t>
  </si>
  <si>
    <t>姜子牙</t>
  </si>
  <si>
    <t>玉女</t>
  </si>
  <si>
    <t>雷震子</t>
  </si>
  <si>
    <t>黄飞虎</t>
  </si>
  <si>
    <t>天蓬元帅</t>
  </si>
  <si>
    <t>申公豹</t>
  </si>
  <si>
    <t>卷帘大将</t>
  </si>
  <si>
    <t>黑无常</t>
  </si>
  <si>
    <t>南极仙子</t>
  </si>
  <si>
    <t>白无常</t>
  </si>
  <si>
    <t>禄缘上仙</t>
  </si>
  <si>
    <t>织女</t>
  </si>
  <si>
    <t>斗战胜佛</t>
  </si>
  <si>
    <t>鬼将</t>
  </si>
  <si>
    <t>通天教主</t>
  </si>
  <si>
    <t>洛神</t>
  </si>
  <si>
    <t>元始天尊</t>
  </si>
  <si>
    <t>太白金星</t>
  </si>
  <si>
    <t>云中子</t>
  </si>
  <si>
    <t>雨师</t>
  </si>
  <si>
    <t>白龙</t>
  </si>
  <si>
    <t>破军</t>
  </si>
  <si>
    <t>玄奘</t>
  </si>
  <si>
    <t>女魃</t>
  </si>
  <si>
    <t>红孩儿</t>
  </si>
  <si>
    <t>盘丝</t>
  </si>
  <si>
    <t>石矶</t>
  </si>
  <si>
    <t>监兵</t>
  </si>
  <si>
    <t>混天大圣</t>
  </si>
  <si>
    <t>采臣</t>
  </si>
  <si>
    <t>牛魔王</t>
  </si>
  <si>
    <t>纣王</t>
  </si>
  <si>
    <t>擎苍</t>
  </si>
  <si>
    <t>金角大王</t>
  </si>
  <si>
    <t>金乌</t>
  </si>
  <si>
    <t>敖丙</t>
  </si>
  <si>
    <t>白骨夫人</t>
  </si>
  <si>
    <t>妲己</t>
  </si>
  <si>
    <t>盘古</t>
  </si>
  <si>
    <t>神农</t>
  </si>
  <si>
    <t>女娲</t>
  </si>
  <si>
    <t>鲲</t>
  </si>
  <si>
    <t>玉帝</t>
  </si>
  <si>
    <t>共工</t>
  </si>
  <si>
    <t>祝融</t>
  </si>
  <si>
    <t>九天玄女</t>
  </si>
  <si>
    <t>蚩尤</t>
  </si>
  <si>
    <t>孟婆</t>
  </si>
  <si>
    <t>刑天</t>
  </si>
  <si>
    <t>魔·悟空</t>
  </si>
  <si>
    <t>黄泉</t>
  </si>
  <si>
    <t>阎君</t>
  </si>
  <si>
    <t>东皇太一</t>
  </si>
  <si>
    <t>2025-10-26 23:59:59</t>
  </si>
  <si>
    <t>2025-11-02 23:59:59</t>
  </si>
  <si>
    <t>2025-11-09 23:59:59</t>
  </si>
  <si>
    <t>2025-11-16 23:59:59</t>
  </si>
  <si>
    <t>2025-11-23 23:59:59</t>
  </si>
  <si>
    <t>2025-11-30 23:59:59</t>
  </si>
  <si>
    <t>2025-12-07 23:59:59</t>
  </si>
  <si>
    <t>2025-12-14 23:59:59</t>
  </si>
  <si>
    <t>2025-12-21 23:59:59</t>
  </si>
  <si>
    <t>2025-12-28 23:59:59</t>
  </si>
  <si>
    <t>2026-01-04 23:59:59</t>
  </si>
  <si>
    <t>2026-01-11 23:59:59</t>
  </si>
  <si>
    <t>2026-01-18 23:59:59</t>
  </si>
  <si>
    <t>2026-01-25 23:59:59</t>
  </si>
  <si>
    <t>2026-02-01 23:59:59</t>
  </si>
  <si>
    <t>2026-02-08 23:59:59</t>
  </si>
  <si>
    <t>2026-02-15 23:59:59</t>
  </si>
  <si>
    <t>2026-02-22 23:59:59</t>
  </si>
  <si>
    <t>2026-03-01 23:59:59</t>
  </si>
  <si>
    <t>2026-03-08 23:59:59</t>
  </si>
  <si>
    <t>2026-03-15 23:59:59</t>
  </si>
  <si>
    <t>2026-03-22 23:59:59</t>
  </si>
  <si>
    <t>2026-03-29 23:59:59</t>
  </si>
  <si>
    <t>2026-04-05 23:59:59</t>
  </si>
  <si>
    <t>2026-04-12 23:59:59</t>
  </si>
  <si>
    <t>2026-04-19 23:59:59</t>
  </si>
  <si>
    <t>2026-04-26 23:59:59</t>
  </si>
  <si>
    <t>2026-05-03 23:59:59</t>
  </si>
  <si>
    <t>2026-05-10 23:59:59</t>
  </si>
  <si>
    <t>2026-05-17 23:59:59</t>
  </si>
  <si>
    <t>2026-05-24 23:59:59</t>
  </si>
  <si>
    <t>2026-05-31 23:59:59</t>
  </si>
  <si>
    <t>2026-06-07 23:59:59</t>
  </si>
  <si>
    <t>2025-10-20 00:00:00</t>
  </si>
  <si>
    <t>2025-10-27 00:00:00</t>
  </si>
  <si>
    <t>2025-11-03 00:00:00</t>
  </si>
  <si>
    <t>2025-11-10 00:00:00</t>
  </si>
  <si>
    <t>2025-11-17 00:00:00</t>
  </si>
  <si>
    <t>2025-11-24 00:00:00</t>
  </si>
  <si>
    <t>2025-12-01 00:00:00</t>
  </si>
  <si>
    <t>2025-12-08 00:00:00</t>
  </si>
  <si>
    <t>2025-12-15 00:00:00</t>
  </si>
  <si>
    <t>2025-12-22 00:00:00</t>
  </si>
  <si>
    <t>2025-12-29 00:00:00</t>
  </si>
  <si>
    <t>2026-01-05 00:00:00</t>
  </si>
  <si>
    <t>2026-01-12 00:00:00</t>
  </si>
  <si>
    <t>2026-01-19 00:00:00</t>
  </si>
  <si>
    <t>2026-01-26 00:00:00</t>
  </si>
  <si>
    <t>2026-02-02 00:00:00</t>
  </si>
  <si>
    <t>2026-02-09 00:00:00</t>
  </si>
  <si>
    <t>2026-02-16 00:00:00</t>
  </si>
  <si>
    <t>2026-02-23 00:00:00</t>
  </si>
  <si>
    <t>2026-03-02 00:00:00</t>
  </si>
  <si>
    <t>2026-03-09 00:00:00</t>
  </si>
  <si>
    <t>2026-03-16 00:00:00</t>
  </si>
  <si>
    <t>2026-03-23 00:00:00</t>
  </si>
  <si>
    <t>2026-03-30 00:00:00</t>
  </si>
  <si>
    <t>2026-04-06 00:00:00</t>
  </si>
  <si>
    <t>2026-04-13 00:00:00</t>
  </si>
  <si>
    <t>2026-04-20 00:00:00</t>
  </si>
  <si>
    <t>2026-04-27 00:00:00</t>
  </si>
  <si>
    <t>2026-05-04 00:00:00</t>
  </si>
  <si>
    <t>2026-05-11 00:00:00</t>
  </si>
  <si>
    <t>2026-05-18 00:00:00</t>
  </si>
  <si>
    <t>2026-05-25 00:00:00</t>
  </si>
  <si>
    <t>2026-06-01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</si>
</sst>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1"/>
      <color rgb="FF000000"/>
      <name val="&amp;Quot"/>
      <charset val="134"/>
    </font>
    <font>
      <sz val="10.5"/>
      <color theme="1"/>
      <name val="微软雅黑"/>
      <charset val="134"/>
    </font>
    <font>
      <sz val="11"/>
      <color rgb="FF000000"/>
      <name val="Arial"/>
      <charset val="134"/>
      <scheme val="minor"/>
    </font>
    <font>
      <sz val="11"/>
      <color theme="1"/>
      <name val="Arial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859614856410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3" borderId="0" xfId="0" applyFill="1"/>
    <xf numFmtId="0" fontId="2" fillId="4" borderId="0" xfId="0" applyFont="1" applyFill="1" applyAlignment="1">
      <alignment vertical="center" wrapText="1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vertical="center" wrapText="1"/>
    </xf>
    <xf numFmtId="0" fontId="1" fillId="0" borderId="0" xfId="0" applyFont="1"/>
    <xf numFmtId="49" fontId="1" fillId="0" borderId="0" xfId="0" applyNumberFormat="1" applyFont="1"/>
    <xf numFmtId="49" fontId="1" fillId="6" borderId="1" xfId="0" applyNumberFormat="1" applyFont="1" applyFill="1" applyBorder="1" applyAlignment="1">
      <alignment horizontal="center"/>
    </xf>
    <xf numFmtId="49" fontId="0" fillId="7" borderId="0" xfId="0" applyNumberFormat="1" applyFill="1"/>
    <xf numFmtId="49" fontId="5" fillId="7" borderId="0" xfId="0" applyNumberFormat="1" applyFont="1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5"/>
  <sheetViews>
    <sheetView tabSelected="1" topLeftCell="A22" workbookViewId="0">
      <selection activeCell="F29" sqref="F29"/>
    </sheetView>
  </sheetViews>
  <sheetFormatPr defaultColWidth="9" defaultRowHeight="14.25"/>
  <cols>
    <col min="2" max="3" width="16.75" customWidth="1"/>
    <col min="4" max="4" width="26.125" customWidth="1"/>
    <col min="5" max="5" width="21" customWidth="1"/>
    <col min="6" max="6" width="33.75" customWidth="1"/>
    <col min="7" max="7" width="13.25" customWidth="1"/>
    <col min="10" max="10" width="11.25" customWidth="1"/>
    <col min="11" max="11" width="19" customWidth="1"/>
  </cols>
  <sheetData>
    <row r="1" spans="1:11" ht="16.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5">
      <c r="A2">
        <v>10001</v>
      </c>
      <c r="B2" s="13" t="s">
        <v>11</v>
      </c>
      <c r="C2" s="14"/>
      <c r="D2" s="15" t="s">
        <v>188</v>
      </c>
      <c r="E2" s="15" t="s">
        <v>155</v>
      </c>
      <c r="F2" s="16" t="s">
        <v>12</v>
      </c>
      <c r="G2" s="14">
        <v>100077</v>
      </c>
      <c r="H2" s="14">
        <v>102</v>
      </c>
      <c r="I2" s="14">
        <v>4</v>
      </c>
      <c r="J2" s="14">
        <v>5</v>
      </c>
      <c r="K2" s="14">
        <v>1</v>
      </c>
    </row>
    <row r="3" spans="1:11" ht="28.5">
      <c r="A3">
        <v>10002</v>
      </c>
      <c r="B3" s="13" t="s">
        <v>11</v>
      </c>
      <c r="C3" s="14"/>
      <c r="D3" s="17" t="s">
        <v>189</v>
      </c>
      <c r="E3" s="17" t="s">
        <v>156</v>
      </c>
      <c r="F3" s="16" t="s">
        <v>12</v>
      </c>
      <c r="G3" s="14">
        <v>100077</v>
      </c>
      <c r="H3" s="14">
        <v>102</v>
      </c>
      <c r="I3" s="14">
        <v>4</v>
      </c>
      <c r="J3" s="14">
        <v>5</v>
      </c>
      <c r="K3" s="14">
        <v>1</v>
      </c>
    </row>
    <row r="4" spans="1:11" ht="28.5">
      <c r="A4">
        <v>10003</v>
      </c>
      <c r="B4" s="13" t="s">
        <v>11</v>
      </c>
      <c r="C4" s="14"/>
      <c r="D4" s="17" t="s">
        <v>190</v>
      </c>
      <c r="E4" s="17" t="s">
        <v>157</v>
      </c>
      <c r="F4" s="16" t="s">
        <v>12</v>
      </c>
      <c r="G4" s="14">
        <v>100077</v>
      </c>
      <c r="H4" s="14">
        <v>102</v>
      </c>
      <c r="I4" s="14">
        <v>4</v>
      </c>
      <c r="J4" s="14">
        <v>5</v>
      </c>
      <c r="K4" s="14">
        <v>1</v>
      </c>
    </row>
    <row r="5" spans="1:11" ht="28.5">
      <c r="A5">
        <v>10004</v>
      </c>
      <c r="B5" s="13" t="s">
        <v>11</v>
      </c>
      <c r="C5" s="14"/>
      <c r="D5" s="17" t="s">
        <v>191</v>
      </c>
      <c r="E5" s="17" t="s">
        <v>158</v>
      </c>
      <c r="F5" s="16" t="s">
        <v>12</v>
      </c>
      <c r="G5" s="14">
        <v>100077</v>
      </c>
      <c r="H5" s="14">
        <v>102</v>
      </c>
      <c r="I5" s="14">
        <v>4</v>
      </c>
      <c r="J5" s="14">
        <v>5</v>
      </c>
      <c r="K5" s="14">
        <v>1</v>
      </c>
    </row>
    <row r="6" spans="1:11" ht="28.5">
      <c r="A6">
        <v>10005</v>
      </c>
      <c r="B6" s="13" t="s">
        <v>11</v>
      </c>
      <c r="C6" s="14"/>
      <c r="D6" s="17" t="s">
        <v>192</v>
      </c>
      <c r="E6" s="17" t="s">
        <v>159</v>
      </c>
      <c r="F6" s="16" t="s">
        <v>12</v>
      </c>
      <c r="G6" s="14">
        <v>100077</v>
      </c>
      <c r="H6" s="14">
        <v>102</v>
      </c>
      <c r="I6" s="14">
        <v>4</v>
      </c>
      <c r="J6" s="14">
        <v>5</v>
      </c>
      <c r="K6" s="14">
        <v>1</v>
      </c>
    </row>
    <row r="7" spans="1:11" ht="28.5">
      <c r="A7">
        <v>10006</v>
      </c>
      <c r="B7" s="13" t="s">
        <v>11</v>
      </c>
      <c r="C7" s="14"/>
      <c r="D7" s="17" t="s">
        <v>193</v>
      </c>
      <c r="E7" s="17" t="s">
        <v>160</v>
      </c>
      <c r="F7" s="16" t="s">
        <v>12</v>
      </c>
      <c r="G7" s="14">
        <v>100077</v>
      </c>
      <c r="H7" s="14">
        <v>102</v>
      </c>
      <c r="I7" s="14">
        <v>4</v>
      </c>
      <c r="J7" s="14">
        <v>5</v>
      </c>
      <c r="K7" s="14">
        <v>1</v>
      </c>
    </row>
    <row r="8" spans="1:11" ht="28.5">
      <c r="A8">
        <v>10007</v>
      </c>
      <c r="B8" s="13" t="s">
        <v>11</v>
      </c>
      <c r="C8" s="14"/>
      <c r="D8" s="17" t="s">
        <v>194</v>
      </c>
      <c r="E8" s="17" t="s">
        <v>161</v>
      </c>
      <c r="F8" s="16" t="s">
        <v>12</v>
      </c>
      <c r="G8" s="14">
        <v>100077</v>
      </c>
      <c r="H8" s="14">
        <v>102</v>
      </c>
      <c r="I8" s="14">
        <v>4</v>
      </c>
      <c r="J8" s="14">
        <v>5</v>
      </c>
      <c r="K8" s="14">
        <v>1</v>
      </c>
    </row>
    <row r="9" spans="1:11" ht="28.5">
      <c r="A9">
        <v>10008</v>
      </c>
      <c r="B9" s="13" t="s">
        <v>11</v>
      </c>
      <c r="C9" s="14"/>
      <c r="D9" s="17" t="s">
        <v>195</v>
      </c>
      <c r="E9" s="17" t="s">
        <v>162</v>
      </c>
      <c r="F9" s="16" t="s">
        <v>12</v>
      </c>
      <c r="G9" s="14">
        <v>100077</v>
      </c>
      <c r="H9" s="14">
        <v>102</v>
      </c>
      <c r="I9" s="14">
        <v>4</v>
      </c>
      <c r="J9" s="14">
        <v>5</v>
      </c>
      <c r="K9" s="14">
        <v>1</v>
      </c>
    </row>
    <row r="10" spans="1:11" ht="28.5">
      <c r="A10">
        <v>10009</v>
      </c>
      <c r="B10" s="13" t="s">
        <v>11</v>
      </c>
      <c r="C10" s="14"/>
      <c r="D10" s="17" t="s">
        <v>196</v>
      </c>
      <c r="E10" s="17" t="s">
        <v>163</v>
      </c>
      <c r="F10" s="16" t="s">
        <v>12</v>
      </c>
      <c r="G10" s="14">
        <v>100077</v>
      </c>
      <c r="H10" s="14">
        <v>102</v>
      </c>
      <c r="I10" s="14">
        <v>4</v>
      </c>
      <c r="J10" s="14">
        <v>5</v>
      </c>
      <c r="K10" s="14">
        <v>1</v>
      </c>
    </row>
    <row r="11" spans="1:11" ht="28.5">
      <c r="A11">
        <v>10010</v>
      </c>
      <c r="B11" s="13" t="s">
        <v>11</v>
      </c>
      <c r="C11" s="14"/>
      <c r="D11" s="17" t="s">
        <v>197</v>
      </c>
      <c r="E11" s="17" t="s">
        <v>164</v>
      </c>
      <c r="F11" s="16" t="s">
        <v>12</v>
      </c>
      <c r="G11" s="14">
        <v>100077</v>
      </c>
      <c r="H11" s="14">
        <v>102</v>
      </c>
      <c r="I11" s="14">
        <v>4</v>
      </c>
      <c r="J11" s="14">
        <v>5</v>
      </c>
      <c r="K11" s="14">
        <v>1</v>
      </c>
    </row>
    <row r="12" spans="1:11" ht="28.5">
      <c r="A12">
        <v>10011</v>
      </c>
      <c r="B12" s="13" t="s">
        <v>11</v>
      </c>
      <c r="C12" s="14"/>
      <c r="D12" s="17" t="s">
        <v>198</v>
      </c>
      <c r="E12" s="17" t="s">
        <v>165</v>
      </c>
      <c r="F12" s="16" t="s">
        <v>12</v>
      </c>
      <c r="G12" s="14">
        <v>100077</v>
      </c>
      <c r="H12" s="14">
        <v>102</v>
      </c>
      <c r="I12" s="14">
        <v>4</v>
      </c>
      <c r="J12" s="14">
        <v>5</v>
      </c>
      <c r="K12" s="14">
        <v>1</v>
      </c>
    </row>
    <row r="13" spans="1:11" ht="28.5">
      <c r="A13">
        <v>10012</v>
      </c>
      <c r="B13" s="13" t="s">
        <v>11</v>
      </c>
      <c r="C13" s="14"/>
      <c r="D13" s="17" t="s">
        <v>199</v>
      </c>
      <c r="E13" s="17" t="s">
        <v>166</v>
      </c>
      <c r="F13" s="16" t="s">
        <v>12</v>
      </c>
      <c r="G13" s="14">
        <v>100077</v>
      </c>
      <c r="H13" s="14">
        <v>102</v>
      </c>
      <c r="I13" s="14">
        <v>4</v>
      </c>
      <c r="J13" s="14">
        <v>5</v>
      </c>
      <c r="K13" s="14">
        <v>1</v>
      </c>
    </row>
    <row r="14" spans="1:11" ht="28.5">
      <c r="A14">
        <v>10013</v>
      </c>
      <c r="B14" s="13" t="s">
        <v>11</v>
      </c>
      <c r="C14" s="14"/>
      <c r="D14" s="17" t="s">
        <v>200</v>
      </c>
      <c r="E14" s="17" t="s">
        <v>167</v>
      </c>
      <c r="F14" s="16" t="s">
        <v>12</v>
      </c>
      <c r="G14" s="14">
        <v>100077</v>
      </c>
      <c r="H14" s="14">
        <v>102</v>
      </c>
      <c r="I14" s="14">
        <v>4</v>
      </c>
      <c r="J14" s="14">
        <v>5</v>
      </c>
      <c r="K14" s="14">
        <v>1</v>
      </c>
    </row>
    <row r="15" spans="1:11" ht="28.5">
      <c r="A15">
        <v>10014</v>
      </c>
      <c r="B15" s="13" t="s">
        <v>11</v>
      </c>
      <c r="C15" s="14"/>
      <c r="D15" s="17" t="s">
        <v>201</v>
      </c>
      <c r="E15" s="17" t="s">
        <v>168</v>
      </c>
      <c r="F15" s="16" t="s">
        <v>12</v>
      </c>
      <c r="G15" s="14">
        <v>100077</v>
      </c>
      <c r="H15" s="14">
        <v>102</v>
      </c>
      <c r="I15" s="14">
        <v>4</v>
      </c>
      <c r="J15" s="14">
        <v>5</v>
      </c>
      <c r="K15" s="14">
        <v>1</v>
      </c>
    </row>
    <row r="16" spans="1:11" ht="28.5">
      <c r="A16">
        <v>10015</v>
      </c>
      <c r="B16" s="13" t="s">
        <v>11</v>
      </c>
      <c r="C16" s="14"/>
      <c r="D16" s="17" t="s">
        <v>202</v>
      </c>
      <c r="E16" s="17" t="s">
        <v>169</v>
      </c>
      <c r="F16" s="16" t="s">
        <v>12</v>
      </c>
      <c r="G16" s="14">
        <v>100077</v>
      </c>
      <c r="H16" s="14">
        <v>102</v>
      </c>
      <c r="I16" s="14">
        <v>4</v>
      </c>
      <c r="J16" s="14">
        <v>5</v>
      </c>
      <c r="K16" s="14">
        <v>1</v>
      </c>
    </row>
    <row r="17" spans="1:11" ht="28.5">
      <c r="A17">
        <v>10016</v>
      </c>
      <c r="B17" s="13" t="s">
        <v>11</v>
      </c>
      <c r="C17" s="14"/>
      <c r="D17" s="17" t="s">
        <v>203</v>
      </c>
      <c r="E17" s="17" t="s">
        <v>170</v>
      </c>
      <c r="F17" s="16" t="s">
        <v>12</v>
      </c>
      <c r="G17" s="14">
        <v>100077</v>
      </c>
      <c r="H17" s="14">
        <v>102</v>
      </c>
      <c r="I17" s="14">
        <v>4</v>
      </c>
      <c r="J17" s="14">
        <v>5</v>
      </c>
      <c r="K17" s="14">
        <v>1</v>
      </c>
    </row>
    <row r="18" spans="1:11" ht="28.5">
      <c r="A18">
        <v>10017</v>
      </c>
      <c r="B18" s="13" t="s">
        <v>11</v>
      </c>
      <c r="C18" s="14"/>
      <c r="D18" s="18" t="s">
        <v>204</v>
      </c>
      <c r="E18" s="18" t="s">
        <v>171</v>
      </c>
      <c r="F18" s="16" t="s">
        <v>12</v>
      </c>
      <c r="G18" s="14">
        <v>100077</v>
      </c>
      <c r="H18" s="14">
        <v>102</v>
      </c>
      <c r="I18" s="14">
        <v>4</v>
      </c>
      <c r="J18" s="14">
        <v>5</v>
      </c>
      <c r="K18" s="14">
        <v>1</v>
      </c>
    </row>
    <row r="19" spans="1:11" ht="28.5">
      <c r="A19">
        <v>10018</v>
      </c>
      <c r="B19" s="13" t="s">
        <v>11</v>
      </c>
      <c r="D19" s="18" t="s">
        <v>205</v>
      </c>
      <c r="E19" s="18" t="s">
        <v>172</v>
      </c>
      <c r="F19" s="16" t="s">
        <v>12</v>
      </c>
      <c r="G19" s="14">
        <v>100077</v>
      </c>
      <c r="H19" s="14">
        <v>102</v>
      </c>
      <c r="I19" s="14">
        <v>4</v>
      </c>
      <c r="J19" s="14">
        <v>5</v>
      </c>
      <c r="K19" s="14">
        <v>1</v>
      </c>
    </row>
    <row r="20" spans="1:11" ht="28.5">
      <c r="A20">
        <v>10019</v>
      </c>
      <c r="B20" s="13" t="s">
        <v>11</v>
      </c>
      <c r="D20" s="18" t="s">
        <v>206</v>
      </c>
      <c r="E20" s="18" t="s">
        <v>173</v>
      </c>
      <c r="F20" s="16" t="s">
        <v>12</v>
      </c>
      <c r="G20" s="14">
        <v>100077</v>
      </c>
      <c r="H20" s="14">
        <v>102</v>
      </c>
      <c r="I20" s="14">
        <v>4</v>
      </c>
      <c r="J20" s="14">
        <v>5</v>
      </c>
      <c r="K20" s="14">
        <v>1</v>
      </c>
    </row>
    <row r="21" spans="1:11" ht="28.5">
      <c r="A21">
        <v>10020</v>
      </c>
      <c r="B21" s="13" t="s">
        <v>11</v>
      </c>
      <c r="D21" s="18" t="s">
        <v>207</v>
      </c>
      <c r="E21" s="18" t="s">
        <v>174</v>
      </c>
      <c r="F21" s="16" t="s">
        <v>12</v>
      </c>
      <c r="G21" s="14">
        <v>100077</v>
      </c>
      <c r="H21" s="14">
        <v>102</v>
      </c>
      <c r="I21" s="14">
        <v>4</v>
      </c>
      <c r="J21" s="14">
        <v>5</v>
      </c>
      <c r="K21" s="14">
        <v>1</v>
      </c>
    </row>
    <row r="22" spans="1:11" ht="28.5">
      <c r="A22">
        <v>10021</v>
      </c>
      <c r="B22" s="13" t="s">
        <v>11</v>
      </c>
      <c r="D22" s="18" t="s">
        <v>208</v>
      </c>
      <c r="E22" s="18" t="s">
        <v>175</v>
      </c>
      <c r="F22" s="16" t="s">
        <v>12</v>
      </c>
      <c r="G22" s="14">
        <v>100077</v>
      </c>
      <c r="H22" s="14">
        <v>102</v>
      </c>
      <c r="I22" s="14">
        <v>4</v>
      </c>
      <c r="J22" s="14">
        <v>5</v>
      </c>
      <c r="K22" s="14">
        <v>1</v>
      </c>
    </row>
    <row r="23" spans="1:11" ht="28.5">
      <c r="A23">
        <v>10022</v>
      </c>
      <c r="B23" s="13" t="s">
        <v>11</v>
      </c>
      <c r="D23" s="18" t="s">
        <v>209</v>
      </c>
      <c r="E23" s="18" t="s">
        <v>176</v>
      </c>
      <c r="F23" s="16" t="s">
        <v>12</v>
      </c>
      <c r="G23" s="14">
        <v>100077</v>
      </c>
      <c r="H23" s="14">
        <v>102</v>
      </c>
      <c r="I23" s="14">
        <v>4</v>
      </c>
      <c r="J23" s="14">
        <v>5</v>
      </c>
      <c r="K23" s="14">
        <v>1</v>
      </c>
    </row>
    <row r="24" spans="1:11" ht="28.5">
      <c r="A24">
        <v>10023</v>
      </c>
      <c r="B24" s="13" t="s">
        <v>11</v>
      </c>
      <c r="D24" s="18" t="s">
        <v>210</v>
      </c>
      <c r="E24" s="18" t="s">
        <v>177</v>
      </c>
      <c r="F24" s="16" t="s">
        <v>12</v>
      </c>
      <c r="G24" s="14">
        <v>100077</v>
      </c>
      <c r="H24" s="14">
        <v>102</v>
      </c>
      <c r="I24" s="14">
        <v>4</v>
      </c>
      <c r="J24" s="14">
        <v>5</v>
      </c>
      <c r="K24" s="14">
        <v>1</v>
      </c>
    </row>
    <row r="25" spans="1:11" ht="28.5">
      <c r="A25">
        <v>10024</v>
      </c>
      <c r="B25" s="13" t="s">
        <v>11</v>
      </c>
      <c r="D25" s="18" t="s">
        <v>211</v>
      </c>
      <c r="E25" s="18" t="s">
        <v>178</v>
      </c>
      <c r="F25" s="16" t="s">
        <v>12</v>
      </c>
      <c r="G25" s="14">
        <v>100077</v>
      </c>
      <c r="H25" s="14">
        <v>102</v>
      </c>
      <c r="I25" s="14">
        <v>4</v>
      </c>
      <c r="J25" s="14">
        <v>5</v>
      </c>
      <c r="K25" s="14">
        <v>1</v>
      </c>
    </row>
    <row r="26" spans="1:11" ht="28.5">
      <c r="A26">
        <v>10025</v>
      </c>
      <c r="B26" s="13" t="s">
        <v>11</v>
      </c>
      <c r="D26" s="18" t="s">
        <v>212</v>
      </c>
      <c r="E26" s="18" t="s">
        <v>179</v>
      </c>
      <c r="F26" s="16" t="s">
        <v>12</v>
      </c>
      <c r="G26" s="14">
        <v>100077</v>
      </c>
      <c r="H26" s="14">
        <v>102</v>
      </c>
      <c r="I26" s="14">
        <v>4</v>
      </c>
      <c r="J26" s="14">
        <v>5</v>
      </c>
      <c r="K26" s="14">
        <v>1</v>
      </c>
    </row>
    <row r="27" spans="1:11" ht="28.5">
      <c r="A27">
        <v>10026</v>
      </c>
      <c r="B27" s="13" t="s">
        <v>11</v>
      </c>
      <c r="D27" s="18" t="s">
        <v>213</v>
      </c>
      <c r="E27" s="18" t="s">
        <v>180</v>
      </c>
      <c r="F27" s="16" t="s">
        <v>12</v>
      </c>
      <c r="G27" s="14">
        <v>100077</v>
      </c>
      <c r="H27" s="14">
        <v>102</v>
      </c>
      <c r="I27" s="14">
        <v>4</v>
      </c>
      <c r="J27" s="14">
        <v>5</v>
      </c>
      <c r="K27" s="14">
        <v>1</v>
      </c>
    </row>
    <row r="28" spans="1:11" ht="28.5">
      <c r="A28">
        <v>10027</v>
      </c>
      <c r="B28" s="13" t="s">
        <v>11</v>
      </c>
      <c r="D28" s="18" t="s">
        <v>214</v>
      </c>
      <c r="E28" s="18" t="s">
        <v>181</v>
      </c>
      <c r="F28" s="16" t="s">
        <v>12</v>
      </c>
      <c r="G28" s="14">
        <v>100077</v>
      </c>
      <c r="H28" s="14">
        <v>102</v>
      </c>
      <c r="I28" s="14">
        <v>4</v>
      </c>
      <c r="J28" s="14">
        <v>5</v>
      </c>
      <c r="K28" s="14">
        <v>1</v>
      </c>
    </row>
    <row r="29" spans="1:11" ht="28.5">
      <c r="A29">
        <v>10028</v>
      </c>
      <c r="B29" s="13" t="s">
        <v>11</v>
      </c>
      <c r="D29" s="18" t="s">
        <v>215</v>
      </c>
      <c r="E29" s="18" t="s">
        <v>182</v>
      </c>
      <c r="F29" s="16" t="s">
        <v>12</v>
      </c>
      <c r="G29" s="14">
        <v>100077</v>
      </c>
      <c r="H29" s="14">
        <v>102</v>
      </c>
      <c r="I29" s="14">
        <v>4</v>
      </c>
      <c r="J29" s="14">
        <v>5</v>
      </c>
      <c r="K29" s="14">
        <v>1</v>
      </c>
    </row>
    <row r="30" spans="1:11" ht="28.5">
      <c r="A30">
        <v>10029</v>
      </c>
      <c r="B30" s="13" t="s">
        <v>11</v>
      </c>
      <c r="D30" s="18" t="s">
        <v>216</v>
      </c>
      <c r="E30" s="18" t="s">
        <v>183</v>
      </c>
      <c r="F30" s="16" t="s">
        <v>12</v>
      </c>
      <c r="G30" s="14">
        <v>100077</v>
      </c>
      <c r="H30" s="14">
        <v>102</v>
      </c>
      <c r="I30" s="14">
        <v>4</v>
      </c>
      <c r="J30" s="14">
        <v>5</v>
      </c>
      <c r="K30" s="14">
        <v>1</v>
      </c>
    </row>
    <row r="31" spans="1:11" ht="28.5">
      <c r="A31">
        <v>10030</v>
      </c>
      <c r="B31" s="13" t="s">
        <v>11</v>
      </c>
      <c r="D31" s="18" t="s">
        <v>217</v>
      </c>
      <c r="E31" s="18" t="s">
        <v>184</v>
      </c>
      <c r="F31" s="16" t="s">
        <v>12</v>
      </c>
      <c r="G31" s="14">
        <v>100077</v>
      </c>
      <c r="H31" s="14">
        <v>102</v>
      </c>
      <c r="I31" s="14">
        <v>4</v>
      </c>
      <c r="J31" s="14">
        <v>5</v>
      </c>
      <c r="K31" s="14">
        <v>1</v>
      </c>
    </row>
    <row r="32" spans="1:11" ht="28.5">
      <c r="A32">
        <v>10031</v>
      </c>
      <c r="B32" s="13" t="s">
        <v>11</v>
      </c>
      <c r="D32" s="18" t="s">
        <v>218</v>
      </c>
      <c r="E32" s="18" t="s">
        <v>185</v>
      </c>
      <c r="F32" s="16" t="s">
        <v>12</v>
      </c>
      <c r="G32" s="14">
        <v>100077</v>
      </c>
      <c r="H32" s="14">
        <v>102</v>
      </c>
      <c r="I32" s="14">
        <v>4</v>
      </c>
      <c r="J32" s="14">
        <v>5</v>
      </c>
      <c r="K32" s="14">
        <v>1</v>
      </c>
    </row>
    <row r="33" spans="1:11" ht="28.5">
      <c r="A33">
        <v>10032</v>
      </c>
      <c r="B33" s="13" t="s">
        <v>11</v>
      </c>
      <c r="D33" s="18" t="s">
        <v>219</v>
      </c>
      <c r="E33" s="18" t="s">
        <v>186</v>
      </c>
      <c r="F33" s="16" t="s">
        <v>12</v>
      </c>
      <c r="G33" s="14">
        <v>100077</v>
      </c>
      <c r="H33" s="14">
        <v>102</v>
      </c>
      <c r="I33" s="14">
        <v>4</v>
      </c>
      <c r="J33" s="14">
        <v>5</v>
      </c>
      <c r="K33" s="14">
        <v>1</v>
      </c>
    </row>
    <row r="34" spans="1:11" ht="28.5">
      <c r="A34">
        <v>10033</v>
      </c>
      <c r="B34" s="13" t="s">
        <v>11</v>
      </c>
      <c r="D34" s="18" t="s">
        <v>220</v>
      </c>
      <c r="E34" s="18" t="s">
        <v>187</v>
      </c>
      <c r="F34" s="16" t="s">
        <v>12</v>
      </c>
      <c r="G34" s="14">
        <v>100077</v>
      </c>
      <c r="H34" s="14">
        <v>102</v>
      </c>
      <c r="I34" s="14">
        <v>4</v>
      </c>
      <c r="J34" s="14">
        <v>5</v>
      </c>
      <c r="K34" s="14">
        <v>1</v>
      </c>
    </row>
    <row r="35" spans="1:11">
      <c r="D35" s="19"/>
      <c r="E35" s="1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"/>
  <sheetViews>
    <sheetView workbookViewId="0">
      <selection activeCell="B3" sqref="B3"/>
    </sheetView>
  </sheetViews>
  <sheetFormatPr defaultColWidth="9" defaultRowHeight="14.25"/>
  <cols>
    <col min="4" max="4" width="12.875" customWidth="1"/>
    <col min="6" max="6" width="23" customWidth="1"/>
    <col min="7" max="7" width="14" customWidth="1"/>
    <col min="8" max="8" width="23.625" customWidth="1"/>
  </cols>
  <sheetData>
    <row r="1" spans="1:8" ht="16.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ht="17.25">
      <c r="A2" s="1">
        <v>1</v>
      </c>
      <c r="B2" s="12" t="s">
        <v>21</v>
      </c>
      <c r="C2" s="1">
        <v>1</v>
      </c>
      <c r="D2" s="1">
        <v>1</v>
      </c>
      <c r="E2" s="1">
        <v>0</v>
      </c>
      <c r="F2" s="1"/>
      <c r="G2" s="1">
        <v>0</v>
      </c>
    </row>
    <row r="3" spans="1:8" ht="17.25">
      <c r="A3" s="1">
        <v>2</v>
      </c>
      <c r="B3" s="12" t="s">
        <v>22</v>
      </c>
      <c r="C3" s="1">
        <v>10</v>
      </c>
      <c r="D3" s="1">
        <v>10</v>
      </c>
      <c r="E3" s="1">
        <v>1</v>
      </c>
      <c r="F3" s="1">
        <v>9</v>
      </c>
      <c r="G3" s="1">
        <v>1</v>
      </c>
      <c r="H3" s="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58"/>
  <sheetViews>
    <sheetView workbookViewId="0">
      <pane ySplit="1" topLeftCell="A38" activePane="bottomLeft" state="frozen"/>
      <selection pane="bottomLeft" activeCell="C58" sqref="C58"/>
    </sheetView>
  </sheetViews>
  <sheetFormatPr defaultColWidth="9" defaultRowHeight="16.5"/>
  <cols>
    <col min="1" max="1" width="9" style="1"/>
    <col min="2" max="2" width="14.125" customWidth="1"/>
  </cols>
  <sheetData>
    <row r="1" spans="1:3">
      <c r="A1" s="1" t="s">
        <v>23</v>
      </c>
      <c r="B1" s="1" t="s">
        <v>24</v>
      </c>
      <c r="C1" s="1"/>
    </row>
    <row r="2" spans="1:3">
      <c r="A2" s="1">
        <v>101401</v>
      </c>
      <c r="B2" s="4">
        <v>530</v>
      </c>
      <c r="C2" s="7" t="s">
        <v>25</v>
      </c>
    </row>
    <row r="3" spans="1:3" ht="40.5">
      <c r="A3" s="1">
        <v>101501</v>
      </c>
      <c r="B3" s="4">
        <v>410</v>
      </c>
      <c r="C3" s="7" t="s">
        <v>26</v>
      </c>
    </row>
    <row r="4" spans="1:3">
      <c r="A4" s="1">
        <v>101601</v>
      </c>
      <c r="B4" s="4">
        <v>670</v>
      </c>
      <c r="C4" s="7" t="s">
        <v>27</v>
      </c>
    </row>
    <row r="5" spans="1:3">
      <c r="A5" s="1">
        <v>101701</v>
      </c>
      <c r="B5" s="4">
        <v>620</v>
      </c>
      <c r="C5" s="7" t="s">
        <v>28</v>
      </c>
    </row>
    <row r="6" spans="1:3">
      <c r="A6" s="1">
        <v>101801</v>
      </c>
      <c r="B6" s="4">
        <v>510</v>
      </c>
      <c r="C6" s="7" t="s">
        <v>29</v>
      </c>
    </row>
    <row r="7" spans="1:3">
      <c r="A7" s="1">
        <v>102001</v>
      </c>
      <c r="B7" s="4">
        <v>670</v>
      </c>
      <c r="C7" s="7" t="s">
        <v>30</v>
      </c>
    </row>
    <row r="8" spans="1:3" ht="27">
      <c r="A8" s="1">
        <v>102101</v>
      </c>
      <c r="B8" s="4">
        <v>600</v>
      </c>
      <c r="C8" s="7" t="s">
        <v>31</v>
      </c>
    </row>
    <row r="9" spans="1:3" ht="27">
      <c r="A9" s="1">
        <v>102201</v>
      </c>
      <c r="B9" s="4">
        <v>410</v>
      </c>
      <c r="C9" s="7" t="s">
        <v>32</v>
      </c>
    </row>
    <row r="10" spans="1:3" ht="27">
      <c r="A10" s="1">
        <v>102301</v>
      </c>
      <c r="B10" s="4">
        <v>670</v>
      </c>
      <c r="C10" s="7" t="s">
        <v>33</v>
      </c>
    </row>
    <row r="11" spans="1:3" ht="54">
      <c r="A11" s="1">
        <v>201401</v>
      </c>
      <c r="B11" s="4">
        <v>430</v>
      </c>
      <c r="C11" s="7" t="s">
        <v>34</v>
      </c>
    </row>
    <row r="12" spans="1:3" ht="54">
      <c r="A12" s="1">
        <v>201501</v>
      </c>
      <c r="B12" s="4">
        <v>540</v>
      </c>
      <c r="C12" s="7" t="s">
        <v>35</v>
      </c>
    </row>
    <row r="13" spans="1:3" ht="27">
      <c r="A13" s="1">
        <v>201601</v>
      </c>
      <c r="B13" s="4">
        <v>450</v>
      </c>
      <c r="C13" s="7" t="s">
        <v>36</v>
      </c>
    </row>
    <row r="14" spans="1:3" ht="54">
      <c r="A14" s="1">
        <v>201701</v>
      </c>
      <c r="B14" s="4">
        <v>590</v>
      </c>
      <c r="C14" s="7" t="s">
        <v>37</v>
      </c>
    </row>
    <row r="15" spans="1:3" ht="54">
      <c r="A15" s="1">
        <v>201801</v>
      </c>
      <c r="B15" s="4">
        <v>670</v>
      </c>
      <c r="C15" s="7" t="s">
        <v>38</v>
      </c>
    </row>
    <row r="16" spans="1:3" ht="40.5">
      <c r="A16" s="1">
        <v>202001</v>
      </c>
      <c r="B16" s="4">
        <v>570</v>
      </c>
      <c r="C16" s="7" t="s">
        <v>39</v>
      </c>
    </row>
    <row r="17" spans="1:3" ht="54">
      <c r="A17" s="1">
        <v>202101</v>
      </c>
      <c r="B17" s="4">
        <v>610</v>
      </c>
      <c r="C17" s="7" t="s">
        <v>40</v>
      </c>
    </row>
    <row r="18" spans="1:3" ht="27">
      <c r="A18" s="1">
        <v>202201</v>
      </c>
      <c r="B18" s="4">
        <v>450</v>
      </c>
      <c r="C18" s="7" t="s">
        <v>41</v>
      </c>
    </row>
    <row r="19" spans="1:3" ht="27">
      <c r="A19" s="1">
        <v>202301</v>
      </c>
      <c r="B19" s="4">
        <v>610</v>
      </c>
      <c r="C19" s="7" t="s">
        <v>42</v>
      </c>
    </row>
    <row r="20" spans="1:3" ht="27">
      <c r="A20" s="1">
        <v>202401</v>
      </c>
      <c r="B20" s="4">
        <v>600</v>
      </c>
      <c r="C20" s="7" t="s">
        <v>43</v>
      </c>
    </row>
    <row r="21" spans="1:3" ht="27">
      <c r="A21" s="1">
        <v>301401</v>
      </c>
      <c r="B21" s="4">
        <v>670</v>
      </c>
      <c r="C21" s="7" t="s">
        <v>44</v>
      </c>
    </row>
    <row r="22" spans="1:3">
      <c r="A22" s="1">
        <v>301501</v>
      </c>
      <c r="B22" s="4">
        <v>550</v>
      </c>
      <c r="C22" s="7" t="s">
        <v>45</v>
      </c>
    </row>
    <row r="23" spans="1:3" ht="54">
      <c r="A23" s="1">
        <v>301601</v>
      </c>
      <c r="B23" s="4">
        <v>670</v>
      </c>
      <c r="C23" s="7" t="s">
        <v>46</v>
      </c>
    </row>
    <row r="24" spans="1:3" ht="27">
      <c r="A24" s="1">
        <v>301701</v>
      </c>
      <c r="B24" s="4">
        <v>520</v>
      </c>
      <c r="C24" s="7" t="s">
        <v>47</v>
      </c>
    </row>
    <row r="25" spans="1:3" ht="27">
      <c r="A25" s="1">
        <v>301801</v>
      </c>
      <c r="B25" s="4">
        <v>410</v>
      </c>
      <c r="C25" s="7" t="s">
        <v>48</v>
      </c>
    </row>
    <row r="26" spans="1:3">
      <c r="A26" s="1">
        <v>301901</v>
      </c>
      <c r="B26" s="4">
        <v>400</v>
      </c>
      <c r="C26" s="7" t="s">
        <v>49</v>
      </c>
    </row>
    <row r="27" spans="1:3" ht="27">
      <c r="A27" s="1">
        <v>302001</v>
      </c>
      <c r="B27" s="4">
        <v>620</v>
      </c>
      <c r="C27" s="7" t="s">
        <v>50</v>
      </c>
    </row>
    <row r="28" spans="1:3" ht="40.5">
      <c r="A28" s="1">
        <v>302101</v>
      </c>
      <c r="B28" s="4">
        <v>620</v>
      </c>
      <c r="C28" s="7" t="s">
        <v>51</v>
      </c>
    </row>
    <row r="29" spans="1:3">
      <c r="A29" s="1">
        <v>302201</v>
      </c>
      <c r="B29" s="4">
        <v>520</v>
      </c>
      <c r="C29" s="7" t="s">
        <v>52</v>
      </c>
    </row>
    <row r="30" spans="1:3" ht="27">
      <c r="A30" s="1">
        <v>302301</v>
      </c>
      <c r="B30" s="4">
        <v>620</v>
      </c>
      <c r="C30" s="7" t="s">
        <v>53</v>
      </c>
    </row>
    <row r="31" spans="1:3">
      <c r="A31" s="1">
        <v>302401</v>
      </c>
      <c r="B31" s="4">
        <v>620</v>
      </c>
      <c r="C31" s="7" t="s">
        <v>54</v>
      </c>
    </row>
    <row r="32" spans="1:3">
      <c r="A32" s="1">
        <v>400601</v>
      </c>
      <c r="B32" s="4">
        <v>620</v>
      </c>
      <c r="C32" s="7" t="s">
        <v>55</v>
      </c>
    </row>
    <row r="33" spans="1:3" ht="27">
      <c r="A33" s="1">
        <v>400701</v>
      </c>
      <c r="B33" s="4">
        <v>620</v>
      </c>
      <c r="C33" s="7" t="s">
        <v>56</v>
      </c>
    </row>
    <row r="34" spans="1:3">
      <c r="A34" s="1">
        <v>400801</v>
      </c>
      <c r="B34" s="4">
        <v>620</v>
      </c>
      <c r="C34" s="7" t="s">
        <v>57</v>
      </c>
    </row>
    <row r="35" spans="1:3">
      <c r="A35" s="1">
        <v>400901</v>
      </c>
      <c r="B35" s="4">
        <v>620</v>
      </c>
      <c r="C35" s="7" t="s">
        <v>58</v>
      </c>
    </row>
    <row r="36" spans="1:3">
      <c r="A36" s="1">
        <v>401001</v>
      </c>
      <c r="B36" s="4">
        <v>620</v>
      </c>
      <c r="C36" s="7" t="s">
        <v>59</v>
      </c>
    </row>
    <row r="37" spans="1:3" ht="27">
      <c r="A37" s="1">
        <v>401201</v>
      </c>
      <c r="B37" s="4">
        <v>620</v>
      </c>
      <c r="C37" s="7" t="s">
        <v>60</v>
      </c>
    </row>
    <row r="38" spans="1:3" ht="27">
      <c r="A38" s="1">
        <v>401301</v>
      </c>
      <c r="B38" s="4">
        <v>620</v>
      </c>
      <c r="C38" s="7" t="s">
        <v>61</v>
      </c>
    </row>
    <row r="39" spans="1:3" ht="40.5">
      <c r="A39" s="1">
        <v>401401</v>
      </c>
      <c r="B39" s="4">
        <v>620</v>
      </c>
      <c r="C39" s="7" t="s">
        <v>62</v>
      </c>
    </row>
    <row r="40" spans="1:3" ht="27">
      <c r="A40" s="1">
        <v>401501</v>
      </c>
      <c r="B40" s="4">
        <v>620</v>
      </c>
      <c r="C40" s="7" t="s">
        <v>63</v>
      </c>
    </row>
    <row r="41" spans="1:3">
      <c r="A41" s="8">
        <v>401601</v>
      </c>
      <c r="B41" s="9">
        <v>620</v>
      </c>
      <c r="C41" s="7" t="s">
        <v>64</v>
      </c>
    </row>
    <row r="42" spans="1:3" ht="40.5">
      <c r="A42" s="8">
        <v>401701</v>
      </c>
      <c r="B42" s="9">
        <v>620</v>
      </c>
      <c r="C42" s="7" t="s">
        <v>65</v>
      </c>
    </row>
    <row r="43" spans="1:3">
      <c r="A43" s="1">
        <v>500601</v>
      </c>
      <c r="B43" s="4">
        <v>620</v>
      </c>
      <c r="C43" s="7" t="s">
        <v>66</v>
      </c>
    </row>
    <row r="44" spans="1:3">
      <c r="A44" s="1">
        <v>500701</v>
      </c>
      <c r="B44" s="4">
        <v>620</v>
      </c>
      <c r="C44" s="7" t="s">
        <v>67</v>
      </c>
    </row>
    <row r="45" spans="1:3" ht="27">
      <c r="A45" s="1">
        <v>500801</v>
      </c>
      <c r="B45" s="4">
        <v>620</v>
      </c>
      <c r="C45" s="7" t="s">
        <v>68</v>
      </c>
    </row>
    <row r="46" spans="1:3" ht="40.5">
      <c r="A46" s="1">
        <v>500901</v>
      </c>
      <c r="B46" s="4">
        <v>620</v>
      </c>
      <c r="C46" s="7" t="s">
        <v>69</v>
      </c>
    </row>
    <row r="47" spans="1:3" ht="27">
      <c r="A47" s="1">
        <v>501001</v>
      </c>
      <c r="B47" s="4">
        <v>620</v>
      </c>
      <c r="C47" s="7" t="s">
        <v>70</v>
      </c>
    </row>
    <row r="48" spans="1:3" ht="27">
      <c r="A48" s="1">
        <v>501101</v>
      </c>
      <c r="B48" s="4">
        <v>610</v>
      </c>
      <c r="C48" s="7" t="s">
        <v>71</v>
      </c>
    </row>
    <row r="49" spans="1:3" ht="54">
      <c r="A49" s="1">
        <v>501201</v>
      </c>
      <c r="B49" s="4">
        <v>620</v>
      </c>
      <c r="C49" s="7" t="s">
        <v>72</v>
      </c>
    </row>
    <row r="50" spans="1:3" ht="27">
      <c r="A50" s="1">
        <v>501301</v>
      </c>
      <c r="B50" s="4">
        <v>620</v>
      </c>
      <c r="C50" s="7" t="s">
        <v>73</v>
      </c>
    </row>
    <row r="51" spans="1:3">
      <c r="A51" s="1">
        <v>501401</v>
      </c>
      <c r="B51" s="4">
        <v>620</v>
      </c>
      <c r="C51" s="7" t="s">
        <v>74</v>
      </c>
    </row>
    <row r="52" spans="1:3" ht="40.5">
      <c r="A52" s="1">
        <v>501501</v>
      </c>
      <c r="B52" s="4">
        <v>620</v>
      </c>
      <c r="C52" s="7" t="s">
        <v>75</v>
      </c>
    </row>
    <row r="53" spans="1:3">
      <c r="A53" s="1">
        <v>501601</v>
      </c>
      <c r="B53" s="4">
        <v>600</v>
      </c>
      <c r="C53" s="7" t="s">
        <v>76</v>
      </c>
    </row>
    <row r="54" spans="1:3">
      <c r="A54" s="1">
        <v>501701</v>
      </c>
      <c r="B54" s="4">
        <v>600</v>
      </c>
      <c r="C54" s="7" t="s">
        <v>77</v>
      </c>
    </row>
    <row r="55" spans="1:3" ht="40.5">
      <c r="A55" s="1">
        <v>401901</v>
      </c>
      <c r="B55" s="4">
        <v>600</v>
      </c>
      <c r="C55" s="7" t="s">
        <v>78</v>
      </c>
    </row>
    <row r="56" spans="1:3" s="6" customFormat="1" ht="27">
      <c r="A56" s="10">
        <v>401801</v>
      </c>
      <c r="B56" s="11">
        <v>600</v>
      </c>
      <c r="C56" s="7" t="s">
        <v>79</v>
      </c>
    </row>
    <row r="57" spans="1:3" s="6" customFormat="1">
      <c r="A57" s="10">
        <v>501801</v>
      </c>
      <c r="B57" s="11">
        <v>600</v>
      </c>
      <c r="C57" s="7" t="s">
        <v>80</v>
      </c>
    </row>
    <row r="58" spans="1:3">
      <c r="A58" s="1">
        <v>202501</v>
      </c>
      <c r="B58" s="4">
        <v>590</v>
      </c>
      <c r="C58" s="7" t="s">
        <v>81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6"/>
  <sheetViews>
    <sheetView workbookViewId="0">
      <selection activeCell="E7" sqref="E6:E7"/>
    </sheetView>
  </sheetViews>
  <sheetFormatPr defaultColWidth="9" defaultRowHeight="14.25"/>
  <cols>
    <col min="3" max="3" width="14.375" customWidth="1"/>
  </cols>
  <sheetData>
    <row r="1" spans="1:4" ht="16.5">
      <c r="A1" s="1" t="s">
        <v>13</v>
      </c>
      <c r="B1" s="1" t="s">
        <v>15</v>
      </c>
      <c r="C1" s="1" t="s">
        <v>82</v>
      </c>
      <c r="D1" s="1" t="s">
        <v>83</v>
      </c>
    </row>
    <row r="2" spans="1:4" ht="16.5">
      <c r="A2" s="1">
        <v>1</v>
      </c>
      <c r="B2" s="1">
        <v>30</v>
      </c>
      <c r="C2" s="5" t="s">
        <v>84</v>
      </c>
      <c r="D2">
        <v>1</v>
      </c>
    </row>
    <row r="3" spans="1:4" ht="16.5">
      <c r="A3" s="1">
        <v>2</v>
      </c>
      <c r="B3" s="1">
        <v>50</v>
      </c>
      <c r="C3" s="5" t="s">
        <v>84</v>
      </c>
      <c r="D3">
        <v>1</v>
      </c>
    </row>
    <row r="4" spans="1:4" ht="16.5">
      <c r="A4" s="1">
        <v>3</v>
      </c>
      <c r="B4" s="1">
        <v>100</v>
      </c>
      <c r="C4" s="5" t="s">
        <v>85</v>
      </c>
      <c r="D4">
        <v>1</v>
      </c>
    </row>
    <row r="5" spans="1:4" ht="16.5">
      <c r="A5" s="1">
        <v>4</v>
      </c>
      <c r="B5" s="1">
        <v>200</v>
      </c>
      <c r="C5" s="5" t="s">
        <v>86</v>
      </c>
      <c r="D5">
        <v>1</v>
      </c>
    </row>
    <row r="6" spans="1:4" ht="16.5">
      <c r="A6" s="1">
        <v>5</v>
      </c>
      <c r="B6" s="1">
        <v>300</v>
      </c>
      <c r="C6" s="5" t="s">
        <v>87</v>
      </c>
      <c r="D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N66"/>
  <sheetViews>
    <sheetView topLeftCell="A16" workbookViewId="0">
      <selection activeCell="L34" sqref="L34"/>
    </sheetView>
  </sheetViews>
  <sheetFormatPr defaultColWidth="9" defaultRowHeight="14.25"/>
  <cols>
    <col min="2" max="2" width="9.25" customWidth="1"/>
    <col min="13" max="13" width="17.25" customWidth="1"/>
  </cols>
  <sheetData>
    <row r="1" spans="1:14" ht="16.5">
      <c r="A1" s="1" t="s">
        <v>23</v>
      </c>
      <c r="B1" s="1" t="s">
        <v>24</v>
      </c>
      <c r="C1" s="1"/>
      <c r="F1" s="2">
        <v>6000</v>
      </c>
      <c r="G1" s="3" t="s">
        <v>88</v>
      </c>
      <c r="H1" s="3">
        <f>I1-F1</f>
        <v>-5330</v>
      </c>
      <c r="I1" s="3">
        <v>670</v>
      </c>
      <c r="J1">
        <f>SUM(F1:F66)</f>
        <v>51010</v>
      </c>
      <c r="K1">
        <v>1.3</v>
      </c>
    </row>
    <row r="2" spans="1:14" ht="16.5">
      <c r="A2" s="1">
        <v>101401</v>
      </c>
      <c r="B2" s="4">
        <v>530</v>
      </c>
      <c r="C2" t="s">
        <v>89</v>
      </c>
      <c r="D2">
        <v>100</v>
      </c>
      <c r="F2" s="2">
        <v>6000</v>
      </c>
      <c r="G2" s="3" t="s">
        <v>90</v>
      </c>
      <c r="H2" s="3">
        <f t="shared" ref="H2:H65" si="0">I2-F2</f>
        <v>-5330</v>
      </c>
      <c r="I2" s="3">
        <v>670</v>
      </c>
      <c r="M2" t="s">
        <v>91</v>
      </c>
    </row>
    <row r="3" spans="1:14" ht="16.5">
      <c r="A3" s="1">
        <v>101501</v>
      </c>
      <c r="B3" s="4">
        <v>410</v>
      </c>
      <c r="C3" t="s">
        <v>92</v>
      </c>
      <c r="D3">
        <v>270</v>
      </c>
      <c r="F3" s="2">
        <v>6000</v>
      </c>
      <c r="G3" s="3" t="s">
        <v>93</v>
      </c>
      <c r="H3" s="3">
        <f t="shared" si="0"/>
        <v>-5330</v>
      </c>
      <c r="I3" s="3">
        <v>670</v>
      </c>
    </row>
    <row r="4" spans="1:14" ht="16.5">
      <c r="A4" s="1">
        <v>101601</v>
      </c>
      <c r="B4" s="4">
        <v>670</v>
      </c>
      <c r="C4" t="s">
        <v>94</v>
      </c>
      <c r="D4">
        <v>100</v>
      </c>
      <c r="F4" s="2">
        <v>6000</v>
      </c>
      <c r="G4" s="3" t="s">
        <v>95</v>
      </c>
      <c r="H4" s="3">
        <f t="shared" si="0"/>
        <v>-5330</v>
      </c>
      <c r="I4" s="3">
        <v>670</v>
      </c>
      <c r="M4">
        <v>660</v>
      </c>
      <c r="N4">
        <f>M4/J1</f>
        <v>1.293863948245442E-2</v>
      </c>
    </row>
    <row r="5" spans="1:14" ht="16.5">
      <c r="A5" s="1">
        <v>101701</v>
      </c>
      <c r="B5" s="4">
        <v>620</v>
      </c>
      <c r="C5" t="s">
        <v>96</v>
      </c>
      <c r="D5">
        <v>30</v>
      </c>
      <c r="F5" s="2">
        <v>6000</v>
      </c>
      <c r="G5" s="3" t="s">
        <v>97</v>
      </c>
      <c r="H5" s="3">
        <f t="shared" si="0"/>
        <v>-5330</v>
      </c>
      <c r="I5" s="3">
        <v>670</v>
      </c>
      <c r="M5">
        <f>M4/J1*100</f>
        <v>1.2938639482454419</v>
      </c>
    </row>
    <row r="6" spans="1:14" ht="16.5">
      <c r="A6" s="1">
        <v>101801</v>
      </c>
      <c r="B6" s="4">
        <v>510</v>
      </c>
      <c r="C6" t="s">
        <v>98</v>
      </c>
      <c r="D6">
        <v>100</v>
      </c>
      <c r="F6" s="2">
        <v>6000</v>
      </c>
      <c r="G6" s="3" t="s">
        <v>99</v>
      </c>
      <c r="H6" s="3">
        <f t="shared" si="0"/>
        <v>-5330</v>
      </c>
      <c r="I6" s="3">
        <v>670</v>
      </c>
    </row>
    <row r="7" spans="1:14" ht="16.5">
      <c r="A7" s="1">
        <v>102001</v>
      </c>
      <c r="B7" s="4">
        <v>670</v>
      </c>
      <c r="C7" t="s">
        <v>100</v>
      </c>
      <c r="D7">
        <v>30</v>
      </c>
      <c r="F7" s="2">
        <v>2000</v>
      </c>
      <c r="G7" s="3" t="s">
        <v>101</v>
      </c>
      <c r="H7" s="3">
        <f t="shared" si="0"/>
        <v>-1330</v>
      </c>
      <c r="I7" s="3">
        <v>670</v>
      </c>
    </row>
    <row r="8" spans="1:14" ht="16.5">
      <c r="A8" s="1">
        <v>102101</v>
      </c>
      <c r="B8" s="4">
        <v>600</v>
      </c>
      <c r="C8" t="s">
        <v>102</v>
      </c>
      <c r="D8">
        <v>30</v>
      </c>
      <c r="F8" s="2">
        <v>2000</v>
      </c>
      <c r="G8" s="3" t="s">
        <v>103</v>
      </c>
      <c r="H8" s="3">
        <f t="shared" si="0"/>
        <v>-1330</v>
      </c>
      <c r="I8" s="3">
        <v>670</v>
      </c>
    </row>
    <row r="9" spans="1:14" ht="16.5">
      <c r="A9" s="1">
        <v>102201</v>
      </c>
      <c r="B9" s="4">
        <v>410</v>
      </c>
      <c r="C9" t="s">
        <v>104</v>
      </c>
      <c r="D9">
        <v>270</v>
      </c>
      <c r="F9" s="2">
        <v>600</v>
      </c>
      <c r="G9" s="3" t="s">
        <v>105</v>
      </c>
      <c r="H9" s="3">
        <f t="shared" si="0"/>
        <v>70</v>
      </c>
      <c r="I9" s="3">
        <v>670</v>
      </c>
    </row>
    <row r="10" spans="1:14" ht="16.5">
      <c r="A10" s="1">
        <v>201401</v>
      </c>
      <c r="B10" s="4">
        <v>430</v>
      </c>
      <c r="C10" t="s">
        <v>106</v>
      </c>
      <c r="D10">
        <v>215</v>
      </c>
      <c r="F10" s="2">
        <v>600</v>
      </c>
      <c r="G10" s="3" t="s">
        <v>107</v>
      </c>
      <c r="H10" s="3">
        <f t="shared" si="0"/>
        <v>70</v>
      </c>
      <c r="I10" s="3">
        <v>670</v>
      </c>
    </row>
    <row r="11" spans="1:14" ht="16.5">
      <c r="A11" s="1">
        <v>201501</v>
      </c>
      <c r="B11" s="4">
        <v>540</v>
      </c>
      <c r="C11" t="s">
        <v>108</v>
      </c>
      <c r="D11">
        <v>190</v>
      </c>
      <c r="F11" s="2">
        <v>300</v>
      </c>
      <c r="G11" s="3" t="s">
        <v>109</v>
      </c>
      <c r="H11" s="3">
        <f t="shared" si="0"/>
        <v>370</v>
      </c>
      <c r="I11" s="3">
        <v>670</v>
      </c>
    </row>
    <row r="12" spans="1:14" ht="16.5">
      <c r="A12" s="1">
        <v>201601</v>
      </c>
      <c r="B12" s="4">
        <v>450</v>
      </c>
      <c r="C12" t="s">
        <v>110</v>
      </c>
      <c r="D12">
        <v>215</v>
      </c>
      <c r="F12" s="2">
        <v>300</v>
      </c>
      <c r="G12" s="3" t="s">
        <v>111</v>
      </c>
      <c r="H12" s="3">
        <f t="shared" si="0"/>
        <v>370</v>
      </c>
      <c r="I12" s="3">
        <v>670</v>
      </c>
    </row>
    <row r="13" spans="1:14" ht="16.5">
      <c r="A13" s="1">
        <v>201701</v>
      </c>
      <c r="B13" s="4">
        <v>590</v>
      </c>
      <c r="C13" t="s">
        <v>112</v>
      </c>
      <c r="D13">
        <v>50</v>
      </c>
      <c r="F13" s="2">
        <v>600</v>
      </c>
      <c r="G13" s="3" t="s">
        <v>113</v>
      </c>
      <c r="H13" s="3">
        <f t="shared" si="0"/>
        <v>70</v>
      </c>
      <c r="I13" s="3">
        <v>670</v>
      </c>
    </row>
    <row r="14" spans="1:14" ht="16.5">
      <c r="A14" s="1">
        <v>201801</v>
      </c>
      <c r="B14" s="4">
        <v>670</v>
      </c>
      <c r="C14" t="s">
        <v>114</v>
      </c>
      <c r="D14">
        <v>15</v>
      </c>
      <c r="F14" s="2">
        <v>600</v>
      </c>
      <c r="G14" s="3" t="s">
        <v>115</v>
      </c>
      <c r="H14" s="3">
        <f t="shared" si="0"/>
        <v>70</v>
      </c>
      <c r="I14" s="3">
        <v>670</v>
      </c>
    </row>
    <row r="15" spans="1:14" ht="16.5">
      <c r="A15" s="1">
        <v>202001</v>
      </c>
      <c r="B15" s="4">
        <v>570</v>
      </c>
      <c r="C15" t="s">
        <v>116</v>
      </c>
      <c r="D15">
        <v>50</v>
      </c>
      <c r="F15" s="2">
        <v>300</v>
      </c>
      <c r="G15" s="3" t="s">
        <v>117</v>
      </c>
      <c r="H15" s="3">
        <f t="shared" si="0"/>
        <v>370</v>
      </c>
      <c r="I15" s="3">
        <v>670</v>
      </c>
    </row>
    <row r="16" spans="1:14" ht="16.5">
      <c r="A16" s="1">
        <v>202101</v>
      </c>
      <c r="B16" s="4">
        <v>610</v>
      </c>
      <c r="C16" t="s">
        <v>118</v>
      </c>
      <c r="D16">
        <v>50</v>
      </c>
      <c r="F16" s="2">
        <v>600</v>
      </c>
      <c r="G16" s="3" t="s">
        <v>119</v>
      </c>
      <c r="H16" s="3">
        <f t="shared" si="0"/>
        <v>70</v>
      </c>
      <c r="I16" s="3">
        <v>670</v>
      </c>
    </row>
    <row r="17" spans="1:10" ht="16.5">
      <c r="A17" s="1">
        <v>202201</v>
      </c>
      <c r="B17" s="4">
        <v>450</v>
      </c>
      <c r="C17" t="s">
        <v>120</v>
      </c>
      <c r="D17">
        <v>215</v>
      </c>
      <c r="F17" s="2">
        <v>600</v>
      </c>
      <c r="G17" s="3" t="s">
        <v>121</v>
      </c>
      <c r="H17" s="3">
        <f t="shared" si="0"/>
        <v>70</v>
      </c>
      <c r="I17" s="3">
        <v>670</v>
      </c>
    </row>
    <row r="18" spans="1:10" ht="16.5">
      <c r="A18" s="1">
        <v>202301</v>
      </c>
      <c r="B18" s="4">
        <v>610</v>
      </c>
      <c r="C18" t="s">
        <v>122</v>
      </c>
      <c r="F18" s="2">
        <v>300</v>
      </c>
      <c r="G18" s="3" t="s">
        <v>123</v>
      </c>
      <c r="H18" s="3">
        <f t="shared" si="0"/>
        <v>370</v>
      </c>
      <c r="I18" s="3">
        <v>670</v>
      </c>
    </row>
    <row r="19" spans="1:10" ht="16.5">
      <c r="A19" s="1">
        <v>202401</v>
      </c>
      <c r="B19" s="4">
        <v>600</v>
      </c>
      <c r="C19" t="s">
        <v>124</v>
      </c>
      <c r="F19" s="2">
        <v>300</v>
      </c>
      <c r="G19" s="3" t="s">
        <v>125</v>
      </c>
      <c r="H19" s="3">
        <f t="shared" si="0"/>
        <v>370</v>
      </c>
      <c r="I19" s="3">
        <v>670</v>
      </c>
    </row>
    <row r="20" spans="1:10" ht="16.5">
      <c r="A20" s="1">
        <v>301401</v>
      </c>
      <c r="B20" s="4">
        <v>670</v>
      </c>
      <c r="C20" t="s">
        <v>126</v>
      </c>
      <c r="D20">
        <v>40</v>
      </c>
      <c r="F20" s="2">
        <v>600</v>
      </c>
      <c r="G20" s="3" t="s">
        <v>127</v>
      </c>
      <c r="H20" s="3">
        <f t="shared" si="0"/>
        <v>70</v>
      </c>
      <c r="I20" s="3">
        <v>670</v>
      </c>
      <c r="J20">
        <v>670</v>
      </c>
    </row>
    <row r="21" spans="1:10" ht="16.5">
      <c r="A21" s="1">
        <v>301501</v>
      </c>
      <c r="B21" s="4">
        <v>550</v>
      </c>
      <c r="C21" t="s">
        <v>128</v>
      </c>
      <c r="D21">
        <v>40</v>
      </c>
      <c r="F21" s="2">
        <v>300</v>
      </c>
      <c r="G21" s="3" t="s">
        <v>129</v>
      </c>
      <c r="H21" s="3">
        <f t="shared" si="0"/>
        <v>370</v>
      </c>
      <c r="I21" s="3">
        <v>670</v>
      </c>
      <c r="J21">
        <v>51665</v>
      </c>
    </row>
    <row r="22" spans="1:10" ht="16.5">
      <c r="A22" s="1">
        <v>301601</v>
      </c>
      <c r="B22" s="4">
        <v>670</v>
      </c>
      <c r="C22" t="s">
        <v>130</v>
      </c>
      <c r="D22">
        <v>15</v>
      </c>
      <c r="F22" s="2">
        <v>600</v>
      </c>
      <c r="G22" s="3" t="s">
        <v>131</v>
      </c>
      <c r="H22" s="3">
        <f t="shared" si="0"/>
        <v>70</v>
      </c>
      <c r="I22" s="3">
        <v>670</v>
      </c>
      <c r="J22">
        <f>J20/J21</f>
        <v>1.2968160263234298E-2</v>
      </c>
    </row>
    <row r="23" spans="1:10" ht="16.5">
      <c r="A23" s="1">
        <v>301701</v>
      </c>
      <c r="B23" s="4">
        <v>520</v>
      </c>
      <c r="C23" t="s">
        <v>132</v>
      </c>
      <c r="D23">
        <v>185</v>
      </c>
      <c r="F23" s="2">
        <v>600</v>
      </c>
      <c r="G23" s="3" t="s">
        <v>133</v>
      </c>
      <c r="H23" s="3">
        <f t="shared" si="0"/>
        <v>70</v>
      </c>
      <c r="I23" s="3">
        <v>670</v>
      </c>
    </row>
    <row r="24" spans="1:10" ht="16.5">
      <c r="A24" s="1">
        <v>301801</v>
      </c>
      <c r="B24" s="4">
        <v>410</v>
      </c>
      <c r="C24" t="s">
        <v>134</v>
      </c>
      <c r="D24">
        <v>200</v>
      </c>
      <c r="F24" s="2">
        <v>600</v>
      </c>
      <c r="G24" s="3" t="s">
        <v>135</v>
      </c>
      <c r="H24" s="3">
        <f t="shared" si="0"/>
        <v>70</v>
      </c>
      <c r="I24" s="3">
        <v>670</v>
      </c>
    </row>
    <row r="25" spans="1:10" ht="16.5">
      <c r="A25" s="1">
        <v>301901</v>
      </c>
      <c r="B25" s="4">
        <v>400</v>
      </c>
      <c r="C25" t="s">
        <v>136</v>
      </c>
      <c r="D25">
        <v>200</v>
      </c>
      <c r="F25" s="2">
        <v>260</v>
      </c>
      <c r="G25" s="3" t="s">
        <v>104</v>
      </c>
      <c r="H25" s="3">
        <f t="shared" si="0"/>
        <v>410</v>
      </c>
      <c r="I25" s="3">
        <v>670</v>
      </c>
    </row>
    <row r="26" spans="1:10" ht="16.5">
      <c r="A26" s="1">
        <v>302001</v>
      </c>
      <c r="B26" s="4">
        <v>670</v>
      </c>
      <c r="C26" t="s">
        <v>137</v>
      </c>
      <c r="D26">
        <v>15</v>
      </c>
      <c r="F26" s="2">
        <v>140</v>
      </c>
      <c r="G26" s="3" t="s">
        <v>89</v>
      </c>
      <c r="H26" s="3">
        <f t="shared" si="0"/>
        <v>530</v>
      </c>
      <c r="I26" s="3">
        <v>670</v>
      </c>
    </row>
    <row r="27" spans="1:10" ht="16.5">
      <c r="A27" s="1">
        <v>302101</v>
      </c>
      <c r="B27" s="4">
        <v>670</v>
      </c>
      <c r="C27" t="s">
        <v>138</v>
      </c>
      <c r="D27">
        <v>160</v>
      </c>
      <c r="F27" s="2">
        <v>160</v>
      </c>
      <c r="G27" s="3" t="s">
        <v>98</v>
      </c>
      <c r="H27" s="3">
        <f t="shared" si="0"/>
        <v>510</v>
      </c>
      <c r="I27" s="3">
        <v>670</v>
      </c>
    </row>
    <row r="28" spans="1:10" ht="16.5">
      <c r="A28" s="1">
        <v>302201</v>
      </c>
      <c r="B28" s="4">
        <v>520</v>
      </c>
      <c r="C28" t="s">
        <v>139</v>
      </c>
      <c r="D28">
        <v>40</v>
      </c>
      <c r="F28" s="2">
        <v>0</v>
      </c>
      <c r="G28" s="3" t="s">
        <v>100</v>
      </c>
      <c r="H28" s="3">
        <f t="shared" si="0"/>
        <v>670</v>
      </c>
      <c r="I28" s="3">
        <v>670</v>
      </c>
    </row>
    <row r="29" spans="1:10" ht="16.5">
      <c r="A29" s="1">
        <v>400501</v>
      </c>
      <c r="B29" s="4">
        <v>670</v>
      </c>
      <c r="C29" t="s">
        <v>140</v>
      </c>
      <c r="D29">
        <v>7</v>
      </c>
      <c r="F29" s="2">
        <v>70</v>
      </c>
      <c r="G29" s="3" t="s">
        <v>102</v>
      </c>
      <c r="H29" s="3">
        <f t="shared" si="0"/>
        <v>600</v>
      </c>
      <c r="I29" s="3">
        <v>670</v>
      </c>
    </row>
    <row r="30" spans="1:10" ht="16.5">
      <c r="A30" s="1">
        <v>400701</v>
      </c>
      <c r="B30" s="4">
        <v>670</v>
      </c>
      <c r="C30" t="s">
        <v>141</v>
      </c>
      <c r="D30">
        <v>7</v>
      </c>
      <c r="F30" s="2">
        <v>0</v>
      </c>
      <c r="G30" s="3" t="s">
        <v>94</v>
      </c>
      <c r="H30" s="3">
        <f t="shared" si="0"/>
        <v>670</v>
      </c>
      <c r="I30" s="3">
        <v>670</v>
      </c>
    </row>
    <row r="31" spans="1:10" ht="16.5">
      <c r="A31" s="1">
        <v>400801</v>
      </c>
      <c r="B31" s="4">
        <v>620</v>
      </c>
      <c r="C31" t="s">
        <v>142</v>
      </c>
      <c r="D31">
        <v>150</v>
      </c>
      <c r="F31" s="2">
        <v>260</v>
      </c>
      <c r="G31" s="3" t="s">
        <v>92</v>
      </c>
      <c r="H31" s="3">
        <f t="shared" si="0"/>
        <v>410</v>
      </c>
      <c r="I31" s="3">
        <v>670</v>
      </c>
    </row>
    <row r="32" spans="1:10" ht="16.5">
      <c r="A32" s="1">
        <v>400901</v>
      </c>
      <c r="B32" s="4">
        <v>670</v>
      </c>
      <c r="C32" t="s">
        <v>143</v>
      </c>
      <c r="D32">
        <v>7</v>
      </c>
      <c r="F32" s="2">
        <v>50</v>
      </c>
      <c r="G32" s="3" t="s">
        <v>96</v>
      </c>
      <c r="H32" s="3">
        <f t="shared" si="0"/>
        <v>620</v>
      </c>
      <c r="I32" s="3">
        <v>670</v>
      </c>
    </row>
    <row r="33" spans="1:9" ht="16.5">
      <c r="A33" s="1">
        <v>401001</v>
      </c>
      <c r="B33" s="4">
        <v>670</v>
      </c>
      <c r="C33" t="s">
        <v>144</v>
      </c>
      <c r="D33">
        <v>3</v>
      </c>
      <c r="F33" s="2">
        <v>0</v>
      </c>
      <c r="G33" s="3" t="s">
        <v>126</v>
      </c>
      <c r="H33" s="3">
        <f t="shared" si="0"/>
        <v>670</v>
      </c>
      <c r="I33" s="3">
        <v>670</v>
      </c>
    </row>
    <row r="34" spans="1:9" ht="16.5">
      <c r="A34" s="1">
        <v>401201</v>
      </c>
      <c r="B34" s="4">
        <v>670</v>
      </c>
      <c r="C34" t="s">
        <v>145</v>
      </c>
      <c r="D34">
        <v>40</v>
      </c>
      <c r="F34" s="2">
        <v>150</v>
      </c>
      <c r="G34" s="3" t="s">
        <v>132</v>
      </c>
      <c r="H34" s="3">
        <f t="shared" si="0"/>
        <v>520</v>
      </c>
      <c r="I34" s="3">
        <v>670</v>
      </c>
    </row>
    <row r="35" spans="1:9" ht="16.5">
      <c r="A35" s="1">
        <v>401301</v>
      </c>
      <c r="B35" s="4">
        <v>670</v>
      </c>
      <c r="C35" t="s">
        <v>146</v>
      </c>
      <c r="D35">
        <v>40</v>
      </c>
      <c r="F35" s="2">
        <v>0</v>
      </c>
      <c r="G35" s="3" t="s">
        <v>130</v>
      </c>
      <c r="H35" s="3">
        <f t="shared" si="0"/>
        <v>670</v>
      </c>
      <c r="I35" s="3">
        <v>670</v>
      </c>
    </row>
    <row r="36" spans="1:9" ht="16.5">
      <c r="A36" s="1">
        <v>401401</v>
      </c>
      <c r="B36" s="4">
        <v>670</v>
      </c>
      <c r="C36" t="s">
        <v>147</v>
      </c>
      <c r="D36">
        <v>3</v>
      </c>
      <c r="F36" s="2">
        <v>260</v>
      </c>
      <c r="G36" s="3" t="s">
        <v>134</v>
      </c>
      <c r="H36" s="3">
        <f t="shared" si="0"/>
        <v>410</v>
      </c>
      <c r="I36" s="3">
        <v>670</v>
      </c>
    </row>
    <row r="37" spans="1:9" ht="16.5">
      <c r="A37" s="1">
        <v>500601</v>
      </c>
      <c r="B37" s="4">
        <v>670</v>
      </c>
      <c r="C37" t="s">
        <v>148</v>
      </c>
      <c r="D37">
        <v>75</v>
      </c>
      <c r="F37" s="2">
        <v>0</v>
      </c>
      <c r="G37" s="3" t="s">
        <v>137</v>
      </c>
      <c r="H37" s="3">
        <f t="shared" si="0"/>
        <v>670</v>
      </c>
      <c r="I37" s="3">
        <v>670</v>
      </c>
    </row>
    <row r="38" spans="1:9" ht="16.5">
      <c r="A38" s="1">
        <v>500701</v>
      </c>
      <c r="B38" s="4">
        <v>670</v>
      </c>
      <c r="C38" t="s">
        <v>149</v>
      </c>
      <c r="D38">
        <v>7</v>
      </c>
      <c r="F38" s="2">
        <v>0</v>
      </c>
      <c r="G38" s="3" t="s">
        <v>138</v>
      </c>
      <c r="H38" s="3">
        <f t="shared" si="0"/>
        <v>670</v>
      </c>
      <c r="I38" s="3">
        <v>670</v>
      </c>
    </row>
    <row r="39" spans="1:9" ht="16.5">
      <c r="A39" s="1">
        <v>500801</v>
      </c>
      <c r="B39" s="4">
        <v>670</v>
      </c>
      <c r="C39" t="s">
        <v>150</v>
      </c>
      <c r="D39">
        <v>3</v>
      </c>
      <c r="F39" s="2">
        <v>270</v>
      </c>
      <c r="G39" s="3" t="s">
        <v>136</v>
      </c>
      <c r="H39" s="3">
        <f t="shared" si="0"/>
        <v>400</v>
      </c>
      <c r="I39" s="3">
        <v>670</v>
      </c>
    </row>
    <row r="40" spans="1:9" ht="16.5">
      <c r="A40" s="1">
        <v>500901</v>
      </c>
      <c r="B40" s="4">
        <v>670</v>
      </c>
      <c r="C40" t="s">
        <v>151</v>
      </c>
      <c r="D40">
        <v>7</v>
      </c>
      <c r="F40" s="2">
        <v>150</v>
      </c>
      <c r="G40" s="3" t="s">
        <v>139</v>
      </c>
      <c r="H40" s="3">
        <f t="shared" si="0"/>
        <v>520</v>
      </c>
      <c r="I40" s="3">
        <v>670</v>
      </c>
    </row>
    <row r="41" spans="1:9" ht="16.5">
      <c r="A41" s="1">
        <v>501001</v>
      </c>
      <c r="B41" s="4">
        <v>670</v>
      </c>
      <c r="C41" t="s">
        <v>152</v>
      </c>
      <c r="D41">
        <v>7</v>
      </c>
      <c r="F41" s="2">
        <v>120</v>
      </c>
      <c r="G41" s="3" t="s">
        <v>128</v>
      </c>
      <c r="H41" s="3">
        <f t="shared" si="0"/>
        <v>550</v>
      </c>
      <c r="I41" s="3">
        <v>670</v>
      </c>
    </row>
    <row r="42" spans="1:9" ht="16.5">
      <c r="A42" s="1">
        <v>501101</v>
      </c>
      <c r="B42" s="4">
        <v>610</v>
      </c>
      <c r="C42" t="s">
        <v>153</v>
      </c>
      <c r="D42">
        <v>150</v>
      </c>
      <c r="F42" s="2">
        <v>220</v>
      </c>
      <c r="G42" s="3" t="s">
        <v>106</v>
      </c>
      <c r="H42" s="3">
        <f t="shared" si="0"/>
        <v>450</v>
      </c>
      <c r="I42" s="3">
        <v>670</v>
      </c>
    </row>
    <row r="43" spans="1:9" ht="16.5">
      <c r="A43" s="1">
        <v>501201</v>
      </c>
      <c r="B43" s="4">
        <v>620</v>
      </c>
      <c r="C43" t="s">
        <v>154</v>
      </c>
      <c r="D43">
        <v>75</v>
      </c>
      <c r="F43" s="2">
        <v>100</v>
      </c>
      <c r="G43" s="3" t="s">
        <v>116</v>
      </c>
      <c r="H43" s="3">
        <f t="shared" si="0"/>
        <v>570</v>
      </c>
      <c r="I43" s="3">
        <v>670</v>
      </c>
    </row>
    <row r="44" spans="1:9">
      <c r="F44" s="2">
        <v>220</v>
      </c>
      <c r="G44" s="3" t="s">
        <v>110</v>
      </c>
      <c r="H44" s="3">
        <f t="shared" si="0"/>
        <v>450</v>
      </c>
      <c r="I44" s="3">
        <v>670</v>
      </c>
    </row>
    <row r="45" spans="1:9">
      <c r="F45" s="2">
        <v>60</v>
      </c>
      <c r="G45" s="3" t="s">
        <v>118</v>
      </c>
      <c r="H45" s="3">
        <f t="shared" si="0"/>
        <v>610</v>
      </c>
      <c r="I45" s="3">
        <v>670</v>
      </c>
    </row>
    <row r="46" spans="1:9">
      <c r="F46" s="2">
        <v>220</v>
      </c>
      <c r="G46" s="3" t="s">
        <v>120</v>
      </c>
      <c r="H46" s="3">
        <f t="shared" si="0"/>
        <v>450</v>
      </c>
      <c r="I46" s="3">
        <v>670</v>
      </c>
    </row>
    <row r="47" spans="1:9">
      <c r="F47" s="2">
        <v>0</v>
      </c>
      <c r="G47" s="3" t="s">
        <v>114</v>
      </c>
      <c r="H47" s="3">
        <f t="shared" si="0"/>
        <v>670</v>
      </c>
      <c r="I47" s="3">
        <v>670</v>
      </c>
    </row>
    <row r="48" spans="1:9">
      <c r="F48" s="2">
        <v>80</v>
      </c>
      <c r="G48" s="3" t="s">
        <v>112</v>
      </c>
      <c r="H48" s="3">
        <f t="shared" si="0"/>
        <v>590</v>
      </c>
      <c r="I48" s="3">
        <v>670</v>
      </c>
    </row>
    <row r="49" spans="6:9">
      <c r="F49" s="2">
        <v>130</v>
      </c>
      <c r="G49" s="3" t="s">
        <v>108</v>
      </c>
      <c r="H49" s="3">
        <f t="shared" si="0"/>
        <v>540</v>
      </c>
      <c r="I49" s="3">
        <v>670</v>
      </c>
    </row>
    <row r="50" spans="6:9">
      <c r="F50" s="2">
        <v>70</v>
      </c>
      <c r="G50" s="3" t="s">
        <v>124</v>
      </c>
      <c r="H50" s="3">
        <f t="shared" si="0"/>
        <v>600</v>
      </c>
      <c r="I50" s="3">
        <v>670</v>
      </c>
    </row>
    <row r="51" spans="6:9">
      <c r="F51" s="2">
        <v>60</v>
      </c>
      <c r="G51" s="3" t="s">
        <v>122</v>
      </c>
      <c r="H51" s="3">
        <f t="shared" si="0"/>
        <v>610</v>
      </c>
      <c r="I51" s="3">
        <v>670</v>
      </c>
    </row>
    <row r="52" spans="6:9">
      <c r="F52" s="2">
        <v>50</v>
      </c>
      <c r="G52" s="3" t="s">
        <v>154</v>
      </c>
      <c r="H52" s="3">
        <f t="shared" si="0"/>
        <v>620</v>
      </c>
      <c r="I52" s="3">
        <v>670</v>
      </c>
    </row>
    <row r="53" spans="6:9">
      <c r="F53" s="2">
        <v>0</v>
      </c>
      <c r="G53" s="3" t="s">
        <v>149</v>
      </c>
      <c r="H53" s="3">
        <f t="shared" si="0"/>
        <v>670</v>
      </c>
      <c r="I53" s="3">
        <v>670</v>
      </c>
    </row>
    <row r="54" spans="6:9">
      <c r="F54" s="2">
        <v>0</v>
      </c>
      <c r="G54" s="3" t="s">
        <v>141</v>
      </c>
      <c r="H54" s="3">
        <f t="shared" si="0"/>
        <v>670</v>
      </c>
      <c r="I54" s="3">
        <v>670</v>
      </c>
    </row>
    <row r="55" spans="6:9">
      <c r="F55" s="2">
        <v>0</v>
      </c>
      <c r="G55" s="3" t="s">
        <v>145</v>
      </c>
      <c r="H55" s="3">
        <f t="shared" si="0"/>
        <v>670</v>
      </c>
      <c r="I55" s="3">
        <v>670</v>
      </c>
    </row>
    <row r="56" spans="6:9">
      <c r="F56" s="2">
        <v>0</v>
      </c>
      <c r="G56" s="3" t="s">
        <v>146</v>
      </c>
      <c r="H56" s="3">
        <f t="shared" si="0"/>
        <v>670</v>
      </c>
      <c r="I56" s="3">
        <v>670</v>
      </c>
    </row>
    <row r="57" spans="6:9">
      <c r="F57" s="2">
        <v>0</v>
      </c>
      <c r="G57" s="3" t="s">
        <v>140</v>
      </c>
      <c r="H57" s="3">
        <f t="shared" si="0"/>
        <v>670</v>
      </c>
      <c r="I57" s="3">
        <v>670</v>
      </c>
    </row>
    <row r="58" spans="6:9">
      <c r="F58" s="2">
        <v>0</v>
      </c>
      <c r="G58" s="3" t="s">
        <v>148</v>
      </c>
      <c r="H58" s="3">
        <f t="shared" si="0"/>
        <v>670</v>
      </c>
      <c r="I58" s="3">
        <v>670</v>
      </c>
    </row>
    <row r="59" spans="6:9">
      <c r="F59" s="2">
        <v>0</v>
      </c>
      <c r="G59" s="3" t="s">
        <v>143</v>
      </c>
      <c r="H59" s="3">
        <f t="shared" si="0"/>
        <v>670</v>
      </c>
      <c r="I59" s="3">
        <v>670</v>
      </c>
    </row>
    <row r="60" spans="6:9">
      <c r="F60" s="2">
        <v>60</v>
      </c>
      <c r="G60" s="3" t="s">
        <v>153</v>
      </c>
      <c r="H60" s="3">
        <f t="shared" si="0"/>
        <v>610</v>
      </c>
      <c r="I60" s="3">
        <v>670</v>
      </c>
    </row>
    <row r="61" spans="6:9">
      <c r="F61" s="2">
        <v>50</v>
      </c>
      <c r="G61" s="3" t="s">
        <v>142</v>
      </c>
      <c r="H61" s="3">
        <f t="shared" si="0"/>
        <v>620</v>
      </c>
      <c r="I61" s="3">
        <v>670</v>
      </c>
    </row>
    <row r="62" spans="6:9">
      <c r="F62" s="2">
        <v>0</v>
      </c>
      <c r="G62" s="3" t="s">
        <v>152</v>
      </c>
      <c r="H62" s="3">
        <f t="shared" si="0"/>
        <v>670</v>
      </c>
      <c r="I62" s="3">
        <v>670</v>
      </c>
    </row>
    <row r="63" spans="6:9">
      <c r="F63" s="2">
        <v>0</v>
      </c>
      <c r="G63" s="3" t="s">
        <v>151</v>
      </c>
      <c r="H63" s="3">
        <f t="shared" si="0"/>
        <v>670</v>
      </c>
      <c r="I63" s="3">
        <v>670</v>
      </c>
    </row>
    <row r="64" spans="6:9">
      <c r="F64" s="2">
        <v>0</v>
      </c>
      <c r="G64" s="3" t="s">
        <v>147</v>
      </c>
      <c r="H64" s="3">
        <f t="shared" si="0"/>
        <v>670</v>
      </c>
      <c r="I64" s="3">
        <v>670</v>
      </c>
    </row>
    <row r="65" spans="6:9">
      <c r="F65" s="2">
        <v>0</v>
      </c>
      <c r="G65" s="3" t="s">
        <v>150</v>
      </c>
      <c r="H65" s="3">
        <f t="shared" si="0"/>
        <v>670</v>
      </c>
      <c r="I65" s="3">
        <v>670</v>
      </c>
    </row>
    <row r="66" spans="6:9">
      <c r="F66" s="2">
        <v>0</v>
      </c>
      <c r="G66" s="3" t="s">
        <v>144</v>
      </c>
      <c r="H66" s="3">
        <f t="shared" ref="H66" si="1">I66-F66</f>
        <v>670</v>
      </c>
      <c r="I66" s="3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英雄祈愿基础</vt:lpstr>
      <vt:lpstr>英雄祈愿召唤方式</vt:lpstr>
      <vt:lpstr>英雄祈愿心仪英雄</vt:lpstr>
      <vt:lpstr>英雄祈愿召唤奖励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2006-09-16T00:00:00Z</dcterms:created>
  <dcterms:modified xsi:type="dcterms:W3CDTF">2025-10-17T04:11:14Z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FEB90F50787E437D9783BD9ACF10F8AC</vt:lpwstr>
  </property>
</Properties>
</file>