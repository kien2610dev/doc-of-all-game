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新SVN\策划\excel\release\"/>
    </mc:Choice>
  </mc:AlternateContent>
  <bookViews>
    <workbookView xWindow="0" yWindow="0" windowWidth="28800" windowHeight="12540" activeTab="2"/>
  </bookViews>
  <sheets>
    <sheet name="莽荒纪基础" sheetId="1" r:id="rId1"/>
    <sheet name="关卡基础" sheetId="2" r:id="rId2"/>
    <sheet name="莽荒纪关卡" sheetId="3" r:id="rId3"/>
  </sheets>
  <calcPr calcId="162913"/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" i="3"/>
</calcChain>
</file>

<file path=xl/sharedStrings.xml><?xml version="1.0" encoding="utf-8"?>
<sst xmlns="http://schemas.openxmlformats.org/spreadsheetml/2006/main" count="427" uniqueCount="195">
  <si>
    <t>活动ID</t>
  </si>
  <si>
    <t>活动名称</t>
  </si>
  <si>
    <t>开服天数下限</t>
  </si>
  <si>
    <t>开服天数上限</t>
  </si>
  <si>
    <t>开启等级</t>
  </si>
  <si>
    <t>活动分组</t>
  </si>
  <si>
    <t>活动图标</t>
  </si>
  <si>
    <t>功能ID</t>
  </si>
  <si>
    <t>描述ID</t>
  </si>
  <si>
    <t>蛮荒纪</t>
  </si>
  <si>
    <t>activity_34</t>
  </si>
  <si>
    <t>蛮荒纪二期</t>
  </si>
  <si>
    <t>ID</t>
  </si>
  <si>
    <t>名称</t>
  </si>
  <si>
    <t>持续小时数</t>
  </si>
  <si>
    <t>解锁下一章元宝</t>
  </si>
  <si>
    <t>圣域ID</t>
  </si>
  <si>
    <t>卷一</t>
  </si>
  <si>
    <t>卷二</t>
  </si>
  <si>
    <t>卷三</t>
  </si>
  <si>
    <t>卷四</t>
  </si>
  <si>
    <t>卷五</t>
  </si>
  <si>
    <t>卷六</t>
  </si>
  <si>
    <t>卷七</t>
  </si>
  <si>
    <t>关卡</t>
  </si>
  <si>
    <t>怪物一方实例</t>
  </si>
  <si>
    <t>奖励1</t>
  </si>
  <si>
    <t>buff1</t>
  </si>
  <si>
    <t>奖励2</t>
  </si>
  <si>
    <t>buff2</t>
  </si>
  <si>
    <t>奖励3</t>
  </si>
  <si>
    <t>buff3</t>
  </si>
  <si>
    <t>奖励4</t>
  </si>
  <si>
    <t>buff4</t>
  </si>
  <si>
    <t>展示英雄ID</t>
  </si>
  <si>
    <t>推荐战力</t>
  </si>
  <si>
    <t>0:1:200</t>
  </si>
  <si>
    <t>4:606002:50</t>
  </si>
  <si>
    <t>10</t>
  </si>
  <si>
    <t>3:100022:5</t>
  </si>
  <si>
    <t>20</t>
  </si>
  <si>
    <t>3:100001:500</t>
  </si>
  <si>
    <t>30</t>
  </si>
  <si>
    <t>3:100059:10</t>
  </si>
  <si>
    <t>3:100022:10</t>
  </si>
  <si>
    <t>0:0:2000000</t>
  </si>
  <si>
    <t>3:100001:1000</t>
  </si>
  <si>
    <t>3:100025:3</t>
  </si>
  <si>
    <t>0:4:2000000</t>
  </si>
  <si>
    <t>3:100059:5</t>
  </si>
  <si>
    <t>3:100004:1500</t>
  </si>
  <si>
    <t>3:100212:10</t>
  </si>
  <si>
    <t>3:400016:2</t>
  </si>
  <si>
    <t>4:606015:50</t>
  </si>
  <si>
    <t>3:100005:30</t>
  </si>
  <si>
    <t>3:100212:20</t>
  </si>
  <si>
    <t>3:200018:1000</t>
  </si>
  <si>
    <t>0:1:300</t>
  </si>
  <si>
    <t>0:4:5000000</t>
  </si>
  <si>
    <t>3:100004:1000</t>
  </si>
  <si>
    <t>3:400016:1</t>
  </si>
  <si>
    <t>3:400017:2</t>
  </si>
  <si>
    <t>0:0:500000</t>
  </si>
  <si>
    <t>3:100025:5</t>
  </si>
  <si>
    <t>0:4:500000</t>
  </si>
  <si>
    <t>3:100022:20</t>
  </si>
  <si>
    <t>0:0:5000000</t>
  </si>
  <si>
    <t>3:200018:1500</t>
  </si>
  <si>
    <t>3:100212:30</t>
  </si>
  <si>
    <t>3:100005:60</t>
  </si>
  <si>
    <t>3:100001:1500</t>
  </si>
  <si>
    <t>3:500025:1</t>
  </si>
  <si>
    <t>3:100004:2000</t>
  </si>
  <si>
    <t>0:4:1000000</t>
  </si>
  <si>
    <t>3:100212:25</t>
  </si>
  <si>
    <t>3:400013:10</t>
  </si>
  <si>
    <t>3:100059:15</t>
  </si>
  <si>
    <t>4:604008:50</t>
  </si>
  <si>
    <t>3:400015:1</t>
  </si>
  <si>
    <t>4:605006:50</t>
  </si>
  <si>
    <t>3:100001:2000</t>
  </si>
  <si>
    <t>3:100006:5</t>
  </si>
  <si>
    <t>3:200018:2000</t>
  </si>
  <si>
    <t>4:604007:50</t>
  </si>
  <si>
    <t>0:0:3000000</t>
  </si>
  <si>
    <t>2:19000111:1</t>
  </si>
  <si>
    <t>2:19000211:1</t>
  </si>
  <si>
    <t>2:19000311:1</t>
  </si>
  <si>
    <t>2:19000411:1</t>
  </si>
  <si>
    <t>3:100001:200</t>
  </si>
  <si>
    <t>4:606001:30</t>
  </si>
  <si>
    <t>120</t>
  </si>
  <si>
    <t>2:19000106:1</t>
  </si>
  <si>
    <t>2:19000206:1</t>
  </si>
  <si>
    <t>2:19000306:1</t>
  </si>
  <si>
    <t>2:19000406:1</t>
  </si>
  <si>
    <t>3:100025:1</t>
  </si>
  <si>
    <t>4:602018:50</t>
  </si>
  <si>
    <t>5:3:1</t>
  </si>
  <si>
    <t>3:100001:300</t>
  </si>
  <si>
    <t>3:100005:10</t>
  </si>
  <si>
    <t>3:100002:100</t>
  </si>
  <si>
    <t>2:19000109:1</t>
  </si>
  <si>
    <t>4:603020:50</t>
  </si>
  <si>
    <t>4:606010:50</t>
  </si>
  <si>
    <t>4:601016:50</t>
  </si>
  <si>
    <t>4:606009:50</t>
  </si>
  <si>
    <t>4:601020:50</t>
  </si>
  <si>
    <t>4:606008:50</t>
  </si>
  <si>
    <t>5:4:2</t>
  </si>
  <si>
    <t>阵容预览</t>
    <phoneticPr fontId="2" type="noConversion"/>
  </si>
  <si>
    <t>201101:80#500301:80#400401:80#101201:80#301101:80</t>
  </si>
  <si>
    <t>301601:100#302101:100#501001:100#301901:100#501101:100</t>
  </si>
  <si>
    <t>201402:110#202002:110#202102:110#201502:110#201802:110</t>
  </si>
  <si>
    <t>501001:100#301901:100#501101:100#102201:100#201401:100</t>
  </si>
  <si>
    <t>401202:110#401302:110#101802:110#102002:110#201502:110</t>
  </si>
  <si>
    <t>301403:135#301603:135#302103:135#302203:135#301703:135</t>
  </si>
  <si>
    <t>101802:101#301602:101#501002:101#301902:101#501102:101</t>
  </si>
  <si>
    <t>202002:125#501202:125#202102:125#302102:125#302202:125</t>
  </si>
  <si>
    <t>400603:146#500603:146#101403:146#101603:146#500703:146</t>
  </si>
  <si>
    <t>501002:145#301902:145#101502:145#201602:145#202202:145</t>
  </si>
  <si>
    <t>201703:160#400603:150#500603:150#101403:150#101603:165</t>
  </si>
  <si>
    <t>101503:165#101803:165#102004:165#101404:185#102203:165</t>
  </si>
  <si>
    <t>102203:155#202003:155#301503:155#400703:155#201503:155</t>
  </si>
  <si>
    <t>400803:165#101503:165#201603:165#500703:165#201703:165</t>
  </si>
  <si>
    <t>500604:165#501004:165#501104:165#501204:165#500704:165</t>
  </si>
  <si>
    <t>101803:165#301603:165#501003:165#301903:165#501103:165</t>
  </si>
  <si>
    <t>301403:166#301404:167#301403:168#301404:169#301403:170</t>
  </si>
  <si>
    <t>102004:175#201804:185#302004:185#500703:165#400803:165</t>
  </si>
  <si>
    <t>400804:175#101504:175#201604:175#500704:175#201704:175</t>
  </si>
  <si>
    <t>400604:180#500604:180#101404:180#101604:180#500704:180</t>
  </si>
  <si>
    <t>400605:205#401204:185#401304:185#400805:205#400705:205</t>
  </si>
  <si>
    <t>201101:80</t>
  </si>
  <si>
    <t>301601:100</t>
  </si>
  <si>
    <t>201402:110</t>
  </si>
  <si>
    <t>501001:100</t>
  </si>
  <si>
    <t>401202:110</t>
  </si>
  <si>
    <t>301403:135</t>
  </si>
  <si>
    <t>101802:101</t>
  </si>
  <si>
    <t>202002:125</t>
  </si>
  <si>
    <t>400603:146</t>
  </si>
  <si>
    <t>501002:145</t>
  </si>
  <si>
    <t>201703:160</t>
  </si>
  <si>
    <t>101503:165</t>
  </si>
  <si>
    <t>102203:155</t>
  </si>
  <si>
    <t>400803:165</t>
  </si>
  <si>
    <t>500604:165</t>
  </si>
  <si>
    <t>101803:165</t>
  </si>
  <si>
    <t>301403:166</t>
  </si>
  <si>
    <t>102004:175</t>
  </si>
  <si>
    <t>400804:175</t>
  </si>
  <si>
    <t>400604:180</t>
  </si>
  <si>
    <t>400605:205</t>
  </si>
  <si>
    <t>102004:146#201604:146#301404:146#302004:146#400904:146</t>
  </si>
  <si>
    <t>102004:154#201704:154#202404:154#301604:154#302104:154</t>
  </si>
  <si>
    <t>102104:165#201504:165#202004:165#301604:165#400804:165</t>
  </si>
  <si>
    <t>302104:165#302204:165#400604:165#400704:165#101604:165</t>
  </si>
  <si>
    <t>102004:170#101504:170#101604:170#102104:169#301504:169</t>
  </si>
  <si>
    <t>400904:175#201704:175#301504:175#102005:174#101705:174</t>
  </si>
  <si>
    <t>102004:178#102104:178#102204:178#301404:177#301504:177</t>
  </si>
  <si>
    <t>102004:181#301604:181#400704:181#400804:180#400904:180</t>
  </si>
  <si>
    <t>101504:184#101604:184#301604:184#301704:183#301804:183</t>
  </si>
  <si>
    <t>101605:187#201405:187#301705:187#401205:186#401405:186</t>
  </si>
  <si>
    <t>102105:190#202005:190#301505:190#401405:190#500905:190</t>
  </si>
  <si>
    <t>202005:194#202105:194#202205:194#202405:194#301405:194</t>
  </si>
  <si>
    <t>301505:198#201405:198#201505:198#302105:198#302205:198</t>
  </si>
  <si>
    <t>202205:202#202405:202#301405:202#301505:202#201405:202</t>
  </si>
  <si>
    <t>500905:206#501005:206#202105:206#302105:206#302205:206</t>
  </si>
  <si>
    <t>301806:208#301906:208#302006:208#302106:208#302206:210</t>
  </si>
  <si>
    <t>401206:210#201806:210#202006:210#202406:212#301406:212</t>
  </si>
  <si>
    <t>102004:212#302006:215#400906:215#201806:215#501106:215</t>
  </si>
  <si>
    <t>401006:215#401206:217#201806:217#202006:217#202106:217</t>
  </si>
  <si>
    <t>202206:217#202406:220#301406:220#302106:220#302206:220</t>
  </si>
  <si>
    <t>401406:225#401206:223#302206:223#401306:223#102106:220</t>
  </si>
  <si>
    <t>102004:146</t>
  </si>
  <si>
    <t>102004:154</t>
  </si>
  <si>
    <t>102104:165</t>
  </si>
  <si>
    <t>302104:165</t>
  </si>
  <si>
    <t>102004:170</t>
  </si>
  <si>
    <t>400904:175</t>
  </si>
  <si>
    <t>102004:178</t>
  </si>
  <si>
    <t>102004:181</t>
  </si>
  <si>
    <t>101504:184</t>
  </si>
  <si>
    <t>101605:187</t>
  </si>
  <si>
    <t>102105:190</t>
  </si>
  <si>
    <t>202005:194</t>
  </si>
  <si>
    <t>301505:198</t>
  </si>
  <si>
    <t>202205:202</t>
  </si>
  <si>
    <t>500905:206</t>
  </si>
  <si>
    <t>301806:208</t>
  </si>
  <si>
    <t>401206:210</t>
  </si>
  <si>
    <t>102004:212</t>
  </si>
  <si>
    <t>401006:215</t>
  </si>
  <si>
    <t>202206:217</t>
  </si>
  <si>
    <t>401406:225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</si>
</sst>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rgb="FFFA7D0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4" borderId="1" applyNumberFormat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49" fontId="0" fillId="3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3" fillId="4" borderId="1" xfId="1" applyAlignment="1">
      <alignment horizontal="center"/>
    </xf>
    <xf numFmtId="0" fontId="3" fillId="4" borderId="1" xfId="1" applyAlignment="1"/>
    <xf numFmtId="0" fontId="0" fillId="3" borderId="0" xfId="0" applyFill="1" applyAlignment="1">
      <alignment horizontal="left" vertical="center"/>
    </xf>
  </cellXfs>
  <cellStyles count="2">
    <cellStyle name="常规" xfId="0" builtinId="0"/>
    <cellStyle name="计算" xfId="1" builtinId="22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A3" sqref="A3:I3"/>
    </sheetView>
  </sheetViews>
  <sheetFormatPr defaultColWidth="9" defaultRowHeight="14.25" x14ac:dyDescent="0.2"/>
  <cols>
    <col min="1" max="1" width="7.375" customWidth="1"/>
    <col min="2" max="5" width="15.125" customWidth="1"/>
    <col min="6" max="6" width="13.25" customWidth="1"/>
    <col min="7" max="7" width="9.25" customWidth="1"/>
  </cols>
  <sheetData>
    <row r="1" spans="1:9" ht="16.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">
      <c r="A2">
        <v>10001</v>
      </c>
      <c r="B2" t="s">
        <v>9</v>
      </c>
      <c r="C2">
        <v>15</v>
      </c>
      <c r="D2">
        <v>30</v>
      </c>
      <c r="E2">
        <v>10</v>
      </c>
      <c r="F2">
        <v>1</v>
      </c>
      <c r="G2" t="s">
        <v>10</v>
      </c>
      <c r="H2">
        <v>15901</v>
      </c>
      <c r="I2">
        <v>196</v>
      </c>
    </row>
    <row r="3" spans="1:9" x14ac:dyDescent="0.2">
      <c r="A3">
        <v>10002</v>
      </c>
      <c r="B3" t="s">
        <v>11</v>
      </c>
      <c r="C3">
        <v>999</v>
      </c>
      <c r="D3">
        <v>999</v>
      </c>
      <c r="E3">
        <v>999</v>
      </c>
      <c r="F3">
        <v>2</v>
      </c>
      <c r="G3" t="s">
        <v>10</v>
      </c>
      <c r="H3">
        <v>15902</v>
      </c>
      <c r="I3">
        <v>196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I16" sqref="I16"/>
    </sheetView>
  </sheetViews>
  <sheetFormatPr defaultColWidth="9" defaultRowHeight="14.25" x14ac:dyDescent="0.2"/>
  <cols>
    <col min="1" max="1" width="6.5" customWidth="1"/>
    <col min="2" max="2" width="5.25" customWidth="1"/>
    <col min="3" max="3" width="11" customWidth="1"/>
    <col min="4" max="4" width="15.125" customWidth="1"/>
  </cols>
  <sheetData>
    <row r="1" spans="1:6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5</v>
      </c>
      <c r="F1" s="1" t="s">
        <v>16</v>
      </c>
    </row>
    <row r="2" spans="1:6" x14ac:dyDescent="0.2">
      <c r="A2" s="1">
        <v>10001</v>
      </c>
      <c r="B2" s="1" t="s">
        <v>17</v>
      </c>
      <c r="C2" s="1">
        <v>24</v>
      </c>
      <c r="D2" s="1">
        <v>100</v>
      </c>
      <c r="E2" s="1">
        <v>1</v>
      </c>
      <c r="F2" s="1">
        <v>1</v>
      </c>
    </row>
    <row r="3" spans="1:6" x14ac:dyDescent="0.2">
      <c r="A3" s="1">
        <v>10002</v>
      </c>
      <c r="B3" s="1" t="s">
        <v>18</v>
      </c>
      <c r="C3" s="1">
        <v>24</v>
      </c>
      <c r="D3" s="1">
        <v>100</v>
      </c>
      <c r="E3" s="1">
        <v>1</v>
      </c>
      <c r="F3" s="1">
        <v>2</v>
      </c>
    </row>
    <row r="4" spans="1:6" x14ac:dyDescent="0.2">
      <c r="A4" s="1">
        <v>10003</v>
      </c>
      <c r="B4" s="1" t="s">
        <v>19</v>
      </c>
      <c r="C4" s="1">
        <v>24</v>
      </c>
      <c r="D4" s="1">
        <v>100</v>
      </c>
      <c r="E4" s="1">
        <v>1</v>
      </c>
      <c r="F4" s="1">
        <v>3</v>
      </c>
    </row>
    <row r="5" spans="1:6" x14ac:dyDescent="0.2">
      <c r="A5" s="1">
        <v>10004</v>
      </c>
      <c r="B5" s="1" t="s">
        <v>20</v>
      </c>
      <c r="C5" s="1">
        <v>24</v>
      </c>
      <c r="D5" s="1">
        <v>100</v>
      </c>
      <c r="E5" s="1">
        <v>1</v>
      </c>
      <c r="F5" s="1">
        <v>4</v>
      </c>
    </row>
    <row r="6" spans="1:6" x14ac:dyDescent="0.2">
      <c r="A6" s="1">
        <v>10005</v>
      </c>
      <c r="B6" s="1" t="s">
        <v>21</v>
      </c>
      <c r="C6" s="1">
        <v>24</v>
      </c>
      <c r="D6" s="1">
        <v>100</v>
      </c>
      <c r="E6" s="1">
        <v>1</v>
      </c>
      <c r="F6" s="1">
        <v>5</v>
      </c>
    </row>
    <row r="7" spans="1:6" x14ac:dyDescent="0.2">
      <c r="A7" s="1">
        <v>10006</v>
      </c>
      <c r="B7" s="1" t="s">
        <v>22</v>
      </c>
      <c r="C7" s="1">
        <v>24</v>
      </c>
      <c r="D7" s="1">
        <v>100</v>
      </c>
      <c r="E7" s="1">
        <v>1</v>
      </c>
      <c r="F7" s="1">
        <v>6</v>
      </c>
    </row>
    <row r="8" spans="1:6" x14ac:dyDescent="0.2">
      <c r="A8" s="1">
        <v>10007</v>
      </c>
      <c r="B8" s="1" t="s">
        <v>23</v>
      </c>
      <c r="C8" s="1">
        <v>24</v>
      </c>
      <c r="D8" s="1"/>
      <c r="E8" s="1">
        <v>1</v>
      </c>
      <c r="F8" s="1">
        <v>7</v>
      </c>
    </row>
    <row r="9" spans="1:6" x14ac:dyDescent="0.2">
      <c r="A9" s="1">
        <v>10101</v>
      </c>
      <c r="B9" s="1" t="s">
        <v>17</v>
      </c>
      <c r="C9" s="1">
        <v>24</v>
      </c>
      <c r="D9" s="1">
        <v>100</v>
      </c>
      <c r="E9" s="1">
        <v>2</v>
      </c>
      <c r="F9" s="1">
        <v>1</v>
      </c>
    </row>
    <row r="10" spans="1:6" x14ac:dyDescent="0.2">
      <c r="A10" s="1">
        <v>10102</v>
      </c>
      <c r="B10" s="1" t="s">
        <v>18</v>
      </c>
      <c r="C10" s="1">
        <v>24</v>
      </c>
      <c r="D10" s="1">
        <v>100</v>
      </c>
      <c r="E10" s="1">
        <v>2</v>
      </c>
      <c r="F10" s="1">
        <v>2</v>
      </c>
    </row>
    <row r="11" spans="1:6" x14ac:dyDescent="0.2">
      <c r="A11" s="1">
        <v>10103</v>
      </c>
      <c r="B11" s="1" t="s">
        <v>19</v>
      </c>
      <c r="C11" s="1">
        <v>24</v>
      </c>
      <c r="D11" s="1">
        <v>100</v>
      </c>
      <c r="E11" s="1">
        <v>2</v>
      </c>
      <c r="F11" s="1">
        <v>3</v>
      </c>
    </row>
    <row r="12" spans="1:6" x14ac:dyDescent="0.2">
      <c r="A12" s="1">
        <v>10104</v>
      </c>
      <c r="B12" s="1" t="s">
        <v>20</v>
      </c>
      <c r="C12" s="1">
        <v>24</v>
      </c>
      <c r="D12" s="1">
        <v>100</v>
      </c>
      <c r="E12" s="1">
        <v>2</v>
      </c>
      <c r="F12" s="1">
        <v>4</v>
      </c>
    </row>
    <row r="13" spans="1:6" x14ac:dyDescent="0.2">
      <c r="A13" s="1">
        <v>10105</v>
      </c>
      <c r="B13" s="1" t="s">
        <v>21</v>
      </c>
      <c r="C13" s="1">
        <v>24</v>
      </c>
      <c r="D13" s="1">
        <v>100</v>
      </c>
      <c r="E13" s="1">
        <v>2</v>
      </c>
      <c r="F13" s="1">
        <v>5</v>
      </c>
    </row>
    <row r="14" spans="1:6" x14ac:dyDescent="0.2">
      <c r="A14" s="1">
        <v>10106</v>
      </c>
      <c r="B14" s="1" t="s">
        <v>22</v>
      </c>
      <c r="C14" s="1">
        <v>24</v>
      </c>
      <c r="D14" s="1">
        <v>100</v>
      </c>
      <c r="E14" s="1">
        <v>2</v>
      </c>
      <c r="F14" s="1">
        <v>6</v>
      </c>
    </row>
    <row r="15" spans="1:6" x14ac:dyDescent="0.2">
      <c r="A15" s="1">
        <v>10107</v>
      </c>
      <c r="B15" s="1" t="s">
        <v>23</v>
      </c>
      <c r="C15" s="1">
        <v>24</v>
      </c>
      <c r="D15" s="1"/>
      <c r="E15" s="1">
        <v>2</v>
      </c>
      <c r="F15" s="1">
        <v>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workbookViewId="0">
      <pane ySplit="1" topLeftCell="A2" activePane="bottomLeft" state="frozen"/>
      <selection pane="bottomLeft" activeCell="M2" sqref="M2:M22"/>
    </sheetView>
  </sheetViews>
  <sheetFormatPr defaultColWidth="9" defaultRowHeight="14.25" x14ac:dyDescent="0.2"/>
  <cols>
    <col min="1" max="1" width="6.5" customWidth="1"/>
    <col min="2" max="2" width="5.25" customWidth="1"/>
    <col min="3" max="3" width="7" customWidth="1"/>
    <col min="4" max="4" width="13" customWidth="1"/>
    <col min="5" max="5" width="12.5" customWidth="1"/>
    <col min="6" max="6" width="5.625" customWidth="1"/>
    <col min="7" max="7" width="12.5" customWidth="1"/>
    <col min="8" max="8" width="6.5" customWidth="1"/>
    <col min="9" max="9" width="12.5" customWidth="1"/>
    <col min="10" max="10" width="6.5" customWidth="1"/>
    <col min="11" max="11" width="12.5" customWidth="1"/>
    <col min="12" max="12" width="6.5" customWidth="1"/>
    <col min="13" max="13" width="10.875" customWidth="1"/>
    <col min="16" max="16" width="57.5" bestFit="1" customWidth="1"/>
    <col min="18" max="18" width="9.375"/>
  </cols>
  <sheetData>
    <row r="1" spans="1:17" s="9" customFormat="1" x14ac:dyDescent="0.2">
      <c r="A1" s="8" t="s">
        <v>12</v>
      </c>
      <c r="B1" s="8" t="s">
        <v>24</v>
      </c>
      <c r="C1" s="8" t="s">
        <v>16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32</v>
      </c>
      <c r="L1" s="8" t="s">
        <v>33</v>
      </c>
      <c r="M1" s="8" t="s">
        <v>34</v>
      </c>
      <c r="N1" s="8" t="s">
        <v>35</v>
      </c>
      <c r="O1" s="8" t="s">
        <v>5</v>
      </c>
      <c r="P1" s="8" t="s">
        <v>110</v>
      </c>
    </row>
    <row r="2" spans="1:17" x14ac:dyDescent="0.2">
      <c r="A2" s="1">
        <v>10001</v>
      </c>
      <c r="B2" s="1">
        <v>1</v>
      </c>
      <c r="C2" s="1">
        <v>1</v>
      </c>
      <c r="D2">
        <v>2101</v>
      </c>
      <c r="E2" s="2" t="s">
        <v>36</v>
      </c>
      <c r="F2" s="2"/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t="s">
        <v>174</v>
      </c>
      <c r="N2" s="1">
        <v>589940</v>
      </c>
      <c r="O2">
        <v>1</v>
      </c>
      <c r="P2" t="s">
        <v>153</v>
      </c>
      <c r="Q2">
        <f>ROUND(N2*(1+0.25/21*--RIGHT(A2,2)),0)</f>
        <v>596963</v>
      </c>
    </row>
    <row r="3" spans="1:17" x14ac:dyDescent="0.2">
      <c r="A3" s="1">
        <v>10002</v>
      </c>
      <c r="B3" s="1">
        <v>2</v>
      </c>
      <c r="C3" s="1">
        <v>1</v>
      </c>
      <c r="D3">
        <v>2102</v>
      </c>
      <c r="E3" s="2" t="s">
        <v>43</v>
      </c>
      <c r="F3" s="2"/>
      <c r="G3" s="2" t="s">
        <v>37</v>
      </c>
      <c r="H3" s="2" t="s">
        <v>38</v>
      </c>
      <c r="I3" s="2" t="s">
        <v>44</v>
      </c>
      <c r="J3" s="2" t="s">
        <v>40</v>
      </c>
      <c r="K3" s="2" t="s">
        <v>45</v>
      </c>
      <c r="L3" s="2" t="s">
        <v>42</v>
      </c>
      <c r="M3" t="s">
        <v>175</v>
      </c>
      <c r="N3" s="1">
        <v>645893</v>
      </c>
      <c r="O3">
        <v>1</v>
      </c>
      <c r="P3" t="s">
        <v>154</v>
      </c>
      <c r="Q3">
        <f t="shared" ref="Q3:Q22" si="0">ROUND(N3*(1+0.25/21*--RIGHT(A3,2)),0)</f>
        <v>661271</v>
      </c>
    </row>
    <row r="4" spans="1:17" x14ac:dyDescent="0.2">
      <c r="A4" s="1">
        <v>10003</v>
      </c>
      <c r="B4" s="1">
        <v>3</v>
      </c>
      <c r="C4" s="1">
        <v>1</v>
      </c>
      <c r="D4">
        <v>2103</v>
      </c>
      <c r="E4" s="2" t="s">
        <v>46</v>
      </c>
      <c r="F4" s="2"/>
      <c r="G4" s="2" t="s">
        <v>47</v>
      </c>
      <c r="H4" s="2" t="s">
        <v>38</v>
      </c>
      <c r="I4" s="2" t="s">
        <v>44</v>
      </c>
      <c r="J4" s="2" t="s">
        <v>40</v>
      </c>
      <c r="K4" s="2" t="s">
        <v>48</v>
      </c>
      <c r="L4" s="2" t="s">
        <v>42</v>
      </c>
      <c r="M4" t="s">
        <v>176</v>
      </c>
      <c r="N4" s="1">
        <v>718570</v>
      </c>
      <c r="O4">
        <v>1</v>
      </c>
      <c r="P4" t="s">
        <v>155</v>
      </c>
      <c r="Q4">
        <f t="shared" si="0"/>
        <v>744233</v>
      </c>
    </row>
    <row r="5" spans="1:17" x14ac:dyDescent="0.2">
      <c r="A5" s="1">
        <v>10004</v>
      </c>
      <c r="B5" s="1">
        <v>1</v>
      </c>
      <c r="C5" s="1">
        <v>2</v>
      </c>
      <c r="D5">
        <v>2104</v>
      </c>
      <c r="E5" s="2" t="s">
        <v>49</v>
      </c>
      <c r="F5" s="2"/>
      <c r="G5" s="2" t="s">
        <v>44</v>
      </c>
      <c r="H5" s="2" t="s">
        <v>38</v>
      </c>
      <c r="I5" s="2" t="s">
        <v>50</v>
      </c>
      <c r="J5" s="2" t="s">
        <v>40</v>
      </c>
      <c r="K5" s="2" t="s">
        <v>51</v>
      </c>
      <c r="L5" s="2" t="s">
        <v>42</v>
      </c>
      <c r="M5" t="s">
        <v>177</v>
      </c>
      <c r="N5" s="1">
        <v>673267</v>
      </c>
      <c r="O5">
        <v>1</v>
      </c>
      <c r="P5" t="s">
        <v>156</v>
      </c>
      <c r="Q5">
        <f t="shared" si="0"/>
        <v>705327</v>
      </c>
    </row>
    <row r="6" spans="1:17" x14ac:dyDescent="0.2">
      <c r="A6" s="1">
        <v>10005</v>
      </c>
      <c r="B6" s="1">
        <v>2</v>
      </c>
      <c r="C6" s="1">
        <v>2</v>
      </c>
      <c r="D6">
        <v>2105</v>
      </c>
      <c r="E6" s="2" t="s">
        <v>52</v>
      </c>
      <c r="F6" s="2"/>
      <c r="G6" s="2" t="s">
        <v>53</v>
      </c>
      <c r="H6" s="2" t="s">
        <v>38</v>
      </c>
      <c r="I6" s="2" t="s">
        <v>54</v>
      </c>
      <c r="J6" s="2" t="s">
        <v>40</v>
      </c>
      <c r="K6" s="2" t="s">
        <v>45</v>
      </c>
      <c r="L6" s="2" t="s">
        <v>42</v>
      </c>
      <c r="M6" t="s">
        <v>178</v>
      </c>
      <c r="N6" s="1">
        <v>748702</v>
      </c>
      <c r="O6">
        <v>1</v>
      </c>
      <c r="P6" t="s">
        <v>157</v>
      </c>
      <c r="Q6">
        <f t="shared" si="0"/>
        <v>793268</v>
      </c>
    </row>
    <row r="7" spans="1:17" x14ac:dyDescent="0.2">
      <c r="A7" s="1">
        <v>10006</v>
      </c>
      <c r="B7" s="1">
        <v>3</v>
      </c>
      <c r="C7" s="1">
        <v>2</v>
      </c>
      <c r="D7">
        <v>2106</v>
      </c>
      <c r="E7" s="2" t="s">
        <v>55</v>
      </c>
      <c r="F7" s="2"/>
      <c r="G7" s="2" t="s">
        <v>47</v>
      </c>
      <c r="H7" s="2" t="s">
        <v>38</v>
      </c>
      <c r="I7" s="2" t="s">
        <v>43</v>
      </c>
      <c r="J7" s="2" t="s">
        <v>40</v>
      </c>
      <c r="K7" s="2" t="s">
        <v>56</v>
      </c>
      <c r="L7" s="2" t="s">
        <v>42</v>
      </c>
      <c r="M7" t="s">
        <v>179</v>
      </c>
      <c r="N7" s="1">
        <v>842490</v>
      </c>
      <c r="O7">
        <v>1</v>
      </c>
      <c r="P7" t="s">
        <v>158</v>
      </c>
      <c r="Q7">
        <f t="shared" si="0"/>
        <v>902668</v>
      </c>
    </row>
    <row r="8" spans="1:17" x14ac:dyDescent="0.2">
      <c r="A8" s="1">
        <v>10007</v>
      </c>
      <c r="B8" s="1">
        <v>1</v>
      </c>
      <c r="C8" s="1">
        <v>3</v>
      </c>
      <c r="D8">
        <v>2107</v>
      </c>
      <c r="E8" s="2" t="s">
        <v>57</v>
      </c>
      <c r="F8" s="2"/>
      <c r="G8" s="2" t="s">
        <v>58</v>
      </c>
      <c r="H8" s="2" t="s">
        <v>38</v>
      </c>
      <c r="I8" s="2" t="s">
        <v>45</v>
      </c>
      <c r="J8" s="2" t="s">
        <v>40</v>
      </c>
      <c r="K8" s="2" t="s">
        <v>59</v>
      </c>
      <c r="L8" s="2" t="s">
        <v>42</v>
      </c>
      <c r="M8" t="s">
        <v>180</v>
      </c>
      <c r="N8" s="1">
        <v>763429</v>
      </c>
      <c r="O8">
        <v>1</v>
      </c>
      <c r="P8" t="s">
        <v>159</v>
      </c>
      <c r="Q8">
        <f t="shared" si="0"/>
        <v>827048</v>
      </c>
    </row>
    <row r="9" spans="1:17" x14ac:dyDescent="0.2">
      <c r="A9" s="1">
        <v>10008</v>
      </c>
      <c r="B9" s="1">
        <v>2</v>
      </c>
      <c r="C9" s="1">
        <v>3</v>
      </c>
      <c r="D9">
        <v>2108</v>
      </c>
      <c r="E9" s="2" t="s">
        <v>60</v>
      </c>
      <c r="F9" s="2"/>
      <c r="G9" s="2" t="s">
        <v>61</v>
      </c>
      <c r="H9" s="2" t="s">
        <v>38</v>
      </c>
      <c r="I9" s="2" t="s">
        <v>39</v>
      </c>
      <c r="J9" s="2" t="s">
        <v>40</v>
      </c>
      <c r="K9" s="2" t="s">
        <v>62</v>
      </c>
      <c r="L9" s="2" t="s">
        <v>42</v>
      </c>
      <c r="M9" t="s">
        <v>181</v>
      </c>
      <c r="N9" s="1">
        <v>860393</v>
      </c>
      <c r="O9">
        <v>1</v>
      </c>
      <c r="P9" t="s">
        <v>160</v>
      </c>
      <c r="Q9">
        <f t="shared" si="0"/>
        <v>942335</v>
      </c>
    </row>
    <row r="10" spans="1:17" x14ac:dyDescent="0.2">
      <c r="A10" s="1">
        <v>10009</v>
      </c>
      <c r="B10" s="1">
        <v>3</v>
      </c>
      <c r="C10" s="1">
        <v>3</v>
      </c>
      <c r="D10">
        <v>2109</v>
      </c>
      <c r="E10" s="3" t="s">
        <v>46</v>
      </c>
      <c r="F10" s="3"/>
      <c r="G10" s="2" t="s">
        <v>53</v>
      </c>
      <c r="H10" s="2" t="s">
        <v>38</v>
      </c>
      <c r="I10" s="2" t="s">
        <v>63</v>
      </c>
      <c r="J10" s="2" t="s">
        <v>40</v>
      </c>
      <c r="K10" s="2" t="s">
        <v>64</v>
      </c>
      <c r="L10" s="2" t="s">
        <v>42</v>
      </c>
      <c r="M10" t="s">
        <v>182</v>
      </c>
      <c r="N10" s="1">
        <v>960743</v>
      </c>
      <c r="O10">
        <v>1</v>
      </c>
      <c r="P10" t="s">
        <v>161</v>
      </c>
      <c r="Q10">
        <f t="shared" si="0"/>
        <v>1063680</v>
      </c>
    </row>
    <row r="11" spans="1:17" x14ac:dyDescent="0.2">
      <c r="A11" s="1">
        <v>10010</v>
      </c>
      <c r="B11" s="1">
        <v>1</v>
      </c>
      <c r="C11" s="1">
        <v>4</v>
      </c>
      <c r="D11">
        <v>2110</v>
      </c>
      <c r="E11" s="2" t="s">
        <v>41</v>
      </c>
      <c r="F11" s="2"/>
      <c r="G11" s="2" t="s">
        <v>65</v>
      </c>
      <c r="H11" s="2" t="s">
        <v>38</v>
      </c>
      <c r="I11" s="2" t="s">
        <v>66</v>
      </c>
      <c r="J11" s="2" t="s">
        <v>40</v>
      </c>
      <c r="K11" s="2" t="s">
        <v>67</v>
      </c>
      <c r="L11" s="2" t="s">
        <v>42</v>
      </c>
      <c r="M11" t="s">
        <v>183</v>
      </c>
      <c r="N11" s="1">
        <v>900319</v>
      </c>
      <c r="O11">
        <v>1</v>
      </c>
      <c r="P11" t="s">
        <v>162</v>
      </c>
      <c r="Q11">
        <f t="shared" si="0"/>
        <v>1007500</v>
      </c>
    </row>
    <row r="12" spans="1:17" x14ac:dyDescent="0.2">
      <c r="A12" s="1">
        <v>10011</v>
      </c>
      <c r="B12" s="1">
        <v>2</v>
      </c>
      <c r="C12" s="1">
        <v>4</v>
      </c>
      <c r="D12">
        <v>2111</v>
      </c>
      <c r="E12" s="2" t="s">
        <v>57</v>
      </c>
      <c r="F12" s="2"/>
      <c r="G12" s="2" t="s">
        <v>63</v>
      </c>
      <c r="H12" s="2" t="s">
        <v>38</v>
      </c>
      <c r="I12" s="2" t="s">
        <v>68</v>
      </c>
      <c r="J12" s="2" t="s">
        <v>40</v>
      </c>
      <c r="K12" s="2" t="s">
        <v>69</v>
      </c>
      <c r="L12" s="2" t="s">
        <v>42</v>
      </c>
      <c r="M12" t="s">
        <v>184</v>
      </c>
      <c r="N12" s="1">
        <v>1011610</v>
      </c>
      <c r="O12">
        <v>1</v>
      </c>
      <c r="P12" t="s">
        <v>163</v>
      </c>
      <c r="Q12">
        <f t="shared" si="0"/>
        <v>1144083</v>
      </c>
    </row>
    <row r="13" spans="1:17" x14ac:dyDescent="0.2">
      <c r="A13" s="1">
        <v>10012</v>
      </c>
      <c r="B13" s="1">
        <v>3</v>
      </c>
      <c r="C13" s="1">
        <v>4</v>
      </c>
      <c r="D13">
        <v>2112</v>
      </c>
      <c r="E13" s="2" t="s">
        <v>70</v>
      </c>
      <c r="F13" s="2"/>
      <c r="G13" s="2" t="s">
        <v>71</v>
      </c>
      <c r="H13" s="2" t="s">
        <v>38</v>
      </c>
      <c r="I13" s="2" t="s">
        <v>72</v>
      </c>
      <c r="J13" s="2" t="s">
        <v>40</v>
      </c>
      <c r="K13" s="2" t="s">
        <v>73</v>
      </c>
      <c r="L13" s="2" t="s">
        <v>42</v>
      </c>
      <c r="M13" t="s">
        <v>185</v>
      </c>
      <c r="N13" s="1">
        <v>1145798</v>
      </c>
      <c r="O13">
        <v>1</v>
      </c>
      <c r="P13" t="s">
        <v>164</v>
      </c>
      <c r="Q13">
        <f t="shared" si="0"/>
        <v>1309483</v>
      </c>
    </row>
    <row r="14" spans="1:17" x14ac:dyDescent="0.2">
      <c r="A14" s="1">
        <v>10013</v>
      </c>
      <c r="B14" s="1">
        <v>1</v>
      </c>
      <c r="C14" s="1">
        <v>5</v>
      </c>
      <c r="D14">
        <v>2113</v>
      </c>
      <c r="E14" s="2" t="s">
        <v>74</v>
      </c>
      <c r="F14" s="2"/>
      <c r="G14" s="2" t="s">
        <v>75</v>
      </c>
      <c r="H14" s="2" t="s">
        <v>38</v>
      </c>
      <c r="I14" s="2" t="s">
        <v>76</v>
      </c>
      <c r="J14" s="2" t="s">
        <v>40</v>
      </c>
      <c r="K14" s="2" t="s">
        <v>45</v>
      </c>
      <c r="L14" s="2" t="s">
        <v>42</v>
      </c>
      <c r="M14" t="s">
        <v>186</v>
      </c>
      <c r="N14" s="1">
        <v>1070201</v>
      </c>
      <c r="O14">
        <v>1</v>
      </c>
      <c r="P14" t="s">
        <v>165</v>
      </c>
      <c r="Q14">
        <f t="shared" si="0"/>
        <v>1235827</v>
      </c>
    </row>
    <row r="15" spans="1:17" x14ac:dyDescent="0.2">
      <c r="A15" s="1">
        <v>10014</v>
      </c>
      <c r="B15" s="1">
        <v>2</v>
      </c>
      <c r="C15" s="1">
        <v>5</v>
      </c>
      <c r="D15">
        <v>2114</v>
      </c>
      <c r="E15" s="3" t="s">
        <v>73</v>
      </c>
      <c r="F15" s="3"/>
      <c r="G15" s="2" t="s">
        <v>77</v>
      </c>
      <c r="H15" s="2" t="s">
        <v>38</v>
      </c>
      <c r="I15" s="2" t="s">
        <v>72</v>
      </c>
      <c r="J15" s="2" t="s">
        <v>40</v>
      </c>
      <c r="K15" s="2" t="s">
        <v>70</v>
      </c>
      <c r="L15" s="2" t="s">
        <v>42</v>
      </c>
      <c r="M15" t="s">
        <v>187</v>
      </c>
      <c r="N15" s="1">
        <v>1169810</v>
      </c>
      <c r="O15">
        <v>1</v>
      </c>
      <c r="P15" t="s">
        <v>166</v>
      </c>
      <c r="Q15">
        <f t="shared" si="0"/>
        <v>1364778</v>
      </c>
    </row>
    <row r="16" spans="1:17" x14ac:dyDescent="0.2">
      <c r="A16" s="1">
        <v>10015</v>
      </c>
      <c r="B16" s="1">
        <v>3</v>
      </c>
      <c r="C16" s="1">
        <v>5</v>
      </c>
      <c r="D16">
        <v>2115</v>
      </c>
      <c r="E16" s="2" t="s">
        <v>48</v>
      </c>
      <c r="F16" s="2"/>
      <c r="G16" s="2" t="s">
        <v>78</v>
      </c>
      <c r="H16" s="2" t="s">
        <v>38</v>
      </c>
      <c r="I16" s="2" t="s">
        <v>79</v>
      </c>
      <c r="J16" s="2" t="s">
        <v>40</v>
      </c>
      <c r="K16" s="2" t="s">
        <v>80</v>
      </c>
      <c r="L16" s="2" t="s">
        <v>42</v>
      </c>
      <c r="M16" t="s">
        <v>188</v>
      </c>
      <c r="N16" s="1">
        <v>1384586</v>
      </c>
      <c r="O16">
        <v>1</v>
      </c>
      <c r="P16" t="s">
        <v>167</v>
      </c>
      <c r="Q16">
        <f t="shared" si="0"/>
        <v>1631834</v>
      </c>
    </row>
    <row r="17" spans="1:17" x14ac:dyDescent="0.2">
      <c r="A17" s="1">
        <v>10016</v>
      </c>
      <c r="B17" s="1">
        <v>1</v>
      </c>
      <c r="C17" s="1">
        <v>6</v>
      </c>
      <c r="D17">
        <v>2116</v>
      </c>
      <c r="E17" s="2" t="s">
        <v>57</v>
      </c>
      <c r="F17" s="2"/>
      <c r="G17" s="2" t="s">
        <v>81</v>
      </c>
      <c r="H17" s="2" t="s">
        <v>38</v>
      </c>
      <c r="I17" s="2" t="s">
        <v>82</v>
      </c>
      <c r="J17" s="2" t="s">
        <v>40</v>
      </c>
      <c r="K17" s="2" t="s">
        <v>48</v>
      </c>
      <c r="L17" s="2" t="s">
        <v>42</v>
      </c>
      <c r="M17" t="s">
        <v>189</v>
      </c>
      <c r="N17" s="1">
        <v>1254943</v>
      </c>
      <c r="O17">
        <v>1</v>
      </c>
      <c r="P17" t="s">
        <v>168</v>
      </c>
      <c r="Q17">
        <f t="shared" si="0"/>
        <v>1493980</v>
      </c>
    </row>
    <row r="18" spans="1:17" x14ac:dyDescent="0.2">
      <c r="A18" s="1">
        <v>10017</v>
      </c>
      <c r="B18" s="1">
        <v>2</v>
      </c>
      <c r="C18" s="1">
        <v>6</v>
      </c>
      <c r="D18">
        <v>2117</v>
      </c>
      <c r="E18" s="2" t="s">
        <v>73</v>
      </c>
      <c r="F18" s="2"/>
      <c r="G18" s="2" t="s">
        <v>71</v>
      </c>
      <c r="H18" s="2" t="s">
        <v>38</v>
      </c>
      <c r="I18" s="2" t="s">
        <v>72</v>
      </c>
      <c r="J18" s="2" t="s">
        <v>40</v>
      </c>
      <c r="K18" s="2" t="s">
        <v>70</v>
      </c>
      <c r="L18" s="2" t="s">
        <v>42</v>
      </c>
      <c r="M18" t="s">
        <v>190</v>
      </c>
      <c r="N18" s="1">
        <v>1413509</v>
      </c>
      <c r="O18">
        <v>1</v>
      </c>
      <c r="P18" t="s">
        <v>169</v>
      </c>
      <c r="Q18">
        <f t="shared" si="0"/>
        <v>1699576</v>
      </c>
    </row>
    <row r="19" spans="1:17" x14ac:dyDescent="0.2">
      <c r="A19" s="1">
        <v>10018</v>
      </c>
      <c r="B19" s="1">
        <v>3</v>
      </c>
      <c r="C19" s="1">
        <v>6</v>
      </c>
      <c r="D19">
        <v>2118</v>
      </c>
      <c r="E19" s="2" t="s">
        <v>68</v>
      </c>
      <c r="F19" s="2"/>
      <c r="G19" s="2" t="s">
        <v>71</v>
      </c>
      <c r="H19" s="2" t="s">
        <v>38</v>
      </c>
      <c r="I19" s="2" t="s">
        <v>83</v>
      </c>
      <c r="J19" s="2" t="s">
        <v>40</v>
      </c>
      <c r="K19" s="2" t="s">
        <v>82</v>
      </c>
      <c r="L19" s="2" t="s">
        <v>42</v>
      </c>
      <c r="M19" t="s">
        <v>191</v>
      </c>
      <c r="N19" s="1">
        <v>1600212</v>
      </c>
      <c r="O19">
        <v>1</v>
      </c>
      <c r="P19" t="s">
        <v>170</v>
      </c>
      <c r="Q19">
        <f t="shared" si="0"/>
        <v>1943115</v>
      </c>
    </row>
    <row r="20" spans="1:17" x14ac:dyDescent="0.2">
      <c r="A20" s="1">
        <v>10019</v>
      </c>
      <c r="B20" s="1">
        <v>1</v>
      </c>
      <c r="C20" s="1">
        <v>7</v>
      </c>
      <c r="D20">
        <v>2119</v>
      </c>
      <c r="E20" s="2" t="s">
        <v>68</v>
      </c>
      <c r="F20" s="2"/>
      <c r="G20" s="2" t="s">
        <v>61</v>
      </c>
      <c r="H20" s="2" t="s">
        <v>38</v>
      </c>
      <c r="I20" s="2" t="s">
        <v>53</v>
      </c>
      <c r="J20" s="2" t="s">
        <v>40</v>
      </c>
      <c r="K20" s="2" t="s">
        <v>84</v>
      </c>
      <c r="L20" s="2" t="s">
        <v>42</v>
      </c>
      <c r="M20" t="s">
        <v>192</v>
      </c>
      <c r="N20" s="1">
        <v>1418300</v>
      </c>
      <c r="O20">
        <v>1</v>
      </c>
      <c r="P20" t="s">
        <v>171</v>
      </c>
      <c r="Q20">
        <f t="shared" si="0"/>
        <v>1739106</v>
      </c>
    </row>
    <row r="21" spans="1:17" x14ac:dyDescent="0.2">
      <c r="A21" s="1">
        <v>10020</v>
      </c>
      <c r="B21" s="1">
        <v>2</v>
      </c>
      <c r="C21" s="1">
        <v>7</v>
      </c>
      <c r="D21">
        <v>2120</v>
      </c>
      <c r="E21" s="2" t="s">
        <v>76</v>
      </c>
      <c r="F21" s="2"/>
      <c r="G21" s="2" t="s">
        <v>71</v>
      </c>
      <c r="H21" s="2" t="s">
        <v>38</v>
      </c>
      <c r="I21" s="2" t="s">
        <v>78</v>
      </c>
      <c r="J21" s="2" t="s">
        <v>40</v>
      </c>
      <c r="K21" s="2" t="s">
        <v>84</v>
      </c>
      <c r="L21" s="2" t="s">
        <v>42</v>
      </c>
      <c r="M21" t="s">
        <v>193</v>
      </c>
      <c r="N21" s="1">
        <v>1610452</v>
      </c>
      <c r="O21">
        <v>1</v>
      </c>
      <c r="P21" t="s">
        <v>172</v>
      </c>
      <c r="Q21">
        <f t="shared" si="0"/>
        <v>1993893</v>
      </c>
    </row>
    <row r="22" spans="1:17" x14ac:dyDescent="0.2">
      <c r="A22" s="1">
        <v>10021</v>
      </c>
      <c r="B22" s="1">
        <v>3</v>
      </c>
      <c r="C22" s="1">
        <v>7</v>
      </c>
      <c r="D22">
        <v>2121</v>
      </c>
      <c r="E22" s="3" t="s">
        <v>85</v>
      </c>
      <c r="F22" s="3"/>
      <c r="G22" s="2" t="s">
        <v>86</v>
      </c>
      <c r="H22" s="2" t="s">
        <v>38</v>
      </c>
      <c r="I22" s="2" t="s">
        <v>87</v>
      </c>
      <c r="J22" s="2" t="s">
        <v>40</v>
      </c>
      <c r="K22" s="2" t="s">
        <v>88</v>
      </c>
      <c r="L22" s="2" t="s">
        <v>42</v>
      </c>
      <c r="M22" t="s">
        <v>194</v>
      </c>
      <c r="N22" s="1">
        <v>1857240</v>
      </c>
      <c r="O22">
        <v>1</v>
      </c>
      <c r="P22" t="s">
        <v>173</v>
      </c>
      <c r="Q22">
        <f t="shared" si="0"/>
        <v>2321550</v>
      </c>
    </row>
    <row r="23" spans="1:17" x14ac:dyDescent="0.2">
      <c r="A23" s="4">
        <v>10101</v>
      </c>
      <c r="B23" s="4">
        <v>1</v>
      </c>
      <c r="C23" s="4">
        <v>1</v>
      </c>
      <c r="D23" s="5">
        <v>2001</v>
      </c>
      <c r="E23" s="6" t="s">
        <v>39</v>
      </c>
      <c r="F23" s="6"/>
      <c r="G23" s="6" t="s">
        <v>36</v>
      </c>
      <c r="H23" s="2" t="s">
        <v>38</v>
      </c>
      <c r="I23" s="6" t="s">
        <v>89</v>
      </c>
      <c r="J23" s="2" t="s">
        <v>40</v>
      </c>
      <c r="K23" s="6" t="s">
        <v>90</v>
      </c>
      <c r="L23" s="6" t="s">
        <v>91</v>
      </c>
      <c r="M23" s="10" t="s">
        <v>132</v>
      </c>
      <c r="N23" s="4">
        <v>72000</v>
      </c>
      <c r="O23" s="5">
        <v>2</v>
      </c>
      <c r="P23" t="s">
        <v>111</v>
      </c>
    </row>
    <row r="24" spans="1:17" x14ac:dyDescent="0.2">
      <c r="A24" s="4">
        <v>10102</v>
      </c>
      <c r="B24" s="4">
        <v>2</v>
      </c>
      <c r="C24" s="4">
        <v>1</v>
      </c>
      <c r="D24" s="5">
        <v>2002</v>
      </c>
      <c r="E24" s="6" t="s">
        <v>92</v>
      </c>
      <c r="F24" s="6"/>
      <c r="G24" s="6" t="s">
        <v>93</v>
      </c>
      <c r="H24" s="2" t="s">
        <v>38</v>
      </c>
      <c r="I24" s="6" t="s">
        <v>94</v>
      </c>
      <c r="J24" s="2" t="s">
        <v>40</v>
      </c>
      <c r="K24" s="6" t="s">
        <v>95</v>
      </c>
      <c r="L24" s="6" t="s">
        <v>91</v>
      </c>
      <c r="M24" s="10" t="s">
        <v>133</v>
      </c>
      <c r="N24" s="4">
        <v>108000</v>
      </c>
      <c r="O24" s="5">
        <v>2</v>
      </c>
      <c r="P24" t="s">
        <v>112</v>
      </c>
    </row>
    <row r="25" spans="1:17" x14ac:dyDescent="0.2">
      <c r="A25" s="4">
        <v>10103</v>
      </c>
      <c r="B25" s="4">
        <v>3</v>
      </c>
      <c r="C25" s="4">
        <v>1</v>
      </c>
      <c r="D25" s="5">
        <v>2003</v>
      </c>
      <c r="E25" s="6" t="s">
        <v>96</v>
      </c>
      <c r="F25" s="6"/>
      <c r="G25" s="6" t="s">
        <v>97</v>
      </c>
      <c r="H25" s="2" t="s">
        <v>38</v>
      </c>
      <c r="I25" s="6" t="s">
        <v>41</v>
      </c>
      <c r="J25" s="2" t="s">
        <v>40</v>
      </c>
      <c r="K25" s="6" t="s">
        <v>98</v>
      </c>
      <c r="L25" s="6" t="s">
        <v>91</v>
      </c>
      <c r="M25" s="10" t="s">
        <v>134</v>
      </c>
      <c r="N25" s="4">
        <v>156000</v>
      </c>
      <c r="O25" s="5">
        <v>2</v>
      </c>
      <c r="P25" t="s">
        <v>113</v>
      </c>
    </row>
    <row r="26" spans="1:17" x14ac:dyDescent="0.2">
      <c r="A26" s="4">
        <v>10104</v>
      </c>
      <c r="B26" s="4">
        <v>1</v>
      </c>
      <c r="C26" s="4">
        <v>2</v>
      </c>
      <c r="D26" s="5">
        <v>2004</v>
      </c>
      <c r="E26" s="6" t="s">
        <v>99</v>
      </c>
      <c r="F26" s="6"/>
      <c r="G26" s="6" t="s">
        <v>45</v>
      </c>
      <c r="H26" s="2" t="s">
        <v>38</v>
      </c>
      <c r="I26" s="6" t="s">
        <v>41</v>
      </c>
      <c r="J26" s="2" t="s">
        <v>40</v>
      </c>
      <c r="K26" s="6" t="s">
        <v>98</v>
      </c>
      <c r="L26" s="6" t="s">
        <v>91</v>
      </c>
      <c r="M26" s="10" t="s">
        <v>135</v>
      </c>
      <c r="N26" s="4">
        <v>108000</v>
      </c>
      <c r="O26" s="5">
        <v>2</v>
      </c>
      <c r="P26" t="s">
        <v>114</v>
      </c>
    </row>
    <row r="27" spans="1:17" x14ac:dyDescent="0.2">
      <c r="A27" s="4">
        <v>10105</v>
      </c>
      <c r="B27" s="4">
        <v>2</v>
      </c>
      <c r="C27" s="4">
        <v>2</v>
      </c>
      <c r="D27" s="5">
        <v>2005</v>
      </c>
      <c r="E27" s="6" t="s">
        <v>39</v>
      </c>
      <c r="F27" s="6"/>
      <c r="G27" s="6" t="s">
        <v>45</v>
      </c>
      <c r="H27" s="2" t="s">
        <v>38</v>
      </c>
      <c r="I27" s="6" t="s">
        <v>100</v>
      </c>
      <c r="J27" s="2" t="s">
        <v>40</v>
      </c>
      <c r="K27" s="6" t="s">
        <v>101</v>
      </c>
      <c r="L27" s="6" t="s">
        <v>91</v>
      </c>
      <c r="M27" s="10" t="s">
        <v>136</v>
      </c>
      <c r="N27" s="4">
        <v>156000</v>
      </c>
      <c r="O27" s="5">
        <v>2</v>
      </c>
      <c r="P27" t="s">
        <v>115</v>
      </c>
    </row>
    <row r="28" spans="1:17" x14ac:dyDescent="0.2">
      <c r="A28" s="4">
        <v>10106</v>
      </c>
      <c r="B28" s="4">
        <v>3</v>
      </c>
      <c r="C28" s="4">
        <v>2</v>
      </c>
      <c r="D28" s="5">
        <v>2006</v>
      </c>
      <c r="E28" s="6" t="s">
        <v>102</v>
      </c>
      <c r="F28" s="6"/>
      <c r="G28" s="6" t="s">
        <v>36</v>
      </c>
      <c r="H28" s="2" t="s">
        <v>38</v>
      </c>
      <c r="I28" s="6" t="s">
        <v>89</v>
      </c>
      <c r="J28" s="2" t="s">
        <v>40</v>
      </c>
      <c r="K28" s="6" t="s">
        <v>90</v>
      </c>
      <c r="L28" s="6" t="s">
        <v>91</v>
      </c>
      <c r="M28" s="10" t="s">
        <v>137</v>
      </c>
      <c r="N28" s="4">
        <v>216000</v>
      </c>
      <c r="O28" s="5">
        <v>2</v>
      </c>
      <c r="P28" t="s">
        <v>116</v>
      </c>
    </row>
    <row r="29" spans="1:17" x14ac:dyDescent="0.2">
      <c r="A29" s="4">
        <v>10107</v>
      </c>
      <c r="B29" s="4">
        <v>1</v>
      </c>
      <c r="C29" s="4">
        <v>3</v>
      </c>
      <c r="D29" s="5">
        <v>2007</v>
      </c>
      <c r="E29" s="6" t="s">
        <v>36</v>
      </c>
      <c r="F29" s="6"/>
      <c r="G29" s="6" t="s">
        <v>93</v>
      </c>
      <c r="H29" s="2" t="s">
        <v>38</v>
      </c>
      <c r="I29" s="6" t="s">
        <v>94</v>
      </c>
      <c r="J29" s="2" t="s">
        <v>40</v>
      </c>
      <c r="K29" s="6" t="s">
        <v>95</v>
      </c>
      <c r="L29" s="6" t="s">
        <v>91</v>
      </c>
      <c r="M29" s="10" t="s">
        <v>138</v>
      </c>
      <c r="N29" s="4">
        <v>144000</v>
      </c>
      <c r="O29" s="5">
        <v>2</v>
      </c>
      <c r="P29" t="s">
        <v>117</v>
      </c>
    </row>
    <row r="30" spans="1:17" x14ac:dyDescent="0.2">
      <c r="A30" s="4">
        <v>10108</v>
      </c>
      <c r="B30" s="4">
        <v>2</v>
      </c>
      <c r="C30" s="4">
        <v>3</v>
      </c>
      <c r="D30" s="5">
        <v>2008</v>
      </c>
      <c r="E30" s="6" t="s">
        <v>66</v>
      </c>
      <c r="F30" s="6"/>
      <c r="G30" s="6" t="s">
        <v>97</v>
      </c>
      <c r="H30" s="2" t="s">
        <v>38</v>
      </c>
      <c r="I30" s="6" t="s">
        <v>41</v>
      </c>
      <c r="J30" s="2" t="s">
        <v>40</v>
      </c>
      <c r="K30" s="6" t="s">
        <v>98</v>
      </c>
      <c r="L30" s="6" t="s">
        <v>91</v>
      </c>
      <c r="M30" s="10" t="s">
        <v>139</v>
      </c>
      <c r="N30" s="4">
        <v>204000</v>
      </c>
      <c r="O30" s="5">
        <v>2</v>
      </c>
      <c r="P30" t="s">
        <v>118</v>
      </c>
    </row>
    <row r="31" spans="1:17" x14ac:dyDescent="0.2">
      <c r="A31" s="4">
        <v>10109</v>
      </c>
      <c r="B31" s="4">
        <v>3</v>
      </c>
      <c r="C31" s="4">
        <v>3</v>
      </c>
      <c r="D31" s="5">
        <v>2009</v>
      </c>
      <c r="E31" s="6" t="s">
        <v>103</v>
      </c>
      <c r="F31" s="6"/>
      <c r="G31" s="6" t="s">
        <v>45</v>
      </c>
      <c r="H31" s="2" t="s">
        <v>38</v>
      </c>
      <c r="I31" s="6" t="s">
        <v>41</v>
      </c>
      <c r="J31" s="2" t="s">
        <v>40</v>
      </c>
      <c r="K31" s="6" t="s">
        <v>98</v>
      </c>
      <c r="L31" s="6" t="s">
        <v>91</v>
      </c>
      <c r="M31" s="10" t="s">
        <v>140</v>
      </c>
      <c r="N31" s="4">
        <v>264000</v>
      </c>
      <c r="O31" s="5">
        <v>2</v>
      </c>
      <c r="P31" t="s">
        <v>119</v>
      </c>
    </row>
    <row r="32" spans="1:17" x14ac:dyDescent="0.2">
      <c r="A32" s="4">
        <v>10110</v>
      </c>
      <c r="B32" s="4">
        <v>1</v>
      </c>
      <c r="C32" s="4">
        <v>4</v>
      </c>
      <c r="D32" s="5">
        <v>2010</v>
      </c>
      <c r="E32" s="6" t="s">
        <v>36</v>
      </c>
      <c r="F32" s="6"/>
      <c r="G32" s="6" t="s">
        <v>45</v>
      </c>
      <c r="H32" s="2" t="s">
        <v>38</v>
      </c>
      <c r="I32" s="6" t="s">
        <v>100</v>
      </c>
      <c r="J32" s="2" t="s">
        <v>40</v>
      </c>
      <c r="K32" s="6" t="s">
        <v>101</v>
      </c>
      <c r="L32" s="6" t="s">
        <v>91</v>
      </c>
      <c r="M32" s="10" t="s">
        <v>141</v>
      </c>
      <c r="N32" s="4">
        <v>208000</v>
      </c>
      <c r="O32" s="5">
        <v>2</v>
      </c>
      <c r="P32" t="s">
        <v>120</v>
      </c>
    </row>
    <row r="33" spans="1:16" x14ac:dyDescent="0.2">
      <c r="A33" s="4">
        <v>10111</v>
      </c>
      <c r="B33" s="4">
        <v>2</v>
      </c>
      <c r="C33" s="4">
        <v>4</v>
      </c>
      <c r="D33" s="5">
        <v>2011</v>
      </c>
      <c r="E33" s="6" t="s">
        <v>104</v>
      </c>
      <c r="F33" s="6"/>
      <c r="G33" s="6" t="s">
        <v>36</v>
      </c>
      <c r="H33" s="2" t="s">
        <v>38</v>
      </c>
      <c r="I33" s="6" t="s">
        <v>89</v>
      </c>
      <c r="J33" s="2" t="s">
        <v>40</v>
      </c>
      <c r="K33" s="6" t="s">
        <v>90</v>
      </c>
      <c r="L33" s="6" t="s">
        <v>91</v>
      </c>
      <c r="M33" s="10" t="s">
        <v>142</v>
      </c>
      <c r="N33" s="4">
        <v>273000</v>
      </c>
      <c r="O33" s="5">
        <v>2</v>
      </c>
      <c r="P33" t="s">
        <v>121</v>
      </c>
    </row>
    <row r="34" spans="1:16" x14ac:dyDescent="0.2">
      <c r="A34" s="4">
        <v>10112</v>
      </c>
      <c r="B34" s="4">
        <v>3</v>
      </c>
      <c r="C34" s="4">
        <v>4</v>
      </c>
      <c r="D34" s="5">
        <v>2012</v>
      </c>
      <c r="E34" s="6" t="s">
        <v>105</v>
      </c>
      <c r="F34" s="6"/>
      <c r="G34" s="6" t="s">
        <v>93</v>
      </c>
      <c r="H34" s="2" t="s">
        <v>38</v>
      </c>
      <c r="I34" s="6" t="s">
        <v>94</v>
      </c>
      <c r="J34" s="2" t="s">
        <v>40</v>
      </c>
      <c r="K34" s="6" t="s">
        <v>95</v>
      </c>
      <c r="L34" s="6" t="s">
        <v>91</v>
      </c>
      <c r="M34" s="10" t="s">
        <v>143</v>
      </c>
      <c r="N34" s="4">
        <v>351000</v>
      </c>
      <c r="O34" s="5">
        <v>2</v>
      </c>
      <c r="P34" t="s">
        <v>122</v>
      </c>
    </row>
    <row r="35" spans="1:16" x14ac:dyDescent="0.2">
      <c r="A35" s="4">
        <v>10113</v>
      </c>
      <c r="B35" s="4">
        <v>1</v>
      </c>
      <c r="C35" s="4">
        <v>5</v>
      </c>
      <c r="D35" s="5">
        <v>2013</v>
      </c>
      <c r="E35" s="6" t="s">
        <v>36</v>
      </c>
      <c r="F35" s="6"/>
      <c r="G35" s="6" t="s">
        <v>97</v>
      </c>
      <c r="H35" s="2" t="s">
        <v>38</v>
      </c>
      <c r="I35" s="6" t="s">
        <v>41</v>
      </c>
      <c r="J35" s="2" t="s">
        <v>40</v>
      </c>
      <c r="K35" s="6" t="s">
        <v>98</v>
      </c>
      <c r="L35" s="6" t="s">
        <v>91</v>
      </c>
      <c r="M35" s="10" t="s">
        <v>144</v>
      </c>
      <c r="N35" s="4">
        <v>286000</v>
      </c>
      <c r="O35" s="5">
        <v>2</v>
      </c>
      <c r="P35" t="s">
        <v>123</v>
      </c>
    </row>
    <row r="36" spans="1:16" x14ac:dyDescent="0.2">
      <c r="A36" s="4">
        <v>10114</v>
      </c>
      <c r="B36" s="4">
        <v>2</v>
      </c>
      <c r="C36" s="4">
        <v>5</v>
      </c>
      <c r="D36" s="5">
        <v>2014</v>
      </c>
      <c r="E36" s="6" t="s">
        <v>106</v>
      </c>
      <c r="F36" s="6"/>
      <c r="G36" s="6" t="s">
        <v>45</v>
      </c>
      <c r="H36" s="2" t="s">
        <v>38</v>
      </c>
      <c r="I36" s="6" t="s">
        <v>41</v>
      </c>
      <c r="J36" s="2" t="s">
        <v>40</v>
      </c>
      <c r="K36" s="6" t="s">
        <v>98</v>
      </c>
      <c r="L36" s="6" t="s">
        <v>91</v>
      </c>
      <c r="M36" s="10" t="s">
        <v>145</v>
      </c>
      <c r="N36" s="4">
        <v>338000</v>
      </c>
      <c r="O36" s="5">
        <v>2</v>
      </c>
      <c r="P36" t="s">
        <v>124</v>
      </c>
    </row>
    <row r="37" spans="1:16" x14ac:dyDescent="0.2">
      <c r="A37" s="4">
        <v>10115</v>
      </c>
      <c r="B37" s="4">
        <v>3</v>
      </c>
      <c r="C37" s="4">
        <v>5</v>
      </c>
      <c r="D37" s="5">
        <v>2015</v>
      </c>
      <c r="E37" s="6" t="s">
        <v>107</v>
      </c>
      <c r="F37" s="6"/>
      <c r="G37" s="6" t="s">
        <v>45</v>
      </c>
      <c r="H37" s="2" t="s">
        <v>38</v>
      </c>
      <c r="I37" s="6" t="s">
        <v>100</v>
      </c>
      <c r="J37" s="2" t="s">
        <v>40</v>
      </c>
      <c r="K37" s="6" t="s">
        <v>101</v>
      </c>
      <c r="L37" s="6" t="s">
        <v>91</v>
      </c>
      <c r="M37" s="10" t="s">
        <v>146</v>
      </c>
      <c r="N37" s="4">
        <v>462000</v>
      </c>
      <c r="O37" s="5">
        <v>2</v>
      </c>
      <c r="P37" t="s">
        <v>125</v>
      </c>
    </row>
    <row r="38" spans="1:16" x14ac:dyDescent="0.2">
      <c r="A38" s="4">
        <v>10116</v>
      </c>
      <c r="B38" s="4">
        <v>1</v>
      </c>
      <c r="C38" s="4">
        <v>6</v>
      </c>
      <c r="D38" s="5">
        <v>2016</v>
      </c>
      <c r="E38" s="6" t="s">
        <v>36</v>
      </c>
      <c r="F38" s="6"/>
      <c r="G38" s="6" t="s">
        <v>36</v>
      </c>
      <c r="H38" s="2" t="s">
        <v>38</v>
      </c>
      <c r="I38" s="6" t="s">
        <v>89</v>
      </c>
      <c r="J38" s="2" t="s">
        <v>40</v>
      </c>
      <c r="K38" s="6" t="s">
        <v>90</v>
      </c>
      <c r="L38" s="6" t="s">
        <v>91</v>
      </c>
      <c r="M38" s="10" t="s">
        <v>147</v>
      </c>
      <c r="N38" s="4">
        <v>364000</v>
      </c>
      <c r="O38" s="5">
        <v>2</v>
      </c>
      <c r="P38" t="s">
        <v>126</v>
      </c>
    </row>
    <row r="39" spans="1:16" x14ac:dyDescent="0.2">
      <c r="A39" s="4">
        <v>10117</v>
      </c>
      <c r="B39" s="4">
        <v>2</v>
      </c>
      <c r="C39" s="4">
        <v>6</v>
      </c>
      <c r="D39" s="5">
        <v>2017</v>
      </c>
      <c r="E39" s="6" t="s">
        <v>108</v>
      </c>
      <c r="F39" s="6"/>
      <c r="G39" s="6" t="s">
        <v>93</v>
      </c>
      <c r="H39" s="2" t="s">
        <v>38</v>
      </c>
      <c r="I39" s="6" t="s">
        <v>94</v>
      </c>
      <c r="J39" s="2" t="s">
        <v>40</v>
      </c>
      <c r="K39" s="6" t="s">
        <v>95</v>
      </c>
      <c r="L39" s="6" t="s">
        <v>91</v>
      </c>
      <c r="M39" s="10" t="s">
        <v>148</v>
      </c>
      <c r="N39" s="4">
        <v>448000</v>
      </c>
      <c r="O39" s="5">
        <v>2</v>
      </c>
      <c r="P39" t="s">
        <v>127</v>
      </c>
    </row>
    <row r="40" spans="1:16" x14ac:dyDescent="0.2">
      <c r="A40" s="4">
        <v>10118</v>
      </c>
      <c r="B40" s="4">
        <v>3</v>
      </c>
      <c r="C40" s="4">
        <v>6</v>
      </c>
      <c r="D40" s="5">
        <v>2018</v>
      </c>
      <c r="E40" s="6" t="s">
        <v>85</v>
      </c>
      <c r="F40" s="6"/>
      <c r="G40" s="6" t="s">
        <v>97</v>
      </c>
      <c r="H40" s="2" t="s">
        <v>38</v>
      </c>
      <c r="I40" s="6" t="s">
        <v>41</v>
      </c>
      <c r="J40" s="2" t="s">
        <v>40</v>
      </c>
      <c r="K40" s="6" t="s">
        <v>98</v>
      </c>
      <c r="L40" s="6" t="s">
        <v>91</v>
      </c>
      <c r="M40" s="10" t="s">
        <v>149</v>
      </c>
      <c r="N40" s="4">
        <v>546000</v>
      </c>
      <c r="O40" s="5">
        <v>2</v>
      </c>
      <c r="P40" t="s">
        <v>128</v>
      </c>
    </row>
    <row r="41" spans="1:16" x14ac:dyDescent="0.2">
      <c r="A41" s="4">
        <v>10119</v>
      </c>
      <c r="B41" s="4">
        <v>1</v>
      </c>
      <c r="C41" s="4">
        <v>7</v>
      </c>
      <c r="D41" s="5">
        <v>2019</v>
      </c>
      <c r="E41" s="6" t="s">
        <v>36</v>
      </c>
      <c r="F41" s="6"/>
      <c r="G41" s="6" t="s">
        <v>45</v>
      </c>
      <c r="H41" s="2" t="s">
        <v>38</v>
      </c>
      <c r="I41" s="6" t="s">
        <v>41</v>
      </c>
      <c r="J41" s="2" t="s">
        <v>40</v>
      </c>
      <c r="K41" s="6" t="s">
        <v>98</v>
      </c>
      <c r="L41" s="6" t="s">
        <v>91</v>
      </c>
      <c r="M41" s="10" t="s">
        <v>150</v>
      </c>
      <c r="N41" s="4">
        <v>420000</v>
      </c>
      <c r="O41" s="5">
        <v>2</v>
      </c>
      <c r="P41" t="s">
        <v>129</v>
      </c>
    </row>
    <row r="42" spans="1:16" x14ac:dyDescent="0.2">
      <c r="A42" s="4">
        <v>10120</v>
      </c>
      <c r="B42" s="4">
        <v>2</v>
      </c>
      <c r="C42" s="4">
        <v>7</v>
      </c>
      <c r="D42" s="5">
        <v>2020</v>
      </c>
      <c r="E42" s="6" t="s">
        <v>53</v>
      </c>
      <c r="F42" s="6"/>
      <c r="G42" s="6" t="s">
        <v>45</v>
      </c>
      <c r="H42" s="2" t="s">
        <v>38</v>
      </c>
      <c r="I42" s="6" t="s">
        <v>100</v>
      </c>
      <c r="J42" s="2" t="s">
        <v>40</v>
      </c>
      <c r="K42" s="6" t="s">
        <v>101</v>
      </c>
      <c r="L42" s="6" t="s">
        <v>91</v>
      </c>
      <c r="M42" s="10" t="s">
        <v>151</v>
      </c>
      <c r="N42" s="4">
        <v>518000</v>
      </c>
      <c r="O42" s="5">
        <v>2</v>
      </c>
      <c r="P42" t="s">
        <v>130</v>
      </c>
    </row>
    <row r="43" spans="1:16" x14ac:dyDescent="0.2">
      <c r="A43" s="4">
        <v>10121</v>
      </c>
      <c r="B43" s="4">
        <v>3</v>
      </c>
      <c r="C43" s="4">
        <v>7</v>
      </c>
      <c r="D43" s="5">
        <v>2021</v>
      </c>
      <c r="E43" s="6" t="s">
        <v>109</v>
      </c>
      <c r="F43" s="6"/>
      <c r="G43" s="6" t="s">
        <v>45</v>
      </c>
      <c r="H43" s="2" t="s">
        <v>38</v>
      </c>
      <c r="I43" s="6" t="s">
        <v>89</v>
      </c>
      <c r="J43" s="2" t="s">
        <v>40</v>
      </c>
      <c r="K43" s="6" t="s">
        <v>101</v>
      </c>
      <c r="L43" s="6" t="s">
        <v>91</v>
      </c>
      <c r="M43" s="10" t="s">
        <v>152</v>
      </c>
      <c r="N43" s="4">
        <v>644000</v>
      </c>
      <c r="O43" s="5">
        <v>2</v>
      </c>
      <c r="P43" t="s">
        <v>131</v>
      </c>
    </row>
  </sheetData>
  <phoneticPr fontId="2" type="noConversion"/>
  <conditionalFormatting sqref="D2:D7">
    <cfRule type="duplicateValues" dxfId="3" priority="4"/>
  </conditionalFormatting>
  <conditionalFormatting sqref="D8:D22">
    <cfRule type="duplicateValues" dxfId="2" priority="3"/>
  </conditionalFormatting>
  <conditionalFormatting sqref="D23:D28">
    <cfRule type="duplicateValues" dxfId="1" priority="2"/>
  </conditionalFormatting>
  <conditionalFormatting sqref="D29:D43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莽荒纪基础</vt:lpstr>
      <vt:lpstr>关卡基础</vt:lpstr>
      <vt:lpstr>莽荒纪关卡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2015-06-05T18:19:00Z</dcterms:created>
  <dcterms:modified xsi:type="dcterms:W3CDTF">2020-11-11T06:07:09Z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