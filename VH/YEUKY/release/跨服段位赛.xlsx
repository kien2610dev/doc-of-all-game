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Admin\Desktop\ToolAFK\release tên file\"/>
    </mc:Choice>
  </mc:AlternateContent>
  <xr:revisionPtr revIDLastSave="0" documentId="13_ncr:1_{1C59A1AF-B593-4F70-AAEA-86984229B84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段位奖励" sheetId="1" r:id="rId1"/>
    <sheet name="段位升级" sheetId="2" r:id="rId2"/>
    <sheet name="段位赛奖品库" sheetId="4" r:id="rId3"/>
    <sheet name="段位商店" sheetId="7" r:id="rId4"/>
    <sheet name="跨服段位赛机器人库" sheetId="5" r:id="rId5"/>
    <sheet name="天级榜奖励" sheetId="6" r:id="rId6"/>
  </sheets>
  <calcPr calcId="181029"/>
</workbook>
</file>

<file path=xl/calcChain.xml><?xml version="1.0" encoding="utf-8"?>
<calcChain xmlns="http://schemas.openxmlformats.org/spreadsheetml/2006/main">
  <c r="C3" i="5" l="1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I162" i="4"/>
  <c r="I157" i="4"/>
  <c r="I152" i="4"/>
  <c r="J151" i="4"/>
  <c r="I176" i="4" s="1"/>
  <c r="I141" i="4"/>
  <c r="I140" i="4"/>
  <c r="I129" i="4"/>
  <c r="I128" i="4"/>
  <c r="J119" i="4"/>
  <c r="I150" i="4" s="1"/>
  <c r="I119" i="4"/>
  <c r="I116" i="4"/>
  <c r="J87" i="4"/>
  <c r="I112" i="4" s="1"/>
  <c r="J73" i="4"/>
  <c r="I86" i="4" s="1"/>
  <c r="J59" i="4"/>
  <c r="I66" i="4" s="1"/>
  <c r="I53" i="4"/>
  <c r="J49" i="4"/>
  <c r="J39" i="4"/>
  <c r="I55" i="4" s="1"/>
  <c r="J33" i="4"/>
  <c r="I38" i="4" s="1"/>
  <c r="I33" i="4"/>
  <c r="J26" i="4"/>
  <c r="J16" i="4"/>
  <c r="I32" i="4" s="1"/>
  <c r="I13" i="4"/>
  <c r="I11" i="4"/>
  <c r="J8" i="4"/>
  <c r="I15" i="4" s="1"/>
  <c r="I8" i="4"/>
  <c r="I75" i="4" l="1"/>
  <c r="I60" i="4"/>
  <c r="I88" i="4"/>
  <c r="I142" i="4"/>
  <c r="I64" i="4"/>
  <c r="I77" i="4"/>
  <c r="I93" i="4"/>
  <c r="I121" i="4"/>
  <c r="I133" i="4"/>
  <c r="I145" i="4"/>
  <c r="I165" i="4"/>
  <c r="I130" i="4"/>
  <c r="I10" i="4"/>
  <c r="I37" i="4"/>
  <c r="I65" i="4"/>
  <c r="I78" i="4"/>
  <c r="I98" i="4"/>
  <c r="I122" i="4"/>
  <c r="I134" i="4"/>
  <c r="I146" i="4"/>
  <c r="I170" i="4"/>
  <c r="I76" i="4"/>
  <c r="I70" i="4"/>
  <c r="I81" i="4"/>
  <c r="I101" i="4"/>
  <c r="I123" i="4"/>
  <c r="I135" i="4"/>
  <c r="I147" i="4"/>
  <c r="I175" i="4"/>
  <c r="I12" i="4"/>
  <c r="I44" i="4"/>
  <c r="I72" i="4"/>
  <c r="I82" i="4"/>
  <c r="I106" i="4"/>
  <c r="I124" i="4"/>
  <c r="I136" i="4"/>
  <c r="I148" i="4"/>
  <c r="I180" i="4"/>
  <c r="I84" i="4"/>
  <c r="I73" i="4"/>
  <c r="I83" i="4"/>
  <c r="I111" i="4"/>
  <c r="I127" i="4"/>
  <c r="I139" i="4"/>
  <c r="I21" i="4"/>
  <c r="I22" i="4"/>
  <c r="I29" i="4"/>
  <c r="I45" i="4"/>
  <c r="I54" i="4"/>
  <c r="I61" i="4"/>
  <c r="I71" i="4"/>
  <c r="I87" i="4"/>
  <c r="I94" i="4"/>
  <c r="I104" i="4"/>
  <c r="I153" i="4"/>
  <c r="I163" i="4"/>
  <c r="I171" i="4"/>
  <c r="I181" i="4"/>
  <c r="I28" i="4"/>
  <c r="I16" i="4"/>
  <c r="I23" i="4"/>
  <c r="I39" i="4"/>
  <c r="I48" i="4"/>
  <c r="I115" i="4"/>
  <c r="I109" i="4"/>
  <c r="I103" i="4"/>
  <c r="I97" i="4"/>
  <c r="I91" i="4"/>
  <c r="I114" i="4"/>
  <c r="I108" i="4"/>
  <c r="I102" i="4"/>
  <c r="I96" i="4"/>
  <c r="I90" i="4"/>
  <c r="I95" i="4"/>
  <c r="I105" i="4"/>
  <c r="I113" i="4"/>
  <c r="I156" i="4"/>
  <c r="I164" i="4"/>
  <c r="I174" i="4"/>
  <c r="I182" i="4"/>
  <c r="I31" i="4"/>
  <c r="I26" i="4"/>
  <c r="I20" i="4"/>
  <c r="I30" i="4"/>
  <c r="I25" i="4"/>
  <c r="I19" i="4"/>
  <c r="I58" i="4"/>
  <c r="I52" i="4"/>
  <c r="I47" i="4"/>
  <c r="I41" i="4"/>
  <c r="I57" i="4"/>
  <c r="I51" i="4"/>
  <c r="I46" i="4"/>
  <c r="I40" i="4"/>
  <c r="I56" i="4"/>
  <c r="I17" i="4"/>
  <c r="I36" i="4"/>
  <c r="I35" i="4"/>
  <c r="I42" i="4"/>
  <c r="I59" i="4"/>
  <c r="I89" i="4"/>
  <c r="I99" i="4"/>
  <c r="I107" i="4"/>
  <c r="I117" i="4"/>
  <c r="I151" i="4"/>
  <c r="I158" i="4"/>
  <c r="I168" i="4"/>
  <c r="I24" i="4"/>
  <c r="I49" i="4"/>
  <c r="I18" i="4"/>
  <c r="I27" i="4"/>
  <c r="I34" i="4"/>
  <c r="I43" i="4"/>
  <c r="I50" i="4"/>
  <c r="I69" i="4"/>
  <c r="I63" i="4"/>
  <c r="I68" i="4"/>
  <c r="I62" i="4"/>
  <c r="I67" i="4"/>
  <c r="I92" i="4"/>
  <c r="I100" i="4"/>
  <c r="I110" i="4"/>
  <c r="I118" i="4"/>
  <c r="I179" i="4"/>
  <c r="I173" i="4"/>
  <c r="I167" i="4"/>
  <c r="I161" i="4"/>
  <c r="I155" i="4"/>
  <c r="I178" i="4"/>
  <c r="I172" i="4"/>
  <c r="I166" i="4"/>
  <c r="I160" i="4"/>
  <c r="I154" i="4"/>
  <c r="I159" i="4"/>
  <c r="I169" i="4"/>
  <c r="I177" i="4"/>
  <c r="I14" i="4"/>
  <c r="I79" i="4"/>
  <c r="I85" i="4"/>
  <c r="I125" i="4"/>
  <c r="I131" i="4"/>
  <c r="I137" i="4"/>
  <c r="I143" i="4"/>
  <c r="I149" i="4"/>
  <c r="I9" i="4"/>
  <c r="I74" i="4"/>
  <c r="I80" i="4"/>
  <c r="I120" i="4"/>
  <c r="I126" i="4"/>
  <c r="I132" i="4"/>
  <c r="I138" i="4"/>
  <c r="I14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user:</t>
        </r>
        <r>
          <rPr>
            <sz val="9"/>
            <rFont val="宋体"/>
            <family val="3"/>
            <charset val="134"/>
          </rPr>
          <t xml:space="preserve">
1：段位赛
2：王者赛</t>
        </r>
      </text>
    </comment>
    <comment ref="E1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user:</t>
        </r>
        <r>
          <rPr>
            <sz val="9"/>
            <rFont val="宋体"/>
            <family val="3"/>
            <charset val="134"/>
          </rPr>
          <t xml:space="preserve">
1:成功
2:失败</t>
        </r>
      </text>
    </comment>
    <comment ref="H1" authorId="0" shapeId="0" xr:uid="{00000000-0006-0000-0200-000003000000}">
      <text>
        <r>
          <rPr>
            <b/>
            <sz val="9"/>
            <rFont val="宋体"/>
            <family val="3"/>
            <charset val="134"/>
          </rPr>
          <t>user:</t>
        </r>
        <r>
          <rPr>
            <sz val="9"/>
            <rFont val="宋体"/>
            <family val="3"/>
            <charset val="134"/>
          </rPr>
          <t xml:space="preserve">
赛事类型
1:常规赛
2:王者赛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1" authorId="0" shapeId="0" xr:uid="{00000000-0006-0000-0300-000001000000}">
      <text>
        <r>
          <rPr>
            <b/>
            <sz val="9"/>
            <rFont val="Calibri"/>
            <family val="3"/>
            <charset val="134"/>
            <scheme val="minor"/>
          </rPr>
          <t>admin:0是不进入下赛季商店，1是可以进入下赛季商店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user:</t>
        </r>
        <r>
          <rPr>
            <sz val="9"/>
            <rFont val="宋体"/>
            <family val="3"/>
            <charset val="134"/>
          </rPr>
          <t xml:space="preserve">
1：段位赛
2：王者赛</t>
        </r>
      </text>
    </comment>
  </commentList>
</comments>
</file>

<file path=xl/sharedStrings.xml><?xml version="1.0" encoding="utf-8"?>
<sst xmlns="http://schemas.openxmlformats.org/spreadsheetml/2006/main" count="700" uniqueCount="242">
  <si>
    <t>ID</t>
  </si>
  <si>
    <t>段位</t>
  </si>
  <si>
    <t>图片序列号</t>
  </si>
  <si>
    <t>等级</t>
  </si>
  <si>
    <t>星星数</t>
  </si>
  <si>
    <t>星级数</t>
  </si>
  <si>
    <t>赛季首达奖励</t>
  </si>
  <si>
    <t>段位结算奖励</t>
  </si>
  <si>
    <t>继承后段位</t>
  </si>
  <si>
    <t>继承后段位的等级</t>
  </si>
  <si>
    <t>继承后的星级数</t>
  </si>
  <si>
    <t>胜利缓冲积分</t>
  </si>
  <si>
    <t>失败缓冲积分</t>
  </si>
  <si>
    <t>赛事类型</t>
  </si>
  <si>
    <t>玩家起始星级</t>
  </si>
  <si>
    <t>玩家最终星级</t>
  </si>
  <si>
    <t>奖品类型</t>
  </si>
  <si>
    <t>奖品</t>
  </si>
  <si>
    <t>权重</t>
  </si>
  <si>
    <t>备注</t>
  </si>
  <si>
    <t>0:20:50</t>
  </si>
  <si>
    <t>段位积分</t>
  </si>
  <si>
    <t>3:100001:20</t>
  </si>
  <si>
    <t>进阶石</t>
  </si>
  <si>
    <t>0:0:50000</t>
  </si>
  <si>
    <t>金币</t>
  </si>
  <si>
    <t>3:100001:15</t>
  </si>
  <si>
    <t>0:0:40000</t>
  </si>
  <si>
    <t>0:20:80</t>
  </si>
  <si>
    <t>3:100001:40</t>
  </si>
  <si>
    <t>0:0:80000</t>
  </si>
  <si>
    <t>3:100004:50</t>
  </si>
  <si>
    <t>鎏金粉</t>
  </si>
  <si>
    <t>3:100001:30</t>
  </si>
  <si>
    <t>0:0:60000</t>
  </si>
  <si>
    <t>3:100004:30</t>
  </si>
  <si>
    <t>0:20:100</t>
  </si>
  <si>
    <t>3:100001:60</t>
  </si>
  <si>
    <t>0:0:100000</t>
  </si>
  <si>
    <t>3:100004:80</t>
  </si>
  <si>
    <t>4:606002:1</t>
  </si>
  <si>
    <t>5星随机碎片</t>
  </si>
  <si>
    <t>3:100001:50</t>
  </si>
  <si>
    <t>3:100004:65</t>
  </si>
  <si>
    <t>0:20:150</t>
  </si>
  <si>
    <t>3:100001:80</t>
  </si>
  <si>
    <t>0:0:150000</t>
  </si>
  <si>
    <t>3:100004:100</t>
  </si>
  <si>
    <t>4:606002:2</t>
  </si>
  <si>
    <t>3:100022:1</t>
  </si>
  <si>
    <t>高级点将卷</t>
  </si>
  <si>
    <t>3:100001:65</t>
  </si>
  <si>
    <t>0:0:120000</t>
  </si>
  <si>
    <t>0:20:180</t>
  </si>
  <si>
    <t>3:100001:120</t>
  </si>
  <si>
    <t>0:0:180000</t>
  </si>
  <si>
    <t>3:100004:150</t>
  </si>
  <si>
    <t>4:606008:1</t>
  </si>
  <si>
    <t>5星人族碎片</t>
  </si>
  <si>
    <t>4:606009:1</t>
  </si>
  <si>
    <t>5星仙族碎片</t>
  </si>
  <si>
    <t>4:606010:1</t>
  </si>
  <si>
    <t>5星妖族碎片</t>
  </si>
  <si>
    <t>3:100001:100</t>
  </si>
  <si>
    <t>3:100004:120</t>
  </si>
  <si>
    <t>0:20:200</t>
  </si>
  <si>
    <t>3:100001:150</t>
  </si>
  <si>
    <r>
      <rPr>
        <sz val="11"/>
        <color theme="1"/>
        <rFont val="Calibri"/>
        <family val="3"/>
        <charset val="134"/>
        <scheme val="minor"/>
      </rPr>
      <t>0:0:</t>
    </r>
    <r>
      <rPr>
        <sz val="11"/>
        <color theme="1"/>
        <rFont val="Calibri"/>
        <family val="3"/>
        <charset val="134"/>
        <scheme val="minor"/>
      </rPr>
      <t>200000</t>
    </r>
  </si>
  <si>
    <r>
      <rPr>
        <sz val="11"/>
        <color theme="1"/>
        <rFont val="Calibri"/>
        <family val="3"/>
        <charset val="134"/>
        <scheme val="minor"/>
      </rPr>
      <t>3:100004:</t>
    </r>
    <r>
      <rPr>
        <sz val="11"/>
        <color theme="1"/>
        <rFont val="Calibri"/>
        <family val="3"/>
        <charset val="134"/>
        <scheme val="minor"/>
      </rPr>
      <t>180</t>
    </r>
  </si>
  <si>
    <t>3:100059:1</t>
  </si>
  <si>
    <t>魂丹</t>
  </si>
  <si>
    <t>4:606008:2</t>
  </si>
  <si>
    <t>4:606009:2</t>
  </si>
  <si>
    <t>4:606010:2</t>
  </si>
  <si>
    <t>0:0:160000</t>
  </si>
  <si>
    <t>0:0:200000</t>
  </si>
  <si>
    <t>3:100004:180</t>
  </si>
  <si>
    <t>4:606011:1</t>
  </si>
  <si>
    <t>5星神族碎片</t>
  </si>
  <si>
    <t>4:606012:1</t>
  </si>
  <si>
    <t>5星魔族碎片</t>
  </si>
  <si>
    <t>商品ID</t>
  </si>
  <si>
    <t>商品名称</t>
  </si>
  <si>
    <t>赛季</t>
  </si>
  <si>
    <t>商品类型</t>
  </si>
  <si>
    <t>商店ID</t>
  </si>
  <si>
    <t>商品内容</t>
  </si>
  <si>
    <t>资源消耗</t>
  </si>
  <si>
    <t>限购次数</t>
  </si>
  <si>
    <t>排序</t>
  </si>
  <si>
    <t>限购重置周期</t>
  </si>
  <si>
    <t>4:603020:50</t>
  </si>
  <si>
    <t>0:20:40000</t>
  </si>
  <si>
    <t>4:1:1</t>
  </si>
  <si>
    <t>4:601016:50</t>
  </si>
  <si>
    <t>4:602025:50</t>
  </si>
  <si>
    <t>4:604012:50</t>
  </si>
  <si>
    <t>0:20:50000</t>
  </si>
  <si>
    <t>4:605009:50</t>
  </si>
  <si>
    <t>0:20:60000</t>
  </si>
  <si>
    <t>3:100002:100</t>
  </si>
  <si>
    <t>0:20:3750</t>
  </si>
  <si>
    <t>2:1:0</t>
  </si>
  <si>
    <t>3:100004:1000</t>
  </si>
  <si>
    <t>0:20:2500</t>
  </si>
  <si>
    <t>3:1:1</t>
  </si>
  <si>
    <t>3:400040:1</t>
  </si>
  <si>
    <t>0:20:250</t>
  </si>
  <si>
    <t>4:603014:50</t>
  </si>
  <si>
    <t>4:601023:50</t>
  </si>
  <si>
    <t>0:20:45000</t>
  </si>
  <si>
    <t>4:602024:50</t>
  </si>
  <si>
    <t>4:604013:50</t>
  </si>
  <si>
    <t>4:605006:50</t>
  </si>
  <si>
    <t>4:603015:50</t>
  </si>
  <si>
    <t>4:602017:50</t>
  </si>
  <si>
    <t>4:601020:50</t>
  </si>
  <si>
    <t>0:20:55000</t>
  </si>
  <si>
    <t>4:604010:50</t>
  </si>
  <si>
    <t>4:605014:50</t>
  </si>
  <si>
    <t>4:603023:50</t>
  </si>
  <si>
    <t>4:602018:50</t>
  </si>
  <si>
    <t>4:601017:50</t>
  </si>
  <si>
    <t>4:604009:50</t>
  </si>
  <si>
    <t>4:605013:50</t>
  </si>
  <si>
    <t>战斗一方实例ID</t>
  </si>
  <si>
    <t>机器人段位星星</t>
  </si>
  <si>
    <t>冒险形象</t>
  </si>
  <si>
    <r>
      <rPr>
        <sz val="11"/>
        <color theme="1"/>
        <rFont val="Calibri"/>
        <family val="3"/>
        <charset val="134"/>
        <scheme val="minor"/>
      </rPr>
      <t>11101#</t>
    </r>
    <r>
      <rPr>
        <sz val="11"/>
        <color theme="1"/>
        <rFont val="Calibri"/>
        <family val="3"/>
        <charset val="134"/>
        <scheme val="minor"/>
      </rPr>
      <t>11102</t>
    </r>
  </si>
  <si>
    <t>11103#11104</t>
  </si>
  <si>
    <r>
      <rPr>
        <sz val="11"/>
        <color theme="1"/>
        <rFont val="Calibri"/>
        <family val="3"/>
        <charset val="134"/>
        <scheme val="minor"/>
      </rPr>
      <t>11105#</t>
    </r>
    <r>
      <rPr>
        <sz val="11"/>
        <color theme="1"/>
        <rFont val="Calibri"/>
        <family val="3"/>
        <charset val="134"/>
        <scheme val="minor"/>
      </rPr>
      <t>11106</t>
    </r>
  </si>
  <si>
    <r>
      <rPr>
        <sz val="11"/>
        <color theme="1"/>
        <rFont val="Calibri"/>
        <family val="3"/>
        <charset val="134"/>
        <scheme val="minor"/>
      </rPr>
      <t>11107#</t>
    </r>
    <r>
      <rPr>
        <sz val="11"/>
        <color theme="1"/>
        <rFont val="Calibri"/>
        <family val="3"/>
        <charset val="134"/>
        <scheme val="minor"/>
      </rPr>
      <t>11108</t>
    </r>
  </si>
  <si>
    <t>11109#11110</t>
  </si>
  <si>
    <t>11111#11112</t>
  </si>
  <si>
    <t>奖励</t>
  </si>
  <si>
    <t>道具奖励</t>
  </si>
  <si>
    <t>展示英雄ID</t>
  </si>
  <si>
    <t>3:900025:1</t>
  </si>
  <si>
    <r>
      <rPr>
        <sz val="11"/>
        <color theme="1"/>
        <rFont val="Calibri"/>
        <family val="3"/>
        <charset val="134"/>
        <scheme val="minor"/>
      </rPr>
      <t>3:</t>
    </r>
    <r>
      <rPr>
        <sz val="11"/>
        <color theme="1"/>
        <rFont val="Calibri"/>
        <family val="3"/>
        <charset val="134"/>
        <scheme val="minor"/>
      </rPr>
      <t>900026</t>
    </r>
    <r>
      <rPr>
        <sz val="11"/>
        <color theme="1"/>
        <rFont val="Calibri"/>
        <family val="3"/>
        <charset val="134"/>
        <scheme val="minor"/>
      </rPr>
      <t>:1</t>
    </r>
  </si>
  <si>
    <r>
      <rPr>
        <sz val="11"/>
        <color theme="1"/>
        <rFont val="Calibri"/>
        <family val="3"/>
        <charset val="134"/>
        <scheme val="minor"/>
      </rPr>
      <t>3:</t>
    </r>
    <r>
      <rPr>
        <sz val="11"/>
        <color theme="1"/>
        <rFont val="Calibri"/>
        <family val="3"/>
        <charset val="134"/>
        <scheme val="minor"/>
      </rPr>
      <t>900027</t>
    </r>
    <r>
      <rPr>
        <sz val="11"/>
        <color theme="1"/>
        <rFont val="Calibri"/>
        <family val="3"/>
        <charset val="134"/>
        <scheme val="minor"/>
      </rPr>
      <t>:1</t>
    </r>
  </si>
  <si>
    <t>7:700101:1</t>
  </si>
  <si>
    <t>7:800101:1</t>
  </si>
  <si>
    <t>7:900101:1</t>
  </si>
  <si>
    <t>Quật Cường Thanh Đồng Ⅰ</t>
  </si>
  <si>
    <t>Trật Tự Bạch Ngân Ⅰ</t>
  </si>
  <si>
    <t>Trật Tự Bạch Ngân Ⅱ</t>
  </si>
  <si>
    <t>Vinh Quang Hoàng Kim Ⅰ</t>
  </si>
  <si>
    <t>Vinh Quang Hoàng Kim Ⅱ</t>
  </si>
  <si>
    <t>Vinh Quang Hoàng Kim Ⅲ</t>
  </si>
  <si>
    <t>Tôn Quý Bạch Kim Kim Ⅰ</t>
  </si>
  <si>
    <t>Tôn Quý Bạch Kim Kim Ⅱ</t>
  </si>
  <si>
    <t>Tôn Quý Bạch Kim Kim Ⅲ</t>
  </si>
  <si>
    <t>Vĩnh Hằng Kim Cương Ⅰ</t>
  </si>
  <si>
    <t>Vĩnh Hằng Kim Cương Ⅱ</t>
  </si>
  <si>
    <t>Vĩnh Hằng Kim Cương Ⅲ</t>
  </si>
  <si>
    <t>Vĩnh Hằng Kim Cương Ⅳ</t>
  </si>
  <si>
    <t>Chí Tôn Tinh Diệu Ⅰ</t>
  </si>
  <si>
    <t>Chí Tôn Tinh Diệu Ⅱ</t>
  </si>
  <si>
    <t>Chí Tôn Tinh Diệu Ⅲ</t>
  </si>
  <si>
    <t>Chí Tôn Tinh Diệu Ⅳ</t>
  </si>
  <si>
    <t>Mạnh Nhất Vương Giả Ⅰ</t>
  </si>
  <si>
    <t>Mạnh Nhất Vương Giả Ⅱ</t>
  </si>
  <si>
    <t>Mạnh Nhất Vương Giả Ⅲ</t>
  </si>
  <si>
    <t>Mạnh Nhất Vương Giả Ⅳ</t>
  </si>
  <si>
    <t>Mạnh Nhất Vương Giả V</t>
  </si>
  <si>
    <t>Quật Cường Thanh Đồng</t>
  </si>
  <si>
    <t>Trật Tự Bạch Ngân</t>
  </si>
  <si>
    <t>Vinh Quang Hoàng Kim</t>
  </si>
  <si>
    <t>Tôn Quý Bạch Kim Kim</t>
  </si>
  <si>
    <t>Vĩnh Hằng Kim Cương</t>
  </si>
  <si>
    <t>Chí Tôn Tinh Diệu</t>
  </si>
  <si>
    <t>Mạnh Nhất Vương Giả</t>
  </si>
  <si>
    <t>Ngao Bính</t>
  </si>
  <si>
    <t>Hằng Nga</t>
  </si>
  <si>
    <t>Bạch Long</t>
  </si>
  <si>
    <t>Cộng Công</t>
  </si>
  <si>
    <t>Ma Ngộ Không</t>
  </si>
  <si>
    <t>Thái Ất Tinh Kim</t>
  </si>
  <si>
    <t>Mạ Vàng Phấn</t>
  </si>
  <si>
    <t>Phúc Địa Trân Tàng</t>
  </si>
  <si>
    <t>Dương Chi Ngọc Tịnh Bình</t>
  </si>
  <si>
    <t>Huyền Quy Giáp</t>
  </si>
  <si>
    <t>Tử Thụ Tiên Y</t>
  </si>
  <si>
    <t>Hồng Hài Nhi</t>
  </si>
  <si>
    <t>Hoa Mộc Lan</t>
  </si>
  <si>
    <t>Huyền Trang</t>
  </si>
  <si>
    <t>Chúc Dung</t>
  </si>
  <si>
    <t>Xi Vưu</t>
  </si>
  <si>
    <t>Thạch Cơ</t>
  </si>
  <si>
    <t>Lộc Duyên Thượng Tiên</t>
  </si>
  <si>
    <t>Na Tra</t>
  </si>
  <si>
    <t>Ngọc Đế</t>
  </si>
  <si>
    <t>Dạ Mị</t>
  </si>
  <si>
    <t>Khổng Tuyên</t>
  </si>
  <si>
    <t>Đấu Chiến Thắng Phật</t>
  </si>
  <si>
    <t>Hậu Nghệ</t>
  </si>
  <si>
    <t>Côn</t>
  </si>
  <si>
    <t>Chúc Long</t>
  </si>
  <si>
    <t>3:100025:1#0:4:3600000000#0:20:2200</t>
  </si>
  <si>
    <t>3:100021:1#0:4:50000000#0:20:100</t>
  </si>
  <si>
    <t>3:100021:1#0:4:100000000#0:20:200</t>
  </si>
  <si>
    <t>3:100021:1#0:4:150000000#0:20:300</t>
  </si>
  <si>
    <t>4:606001:30#0:4:200000000#0:20:400</t>
  </si>
  <si>
    <t>3:100022:2#0:4:250000000#0:20:500</t>
  </si>
  <si>
    <t>3:100022:2#0:4:300000000#0:20:600</t>
  </si>
  <si>
    <t>3:100006:1#0:4:350000000#0:20:700</t>
  </si>
  <si>
    <t>3:100022:2#0:4:400000000#0:20:800</t>
  </si>
  <si>
    <t>3:100022:2#0:4:450000000#0:20:900</t>
  </si>
  <si>
    <t>3:100006:1#0:4:500000000#0:20:1000</t>
  </si>
  <si>
    <t>3:100024:50#0:4:600000000#0:20:1100</t>
  </si>
  <si>
    <t>3:100024:50#0:4:700000000#0:20:1200</t>
  </si>
  <si>
    <t>3:100024:100#0:4:800000000#0:20:1300</t>
  </si>
  <si>
    <t>5:3:1#0:4:1000000000#0:20:1400</t>
  </si>
  <si>
    <t>4:606002:10#0:4:1200000000#0:20:1500</t>
  </si>
  <si>
    <t>4:606002:20#0:4:1400000000#0:20:1600</t>
  </si>
  <si>
    <t>4:606002:20#0:4:1600000000#0:20:1700</t>
  </si>
  <si>
    <t>5:4:1#0:4:2000000000#0:20:1800</t>
  </si>
  <si>
    <t>3:100025:1#0:4:2400000000#0:20:1900</t>
  </si>
  <si>
    <t>3:100025:1#0:4:2800000000#0:20:2000</t>
  </si>
  <si>
    <t>3:100025:1#0:4:3200000000#0:20:2100</t>
  </si>
  <si>
    <t>3:800008:1#0:1:18000000#0:20:10000</t>
  </si>
  <si>
    <t>0:1:500000#0:20:250</t>
  </si>
  <si>
    <t>0:1:600000#0:20:500</t>
  </si>
  <si>
    <t>0:1:1000000#0:20:750</t>
  </si>
  <si>
    <t>0:1:1250000#0:20:1000</t>
  </si>
  <si>
    <t>0:1:1500000#0:20:1250</t>
  </si>
  <si>
    <t>0:1:1750000#0:20:1500</t>
  </si>
  <si>
    <t>0:1:2250000#0:20:2000</t>
  </si>
  <si>
    <t>0:1:2500000#0:20:2250</t>
  </si>
  <si>
    <t>0:1:3000000#0:20:2500</t>
  </si>
  <si>
    <t>0:1:3500000#0:20:2750</t>
  </si>
  <si>
    <t>0:1:4000000#0:20:3000</t>
  </si>
  <si>
    <t>0:1:4500000#0:20:3250</t>
  </si>
  <si>
    <t>0:1:5000000#0:20:3500</t>
  </si>
  <si>
    <t>0:1:6000000#0:20:4000</t>
  </si>
  <si>
    <t>0:1:7000000#0:20:4500</t>
  </si>
  <si>
    <t>0:1:8000000#0:20:5000</t>
  </si>
  <si>
    <t>0:1:10000000#0:20:6000</t>
  </si>
  <si>
    <t>0:1:12000000#0:20:7000</t>
  </si>
  <si>
    <t>3:800008:1#0:1:14000000#0:20:8000</t>
  </si>
  <si>
    <t>3:800008:1#0:1:16000000#0:20:9000</t>
  </si>
  <si>
    <t>0:1:2000000#0:20:1750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</si>
</sst>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b/>
      <sz val="11"/>
      <color rgb="FFFA7D00"/>
      <name val="Calibri"/>
      <family val="3"/>
      <charset val="134"/>
      <scheme val="minor"/>
    </font>
    <font>
      <b/>
      <sz val="10"/>
      <color rgb="FFFA7D00"/>
      <name val="微软雅黑"/>
      <family val="2"/>
      <charset val="134"/>
    </font>
    <font>
      <sz val="11"/>
      <color indexed="8"/>
      <name val="等线"/>
      <family val="3"/>
      <charset val="134"/>
    </font>
    <font>
      <sz val="11"/>
      <color indexed="8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53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0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9"/>
      <name val="Calibri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Calibri"/>
      <family val="3"/>
      <charset val="134"/>
      <scheme val="minor"/>
    </font>
    <font>
      <sz val="11"/>
      <color rgb="FF000000"/>
      <name val="&amp;Quot"/>
    </font>
  </fonts>
  <fills count="2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6DCE4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3" tint="0.39985351115451523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1" fillId="2" borderId="1" applyNumberFormat="0" applyAlignment="0" applyProtection="0">
      <alignment vertical="center"/>
    </xf>
    <xf numFmtId="0" fontId="1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1" xfId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2" xfId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1" fillId="2" borderId="2" xfId="1" applyBorder="1" applyAlignment="1">
      <alignment vertical="center"/>
    </xf>
    <xf numFmtId="0" fontId="1" fillId="2" borderId="2" xfId="1" applyBorder="1" applyAlignment="1">
      <alignment horizontal="center" vertical="center"/>
    </xf>
    <xf numFmtId="49" fontId="1" fillId="2" borderId="2" xfId="1" applyNumberFormat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8" fillId="9" borderId="5" xfId="0" applyFont="1" applyFill="1" applyBorder="1">
      <alignment vertical="center"/>
    </xf>
    <xf numFmtId="0" fontId="8" fillId="9" borderId="6" xfId="0" applyFont="1" applyFill="1" applyBorder="1" applyAlignment="1">
      <alignment horizontal="center" vertical="center"/>
    </xf>
    <xf numFmtId="49" fontId="8" fillId="9" borderId="6" xfId="0" applyNumberFormat="1" applyFont="1" applyFill="1" applyBorder="1">
      <alignment vertical="center"/>
    </xf>
    <xf numFmtId="0" fontId="8" fillId="0" borderId="0" xfId="0" applyFont="1">
      <alignment vertical="center"/>
    </xf>
    <xf numFmtId="0" fontId="8" fillId="9" borderId="7" xfId="0" applyFont="1" applyFill="1" applyBorder="1">
      <alignment vertical="center"/>
    </xf>
    <xf numFmtId="0" fontId="8" fillId="9" borderId="8" xfId="0" applyFont="1" applyFill="1" applyBorder="1" applyAlignment="1">
      <alignment horizontal="center" vertical="center"/>
    </xf>
    <xf numFmtId="49" fontId="8" fillId="9" borderId="8" xfId="0" applyNumberFormat="1" applyFont="1" applyFill="1" applyBorder="1">
      <alignment vertical="center"/>
    </xf>
    <xf numFmtId="20" fontId="8" fillId="0" borderId="0" xfId="0" applyNumberFormat="1" applyFont="1">
      <alignment vertical="center"/>
    </xf>
    <xf numFmtId="0" fontId="8" fillId="10" borderId="8" xfId="0" applyFont="1" applyFill="1" applyBorder="1" applyAlignment="1">
      <alignment horizontal="center" vertical="center"/>
    </xf>
    <xf numFmtId="49" fontId="8" fillId="10" borderId="8" xfId="0" applyNumberFormat="1" applyFont="1" applyFill="1" applyBorder="1">
      <alignment vertical="center"/>
    </xf>
    <xf numFmtId="0" fontId="8" fillId="11" borderId="7" xfId="0" applyFont="1" applyFill="1" applyBorder="1">
      <alignment vertical="center"/>
    </xf>
    <xf numFmtId="0" fontId="8" fillId="11" borderId="8" xfId="0" applyFont="1" applyFill="1" applyBorder="1" applyAlignment="1">
      <alignment horizontal="center" vertical="center"/>
    </xf>
    <xf numFmtId="49" fontId="8" fillId="11" borderId="8" xfId="0" applyNumberFormat="1" applyFont="1" applyFill="1" applyBorder="1">
      <alignment vertical="center"/>
    </xf>
    <xf numFmtId="0" fontId="8" fillId="12" borderId="7" xfId="0" applyFont="1" applyFill="1" applyBorder="1">
      <alignment vertical="center"/>
    </xf>
    <xf numFmtId="0" fontId="8" fillId="12" borderId="8" xfId="0" applyFont="1" applyFill="1" applyBorder="1" applyAlignment="1">
      <alignment horizontal="center" vertical="center"/>
    </xf>
    <xf numFmtId="49" fontId="8" fillId="12" borderId="8" xfId="0" applyNumberFormat="1" applyFont="1" applyFill="1" applyBorder="1">
      <alignment vertical="center"/>
    </xf>
    <xf numFmtId="0" fontId="8" fillId="13" borderId="7" xfId="0" applyFont="1" applyFill="1" applyBorder="1">
      <alignment vertical="center"/>
    </xf>
    <xf numFmtId="0" fontId="8" fillId="13" borderId="8" xfId="0" applyFont="1" applyFill="1" applyBorder="1" applyAlignment="1">
      <alignment horizontal="center" vertical="center"/>
    </xf>
    <xf numFmtId="49" fontId="8" fillId="13" borderId="8" xfId="0" applyNumberFormat="1" applyFont="1" applyFill="1" applyBorder="1">
      <alignment vertical="center"/>
    </xf>
    <xf numFmtId="0" fontId="8" fillId="13" borderId="8" xfId="0" applyFont="1" applyFill="1" applyBorder="1">
      <alignment vertical="center"/>
    </xf>
    <xf numFmtId="0" fontId="8" fillId="14" borderId="7" xfId="0" applyFont="1" applyFill="1" applyBorder="1">
      <alignment vertical="center"/>
    </xf>
    <xf numFmtId="0" fontId="8" fillId="14" borderId="8" xfId="0" applyFont="1" applyFill="1" applyBorder="1" applyAlignment="1">
      <alignment horizontal="center" vertical="center"/>
    </xf>
    <xf numFmtId="49" fontId="8" fillId="14" borderId="8" xfId="0" applyNumberFormat="1" applyFont="1" applyFill="1" applyBorder="1">
      <alignment vertical="center"/>
    </xf>
    <xf numFmtId="0" fontId="8" fillId="15" borderId="7" xfId="0" applyFont="1" applyFill="1" applyBorder="1">
      <alignment vertical="center"/>
    </xf>
    <xf numFmtId="0" fontId="8" fillId="15" borderId="8" xfId="0" applyFont="1" applyFill="1" applyBorder="1" applyAlignment="1">
      <alignment horizontal="center" vertical="center"/>
    </xf>
    <xf numFmtId="49" fontId="8" fillId="15" borderId="8" xfId="0" applyNumberFormat="1" applyFont="1" applyFill="1" applyBorder="1">
      <alignment vertical="center"/>
    </xf>
    <xf numFmtId="49" fontId="8" fillId="16" borderId="8" xfId="0" applyNumberFormat="1" applyFont="1" applyFill="1" applyBorder="1">
      <alignment vertical="center"/>
    </xf>
    <xf numFmtId="0" fontId="8" fillId="16" borderId="7" xfId="0" applyFont="1" applyFill="1" applyBorder="1">
      <alignment vertical="center"/>
    </xf>
    <xf numFmtId="0" fontId="8" fillId="16" borderId="8" xfId="0" applyFont="1" applyFill="1" applyBorder="1" applyAlignment="1">
      <alignment horizontal="center" vertical="center"/>
    </xf>
    <xf numFmtId="49" fontId="8" fillId="16" borderId="8" xfId="0" applyNumberFormat="1" applyFont="1" applyFill="1" applyBorder="1" applyAlignment="1">
      <alignment horizontal="left" vertical="center"/>
    </xf>
    <xf numFmtId="0" fontId="0" fillId="17" borderId="3" xfId="0" applyFill="1" applyBorder="1">
      <alignment vertical="center"/>
    </xf>
    <xf numFmtId="0" fontId="0" fillId="17" borderId="3" xfId="0" applyFill="1" applyBorder="1" applyAlignment="1">
      <alignment horizontal="center" vertical="center"/>
    </xf>
    <xf numFmtId="49" fontId="0" fillId="17" borderId="3" xfId="0" applyNumberFormat="1" applyFill="1" applyBorder="1" applyAlignment="1">
      <alignment horizontal="left" vertical="center"/>
    </xf>
    <xf numFmtId="0" fontId="0" fillId="4" borderId="3" xfId="0" applyFill="1" applyBorder="1">
      <alignment vertical="center"/>
    </xf>
    <xf numFmtId="0" fontId="9" fillId="18" borderId="3" xfId="0" applyFont="1" applyFill="1" applyBorder="1">
      <alignment vertical="center"/>
    </xf>
    <xf numFmtId="0" fontId="9" fillId="18" borderId="3" xfId="0" applyFont="1" applyFill="1" applyBorder="1" applyAlignment="1">
      <alignment horizontal="center" vertical="center"/>
    </xf>
    <xf numFmtId="49" fontId="9" fillId="18" borderId="3" xfId="0" applyNumberFormat="1" applyFont="1" applyFill="1" applyBorder="1" applyAlignment="1">
      <alignment horizontal="left" vertical="center"/>
    </xf>
    <xf numFmtId="10" fontId="1" fillId="2" borderId="0" xfId="1" applyNumberFormat="1" applyBorder="1" applyAlignment="1">
      <alignment horizontal="center" vertical="center"/>
    </xf>
    <xf numFmtId="10" fontId="8" fillId="0" borderId="0" xfId="0" applyNumberFormat="1" applyFont="1">
      <alignment vertical="center"/>
    </xf>
    <xf numFmtId="0" fontId="0" fillId="4" borderId="9" xfId="0" applyFill="1" applyBorder="1">
      <alignment vertical="center"/>
    </xf>
    <xf numFmtId="0" fontId="0" fillId="17" borderId="10" xfId="0" applyFill="1" applyBorder="1" applyAlignment="1">
      <alignment horizontal="center" vertical="center"/>
    </xf>
    <xf numFmtId="0" fontId="9" fillId="18" borderId="3" xfId="0" applyFont="1" applyFill="1" applyBorder="1" applyAlignment="1">
      <alignment horizontal="left" vertical="center"/>
    </xf>
    <xf numFmtId="0" fontId="0" fillId="19" borderId="0" xfId="0" applyFill="1">
      <alignment vertical="center"/>
    </xf>
    <xf numFmtId="0" fontId="0" fillId="19" borderId="0" xfId="0" applyFill="1" applyAlignment="1">
      <alignment horizontal="center" vertical="center"/>
    </xf>
    <xf numFmtId="49" fontId="0" fillId="19" borderId="0" xfId="0" applyNumberFormat="1" applyFill="1">
      <alignment vertical="center"/>
    </xf>
    <xf numFmtId="49" fontId="0" fillId="19" borderId="0" xfId="0" applyNumberFormat="1" applyFill="1" applyAlignment="1">
      <alignment horizontal="right" vertical="center"/>
    </xf>
    <xf numFmtId="49" fontId="10" fillId="0" borderId="3" xfId="2" applyNumberFormat="1" applyBorder="1">
      <alignment vertical="center"/>
    </xf>
    <xf numFmtId="0" fontId="0" fillId="0" borderId="3" xfId="0" applyBorder="1">
      <alignment vertical="center"/>
    </xf>
    <xf numFmtId="10" fontId="0" fillId="19" borderId="0" xfId="0" applyNumberFormat="1" applyFill="1">
      <alignment vertical="center"/>
    </xf>
    <xf numFmtId="49" fontId="10" fillId="4" borderId="3" xfId="2" applyNumberFormat="1" applyFill="1" applyBorder="1">
      <alignment vertical="center"/>
    </xf>
    <xf numFmtId="49" fontId="0" fillId="0" borderId="0" xfId="0" applyNumberFormat="1" applyAlignment="1">
      <alignment horizontal="right" vertical="center"/>
    </xf>
    <xf numFmtId="0" fontId="1" fillId="2" borderId="11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1" borderId="3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23" borderId="3" xfId="0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25" borderId="3" xfId="0" applyFill="1" applyBorder="1" applyAlignment="1">
      <alignment horizontal="center" vertical="center"/>
    </xf>
    <xf numFmtId="49" fontId="0" fillId="0" borderId="3" xfId="0" applyNumberFormat="1" applyBorder="1" applyAlignment="1">
      <alignment horizontal="right" vertical="center"/>
    </xf>
    <xf numFmtId="0" fontId="15" fillId="26" borderId="0" xfId="0" applyFont="1" applyFill="1" applyAlignment="1">
      <alignment vertical="center" wrapText="1"/>
    </xf>
  </cellXfs>
  <cellStyles count="3">
    <cellStyle name="Calculation" xfId="1" builtinId="22"/>
    <cellStyle name="Normal" xfId="0" builtinId="0"/>
    <cellStyle name="常规 2" xfId="2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H9" sqref="H9"/>
    </sheetView>
  </sheetViews>
  <sheetFormatPr defaultColWidth="9" defaultRowHeight="15"/>
  <cols>
    <col min="1" max="1" width="9" style="2"/>
    <col min="2" max="2" width="11.7109375" style="2" customWidth="1"/>
    <col min="3" max="3" width="11" style="2" customWidth="1"/>
    <col min="4" max="6" width="12.28515625" style="2" customWidth="1"/>
    <col min="7" max="7" width="32.140625" customWidth="1"/>
    <col min="8" max="8" width="28.85546875" customWidth="1"/>
  </cols>
  <sheetData>
    <row r="1" spans="1:8">
      <c r="A1" s="79" t="s">
        <v>0</v>
      </c>
      <c r="B1" s="80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79" t="s">
        <v>6</v>
      </c>
      <c r="H1" s="79" t="s">
        <v>7</v>
      </c>
    </row>
    <row r="2" spans="1:8" ht="57">
      <c r="A2" s="81">
        <v>1</v>
      </c>
      <c r="B2" s="89" t="s">
        <v>143</v>
      </c>
      <c r="C2" s="81">
        <v>1</v>
      </c>
      <c r="D2" s="81">
        <v>1</v>
      </c>
      <c r="E2" s="81">
        <v>3</v>
      </c>
      <c r="F2" s="81">
        <v>0</v>
      </c>
      <c r="G2" s="88" t="s">
        <v>199</v>
      </c>
      <c r="H2" s="88" t="s">
        <v>221</v>
      </c>
    </row>
    <row r="3" spans="1:8" ht="42.75">
      <c r="A3" s="82">
        <v>2</v>
      </c>
      <c r="B3" s="89" t="s">
        <v>144</v>
      </c>
      <c r="C3" s="82">
        <v>2</v>
      </c>
      <c r="D3" s="82">
        <v>1</v>
      </c>
      <c r="E3" s="82">
        <v>3</v>
      </c>
      <c r="F3" s="82">
        <v>4</v>
      </c>
      <c r="G3" s="88" t="s">
        <v>200</v>
      </c>
      <c r="H3" s="88" t="s">
        <v>222</v>
      </c>
    </row>
    <row r="4" spans="1:8" ht="42.75">
      <c r="A4" s="82">
        <v>3</v>
      </c>
      <c r="B4" s="89" t="s">
        <v>145</v>
      </c>
      <c r="C4" s="82">
        <v>2</v>
      </c>
      <c r="D4" s="82">
        <v>2</v>
      </c>
      <c r="E4" s="82">
        <v>3</v>
      </c>
      <c r="F4" s="82">
        <v>7</v>
      </c>
      <c r="G4" s="88" t="s">
        <v>201</v>
      </c>
      <c r="H4" s="88" t="s">
        <v>223</v>
      </c>
    </row>
    <row r="5" spans="1:8" ht="57">
      <c r="A5" s="83">
        <v>4</v>
      </c>
      <c r="B5" s="89" t="s">
        <v>146</v>
      </c>
      <c r="C5" s="83">
        <v>3</v>
      </c>
      <c r="D5" s="83">
        <v>1</v>
      </c>
      <c r="E5" s="83">
        <v>3</v>
      </c>
      <c r="F5" s="83">
        <v>10</v>
      </c>
      <c r="G5" s="88" t="s">
        <v>202</v>
      </c>
      <c r="H5" s="88" t="s">
        <v>224</v>
      </c>
    </row>
    <row r="6" spans="1:8" ht="57">
      <c r="A6" s="83">
        <v>5</v>
      </c>
      <c r="B6" s="89" t="s">
        <v>147</v>
      </c>
      <c r="C6" s="83">
        <v>3</v>
      </c>
      <c r="D6" s="83">
        <v>2</v>
      </c>
      <c r="E6" s="83">
        <v>3</v>
      </c>
      <c r="F6" s="83">
        <v>13</v>
      </c>
      <c r="G6" s="88" t="s">
        <v>203</v>
      </c>
      <c r="H6" s="88" t="s">
        <v>225</v>
      </c>
    </row>
    <row r="7" spans="1:8" ht="57">
      <c r="A7" s="83">
        <v>6</v>
      </c>
      <c r="B7" s="89" t="s">
        <v>148</v>
      </c>
      <c r="C7" s="83">
        <v>3</v>
      </c>
      <c r="D7" s="83">
        <v>3</v>
      </c>
      <c r="E7" s="83">
        <v>3</v>
      </c>
      <c r="F7" s="83">
        <v>16</v>
      </c>
      <c r="G7" s="88" t="s">
        <v>204</v>
      </c>
      <c r="H7" s="88" t="s">
        <v>226</v>
      </c>
    </row>
    <row r="8" spans="1:8" ht="42.75">
      <c r="A8" s="84">
        <v>7</v>
      </c>
      <c r="B8" s="89" t="s">
        <v>149</v>
      </c>
      <c r="C8" s="84">
        <v>4</v>
      </c>
      <c r="D8" s="84">
        <v>1</v>
      </c>
      <c r="E8" s="84">
        <v>3</v>
      </c>
      <c r="F8" s="84">
        <v>19</v>
      </c>
      <c r="G8" s="88" t="s">
        <v>205</v>
      </c>
      <c r="H8" s="88" t="s">
        <v>241</v>
      </c>
    </row>
    <row r="9" spans="1:8" ht="42.75">
      <c r="A9" s="84">
        <v>8</v>
      </c>
      <c r="B9" s="89" t="s">
        <v>150</v>
      </c>
      <c r="C9" s="84">
        <v>4</v>
      </c>
      <c r="D9" s="84">
        <v>2</v>
      </c>
      <c r="E9" s="84">
        <v>3</v>
      </c>
      <c r="F9" s="84">
        <v>22</v>
      </c>
      <c r="G9" s="88" t="s">
        <v>206</v>
      </c>
      <c r="H9" s="88" t="s">
        <v>227</v>
      </c>
    </row>
    <row r="10" spans="1:8" ht="42.75">
      <c r="A10" s="84">
        <v>9</v>
      </c>
      <c r="B10" s="89" t="s">
        <v>151</v>
      </c>
      <c r="C10" s="84">
        <v>4</v>
      </c>
      <c r="D10" s="84">
        <v>3</v>
      </c>
      <c r="E10" s="84">
        <v>3</v>
      </c>
      <c r="F10" s="84">
        <v>25</v>
      </c>
      <c r="G10" s="88" t="s">
        <v>207</v>
      </c>
      <c r="H10" s="88" t="s">
        <v>228</v>
      </c>
    </row>
    <row r="11" spans="1:8" ht="42.75">
      <c r="A11" s="85">
        <v>10</v>
      </c>
      <c r="B11" s="89" t="s">
        <v>152</v>
      </c>
      <c r="C11" s="85">
        <v>5</v>
      </c>
      <c r="D11" s="85">
        <v>1</v>
      </c>
      <c r="E11" s="85">
        <v>5</v>
      </c>
      <c r="F11" s="85">
        <v>28</v>
      </c>
      <c r="G11" s="88" t="s">
        <v>208</v>
      </c>
      <c r="H11" s="88" t="s">
        <v>229</v>
      </c>
    </row>
    <row r="12" spans="1:8" ht="42.75">
      <c r="A12" s="85">
        <v>11</v>
      </c>
      <c r="B12" s="89" t="s">
        <v>153</v>
      </c>
      <c r="C12" s="85">
        <v>5</v>
      </c>
      <c r="D12" s="85">
        <v>2</v>
      </c>
      <c r="E12" s="85">
        <v>5</v>
      </c>
      <c r="F12" s="85">
        <v>33</v>
      </c>
      <c r="G12" s="88" t="s">
        <v>209</v>
      </c>
      <c r="H12" s="88" t="s">
        <v>230</v>
      </c>
    </row>
    <row r="13" spans="1:8" ht="42.75">
      <c r="A13" s="85">
        <v>12</v>
      </c>
      <c r="B13" s="89" t="s">
        <v>154</v>
      </c>
      <c r="C13" s="85">
        <v>5</v>
      </c>
      <c r="D13" s="85">
        <v>3</v>
      </c>
      <c r="E13" s="85">
        <v>5</v>
      </c>
      <c r="F13" s="85">
        <v>38</v>
      </c>
      <c r="G13" s="88" t="s">
        <v>210</v>
      </c>
      <c r="H13" s="88" t="s">
        <v>231</v>
      </c>
    </row>
    <row r="14" spans="1:8" ht="42.75">
      <c r="A14" s="85">
        <v>13</v>
      </c>
      <c r="B14" s="89" t="s">
        <v>155</v>
      </c>
      <c r="C14" s="85">
        <v>5</v>
      </c>
      <c r="D14" s="85">
        <v>4</v>
      </c>
      <c r="E14" s="85">
        <v>5</v>
      </c>
      <c r="F14" s="85">
        <v>43</v>
      </c>
      <c r="G14" s="88" t="s">
        <v>211</v>
      </c>
      <c r="H14" s="88" t="s">
        <v>232</v>
      </c>
    </row>
    <row r="15" spans="1:8" ht="42.75">
      <c r="A15" s="86">
        <v>14</v>
      </c>
      <c r="B15" s="89" t="s">
        <v>156</v>
      </c>
      <c r="C15" s="86">
        <v>6</v>
      </c>
      <c r="D15" s="86">
        <v>1</v>
      </c>
      <c r="E15" s="86">
        <v>5</v>
      </c>
      <c r="F15" s="86">
        <v>48</v>
      </c>
      <c r="G15" s="88" t="s">
        <v>212</v>
      </c>
      <c r="H15" s="88" t="s">
        <v>233</v>
      </c>
    </row>
    <row r="16" spans="1:8" ht="42.75">
      <c r="A16" s="86">
        <v>15</v>
      </c>
      <c r="B16" s="89" t="s">
        <v>157</v>
      </c>
      <c r="C16" s="86">
        <v>6</v>
      </c>
      <c r="D16" s="86">
        <v>2</v>
      </c>
      <c r="E16" s="86">
        <v>5</v>
      </c>
      <c r="F16" s="86">
        <v>53</v>
      </c>
      <c r="G16" s="88" t="s">
        <v>213</v>
      </c>
      <c r="H16" s="88" t="s">
        <v>234</v>
      </c>
    </row>
    <row r="17" spans="1:8" ht="42.75">
      <c r="A17" s="86">
        <v>16</v>
      </c>
      <c r="B17" s="89" t="s">
        <v>158</v>
      </c>
      <c r="C17" s="86">
        <v>6</v>
      </c>
      <c r="D17" s="86">
        <v>3</v>
      </c>
      <c r="E17" s="86">
        <v>5</v>
      </c>
      <c r="F17" s="86">
        <v>58</v>
      </c>
      <c r="G17" s="88" t="s">
        <v>214</v>
      </c>
      <c r="H17" s="88" t="s">
        <v>235</v>
      </c>
    </row>
    <row r="18" spans="1:8" ht="42.75">
      <c r="A18" s="86">
        <v>17</v>
      </c>
      <c r="B18" s="89" t="s">
        <v>159</v>
      </c>
      <c r="C18" s="86">
        <v>6</v>
      </c>
      <c r="D18" s="86">
        <v>4</v>
      </c>
      <c r="E18" s="86">
        <v>5</v>
      </c>
      <c r="F18" s="86">
        <v>63</v>
      </c>
      <c r="G18" s="88" t="s">
        <v>215</v>
      </c>
      <c r="H18" s="88" t="s">
        <v>236</v>
      </c>
    </row>
    <row r="19" spans="1:8" ht="42.75">
      <c r="A19" s="87">
        <v>18</v>
      </c>
      <c r="B19" s="89" t="s">
        <v>160</v>
      </c>
      <c r="C19" s="87">
        <v>7</v>
      </c>
      <c r="D19" s="87">
        <v>1</v>
      </c>
      <c r="E19" s="87">
        <v>5</v>
      </c>
      <c r="F19" s="87">
        <v>68</v>
      </c>
      <c r="G19" s="88" t="s">
        <v>216</v>
      </c>
      <c r="H19" s="88" t="s">
        <v>237</v>
      </c>
    </row>
    <row r="20" spans="1:8" ht="42.75">
      <c r="A20" s="87">
        <v>19</v>
      </c>
      <c r="B20" s="89" t="s">
        <v>161</v>
      </c>
      <c r="C20" s="87">
        <v>7</v>
      </c>
      <c r="D20" s="87">
        <v>2</v>
      </c>
      <c r="E20" s="87">
        <v>5</v>
      </c>
      <c r="F20" s="87">
        <v>73</v>
      </c>
      <c r="G20" s="88" t="s">
        <v>217</v>
      </c>
      <c r="H20" s="88" t="s">
        <v>238</v>
      </c>
    </row>
    <row r="21" spans="1:8" ht="42.75">
      <c r="A21" s="87">
        <v>20</v>
      </c>
      <c r="B21" s="89" t="s">
        <v>162</v>
      </c>
      <c r="C21" s="87">
        <v>7</v>
      </c>
      <c r="D21" s="87">
        <v>3</v>
      </c>
      <c r="E21" s="87">
        <v>5</v>
      </c>
      <c r="F21" s="87">
        <v>78</v>
      </c>
      <c r="G21" s="88" t="s">
        <v>218</v>
      </c>
      <c r="H21" s="88" t="s">
        <v>239</v>
      </c>
    </row>
    <row r="22" spans="1:8" ht="42.75">
      <c r="A22" s="87">
        <v>21</v>
      </c>
      <c r="B22" s="89" t="s">
        <v>163</v>
      </c>
      <c r="C22" s="87">
        <v>7</v>
      </c>
      <c r="D22" s="87">
        <v>4</v>
      </c>
      <c r="E22" s="87">
        <v>5</v>
      </c>
      <c r="F22" s="87">
        <v>83</v>
      </c>
      <c r="G22" s="88" t="s">
        <v>219</v>
      </c>
      <c r="H22" s="88" t="s">
        <v>240</v>
      </c>
    </row>
    <row r="23" spans="1:8" ht="42.75">
      <c r="A23" s="87">
        <v>22</v>
      </c>
      <c r="B23" s="89" t="s">
        <v>164</v>
      </c>
      <c r="C23" s="87">
        <v>7</v>
      </c>
      <c r="D23" s="87">
        <v>5</v>
      </c>
      <c r="E23" s="87">
        <v>5</v>
      </c>
      <c r="F23" s="87">
        <v>88</v>
      </c>
      <c r="G23" s="88" t="s">
        <v>198</v>
      </c>
      <c r="H23" s="88" t="s">
        <v>220</v>
      </c>
    </row>
  </sheetData>
  <phoneticPr fontId="14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tabSelected="1" workbookViewId="0">
      <selection activeCell="E2" sqref="E2:E23"/>
    </sheetView>
  </sheetViews>
  <sheetFormatPr defaultColWidth="9" defaultRowHeight="15"/>
  <cols>
    <col min="1" max="4" width="9" style="2"/>
    <col min="5" max="5" width="15.140625" style="2" customWidth="1"/>
    <col min="6" max="6" width="15.5703125" style="2" customWidth="1"/>
    <col min="7" max="7" width="15.140625" style="2" customWidth="1"/>
    <col min="8" max="9" width="13" customWidth="1"/>
  </cols>
  <sheetData>
    <row r="1" spans="1:9">
      <c r="A1" s="79" t="s">
        <v>0</v>
      </c>
      <c r="B1" s="80" t="s">
        <v>1</v>
      </c>
      <c r="C1" s="80" t="s">
        <v>3</v>
      </c>
      <c r="D1" s="80" t="s">
        <v>5</v>
      </c>
      <c r="E1" s="80" t="s">
        <v>8</v>
      </c>
      <c r="F1" s="80" t="s">
        <v>9</v>
      </c>
      <c r="G1" s="80" t="s">
        <v>10</v>
      </c>
      <c r="H1" s="80" t="s">
        <v>11</v>
      </c>
      <c r="I1" s="80" t="s">
        <v>12</v>
      </c>
    </row>
    <row r="2" spans="1:9" ht="57">
      <c r="A2" s="81">
        <v>1</v>
      </c>
      <c r="B2" s="89" t="s">
        <v>165</v>
      </c>
      <c r="C2" s="81">
        <v>1</v>
      </c>
      <c r="D2" s="81">
        <v>3</v>
      </c>
      <c r="E2" s="89" t="s">
        <v>165</v>
      </c>
      <c r="F2" s="81">
        <v>1</v>
      </c>
      <c r="G2" s="81">
        <v>0</v>
      </c>
      <c r="H2" s="75"/>
      <c r="I2" s="75"/>
    </row>
    <row r="3" spans="1:9" ht="42.75">
      <c r="A3" s="82">
        <v>2</v>
      </c>
      <c r="B3" s="89" t="s">
        <v>166</v>
      </c>
      <c r="C3" s="82">
        <v>1</v>
      </c>
      <c r="D3" s="82">
        <v>6</v>
      </c>
      <c r="E3" s="89" t="s">
        <v>165</v>
      </c>
      <c r="F3" s="81">
        <v>1</v>
      </c>
      <c r="G3" s="81">
        <v>0</v>
      </c>
      <c r="H3" s="75">
        <v>20</v>
      </c>
      <c r="I3" s="75">
        <v>50</v>
      </c>
    </row>
    <row r="4" spans="1:9" ht="42.75">
      <c r="A4" s="82">
        <v>3</v>
      </c>
      <c r="B4" s="89" t="s">
        <v>166</v>
      </c>
      <c r="C4" s="82">
        <v>2</v>
      </c>
      <c r="D4" s="82">
        <v>9</v>
      </c>
      <c r="E4" s="89" t="s">
        <v>165</v>
      </c>
      <c r="F4" s="81">
        <v>1</v>
      </c>
      <c r="G4" s="81">
        <v>0</v>
      </c>
      <c r="H4" s="75">
        <v>20</v>
      </c>
      <c r="I4" s="75">
        <v>50</v>
      </c>
    </row>
    <row r="5" spans="1:9" ht="57">
      <c r="A5" s="83">
        <v>4</v>
      </c>
      <c r="B5" s="89" t="s">
        <v>167</v>
      </c>
      <c r="C5" s="83">
        <v>1</v>
      </c>
      <c r="D5" s="83">
        <v>12</v>
      </c>
      <c r="E5" s="89" t="s">
        <v>165</v>
      </c>
      <c r="F5" s="81">
        <v>1</v>
      </c>
      <c r="G5" s="81">
        <v>0</v>
      </c>
      <c r="H5" s="75">
        <v>20</v>
      </c>
      <c r="I5" s="75">
        <v>50</v>
      </c>
    </row>
    <row r="6" spans="1:9" ht="57">
      <c r="A6" s="83">
        <v>5</v>
      </c>
      <c r="B6" s="89" t="s">
        <v>167</v>
      </c>
      <c r="C6" s="83">
        <v>2</v>
      </c>
      <c r="D6" s="83">
        <v>15</v>
      </c>
      <c r="E6" s="89" t="s">
        <v>165</v>
      </c>
      <c r="F6" s="81">
        <v>1</v>
      </c>
      <c r="G6" s="81">
        <v>0</v>
      </c>
      <c r="H6" s="75">
        <v>20</v>
      </c>
      <c r="I6" s="75">
        <v>50</v>
      </c>
    </row>
    <row r="7" spans="1:9" ht="57">
      <c r="A7" s="83">
        <v>6</v>
      </c>
      <c r="B7" s="89" t="s">
        <v>167</v>
      </c>
      <c r="C7" s="83">
        <v>3</v>
      </c>
      <c r="D7" s="83">
        <v>18</v>
      </c>
      <c r="E7" s="89" t="s">
        <v>165</v>
      </c>
      <c r="F7" s="81">
        <v>1</v>
      </c>
      <c r="G7" s="81">
        <v>0</v>
      </c>
      <c r="H7" s="75">
        <v>20</v>
      </c>
      <c r="I7" s="75">
        <v>50</v>
      </c>
    </row>
    <row r="8" spans="1:9" ht="42.75">
      <c r="A8" s="84">
        <v>7</v>
      </c>
      <c r="B8" s="89" t="s">
        <v>168</v>
      </c>
      <c r="C8" s="84">
        <v>1</v>
      </c>
      <c r="D8" s="84">
        <v>21</v>
      </c>
      <c r="E8" s="89" t="s">
        <v>166</v>
      </c>
      <c r="F8" s="82">
        <v>1</v>
      </c>
      <c r="G8" s="82">
        <v>4</v>
      </c>
      <c r="H8" s="75">
        <v>20</v>
      </c>
      <c r="I8" s="75">
        <v>50</v>
      </c>
    </row>
    <row r="9" spans="1:9" ht="42.75">
      <c r="A9" s="84">
        <v>8</v>
      </c>
      <c r="B9" s="89" t="s">
        <v>168</v>
      </c>
      <c r="C9" s="84">
        <v>2</v>
      </c>
      <c r="D9" s="84">
        <v>24</v>
      </c>
      <c r="E9" s="89" t="s">
        <v>166</v>
      </c>
      <c r="F9" s="82">
        <v>2</v>
      </c>
      <c r="G9" s="82">
        <v>7</v>
      </c>
      <c r="H9" s="75">
        <v>20</v>
      </c>
      <c r="I9" s="75">
        <v>50</v>
      </c>
    </row>
    <row r="10" spans="1:9" ht="42.75">
      <c r="A10" s="84">
        <v>9</v>
      </c>
      <c r="B10" s="89" t="s">
        <v>168</v>
      </c>
      <c r="C10" s="84">
        <v>3</v>
      </c>
      <c r="D10" s="84">
        <v>27</v>
      </c>
      <c r="E10" s="89" t="s">
        <v>167</v>
      </c>
      <c r="F10" s="83">
        <v>1</v>
      </c>
      <c r="G10" s="83">
        <v>10</v>
      </c>
      <c r="H10" s="75">
        <v>20</v>
      </c>
      <c r="I10" s="75">
        <v>50</v>
      </c>
    </row>
    <row r="11" spans="1:9" ht="57">
      <c r="A11" s="85">
        <v>10</v>
      </c>
      <c r="B11" s="89" t="s">
        <v>169</v>
      </c>
      <c r="C11" s="85">
        <v>1</v>
      </c>
      <c r="D11" s="85">
        <v>32</v>
      </c>
      <c r="E11" s="89" t="s">
        <v>167</v>
      </c>
      <c r="F11" s="83">
        <v>2</v>
      </c>
      <c r="G11" s="83">
        <v>13</v>
      </c>
      <c r="H11" s="75">
        <v>20</v>
      </c>
      <c r="I11" s="75">
        <v>50</v>
      </c>
    </row>
    <row r="12" spans="1:9" ht="57">
      <c r="A12" s="85">
        <v>11</v>
      </c>
      <c r="B12" s="89" t="s">
        <v>169</v>
      </c>
      <c r="C12" s="85">
        <v>2</v>
      </c>
      <c r="D12" s="85">
        <v>37</v>
      </c>
      <c r="E12" s="89" t="s">
        <v>167</v>
      </c>
      <c r="F12" s="83">
        <v>3</v>
      </c>
      <c r="G12" s="83">
        <v>16</v>
      </c>
      <c r="H12" s="75">
        <v>20</v>
      </c>
      <c r="I12" s="75">
        <v>50</v>
      </c>
    </row>
    <row r="13" spans="1:9" ht="57">
      <c r="A13" s="85">
        <v>12</v>
      </c>
      <c r="B13" s="89" t="s">
        <v>169</v>
      </c>
      <c r="C13" s="85">
        <v>3</v>
      </c>
      <c r="D13" s="85">
        <v>42</v>
      </c>
      <c r="E13" s="89" t="s">
        <v>168</v>
      </c>
      <c r="F13" s="84">
        <v>1</v>
      </c>
      <c r="G13" s="84">
        <v>19</v>
      </c>
      <c r="H13" s="75">
        <v>20</v>
      </c>
      <c r="I13" s="75">
        <v>50</v>
      </c>
    </row>
    <row r="14" spans="1:9" ht="57">
      <c r="A14" s="85">
        <v>13</v>
      </c>
      <c r="B14" s="89" t="s">
        <v>169</v>
      </c>
      <c r="C14" s="85">
        <v>4</v>
      </c>
      <c r="D14" s="85">
        <v>47</v>
      </c>
      <c r="E14" s="89" t="s">
        <v>168</v>
      </c>
      <c r="F14" s="84">
        <v>2</v>
      </c>
      <c r="G14" s="84">
        <v>22</v>
      </c>
      <c r="H14" s="75">
        <v>20</v>
      </c>
      <c r="I14" s="75">
        <v>50</v>
      </c>
    </row>
    <row r="15" spans="1:9" ht="42.75">
      <c r="A15" s="86">
        <v>14</v>
      </c>
      <c r="B15" s="89" t="s">
        <v>170</v>
      </c>
      <c r="C15" s="86">
        <v>1</v>
      </c>
      <c r="D15" s="86">
        <v>52</v>
      </c>
      <c r="E15" s="89" t="s">
        <v>168</v>
      </c>
      <c r="F15" s="84">
        <v>3</v>
      </c>
      <c r="G15" s="84">
        <v>25</v>
      </c>
      <c r="H15" s="75">
        <v>20</v>
      </c>
      <c r="I15" s="75">
        <v>50</v>
      </c>
    </row>
    <row r="16" spans="1:9" ht="42.75">
      <c r="A16" s="86">
        <v>15</v>
      </c>
      <c r="B16" s="89" t="s">
        <v>170</v>
      </c>
      <c r="C16" s="86">
        <v>2</v>
      </c>
      <c r="D16" s="86">
        <v>57</v>
      </c>
      <c r="E16" s="89" t="s">
        <v>169</v>
      </c>
      <c r="F16" s="85">
        <v>1</v>
      </c>
      <c r="G16" s="85">
        <v>28</v>
      </c>
      <c r="H16" s="75">
        <v>20</v>
      </c>
      <c r="I16" s="75">
        <v>50</v>
      </c>
    </row>
    <row r="17" spans="1:9" ht="42.75">
      <c r="A17" s="86">
        <v>16</v>
      </c>
      <c r="B17" s="89" t="s">
        <v>170</v>
      </c>
      <c r="C17" s="86">
        <v>3</v>
      </c>
      <c r="D17" s="86">
        <v>62</v>
      </c>
      <c r="E17" s="89" t="s">
        <v>169</v>
      </c>
      <c r="F17" s="85">
        <v>2</v>
      </c>
      <c r="G17" s="85">
        <v>33</v>
      </c>
      <c r="H17" s="75">
        <v>20</v>
      </c>
      <c r="I17" s="75">
        <v>50</v>
      </c>
    </row>
    <row r="18" spans="1:9" ht="42.75">
      <c r="A18" s="86">
        <v>17</v>
      </c>
      <c r="B18" s="89" t="s">
        <v>170</v>
      </c>
      <c r="C18" s="86">
        <v>4</v>
      </c>
      <c r="D18" s="86">
        <v>67</v>
      </c>
      <c r="E18" s="89" t="s">
        <v>169</v>
      </c>
      <c r="F18" s="85">
        <v>3</v>
      </c>
      <c r="G18" s="85">
        <v>38</v>
      </c>
      <c r="H18" s="75">
        <v>20</v>
      </c>
      <c r="I18" s="75">
        <v>50</v>
      </c>
    </row>
    <row r="19" spans="1:9" ht="57">
      <c r="A19" s="87">
        <v>18</v>
      </c>
      <c r="B19" s="89" t="s">
        <v>171</v>
      </c>
      <c r="C19" s="87">
        <v>1</v>
      </c>
      <c r="D19" s="87">
        <v>72</v>
      </c>
      <c r="E19" s="89" t="s">
        <v>169</v>
      </c>
      <c r="F19" s="85">
        <v>4</v>
      </c>
      <c r="G19" s="85">
        <v>43</v>
      </c>
      <c r="H19" s="75">
        <v>20</v>
      </c>
      <c r="I19" s="75">
        <v>50</v>
      </c>
    </row>
    <row r="20" spans="1:9" ht="57">
      <c r="A20" s="87">
        <v>19</v>
      </c>
      <c r="B20" s="89" t="s">
        <v>171</v>
      </c>
      <c r="C20" s="87">
        <v>2</v>
      </c>
      <c r="D20" s="87">
        <v>77</v>
      </c>
      <c r="E20" s="89" t="s">
        <v>170</v>
      </c>
      <c r="F20" s="86">
        <v>1</v>
      </c>
      <c r="G20" s="86">
        <v>48</v>
      </c>
      <c r="H20" s="75">
        <v>20</v>
      </c>
      <c r="I20" s="75">
        <v>50</v>
      </c>
    </row>
    <row r="21" spans="1:9" ht="57">
      <c r="A21" s="87">
        <v>20</v>
      </c>
      <c r="B21" s="89" t="s">
        <v>171</v>
      </c>
      <c r="C21" s="87">
        <v>3</v>
      </c>
      <c r="D21" s="87">
        <v>82</v>
      </c>
      <c r="E21" s="89" t="s">
        <v>170</v>
      </c>
      <c r="F21" s="86">
        <v>2</v>
      </c>
      <c r="G21" s="86">
        <v>53</v>
      </c>
      <c r="H21" s="75">
        <v>20</v>
      </c>
      <c r="I21" s="75">
        <v>50</v>
      </c>
    </row>
    <row r="22" spans="1:9" ht="57">
      <c r="A22" s="87">
        <v>21</v>
      </c>
      <c r="B22" s="89" t="s">
        <v>171</v>
      </c>
      <c r="C22" s="87">
        <v>4</v>
      </c>
      <c r="D22" s="87">
        <v>87</v>
      </c>
      <c r="E22" s="89" t="s">
        <v>170</v>
      </c>
      <c r="F22" s="86">
        <v>3</v>
      </c>
      <c r="G22" s="86">
        <v>58</v>
      </c>
      <c r="H22" s="75">
        <v>20</v>
      </c>
      <c r="I22" s="75">
        <v>50</v>
      </c>
    </row>
    <row r="23" spans="1:9" ht="57">
      <c r="A23" s="87">
        <v>22</v>
      </c>
      <c r="B23" s="89" t="s">
        <v>171</v>
      </c>
      <c r="C23" s="87">
        <v>5</v>
      </c>
      <c r="D23" s="87">
        <v>10000</v>
      </c>
      <c r="E23" s="89" t="s">
        <v>170</v>
      </c>
      <c r="F23" s="86">
        <v>4</v>
      </c>
      <c r="G23" s="86">
        <v>63</v>
      </c>
      <c r="H23" s="75">
        <v>20</v>
      </c>
      <c r="I23" s="75">
        <v>50</v>
      </c>
    </row>
  </sheetData>
  <phoneticPr fontId="14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2"/>
  <sheetViews>
    <sheetView workbookViewId="0">
      <pane xSplit="2" ySplit="1" topLeftCell="C59" activePane="bottomRight" state="frozen"/>
      <selection pane="topRight"/>
      <selection pane="bottomLeft"/>
      <selection pane="bottomRight" activeCell="O6" sqref="O6"/>
    </sheetView>
  </sheetViews>
  <sheetFormatPr defaultColWidth="9" defaultRowHeight="15"/>
  <cols>
    <col min="1" max="1" width="8.42578125" customWidth="1"/>
    <col min="2" max="2" width="11.42578125" customWidth="1"/>
    <col min="3" max="4" width="13" customWidth="1"/>
    <col min="5" max="5" width="11.5703125" customWidth="1"/>
    <col min="6" max="6" width="12.42578125" style="22" customWidth="1"/>
    <col min="7" max="7" width="9.42578125" customWidth="1"/>
    <col min="8" max="8" width="16.28515625" customWidth="1"/>
    <col min="9" max="9" width="16.28515625" style="23" customWidth="1"/>
  </cols>
  <sheetData>
    <row r="1" spans="1:10">
      <c r="A1" s="24" t="s">
        <v>0</v>
      </c>
      <c r="B1" s="25" t="s">
        <v>13</v>
      </c>
      <c r="C1" s="25" t="s">
        <v>14</v>
      </c>
      <c r="D1" s="25" t="s">
        <v>15</v>
      </c>
      <c r="E1" s="25" t="s">
        <v>16</v>
      </c>
      <c r="F1" s="26" t="s">
        <v>17</v>
      </c>
      <c r="G1" s="25" t="s">
        <v>18</v>
      </c>
      <c r="H1" s="27" t="s">
        <v>19</v>
      </c>
      <c r="I1" s="65"/>
    </row>
    <row r="2" spans="1:10">
      <c r="A2" s="28">
        <v>11001</v>
      </c>
      <c r="B2" s="29">
        <v>1</v>
      </c>
      <c r="C2" s="29">
        <v>0</v>
      </c>
      <c r="D2" s="29">
        <v>18</v>
      </c>
      <c r="E2" s="29">
        <v>1</v>
      </c>
      <c r="F2" s="30" t="s">
        <v>20</v>
      </c>
      <c r="G2" s="29">
        <v>300</v>
      </c>
      <c r="H2" s="31" t="s">
        <v>21</v>
      </c>
      <c r="I2" s="66"/>
    </row>
    <row r="3" spans="1:10">
      <c r="A3" s="32">
        <v>11002</v>
      </c>
      <c r="B3" s="33">
        <v>1</v>
      </c>
      <c r="C3" s="33">
        <v>0</v>
      </c>
      <c r="D3" s="33">
        <v>18</v>
      </c>
      <c r="E3" s="33">
        <v>1</v>
      </c>
      <c r="F3" s="34" t="s">
        <v>22</v>
      </c>
      <c r="G3" s="33">
        <v>300</v>
      </c>
      <c r="H3" s="35" t="s">
        <v>23</v>
      </c>
      <c r="I3" s="66"/>
    </row>
    <row r="4" spans="1:10">
      <c r="A4" s="28">
        <v>11003</v>
      </c>
      <c r="B4" s="33">
        <v>1</v>
      </c>
      <c r="C4" s="33">
        <v>0</v>
      </c>
      <c r="D4" s="33">
        <v>18</v>
      </c>
      <c r="E4" s="33">
        <v>1</v>
      </c>
      <c r="F4" s="34" t="s">
        <v>24</v>
      </c>
      <c r="G4" s="33">
        <v>300</v>
      </c>
      <c r="H4" s="35" t="s">
        <v>25</v>
      </c>
      <c r="I4" s="66"/>
    </row>
    <row r="5" spans="1:10">
      <c r="A5" s="32">
        <v>11104</v>
      </c>
      <c r="B5" s="36">
        <v>1</v>
      </c>
      <c r="C5" s="36">
        <v>0</v>
      </c>
      <c r="D5" s="36">
        <v>18</v>
      </c>
      <c r="E5" s="36">
        <v>2</v>
      </c>
      <c r="F5" s="37" t="s">
        <v>20</v>
      </c>
      <c r="G5" s="36">
        <v>300</v>
      </c>
      <c r="H5" s="31" t="s">
        <v>21</v>
      </c>
      <c r="I5" s="66"/>
    </row>
    <row r="6" spans="1:10">
      <c r="A6" s="28">
        <v>11005</v>
      </c>
      <c r="B6" s="36">
        <v>1</v>
      </c>
      <c r="C6" s="36">
        <v>0</v>
      </c>
      <c r="D6" s="36">
        <v>18</v>
      </c>
      <c r="E6" s="36">
        <v>2</v>
      </c>
      <c r="F6" s="37" t="s">
        <v>26</v>
      </c>
      <c r="G6" s="36">
        <v>300</v>
      </c>
      <c r="H6" s="35" t="s">
        <v>23</v>
      </c>
      <c r="I6" s="66"/>
    </row>
    <row r="7" spans="1:10">
      <c r="A7" s="32">
        <v>11006</v>
      </c>
      <c r="B7" s="36">
        <v>1</v>
      </c>
      <c r="C7" s="36">
        <v>0</v>
      </c>
      <c r="D7" s="36">
        <v>18</v>
      </c>
      <c r="E7" s="36">
        <v>2</v>
      </c>
      <c r="F7" s="37" t="s">
        <v>27</v>
      </c>
      <c r="G7" s="36">
        <v>300</v>
      </c>
      <c r="H7" s="35" t="s">
        <v>25</v>
      </c>
      <c r="I7" s="66"/>
    </row>
    <row r="8" spans="1:10">
      <c r="A8" s="38">
        <v>12101</v>
      </c>
      <c r="B8" s="39">
        <v>1</v>
      </c>
      <c r="C8" s="39">
        <v>19</v>
      </c>
      <c r="D8" s="39">
        <v>47</v>
      </c>
      <c r="E8" s="39">
        <v>1</v>
      </c>
      <c r="F8" s="40" t="s">
        <v>28</v>
      </c>
      <c r="G8" s="39">
        <v>300</v>
      </c>
      <c r="H8" s="31" t="s">
        <v>21</v>
      </c>
      <c r="I8" s="66">
        <f>G8/$J$8</f>
        <v>0.3</v>
      </c>
      <c r="J8">
        <f>SUM(G8:G11)</f>
        <v>1000</v>
      </c>
    </row>
    <row r="9" spans="1:10">
      <c r="A9" s="38">
        <v>12102</v>
      </c>
      <c r="B9" s="39">
        <v>1</v>
      </c>
      <c r="C9" s="39">
        <v>19</v>
      </c>
      <c r="D9" s="39">
        <v>47</v>
      </c>
      <c r="E9" s="39">
        <v>1</v>
      </c>
      <c r="F9" s="40" t="s">
        <v>29</v>
      </c>
      <c r="G9" s="39">
        <v>300</v>
      </c>
      <c r="H9" s="35" t="s">
        <v>23</v>
      </c>
      <c r="I9" s="66">
        <f t="shared" ref="I9:I15" si="0">G9/$J$8</f>
        <v>0.3</v>
      </c>
    </row>
    <row r="10" spans="1:10">
      <c r="A10" s="38">
        <v>12103</v>
      </c>
      <c r="B10" s="39">
        <v>1</v>
      </c>
      <c r="C10" s="39">
        <v>19</v>
      </c>
      <c r="D10" s="39">
        <v>47</v>
      </c>
      <c r="E10" s="39">
        <v>1</v>
      </c>
      <c r="F10" s="40" t="s">
        <v>30</v>
      </c>
      <c r="G10" s="39">
        <v>300</v>
      </c>
      <c r="H10" s="35" t="s">
        <v>25</v>
      </c>
      <c r="I10" s="66">
        <f t="shared" si="0"/>
        <v>0.3</v>
      </c>
    </row>
    <row r="11" spans="1:10">
      <c r="A11" s="38">
        <v>12104</v>
      </c>
      <c r="B11" s="39">
        <v>1</v>
      </c>
      <c r="C11" s="39">
        <v>19</v>
      </c>
      <c r="D11" s="39">
        <v>47</v>
      </c>
      <c r="E11" s="39">
        <v>1</v>
      </c>
      <c r="F11" s="40" t="s">
        <v>31</v>
      </c>
      <c r="G11" s="39">
        <v>100</v>
      </c>
      <c r="H11" s="35" t="s">
        <v>32</v>
      </c>
      <c r="I11" s="66">
        <f t="shared" si="0"/>
        <v>0.1</v>
      </c>
    </row>
    <row r="12" spans="1:10">
      <c r="A12" s="41">
        <v>12201</v>
      </c>
      <c r="B12" s="42">
        <v>1</v>
      </c>
      <c r="C12" s="42">
        <v>19</v>
      </c>
      <c r="D12" s="42">
        <v>47</v>
      </c>
      <c r="E12" s="42">
        <v>2</v>
      </c>
      <c r="F12" s="43" t="s">
        <v>28</v>
      </c>
      <c r="G12" s="42">
        <v>300</v>
      </c>
      <c r="H12" s="31" t="s">
        <v>21</v>
      </c>
      <c r="I12" s="66">
        <f t="shared" si="0"/>
        <v>0.3</v>
      </c>
    </row>
    <row r="13" spans="1:10">
      <c r="A13" s="41">
        <v>12202</v>
      </c>
      <c r="B13" s="42">
        <v>1</v>
      </c>
      <c r="C13" s="42">
        <v>19</v>
      </c>
      <c r="D13" s="42">
        <v>47</v>
      </c>
      <c r="E13" s="42">
        <v>2</v>
      </c>
      <c r="F13" s="43" t="s">
        <v>33</v>
      </c>
      <c r="G13" s="42">
        <v>300</v>
      </c>
      <c r="H13" s="35" t="s">
        <v>23</v>
      </c>
      <c r="I13" s="66">
        <f t="shared" si="0"/>
        <v>0.3</v>
      </c>
    </row>
    <row r="14" spans="1:10">
      <c r="A14" s="41">
        <v>12203</v>
      </c>
      <c r="B14" s="42">
        <v>1</v>
      </c>
      <c r="C14" s="42">
        <v>19</v>
      </c>
      <c r="D14" s="42">
        <v>47</v>
      </c>
      <c r="E14" s="42">
        <v>2</v>
      </c>
      <c r="F14" s="43" t="s">
        <v>34</v>
      </c>
      <c r="G14" s="42">
        <v>300</v>
      </c>
      <c r="H14" s="35" t="s">
        <v>25</v>
      </c>
      <c r="I14" s="66">
        <f t="shared" si="0"/>
        <v>0.3</v>
      </c>
    </row>
    <row r="15" spans="1:10">
      <c r="A15" s="41">
        <v>12204</v>
      </c>
      <c r="B15" s="42">
        <v>1</v>
      </c>
      <c r="C15" s="42">
        <v>19</v>
      </c>
      <c r="D15" s="42">
        <v>47</v>
      </c>
      <c r="E15" s="42">
        <v>2</v>
      </c>
      <c r="F15" s="43" t="s">
        <v>35</v>
      </c>
      <c r="G15" s="42">
        <v>100</v>
      </c>
      <c r="H15" s="35" t="s">
        <v>32</v>
      </c>
      <c r="I15" s="66">
        <f t="shared" si="0"/>
        <v>0.1</v>
      </c>
    </row>
    <row r="16" spans="1:10">
      <c r="A16" s="44">
        <v>13101</v>
      </c>
      <c r="B16" s="45">
        <v>1</v>
      </c>
      <c r="C16" s="45">
        <v>48</v>
      </c>
      <c r="D16" s="45">
        <v>72</v>
      </c>
      <c r="E16" s="45">
        <v>1</v>
      </c>
      <c r="F16" s="46" t="s">
        <v>36</v>
      </c>
      <c r="G16" s="45">
        <v>300</v>
      </c>
      <c r="H16" s="31" t="s">
        <v>21</v>
      </c>
      <c r="I16" s="66">
        <f>G16/$J$16</f>
        <v>0.2857142857142857</v>
      </c>
      <c r="J16">
        <f>SUM(G16:G20)</f>
        <v>1050</v>
      </c>
    </row>
    <row r="17" spans="1:10">
      <c r="A17" s="44">
        <v>13102</v>
      </c>
      <c r="B17" s="45">
        <v>1</v>
      </c>
      <c r="C17" s="45">
        <v>48</v>
      </c>
      <c r="D17" s="45">
        <v>72</v>
      </c>
      <c r="E17" s="45">
        <v>1</v>
      </c>
      <c r="F17" s="46" t="s">
        <v>37</v>
      </c>
      <c r="G17" s="45">
        <v>300</v>
      </c>
      <c r="H17" s="35" t="s">
        <v>23</v>
      </c>
      <c r="I17" s="66">
        <f t="shared" ref="I17:I32" si="1">G17/$J$16</f>
        <v>0.2857142857142857</v>
      </c>
    </row>
    <row r="18" spans="1:10">
      <c r="A18" s="44">
        <v>13103</v>
      </c>
      <c r="B18" s="45">
        <v>1</v>
      </c>
      <c r="C18" s="45">
        <v>48</v>
      </c>
      <c r="D18" s="45">
        <v>72</v>
      </c>
      <c r="E18" s="45">
        <v>1</v>
      </c>
      <c r="F18" s="46" t="s">
        <v>38</v>
      </c>
      <c r="G18" s="45">
        <v>300</v>
      </c>
      <c r="H18" s="35" t="s">
        <v>25</v>
      </c>
      <c r="I18" s="66">
        <f t="shared" si="1"/>
        <v>0.2857142857142857</v>
      </c>
    </row>
    <row r="19" spans="1:10">
      <c r="A19" s="44">
        <v>13104</v>
      </c>
      <c r="B19" s="45">
        <v>1</v>
      </c>
      <c r="C19" s="45">
        <v>48</v>
      </c>
      <c r="D19" s="45">
        <v>72</v>
      </c>
      <c r="E19" s="45">
        <v>1</v>
      </c>
      <c r="F19" s="46" t="s">
        <v>39</v>
      </c>
      <c r="G19" s="45">
        <v>100</v>
      </c>
      <c r="H19" s="35" t="s">
        <v>32</v>
      </c>
      <c r="I19" s="66">
        <f t="shared" si="1"/>
        <v>9.5238095238095233E-2</v>
      </c>
    </row>
    <row r="20" spans="1:10">
      <c r="A20" s="44">
        <v>13105</v>
      </c>
      <c r="B20" s="45">
        <v>1</v>
      </c>
      <c r="C20" s="45">
        <v>48</v>
      </c>
      <c r="D20" s="45">
        <v>72</v>
      </c>
      <c r="E20" s="45">
        <v>1</v>
      </c>
      <c r="F20" s="46" t="s">
        <v>40</v>
      </c>
      <c r="G20" s="47">
        <v>50</v>
      </c>
      <c r="H20" s="31" t="s">
        <v>41</v>
      </c>
      <c r="I20" s="66">
        <f t="shared" si="1"/>
        <v>4.7619047619047616E-2</v>
      </c>
    </row>
    <row r="21" spans="1:10">
      <c r="A21" s="48">
        <v>13201</v>
      </c>
      <c r="B21" s="49">
        <v>1</v>
      </c>
      <c r="C21" s="49">
        <v>48</v>
      </c>
      <c r="D21" s="49">
        <v>72</v>
      </c>
      <c r="E21" s="49">
        <v>2</v>
      </c>
      <c r="F21" s="50" t="s">
        <v>36</v>
      </c>
      <c r="G21" s="45">
        <v>300</v>
      </c>
      <c r="H21" s="31" t="s">
        <v>21</v>
      </c>
      <c r="I21" s="66">
        <f t="shared" si="1"/>
        <v>0.2857142857142857</v>
      </c>
    </row>
    <row r="22" spans="1:10">
      <c r="A22" s="48">
        <v>13202</v>
      </c>
      <c r="B22" s="49">
        <v>1</v>
      </c>
      <c r="C22" s="49">
        <v>48</v>
      </c>
      <c r="D22" s="49">
        <v>72</v>
      </c>
      <c r="E22" s="49">
        <v>2</v>
      </c>
      <c r="F22" s="50" t="s">
        <v>42</v>
      </c>
      <c r="G22" s="45">
        <v>300</v>
      </c>
      <c r="H22" s="35" t="s">
        <v>23</v>
      </c>
      <c r="I22" s="66">
        <f t="shared" si="1"/>
        <v>0.2857142857142857</v>
      </c>
    </row>
    <row r="23" spans="1:10">
      <c r="A23" s="48">
        <v>13203</v>
      </c>
      <c r="B23" s="49">
        <v>1</v>
      </c>
      <c r="C23" s="49">
        <v>48</v>
      </c>
      <c r="D23" s="49">
        <v>72</v>
      </c>
      <c r="E23" s="49">
        <v>2</v>
      </c>
      <c r="F23" s="50" t="s">
        <v>30</v>
      </c>
      <c r="G23" s="45">
        <v>300</v>
      </c>
      <c r="H23" s="31" t="s">
        <v>25</v>
      </c>
      <c r="I23" s="66">
        <f t="shared" si="1"/>
        <v>0.2857142857142857</v>
      </c>
    </row>
    <row r="24" spans="1:10">
      <c r="A24" s="48">
        <v>13204</v>
      </c>
      <c r="B24" s="49">
        <v>1</v>
      </c>
      <c r="C24" s="49">
        <v>48</v>
      </c>
      <c r="D24" s="49">
        <v>72</v>
      </c>
      <c r="E24" s="49">
        <v>2</v>
      </c>
      <c r="F24" s="50" t="s">
        <v>43</v>
      </c>
      <c r="G24" s="45">
        <v>100</v>
      </c>
      <c r="H24" s="31" t="s">
        <v>32</v>
      </c>
      <c r="I24" s="66">
        <f t="shared" si="1"/>
        <v>9.5238095238095233E-2</v>
      </c>
    </row>
    <row r="25" spans="1:10">
      <c r="A25" s="48">
        <v>13205</v>
      </c>
      <c r="B25" s="49">
        <v>1</v>
      </c>
      <c r="C25" s="49">
        <v>48</v>
      </c>
      <c r="D25" s="49">
        <v>72</v>
      </c>
      <c r="E25" s="49">
        <v>2</v>
      </c>
      <c r="F25" s="50" t="s">
        <v>40</v>
      </c>
      <c r="G25" s="47">
        <v>50</v>
      </c>
      <c r="H25" s="31" t="s">
        <v>41</v>
      </c>
      <c r="I25" s="66">
        <f t="shared" si="1"/>
        <v>4.7619047619047616E-2</v>
      </c>
    </row>
    <row r="26" spans="1:10">
      <c r="A26" s="51">
        <v>14101</v>
      </c>
      <c r="B26" s="52">
        <v>1</v>
      </c>
      <c r="C26" s="52">
        <v>73</v>
      </c>
      <c r="D26" s="52">
        <v>10000</v>
      </c>
      <c r="E26" s="52">
        <v>1</v>
      </c>
      <c r="F26" s="53" t="s">
        <v>44</v>
      </c>
      <c r="G26" s="52">
        <v>300</v>
      </c>
      <c r="H26" s="31" t="s">
        <v>21</v>
      </c>
      <c r="I26" s="66">
        <f t="shared" si="1"/>
        <v>0.2857142857142857</v>
      </c>
      <c r="J26">
        <f>SUM(G26:G32)</f>
        <v>1180</v>
      </c>
    </row>
    <row r="27" spans="1:10">
      <c r="A27" s="51">
        <v>14102</v>
      </c>
      <c r="B27" s="52">
        <v>1</v>
      </c>
      <c r="C27" s="52">
        <v>73</v>
      </c>
      <c r="D27" s="52">
        <v>10000</v>
      </c>
      <c r="E27" s="52">
        <v>1</v>
      </c>
      <c r="F27" s="53" t="s">
        <v>45</v>
      </c>
      <c r="G27" s="52">
        <v>300</v>
      </c>
      <c r="H27" s="31" t="s">
        <v>23</v>
      </c>
      <c r="I27" s="66">
        <f t="shared" si="1"/>
        <v>0.2857142857142857</v>
      </c>
    </row>
    <row r="28" spans="1:10">
      <c r="A28" s="51">
        <v>14103</v>
      </c>
      <c r="B28" s="52">
        <v>1</v>
      </c>
      <c r="C28" s="52">
        <v>73</v>
      </c>
      <c r="D28" s="52">
        <v>10000</v>
      </c>
      <c r="E28" s="52">
        <v>1</v>
      </c>
      <c r="F28" s="53" t="s">
        <v>46</v>
      </c>
      <c r="G28" s="52">
        <v>300</v>
      </c>
      <c r="H28" s="31" t="s">
        <v>25</v>
      </c>
      <c r="I28" s="66">
        <f t="shared" si="1"/>
        <v>0.2857142857142857</v>
      </c>
    </row>
    <row r="29" spans="1:10">
      <c r="A29" s="51">
        <v>14104</v>
      </c>
      <c r="B29" s="52">
        <v>1</v>
      </c>
      <c r="C29" s="52">
        <v>73</v>
      </c>
      <c r="D29" s="52">
        <v>10000</v>
      </c>
      <c r="E29" s="52">
        <v>1</v>
      </c>
      <c r="F29" s="54" t="s">
        <v>47</v>
      </c>
      <c r="G29" s="52">
        <v>200</v>
      </c>
      <c r="H29" s="31" t="s">
        <v>32</v>
      </c>
      <c r="I29" s="66">
        <f t="shared" si="1"/>
        <v>0.19047619047619047</v>
      </c>
    </row>
    <row r="30" spans="1:10">
      <c r="A30" s="51">
        <v>14105</v>
      </c>
      <c r="B30" s="52">
        <v>1</v>
      </c>
      <c r="C30" s="52">
        <v>73</v>
      </c>
      <c r="D30" s="52">
        <v>10000</v>
      </c>
      <c r="E30" s="52">
        <v>1</v>
      </c>
      <c r="F30" s="53" t="s">
        <v>40</v>
      </c>
      <c r="G30" s="52">
        <v>50</v>
      </c>
      <c r="H30" s="31" t="s">
        <v>41</v>
      </c>
      <c r="I30" s="66">
        <f t="shared" si="1"/>
        <v>4.7619047619047616E-2</v>
      </c>
    </row>
    <row r="31" spans="1:10">
      <c r="A31" s="51">
        <v>14106</v>
      </c>
      <c r="B31" s="52">
        <v>1</v>
      </c>
      <c r="C31" s="52">
        <v>73</v>
      </c>
      <c r="D31" s="52">
        <v>10000</v>
      </c>
      <c r="E31" s="52">
        <v>1</v>
      </c>
      <c r="F31" s="53" t="s">
        <v>48</v>
      </c>
      <c r="G31" s="52">
        <v>20</v>
      </c>
      <c r="H31" s="31" t="s">
        <v>41</v>
      </c>
      <c r="I31" s="66">
        <f t="shared" si="1"/>
        <v>1.9047619047619049E-2</v>
      </c>
    </row>
    <row r="32" spans="1:10">
      <c r="A32" s="51">
        <v>14107</v>
      </c>
      <c r="B32" s="52">
        <v>1</v>
      </c>
      <c r="C32" s="52">
        <v>73</v>
      </c>
      <c r="D32" s="52">
        <v>10000</v>
      </c>
      <c r="E32" s="52">
        <v>1</v>
      </c>
      <c r="F32" s="53" t="s">
        <v>49</v>
      </c>
      <c r="G32" s="52">
        <v>10</v>
      </c>
      <c r="H32" s="31" t="s">
        <v>50</v>
      </c>
      <c r="I32" s="66">
        <f t="shared" si="1"/>
        <v>9.5238095238095247E-3</v>
      </c>
    </row>
    <row r="33" spans="1:10">
      <c r="A33" s="55">
        <v>14201</v>
      </c>
      <c r="B33" s="56">
        <v>1</v>
      </c>
      <c r="C33" s="56">
        <v>73</v>
      </c>
      <c r="D33" s="52">
        <v>10000</v>
      </c>
      <c r="E33" s="56">
        <v>2</v>
      </c>
      <c r="F33" s="54" t="s">
        <v>44</v>
      </c>
      <c r="G33" s="52">
        <v>300</v>
      </c>
      <c r="H33" s="31" t="s">
        <v>21</v>
      </c>
      <c r="I33" s="66">
        <f>G33/$J$33</f>
        <v>0.25862068965517243</v>
      </c>
      <c r="J33">
        <f>SUM(G33:G38)</f>
        <v>1160</v>
      </c>
    </row>
    <row r="34" spans="1:10">
      <c r="A34" s="55">
        <v>14202</v>
      </c>
      <c r="B34" s="56">
        <v>1</v>
      </c>
      <c r="C34" s="56">
        <v>73</v>
      </c>
      <c r="D34" s="52">
        <v>10000</v>
      </c>
      <c r="E34" s="56">
        <v>2</v>
      </c>
      <c r="F34" s="54" t="s">
        <v>51</v>
      </c>
      <c r="G34" s="52">
        <v>300</v>
      </c>
      <c r="H34" s="31" t="s">
        <v>23</v>
      </c>
      <c r="I34" s="66">
        <f t="shared" ref="I34:I38" si="2">G34/$J$33</f>
        <v>0.25862068965517243</v>
      </c>
    </row>
    <row r="35" spans="1:10">
      <c r="A35" s="55">
        <v>14203</v>
      </c>
      <c r="B35" s="56">
        <v>1</v>
      </c>
      <c r="C35" s="56">
        <v>73</v>
      </c>
      <c r="D35" s="52">
        <v>10000</v>
      </c>
      <c r="E35" s="56">
        <v>2</v>
      </c>
      <c r="F35" s="54" t="s">
        <v>52</v>
      </c>
      <c r="G35" s="52">
        <v>300</v>
      </c>
      <c r="H35" s="31" t="s">
        <v>25</v>
      </c>
      <c r="I35" s="66">
        <f t="shared" si="2"/>
        <v>0.25862068965517243</v>
      </c>
    </row>
    <row r="36" spans="1:10">
      <c r="A36" s="55">
        <v>14204</v>
      </c>
      <c r="B36" s="56">
        <v>1</v>
      </c>
      <c r="C36" s="56">
        <v>73</v>
      </c>
      <c r="D36" s="52">
        <v>10000</v>
      </c>
      <c r="E36" s="56">
        <v>2</v>
      </c>
      <c r="F36" s="54" t="s">
        <v>39</v>
      </c>
      <c r="G36" s="52">
        <v>200</v>
      </c>
      <c r="H36" s="31" t="s">
        <v>32</v>
      </c>
      <c r="I36" s="66">
        <f t="shared" si="2"/>
        <v>0.17241379310344829</v>
      </c>
    </row>
    <row r="37" spans="1:10">
      <c r="A37" s="55">
        <v>14205</v>
      </c>
      <c r="B37" s="56">
        <v>1</v>
      </c>
      <c r="C37" s="56">
        <v>73</v>
      </c>
      <c r="D37" s="52">
        <v>10000</v>
      </c>
      <c r="E37" s="56">
        <v>2</v>
      </c>
      <c r="F37" s="54" t="s">
        <v>40</v>
      </c>
      <c r="G37" s="52">
        <v>50</v>
      </c>
      <c r="H37" s="31" t="s">
        <v>41</v>
      </c>
      <c r="I37" s="66">
        <f t="shared" si="2"/>
        <v>4.3103448275862072E-2</v>
      </c>
    </row>
    <row r="38" spans="1:10">
      <c r="A38" s="55">
        <v>14206</v>
      </c>
      <c r="B38" s="56">
        <v>1</v>
      </c>
      <c r="C38" s="56">
        <v>73</v>
      </c>
      <c r="D38" s="52">
        <v>10000</v>
      </c>
      <c r="E38" s="56">
        <v>2</v>
      </c>
      <c r="F38" s="57" t="s">
        <v>49</v>
      </c>
      <c r="G38" s="52">
        <v>10</v>
      </c>
      <c r="H38" s="31" t="s">
        <v>50</v>
      </c>
      <c r="I38" s="66">
        <f t="shared" si="2"/>
        <v>8.6206896551724137E-3</v>
      </c>
    </row>
    <row r="39" spans="1:10">
      <c r="A39" s="58">
        <v>21001</v>
      </c>
      <c r="B39" s="59">
        <v>2</v>
      </c>
      <c r="C39" s="59">
        <v>68</v>
      </c>
      <c r="D39" s="59">
        <v>72</v>
      </c>
      <c r="E39" s="59">
        <v>1</v>
      </c>
      <c r="F39" s="60" t="s">
        <v>53</v>
      </c>
      <c r="G39" s="59">
        <v>300</v>
      </c>
      <c r="H39" s="31" t="s">
        <v>21</v>
      </c>
      <c r="I39" s="66">
        <f>G39/$J$39</f>
        <v>0.18867924528301888</v>
      </c>
      <c r="J39">
        <f>SUM(G39:G48)</f>
        <v>1590</v>
      </c>
    </row>
    <row r="40" spans="1:10">
      <c r="A40" s="58">
        <v>21002</v>
      </c>
      <c r="B40" s="59">
        <v>2</v>
      </c>
      <c r="C40" s="59">
        <v>68</v>
      </c>
      <c r="D40" s="59">
        <v>72</v>
      </c>
      <c r="E40" s="59">
        <v>1</v>
      </c>
      <c r="F40" s="60" t="s">
        <v>54</v>
      </c>
      <c r="G40" s="59">
        <v>300</v>
      </c>
      <c r="H40" s="31" t="s">
        <v>23</v>
      </c>
      <c r="I40" s="66">
        <f t="shared" ref="I40:I49" si="3">G40/$J$39</f>
        <v>0.18867924528301888</v>
      </c>
    </row>
    <row r="41" spans="1:10" ht="12.75" customHeight="1">
      <c r="A41" s="58">
        <v>21003</v>
      </c>
      <c r="B41" s="59">
        <v>2</v>
      </c>
      <c r="C41" s="59">
        <v>68</v>
      </c>
      <c r="D41" s="59">
        <v>72</v>
      </c>
      <c r="E41" s="59">
        <v>1</v>
      </c>
      <c r="F41" s="60" t="s">
        <v>55</v>
      </c>
      <c r="G41" s="59">
        <v>300</v>
      </c>
      <c r="H41" s="31" t="s">
        <v>25</v>
      </c>
      <c r="I41" s="66">
        <f t="shared" si="3"/>
        <v>0.18867924528301888</v>
      </c>
    </row>
    <row r="42" spans="1:10">
      <c r="A42" s="58">
        <v>21004</v>
      </c>
      <c r="B42" s="59">
        <v>2</v>
      </c>
      <c r="C42" s="59">
        <v>68</v>
      </c>
      <c r="D42" s="59">
        <v>72</v>
      </c>
      <c r="E42" s="59">
        <v>1</v>
      </c>
      <c r="F42" s="60" t="s">
        <v>40</v>
      </c>
      <c r="G42" s="59">
        <v>100</v>
      </c>
      <c r="H42" s="31" t="s">
        <v>41</v>
      </c>
      <c r="I42" s="66">
        <f t="shared" si="3"/>
        <v>6.2893081761006289E-2</v>
      </c>
    </row>
    <row r="43" spans="1:10">
      <c r="A43" s="58">
        <v>21005</v>
      </c>
      <c r="B43" s="59">
        <v>2</v>
      </c>
      <c r="C43" s="59">
        <v>68</v>
      </c>
      <c r="D43" s="59">
        <v>72</v>
      </c>
      <c r="E43" s="59">
        <v>1</v>
      </c>
      <c r="F43" s="60" t="s">
        <v>48</v>
      </c>
      <c r="G43" s="59">
        <v>50</v>
      </c>
      <c r="H43" s="31" t="s">
        <v>41</v>
      </c>
      <c r="I43" s="66">
        <f t="shared" si="3"/>
        <v>3.1446540880503145E-2</v>
      </c>
    </row>
    <row r="44" spans="1:10">
      <c r="A44" s="58">
        <v>21006</v>
      </c>
      <c r="B44" s="59">
        <v>2</v>
      </c>
      <c r="C44" s="59">
        <v>68</v>
      </c>
      <c r="D44" s="59">
        <v>72</v>
      </c>
      <c r="E44" s="59">
        <v>1</v>
      </c>
      <c r="F44" s="60" t="s">
        <v>49</v>
      </c>
      <c r="G44" s="59">
        <v>40</v>
      </c>
      <c r="H44" s="31" t="s">
        <v>50</v>
      </c>
      <c r="I44" s="66">
        <f t="shared" si="3"/>
        <v>2.5157232704402517E-2</v>
      </c>
    </row>
    <row r="45" spans="1:10">
      <c r="A45" s="58">
        <v>21007</v>
      </c>
      <c r="B45" s="59">
        <v>2</v>
      </c>
      <c r="C45" s="59">
        <v>68</v>
      </c>
      <c r="D45" s="59">
        <v>72</v>
      </c>
      <c r="E45" s="59">
        <v>1</v>
      </c>
      <c r="F45" s="60" t="s">
        <v>56</v>
      </c>
      <c r="G45" s="59">
        <v>200</v>
      </c>
      <c r="H45" s="31" t="s">
        <v>32</v>
      </c>
      <c r="I45" s="66">
        <f t="shared" si="3"/>
        <v>0.12578616352201258</v>
      </c>
    </row>
    <row r="46" spans="1:10">
      <c r="A46" s="58">
        <v>21008</v>
      </c>
      <c r="B46" s="59">
        <v>2</v>
      </c>
      <c r="C46" s="59">
        <v>68</v>
      </c>
      <c r="D46" s="59">
        <v>72</v>
      </c>
      <c r="E46" s="59">
        <v>1</v>
      </c>
      <c r="F46" s="60" t="s">
        <v>57</v>
      </c>
      <c r="G46" s="59">
        <v>100</v>
      </c>
      <c r="H46" s="61" t="s">
        <v>58</v>
      </c>
      <c r="I46" s="66">
        <f t="shared" si="3"/>
        <v>6.2893081761006289E-2</v>
      </c>
    </row>
    <row r="47" spans="1:10">
      <c r="A47" s="58">
        <v>21009</v>
      </c>
      <c r="B47" s="59">
        <v>2</v>
      </c>
      <c r="C47" s="59">
        <v>68</v>
      </c>
      <c r="D47" s="59">
        <v>72</v>
      </c>
      <c r="E47" s="59">
        <v>1</v>
      </c>
      <c r="F47" s="60" t="s">
        <v>59</v>
      </c>
      <c r="G47" s="59">
        <v>100</v>
      </c>
      <c r="H47" s="61" t="s">
        <v>60</v>
      </c>
      <c r="I47" s="66">
        <f t="shared" si="3"/>
        <v>6.2893081761006289E-2</v>
      </c>
    </row>
    <row r="48" spans="1:10">
      <c r="A48" s="58">
        <v>21010</v>
      </c>
      <c r="B48" s="59">
        <v>2</v>
      </c>
      <c r="C48" s="59">
        <v>68</v>
      </c>
      <c r="D48" s="59">
        <v>72</v>
      </c>
      <c r="E48" s="59">
        <v>1</v>
      </c>
      <c r="F48" s="60" t="s">
        <v>61</v>
      </c>
      <c r="G48" s="59">
        <v>100</v>
      </c>
      <c r="H48" s="61" t="s">
        <v>62</v>
      </c>
      <c r="I48" s="66">
        <f t="shared" si="3"/>
        <v>6.2893081761006289E-2</v>
      </c>
    </row>
    <row r="49" spans="1:10">
      <c r="A49" s="62">
        <v>21101</v>
      </c>
      <c r="B49" s="63">
        <v>2</v>
      </c>
      <c r="C49" s="63">
        <v>68</v>
      </c>
      <c r="D49" s="63">
        <v>72</v>
      </c>
      <c r="E49" s="63">
        <v>2</v>
      </c>
      <c r="F49" s="64" t="s">
        <v>53</v>
      </c>
      <c r="G49" s="59">
        <v>300</v>
      </c>
      <c r="H49" s="31" t="s">
        <v>21</v>
      </c>
      <c r="I49" s="66">
        <f t="shared" si="3"/>
        <v>0.18867924528301888</v>
      </c>
      <c r="J49">
        <f>SUM(G49:G58)</f>
        <v>1530</v>
      </c>
    </row>
    <row r="50" spans="1:10">
      <c r="A50" s="62">
        <v>21102</v>
      </c>
      <c r="B50" s="63">
        <v>2</v>
      </c>
      <c r="C50" s="63">
        <v>68</v>
      </c>
      <c r="D50" s="63">
        <v>72</v>
      </c>
      <c r="E50" s="63">
        <v>2</v>
      </c>
      <c r="F50" s="64" t="s">
        <v>63</v>
      </c>
      <c r="G50" s="59">
        <v>300</v>
      </c>
      <c r="H50" s="31" t="s">
        <v>23</v>
      </c>
      <c r="I50" s="66">
        <f t="shared" ref="I50:I58" si="4">G50/$J$39</f>
        <v>0.18867924528301888</v>
      </c>
    </row>
    <row r="51" spans="1:10">
      <c r="A51" s="62">
        <v>21103</v>
      </c>
      <c r="B51" s="63">
        <v>2</v>
      </c>
      <c r="C51" s="63">
        <v>68</v>
      </c>
      <c r="D51" s="63">
        <v>72</v>
      </c>
      <c r="E51" s="63">
        <v>2</v>
      </c>
      <c r="F51" s="64" t="s">
        <v>46</v>
      </c>
      <c r="G51" s="59">
        <v>300</v>
      </c>
      <c r="H51" s="31" t="s">
        <v>25</v>
      </c>
      <c r="I51" s="66">
        <f t="shared" si="4"/>
        <v>0.18867924528301888</v>
      </c>
    </row>
    <row r="52" spans="1:10">
      <c r="A52" s="62">
        <v>21104</v>
      </c>
      <c r="B52" s="63">
        <v>2</v>
      </c>
      <c r="C52" s="63">
        <v>68</v>
      </c>
      <c r="D52" s="63">
        <v>72</v>
      </c>
      <c r="E52" s="63">
        <v>2</v>
      </c>
      <c r="F52" s="64" t="s">
        <v>40</v>
      </c>
      <c r="G52" s="59">
        <v>100</v>
      </c>
      <c r="H52" s="31" t="s">
        <v>41</v>
      </c>
      <c r="I52" s="66">
        <f t="shared" si="4"/>
        <v>6.2893081761006289E-2</v>
      </c>
    </row>
    <row r="53" spans="1:10">
      <c r="A53" s="62">
        <v>21105</v>
      </c>
      <c r="B53" s="63">
        <v>2</v>
      </c>
      <c r="C53" s="63">
        <v>68</v>
      </c>
      <c r="D53" s="63">
        <v>72</v>
      </c>
      <c r="E53" s="63">
        <v>2</v>
      </c>
      <c r="F53" s="64" t="s">
        <v>48</v>
      </c>
      <c r="G53" s="59">
        <v>20</v>
      </c>
      <c r="H53" s="31" t="s">
        <v>41</v>
      </c>
      <c r="I53" s="66">
        <f t="shared" si="4"/>
        <v>1.2578616352201259E-2</v>
      </c>
    </row>
    <row r="54" spans="1:10">
      <c r="A54" s="62">
        <v>21106</v>
      </c>
      <c r="B54" s="63">
        <v>2</v>
      </c>
      <c r="C54" s="63">
        <v>68</v>
      </c>
      <c r="D54" s="63">
        <v>72</v>
      </c>
      <c r="E54" s="63">
        <v>2</v>
      </c>
      <c r="F54" s="64" t="s">
        <v>49</v>
      </c>
      <c r="G54" s="59">
        <v>10</v>
      </c>
      <c r="H54" s="31" t="s">
        <v>50</v>
      </c>
      <c r="I54" s="66">
        <f t="shared" si="4"/>
        <v>6.2893081761006293E-3</v>
      </c>
    </row>
    <row r="55" spans="1:10">
      <c r="A55" s="62">
        <v>21107</v>
      </c>
      <c r="B55" s="63">
        <v>2</v>
      </c>
      <c r="C55" s="63">
        <v>68</v>
      </c>
      <c r="D55" s="63">
        <v>72</v>
      </c>
      <c r="E55" s="63">
        <v>2</v>
      </c>
      <c r="F55" s="64" t="s">
        <v>64</v>
      </c>
      <c r="G55" s="59">
        <v>200</v>
      </c>
      <c r="H55" s="31" t="s">
        <v>32</v>
      </c>
      <c r="I55" s="66">
        <f t="shared" si="4"/>
        <v>0.12578616352201258</v>
      </c>
    </row>
    <row r="56" spans="1:10">
      <c r="A56" s="62">
        <v>21108</v>
      </c>
      <c r="B56" s="63">
        <v>2</v>
      </c>
      <c r="C56" s="63">
        <v>68</v>
      </c>
      <c r="D56" s="63">
        <v>72</v>
      </c>
      <c r="E56" s="63">
        <v>2</v>
      </c>
      <c r="F56" s="64" t="s">
        <v>57</v>
      </c>
      <c r="G56" s="59">
        <v>100</v>
      </c>
      <c r="H56" s="61" t="s">
        <v>58</v>
      </c>
      <c r="I56" s="66">
        <f t="shared" si="4"/>
        <v>6.2893081761006289E-2</v>
      </c>
    </row>
    <row r="57" spans="1:10">
      <c r="A57" s="62">
        <v>21109</v>
      </c>
      <c r="B57" s="63">
        <v>2</v>
      </c>
      <c r="C57" s="63">
        <v>68</v>
      </c>
      <c r="D57" s="63">
        <v>72</v>
      </c>
      <c r="E57" s="63">
        <v>2</v>
      </c>
      <c r="F57" s="64" t="s">
        <v>59</v>
      </c>
      <c r="G57" s="59">
        <v>100</v>
      </c>
      <c r="H57" s="61" t="s">
        <v>60</v>
      </c>
      <c r="I57" s="66">
        <f t="shared" si="4"/>
        <v>6.2893081761006289E-2</v>
      </c>
    </row>
    <row r="58" spans="1:10">
      <c r="A58" s="62">
        <v>21110</v>
      </c>
      <c r="B58" s="63">
        <v>2</v>
      </c>
      <c r="C58" s="63">
        <v>68</v>
      </c>
      <c r="D58" s="63">
        <v>72</v>
      </c>
      <c r="E58" s="63">
        <v>2</v>
      </c>
      <c r="F58" s="64" t="s">
        <v>61</v>
      </c>
      <c r="G58" s="59">
        <v>100</v>
      </c>
      <c r="H58" s="61" t="s">
        <v>62</v>
      </c>
      <c r="I58" s="66">
        <f t="shared" si="4"/>
        <v>6.2893081761006289E-2</v>
      </c>
    </row>
    <row r="59" spans="1:10">
      <c r="A59" s="58">
        <v>22001</v>
      </c>
      <c r="B59" s="59">
        <v>2</v>
      </c>
      <c r="C59" s="59">
        <v>73</v>
      </c>
      <c r="D59" s="59">
        <v>77</v>
      </c>
      <c r="E59" s="59">
        <v>1</v>
      </c>
      <c r="F59" s="60" t="s">
        <v>65</v>
      </c>
      <c r="G59" s="59">
        <v>280</v>
      </c>
      <c r="H59" s="31" t="s">
        <v>21</v>
      </c>
      <c r="I59" s="66">
        <f>G59/$J$59</f>
        <v>0.15909090909090909</v>
      </c>
      <c r="J59">
        <f>SUM(G59:G72)</f>
        <v>1760</v>
      </c>
    </row>
    <row r="60" spans="1:10">
      <c r="A60" s="58">
        <v>22002</v>
      </c>
      <c r="B60" s="59">
        <v>2</v>
      </c>
      <c r="C60" s="59">
        <v>73</v>
      </c>
      <c r="D60" s="59">
        <v>77</v>
      </c>
      <c r="E60" s="59">
        <v>1</v>
      </c>
      <c r="F60" s="60" t="s">
        <v>66</v>
      </c>
      <c r="G60" s="59">
        <v>280</v>
      </c>
      <c r="H60" s="31" t="s">
        <v>23</v>
      </c>
      <c r="I60" s="66">
        <f t="shared" ref="I60:I72" si="5">G60/$J$59</f>
        <v>0.15909090909090909</v>
      </c>
    </row>
    <row r="61" spans="1:10">
      <c r="A61" s="58">
        <v>22003</v>
      </c>
      <c r="B61" s="59">
        <v>2</v>
      </c>
      <c r="C61" s="59">
        <v>73</v>
      </c>
      <c r="D61" s="59">
        <v>77</v>
      </c>
      <c r="E61" s="59">
        <v>1</v>
      </c>
      <c r="F61" s="60" t="s">
        <v>67</v>
      </c>
      <c r="G61" s="59">
        <v>280</v>
      </c>
      <c r="H61" s="31" t="s">
        <v>25</v>
      </c>
      <c r="I61" s="66">
        <f t="shared" si="5"/>
        <v>0.15909090909090909</v>
      </c>
    </row>
    <row r="62" spans="1:10">
      <c r="A62" s="58">
        <v>22004</v>
      </c>
      <c r="B62" s="59">
        <v>2</v>
      </c>
      <c r="C62" s="59">
        <v>73</v>
      </c>
      <c r="D62" s="59">
        <v>77</v>
      </c>
      <c r="E62" s="59">
        <v>1</v>
      </c>
      <c r="F62" s="60" t="s">
        <v>40</v>
      </c>
      <c r="G62" s="59">
        <v>100</v>
      </c>
      <c r="H62" s="31" t="s">
        <v>41</v>
      </c>
      <c r="I62" s="66">
        <f t="shared" si="5"/>
        <v>5.6818181818181816E-2</v>
      </c>
    </row>
    <row r="63" spans="1:10">
      <c r="A63" s="58">
        <v>22005</v>
      </c>
      <c r="B63" s="59">
        <v>2</v>
      </c>
      <c r="C63" s="59">
        <v>73</v>
      </c>
      <c r="D63" s="59">
        <v>77</v>
      </c>
      <c r="E63" s="59">
        <v>1</v>
      </c>
      <c r="F63" s="60" t="s">
        <v>48</v>
      </c>
      <c r="G63" s="59">
        <v>50</v>
      </c>
      <c r="H63" s="31" t="s">
        <v>41</v>
      </c>
      <c r="I63" s="66">
        <f t="shared" si="5"/>
        <v>2.8409090909090908E-2</v>
      </c>
    </row>
    <row r="64" spans="1:10">
      <c r="A64" s="58">
        <v>22006</v>
      </c>
      <c r="B64" s="59">
        <v>2</v>
      </c>
      <c r="C64" s="59">
        <v>73</v>
      </c>
      <c r="D64" s="59">
        <v>77</v>
      </c>
      <c r="E64" s="59">
        <v>1</v>
      </c>
      <c r="F64" s="60" t="s">
        <v>49</v>
      </c>
      <c r="G64" s="59">
        <v>40</v>
      </c>
      <c r="H64" s="31" t="s">
        <v>50</v>
      </c>
      <c r="I64" s="66">
        <f t="shared" si="5"/>
        <v>2.2727272727272728E-2</v>
      </c>
    </row>
    <row r="65" spans="1:10">
      <c r="A65" s="58">
        <v>22007</v>
      </c>
      <c r="B65" s="59">
        <v>2</v>
      </c>
      <c r="C65" s="59">
        <v>73</v>
      </c>
      <c r="D65" s="59">
        <v>77</v>
      </c>
      <c r="E65" s="59">
        <v>1</v>
      </c>
      <c r="F65" s="60" t="s">
        <v>68</v>
      </c>
      <c r="G65" s="59">
        <v>180</v>
      </c>
      <c r="H65" s="31" t="s">
        <v>32</v>
      </c>
      <c r="I65" s="66">
        <f t="shared" si="5"/>
        <v>0.10227272727272728</v>
      </c>
    </row>
    <row r="66" spans="1:10">
      <c r="A66" s="58">
        <v>22008</v>
      </c>
      <c r="B66" s="59">
        <v>2</v>
      </c>
      <c r="C66" s="59">
        <v>73</v>
      </c>
      <c r="D66" s="59">
        <v>77</v>
      </c>
      <c r="E66" s="59">
        <v>1</v>
      </c>
      <c r="F66" s="60" t="s">
        <v>57</v>
      </c>
      <c r="G66" s="59">
        <v>100</v>
      </c>
      <c r="H66" s="61" t="s">
        <v>58</v>
      </c>
      <c r="I66" s="66">
        <f t="shared" si="5"/>
        <v>5.6818181818181816E-2</v>
      </c>
    </row>
    <row r="67" spans="1:10">
      <c r="A67" s="58">
        <v>22009</v>
      </c>
      <c r="B67" s="59">
        <v>2</v>
      </c>
      <c r="C67" s="59">
        <v>73</v>
      </c>
      <c r="D67" s="59">
        <v>77</v>
      </c>
      <c r="E67" s="59">
        <v>1</v>
      </c>
      <c r="F67" s="60" t="s">
        <v>59</v>
      </c>
      <c r="G67" s="59">
        <v>100</v>
      </c>
      <c r="H67" s="61" t="s">
        <v>60</v>
      </c>
      <c r="I67" s="66">
        <f t="shared" si="5"/>
        <v>5.6818181818181816E-2</v>
      </c>
    </row>
    <row r="68" spans="1:10">
      <c r="A68" s="58">
        <v>22010</v>
      </c>
      <c r="B68" s="59">
        <v>2</v>
      </c>
      <c r="C68" s="59">
        <v>73</v>
      </c>
      <c r="D68" s="59">
        <v>77</v>
      </c>
      <c r="E68" s="59">
        <v>1</v>
      </c>
      <c r="F68" s="60" t="s">
        <v>61</v>
      </c>
      <c r="G68" s="59">
        <v>100</v>
      </c>
      <c r="H68" s="61" t="s">
        <v>62</v>
      </c>
      <c r="I68" s="66">
        <f t="shared" si="5"/>
        <v>5.6818181818181816E-2</v>
      </c>
    </row>
    <row r="69" spans="1:10">
      <c r="A69" s="58">
        <v>22011</v>
      </c>
      <c r="B69" s="59">
        <v>2</v>
      </c>
      <c r="C69" s="59">
        <v>73</v>
      </c>
      <c r="D69" s="59">
        <v>77</v>
      </c>
      <c r="E69" s="59">
        <v>1</v>
      </c>
      <c r="F69" s="60" t="s">
        <v>69</v>
      </c>
      <c r="G69" s="59">
        <v>100</v>
      </c>
      <c r="H69" s="67" t="s">
        <v>70</v>
      </c>
      <c r="I69" s="66">
        <f t="shared" si="5"/>
        <v>5.6818181818181816E-2</v>
      </c>
    </row>
    <row r="70" spans="1:10">
      <c r="A70" s="58">
        <v>22012</v>
      </c>
      <c r="B70" s="59">
        <v>2</v>
      </c>
      <c r="C70" s="59">
        <v>73</v>
      </c>
      <c r="D70" s="59">
        <v>77</v>
      </c>
      <c r="E70" s="59">
        <v>1</v>
      </c>
      <c r="F70" s="60" t="s">
        <v>71</v>
      </c>
      <c r="G70" s="68">
        <v>50</v>
      </c>
      <c r="H70" s="61" t="s">
        <v>58</v>
      </c>
      <c r="I70" s="66">
        <f t="shared" si="5"/>
        <v>2.8409090909090908E-2</v>
      </c>
    </row>
    <row r="71" spans="1:10">
      <c r="A71" s="58">
        <v>22013</v>
      </c>
      <c r="B71" s="59">
        <v>2</v>
      </c>
      <c r="C71" s="59">
        <v>73</v>
      </c>
      <c r="D71" s="59">
        <v>77</v>
      </c>
      <c r="E71" s="59">
        <v>1</v>
      </c>
      <c r="F71" s="60" t="s">
        <v>72</v>
      </c>
      <c r="G71" s="68">
        <v>50</v>
      </c>
      <c r="H71" s="61" t="s">
        <v>60</v>
      </c>
      <c r="I71" s="66">
        <f t="shared" si="5"/>
        <v>2.8409090909090908E-2</v>
      </c>
    </row>
    <row r="72" spans="1:10">
      <c r="A72" s="58">
        <v>22014</v>
      </c>
      <c r="B72" s="59">
        <v>2</v>
      </c>
      <c r="C72" s="59">
        <v>73</v>
      </c>
      <c r="D72" s="59">
        <v>77</v>
      </c>
      <c r="E72" s="59">
        <v>1</v>
      </c>
      <c r="F72" s="60" t="s">
        <v>73</v>
      </c>
      <c r="G72" s="68">
        <v>50</v>
      </c>
      <c r="H72" s="61" t="s">
        <v>62</v>
      </c>
      <c r="I72" s="66">
        <f t="shared" si="5"/>
        <v>2.8409090909090908E-2</v>
      </c>
    </row>
    <row r="73" spans="1:10">
      <c r="A73" s="62">
        <v>22101</v>
      </c>
      <c r="B73" s="63">
        <v>2</v>
      </c>
      <c r="C73" s="63">
        <v>73</v>
      </c>
      <c r="D73" s="63">
        <v>77</v>
      </c>
      <c r="E73" s="63">
        <v>2</v>
      </c>
      <c r="F73" s="69" t="s">
        <v>65</v>
      </c>
      <c r="G73" s="63">
        <v>280</v>
      </c>
      <c r="H73" s="31" t="s">
        <v>21</v>
      </c>
      <c r="I73" s="66">
        <f>G73/$J$73</f>
        <v>0.17391304347826086</v>
      </c>
      <c r="J73">
        <f>SUM(G73:G83)</f>
        <v>1610</v>
      </c>
    </row>
    <row r="74" spans="1:10">
      <c r="A74" s="62">
        <v>22102</v>
      </c>
      <c r="B74" s="63">
        <v>2</v>
      </c>
      <c r="C74" s="63">
        <v>73</v>
      </c>
      <c r="D74" s="63">
        <v>77</v>
      </c>
      <c r="E74" s="63">
        <v>2</v>
      </c>
      <c r="F74" s="69" t="s">
        <v>54</v>
      </c>
      <c r="G74" s="63">
        <v>280</v>
      </c>
      <c r="H74" s="31" t="s">
        <v>23</v>
      </c>
      <c r="I74" s="66">
        <f t="shared" ref="I74:I86" si="6">G74/$J$73</f>
        <v>0.17391304347826086</v>
      </c>
    </row>
    <row r="75" spans="1:10">
      <c r="A75" s="62">
        <v>22103</v>
      </c>
      <c r="B75" s="63">
        <v>2</v>
      </c>
      <c r="C75" s="63">
        <v>73</v>
      </c>
      <c r="D75" s="63">
        <v>77</v>
      </c>
      <c r="E75" s="63">
        <v>2</v>
      </c>
      <c r="F75" s="69" t="s">
        <v>74</v>
      </c>
      <c r="G75" s="63">
        <v>280</v>
      </c>
      <c r="H75" s="31" t="s">
        <v>25</v>
      </c>
      <c r="I75" s="66">
        <f t="shared" si="6"/>
        <v>0.17391304347826086</v>
      </c>
    </row>
    <row r="76" spans="1:10">
      <c r="A76" s="62">
        <v>22104</v>
      </c>
      <c r="B76" s="63">
        <v>2</v>
      </c>
      <c r="C76" s="63">
        <v>73</v>
      </c>
      <c r="D76" s="63">
        <v>77</v>
      </c>
      <c r="E76" s="63">
        <v>2</v>
      </c>
      <c r="F76" s="69" t="s">
        <v>40</v>
      </c>
      <c r="G76" s="63">
        <v>100</v>
      </c>
      <c r="H76" s="31" t="s">
        <v>41</v>
      </c>
      <c r="I76" s="66">
        <f t="shared" si="6"/>
        <v>6.2111801242236024E-2</v>
      </c>
    </row>
    <row r="77" spans="1:10">
      <c r="A77" s="62">
        <v>22105</v>
      </c>
      <c r="B77" s="63">
        <v>2</v>
      </c>
      <c r="C77" s="63">
        <v>73</v>
      </c>
      <c r="D77" s="63">
        <v>77</v>
      </c>
      <c r="E77" s="63">
        <v>2</v>
      </c>
      <c r="F77" s="69" t="s">
        <v>48</v>
      </c>
      <c r="G77" s="63">
        <v>50</v>
      </c>
      <c r="H77" s="31" t="s">
        <v>41</v>
      </c>
      <c r="I77" s="66">
        <f t="shared" si="6"/>
        <v>3.1055900621118012E-2</v>
      </c>
    </row>
    <row r="78" spans="1:10">
      <c r="A78" s="62">
        <v>22106</v>
      </c>
      <c r="B78" s="63">
        <v>2</v>
      </c>
      <c r="C78" s="63">
        <v>73</v>
      </c>
      <c r="D78" s="63">
        <v>77</v>
      </c>
      <c r="E78" s="63">
        <v>2</v>
      </c>
      <c r="F78" s="69" t="s">
        <v>49</v>
      </c>
      <c r="G78" s="63">
        <v>40</v>
      </c>
      <c r="H78" s="31" t="s">
        <v>50</v>
      </c>
      <c r="I78" s="66">
        <f t="shared" si="6"/>
        <v>2.4844720496894408E-2</v>
      </c>
    </row>
    <row r="79" spans="1:10">
      <c r="A79" s="62">
        <v>22107</v>
      </c>
      <c r="B79" s="63">
        <v>2</v>
      </c>
      <c r="C79" s="63">
        <v>73</v>
      </c>
      <c r="D79" s="63">
        <v>77</v>
      </c>
      <c r="E79" s="63">
        <v>2</v>
      </c>
      <c r="F79" s="69" t="s">
        <v>56</v>
      </c>
      <c r="G79" s="63">
        <v>180</v>
      </c>
      <c r="H79" s="31" t="s">
        <v>32</v>
      </c>
      <c r="I79" s="66">
        <f t="shared" si="6"/>
        <v>0.11180124223602485</v>
      </c>
    </row>
    <row r="80" spans="1:10">
      <c r="A80" s="62">
        <v>22108</v>
      </c>
      <c r="B80" s="63">
        <v>2</v>
      </c>
      <c r="C80" s="63">
        <v>73</v>
      </c>
      <c r="D80" s="63">
        <v>77</v>
      </c>
      <c r="E80" s="63">
        <v>2</v>
      </c>
      <c r="F80" s="69" t="s">
        <v>57</v>
      </c>
      <c r="G80" s="63">
        <v>100</v>
      </c>
      <c r="H80" s="61" t="s">
        <v>58</v>
      </c>
      <c r="I80" s="66">
        <f t="shared" si="6"/>
        <v>6.2111801242236024E-2</v>
      </c>
    </row>
    <row r="81" spans="1:10">
      <c r="A81" s="62">
        <v>22109</v>
      </c>
      <c r="B81" s="63">
        <v>2</v>
      </c>
      <c r="C81" s="63">
        <v>73</v>
      </c>
      <c r="D81" s="63">
        <v>77</v>
      </c>
      <c r="E81" s="63">
        <v>2</v>
      </c>
      <c r="F81" s="69" t="s">
        <v>59</v>
      </c>
      <c r="G81" s="63">
        <v>100</v>
      </c>
      <c r="H81" s="61" t="s">
        <v>60</v>
      </c>
      <c r="I81" s="66">
        <f t="shared" si="6"/>
        <v>6.2111801242236024E-2</v>
      </c>
    </row>
    <row r="82" spans="1:10">
      <c r="A82" s="62">
        <v>22110</v>
      </c>
      <c r="B82" s="63">
        <v>2</v>
      </c>
      <c r="C82" s="63">
        <v>73</v>
      </c>
      <c r="D82" s="63">
        <v>77</v>
      </c>
      <c r="E82" s="63">
        <v>2</v>
      </c>
      <c r="F82" s="69" t="s">
        <v>61</v>
      </c>
      <c r="G82" s="63">
        <v>100</v>
      </c>
      <c r="H82" s="61" t="s">
        <v>62</v>
      </c>
      <c r="I82" s="66">
        <f t="shared" si="6"/>
        <v>6.2111801242236024E-2</v>
      </c>
    </row>
    <row r="83" spans="1:10">
      <c r="A83" s="62">
        <v>22111</v>
      </c>
      <c r="B83" s="63">
        <v>2</v>
      </c>
      <c r="C83" s="63">
        <v>73</v>
      </c>
      <c r="D83" s="63">
        <v>77</v>
      </c>
      <c r="E83" s="63">
        <v>2</v>
      </c>
      <c r="F83" s="69" t="s">
        <v>69</v>
      </c>
      <c r="G83" s="63">
        <v>100</v>
      </c>
      <c r="H83" s="67" t="s">
        <v>70</v>
      </c>
      <c r="I83" s="66">
        <f t="shared" si="6"/>
        <v>6.2111801242236024E-2</v>
      </c>
    </row>
    <row r="84" spans="1:10">
      <c r="A84" s="62">
        <v>22112</v>
      </c>
      <c r="B84" s="63">
        <v>2</v>
      </c>
      <c r="C84" s="63">
        <v>73</v>
      </c>
      <c r="D84" s="63">
        <v>77</v>
      </c>
      <c r="E84" s="63">
        <v>2</v>
      </c>
      <c r="F84" s="69" t="s">
        <v>71</v>
      </c>
      <c r="G84" s="63">
        <v>50</v>
      </c>
      <c r="H84" s="61" t="s">
        <v>58</v>
      </c>
      <c r="I84" s="66">
        <f t="shared" si="6"/>
        <v>3.1055900621118012E-2</v>
      </c>
    </row>
    <row r="85" spans="1:10">
      <c r="A85" s="62">
        <v>22113</v>
      </c>
      <c r="B85" s="63">
        <v>2</v>
      </c>
      <c r="C85" s="63">
        <v>73</v>
      </c>
      <c r="D85" s="63">
        <v>77</v>
      </c>
      <c r="E85" s="63">
        <v>2</v>
      </c>
      <c r="F85" s="69" t="s">
        <v>72</v>
      </c>
      <c r="G85" s="63">
        <v>50</v>
      </c>
      <c r="H85" s="61" t="s">
        <v>60</v>
      </c>
      <c r="I85" s="66">
        <f t="shared" si="6"/>
        <v>3.1055900621118012E-2</v>
      </c>
    </row>
    <row r="86" spans="1:10">
      <c r="A86" s="62">
        <v>22114</v>
      </c>
      <c r="B86" s="63">
        <v>2</v>
      </c>
      <c r="C86" s="63">
        <v>73</v>
      </c>
      <c r="D86" s="63">
        <v>77</v>
      </c>
      <c r="E86" s="63">
        <v>2</v>
      </c>
      <c r="F86" s="69" t="s">
        <v>73</v>
      </c>
      <c r="G86" s="63">
        <v>50</v>
      </c>
      <c r="H86" s="61" t="s">
        <v>62</v>
      </c>
      <c r="I86" s="66">
        <f t="shared" si="6"/>
        <v>3.1055900621118012E-2</v>
      </c>
    </row>
    <row r="87" spans="1:10">
      <c r="A87" s="70">
        <v>23001</v>
      </c>
      <c r="B87" s="71">
        <v>2</v>
      </c>
      <c r="C87" s="71">
        <v>78</v>
      </c>
      <c r="D87" s="71">
        <v>82</v>
      </c>
      <c r="E87" s="71">
        <v>1</v>
      </c>
      <c r="F87" s="72" t="s">
        <v>65</v>
      </c>
      <c r="G87" s="70">
        <v>270</v>
      </c>
      <c r="H87" s="70" t="s">
        <v>21</v>
      </c>
      <c r="I87" s="76">
        <f>G87/$J$87</f>
        <v>0.15472779369627507</v>
      </c>
      <c r="J87">
        <f>SUM(G87:G102)</f>
        <v>1745</v>
      </c>
    </row>
    <row r="88" spans="1:10">
      <c r="A88" s="70">
        <v>23002</v>
      </c>
      <c r="B88" s="71">
        <v>2</v>
      </c>
      <c r="C88" s="71">
        <v>78</v>
      </c>
      <c r="D88" s="71">
        <v>82</v>
      </c>
      <c r="E88" s="71">
        <v>1</v>
      </c>
      <c r="F88" s="72" t="s">
        <v>66</v>
      </c>
      <c r="G88" s="70">
        <v>270</v>
      </c>
      <c r="H88" s="70" t="s">
        <v>23</v>
      </c>
      <c r="I88" s="76">
        <f t="shared" ref="I88:I103" si="7">G88/$J$87</f>
        <v>0.15472779369627507</v>
      </c>
    </row>
    <row r="89" spans="1:10">
      <c r="A89" s="70">
        <v>23003</v>
      </c>
      <c r="B89" s="71">
        <v>2</v>
      </c>
      <c r="C89" s="71">
        <v>78</v>
      </c>
      <c r="D89" s="71">
        <v>82</v>
      </c>
      <c r="E89" s="71">
        <v>1</v>
      </c>
      <c r="F89" s="72" t="s">
        <v>75</v>
      </c>
      <c r="G89" s="70">
        <v>270</v>
      </c>
      <c r="H89" s="70" t="s">
        <v>25</v>
      </c>
      <c r="I89" s="76">
        <f t="shared" si="7"/>
        <v>0.15472779369627507</v>
      </c>
    </row>
    <row r="90" spans="1:10">
      <c r="A90" s="70">
        <v>23004</v>
      </c>
      <c r="B90" s="71">
        <v>2</v>
      </c>
      <c r="C90" s="71">
        <v>78</v>
      </c>
      <c r="D90" s="71">
        <v>82</v>
      </c>
      <c r="E90" s="71">
        <v>1</v>
      </c>
      <c r="F90" s="72" t="s">
        <v>40</v>
      </c>
      <c r="G90" s="70">
        <v>100</v>
      </c>
      <c r="H90" s="70" t="s">
        <v>41</v>
      </c>
      <c r="I90" s="76">
        <f t="shared" si="7"/>
        <v>5.730659025787966E-2</v>
      </c>
    </row>
    <row r="91" spans="1:10">
      <c r="A91" s="70">
        <v>23005</v>
      </c>
      <c r="B91" s="71">
        <v>2</v>
      </c>
      <c r="C91" s="71">
        <v>78</v>
      </c>
      <c r="D91" s="71">
        <v>82</v>
      </c>
      <c r="E91" s="71">
        <v>1</v>
      </c>
      <c r="F91" s="72" t="s">
        <v>48</v>
      </c>
      <c r="G91" s="70">
        <v>50</v>
      </c>
      <c r="H91" s="70" t="s">
        <v>41</v>
      </c>
      <c r="I91" s="76">
        <f t="shared" si="7"/>
        <v>2.865329512893983E-2</v>
      </c>
    </row>
    <row r="92" spans="1:10">
      <c r="A92" s="70">
        <v>23006</v>
      </c>
      <c r="B92" s="71">
        <v>2</v>
      </c>
      <c r="C92" s="71">
        <v>78</v>
      </c>
      <c r="D92" s="71">
        <v>82</v>
      </c>
      <c r="E92" s="71">
        <v>1</v>
      </c>
      <c r="F92" s="72" t="s">
        <v>49</v>
      </c>
      <c r="G92" s="70">
        <v>25</v>
      </c>
      <c r="H92" s="70" t="s">
        <v>50</v>
      </c>
      <c r="I92" s="76">
        <f t="shared" si="7"/>
        <v>1.4326647564469915E-2</v>
      </c>
    </row>
    <row r="93" spans="1:10">
      <c r="A93" s="70">
        <v>23007</v>
      </c>
      <c r="B93" s="71">
        <v>2</v>
      </c>
      <c r="C93" s="71">
        <v>78</v>
      </c>
      <c r="D93" s="71">
        <v>82</v>
      </c>
      <c r="E93" s="71">
        <v>1</v>
      </c>
      <c r="F93" s="72" t="s">
        <v>76</v>
      </c>
      <c r="G93" s="70">
        <v>170</v>
      </c>
      <c r="H93" s="70" t="s">
        <v>32</v>
      </c>
      <c r="I93" s="76">
        <f t="shared" si="7"/>
        <v>9.7421203438395415E-2</v>
      </c>
    </row>
    <row r="94" spans="1:10">
      <c r="A94" s="70">
        <v>23008</v>
      </c>
      <c r="B94" s="71">
        <v>2</v>
      </c>
      <c r="C94" s="71">
        <v>78</v>
      </c>
      <c r="D94" s="71">
        <v>82</v>
      </c>
      <c r="E94" s="71">
        <v>1</v>
      </c>
      <c r="F94" s="72" t="s">
        <v>57</v>
      </c>
      <c r="G94" s="70">
        <v>100</v>
      </c>
      <c r="H94" s="70" t="s">
        <v>58</v>
      </c>
      <c r="I94" s="76">
        <f t="shared" si="7"/>
        <v>5.730659025787966E-2</v>
      </c>
    </row>
    <row r="95" spans="1:10">
      <c r="A95" s="70">
        <v>23009</v>
      </c>
      <c r="B95" s="71">
        <v>2</v>
      </c>
      <c r="C95" s="71">
        <v>78</v>
      </c>
      <c r="D95" s="71">
        <v>82</v>
      </c>
      <c r="E95" s="71">
        <v>1</v>
      </c>
      <c r="F95" s="72" t="s">
        <v>59</v>
      </c>
      <c r="G95" s="70">
        <v>100</v>
      </c>
      <c r="H95" s="70" t="s">
        <v>60</v>
      </c>
      <c r="I95" s="76">
        <f t="shared" si="7"/>
        <v>5.730659025787966E-2</v>
      </c>
    </row>
    <row r="96" spans="1:10">
      <c r="A96" s="70">
        <v>23010</v>
      </c>
      <c r="B96" s="71">
        <v>2</v>
      </c>
      <c r="C96" s="71">
        <v>78</v>
      </c>
      <c r="D96" s="71">
        <v>82</v>
      </c>
      <c r="E96" s="71">
        <v>1</v>
      </c>
      <c r="F96" s="72" t="s">
        <v>61</v>
      </c>
      <c r="G96" s="70">
        <v>100</v>
      </c>
      <c r="H96" s="70" t="s">
        <v>62</v>
      </c>
      <c r="I96" s="76">
        <f t="shared" si="7"/>
        <v>5.730659025787966E-2</v>
      </c>
    </row>
    <row r="97" spans="1:9">
      <c r="A97" s="70">
        <v>23011</v>
      </c>
      <c r="B97" s="71">
        <v>2</v>
      </c>
      <c r="C97" s="71">
        <v>78</v>
      </c>
      <c r="D97" s="71">
        <v>82</v>
      </c>
      <c r="E97" s="71">
        <v>1</v>
      </c>
      <c r="F97" s="72" t="s">
        <v>69</v>
      </c>
      <c r="G97" s="70">
        <v>100</v>
      </c>
      <c r="H97" s="70" t="s">
        <v>70</v>
      </c>
      <c r="I97" s="76">
        <f t="shared" si="7"/>
        <v>5.730659025787966E-2</v>
      </c>
    </row>
    <row r="98" spans="1:9">
      <c r="A98" s="70">
        <v>23012</v>
      </c>
      <c r="B98" s="71">
        <v>2</v>
      </c>
      <c r="C98" s="71">
        <v>78</v>
      </c>
      <c r="D98" s="71">
        <v>82</v>
      </c>
      <c r="E98" s="71">
        <v>1</v>
      </c>
      <c r="F98" s="72" t="s">
        <v>71</v>
      </c>
      <c r="G98" s="70">
        <v>50</v>
      </c>
      <c r="H98" s="70" t="s">
        <v>58</v>
      </c>
      <c r="I98" s="76">
        <f t="shared" si="7"/>
        <v>2.865329512893983E-2</v>
      </c>
    </row>
    <row r="99" spans="1:9">
      <c r="A99" s="70">
        <v>23013</v>
      </c>
      <c r="B99" s="71">
        <v>2</v>
      </c>
      <c r="C99" s="71">
        <v>78</v>
      </c>
      <c r="D99" s="71">
        <v>82</v>
      </c>
      <c r="E99" s="71">
        <v>1</v>
      </c>
      <c r="F99" s="72" t="s">
        <v>72</v>
      </c>
      <c r="G99" s="70">
        <v>50</v>
      </c>
      <c r="H99" s="70" t="s">
        <v>60</v>
      </c>
      <c r="I99" s="76">
        <f t="shared" si="7"/>
        <v>2.865329512893983E-2</v>
      </c>
    </row>
    <row r="100" spans="1:9">
      <c r="A100" s="70">
        <v>23014</v>
      </c>
      <c r="B100" s="71">
        <v>2</v>
      </c>
      <c r="C100" s="71">
        <v>78</v>
      </c>
      <c r="D100" s="71">
        <v>82</v>
      </c>
      <c r="E100" s="71">
        <v>1</v>
      </c>
      <c r="F100" s="72" t="s">
        <v>73</v>
      </c>
      <c r="G100" s="73">
        <v>50</v>
      </c>
      <c r="H100" s="72" t="s">
        <v>62</v>
      </c>
      <c r="I100" s="76">
        <f t="shared" si="7"/>
        <v>2.865329512893983E-2</v>
      </c>
    </row>
    <row r="101" spans="1:9">
      <c r="A101" s="70">
        <v>23015</v>
      </c>
      <c r="B101" s="71">
        <v>2</v>
      </c>
      <c r="C101" s="71">
        <v>78</v>
      </c>
      <c r="D101" s="71">
        <v>82</v>
      </c>
      <c r="E101" s="71">
        <v>1</v>
      </c>
      <c r="F101" s="72" t="s">
        <v>77</v>
      </c>
      <c r="G101" s="73">
        <v>20</v>
      </c>
      <c r="H101" s="72" t="s">
        <v>78</v>
      </c>
      <c r="I101" s="76">
        <f t="shared" si="7"/>
        <v>1.1461318051575931E-2</v>
      </c>
    </row>
    <row r="102" spans="1:9">
      <c r="A102" s="70">
        <v>23016</v>
      </c>
      <c r="B102" s="71">
        <v>2</v>
      </c>
      <c r="C102" s="71">
        <v>78</v>
      </c>
      <c r="D102" s="71">
        <v>82</v>
      </c>
      <c r="E102" s="71">
        <v>1</v>
      </c>
      <c r="F102" s="72" t="s">
        <v>79</v>
      </c>
      <c r="G102" s="73">
        <v>20</v>
      </c>
      <c r="H102" s="72" t="s">
        <v>80</v>
      </c>
      <c r="I102" s="76">
        <f t="shared" si="7"/>
        <v>1.1461318051575931E-2</v>
      </c>
    </row>
    <row r="103" spans="1:9">
      <c r="A103">
        <v>23101</v>
      </c>
      <c r="B103" s="2">
        <v>2</v>
      </c>
      <c r="C103" s="2">
        <v>78</v>
      </c>
      <c r="D103" s="2">
        <v>82</v>
      </c>
      <c r="E103" s="2">
        <v>2</v>
      </c>
      <c r="F103" s="22" t="s">
        <v>65</v>
      </c>
      <c r="G103">
        <v>270</v>
      </c>
      <c r="H103" t="s">
        <v>21</v>
      </c>
      <c r="I103" s="23">
        <f t="shared" si="7"/>
        <v>0.15472779369627507</v>
      </c>
    </row>
    <row r="104" spans="1:9">
      <c r="A104">
        <v>23102</v>
      </c>
      <c r="B104" s="2">
        <v>2</v>
      </c>
      <c r="C104" s="2">
        <v>78</v>
      </c>
      <c r="D104" s="2">
        <v>82</v>
      </c>
      <c r="E104" s="2">
        <v>2</v>
      </c>
      <c r="F104" s="22" t="s">
        <v>66</v>
      </c>
      <c r="G104">
        <v>270</v>
      </c>
      <c r="H104" t="s">
        <v>23</v>
      </c>
      <c r="I104" s="23">
        <f t="shared" ref="I104:I117" si="8">G104/$J$87</f>
        <v>0.15472779369627507</v>
      </c>
    </row>
    <row r="105" spans="1:9">
      <c r="A105">
        <v>23103</v>
      </c>
      <c r="B105" s="2">
        <v>2</v>
      </c>
      <c r="C105" s="2">
        <v>78</v>
      </c>
      <c r="D105" s="2">
        <v>82</v>
      </c>
      <c r="E105" s="2">
        <v>2</v>
      </c>
      <c r="F105" s="22" t="s">
        <v>75</v>
      </c>
      <c r="G105">
        <v>270</v>
      </c>
      <c r="H105" t="s">
        <v>25</v>
      </c>
      <c r="I105" s="23">
        <f t="shared" si="8"/>
        <v>0.15472779369627507</v>
      </c>
    </row>
    <row r="106" spans="1:9">
      <c r="A106">
        <v>23104</v>
      </c>
      <c r="B106" s="2">
        <v>2</v>
      </c>
      <c r="C106" s="2">
        <v>78</v>
      </c>
      <c r="D106" s="2">
        <v>82</v>
      </c>
      <c r="E106" s="2">
        <v>2</v>
      </c>
      <c r="F106" s="22" t="s">
        <v>40</v>
      </c>
      <c r="G106">
        <v>100</v>
      </c>
      <c r="H106" t="s">
        <v>41</v>
      </c>
      <c r="I106" s="23">
        <f t="shared" si="8"/>
        <v>5.730659025787966E-2</v>
      </c>
    </row>
    <row r="107" spans="1:9">
      <c r="A107">
        <v>23105</v>
      </c>
      <c r="B107" s="2">
        <v>2</v>
      </c>
      <c r="C107" s="2">
        <v>78</v>
      </c>
      <c r="D107" s="2">
        <v>82</v>
      </c>
      <c r="E107" s="2">
        <v>2</v>
      </c>
      <c r="F107" s="22" t="s">
        <v>48</v>
      </c>
      <c r="G107">
        <v>50</v>
      </c>
      <c r="H107" t="s">
        <v>41</v>
      </c>
      <c r="I107" s="23">
        <f t="shared" si="8"/>
        <v>2.865329512893983E-2</v>
      </c>
    </row>
    <row r="108" spans="1:9">
      <c r="A108">
        <v>23106</v>
      </c>
      <c r="B108" s="2">
        <v>2</v>
      </c>
      <c r="C108" s="2">
        <v>78</v>
      </c>
      <c r="D108" s="2">
        <v>82</v>
      </c>
      <c r="E108" s="2">
        <v>2</v>
      </c>
      <c r="F108" s="22" t="s">
        <v>49</v>
      </c>
      <c r="G108">
        <v>25</v>
      </c>
      <c r="H108" t="s">
        <v>50</v>
      </c>
      <c r="I108" s="23">
        <f t="shared" si="8"/>
        <v>1.4326647564469915E-2</v>
      </c>
    </row>
    <row r="109" spans="1:9">
      <c r="A109">
        <v>23107</v>
      </c>
      <c r="B109" s="2">
        <v>2</v>
      </c>
      <c r="C109" s="2">
        <v>78</v>
      </c>
      <c r="D109" s="2">
        <v>82</v>
      </c>
      <c r="E109" s="2">
        <v>2</v>
      </c>
      <c r="F109" s="22" t="s">
        <v>76</v>
      </c>
      <c r="G109">
        <v>170</v>
      </c>
      <c r="H109" t="s">
        <v>32</v>
      </c>
      <c r="I109" s="23">
        <f t="shared" si="8"/>
        <v>9.7421203438395415E-2</v>
      </c>
    </row>
    <row r="110" spans="1:9">
      <c r="A110">
        <v>23108</v>
      </c>
      <c r="B110" s="2">
        <v>2</v>
      </c>
      <c r="C110" s="2">
        <v>78</v>
      </c>
      <c r="D110" s="2">
        <v>82</v>
      </c>
      <c r="E110" s="2">
        <v>2</v>
      </c>
      <c r="F110" s="22" t="s">
        <v>57</v>
      </c>
      <c r="G110">
        <v>100</v>
      </c>
      <c r="H110" t="s">
        <v>58</v>
      </c>
      <c r="I110" s="23">
        <f t="shared" si="8"/>
        <v>5.730659025787966E-2</v>
      </c>
    </row>
    <row r="111" spans="1:9">
      <c r="A111">
        <v>23109</v>
      </c>
      <c r="B111" s="2">
        <v>2</v>
      </c>
      <c r="C111" s="2">
        <v>78</v>
      </c>
      <c r="D111" s="2">
        <v>82</v>
      </c>
      <c r="E111" s="2">
        <v>2</v>
      </c>
      <c r="F111" s="22" t="s">
        <v>59</v>
      </c>
      <c r="G111">
        <v>100</v>
      </c>
      <c r="H111" t="s">
        <v>60</v>
      </c>
      <c r="I111" s="23">
        <f t="shared" si="8"/>
        <v>5.730659025787966E-2</v>
      </c>
    </row>
    <row r="112" spans="1:9">
      <c r="A112">
        <v>23110</v>
      </c>
      <c r="B112" s="2">
        <v>2</v>
      </c>
      <c r="C112" s="2">
        <v>78</v>
      </c>
      <c r="D112" s="2">
        <v>82</v>
      </c>
      <c r="E112" s="2">
        <v>2</v>
      </c>
      <c r="F112" s="22" t="s">
        <v>61</v>
      </c>
      <c r="G112">
        <v>100</v>
      </c>
      <c r="H112" t="s">
        <v>62</v>
      </c>
      <c r="I112" s="23">
        <f t="shared" si="8"/>
        <v>5.730659025787966E-2</v>
      </c>
    </row>
    <row r="113" spans="1:10">
      <c r="A113">
        <v>23111</v>
      </c>
      <c r="B113" s="2">
        <v>2</v>
      </c>
      <c r="C113" s="2">
        <v>78</v>
      </c>
      <c r="D113" s="2">
        <v>82</v>
      </c>
      <c r="E113" s="2">
        <v>2</v>
      </c>
      <c r="F113" s="22" t="s">
        <v>69</v>
      </c>
      <c r="G113">
        <v>100</v>
      </c>
      <c r="H113" t="s">
        <v>70</v>
      </c>
      <c r="I113" s="23">
        <f t="shared" si="8"/>
        <v>5.730659025787966E-2</v>
      </c>
    </row>
    <row r="114" spans="1:10">
      <c r="A114">
        <v>23112</v>
      </c>
      <c r="B114" s="2">
        <v>2</v>
      </c>
      <c r="C114" s="2">
        <v>78</v>
      </c>
      <c r="D114" s="2">
        <v>82</v>
      </c>
      <c r="E114" s="2">
        <v>2</v>
      </c>
      <c r="F114" s="22" t="s">
        <v>71</v>
      </c>
      <c r="G114">
        <v>50</v>
      </c>
      <c r="H114" t="s">
        <v>58</v>
      </c>
      <c r="I114" s="23">
        <f t="shared" si="8"/>
        <v>2.865329512893983E-2</v>
      </c>
    </row>
    <row r="115" spans="1:10">
      <c r="A115">
        <v>23113</v>
      </c>
      <c r="B115" s="2">
        <v>2</v>
      </c>
      <c r="C115" s="2">
        <v>78</v>
      </c>
      <c r="D115" s="2">
        <v>82</v>
      </c>
      <c r="E115" s="2">
        <v>2</v>
      </c>
      <c r="F115" s="22" t="s">
        <v>72</v>
      </c>
      <c r="G115">
        <v>50</v>
      </c>
      <c r="H115" t="s">
        <v>60</v>
      </c>
      <c r="I115" s="23">
        <f t="shared" si="8"/>
        <v>2.865329512893983E-2</v>
      </c>
    </row>
    <row r="116" spans="1:10">
      <c r="A116">
        <v>23114</v>
      </c>
      <c r="B116" s="2">
        <v>2</v>
      </c>
      <c r="C116" s="2">
        <v>78</v>
      </c>
      <c r="D116" s="2">
        <v>82</v>
      </c>
      <c r="E116" s="2">
        <v>2</v>
      </c>
      <c r="F116" s="22" t="s">
        <v>73</v>
      </c>
      <c r="G116">
        <v>50</v>
      </c>
      <c r="H116" t="s">
        <v>62</v>
      </c>
      <c r="I116" s="23">
        <f t="shared" si="8"/>
        <v>2.865329512893983E-2</v>
      </c>
    </row>
    <row r="117" spans="1:10">
      <c r="A117">
        <v>23115</v>
      </c>
      <c r="B117" s="2">
        <v>2</v>
      </c>
      <c r="C117" s="2">
        <v>78</v>
      </c>
      <c r="D117" s="2">
        <v>82</v>
      </c>
      <c r="E117" s="2">
        <v>2</v>
      </c>
      <c r="F117" s="74" t="s">
        <v>77</v>
      </c>
      <c r="G117">
        <v>20</v>
      </c>
      <c r="H117" s="75" t="s">
        <v>78</v>
      </c>
      <c r="I117" s="23">
        <f t="shared" si="8"/>
        <v>1.1461318051575931E-2</v>
      </c>
    </row>
    <row r="118" spans="1:10">
      <c r="A118">
        <v>23116</v>
      </c>
      <c r="B118" s="2">
        <v>2</v>
      </c>
      <c r="C118" s="2">
        <v>78</v>
      </c>
      <c r="D118" s="2">
        <v>82</v>
      </c>
      <c r="E118" s="2">
        <v>2</v>
      </c>
      <c r="F118" s="74" t="s">
        <v>79</v>
      </c>
      <c r="G118">
        <v>20</v>
      </c>
      <c r="H118" s="75" t="s">
        <v>80</v>
      </c>
      <c r="I118" s="23">
        <f t="shared" ref="I118" si="9">G118/$J$87</f>
        <v>1.1461318051575931E-2</v>
      </c>
    </row>
    <row r="119" spans="1:10">
      <c r="A119" s="70">
        <v>24001</v>
      </c>
      <c r="B119" s="71">
        <v>2</v>
      </c>
      <c r="C119" s="71">
        <v>83</v>
      </c>
      <c r="D119" s="71">
        <v>87</v>
      </c>
      <c r="E119" s="71">
        <v>1</v>
      </c>
      <c r="F119" s="72" t="s">
        <v>65</v>
      </c>
      <c r="G119" s="70">
        <v>250</v>
      </c>
      <c r="H119" s="70" t="s">
        <v>21</v>
      </c>
      <c r="I119" s="76">
        <f>G119/$J$119</f>
        <v>0.1466275659824047</v>
      </c>
      <c r="J119">
        <f>SUM(G119:G134)</f>
        <v>1705</v>
      </c>
    </row>
    <row r="120" spans="1:10">
      <c r="A120" s="70">
        <v>24002</v>
      </c>
      <c r="B120" s="71">
        <v>2</v>
      </c>
      <c r="C120" s="71">
        <v>83</v>
      </c>
      <c r="D120" s="71">
        <v>87</v>
      </c>
      <c r="E120" s="71">
        <v>1</v>
      </c>
      <c r="F120" s="72" t="s">
        <v>66</v>
      </c>
      <c r="G120" s="70">
        <v>250</v>
      </c>
      <c r="H120" s="70" t="s">
        <v>23</v>
      </c>
      <c r="I120" s="76">
        <f t="shared" ref="I120:I150" si="10">G120/$J$119</f>
        <v>0.1466275659824047</v>
      </c>
    </row>
    <row r="121" spans="1:10">
      <c r="A121" s="70">
        <v>24003</v>
      </c>
      <c r="B121" s="71">
        <v>2</v>
      </c>
      <c r="C121" s="71">
        <v>83</v>
      </c>
      <c r="D121" s="71">
        <v>87</v>
      </c>
      <c r="E121" s="71">
        <v>1</v>
      </c>
      <c r="F121" s="72" t="s">
        <v>75</v>
      </c>
      <c r="G121" s="70">
        <v>250</v>
      </c>
      <c r="H121" s="70" t="s">
        <v>25</v>
      </c>
      <c r="I121" s="76">
        <f t="shared" si="10"/>
        <v>0.1466275659824047</v>
      </c>
    </row>
    <row r="122" spans="1:10">
      <c r="A122" s="70">
        <v>24004</v>
      </c>
      <c r="B122" s="71">
        <v>2</v>
      </c>
      <c r="C122" s="71">
        <v>83</v>
      </c>
      <c r="D122" s="71">
        <v>87</v>
      </c>
      <c r="E122" s="71">
        <v>1</v>
      </c>
      <c r="F122" s="72" t="s">
        <v>40</v>
      </c>
      <c r="G122" s="70">
        <v>110</v>
      </c>
      <c r="H122" s="70" t="s">
        <v>41</v>
      </c>
      <c r="I122" s="76">
        <f t="shared" si="10"/>
        <v>6.4516129032258063E-2</v>
      </c>
    </row>
    <row r="123" spans="1:10">
      <c r="A123" s="70">
        <v>24005</v>
      </c>
      <c r="B123" s="71">
        <v>2</v>
      </c>
      <c r="C123" s="71">
        <v>83</v>
      </c>
      <c r="D123" s="71">
        <v>87</v>
      </c>
      <c r="E123" s="71">
        <v>1</v>
      </c>
      <c r="F123" s="72" t="s">
        <v>48</v>
      </c>
      <c r="G123" s="70">
        <v>50</v>
      </c>
      <c r="H123" s="70" t="s">
        <v>41</v>
      </c>
      <c r="I123" s="76">
        <f t="shared" si="10"/>
        <v>2.932551319648094E-2</v>
      </c>
    </row>
    <row r="124" spans="1:10">
      <c r="A124" s="70">
        <v>24006</v>
      </c>
      <c r="B124" s="71">
        <v>2</v>
      </c>
      <c r="C124" s="71">
        <v>83</v>
      </c>
      <c r="D124" s="71">
        <v>87</v>
      </c>
      <c r="E124" s="71">
        <v>1</v>
      </c>
      <c r="F124" s="72" t="s">
        <v>49</v>
      </c>
      <c r="G124" s="70">
        <v>25</v>
      </c>
      <c r="H124" s="70" t="s">
        <v>50</v>
      </c>
      <c r="I124" s="76">
        <f t="shared" si="10"/>
        <v>1.466275659824047E-2</v>
      </c>
    </row>
    <row r="125" spans="1:10">
      <c r="A125" s="70">
        <v>24007</v>
      </c>
      <c r="B125" s="71">
        <v>2</v>
      </c>
      <c r="C125" s="71">
        <v>83</v>
      </c>
      <c r="D125" s="71">
        <v>87</v>
      </c>
      <c r="E125" s="71">
        <v>1</v>
      </c>
      <c r="F125" s="72" t="s">
        <v>76</v>
      </c>
      <c r="G125" s="70">
        <v>150</v>
      </c>
      <c r="H125" s="70" t="s">
        <v>32</v>
      </c>
      <c r="I125" s="76">
        <f t="shared" si="10"/>
        <v>8.797653958944282E-2</v>
      </c>
    </row>
    <row r="126" spans="1:10">
      <c r="A126" s="70">
        <v>24008</v>
      </c>
      <c r="B126" s="71">
        <v>2</v>
      </c>
      <c r="C126" s="71">
        <v>83</v>
      </c>
      <c r="D126" s="71">
        <v>87</v>
      </c>
      <c r="E126" s="71">
        <v>1</v>
      </c>
      <c r="F126" s="72" t="s">
        <v>57</v>
      </c>
      <c r="G126" s="70">
        <v>110</v>
      </c>
      <c r="H126" s="70" t="s">
        <v>58</v>
      </c>
      <c r="I126" s="76">
        <f t="shared" si="10"/>
        <v>6.4516129032258063E-2</v>
      </c>
    </row>
    <row r="127" spans="1:10">
      <c r="A127" s="70">
        <v>24009</v>
      </c>
      <c r="B127" s="71">
        <v>2</v>
      </c>
      <c r="C127" s="71">
        <v>83</v>
      </c>
      <c r="D127" s="71">
        <v>87</v>
      </c>
      <c r="E127" s="71">
        <v>1</v>
      </c>
      <c r="F127" s="72" t="s">
        <v>59</v>
      </c>
      <c r="G127" s="70">
        <v>110</v>
      </c>
      <c r="H127" s="70" t="s">
        <v>60</v>
      </c>
      <c r="I127" s="76">
        <f t="shared" si="10"/>
        <v>6.4516129032258063E-2</v>
      </c>
    </row>
    <row r="128" spans="1:10">
      <c r="A128" s="70">
        <v>24010</v>
      </c>
      <c r="B128" s="71">
        <v>2</v>
      </c>
      <c r="C128" s="71">
        <v>83</v>
      </c>
      <c r="D128" s="71">
        <v>87</v>
      </c>
      <c r="E128" s="71">
        <v>1</v>
      </c>
      <c r="F128" s="72" t="s">
        <v>61</v>
      </c>
      <c r="G128" s="70">
        <v>110</v>
      </c>
      <c r="H128" s="70" t="s">
        <v>62</v>
      </c>
      <c r="I128" s="76">
        <f t="shared" si="10"/>
        <v>6.4516129032258063E-2</v>
      </c>
    </row>
    <row r="129" spans="1:9">
      <c r="A129" s="70">
        <v>24011</v>
      </c>
      <c r="B129" s="71">
        <v>2</v>
      </c>
      <c r="C129" s="71">
        <v>83</v>
      </c>
      <c r="D129" s="71">
        <v>87</v>
      </c>
      <c r="E129" s="71">
        <v>1</v>
      </c>
      <c r="F129" s="72" t="s">
        <v>69</v>
      </c>
      <c r="G129" s="70">
        <v>100</v>
      </c>
      <c r="H129" s="70" t="s">
        <v>70</v>
      </c>
      <c r="I129" s="76">
        <f t="shared" si="10"/>
        <v>5.865102639296188E-2</v>
      </c>
    </row>
    <row r="130" spans="1:9">
      <c r="A130" s="70">
        <v>24012</v>
      </c>
      <c r="B130" s="71">
        <v>2</v>
      </c>
      <c r="C130" s="71">
        <v>83</v>
      </c>
      <c r="D130" s="71">
        <v>87</v>
      </c>
      <c r="E130" s="71">
        <v>1</v>
      </c>
      <c r="F130" s="72" t="s">
        <v>71</v>
      </c>
      <c r="G130" s="70">
        <v>50</v>
      </c>
      <c r="H130" s="70" t="s">
        <v>58</v>
      </c>
      <c r="I130" s="76">
        <f t="shared" si="10"/>
        <v>2.932551319648094E-2</v>
      </c>
    </row>
    <row r="131" spans="1:9">
      <c r="A131" s="70">
        <v>24013</v>
      </c>
      <c r="B131" s="71">
        <v>2</v>
      </c>
      <c r="C131" s="71">
        <v>83</v>
      </c>
      <c r="D131" s="71">
        <v>87</v>
      </c>
      <c r="E131" s="71">
        <v>1</v>
      </c>
      <c r="F131" s="72" t="s">
        <v>72</v>
      </c>
      <c r="G131" s="70">
        <v>50</v>
      </c>
      <c r="H131" s="70" t="s">
        <v>60</v>
      </c>
      <c r="I131" s="76">
        <f t="shared" si="10"/>
        <v>2.932551319648094E-2</v>
      </c>
    </row>
    <row r="132" spans="1:9">
      <c r="A132" s="70">
        <v>24014</v>
      </c>
      <c r="B132" s="71">
        <v>2</v>
      </c>
      <c r="C132" s="71">
        <v>83</v>
      </c>
      <c r="D132" s="71">
        <v>87</v>
      </c>
      <c r="E132" s="71">
        <v>1</v>
      </c>
      <c r="F132" s="72" t="s">
        <v>73</v>
      </c>
      <c r="G132" s="70">
        <v>50</v>
      </c>
      <c r="H132" s="70" t="s">
        <v>62</v>
      </c>
      <c r="I132" s="76">
        <f t="shared" si="10"/>
        <v>2.932551319648094E-2</v>
      </c>
    </row>
    <row r="133" spans="1:9">
      <c r="A133" s="70">
        <v>24015</v>
      </c>
      <c r="B133" s="71">
        <v>2</v>
      </c>
      <c r="C133" s="71">
        <v>83</v>
      </c>
      <c r="D133" s="71">
        <v>87</v>
      </c>
      <c r="E133" s="71">
        <v>1</v>
      </c>
      <c r="F133" s="77" t="s">
        <v>77</v>
      </c>
      <c r="G133" s="70">
        <v>20</v>
      </c>
      <c r="H133" s="61" t="s">
        <v>78</v>
      </c>
      <c r="I133" s="76">
        <f t="shared" si="10"/>
        <v>1.1730205278592375E-2</v>
      </c>
    </row>
    <row r="134" spans="1:9">
      <c r="A134" s="70">
        <v>24016</v>
      </c>
      <c r="B134" s="71">
        <v>2</v>
      </c>
      <c r="C134" s="71">
        <v>83</v>
      </c>
      <c r="D134" s="71">
        <v>87</v>
      </c>
      <c r="E134" s="71">
        <v>1</v>
      </c>
      <c r="F134" s="77" t="s">
        <v>79</v>
      </c>
      <c r="G134" s="70">
        <v>20</v>
      </c>
      <c r="H134" s="61" t="s">
        <v>80</v>
      </c>
      <c r="I134" s="76">
        <f t="shared" si="10"/>
        <v>1.1730205278592375E-2</v>
      </c>
    </row>
    <row r="135" spans="1:9">
      <c r="A135">
        <v>24101</v>
      </c>
      <c r="B135" s="2">
        <v>2</v>
      </c>
      <c r="C135" s="2">
        <v>83</v>
      </c>
      <c r="D135" s="2">
        <v>87</v>
      </c>
      <c r="E135" s="2">
        <v>2</v>
      </c>
      <c r="F135" s="22" t="s">
        <v>65</v>
      </c>
      <c r="G135">
        <v>250</v>
      </c>
      <c r="H135" t="s">
        <v>21</v>
      </c>
      <c r="I135" s="23">
        <f t="shared" si="10"/>
        <v>0.1466275659824047</v>
      </c>
    </row>
    <row r="136" spans="1:9">
      <c r="A136">
        <v>24102</v>
      </c>
      <c r="B136" s="2">
        <v>2</v>
      </c>
      <c r="C136" s="2">
        <v>83</v>
      </c>
      <c r="D136" s="2">
        <v>87</v>
      </c>
      <c r="E136" s="2">
        <v>2</v>
      </c>
      <c r="F136" s="22" t="s">
        <v>66</v>
      </c>
      <c r="G136">
        <v>250</v>
      </c>
      <c r="H136" t="s">
        <v>23</v>
      </c>
      <c r="I136" s="23">
        <f t="shared" si="10"/>
        <v>0.1466275659824047</v>
      </c>
    </row>
    <row r="137" spans="1:9">
      <c r="A137">
        <v>24103</v>
      </c>
      <c r="B137" s="2">
        <v>2</v>
      </c>
      <c r="C137" s="2">
        <v>83</v>
      </c>
      <c r="D137" s="2">
        <v>87</v>
      </c>
      <c r="E137" s="2">
        <v>2</v>
      </c>
      <c r="F137" s="22" t="s">
        <v>75</v>
      </c>
      <c r="G137">
        <v>250</v>
      </c>
      <c r="H137" t="s">
        <v>25</v>
      </c>
      <c r="I137" s="23">
        <f t="shared" si="10"/>
        <v>0.1466275659824047</v>
      </c>
    </row>
    <row r="138" spans="1:9">
      <c r="A138">
        <v>24104</v>
      </c>
      <c r="B138" s="2">
        <v>2</v>
      </c>
      <c r="C138" s="2">
        <v>83</v>
      </c>
      <c r="D138" s="2">
        <v>87</v>
      </c>
      <c r="E138" s="2">
        <v>2</v>
      </c>
      <c r="F138" s="22" t="s">
        <v>40</v>
      </c>
      <c r="G138">
        <v>110</v>
      </c>
      <c r="H138" t="s">
        <v>41</v>
      </c>
      <c r="I138" s="23">
        <f t="shared" si="10"/>
        <v>6.4516129032258063E-2</v>
      </c>
    </row>
    <row r="139" spans="1:9">
      <c r="A139">
        <v>24105</v>
      </c>
      <c r="B139" s="2">
        <v>2</v>
      </c>
      <c r="C139" s="2">
        <v>83</v>
      </c>
      <c r="D139" s="2">
        <v>87</v>
      </c>
      <c r="E139" s="2">
        <v>2</v>
      </c>
      <c r="F139" s="22" t="s">
        <v>48</v>
      </c>
      <c r="G139">
        <v>50</v>
      </c>
      <c r="H139" t="s">
        <v>41</v>
      </c>
      <c r="I139" s="23">
        <f t="shared" si="10"/>
        <v>2.932551319648094E-2</v>
      </c>
    </row>
    <row r="140" spans="1:9">
      <c r="A140">
        <v>24106</v>
      </c>
      <c r="B140" s="2">
        <v>2</v>
      </c>
      <c r="C140" s="2">
        <v>83</v>
      </c>
      <c r="D140" s="2">
        <v>87</v>
      </c>
      <c r="E140" s="2">
        <v>2</v>
      </c>
      <c r="F140" s="22" t="s">
        <v>49</v>
      </c>
      <c r="G140">
        <v>25</v>
      </c>
      <c r="H140" t="s">
        <v>50</v>
      </c>
      <c r="I140" s="23">
        <f t="shared" si="10"/>
        <v>1.466275659824047E-2</v>
      </c>
    </row>
    <row r="141" spans="1:9">
      <c r="A141">
        <v>24107</v>
      </c>
      <c r="B141" s="2">
        <v>2</v>
      </c>
      <c r="C141" s="2">
        <v>83</v>
      </c>
      <c r="D141" s="2">
        <v>87</v>
      </c>
      <c r="E141" s="2">
        <v>2</v>
      </c>
      <c r="F141" s="22" t="s">
        <v>76</v>
      </c>
      <c r="G141">
        <v>150</v>
      </c>
      <c r="H141" t="s">
        <v>32</v>
      </c>
      <c r="I141" s="23">
        <f t="shared" si="10"/>
        <v>8.797653958944282E-2</v>
      </c>
    </row>
    <row r="142" spans="1:9">
      <c r="A142">
        <v>24108</v>
      </c>
      <c r="B142" s="2">
        <v>2</v>
      </c>
      <c r="C142" s="2">
        <v>83</v>
      </c>
      <c r="D142" s="2">
        <v>87</v>
      </c>
      <c r="E142" s="2">
        <v>2</v>
      </c>
      <c r="F142" s="22" t="s">
        <v>57</v>
      </c>
      <c r="G142">
        <v>110</v>
      </c>
      <c r="H142" t="s">
        <v>58</v>
      </c>
      <c r="I142" s="23">
        <f t="shared" si="10"/>
        <v>6.4516129032258063E-2</v>
      </c>
    </row>
    <row r="143" spans="1:9">
      <c r="A143">
        <v>24109</v>
      </c>
      <c r="B143" s="2">
        <v>2</v>
      </c>
      <c r="C143" s="2">
        <v>83</v>
      </c>
      <c r="D143" s="2">
        <v>87</v>
      </c>
      <c r="E143" s="2">
        <v>2</v>
      </c>
      <c r="F143" s="22" t="s">
        <v>59</v>
      </c>
      <c r="G143">
        <v>110</v>
      </c>
      <c r="H143" t="s">
        <v>60</v>
      </c>
      <c r="I143" s="23">
        <f t="shared" si="10"/>
        <v>6.4516129032258063E-2</v>
      </c>
    </row>
    <row r="144" spans="1:9">
      <c r="A144">
        <v>24110</v>
      </c>
      <c r="B144" s="2">
        <v>2</v>
      </c>
      <c r="C144" s="2">
        <v>83</v>
      </c>
      <c r="D144" s="2">
        <v>87</v>
      </c>
      <c r="E144" s="2">
        <v>2</v>
      </c>
      <c r="F144" s="22" t="s">
        <v>61</v>
      </c>
      <c r="G144">
        <v>110</v>
      </c>
      <c r="H144" t="s">
        <v>62</v>
      </c>
      <c r="I144" s="23">
        <f t="shared" si="10"/>
        <v>6.4516129032258063E-2</v>
      </c>
    </row>
    <row r="145" spans="1:10">
      <c r="A145">
        <v>24111</v>
      </c>
      <c r="B145" s="2">
        <v>2</v>
      </c>
      <c r="C145" s="2">
        <v>83</v>
      </c>
      <c r="D145" s="2">
        <v>87</v>
      </c>
      <c r="E145" s="2">
        <v>2</v>
      </c>
      <c r="F145" s="22" t="s">
        <v>69</v>
      </c>
      <c r="G145">
        <v>100</v>
      </c>
      <c r="H145" t="s">
        <v>70</v>
      </c>
      <c r="I145" s="23">
        <f t="shared" si="10"/>
        <v>5.865102639296188E-2</v>
      </c>
    </row>
    <row r="146" spans="1:10">
      <c r="A146">
        <v>24112</v>
      </c>
      <c r="B146" s="2">
        <v>2</v>
      </c>
      <c r="C146" s="2">
        <v>83</v>
      </c>
      <c r="D146" s="2">
        <v>87</v>
      </c>
      <c r="E146" s="2">
        <v>2</v>
      </c>
      <c r="F146" s="22" t="s">
        <v>71</v>
      </c>
      <c r="G146">
        <v>50</v>
      </c>
      <c r="H146" t="s">
        <v>58</v>
      </c>
      <c r="I146" s="23">
        <f t="shared" si="10"/>
        <v>2.932551319648094E-2</v>
      </c>
    </row>
    <row r="147" spans="1:10">
      <c r="A147">
        <v>24113</v>
      </c>
      <c r="B147" s="2">
        <v>2</v>
      </c>
      <c r="C147" s="2">
        <v>83</v>
      </c>
      <c r="D147" s="2">
        <v>87</v>
      </c>
      <c r="E147" s="2">
        <v>2</v>
      </c>
      <c r="F147" s="22" t="s">
        <v>72</v>
      </c>
      <c r="G147">
        <v>50</v>
      </c>
      <c r="H147" t="s">
        <v>60</v>
      </c>
      <c r="I147" s="23">
        <f t="shared" si="10"/>
        <v>2.932551319648094E-2</v>
      </c>
    </row>
    <row r="148" spans="1:10">
      <c r="A148">
        <v>24114</v>
      </c>
      <c r="B148" s="2">
        <v>2</v>
      </c>
      <c r="C148" s="2">
        <v>83</v>
      </c>
      <c r="D148" s="2">
        <v>87</v>
      </c>
      <c r="E148" s="2">
        <v>2</v>
      </c>
      <c r="F148" s="22" t="s">
        <v>73</v>
      </c>
      <c r="G148">
        <v>50</v>
      </c>
      <c r="H148" t="s">
        <v>62</v>
      </c>
      <c r="I148" s="23">
        <f t="shared" si="10"/>
        <v>2.932551319648094E-2</v>
      </c>
    </row>
    <row r="149" spans="1:10">
      <c r="A149">
        <v>24115</v>
      </c>
      <c r="B149" s="2">
        <v>2</v>
      </c>
      <c r="C149" s="2">
        <v>83</v>
      </c>
      <c r="D149" s="2">
        <v>87</v>
      </c>
      <c r="E149" s="2">
        <v>2</v>
      </c>
      <c r="F149" s="74" t="s">
        <v>77</v>
      </c>
      <c r="G149">
        <v>20</v>
      </c>
      <c r="H149" s="75" t="s">
        <v>78</v>
      </c>
      <c r="I149" s="23">
        <f t="shared" si="10"/>
        <v>1.1730205278592375E-2</v>
      </c>
    </row>
    <row r="150" spans="1:10">
      <c r="A150">
        <v>24116</v>
      </c>
      <c r="B150" s="2">
        <v>2</v>
      </c>
      <c r="C150" s="2">
        <v>83</v>
      </c>
      <c r="D150" s="2">
        <v>87</v>
      </c>
      <c r="E150" s="2">
        <v>2</v>
      </c>
      <c r="F150" s="74" t="s">
        <v>79</v>
      </c>
      <c r="G150">
        <v>20</v>
      </c>
      <c r="H150" s="75" t="s">
        <v>80</v>
      </c>
      <c r="I150" s="23">
        <f t="shared" si="10"/>
        <v>1.1730205278592375E-2</v>
      </c>
    </row>
    <row r="151" spans="1:10">
      <c r="A151" s="70">
        <v>25001</v>
      </c>
      <c r="B151" s="71">
        <v>2</v>
      </c>
      <c r="C151" s="71">
        <v>88</v>
      </c>
      <c r="D151" s="71">
        <v>10000</v>
      </c>
      <c r="E151" s="71">
        <v>1</v>
      </c>
      <c r="F151" s="72" t="s">
        <v>65</v>
      </c>
      <c r="G151" s="70">
        <v>230</v>
      </c>
      <c r="H151" s="70" t="s">
        <v>21</v>
      </c>
      <c r="I151" s="76">
        <f>G151/$J$151</f>
        <v>0.14067278287461774</v>
      </c>
      <c r="J151">
        <f>SUM(G151:G166)</f>
        <v>1635</v>
      </c>
    </row>
    <row r="152" spans="1:10">
      <c r="A152" s="70">
        <v>25002</v>
      </c>
      <c r="B152" s="71">
        <v>2</v>
      </c>
      <c r="C152" s="71">
        <v>88</v>
      </c>
      <c r="D152" s="71">
        <v>10000</v>
      </c>
      <c r="E152" s="71">
        <v>1</v>
      </c>
      <c r="F152" s="72" t="s">
        <v>66</v>
      </c>
      <c r="G152" s="70">
        <v>230</v>
      </c>
      <c r="H152" s="70" t="s">
        <v>23</v>
      </c>
      <c r="I152" s="76">
        <f t="shared" ref="I152:I182" si="11">G152/$J$151</f>
        <v>0.14067278287461774</v>
      </c>
    </row>
    <row r="153" spans="1:10">
      <c r="A153" s="70">
        <v>25003</v>
      </c>
      <c r="B153" s="71">
        <v>2</v>
      </c>
      <c r="C153" s="71">
        <v>88</v>
      </c>
      <c r="D153" s="71">
        <v>10000</v>
      </c>
      <c r="E153" s="71">
        <v>1</v>
      </c>
      <c r="F153" s="72" t="s">
        <v>75</v>
      </c>
      <c r="G153" s="70">
        <v>230</v>
      </c>
      <c r="H153" s="70" t="s">
        <v>25</v>
      </c>
      <c r="I153" s="76">
        <f t="shared" si="11"/>
        <v>0.14067278287461774</v>
      </c>
    </row>
    <row r="154" spans="1:10">
      <c r="A154" s="70">
        <v>25004</v>
      </c>
      <c r="B154" s="71">
        <v>2</v>
      </c>
      <c r="C154" s="71">
        <v>88</v>
      </c>
      <c r="D154" s="71">
        <v>10000</v>
      </c>
      <c r="E154" s="71">
        <v>1</v>
      </c>
      <c r="F154" s="72" t="s">
        <v>40</v>
      </c>
      <c r="G154" s="70">
        <v>110</v>
      </c>
      <c r="H154" s="70" t="s">
        <v>41</v>
      </c>
      <c r="I154" s="76">
        <f t="shared" si="11"/>
        <v>6.7278287461773695E-2</v>
      </c>
    </row>
    <row r="155" spans="1:10">
      <c r="A155" s="70">
        <v>25005</v>
      </c>
      <c r="B155" s="71">
        <v>2</v>
      </c>
      <c r="C155" s="71">
        <v>88</v>
      </c>
      <c r="D155" s="71">
        <v>10000</v>
      </c>
      <c r="E155" s="71">
        <v>1</v>
      </c>
      <c r="F155" s="72" t="s">
        <v>48</v>
      </c>
      <c r="G155" s="70">
        <v>50</v>
      </c>
      <c r="H155" s="70" t="s">
        <v>41</v>
      </c>
      <c r="I155" s="76">
        <f t="shared" si="11"/>
        <v>3.0581039755351681E-2</v>
      </c>
    </row>
    <row r="156" spans="1:10">
      <c r="A156" s="70">
        <v>25006</v>
      </c>
      <c r="B156" s="71">
        <v>2</v>
      </c>
      <c r="C156" s="71">
        <v>88</v>
      </c>
      <c r="D156" s="71">
        <v>10000</v>
      </c>
      <c r="E156" s="71">
        <v>1</v>
      </c>
      <c r="F156" s="72" t="s">
        <v>49</v>
      </c>
      <c r="G156" s="70">
        <v>25</v>
      </c>
      <c r="H156" s="70" t="s">
        <v>50</v>
      </c>
      <c r="I156" s="76">
        <f t="shared" si="11"/>
        <v>1.5290519877675841E-2</v>
      </c>
    </row>
    <row r="157" spans="1:10">
      <c r="A157" s="70">
        <v>25007</v>
      </c>
      <c r="B157" s="71">
        <v>2</v>
      </c>
      <c r="C157" s="71">
        <v>88</v>
      </c>
      <c r="D157" s="71">
        <v>10000</v>
      </c>
      <c r="E157" s="71">
        <v>1</v>
      </c>
      <c r="F157" s="72" t="s">
        <v>76</v>
      </c>
      <c r="G157" s="70">
        <v>140</v>
      </c>
      <c r="H157" s="70" t="s">
        <v>32</v>
      </c>
      <c r="I157" s="76">
        <f t="shared" si="11"/>
        <v>8.5626911314984705E-2</v>
      </c>
    </row>
    <row r="158" spans="1:10">
      <c r="A158" s="70">
        <v>25008</v>
      </c>
      <c r="B158" s="71">
        <v>2</v>
      </c>
      <c r="C158" s="71">
        <v>88</v>
      </c>
      <c r="D158" s="71">
        <v>10000</v>
      </c>
      <c r="E158" s="71">
        <v>1</v>
      </c>
      <c r="F158" s="72" t="s">
        <v>57</v>
      </c>
      <c r="G158" s="70">
        <v>110</v>
      </c>
      <c r="H158" s="70" t="s">
        <v>58</v>
      </c>
      <c r="I158" s="76">
        <f t="shared" si="11"/>
        <v>6.7278287461773695E-2</v>
      </c>
    </row>
    <row r="159" spans="1:10">
      <c r="A159" s="70">
        <v>25009</v>
      </c>
      <c r="B159" s="71">
        <v>2</v>
      </c>
      <c r="C159" s="71">
        <v>88</v>
      </c>
      <c r="D159" s="71">
        <v>10000</v>
      </c>
      <c r="E159" s="71">
        <v>1</v>
      </c>
      <c r="F159" s="72" t="s">
        <v>59</v>
      </c>
      <c r="G159" s="70">
        <v>110</v>
      </c>
      <c r="H159" s="70" t="s">
        <v>60</v>
      </c>
      <c r="I159" s="76">
        <f t="shared" si="11"/>
        <v>6.7278287461773695E-2</v>
      </c>
    </row>
    <row r="160" spans="1:10">
      <c r="A160" s="70">
        <v>25010</v>
      </c>
      <c r="B160" s="71">
        <v>2</v>
      </c>
      <c r="C160" s="71">
        <v>88</v>
      </c>
      <c r="D160" s="71">
        <v>10000</v>
      </c>
      <c r="E160" s="71">
        <v>1</v>
      </c>
      <c r="F160" s="72" t="s">
        <v>61</v>
      </c>
      <c r="G160" s="70">
        <v>110</v>
      </c>
      <c r="H160" s="70" t="s">
        <v>62</v>
      </c>
      <c r="I160" s="76">
        <f t="shared" si="11"/>
        <v>6.7278287461773695E-2</v>
      </c>
    </row>
    <row r="161" spans="1:9">
      <c r="A161" s="70">
        <v>25011</v>
      </c>
      <c r="B161" s="71">
        <v>2</v>
      </c>
      <c r="C161" s="71">
        <v>88</v>
      </c>
      <c r="D161" s="71">
        <v>10000</v>
      </c>
      <c r="E161" s="71">
        <v>1</v>
      </c>
      <c r="F161" s="72" t="s">
        <v>69</v>
      </c>
      <c r="G161" s="70">
        <v>100</v>
      </c>
      <c r="H161" s="70" t="s">
        <v>70</v>
      </c>
      <c r="I161" s="76">
        <f t="shared" si="11"/>
        <v>6.1162079510703363E-2</v>
      </c>
    </row>
    <row r="162" spans="1:9">
      <c r="A162" s="70">
        <v>25012</v>
      </c>
      <c r="B162" s="71">
        <v>2</v>
      </c>
      <c r="C162" s="71">
        <v>88</v>
      </c>
      <c r="D162" s="71">
        <v>10000</v>
      </c>
      <c r="E162" s="71">
        <v>1</v>
      </c>
      <c r="F162" s="72" t="s">
        <v>71</v>
      </c>
      <c r="G162" s="70">
        <v>50</v>
      </c>
      <c r="H162" s="70" t="s">
        <v>58</v>
      </c>
      <c r="I162" s="76">
        <f t="shared" si="11"/>
        <v>3.0581039755351681E-2</v>
      </c>
    </row>
    <row r="163" spans="1:9">
      <c r="A163" s="70">
        <v>25013</v>
      </c>
      <c r="B163" s="71">
        <v>2</v>
      </c>
      <c r="C163" s="71">
        <v>88</v>
      </c>
      <c r="D163" s="71">
        <v>10000</v>
      </c>
      <c r="E163" s="71">
        <v>1</v>
      </c>
      <c r="F163" s="72" t="s">
        <v>72</v>
      </c>
      <c r="G163" s="70">
        <v>50</v>
      </c>
      <c r="H163" s="70" t="s">
        <v>60</v>
      </c>
      <c r="I163" s="76">
        <f t="shared" si="11"/>
        <v>3.0581039755351681E-2</v>
      </c>
    </row>
    <row r="164" spans="1:9">
      <c r="A164" s="70">
        <v>25014</v>
      </c>
      <c r="B164" s="71">
        <v>2</v>
      </c>
      <c r="C164" s="71">
        <v>88</v>
      </c>
      <c r="D164" s="71">
        <v>10000</v>
      </c>
      <c r="E164" s="71">
        <v>1</v>
      </c>
      <c r="F164" s="72" t="s">
        <v>73</v>
      </c>
      <c r="G164" s="70">
        <v>50</v>
      </c>
      <c r="H164" s="70" t="s">
        <v>62</v>
      </c>
      <c r="I164" s="76">
        <f t="shared" si="11"/>
        <v>3.0581039755351681E-2</v>
      </c>
    </row>
    <row r="165" spans="1:9">
      <c r="A165" s="70">
        <v>25015</v>
      </c>
      <c r="B165" s="71">
        <v>2</v>
      </c>
      <c r="C165" s="71">
        <v>88</v>
      </c>
      <c r="D165" s="71">
        <v>10000</v>
      </c>
      <c r="E165" s="71">
        <v>1</v>
      </c>
      <c r="F165" s="72" t="s">
        <v>77</v>
      </c>
      <c r="G165" s="70">
        <v>20</v>
      </c>
      <c r="H165" s="70" t="s">
        <v>78</v>
      </c>
      <c r="I165" s="76">
        <f t="shared" si="11"/>
        <v>1.2232415902140673E-2</v>
      </c>
    </row>
    <row r="166" spans="1:9">
      <c r="A166" s="70">
        <v>25016</v>
      </c>
      <c r="B166" s="71">
        <v>2</v>
      </c>
      <c r="C166" s="71">
        <v>88</v>
      </c>
      <c r="D166" s="71">
        <v>10000</v>
      </c>
      <c r="E166" s="71">
        <v>1</v>
      </c>
      <c r="F166" s="72" t="s">
        <v>79</v>
      </c>
      <c r="G166" s="70">
        <v>20</v>
      </c>
      <c r="H166" s="70" t="s">
        <v>80</v>
      </c>
      <c r="I166" s="76">
        <f t="shared" si="11"/>
        <v>1.2232415902140673E-2</v>
      </c>
    </row>
    <row r="167" spans="1:9">
      <c r="A167">
        <v>25101</v>
      </c>
      <c r="B167" s="2">
        <v>2</v>
      </c>
      <c r="C167" s="2">
        <v>88</v>
      </c>
      <c r="D167" s="2">
        <v>10000</v>
      </c>
      <c r="E167" s="2">
        <v>2</v>
      </c>
      <c r="F167" s="22" t="s">
        <v>65</v>
      </c>
      <c r="G167">
        <v>250</v>
      </c>
      <c r="H167" t="s">
        <v>21</v>
      </c>
      <c r="I167" s="23">
        <f t="shared" si="11"/>
        <v>0.1529051987767584</v>
      </c>
    </row>
    <row r="168" spans="1:9">
      <c r="A168">
        <v>25102</v>
      </c>
      <c r="B168" s="2">
        <v>2</v>
      </c>
      <c r="C168" s="2">
        <v>88</v>
      </c>
      <c r="D168" s="2">
        <v>10000</v>
      </c>
      <c r="E168" s="2">
        <v>2</v>
      </c>
      <c r="F168" s="22" t="s">
        <v>66</v>
      </c>
      <c r="G168">
        <v>250</v>
      </c>
      <c r="H168" t="s">
        <v>23</v>
      </c>
      <c r="I168" s="23">
        <f t="shared" si="11"/>
        <v>0.1529051987767584</v>
      </c>
    </row>
    <row r="169" spans="1:9">
      <c r="A169">
        <v>25103</v>
      </c>
      <c r="B169" s="2">
        <v>2</v>
      </c>
      <c r="C169" s="2">
        <v>88</v>
      </c>
      <c r="D169" s="2">
        <v>10000</v>
      </c>
      <c r="E169" s="2">
        <v>2</v>
      </c>
      <c r="F169" s="22" t="s">
        <v>75</v>
      </c>
      <c r="G169">
        <v>250</v>
      </c>
      <c r="H169" t="s">
        <v>25</v>
      </c>
      <c r="I169" s="23">
        <f t="shared" si="11"/>
        <v>0.1529051987767584</v>
      </c>
    </row>
    <row r="170" spans="1:9">
      <c r="A170">
        <v>25104</v>
      </c>
      <c r="B170" s="2">
        <v>2</v>
      </c>
      <c r="C170" s="2">
        <v>88</v>
      </c>
      <c r="D170" s="2">
        <v>10000</v>
      </c>
      <c r="E170" s="2">
        <v>2</v>
      </c>
      <c r="F170" s="22" t="s">
        <v>40</v>
      </c>
      <c r="G170">
        <v>110</v>
      </c>
      <c r="H170" t="s">
        <v>41</v>
      </c>
      <c r="I170" s="23">
        <f t="shared" si="11"/>
        <v>6.7278287461773695E-2</v>
      </c>
    </row>
    <row r="171" spans="1:9">
      <c r="A171">
        <v>25105</v>
      </c>
      <c r="B171" s="2">
        <v>2</v>
      </c>
      <c r="C171" s="2">
        <v>88</v>
      </c>
      <c r="D171" s="2">
        <v>10000</v>
      </c>
      <c r="E171" s="2">
        <v>2</v>
      </c>
      <c r="F171" s="22" t="s">
        <v>48</v>
      </c>
      <c r="G171">
        <v>50</v>
      </c>
      <c r="H171" t="s">
        <v>41</v>
      </c>
      <c r="I171" s="23">
        <f t="shared" si="11"/>
        <v>3.0581039755351681E-2</v>
      </c>
    </row>
    <row r="172" spans="1:9">
      <c r="A172">
        <v>25106</v>
      </c>
      <c r="B172" s="2">
        <v>2</v>
      </c>
      <c r="C172" s="2">
        <v>88</v>
      </c>
      <c r="D172" s="2">
        <v>10000</v>
      </c>
      <c r="E172" s="2">
        <v>2</v>
      </c>
      <c r="F172" s="22" t="s">
        <v>49</v>
      </c>
      <c r="G172">
        <v>25</v>
      </c>
      <c r="H172" t="s">
        <v>50</v>
      </c>
      <c r="I172" s="23">
        <f t="shared" si="11"/>
        <v>1.5290519877675841E-2</v>
      </c>
    </row>
    <row r="173" spans="1:9">
      <c r="A173">
        <v>25107</v>
      </c>
      <c r="B173" s="2">
        <v>2</v>
      </c>
      <c r="C173" s="2">
        <v>88</v>
      </c>
      <c r="D173" s="2">
        <v>10000</v>
      </c>
      <c r="E173" s="2">
        <v>2</v>
      </c>
      <c r="F173" s="22" t="s">
        <v>76</v>
      </c>
      <c r="G173">
        <v>150</v>
      </c>
      <c r="H173" t="s">
        <v>32</v>
      </c>
      <c r="I173" s="23">
        <f t="shared" si="11"/>
        <v>9.1743119266055051E-2</v>
      </c>
    </row>
    <row r="174" spans="1:9">
      <c r="A174">
        <v>25108</v>
      </c>
      <c r="B174" s="2">
        <v>2</v>
      </c>
      <c r="C174" s="2">
        <v>88</v>
      </c>
      <c r="D174" s="2">
        <v>10000</v>
      </c>
      <c r="E174" s="2">
        <v>2</v>
      </c>
      <c r="F174" s="22" t="s">
        <v>57</v>
      </c>
      <c r="G174">
        <v>110</v>
      </c>
      <c r="H174" t="s">
        <v>58</v>
      </c>
      <c r="I174" s="23">
        <f t="shared" si="11"/>
        <v>6.7278287461773695E-2</v>
      </c>
    </row>
    <row r="175" spans="1:9">
      <c r="A175">
        <v>25109</v>
      </c>
      <c r="B175" s="2">
        <v>2</v>
      </c>
      <c r="C175" s="2">
        <v>88</v>
      </c>
      <c r="D175" s="2">
        <v>10000</v>
      </c>
      <c r="E175" s="2">
        <v>2</v>
      </c>
      <c r="F175" s="22" t="s">
        <v>59</v>
      </c>
      <c r="G175">
        <v>110</v>
      </c>
      <c r="H175" t="s">
        <v>60</v>
      </c>
      <c r="I175" s="23">
        <f t="shared" si="11"/>
        <v>6.7278287461773695E-2</v>
      </c>
    </row>
    <row r="176" spans="1:9">
      <c r="A176">
        <v>25110</v>
      </c>
      <c r="B176" s="2">
        <v>2</v>
      </c>
      <c r="C176" s="2">
        <v>88</v>
      </c>
      <c r="D176" s="2">
        <v>10000</v>
      </c>
      <c r="E176" s="2">
        <v>2</v>
      </c>
      <c r="F176" s="22" t="s">
        <v>61</v>
      </c>
      <c r="G176">
        <v>110</v>
      </c>
      <c r="H176" t="s">
        <v>62</v>
      </c>
      <c r="I176" s="23">
        <f t="shared" si="11"/>
        <v>6.7278287461773695E-2</v>
      </c>
    </row>
    <row r="177" spans="1:9">
      <c r="A177">
        <v>25111</v>
      </c>
      <c r="B177" s="2">
        <v>2</v>
      </c>
      <c r="C177" s="2">
        <v>88</v>
      </c>
      <c r="D177" s="2">
        <v>10000</v>
      </c>
      <c r="E177" s="2">
        <v>2</v>
      </c>
      <c r="F177" s="22" t="s">
        <v>69</v>
      </c>
      <c r="G177">
        <v>100</v>
      </c>
      <c r="H177" t="s">
        <v>70</v>
      </c>
      <c r="I177" s="23">
        <f t="shared" si="11"/>
        <v>6.1162079510703363E-2</v>
      </c>
    </row>
    <row r="178" spans="1:9">
      <c r="A178">
        <v>25112</v>
      </c>
      <c r="B178" s="2">
        <v>2</v>
      </c>
      <c r="C178" s="2">
        <v>88</v>
      </c>
      <c r="D178" s="2">
        <v>10000</v>
      </c>
      <c r="E178" s="2">
        <v>2</v>
      </c>
      <c r="F178" s="22" t="s">
        <v>71</v>
      </c>
      <c r="G178">
        <v>50</v>
      </c>
      <c r="H178" t="s">
        <v>58</v>
      </c>
      <c r="I178" s="23">
        <f t="shared" si="11"/>
        <v>3.0581039755351681E-2</v>
      </c>
    </row>
    <row r="179" spans="1:9">
      <c r="A179">
        <v>25113</v>
      </c>
      <c r="B179" s="2">
        <v>2</v>
      </c>
      <c r="C179" s="2">
        <v>88</v>
      </c>
      <c r="D179" s="2">
        <v>10000</v>
      </c>
      <c r="E179" s="2">
        <v>2</v>
      </c>
      <c r="F179" s="22" t="s">
        <v>72</v>
      </c>
      <c r="G179">
        <v>50</v>
      </c>
      <c r="H179" t="s">
        <v>60</v>
      </c>
      <c r="I179" s="23">
        <f t="shared" si="11"/>
        <v>3.0581039755351681E-2</v>
      </c>
    </row>
    <row r="180" spans="1:9">
      <c r="A180">
        <v>25114</v>
      </c>
      <c r="B180" s="2">
        <v>2</v>
      </c>
      <c r="C180" s="2">
        <v>88</v>
      </c>
      <c r="D180" s="2">
        <v>10000</v>
      </c>
      <c r="E180" s="2">
        <v>2</v>
      </c>
      <c r="F180" s="22" t="s">
        <v>73</v>
      </c>
      <c r="G180">
        <v>50</v>
      </c>
      <c r="H180" t="s">
        <v>62</v>
      </c>
      <c r="I180" s="23">
        <f t="shared" si="11"/>
        <v>3.0581039755351681E-2</v>
      </c>
    </row>
    <row r="181" spans="1:9">
      <c r="A181">
        <v>25115</v>
      </c>
      <c r="B181" s="2">
        <v>2</v>
      </c>
      <c r="C181" s="2">
        <v>88</v>
      </c>
      <c r="D181" s="2">
        <v>10000</v>
      </c>
      <c r="E181" s="2">
        <v>2</v>
      </c>
      <c r="F181" s="22" t="s">
        <v>77</v>
      </c>
      <c r="G181" s="78">
        <v>20</v>
      </c>
      <c r="H181" s="22" t="s">
        <v>78</v>
      </c>
      <c r="I181" s="23">
        <f t="shared" si="11"/>
        <v>1.2232415902140673E-2</v>
      </c>
    </row>
    <row r="182" spans="1:9">
      <c r="A182">
        <v>25116</v>
      </c>
      <c r="B182" s="2">
        <v>2</v>
      </c>
      <c r="C182" s="2">
        <v>88</v>
      </c>
      <c r="D182" s="2">
        <v>10000</v>
      </c>
      <c r="E182" s="2">
        <v>2</v>
      </c>
      <c r="F182" s="22" t="s">
        <v>79</v>
      </c>
      <c r="G182" s="78">
        <v>20</v>
      </c>
      <c r="H182" s="22" t="s">
        <v>80</v>
      </c>
      <c r="I182" s="23">
        <f t="shared" si="11"/>
        <v>1.2232415902140673E-2</v>
      </c>
    </row>
  </sheetData>
  <phoneticPr fontId="14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5"/>
  <sheetViews>
    <sheetView workbookViewId="0">
      <selection activeCell="B2" sqref="B2:B45"/>
    </sheetView>
  </sheetViews>
  <sheetFormatPr defaultColWidth="9" defaultRowHeight="15"/>
  <cols>
    <col min="1" max="1" width="8.42578125" style="11" customWidth="1"/>
    <col min="2" max="2" width="9.7109375" style="11" customWidth="1"/>
    <col min="3" max="4" width="9.7109375" customWidth="1"/>
    <col min="5" max="5" width="8" customWidth="1"/>
    <col min="6" max="6" width="15" customWidth="1"/>
    <col min="7" max="7" width="11.5703125" customWidth="1"/>
    <col min="8" max="8" width="9.7109375" customWidth="1"/>
    <col min="9" max="9" width="5.7109375" customWidth="1"/>
    <col min="10" max="10" width="13.7109375" style="11" customWidth="1"/>
  </cols>
  <sheetData>
    <row r="1" spans="1:10" s="9" customFormat="1" ht="13.5">
      <c r="A1" s="12" t="s">
        <v>81</v>
      </c>
      <c r="B1" s="12" t="s">
        <v>82</v>
      </c>
      <c r="C1" s="12" t="s">
        <v>83</v>
      </c>
      <c r="D1" s="12" t="s">
        <v>84</v>
      </c>
      <c r="E1" s="12" t="s">
        <v>85</v>
      </c>
      <c r="F1" s="12" t="s">
        <v>86</v>
      </c>
      <c r="G1" s="13" t="s">
        <v>87</v>
      </c>
      <c r="H1" s="12" t="s">
        <v>88</v>
      </c>
      <c r="I1" s="12" t="s">
        <v>89</v>
      </c>
      <c r="J1" s="13" t="s">
        <v>90</v>
      </c>
    </row>
    <row r="2" spans="1:10" s="9" customFormat="1" ht="28.5">
      <c r="A2" s="14">
        <v>1500001</v>
      </c>
      <c r="B2" s="89" t="s">
        <v>172</v>
      </c>
      <c r="C2" s="15">
        <v>1</v>
      </c>
      <c r="D2" s="15">
        <v>1</v>
      </c>
      <c r="E2" s="15">
        <v>140</v>
      </c>
      <c r="F2" s="14" t="s">
        <v>91</v>
      </c>
      <c r="G2" s="14" t="s">
        <v>92</v>
      </c>
      <c r="H2" s="15">
        <v>1</v>
      </c>
      <c r="I2" s="15">
        <v>4</v>
      </c>
      <c r="J2" s="14" t="s">
        <v>93</v>
      </c>
    </row>
    <row r="3" spans="1:10" s="10" customFormat="1" ht="28.5">
      <c r="A3" s="14">
        <v>1500002</v>
      </c>
      <c r="B3" s="89" t="s">
        <v>173</v>
      </c>
      <c r="C3" s="15">
        <v>1</v>
      </c>
      <c r="D3" s="15">
        <v>1</v>
      </c>
      <c r="E3" s="15">
        <v>140</v>
      </c>
      <c r="F3" s="14" t="s">
        <v>94</v>
      </c>
      <c r="G3" s="14" t="s">
        <v>92</v>
      </c>
      <c r="H3" s="15">
        <v>1</v>
      </c>
      <c r="I3" s="15">
        <v>5</v>
      </c>
      <c r="J3" s="14" t="s">
        <v>93</v>
      </c>
    </row>
    <row r="4" spans="1:10" s="10" customFormat="1" ht="28.5">
      <c r="A4" s="14">
        <v>1500003</v>
      </c>
      <c r="B4" s="89" t="s">
        <v>174</v>
      </c>
      <c r="C4" s="15">
        <v>1</v>
      </c>
      <c r="D4" s="15">
        <v>1</v>
      </c>
      <c r="E4" s="15">
        <v>140</v>
      </c>
      <c r="F4" s="14" t="s">
        <v>95</v>
      </c>
      <c r="G4" s="14" t="s">
        <v>92</v>
      </c>
      <c r="H4" s="15">
        <v>1</v>
      </c>
      <c r="I4" s="15">
        <v>6</v>
      </c>
      <c r="J4" s="14" t="s">
        <v>93</v>
      </c>
    </row>
    <row r="5" spans="1:10" s="9" customFormat="1" ht="28.5">
      <c r="A5" s="14">
        <v>1500004</v>
      </c>
      <c r="B5" s="89" t="s">
        <v>175</v>
      </c>
      <c r="C5" s="15">
        <v>1</v>
      </c>
      <c r="D5" s="15">
        <v>1</v>
      </c>
      <c r="E5" s="15">
        <v>140</v>
      </c>
      <c r="F5" s="14" t="s">
        <v>96</v>
      </c>
      <c r="G5" s="14" t="s">
        <v>97</v>
      </c>
      <c r="H5" s="15">
        <v>1</v>
      </c>
      <c r="I5" s="15">
        <v>7</v>
      </c>
      <c r="J5" s="14" t="s">
        <v>93</v>
      </c>
    </row>
    <row r="6" spans="1:10" s="9" customFormat="1" ht="28.5">
      <c r="A6" s="14">
        <v>1500005</v>
      </c>
      <c r="B6" s="89" t="s">
        <v>176</v>
      </c>
      <c r="C6" s="15">
        <v>1</v>
      </c>
      <c r="D6" s="15">
        <v>1</v>
      </c>
      <c r="E6" s="15">
        <v>140</v>
      </c>
      <c r="F6" s="14" t="s">
        <v>98</v>
      </c>
      <c r="G6" s="14" t="s">
        <v>99</v>
      </c>
      <c r="H6" s="15">
        <v>1</v>
      </c>
      <c r="I6" s="15">
        <v>8</v>
      </c>
      <c r="J6" s="14" t="s">
        <v>93</v>
      </c>
    </row>
    <row r="7" spans="1:10" s="9" customFormat="1" ht="28.5">
      <c r="A7" s="14">
        <v>1500006</v>
      </c>
      <c r="B7" s="89" t="s">
        <v>177</v>
      </c>
      <c r="C7" s="15">
        <v>1</v>
      </c>
      <c r="D7" s="15">
        <v>0</v>
      </c>
      <c r="E7" s="15">
        <v>140</v>
      </c>
      <c r="F7" s="14" t="s">
        <v>100</v>
      </c>
      <c r="G7" s="14" t="s">
        <v>101</v>
      </c>
      <c r="H7" s="15">
        <v>1</v>
      </c>
      <c r="I7" s="15">
        <v>10</v>
      </c>
      <c r="J7" s="14" t="s">
        <v>102</v>
      </c>
    </row>
    <row r="8" spans="1:10" s="9" customFormat="1" ht="28.5">
      <c r="A8" s="14">
        <v>1500007</v>
      </c>
      <c r="B8" s="89" t="s">
        <v>178</v>
      </c>
      <c r="C8" s="15">
        <v>1</v>
      </c>
      <c r="D8" s="15">
        <v>0</v>
      </c>
      <c r="E8" s="15">
        <v>140</v>
      </c>
      <c r="F8" s="14" t="s">
        <v>103</v>
      </c>
      <c r="G8" s="14" t="s">
        <v>104</v>
      </c>
      <c r="H8" s="15">
        <v>5</v>
      </c>
      <c r="I8" s="15">
        <v>11</v>
      </c>
      <c r="J8" s="14" t="s">
        <v>105</v>
      </c>
    </row>
    <row r="9" spans="1:10" s="9" customFormat="1" ht="42.75">
      <c r="A9" s="14">
        <v>1500008</v>
      </c>
      <c r="B9" s="89" t="s">
        <v>179</v>
      </c>
      <c r="C9" s="15">
        <v>1</v>
      </c>
      <c r="D9" s="15">
        <v>0</v>
      </c>
      <c r="E9" s="15">
        <v>140</v>
      </c>
      <c r="F9" s="14" t="s">
        <v>106</v>
      </c>
      <c r="G9" s="14" t="s">
        <v>107</v>
      </c>
      <c r="H9" s="15"/>
      <c r="I9" s="15">
        <v>9</v>
      </c>
      <c r="J9" s="14"/>
    </row>
    <row r="10" spans="1:10" s="9" customFormat="1" ht="42.75">
      <c r="A10" s="14">
        <v>1500009</v>
      </c>
      <c r="B10" s="89" t="s">
        <v>180</v>
      </c>
      <c r="C10" s="15">
        <v>1</v>
      </c>
      <c r="D10" s="15">
        <v>0</v>
      </c>
      <c r="E10" s="15">
        <v>140</v>
      </c>
      <c r="F10" s="14" t="s">
        <v>140</v>
      </c>
      <c r="G10" s="14" t="s">
        <v>99</v>
      </c>
      <c r="H10" s="15">
        <v>1</v>
      </c>
      <c r="I10" s="15">
        <v>1</v>
      </c>
      <c r="J10" s="14" t="s">
        <v>93</v>
      </c>
    </row>
    <row r="11" spans="1:10" s="9" customFormat="1" ht="28.5">
      <c r="A11" s="14">
        <v>1500010</v>
      </c>
      <c r="B11" s="89" t="s">
        <v>181</v>
      </c>
      <c r="C11" s="15">
        <v>1</v>
      </c>
      <c r="D11" s="15">
        <v>0</v>
      </c>
      <c r="E11" s="15">
        <v>140</v>
      </c>
      <c r="F11" s="14" t="s">
        <v>141</v>
      </c>
      <c r="G11" s="14" t="s">
        <v>99</v>
      </c>
      <c r="H11" s="15">
        <v>1</v>
      </c>
      <c r="I11" s="15">
        <v>2</v>
      </c>
      <c r="J11" s="14" t="s">
        <v>93</v>
      </c>
    </row>
    <row r="12" spans="1:10" s="9" customFormat="1" ht="28.5">
      <c r="A12" s="14">
        <v>1500011</v>
      </c>
      <c r="B12" s="89" t="s">
        <v>182</v>
      </c>
      <c r="C12" s="15">
        <v>1</v>
      </c>
      <c r="D12" s="15">
        <v>0</v>
      </c>
      <c r="E12" s="15">
        <v>140</v>
      </c>
      <c r="F12" s="14" t="s">
        <v>142</v>
      </c>
      <c r="G12" s="14" t="s">
        <v>99</v>
      </c>
      <c r="H12" s="15">
        <v>1</v>
      </c>
      <c r="I12" s="15">
        <v>3</v>
      </c>
      <c r="J12" s="14" t="s">
        <v>93</v>
      </c>
    </row>
    <row r="13" spans="1:10" ht="28.5">
      <c r="A13" s="16">
        <v>1510001</v>
      </c>
      <c r="B13" s="89" t="s">
        <v>183</v>
      </c>
      <c r="C13" s="17">
        <v>2</v>
      </c>
      <c r="D13" s="17">
        <v>1</v>
      </c>
      <c r="E13" s="17">
        <v>140</v>
      </c>
      <c r="F13" s="16" t="s">
        <v>108</v>
      </c>
      <c r="G13" s="16" t="s">
        <v>92</v>
      </c>
      <c r="H13" s="17">
        <v>1</v>
      </c>
      <c r="I13" s="17">
        <v>4</v>
      </c>
      <c r="J13" s="16" t="s">
        <v>93</v>
      </c>
    </row>
    <row r="14" spans="1:10" ht="28.5">
      <c r="A14" s="16">
        <v>1510002</v>
      </c>
      <c r="B14" s="89" t="s">
        <v>184</v>
      </c>
      <c r="C14" s="17">
        <v>2</v>
      </c>
      <c r="D14" s="17">
        <v>1</v>
      </c>
      <c r="E14" s="17">
        <v>140</v>
      </c>
      <c r="F14" s="16" t="s">
        <v>109</v>
      </c>
      <c r="G14" s="16" t="s">
        <v>110</v>
      </c>
      <c r="H14" s="17">
        <v>1</v>
      </c>
      <c r="I14" s="17">
        <v>5</v>
      </c>
      <c r="J14" s="16" t="s">
        <v>93</v>
      </c>
    </row>
    <row r="15" spans="1:10" ht="28.5">
      <c r="A15" s="16">
        <v>1510003</v>
      </c>
      <c r="B15" s="89" t="s">
        <v>185</v>
      </c>
      <c r="C15" s="17">
        <v>2</v>
      </c>
      <c r="D15" s="17">
        <v>1</v>
      </c>
      <c r="E15" s="17">
        <v>140</v>
      </c>
      <c r="F15" s="16" t="s">
        <v>111</v>
      </c>
      <c r="G15" s="16" t="s">
        <v>92</v>
      </c>
      <c r="H15" s="17">
        <v>1</v>
      </c>
      <c r="I15" s="17">
        <v>6</v>
      </c>
      <c r="J15" s="16" t="s">
        <v>93</v>
      </c>
    </row>
    <row r="16" spans="1:10" ht="28.5">
      <c r="A16" s="16">
        <v>1510004</v>
      </c>
      <c r="B16" s="89" t="s">
        <v>186</v>
      </c>
      <c r="C16" s="17">
        <v>2</v>
      </c>
      <c r="D16" s="17">
        <v>1</v>
      </c>
      <c r="E16" s="17">
        <v>140</v>
      </c>
      <c r="F16" s="16" t="s">
        <v>112</v>
      </c>
      <c r="G16" s="16" t="s">
        <v>97</v>
      </c>
      <c r="H16" s="17">
        <v>1</v>
      </c>
      <c r="I16" s="17">
        <v>7</v>
      </c>
      <c r="J16" s="16" t="s">
        <v>93</v>
      </c>
    </row>
    <row r="17" spans="1:10">
      <c r="A17" s="16">
        <v>1510005</v>
      </c>
      <c r="B17" s="89" t="s">
        <v>187</v>
      </c>
      <c r="C17" s="17">
        <v>2</v>
      </c>
      <c r="D17" s="17">
        <v>1</v>
      </c>
      <c r="E17" s="17">
        <v>140</v>
      </c>
      <c r="F17" s="16" t="s">
        <v>113</v>
      </c>
      <c r="G17" s="16" t="s">
        <v>97</v>
      </c>
      <c r="H17" s="17">
        <v>1</v>
      </c>
      <c r="I17" s="17">
        <v>8</v>
      </c>
      <c r="J17" s="16" t="s">
        <v>93</v>
      </c>
    </row>
    <row r="18" spans="1:10" ht="28.5">
      <c r="A18" s="16">
        <v>1510006</v>
      </c>
      <c r="B18" s="89" t="s">
        <v>177</v>
      </c>
      <c r="C18" s="17">
        <v>2</v>
      </c>
      <c r="D18" s="17">
        <v>0</v>
      </c>
      <c r="E18" s="17">
        <v>140</v>
      </c>
      <c r="F18" s="16" t="s">
        <v>100</v>
      </c>
      <c r="G18" s="16" t="s">
        <v>101</v>
      </c>
      <c r="H18" s="17">
        <v>1</v>
      </c>
      <c r="I18" s="17">
        <v>10</v>
      </c>
      <c r="J18" s="16" t="s">
        <v>102</v>
      </c>
    </row>
    <row r="19" spans="1:10" ht="28.5">
      <c r="A19" s="16">
        <v>1510007</v>
      </c>
      <c r="B19" s="89" t="s">
        <v>178</v>
      </c>
      <c r="C19" s="17">
        <v>2</v>
      </c>
      <c r="D19" s="17">
        <v>0</v>
      </c>
      <c r="E19" s="17">
        <v>140</v>
      </c>
      <c r="F19" s="16" t="s">
        <v>103</v>
      </c>
      <c r="G19" s="16" t="s">
        <v>104</v>
      </c>
      <c r="H19" s="17">
        <v>5</v>
      </c>
      <c r="I19" s="17">
        <v>11</v>
      </c>
      <c r="J19" s="16" t="s">
        <v>105</v>
      </c>
    </row>
    <row r="20" spans="1:10" ht="42.75">
      <c r="A20" s="16">
        <v>1510008</v>
      </c>
      <c r="B20" s="89" t="s">
        <v>179</v>
      </c>
      <c r="C20" s="17">
        <v>2</v>
      </c>
      <c r="D20" s="17">
        <v>0</v>
      </c>
      <c r="E20" s="17">
        <v>140</v>
      </c>
      <c r="F20" s="16" t="s">
        <v>106</v>
      </c>
      <c r="G20" s="16" t="s">
        <v>107</v>
      </c>
      <c r="H20" s="17"/>
      <c r="I20" s="17">
        <v>9</v>
      </c>
      <c r="J20" s="16"/>
    </row>
    <row r="21" spans="1:10" ht="42.75">
      <c r="A21" s="16">
        <v>1510009</v>
      </c>
      <c r="B21" s="89" t="s">
        <v>180</v>
      </c>
      <c r="C21" s="17">
        <v>2</v>
      </c>
      <c r="D21" s="17">
        <v>0</v>
      </c>
      <c r="E21" s="17">
        <v>140</v>
      </c>
      <c r="F21" s="16" t="s">
        <v>140</v>
      </c>
      <c r="G21" s="16" t="s">
        <v>99</v>
      </c>
      <c r="H21" s="17">
        <v>1</v>
      </c>
      <c r="I21" s="17">
        <v>1</v>
      </c>
      <c r="J21" s="16" t="s">
        <v>93</v>
      </c>
    </row>
    <row r="22" spans="1:10" ht="28.5">
      <c r="A22" s="16">
        <v>1510010</v>
      </c>
      <c r="B22" s="89" t="s">
        <v>181</v>
      </c>
      <c r="C22" s="17">
        <v>2</v>
      </c>
      <c r="D22" s="17">
        <v>0</v>
      </c>
      <c r="E22" s="17">
        <v>140</v>
      </c>
      <c r="F22" s="16" t="s">
        <v>141</v>
      </c>
      <c r="G22" s="16" t="s">
        <v>99</v>
      </c>
      <c r="H22" s="17">
        <v>1</v>
      </c>
      <c r="I22" s="17">
        <v>2</v>
      </c>
      <c r="J22" s="16" t="s">
        <v>93</v>
      </c>
    </row>
    <row r="23" spans="1:10" ht="28.5">
      <c r="A23" s="16">
        <v>1510011</v>
      </c>
      <c r="B23" s="89" t="s">
        <v>182</v>
      </c>
      <c r="C23" s="17">
        <v>2</v>
      </c>
      <c r="D23" s="17">
        <v>0</v>
      </c>
      <c r="E23" s="17">
        <v>140</v>
      </c>
      <c r="F23" s="16" t="s">
        <v>142</v>
      </c>
      <c r="G23" s="16" t="s">
        <v>99</v>
      </c>
      <c r="H23" s="17">
        <v>1</v>
      </c>
      <c r="I23" s="17">
        <v>3</v>
      </c>
      <c r="J23" s="16" t="s">
        <v>93</v>
      </c>
    </row>
    <row r="24" spans="1:10" ht="28.5">
      <c r="A24" s="18">
        <v>1520001</v>
      </c>
      <c r="B24" s="89" t="s">
        <v>188</v>
      </c>
      <c r="C24" s="19">
        <v>3</v>
      </c>
      <c r="D24" s="19">
        <v>1</v>
      </c>
      <c r="E24" s="19">
        <v>140</v>
      </c>
      <c r="F24" s="18" t="s">
        <v>114</v>
      </c>
      <c r="G24" s="18" t="s">
        <v>92</v>
      </c>
      <c r="H24" s="19">
        <v>1</v>
      </c>
      <c r="I24" s="19">
        <v>4</v>
      </c>
      <c r="J24" s="18" t="s">
        <v>93</v>
      </c>
    </row>
    <row r="25" spans="1:10" ht="57">
      <c r="A25" s="18">
        <v>1520002</v>
      </c>
      <c r="B25" s="89" t="s">
        <v>189</v>
      </c>
      <c r="C25" s="19">
        <v>3</v>
      </c>
      <c r="D25" s="19">
        <v>1</v>
      </c>
      <c r="E25" s="19">
        <v>140</v>
      </c>
      <c r="F25" s="18" t="s">
        <v>115</v>
      </c>
      <c r="G25" s="18" t="s">
        <v>92</v>
      </c>
      <c r="H25" s="19">
        <v>1</v>
      </c>
      <c r="I25" s="19">
        <v>5</v>
      </c>
      <c r="J25" s="18" t="s">
        <v>93</v>
      </c>
    </row>
    <row r="26" spans="1:10">
      <c r="A26" s="18">
        <v>1520003</v>
      </c>
      <c r="B26" s="89" t="s">
        <v>190</v>
      </c>
      <c r="C26" s="19">
        <v>3</v>
      </c>
      <c r="D26" s="19">
        <v>1</v>
      </c>
      <c r="E26" s="19">
        <v>140</v>
      </c>
      <c r="F26" s="18" t="s">
        <v>116</v>
      </c>
      <c r="G26" s="18" t="s">
        <v>117</v>
      </c>
      <c r="H26" s="19">
        <v>1</v>
      </c>
      <c r="I26" s="19">
        <v>6</v>
      </c>
      <c r="J26" s="18" t="s">
        <v>93</v>
      </c>
    </row>
    <row r="27" spans="1:10">
      <c r="A27" s="18">
        <v>1520004</v>
      </c>
      <c r="B27" s="89" t="s">
        <v>191</v>
      </c>
      <c r="C27" s="19">
        <v>3</v>
      </c>
      <c r="D27" s="19">
        <v>1</v>
      </c>
      <c r="E27" s="19">
        <v>140</v>
      </c>
      <c r="F27" s="18" t="s">
        <v>118</v>
      </c>
      <c r="G27" s="18" t="s">
        <v>97</v>
      </c>
      <c r="H27" s="19">
        <v>1</v>
      </c>
      <c r="I27" s="19">
        <v>7</v>
      </c>
      <c r="J27" s="18" t="s">
        <v>93</v>
      </c>
    </row>
    <row r="28" spans="1:10">
      <c r="A28" s="18">
        <v>1520005</v>
      </c>
      <c r="B28" s="89" t="s">
        <v>192</v>
      </c>
      <c r="C28" s="19">
        <v>3</v>
      </c>
      <c r="D28" s="19">
        <v>1</v>
      </c>
      <c r="E28" s="19">
        <v>140</v>
      </c>
      <c r="F28" s="18" t="s">
        <v>119</v>
      </c>
      <c r="G28" s="18" t="s">
        <v>99</v>
      </c>
      <c r="H28" s="19">
        <v>1</v>
      </c>
      <c r="I28" s="19">
        <v>8</v>
      </c>
      <c r="J28" s="18" t="s">
        <v>93</v>
      </c>
    </row>
    <row r="29" spans="1:10" ht="28.5">
      <c r="A29" s="18">
        <v>1520006</v>
      </c>
      <c r="B29" s="89" t="s">
        <v>177</v>
      </c>
      <c r="C29" s="19">
        <v>3</v>
      </c>
      <c r="D29" s="19">
        <v>0</v>
      </c>
      <c r="E29" s="19">
        <v>140</v>
      </c>
      <c r="F29" s="18" t="s">
        <v>100</v>
      </c>
      <c r="G29" s="18" t="s">
        <v>101</v>
      </c>
      <c r="H29" s="19">
        <v>1</v>
      </c>
      <c r="I29" s="19">
        <v>10</v>
      </c>
      <c r="J29" s="18" t="s">
        <v>102</v>
      </c>
    </row>
    <row r="30" spans="1:10" ht="28.5">
      <c r="A30" s="18">
        <v>1520007</v>
      </c>
      <c r="B30" s="89" t="s">
        <v>178</v>
      </c>
      <c r="C30" s="19">
        <v>3</v>
      </c>
      <c r="D30" s="19">
        <v>0</v>
      </c>
      <c r="E30" s="19">
        <v>140</v>
      </c>
      <c r="F30" s="18" t="s">
        <v>103</v>
      </c>
      <c r="G30" s="18" t="s">
        <v>104</v>
      </c>
      <c r="H30" s="19">
        <v>5</v>
      </c>
      <c r="I30" s="19">
        <v>11</v>
      </c>
      <c r="J30" s="18" t="s">
        <v>105</v>
      </c>
    </row>
    <row r="31" spans="1:10" ht="42.75">
      <c r="A31" s="18">
        <v>1520008</v>
      </c>
      <c r="B31" s="89" t="s">
        <v>179</v>
      </c>
      <c r="C31" s="19">
        <v>3</v>
      </c>
      <c r="D31" s="19">
        <v>0</v>
      </c>
      <c r="E31" s="19">
        <v>140</v>
      </c>
      <c r="F31" s="18" t="s">
        <v>106</v>
      </c>
      <c r="G31" s="18" t="s">
        <v>107</v>
      </c>
      <c r="H31" s="19"/>
      <c r="I31" s="19">
        <v>9</v>
      </c>
      <c r="J31" s="18"/>
    </row>
    <row r="32" spans="1:10" ht="42.75">
      <c r="A32" s="18">
        <v>1520009</v>
      </c>
      <c r="B32" s="89" t="s">
        <v>180</v>
      </c>
      <c r="C32" s="19">
        <v>3</v>
      </c>
      <c r="D32" s="19">
        <v>0</v>
      </c>
      <c r="E32" s="19">
        <v>140</v>
      </c>
      <c r="F32" s="18" t="s">
        <v>140</v>
      </c>
      <c r="G32" s="18" t="s">
        <v>99</v>
      </c>
      <c r="H32" s="19">
        <v>1</v>
      </c>
      <c r="I32" s="19">
        <v>1</v>
      </c>
      <c r="J32" s="18" t="s">
        <v>93</v>
      </c>
    </row>
    <row r="33" spans="1:10" ht="28.5">
      <c r="A33" s="18">
        <v>1520010</v>
      </c>
      <c r="B33" s="89" t="s">
        <v>181</v>
      </c>
      <c r="C33" s="19">
        <v>3</v>
      </c>
      <c r="D33" s="19">
        <v>0</v>
      </c>
      <c r="E33" s="19">
        <v>140</v>
      </c>
      <c r="F33" s="18" t="s">
        <v>141</v>
      </c>
      <c r="G33" s="18" t="s">
        <v>99</v>
      </c>
      <c r="H33" s="19">
        <v>1</v>
      </c>
      <c r="I33" s="19">
        <v>2</v>
      </c>
      <c r="J33" s="18" t="s">
        <v>93</v>
      </c>
    </row>
    <row r="34" spans="1:10" ht="28.5">
      <c r="A34" s="18">
        <v>1520011</v>
      </c>
      <c r="B34" s="89" t="s">
        <v>182</v>
      </c>
      <c r="C34" s="19">
        <v>3</v>
      </c>
      <c r="D34" s="19">
        <v>0</v>
      </c>
      <c r="E34" s="19">
        <v>140</v>
      </c>
      <c r="F34" s="18" t="s">
        <v>142</v>
      </c>
      <c r="G34" s="18" t="s">
        <v>99</v>
      </c>
      <c r="H34" s="19">
        <v>1</v>
      </c>
      <c r="I34" s="19">
        <v>3</v>
      </c>
      <c r="J34" s="18" t="s">
        <v>93</v>
      </c>
    </row>
    <row r="35" spans="1:10" ht="28.5">
      <c r="A35" s="20">
        <v>1530001</v>
      </c>
      <c r="B35" s="89" t="s">
        <v>193</v>
      </c>
      <c r="C35" s="21">
        <v>4</v>
      </c>
      <c r="D35" s="21">
        <v>1</v>
      </c>
      <c r="E35" s="21">
        <v>140</v>
      </c>
      <c r="F35" s="20" t="s">
        <v>120</v>
      </c>
      <c r="G35" s="20" t="s">
        <v>110</v>
      </c>
      <c r="H35" s="21">
        <v>1</v>
      </c>
      <c r="I35" s="21">
        <v>4</v>
      </c>
      <c r="J35" s="20" t="s">
        <v>93</v>
      </c>
    </row>
    <row r="36" spans="1:10" ht="57">
      <c r="A36" s="20">
        <v>1530002</v>
      </c>
      <c r="B36" s="89" t="s">
        <v>194</v>
      </c>
      <c r="C36" s="21">
        <v>4</v>
      </c>
      <c r="D36" s="21">
        <v>1</v>
      </c>
      <c r="E36" s="21">
        <v>140</v>
      </c>
      <c r="F36" s="20" t="s">
        <v>121</v>
      </c>
      <c r="G36" s="20" t="s">
        <v>92</v>
      </c>
      <c r="H36" s="21">
        <v>1</v>
      </c>
      <c r="I36" s="21">
        <v>5</v>
      </c>
      <c r="J36" s="20" t="s">
        <v>93</v>
      </c>
    </row>
    <row r="37" spans="1:10" ht="28.5">
      <c r="A37" s="20">
        <v>1530003</v>
      </c>
      <c r="B37" s="89" t="s">
        <v>195</v>
      </c>
      <c r="C37" s="21">
        <v>4</v>
      </c>
      <c r="D37" s="21">
        <v>1</v>
      </c>
      <c r="E37" s="21">
        <v>140</v>
      </c>
      <c r="F37" s="20" t="s">
        <v>122</v>
      </c>
      <c r="G37" s="20" t="s">
        <v>92</v>
      </c>
      <c r="H37" s="21">
        <v>1</v>
      </c>
      <c r="I37" s="21">
        <v>6</v>
      </c>
      <c r="J37" s="20" t="s">
        <v>93</v>
      </c>
    </row>
    <row r="38" spans="1:10">
      <c r="A38" s="20">
        <v>1530004</v>
      </c>
      <c r="B38" s="89" t="s">
        <v>196</v>
      </c>
      <c r="C38" s="21">
        <v>4</v>
      </c>
      <c r="D38" s="21">
        <v>1</v>
      </c>
      <c r="E38" s="21">
        <v>140</v>
      </c>
      <c r="F38" s="20" t="s">
        <v>123</v>
      </c>
      <c r="G38" s="20" t="s">
        <v>99</v>
      </c>
      <c r="H38" s="21">
        <v>1</v>
      </c>
      <c r="I38" s="21">
        <v>7</v>
      </c>
      <c r="J38" s="20" t="s">
        <v>93</v>
      </c>
    </row>
    <row r="39" spans="1:10" ht="28.5">
      <c r="A39" s="20">
        <v>1530005</v>
      </c>
      <c r="B39" s="89" t="s">
        <v>197</v>
      </c>
      <c r="C39" s="21">
        <v>4</v>
      </c>
      <c r="D39" s="21">
        <v>1</v>
      </c>
      <c r="E39" s="21">
        <v>140</v>
      </c>
      <c r="F39" s="20" t="s">
        <v>124</v>
      </c>
      <c r="G39" s="20" t="s">
        <v>99</v>
      </c>
      <c r="H39" s="21">
        <v>1</v>
      </c>
      <c r="I39" s="21">
        <v>8</v>
      </c>
      <c r="J39" s="20" t="s">
        <v>93</v>
      </c>
    </row>
    <row r="40" spans="1:10" ht="28.5">
      <c r="A40" s="20">
        <v>1530006</v>
      </c>
      <c r="B40" s="89" t="s">
        <v>177</v>
      </c>
      <c r="C40" s="21">
        <v>4</v>
      </c>
      <c r="D40" s="21">
        <v>0</v>
      </c>
      <c r="E40" s="21">
        <v>140</v>
      </c>
      <c r="F40" s="20" t="s">
        <v>100</v>
      </c>
      <c r="G40" s="20" t="s">
        <v>101</v>
      </c>
      <c r="H40" s="21">
        <v>1</v>
      </c>
      <c r="I40" s="21">
        <v>10</v>
      </c>
      <c r="J40" s="20" t="s">
        <v>102</v>
      </c>
    </row>
    <row r="41" spans="1:10" ht="28.5">
      <c r="A41" s="20">
        <v>1530007</v>
      </c>
      <c r="B41" s="89" t="s">
        <v>178</v>
      </c>
      <c r="C41" s="21">
        <v>4</v>
      </c>
      <c r="D41" s="21">
        <v>0</v>
      </c>
      <c r="E41" s="21">
        <v>140</v>
      </c>
      <c r="F41" s="20" t="s">
        <v>103</v>
      </c>
      <c r="G41" s="20" t="s">
        <v>104</v>
      </c>
      <c r="H41" s="21">
        <v>5</v>
      </c>
      <c r="I41" s="21">
        <v>11</v>
      </c>
      <c r="J41" s="20" t="s">
        <v>105</v>
      </c>
    </row>
    <row r="42" spans="1:10" ht="42.75">
      <c r="A42" s="20">
        <v>1530008</v>
      </c>
      <c r="B42" s="89" t="s">
        <v>179</v>
      </c>
      <c r="C42" s="21">
        <v>4</v>
      </c>
      <c r="D42" s="21">
        <v>0</v>
      </c>
      <c r="E42" s="21">
        <v>140</v>
      </c>
      <c r="F42" s="20" t="s">
        <v>106</v>
      </c>
      <c r="G42" s="20" t="s">
        <v>107</v>
      </c>
      <c r="H42" s="21"/>
      <c r="I42" s="21">
        <v>9</v>
      </c>
      <c r="J42" s="20"/>
    </row>
    <row r="43" spans="1:10" ht="42.75">
      <c r="A43" s="20">
        <v>1530009</v>
      </c>
      <c r="B43" s="89" t="s">
        <v>180</v>
      </c>
      <c r="C43" s="21">
        <v>4</v>
      </c>
      <c r="D43">
        <v>0</v>
      </c>
      <c r="E43">
        <v>140</v>
      </c>
      <c r="F43" t="s">
        <v>140</v>
      </c>
      <c r="G43" t="s">
        <v>99</v>
      </c>
      <c r="H43">
        <v>1</v>
      </c>
      <c r="I43">
        <v>1</v>
      </c>
      <c r="J43" s="11" t="s">
        <v>93</v>
      </c>
    </row>
    <row r="44" spans="1:10" ht="28.5">
      <c r="A44" s="20">
        <v>1530010</v>
      </c>
      <c r="B44" s="89" t="s">
        <v>181</v>
      </c>
      <c r="C44" s="21">
        <v>4</v>
      </c>
      <c r="D44">
        <v>0</v>
      </c>
      <c r="E44">
        <v>140</v>
      </c>
      <c r="F44" t="s">
        <v>141</v>
      </c>
      <c r="G44" t="s">
        <v>99</v>
      </c>
      <c r="H44">
        <v>1</v>
      </c>
      <c r="I44">
        <v>2</v>
      </c>
      <c r="J44" s="11" t="s">
        <v>93</v>
      </c>
    </row>
    <row r="45" spans="1:10" ht="28.5">
      <c r="A45" s="20">
        <v>1530011</v>
      </c>
      <c r="B45" s="89" t="s">
        <v>182</v>
      </c>
      <c r="C45" s="21">
        <v>4</v>
      </c>
      <c r="D45">
        <v>0</v>
      </c>
      <c r="E45">
        <v>140</v>
      </c>
      <c r="F45" t="s">
        <v>142</v>
      </c>
      <c r="G45" t="s">
        <v>99</v>
      </c>
      <c r="H45">
        <v>1</v>
      </c>
      <c r="I45">
        <v>3</v>
      </c>
      <c r="J45" s="11" t="s">
        <v>93</v>
      </c>
    </row>
  </sheetData>
  <phoneticPr fontId="14" type="noConversion"/>
  <pageMargins left="0.7" right="0.7" top="0.75" bottom="0.75" header="0.3" footer="0.3"/>
  <ignoredErrors>
    <ignoredError sqref="G24 G27 G29:G31 G40:G42 G7:G9 G13:G20" numberStoredAsText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0"/>
  <sheetViews>
    <sheetView workbookViewId="0">
      <pane xSplit="2" ySplit="1" topLeftCell="C45" activePane="bottomRight" state="frozen"/>
      <selection pane="topRight"/>
      <selection pane="bottomLeft"/>
      <selection pane="bottomRight" activeCell="I66" sqref="I66"/>
    </sheetView>
  </sheetViews>
  <sheetFormatPr defaultColWidth="9" defaultRowHeight="15"/>
  <cols>
    <col min="1" max="1" width="8.42578125" style="2" customWidth="1"/>
    <col min="2" max="2" width="10.42578125" style="2" customWidth="1"/>
    <col min="3" max="4" width="14.140625" style="2" customWidth="1"/>
    <col min="5" max="5" width="10.42578125" style="2" customWidth="1"/>
  </cols>
  <sheetData>
    <row r="1" spans="1:5" ht="16.5">
      <c r="A1" s="3" t="s">
        <v>0</v>
      </c>
      <c r="B1" s="3" t="s">
        <v>13</v>
      </c>
      <c r="C1" s="3" t="s">
        <v>125</v>
      </c>
      <c r="D1" s="3" t="s">
        <v>126</v>
      </c>
      <c r="E1" s="3" t="s">
        <v>127</v>
      </c>
    </row>
    <row r="2" spans="1:5">
      <c r="A2" s="4">
        <v>1001</v>
      </c>
      <c r="B2" s="4">
        <v>1</v>
      </c>
      <c r="C2" s="5">
        <v>10001</v>
      </c>
      <c r="D2" s="4">
        <v>2</v>
      </c>
      <c r="E2" s="4">
        <v>64</v>
      </c>
    </row>
    <row r="3" spans="1:5">
      <c r="A3" s="4">
        <v>1002</v>
      </c>
      <c r="B3" s="4">
        <v>1</v>
      </c>
      <c r="C3" s="5">
        <f t="shared" ref="C3:C66" si="0">C2+1</f>
        <v>10002</v>
      </c>
      <c r="D3" s="4">
        <v>3</v>
      </c>
      <c r="E3" s="4">
        <v>65</v>
      </c>
    </row>
    <row r="4" spans="1:5">
      <c r="A4" s="4">
        <v>1003</v>
      </c>
      <c r="B4" s="4">
        <v>1</v>
      </c>
      <c r="C4" s="5">
        <f t="shared" si="0"/>
        <v>10003</v>
      </c>
      <c r="D4" s="4">
        <v>3</v>
      </c>
      <c r="E4" s="4">
        <v>66</v>
      </c>
    </row>
    <row r="5" spans="1:5">
      <c r="A5" s="4">
        <v>1004</v>
      </c>
      <c r="B5" s="4">
        <v>1</v>
      </c>
      <c r="C5" s="5">
        <f t="shared" si="0"/>
        <v>10004</v>
      </c>
      <c r="D5" s="4">
        <v>5</v>
      </c>
      <c r="E5" s="4">
        <v>67</v>
      </c>
    </row>
    <row r="6" spans="1:5">
      <c r="A6" s="4">
        <v>1005</v>
      </c>
      <c r="B6" s="4">
        <v>1</v>
      </c>
      <c r="C6" s="5">
        <f t="shared" si="0"/>
        <v>10005</v>
      </c>
      <c r="D6" s="4">
        <v>7</v>
      </c>
      <c r="E6" s="4">
        <v>68</v>
      </c>
    </row>
    <row r="7" spans="1:5">
      <c r="A7" s="4">
        <v>1006</v>
      </c>
      <c r="B7" s="4">
        <v>1</v>
      </c>
      <c r="C7" s="5">
        <f t="shared" si="0"/>
        <v>10006</v>
      </c>
      <c r="D7" s="4">
        <v>9</v>
      </c>
      <c r="E7" s="4">
        <v>69</v>
      </c>
    </row>
    <row r="8" spans="1:5">
      <c r="A8" s="4">
        <v>1007</v>
      </c>
      <c r="B8" s="4">
        <v>1</v>
      </c>
      <c r="C8" s="5">
        <f t="shared" si="0"/>
        <v>10007</v>
      </c>
      <c r="D8" s="4">
        <v>11</v>
      </c>
      <c r="E8" s="4">
        <v>70</v>
      </c>
    </row>
    <row r="9" spans="1:5">
      <c r="A9" s="4">
        <v>1008</v>
      </c>
      <c r="B9" s="4">
        <v>1</v>
      </c>
      <c r="C9" s="5">
        <f t="shared" si="0"/>
        <v>10008</v>
      </c>
      <c r="D9" s="4">
        <v>14</v>
      </c>
      <c r="E9" s="4">
        <v>71</v>
      </c>
    </row>
    <row r="10" spans="1:5">
      <c r="A10" s="4">
        <v>1009</v>
      </c>
      <c r="B10" s="4">
        <v>1</v>
      </c>
      <c r="C10" s="5">
        <f t="shared" si="0"/>
        <v>10009</v>
      </c>
      <c r="D10" s="4">
        <v>17</v>
      </c>
      <c r="E10" s="4">
        <v>29</v>
      </c>
    </row>
    <row r="11" spans="1:5">
      <c r="A11" s="4">
        <v>1010</v>
      </c>
      <c r="B11" s="4">
        <v>1</v>
      </c>
      <c r="C11" s="5">
        <f t="shared" si="0"/>
        <v>10010</v>
      </c>
      <c r="D11" s="4">
        <v>21</v>
      </c>
      <c r="E11" s="4">
        <v>30</v>
      </c>
    </row>
    <row r="12" spans="1:5">
      <c r="A12" s="4">
        <v>1011</v>
      </c>
      <c r="B12" s="4">
        <v>1</v>
      </c>
      <c r="C12" s="5">
        <f t="shared" si="0"/>
        <v>10011</v>
      </c>
      <c r="D12" s="4">
        <v>24</v>
      </c>
      <c r="E12" s="4">
        <v>31</v>
      </c>
    </row>
    <row r="13" spans="1:5">
      <c r="A13" s="4">
        <v>1012</v>
      </c>
      <c r="B13" s="4">
        <v>1</v>
      </c>
      <c r="C13" s="5">
        <f t="shared" si="0"/>
        <v>10012</v>
      </c>
      <c r="D13" s="4">
        <v>26</v>
      </c>
      <c r="E13" s="4">
        <v>75</v>
      </c>
    </row>
    <row r="14" spans="1:5">
      <c r="A14" s="4">
        <v>1013</v>
      </c>
      <c r="B14" s="4">
        <v>1</v>
      </c>
      <c r="C14" s="5">
        <f t="shared" si="0"/>
        <v>10013</v>
      </c>
      <c r="D14" s="4">
        <v>32</v>
      </c>
      <c r="E14" s="4">
        <v>76</v>
      </c>
    </row>
    <row r="15" spans="1:5">
      <c r="A15" s="4">
        <v>1014</v>
      </c>
      <c r="B15" s="4">
        <v>1</v>
      </c>
      <c r="C15" s="5">
        <f t="shared" si="0"/>
        <v>10014</v>
      </c>
      <c r="D15" s="4">
        <v>37</v>
      </c>
      <c r="E15" s="4">
        <v>77</v>
      </c>
    </row>
    <row r="16" spans="1:5">
      <c r="A16" s="4">
        <v>1015</v>
      </c>
      <c r="B16" s="4">
        <v>1</v>
      </c>
      <c r="C16" s="5">
        <f t="shared" si="0"/>
        <v>10015</v>
      </c>
      <c r="D16" s="4">
        <v>41</v>
      </c>
      <c r="E16" s="4">
        <v>78</v>
      </c>
    </row>
    <row r="17" spans="1:5">
      <c r="A17" s="4">
        <v>1016</v>
      </c>
      <c r="B17" s="4">
        <v>1</v>
      </c>
      <c r="C17" s="5">
        <f t="shared" si="0"/>
        <v>10016</v>
      </c>
      <c r="D17" s="4">
        <v>46</v>
      </c>
      <c r="E17" s="4">
        <v>79</v>
      </c>
    </row>
    <row r="18" spans="1:5">
      <c r="A18" s="4">
        <v>1017</v>
      </c>
      <c r="B18" s="4">
        <v>1</v>
      </c>
      <c r="C18" s="6">
        <f t="shared" si="0"/>
        <v>10017</v>
      </c>
      <c r="D18" s="4">
        <v>49</v>
      </c>
      <c r="E18" s="4">
        <v>1</v>
      </c>
    </row>
    <row r="19" spans="1:5">
      <c r="A19" s="4">
        <v>1018</v>
      </c>
      <c r="B19" s="4">
        <v>1</v>
      </c>
      <c r="C19" s="6">
        <f t="shared" si="0"/>
        <v>10018</v>
      </c>
      <c r="D19" s="4">
        <v>52</v>
      </c>
      <c r="E19" s="4">
        <v>2</v>
      </c>
    </row>
    <row r="20" spans="1:5">
      <c r="A20" s="4">
        <v>1019</v>
      </c>
      <c r="B20" s="4">
        <v>1</v>
      </c>
      <c r="C20" s="6">
        <f t="shared" si="0"/>
        <v>10019</v>
      </c>
      <c r="D20" s="4">
        <v>54</v>
      </c>
      <c r="E20" s="4">
        <v>3</v>
      </c>
    </row>
    <row r="21" spans="1:5">
      <c r="A21" s="4">
        <v>1020</v>
      </c>
      <c r="B21" s="4">
        <v>1</v>
      </c>
      <c r="C21" s="6">
        <f t="shared" si="0"/>
        <v>10020</v>
      </c>
      <c r="D21" s="4">
        <v>56</v>
      </c>
      <c r="E21" s="4">
        <v>4</v>
      </c>
    </row>
    <row r="22" spans="1:5">
      <c r="A22" s="4">
        <v>1021</v>
      </c>
      <c r="B22" s="4">
        <v>1</v>
      </c>
      <c r="C22" s="6">
        <f t="shared" si="0"/>
        <v>10021</v>
      </c>
      <c r="D22" s="4">
        <v>59</v>
      </c>
      <c r="E22" s="4">
        <v>5</v>
      </c>
    </row>
    <row r="23" spans="1:5">
      <c r="A23" s="4">
        <v>1022</v>
      </c>
      <c r="B23" s="4">
        <v>1</v>
      </c>
      <c r="C23" s="6">
        <f t="shared" si="0"/>
        <v>10022</v>
      </c>
      <c r="D23" s="4">
        <v>61</v>
      </c>
      <c r="E23" s="4">
        <v>6</v>
      </c>
    </row>
    <row r="24" spans="1:5">
      <c r="A24" s="4">
        <v>1023</v>
      </c>
      <c r="B24" s="4">
        <v>1</v>
      </c>
      <c r="C24" s="6">
        <f t="shared" si="0"/>
        <v>10023</v>
      </c>
      <c r="D24" s="4">
        <v>64</v>
      </c>
      <c r="E24" s="4">
        <v>5</v>
      </c>
    </row>
    <row r="25" spans="1:5">
      <c r="A25" s="4">
        <v>1024</v>
      </c>
      <c r="B25" s="4">
        <v>1</v>
      </c>
      <c r="C25" s="6">
        <f t="shared" si="0"/>
        <v>10024</v>
      </c>
      <c r="D25" s="4">
        <v>67</v>
      </c>
      <c r="E25" s="4">
        <v>6</v>
      </c>
    </row>
    <row r="26" spans="1:5">
      <c r="A26" s="4">
        <v>1025</v>
      </c>
      <c r="B26" s="4">
        <v>1</v>
      </c>
      <c r="C26" s="7">
        <f t="shared" si="0"/>
        <v>10025</v>
      </c>
      <c r="D26" s="4">
        <v>69</v>
      </c>
      <c r="E26" s="4">
        <v>21</v>
      </c>
    </row>
    <row r="27" spans="1:5">
      <c r="A27" s="4">
        <v>1026</v>
      </c>
      <c r="B27" s="4">
        <v>1</v>
      </c>
      <c r="C27" s="7">
        <f t="shared" si="0"/>
        <v>10026</v>
      </c>
      <c r="D27" s="4">
        <v>71</v>
      </c>
      <c r="E27" s="4">
        <v>22</v>
      </c>
    </row>
    <row r="28" spans="1:5">
      <c r="A28" s="4">
        <v>1027</v>
      </c>
      <c r="B28" s="4">
        <v>1</v>
      </c>
      <c r="C28" s="7">
        <f t="shared" si="0"/>
        <v>10027</v>
      </c>
      <c r="D28" s="4">
        <v>73</v>
      </c>
      <c r="E28" s="4">
        <v>23</v>
      </c>
    </row>
    <row r="29" spans="1:5">
      <c r="A29" s="4">
        <v>1028</v>
      </c>
      <c r="B29" s="4">
        <v>1</v>
      </c>
      <c r="C29" s="7">
        <f t="shared" si="0"/>
        <v>10028</v>
      </c>
      <c r="D29" s="4">
        <v>75</v>
      </c>
      <c r="E29" s="4">
        <v>24</v>
      </c>
    </row>
    <row r="30" spans="1:5">
      <c r="A30" s="4">
        <v>1029</v>
      </c>
      <c r="B30" s="4">
        <v>1</v>
      </c>
      <c r="C30" s="7">
        <f t="shared" si="0"/>
        <v>10029</v>
      </c>
      <c r="D30" s="4">
        <v>78</v>
      </c>
      <c r="E30" s="4">
        <v>25</v>
      </c>
    </row>
    <row r="31" spans="1:5">
      <c r="A31" s="4">
        <v>1030</v>
      </c>
      <c r="B31" s="4">
        <v>1</v>
      </c>
      <c r="C31" s="7">
        <f t="shared" si="0"/>
        <v>10030</v>
      </c>
      <c r="D31" s="4">
        <v>82</v>
      </c>
      <c r="E31" s="4">
        <v>26</v>
      </c>
    </row>
    <row r="32" spans="1:5">
      <c r="A32" s="4">
        <v>1031</v>
      </c>
      <c r="B32" s="4">
        <v>1</v>
      </c>
      <c r="C32" s="7">
        <f t="shared" si="0"/>
        <v>10031</v>
      </c>
      <c r="D32" s="4">
        <v>85</v>
      </c>
      <c r="E32" s="4">
        <v>27</v>
      </c>
    </row>
    <row r="33" spans="1:5">
      <c r="A33" s="4">
        <v>1032</v>
      </c>
      <c r="B33" s="4">
        <v>1</v>
      </c>
      <c r="C33" s="7">
        <f t="shared" si="0"/>
        <v>10032</v>
      </c>
      <c r="D33" s="4">
        <v>88</v>
      </c>
      <c r="E33" s="4">
        <v>28</v>
      </c>
    </row>
    <row r="34" spans="1:5">
      <c r="A34" s="4">
        <v>1033</v>
      </c>
      <c r="B34" s="4">
        <v>1</v>
      </c>
      <c r="C34" s="7">
        <f t="shared" si="0"/>
        <v>10033</v>
      </c>
      <c r="D34" s="4">
        <v>90</v>
      </c>
      <c r="E34" s="4">
        <v>29</v>
      </c>
    </row>
    <row r="35" spans="1:5">
      <c r="A35" s="4">
        <v>1034</v>
      </c>
      <c r="B35" s="4">
        <v>1</v>
      </c>
      <c r="C35" s="7">
        <f t="shared" si="0"/>
        <v>10034</v>
      </c>
      <c r="D35" s="4">
        <v>105</v>
      </c>
      <c r="E35" s="4">
        <v>41</v>
      </c>
    </row>
    <row r="36" spans="1:5">
      <c r="A36" s="4">
        <v>1035</v>
      </c>
      <c r="B36" s="4">
        <v>1</v>
      </c>
      <c r="C36" s="7">
        <f t="shared" si="0"/>
        <v>10035</v>
      </c>
      <c r="D36" s="4">
        <v>0</v>
      </c>
      <c r="E36" s="4">
        <v>31</v>
      </c>
    </row>
    <row r="37" spans="1:5">
      <c r="A37" s="4">
        <v>1036</v>
      </c>
      <c r="B37" s="4">
        <v>1</v>
      </c>
      <c r="C37" s="7">
        <f t="shared" si="0"/>
        <v>10036</v>
      </c>
      <c r="D37" s="4">
        <v>0</v>
      </c>
      <c r="E37" s="4">
        <v>75</v>
      </c>
    </row>
    <row r="38" spans="1:5">
      <c r="A38" s="4">
        <v>1037</v>
      </c>
      <c r="B38" s="4">
        <v>1</v>
      </c>
      <c r="C38" s="7">
        <f t="shared" si="0"/>
        <v>10037</v>
      </c>
      <c r="D38" s="4">
        <v>0</v>
      </c>
      <c r="E38" s="4">
        <v>76</v>
      </c>
    </row>
    <row r="39" spans="1:5">
      <c r="A39" s="4">
        <v>1038</v>
      </c>
      <c r="B39" s="4">
        <v>1</v>
      </c>
      <c r="C39" s="7">
        <f t="shared" si="0"/>
        <v>10038</v>
      </c>
      <c r="D39" s="4">
        <v>0</v>
      </c>
      <c r="E39" s="4">
        <v>77</v>
      </c>
    </row>
    <row r="40" spans="1:5">
      <c r="A40" s="4">
        <v>1039</v>
      </c>
      <c r="B40" s="4">
        <v>1</v>
      </c>
      <c r="C40" s="7">
        <f t="shared" si="0"/>
        <v>10039</v>
      </c>
      <c r="D40" s="4">
        <v>1</v>
      </c>
      <c r="E40" s="4">
        <v>78</v>
      </c>
    </row>
    <row r="41" spans="1:5">
      <c r="A41" s="4">
        <v>1040</v>
      </c>
      <c r="B41" s="4">
        <v>1</v>
      </c>
      <c r="C41" s="7">
        <f t="shared" si="0"/>
        <v>10040</v>
      </c>
      <c r="D41" s="4">
        <v>1</v>
      </c>
      <c r="E41" s="4">
        <v>79</v>
      </c>
    </row>
    <row r="42" spans="1:5">
      <c r="A42" s="4">
        <v>1041</v>
      </c>
      <c r="B42" s="4">
        <v>1</v>
      </c>
      <c r="C42" s="7">
        <f t="shared" si="0"/>
        <v>10041</v>
      </c>
      <c r="D42" s="4">
        <v>1</v>
      </c>
      <c r="E42" s="4">
        <v>1</v>
      </c>
    </row>
    <row r="43" spans="1:5">
      <c r="A43" s="4">
        <v>1042</v>
      </c>
      <c r="B43" s="4">
        <v>1</v>
      </c>
      <c r="C43" s="7">
        <f t="shared" si="0"/>
        <v>10042</v>
      </c>
      <c r="D43" s="4">
        <v>1</v>
      </c>
      <c r="E43" s="4">
        <v>2</v>
      </c>
    </row>
    <row r="44" spans="1:5">
      <c r="A44" s="4">
        <v>1043</v>
      </c>
      <c r="B44" s="4">
        <v>1</v>
      </c>
      <c r="C44" s="7">
        <f t="shared" si="0"/>
        <v>10043</v>
      </c>
      <c r="D44" s="4">
        <v>1</v>
      </c>
      <c r="E44" s="4">
        <v>3</v>
      </c>
    </row>
    <row r="45" spans="1:5">
      <c r="A45" s="4">
        <v>1044</v>
      </c>
      <c r="B45" s="4">
        <v>1</v>
      </c>
      <c r="C45" s="7">
        <f t="shared" si="0"/>
        <v>10044</v>
      </c>
      <c r="D45" s="4">
        <v>2</v>
      </c>
      <c r="E45" s="4">
        <v>4</v>
      </c>
    </row>
    <row r="46" spans="1:5">
      <c r="A46" s="4">
        <v>1045</v>
      </c>
      <c r="B46" s="4">
        <v>1</v>
      </c>
      <c r="C46" s="7">
        <f t="shared" si="0"/>
        <v>10045</v>
      </c>
      <c r="D46" s="4">
        <v>2</v>
      </c>
      <c r="E46" s="4">
        <v>5</v>
      </c>
    </row>
    <row r="47" spans="1:5">
      <c r="A47" s="4">
        <v>1046</v>
      </c>
      <c r="B47" s="4">
        <v>1</v>
      </c>
      <c r="C47" s="7">
        <f t="shared" si="0"/>
        <v>10046</v>
      </c>
      <c r="D47" s="4">
        <v>2</v>
      </c>
      <c r="E47" s="4">
        <v>6</v>
      </c>
    </row>
    <row r="48" spans="1:5">
      <c r="A48" s="4">
        <v>1047</v>
      </c>
      <c r="B48" s="4">
        <v>1</v>
      </c>
      <c r="C48" s="7">
        <f t="shared" si="0"/>
        <v>10047</v>
      </c>
      <c r="D48" s="4">
        <v>2</v>
      </c>
      <c r="E48" s="4">
        <v>24</v>
      </c>
    </row>
    <row r="49" spans="1:5">
      <c r="A49" s="4">
        <v>1048</v>
      </c>
      <c r="B49" s="4">
        <v>1</v>
      </c>
      <c r="C49" s="7">
        <f t="shared" si="0"/>
        <v>10048</v>
      </c>
      <c r="D49" s="4">
        <v>2</v>
      </c>
      <c r="E49" s="4">
        <v>25</v>
      </c>
    </row>
    <row r="50" spans="1:5">
      <c r="A50" s="4">
        <v>1049</v>
      </c>
      <c r="B50" s="4">
        <v>1</v>
      </c>
      <c r="C50" s="7">
        <f t="shared" si="0"/>
        <v>10049</v>
      </c>
      <c r="D50" s="4">
        <v>3</v>
      </c>
      <c r="E50" s="4">
        <v>26</v>
      </c>
    </row>
    <row r="51" spans="1:5">
      <c r="A51" s="4">
        <v>1050</v>
      </c>
      <c r="B51" s="4">
        <v>1</v>
      </c>
      <c r="C51" s="7">
        <f t="shared" si="0"/>
        <v>10050</v>
      </c>
      <c r="D51" s="4">
        <v>3</v>
      </c>
      <c r="E51" s="4">
        <v>27</v>
      </c>
    </row>
    <row r="52" spans="1:5">
      <c r="A52" s="4">
        <v>1051</v>
      </c>
      <c r="B52" s="4">
        <v>1</v>
      </c>
      <c r="C52" s="7">
        <f t="shared" si="0"/>
        <v>10051</v>
      </c>
      <c r="D52" s="4">
        <v>3</v>
      </c>
      <c r="E52" s="4">
        <v>28</v>
      </c>
    </row>
    <row r="53" spans="1:5">
      <c r="A53" s="4">
        <v>1052</v>
      </c>
      <c r="B53" s="4">
        <v>1</v>
      </c>
      <c r="C53" s="7">
        <f t="shared" si="0"/>
        <v>10052</v>
      </c>
      <c r="D53" s="4">
        <v>3</v>
      </c>
      <c r="E53" s="4">
        <v>29</v>
      </c>
    </row>
    <row r="54" spans="1:5">
      <c r="A54" s="4">
        <v>1053</v>
      </c>
      <c r="B54" s="4">
        <v>1</v>
      </c>
      <c r="C54" s="7">
        <f t="shared" si="0"/>
        <v>10053</v>
      </c>
      <c r="D54" s="4">
        <v>3</v>
      </c>
      <c r="E54" s="4">
        <v>41</v>
      </c>
    </row>
    <row r="55" spans="1:5">
      <c r="A55" s="4">
        <v>1054</v>
      </c>
      <c r="B55" s="4">
        <v>1</v>
      </c>
      <c r="C55" s="7">
        <f t="shared" si="0"/>
        <v>10054</v>
      </c>
      <c r="D55" s="4">
        <v>3</v>
      </c>
      <c r="E55" s="4">
        <v>31</v>
      </c>
    </row>
    <row r="56" spans="1:5">
      <c r="A56" s="4">
        <v>1055</v>
      </c>
      <c r="B56" s="4">
        <v>1</v>
      </c>
      <c r="C56" s="7">
        <f t="shared" si="0"/>
        <v>10055</v>
      </c>
      <c r="D56" s="4">
        <v>4</v>
      </c>
      <c r="E56" s="4">
        <v>29</v>
      </c>
    </row>
    <row r="57" spans="1:5">
      <c r="A57" s="4">
        <v>1056</v>
      </c>
      <c r="B57" s="4">
        <v>1</v>
      </c>
      <c r="C57" s="7">
        <f t="shared" si="0"/>
        <v>10056</v>
      </c>
      <c r="D57" s="4">
        <v>4</v>
      </c>
      <c r="E57" s="4">
        <v>30</v>
      </c>
    </row>
    <row r="58" spans="1:5">
      <c r="A58" s="4">
        <v>1057</v>
      </c>
      <c r="B58" s="4">
        <v>1</v>
      </c>
      <c r="C58" s="7">
        <f t="shared" si="0"/>
        <v>10057</v>
      </c>
      <c r="D58" s="4">
        <v>4</v>
      </c>
      <c r="E58" s="4">
        <v>31</v>
      </c>
    </row>
    <row r="59" spans="1:5">
      <c r="A59" s="4">
        <v>1058</v>
      </c>
      <c r="B59" s="4">
        <v>1</v>
      </c>
      <c r="C59" s="7">
        <f t="shared" si="0"/>
        <v>10058</v>
      </c>
      <c r="D59" s="4">
        <v>4</v>
      </c>
      <c r="E59" s="4">
        <v>75</v>
      </c>
    </row>
    <row r="60" spans="1:5">
      <c r="A60" s="4">
        <v>1059</v>
      </c>
      <c r="B60" s="4">
        <v>1</v>
      </c>
      <c r="C60" s="7">
        <f t="shared" si="0"/>
        <v>10059</v>
      </c>
      <c r="D60" s="4">
        <v>5</v>
      </c>
      <c r="E60" s="4">
        <v>76</v>
      </c>
    </row>
    <row r="61" spans="1:5">
      <c r="A61" s="4">
        <v>1060</v>
      </c>
      <c r="B61" s="4">
        <v>1</v>
      </c>
      <c r="C61" s="7">
        <f t="shared" si="0"/>
        <v>10060</v>
      </c>
      <c r="D61" s="4">
        <v>5</v>
      </c>
      <c r="E61" s="4">
        <v>77</v>
      </c>
    </row>
    <row r="62" spans="1:5">
      <c r="A62" s="4">
        <v>1061</v>
      </c>
      <c r="B62" s="4">
        <v>1</v>
      </c>
      <c r="C62" s="7">
        <f t="shared" si="0"/>
        <v>10061</v>
      </c>
      <c r="D62" s="4">
        <v>5</v>
      </c>
      <c r="E62" s="4">
        <v>78</v>
      </c>
    </row>
    <row r="63" spans="1:5">
      <c r="A63" s="4">
        <v>1062</v>
      </c>
      <c r="B63" s="4">
        <v>1</v>
      </c>
      <c r="C63" s="7">
        <f t="shared" si="0"/>
        <v>10062</v>
      </c>
      <c r="D63" s="4">
        <v>6</v>
      </c>
      <c r="E63" s="4">
        <v>79</v>
      </c>
    </row>
    <row r="64" spans="1:5">
      <c r="A64" s="4">
        <v>1063</v>
      </c>
      <c r="B64" s="4">
        <v>1</v>
      </c>
      <c r="C64" s="7">
        <f t="shared" si="0"/>
        <v>10063</v>
      </c>
      <c r="D64" s="4">
        <v>6</v>
      </c>
      <c r="E64" s="4">
        <v>1</v>
      </c>
    </row>
    <row r="65" spans="1:5">
      <c r="A65" s="4">
        <v>1064</v>
      </c>
      <c r="B65" s="4">
        <v>1</v>
      </c>
      <c r="C65" s="7">
        <f t="shared" si="0"/>
        <v>10064</v>
      </c>
      <c r="D65" s="4">
        <v>6</v>
      </c>
      <c r="E65" s="4">
        <v>2</v>
      </c>
    </row>
    <row r="66" spans="1:5">
      <c r="A66" s="4">
        <v>1065</v>
      </c>
      <c r="B66" s="4">
        <v>1</v>
      </c>
      <c r="C66" s="7">
        <f t="shared" si="0"/>
        <v>10065</v>
      </c>
      <c r="D66" s="4">
        <v>7</v>
      </c>
      <c r="E66" s="4">
        <v>3</v>
      </c>
    </row>
    <row r="67" spans="1:5">
      <c r="A67" s="4">
        <v>1066</v>
      </c>
      <c r="B67" s="4">
        <v>1</v>
      </c>
      <c r="C67" s="7">
        <f t="shared" ref="C67:C74" si="1">C66+1</f>
        <v>10066</v>
      </c>
      <c r="D67" s="4">
        <v>7</v>
      </c>
      <c r="E67" s="4">
        <v>4</v>
      </c>
    </row>
    <row r="68" spans="1:5">
      <c r="A68" s="4">
        <v>1067</v>
      </c>
      <c r="B68" s="4">
        <v>1</v>
      </c>
      <c r="C68" s="7">
        <f t="shared" si="1"/>
        <v>10067</v>
      </c>
      <c r="D68" s="4">
        <v>7</v>
      </c>
      <c r="E68" s="4">
        <v>5</v>
      </c>
    </row>
    <row r="69" spans="1:5">
      <c r="A69" s="4">
        <v>1068</v>
      </c>
      <c r="B69" s="4">
        <v>1</v>
      </c>
      <c r="C69" s="7">
        <f t="shared" si="1"/>
        <v>10068</v>
      </c>
      <c r="D69" s="4">
        <v>8</v>
      </c>
      <c r="E69" s="4">
        <v>75</v>
      </c>
    </row>
    <row r="70" spans="1:5">
      <c r="A70" s="4">
        <v>1069</v>
      </c>
      <c r="B70" s="4">
        <v>1</v>
      </c>
      <c r="C70" s="7">
        <f t="shared" si="1"/>
        <v>10069</v>
      </c>
      <c r="D70" s="4">
        <v>8</v>
      </c>
      <c r="E70" s="4">
        <v>76</v>
      </c>
    </row>
    <row r="71" spans="1:5">
      <c r="A71" s="4">
        <v>1070</v>
      </c>
      <c r="B71" s="4">
        <v>1</v>
      </c>
      <c r="C71" s="7">
        <f t="shared" si="1"/>
        <v>10070</v>
      </c>
      <c r="D71" s="4">
        <v>8</v>
      </c>
      <c r="E71" s="4">
        <v>26</v>
      </c>
    </row>
    <row r="72" spans="1:5">
      <c r="A72" s="4">
        <v>1071</v>
      </c>
      <c r="B72" s="4">
        <v>1</v>
      </c>
      <c r="C72" s="7">
        <f t="shared" si="1"/>
        <v>10071</v>
      </c>
      <c r="D72" s="4">
        <v>9</v>
      </c>
      <c r="E72" s="4">
        <v>27</v>
      </c>
    </row>
    <row r="73" spans="1:5">
      <c r="A73" s="4">
        <v>1072</v>
      </c>
      <c r="B73" s="4">
        <v>1</v>
      </c>
      <c r="C73" s="7">
        <f t="shared" si="1"/>
        <v>10072</v>
      </c>
      <c r="D73" s="4">
        <v>9</v>
      </c>
      <c r="E73" s="4">
        <v>28</v>
      </c>
    </row>
    <row r="74" spans="1:5">
      <c r="A74" s="4">
        <v>1073</v>
      </c>
      <c r="B74" s="4">
        <v>1</v>
      </c>
      <c r="C74" s="7">
        <f t="shared" si="1"/>
        <v>10073</v>
      </c>
      <c r="D74" s="4">
        <v>9</v>
      </c>
      <c r="E74" s="4">
        <v>29</v>
      </c>
    </row>
    <row r="75" spans="1:5">
      <c r="A75" s="8">
        <v>2001</v>
      </c>
      <c r="B75" s="8">
        <v>2</v>
      </c>
      <c r="C75" s="8" t="s">
        <v>128</v>
      </c>
      <c r="D75" s="8">
        <v>72</v>
      </c>
      <c r="E75" s="8">
        <v>42</v>
      </c>
    </row>
    <row r="76" spans="1:5">
      <c r="A76" s="8">
        <v>2002</v>
      </c>
      <c r="B76" s="8">
        <v>2</v>
      </c>
      <c r="C76" s="8" t="s">
        <v>129</v>
      </c>
      <c r="D76" s="8">
        <v>75</v>
      </c>
      <c r="E76" s="8">
        <v>43</v>
      </c>
    </row>
    <row r="77" spans="1:5">
      <c r="A77" s="8">
        <v>2003</v>
      </c>
      <c r="B77" s="8">
        <v>2</v>
      </c>
      <c r="C77" s="8" t="s">
        <v>130</v>
      </c>
      <c r="D77" s="8">
        <v>80</v>
      </c>
      <c r="E77" s="8">
        <v>44</v>
      </c>
    </row>
    <row r="78" spans="1:5">
      <c r="A78" s="8">
        <v>2004</v>
      </c>
      <c r="B78" s="8">
        <v>2</v>
      </c>
      <c r="C78" s="8" t="s">
        <v>131</v>
      </c>
      <c r="D78" s="8">
        <v>84</v>
      </c>
      <c r="E78" s="8">
        <v>45</v>
      </c>
    </row>
    <row r="79" spans="1:5">
      <c r="A79" s="8">
        <v>2005</v>
      </c>
      <c r="B79" s="8">
        <v>2</v>
      </c>
      <c r="C79" s="8" t="s">
        <v>132</v>
      </c>
      <c r="D79" s="8">
        <v>88</v>
      </c>
      <c r="E79" s="8">
        <v>46</v>
      </c>
    </row>
    <row r="80" spans="1:5">
      <c r="A80" s="8">
        <v>2006</v>
      </c>
      <c r="B80" s="8">
        <v>2</v>
      </c>
      <c r="C80" s="8" t="s">
        <v>133</v>
      </c>
      <c r="D80" s="8">
        <v>93</v>
      </c>
      <c r="E80" s="8">
        <v>47</v>
      </c>
    </row>
  </sheetData>
  <phoneticPr fontId="14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>
      <selection activeCell="K15" sqref="K15"/>
    </sheetView>
  </sheetViews>
  <sheetFormatPr defaultColWidth="9" defaultRowHeight="15"/>
  <cols>
    <col min="3" max="3" width="10.28515625" customWidth="1"/>
    <col min="4" max="4" width="11" customWidth="1"/>
  </cols>
  <sheetData>
    <row r="1" spans="1:4">
      <c r="A1" s="1" t="s">
        <v>0</v>
      </c>
      <c r="B1" s="1" t="s">
        <v>134</v>
      </c>
      <c r="C1" s="1" t="s">
        <v>135</v>
      </c>
      <c r="D1" s="1" t="s">
        <v>136</v>
      </c>
    </row>
    <row r="2" spans="1:4">
      <c r="A2" s="2">
        <v>1</v>
      </c>
      <c r="B2" s="2">
        <v>24</v>
      </c>
      <c r="C2" t="s">
        <v>137</v>
      </c>
      <c r="D2">
        <v>84</v>
      </c>
    </row>
    <row r="3" spans="1:4">
      <c r="A3" s="2">
        <v>2</v>
      </c>
      <c r="B3" s="2">
        <v>25</v>
      </c>
      <c r="C3" t="s">
        <v>138</v>
      </c>
      <c r="D3">
        <v>73</v>
      </c>
    </row>
    <row r="4" spans="1:4">
      <c r="A4" s="2">
        <v>3</v>
      </c>
      <c r="B4" s="2">
        <v>25</v>
      </c>
      <c r="C4" t="s">
        <v>138</v>
      </c>
      <c r="D4">
        <v>80</v>
      </c>
    </row>
    <row r="5" spans="1:4">
      <c r="A5" s="2">
        <v>4</v>
      </c>
      <c r="B5" s="2">
        <v>26</v>
      </c>
      <c r="C5" t="s">
        <v>139</v>
      </c>
      <c r="D5">
        <v>70</v>
      </c>
    </row>
    <row r="6" spans="1:4">
      <c r="A6" s="2">
        <v>5</v>
      </c>
      <c r="B6" s="2">
        <v>26</v>
      </c>
      <c r="C6" t="s">
        <v>139</v>
      </c>
      <c r="D6">
        <v>55</v>
      </c>
    </row>
    <row r="7" spans="1:4">
      <c r="A7" s="2">
        <v>6</v>
      </c>
      <c r="B7" s="2">
        <v>26</v>
      </c>
      <c r="C7" t="s">
        <v>139</v>
      </c>
      <c r="D7">
        <v>85</v>
      </c>
    </row>
  </sheetData>
  <phoneticPr fontId="14" type="noConversion"/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段位奖励</vt:lpstr>
      <vt:lpstr>段位升级</vt:lpstr>
      <vt:lpstr>段位赛奖品库</vt:lpstr>
      <vt:lpstr>段位商店</vt:lpstr>
      <vt:lpstr>跨服段位赛机器人库</vt:lpstr>
      <vt:lpstr>天级榜奖励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2020-09-05T05:33:00Z</dcterms:created>
  <dcterms:modified xsi:type="dcterms:W3CDTF">2024-01-22T02:42:49Z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